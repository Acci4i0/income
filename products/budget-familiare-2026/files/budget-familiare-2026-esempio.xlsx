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Impostazioni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Movimenti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Mensile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Obiettivi" sheetId="8" state="visible" r:id="rId8"/>
    <sheet xmlns:r="http://schemas.openxmlformats.org/officeDocument/2006/relationships" name="Debiti" sheetId="9" state="visible" r:id="rId9"/>
    <sheet xmlns:r="http://schemas.openxmlformats.org/officeDocument/2006/relationships" name="Elenchi" sheetId="10" state="hidden" r:id="rId10"/>
  </sheets>
  <definedNames>
    <definedName name="_xlnm.Print_Titles" localSheetId="2">'Categorie'!$5:$5</definedName>
    <definedName name="_xlnm.Print_Area" localSheetId="2">'Categorie'!$A$1:$D$65</definedName>
    <definedName name="_xlnm._FilterDatabase" localSheetId="3" hidden="1">'Movimenti'!$A$5:$H$2005</definedName>
    <definedName name="_xlnm.Print_Titles" localSheetId="3">'Movimenti'!$5:$5</definedName>
    <definedName name="_xlnm.Print_Titles" localSheetId="4">'Budget'!$5:$5</definedName>
    <definedName name="_xlnm.Print_Area" localSheetId="4">'Budget'!$A$1:$P$73</definedName>
    <definedName name="_xlnm.Print_Titles" localSheetId="5">'Mensile'!$A:$B,'Mensile'!$5:$5</definedName>
    <definedName name="_xlnm.Print_Area" localSheetId="5">'Mensile'!$A$1:$Y$73</definedName>
    <definedName name="_xlnm.Print_Area" localSheetId="6">'Dashboard'!$A$1:$N$57</definedName>
    <definedName name="_xlnm.Print_Area" localSheetId="7">'Obiettivi'!$A$1:$K$24</definedName>
    <definedName name="_xlnm.Print_Area" localSheetId="8">'Debiti'!$A$1:$K$43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.00 &quot;€&quot;;-#,##0.00 &quot;€&quot;;0.00 &quot;€&quot;"/>
    <numFmt numFmtId="165" formatCode="yyyy-mm-dd"/>
    <numFmt numFmtId="166" formatCode="DD/MM/YYYY"/>
    <numFmt numFmtId="167" formatCode="#,##0.00 &quot;€&quot;;-#,##0.00 &quot;€&quot;;&quot;–&quot;"/>
    <numFmt numFmtId="168" formatCode="#,##0 &quot;€&quot;;-#,##0 &quot;€&quot;;&quot;0 €&quot;"/>
    <numFmt numFmtId="169" formatCode="0%&quot; del budget annuo&quot;"/>
    <numFmt numFmtId="170" formatCode="&quot;di cui versati: &quot;#,##0&quot; €&quot;;&quot;di cui versati: -&quot;#,##0&quot; €&quot;;&quot;nessun versamento&quot;"/>
    <numFmt numFmtId="171" formatCode="0.0%"/>
    <numFmt numFmtId="172" formatCode="&quot;al 1° gennaio: &quot;#,##0&quot; €&quot;;&quot;al 1° gennaio: -&quot;#,##0&quot; €&quot;;&quot;al 1° gennaio: 0 €&quot;"/>
    <numFmt numFmtId="173" formatCode="&quot;rate: &quot;#,##0&quot; € al mese&quot;;&quot;rate: -&quot;#,##0&quot; €&quot;;&quot;nessuna rata&quot;"/>
    <numFmt numFmtId="174" formatCode="#,##0 &quot;€&quot;;-#,##0 &quot;€&quot;;&quot;–&quot;"/>
    <numFmt numFmtId="175" formatCode="MM/YYYY"/>
  </numFmts>
  <fonts count="19">
    <font>
      <name val="Arial"/>
      <sz val="10"/>
    </font>
    <font>
      <name val="Arial"/>
      <b val="1"/>
      <color rgb="000F766E"/>
      <sz val="20"/>
    </font>
    <font>
      <name val="Arial"/>
      <color rgb="005B6862"/>
      <sz val="10"/>
    </font>
    <font>
      <name val="Arial"/>
      <b val="1"/>
      <color rgb="000B5C56"/>
      <sz val="11"/>
    </font>
    <font>
      <name val="Arial"/>
      <color rgb="0017201C"/>
      <sz val="10"/>
    </font>
    <font>
      <name val="Arial"/>
      <b val="1"/>
      <color rgb="000F766E"/>
      <sz val="10"/>
    </font>
    <font>
      <name val="Arial"/>
      <color rgb="000F766E"/>
      <sz val="10"/>
      <u val="single"/>
    </font>
    <font>
      <name val="Arial"/>
      <b val="1"/>
      <color rgb="000F766E"/>
      <sz val="18"/>
    </font>
    <font>
      <name val="Arial"/>
      <b val="1"/>
      <color rgb="0017201C"/>
      <sz val="10"/>
    </font>
    <font>
      <name val="Arial"/>
      <color rgb="005B6862"/>
      <sz val="9"/>
    </font>
    <font>
      <name val="Arial"/>
      <b val="1"/>
      <color rgb="00FFFFFF"/>
      <sz val="10"/>
    </font>
    <font>
      <name val="Arial"/>
      <b val="1"/>
      <color rgb="009A3412"/>
      <sz val="10"/>
    </font>
    <font>
      <name val="Arial"/>
      <b val="1"/>
      <color rgb="000B5C56"/>
      <sz val="10"/>
    </font>
    <font>
      <name val="Arial"/>
      <color rgb="005B6862"/>
      <sz val="8"/>
    </font>
    <font>
      <name val="Arial"/>
      <b val="1"/>
      <color rgb="0017201C"/>
      <sz val="18"/>
    </font>
    <font>
      <name val="Arial"/>
      <color rgb="00FFFFFF"/>
      <sz val="8"/>
    </font>
    <font>
      <name val="Arial"/>
      <i val="1"/>
      <color rgb="0017201C"/>
      <sz val="10"/>
    </font>
    <font>
      <name val="Arial"/>
      <color rgb="000F766E"/>
      <sz val="9"/>
    </font>
    <font>
      <name val="Arial"/>
      <b val="1"/>
      <color rgb="005B6862"/>
      <sz val="9"/>
    </font>
  </fonts>
  <fills count="7">
    <fill>
      <patternFill/>
    </fill>
    <fill>
      <patternFill patternType="gray125"/>
    </fill>
    <fill>
      <patternFill patternType="solid">
        <fgColor rgb="00FFF6D5"/>
      </patternFill>
    </fill>
    <fill>
      <patternFill patternType="solid">
        <fgColor rgb="00FFE4C7"/>
      </patternFill>
    </fill>
    <fill>
      <patternFill patternType="solid">
        <fgColor rgb="000F766E"/>
      </patternFill>
    </fill>
    <fill>
      <patternFill patternType="solid">
        <fgColor rgb="00E0F2EF"/>
      </patternFill>
    </fill>
    <fill>
      <patternFill patternType="solid">
        <fgColor rgb="00EEF2EF"/>
      </patternFill>
    </fill>
  </fills>
  <borders count="8">
    <border>
      <left/>
      <right/>
      <top/>
      <bottom/>
      <diagonal/>
    </border>
    <border>
      <bottom style="medium">
        <color rgb="000F766E"/>
      </bottom>
    </border>
    <border>
      <left style="thin">
        <color rgb="00E3D49B"/>
      </left>
      <right style="thin">
        <color rgb="00E3D49B"/>
      </right>
      <top style="thin">
        <color rgb="00E3D49B"/>
      </top>
      <bottom style="thin">
        <color rgb="00E3D49B"/>
      </bottom>
    </border>
    <border>
      <bottom style="thin">
        <color rgb="00D9E0DC"/>
      </bottom>
    </border>
    <border>
      <top style="thin">
        <color rgb="000F766E"/>
      </top>
      <bottom style="thin">
        <color rgb="000F766E"/>
      </bottom>
    </border>
    <border/>
    <border>
      <top style="thick">
        <color rgb="000F766E"/>
      </top>
    </border>
    <border>
      <left/>
      <right/>
      <top/>
      <bottom style="thin">
        <color rgb="00D9E0DC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3" borderId="0" pivotButton="0" quotePrefix="0" xfId="0"/>
    <xf numFmtId="0" fontId="4" fillId="4" borderId="0" pivotButton="0" quotePrefix="0" xfId="0"/>
    <xf numFmtId="0" fontId="5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3" applyAlignment="1" pivotButton="0" quotePrefix="0" xfId="0">
      <alignment horizontal="left" vertical="center"/>
    </xf>
    <xf numFmtId="1" fontId="4" fillId="2" borderId="2" applyAlignment="1" applyProtection="1" pivotButton="0" quotePrefix="0" xfId="0">
      <alignment horizontal="right" vertical="center"/>
      <protection locked="0" hidden="0"/>
    </xf>
    <xf numFmtId="0" fontId="9" fillId="0" borderId="3" applyAlignment="1" pivotButton="0" quotePrefix="0" xfId="0">
      <alignment horizontal="left" vertical="center"/>
    </xf>
    <xf numFmtId="164" fontId="4" fillId="2" borderId="2" applyAlignment="1" applyProtection="1" pivotButton="0" quotePrefix="0" xfId="0">
      <alignment horizontal="right" vertical="center"/>
      <protection locked="0" hidden="0"/>
    </xf>
    <xf numFmtId="0" fontId="4" fillId="2" borderId="2" applyAlignment="1" applyProtection="1" pivotButton="0" quotePrefix="0" xfId="0">
      <alignment horizontal="left" vertical="center"/>
      <protection locked="0" hidden="0"/>
    </xf>
    <xf numFmtId="166" fontId="4" fillId="2" borderId="2" applyAlignment="1" applyProtection="1" pivotButton="0" quotePrefix="0" xfId="0">
      <alignment horizontal="right" vertical="center"/>
      <protection locked="0" hidden="0"/>
    </xf>
    <xf numFmtId="0" fontId="4" fillId="0" borderId="3" applyAlignment="1" pivotButton="0" quotePrefix="0" xfId="0">
      <alignment horizontal="left" vertical="center"/>
    </xf>
    <xf numFmtId="166" fontId="8" fillId="0" borderId="3" applyAlignment="1" pivotButton="0" quotePrefix="0" xfId="0">
      <alignment horizontal="right" vertical="center"/>
    </xf>
    <xf numFmtId="1" fontId="8" fillId="0" borderId="3" applyAlignment="1" pivotButton="0" quotePrefix="0" xfId="0">
      <alignment horizontal="right" vertical="center"/>
    </xf>
    <xf numFmtId="0" fontId="8" fillId="0" borderId="3" applyAlignment="1" pivotButton="0" quotePrefix="0" xfId="0">
      <alignment horizontal="right" vertical="center"/>
    </xf>
    <xf numFmtId="0" fontId="9" fillId="0" borderId="1" pivotButton="0" quotePrefix="0" xfId="0"/>
    <xf numFmtId="0" fontId="10" fillId="4" borderId="0" applyAlignment="1" pivotButton="0" quotePrefix="0" xfId="0">
      <alignment horizontal="center" vertical="center" wrapText="1"/>
    </xf>
    <xf numFmtId="0" fontId="11" fillId="0" borderId="3" pivotButton="0" quotePrefix="0" xfId="0"/>
    <xf numFmtId="0" fontId="2" fillId="0" borderId="0" applyAlignment="1" pivotButton="0" quotePrefix="0" xfId="0">
      <alignment horizontal="right" vertical="center"/>
    </xf>
    <xf numFmtId="1" fontId="8" fillId="0" borderId="0" applyAlignment="1" pivotButton="0" quotePrefix="0" xfId="0">
      <alignment horizontal="right" vertical="center"/>
    </xf>
    <xf numFmtId="1" fontId="8" fillId="0" borderId="0" applyAlignment="1" pivotButton="0" quotePrefix="0" xfId="0">
      <alignment horizontal="left" vertical="center"/>
    </xf>
    <xf numFmtId="166" fontId="4" fillId="2" borderId="2" applyAlignment="1" applyProtection="1" pivotButton="0" quotePrefix="0" xfId="0">
      <alignment horizontal="center" vertical="center"/>
      <protection locked="0" hidden="0"/>
    </xf>
    <xf numFmtId="0" fontId="4" fillId="2" borderId="2" applyAlignment="1" applyProtection="1" pivotButton="0" quotePrefix="0" xfId="0">
      <alignment horizontal="left" vertical="center" indent="1"/>
      <protection locked="0" hidden="0"/>
    </xf>
    <xf numFmtId="0" fontId="2" fillId="0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13" fillId="0" borderId="0" pivotButton="0" quotePrefix="0" xfId="0"/>
    <xf numFmtId="0" fontId="8" fillId="0" borderId="3" pivotButton="0" quotePrefix="0" xfId="0"/>
    <xf numFmtId="0" fontId="9" fillId="0" borderId="3" pivotButton="0" quotePrefix="0" xfId="0"/>
    <xf numFmtId="167" fontId="4" fillId="0" borderId="3" pivotButton="0" quotePrefix="0" xfId="0"/>
    <xf numFmtId="0" fontId="8" fillId="6" borderId="4" pivotButton="0" quotePrefix="0" xfId="0"/>
    <xf numFmtId="0" fontId="9" fillId="6" borderId="4" pivotButton="0" quotePrefix="0" xfId="0"/>
    <xf numFmtId="167" fontId="8" fillId="6" borderId="4" pivotButton="0" quotePrefix="0" xfId="0"/>
    <xf numFmtId="0" fontId="12" fillId="5" borderId="0" pivotButton="0" quotePrefix="0" xfId="0"/>
    <xf numFmtId="0" fontId="0" fillId="5" borderId="0" pivotButton="0" quotePrefix="0" xfId="0"/>
    <xf numFmtId="0" fontId="4" fillId="0" borderId="3" pivotButton="0" quotePrefix="0" xfId="0"/>
    <xf numFmtId="164" fontId="4" fillId="2" borderId="2" applyAlignment="1" applyProtection="1" pivotButton="0" quotePrefix="0" xfId="0">
      <alignment horizontal="right"/>
      <protection locked="0" hidden="0"/>
    </xf>
    <xf numFmtId="167" fontId="4" fillId="2" borderId="2" applyAlignment="1" applyProtection="1" pivotButton="0" quotePrefix="0" xfId="0">
      <alignment horizontal="right"/>
      <protection locked="0" hidden="0"/>
    </xf>
    <xf numFmtId="167" fontId="8" fillId="0" borderId="3" pivotButton="0" quotePrefix="0" xfId="0"/>
    <xf numFmtId="0" fontId="12" fillId="0" borderId="0" pivotButton="0" quotePrefix="0" xfId="0"/>
    <xf numFmtId="9" fontId="4" fillId="0" borderId="3" pivotButton="0" quotePrefix="0" xfId="0"/>
    <xf numFmtId="0" fontId="4" fillId="0" borderId="5" pivotButton="0" quotePrefix="0" xfId="0"/>
    <xf numFmtId="9" fontId="8" fillId="6" borderId="4" pivotButton="0" quotePrefix="0" xfId="0"/>
    <xf numFmtId="0" fontId="8" fillId="0" borderId="5" pivotButton="0" quotePrefix="0" xfId="0"/>
    <xf numFmtId="2" fontId="13" fillId="0" borderId="0" pivotButton="0" quotePrefix="0" xfId="0"/>
    <xf numFmtId="0" fontId="12" fillId="5" borderId="6" applyAlignment="1" pivotButton="0" quotePrefix="0" xfId="0">
      <alignment horizontal="left" vertical="bottom" indent="1"/>
    </xf>
    <xf numFmtId="0" fontId="0" fillId="5" borderId="6" pivotButton="0" quotePrefix="0" xfId="0"/>
    <xf numFmtId="168" fontId="14" fillId="5" borderId="0" applyAlignment="1" pivotButton="0" quotePrefix="0" xfId="0">
      <alignment horizontal="left" vertical="center" indent="1"/>
    </xf>
    <xf numFmtId="171" fontId="14" fillId="5" borderId="0" applyAlignment="1" pivotButton="0" quotePrefix="0" xfId="0">
      <alignment horizontal="left" vertical="center" indent="1"/>
    </xf>
    <xf numFmtId="169" fontId="9" fillId="5" borderId="0" applyAlignment="1" pivotButton="0" quotePrefix="0" xfId="0">
      <alignment horizontal="left" vertical="top" indent="1"/>
    </xf>
    <xf numFmtId="170" fontId="9" fillId="5" borderId="0" applyAlignment="1" pivotButton="0" quotePrefix="0" xfId="0">
      <alignment horizontal="left" vertical="top" indent="1"/>
    </xf>
    <xf numFmtId="0" fontId="9" fillId="5" borderId="0" applyAlignment="1" pivotButton="0" quotePrefix="0" xfId="0">
      <alignment horizontal="left" vertical="top" indent="1"/>
    </xf>
    <xf numFmtId="172" fontId="9" fillId="5" borderId="0" applyAlignment="1" pivotButton="0" quotePrefix="0" xfId="0">
      <alignment horizontal="left" vertical="top" indent="1"/>
    </xf>
    <xf numFmtId="173" fontId="9" fillId="5" borderId="0" applyAlignment="1" pivotButton="0" quotePrefix="0" xfId="0">
      <alignment horizontal="left" vertical="top" indent="1"/>
    </xf>
    <xf numFmtId="174" fontId="4" fillId="0" borderId="3" pivotButton="0" quotePrefix="0" xfId="0"/>
    <xf numFmtId="174" fontId="8" fillId="6" borderId="4" pivotButton="0" quotePrefix="0" xfId="0"/>
    <xf numFmtId="0" fontId="0" fillId="0" borderId="3" pivotButton="0" quotePrefix="0" xfId="0"/>
    <xf numFmtId="0" fontId="15" fillId="0" borderId="0" pivotButton="0" quotePrefix="0" xfId="0"/>
    <xf numFmtId="0" fontId="8" fillId="6" borderId="3" pivotButton="0" quotePrefix="0" xfId="0"/>
    <xf numFmtId="174" fontId="8" fillId="6" borderId="3" pivotButton="0" quotePrefix="0" xfId="0"/>
    <xf numFmtId="9" fontId="8" fillId="6" borderId="3" pivotButton="0" quotePrefix="0" xfId="0"/>
    <xf numFmtId="0" fontId="9" fillId="0" borderId="0" applyAlignment="1" pivotButton="0" quotePrefix="0" xfId="0">
      <alignment vertical="top" wrapText="1"/>
    </xf>
    <xf numFmtId="0" fontId="9" fillId="0" borderId="0" pivotButton="0" quotePrefix="0" xfId="0"/>
    <xf numFmtId="0" fontId="5" fillId="0" borderId="3" applyAlignment="1" pivotButton="0" quotePrefix="0" xfId="0">
      <alignment horizontal="center"/>
    </xf>
    <xf numFmtId="171" fontId="4" fillId="0" borderId="3" pivotButton="0" quotePrefix="0" xfId="0"/>
    <xf numFmtId="0" fontId="16" fillId="0" borderId="3" pivotButton="0" quotePrefix="0" xfId="0"/>
    <xf numFmtId="166" fontId="4" fillId="2" borderId="2" applyAlignment="1" applyProtection="1" pivotButton="0" quotePrefix="0" xfId="0">
      <alignment horizontal="center"/>
      <protection locked="0" hidden="0"/>
    </xf>
    <xf numFmtId="0" fontId="17" fillId="0" borderId="3" pivotButton="0" quotePrefix="0" xfId="0"/>
    <xf numFmtId="1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/>
    </xf>
    <xf numFmtId="10" fontId="4" fillId="2" borderId="2" applyAlignment="1" applyProtection="1" pivotButton="0" quotePrefix="0" xfId="0">
      <alignment horizontal="right"/>
      <protection locked="0" hidden="0"/>
    </xf>
    <xf numFmtId="175" fontId="4" fillId="0" borderId="3" applyAlignment="1" pivotButton="0" quotePrefix="0" xfId="0">
      <alignment horizontal="center"/>
    </xf>
    <xf numFmtId="10" fontId="8" fillId="6" borderId="4" pivotButton="0" quotePrefix="0" xfId="0"/>
    <xf numFmtId="0" fontId="18" fillId="0" borderId="0" applyAlignment="1" pivotButton="0" quotePrefix="0" xfId="0">
      <alignment horizontal="right"/>
    </xf>
    <xf numFmtId="10" fontId="4" fillId="0" borderId="3" pivotButton="0" quotePrefix="0" xfId="0"/>
    <xf numFmtId="0" fontId="0" fillId="0" borderId="7" pivotButton="0" quotePrefix="0" xfId="0"/>
    <xf numFmtId="167" fontId="8" fillId="0" borderId="3" applyAlignment="1" pivotButton="0" quotePrefix="0" xfId="0">
      <alignment horizontal="right"/>
    </xf>
    <xf numFmtId="10" fontId="8" fillId="0" borderId="3" applyAlignment="1" pivotButton="0" quotePrefix="0" xfId="0">
      <alignment horizontal="right"/>
    </xf>
    <xf numFmtId="1" fontId="8" fillId="0" borderId="3" applyAlignment="1" pivotButton="0" quotePrefix="0" xfId="0">
      <alignment horizontal="right"/>
    </xf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FFE4C7"/>
        </patternFill>
      </fill>
    </dxf>
    <dxf>
      <font>
        <name val="Arial"/>
        <b val="1"/>
        <color rgb="00B91C1C"/>
      </font>
      <fill>
        <patternFill patternType="solid">
          <fgColor rgb="00FDECEC"/>
        </patternFill>
      </fill>
    </dxf>
    <dxf>
      <font>
        <name val="Arial"/>
        <b val="1"/>
        <color rgb="0015803D"/>
      </font>
    </dxf>
    <dxf>
      <font>
        <name val="Arial"/>
        <b val="1"/>
        <color rgb="00B91C1C"/>
      </font>
    </dxf>
    <dxf>
      <font>
        <name val="Arial"/>
        <b val="1"/>
        <color rgb="009A3412"/>
      </font>
      <fill>
        <patternFill patternType="solid">
          <fgColor rgb="00FFE4C7"/>
        </patternFill>
      </fill>
    </dxf>
    <dxf>
      <font>
        <name val="Arial"/>
        <b val="1"/>
      </font>
      <fill>
        <patternFill patternType="solid">
          <fgColor rgb="00E0F2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7201C"/>
                </a:solidFill>
              </a:defRPr>
            </a:pPr>
            <a:r>
              <a:rPr sz="1100" b="1">
                <a:solidFill>
                  <a:srgbClr val="17201C"/>
                </a:solidFill>
              </a:rPr>
              <a:t>Entrate e spese per mese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'Dashboard'!C9</f>
            </strRef>
          </tx>
          <spPr>
            <a:solidFill xmlns:a="http://schemas.openxmlformats.org/drawingml/2006/main">
              <a:srgbClr val="0D9488"/>
            </a:solidFill>
            <a:ln xmlns:a="http://schemas.openxmlformats.org/drawingml/2006/main">
              <a:solidFill>
                <a:srgbClr val="0D9488"/>
              </a:solidFill>
              <a:prstDash val="solid"/>
            </a:ln>
          </spPr>
          <cat>
            <numRef>
              <f>'Dashboard'!$B$10:$B$21</f>
            </numRef>
          </cat>
          <val>
            <numRef>
              <f>'Dashboard'!$C$10:$C$21</f>
            </numRef>
          </val>
        </ser>
        <ser>
          <idx val="1"/>
          <order val="1"/>
          <tx>
            <strRef>
              <f>'Dashboard'!D9</f>
            </strRef>
          </tx>
          <spPr>
            <a:solidFill xmlns:a="http://schemas.openxmlformats.org/drawingml/2006/main">
              <a:srgbClr val="C2410C"/>
            </a:solidFill>
            <a:ln xmlns:a="http://schemas.openxmlformats.org/drawingml/2006/main">
              <a:solidFill>
                <a:srgbClr val="C2410C"/>
              </a:solidFill>
              <a:prstDash val="solid"/>
            </a:ln>
          </spPr>
          <cat>
            <numRef>
              <f>'Dashboard'!$B$10:$B$21</f>
            </numRef>
          </cat>
          <val>
            <numRef>
              <f>'Dashboard'!$D$10:$D$21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7201C"/>
                </a:solidFill>
              </a:defRPr>
            </a:pPr>
            <a:r>
              <a:rPr sz="1100" b="1">
                <a:solidFill>
                  <a:srgbClr val="17201C"/>
                </a:solidFill>
              </a:rPr>
              <a:t>Spese per categoria (anno)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'Dashboard'!F35</f>
            </strRef>
          </tx>
          <spPr>
            <a:solidFill xmlns:a="http://schemas.openxmlformats.org/drawingml/2006/main">
              <a:srgbClr val="0F766E"/>
            </a:solidFill>
            <a:ln xmlns:a="http://schemas.openxmlformats.org/drawingml/2006/main">
              <a:solidFill>
                <a:srgbClr val="0F766E"/>
              </a:solidFill>
              <a:prstDash val="solid"/>
            </a:ln>
          </spPr>
          <cat>
            <numRef>
              <f>'Dashboard'!$C$36:$C$45</f>
            </numRef>
          </cat>
          <val>
            <numRef>
              <f>'Dashboard'!$F$36:$F$45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7</row>
      <rowOff>0</rowOff>
    </from>
    <ext cx="432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4320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ttochiaro.com/calcolo-stipendio-netto/" TargetMode="External" Id="rId1"/><Relationship Type="http://schemas.openxmlformats.org/officeDocument/2006/relationships/hyperlink" Target="https://nettochiaro.com/calcolo-rata-mutuo/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B1:C41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12" customWidth="1" min="3" max="3"/>
  </cols>
  <sheetData>
    <row r="1" ht="34" customHeight="1">
      <c r="B1" s="1" t="inlineStr">
        <is>
          <t>Budget familiare 2026</t>
        </is>
      </c>
    </row>
    <row r="2">
      <c r="B2" s="2" t="inlineStr">
        <is>
          <t>Istruzioni d'uso · NettoChiaro · versione 2026.1</t>
        </is>
      </c>
    </row>
    <row r="5" ht="20" customHeight="1">
      <c r="B5" s="3" t="inlineStr">
        <is>
          <t>Legenda</t>
        </is>
      </c>
      <c r="C5" s="4" t="n"/>
    </row>
    <row r="6">
      <c r="B6" s="5" t="n"/>
      <c r="C6" s="6" t="inlineStr">
        <is>
          <t>Celle gialle: da compilare. Tutte le altre contengono formule e si aggiornano da sole.</t>
        </is>
      </c>
    </row>
    <row r="7">
      <c r="B7" s="7" t="inlineStr"/>
      <c r="C7" s="6" t="inlineStr">
        <is>
          <t>Celle arancioni: segnalano un dato da controllare (data mancante, categoria non trovata, nome doppio).</t>
        </is>
      </c>
    </row>
    <row r="8">
      <c r="B8" s="8" t="inlineStr"/>
      <c r="C8" s="6" t="inlineStr">
        <is>
          <t>Intestazioni verdi: titoli delle colonne. I fogli sono protetti senza password per evitare di cancellare le formule.</t>
        </is>
      </c>
    </row>
    <row r="10" ht="20" customHeight="1">
      <c r="B10" s="3" t="inlineStr">
        <is>
          <t>Come iniziare</t>
        </is>
      </c>
      <c r="C10" s="4" t="n"/>
    </row>
    <row r="11" ht="33" customHeight="1">
      <c r="B11" s="9" t="inlineStr">
        <is>
          <t>1.</t>
        </is>
      </c>
      <c r="C11" s="10" t="inlineStr">
        <is>
          <t>Impostazioni: anno, saldo di cassa al 1° gennaio (conto corrente più contanti), nomi dei membri della famiglia (facoltativi) e conti o metodi di pagamento.</t>
        </is>
      </c>
    </row>
    <row r="12" ht="33" customHeight="1">
      <c r="B12" s="9" t="inlineStr">
        <is>
          <t>2.</t>
        </is>
      </c>
      <c r="C12" s="10" t="inlineStr">
        <is>
          <t>Categorie: controlla l'elenco. Puoi rinominare le voci, aggiungerne nelle righe vuote e scegliere il tipo: Entrata, Spesa fissa, Spesa variabile, Risparmio e investimenti.</t>
        </is>
      </c>
    </row>
    <row r="13" ht="33" customHeight="1">
      <c r="B13" s="9" t="inlineStr">
        <is>
          <t>3.</t>
        </is>
      </c>
      <c r="C13" s="10" t="inlineStr">
        <is>
          <t>Budget: scrivi l'importo tipico mensile di ogni categoria; i 12 mesi si compilano da soli. Per le spese che non sono mensili (TARI, bollo auto, assicurazioni) scrivi l'importo nel mese in cui le paghi.</t>
        </is>
      </c>
    </row>
    <row r="14" ht="33" customHeight="1">
      <c r="B14" s="9" t="inlineStr">
        <is>
          <t>4.</t>
        </is>
      </c>
      <c r="C14" s="10" t="inlineStr">
        <is>
          <t>Movimenti: registra ogni entrata e uscita con data, descrizione, categoria scelta dal menu e importo. Conto e persona sono facoltativi.</t>
        </is>
      </c>
    </row>
    <row r="15" ht="33" customHeight="1">
      <c r="B15" s="9" t="inlineStr">
        <is>
          <t>5.</t>
        </is>
      </c>
      <c r="C15" s="10" t="inlineStr">
        <is>
          <t>Mensile e Dashboard: si aggiornano da soli. Mostrano il consuntivo per categoria e per mese, la differenza dal budget, il risparmio e i grafici.</t>
        </is>
      </c>
    </row>
    <row r="16" ht="33" customHeight="1">
      <c r="B16" s="9" t="inlineStr">
        <is>
          <t>6.</t>
        </is>
      </c>
      <c r="C16" s="10" t="inlineStr">
        <is>
          <t>Obiettivi e Debiti: elenca cosa vuoi mettere da parte e i debiti in corso. Il foglio calcola la quota mensile necessaria e l'ordine di estinzione consigliato.</t>
        </is>
      </c>
    </row>
    <row r="18" ht="20" customHeight="1">
      <c r="B18" s="3" t="inlineStr">
        <is>
          <t>Regole utili</t>
        </is>
      </c>
      <c r="C18" s="4" t="n"/>
    </row>
    <row r="19" ht="33" customHeight="1">
      <c r="B19" s="9" t="inlineStr">
        <is>
          <t>•</t>
        </is>
      </c>
      <c r="C19" s="10" t="inlineStr">
        <is>
          <t>Gli importi si scrivono sempre positivi: è la categoria a dire se sono un'entrata o un'uscita. Un rimborso su una spesa si registra con importo negativo nella stessa categoria.</t>
        </is>
      </c>
    </row>
    <row r="20" ht="33" customHeight="1">
      <c r="B20" s="9" t="inlineStr">
        <is>
          <t>•</t>
        </is>
      </c>
      <c r="C20" s="10" t="inlineStr">
        <is>
          <t>I versamenti su conti di risparmio, investimenti o fondo pensione vanno nelle categorie di tipo «Risparmio e investimenti». Non sono spese, ma escono dal saldo di cassa.</t>
        </is>
      </c>
    </row>
    <row r="21" ht="33" customHeight="1">
      <c r="B21" s="9" t="inlineStr">
        <is>
          <t>•</t>
        </is>
      </c>
      <c r="C21" s="10" t="inlineStr">
        <is>
          <t>Risparmio = entrate − spese. Tasso di risparmio = risparmio / entrate. Avanzo = entrate − spese − versamenti a risparmio.</t>
        </is>
      </c>
    </row>
    <row r="22" ht="33" customHeight="1">
      <c r="B22" s="9" t="inlineStr">
        <is>
          <t>•</t>
        </is>
      </c>
      <c r="C22" s="10" t="inlineStr">
        <is>
          <t>Saldo di cassa = saldo al 1° gennaio + entrate − spese − versamenti a risparmio. Se registri tutti i movimenti, si avvicina al totale di conto corrente e contanti (le spese con carta di credito escono dal conto più tardi).</t>
        </is>
      </c>
    </row>
    <row r="23" ht="33" customHeight="1">
      <c r="B23" s="9" t="inlineStr">
        <is>
          <t>•</t>
        </is>
      </c>
      <c r="C23" s="10" t="inlineStr">
        <is>
          <t>Contano solo i movimenti con una data dell'anno impostato. La colonna «Controllo» dei Movimenti segnala date mancanti, categorie non trovate e movimenti di altri anni.</t>
        </is>
      </c>
    </row>
    <row r="24" ht="33" customHeight="1">
      <c r="B24" s="9" t="inlineStr">
        <is>
          <t>•</t>
        </is>
      </c>
      <c r="C24" s="10" t="inlineStr">
        <is>
          <t>Il registro ha 2.000 righe. In Categorie non eliminare le righe: svuota le celle. Se rinomini una categoria già usata, correggi anche i movimenti con il vecchio nome.</t>
        </is>
      </c>
    </row>
    <row r="25" ht="33" customHeight="1">
      <c r="B25" s="9" t="inlineStr">
        <is>
          <t>•</t>
        </is>
      </c>
      <c r="C25" s="10" t="inlineStr">
        <is>
          <t>Mese di riferimento (Impostazioni): «Automatico» usa il mese della data di riferimento (se la data è vuota, quello di oggi). Serve per i confronti «da inizio anno» di Mensile e Dashboard.</t>
        </is>
      </c>
    </row>
    <row r="26" ht="33" customHeight="1">
      <c r="B26" s="9" t="inlineStr">
        <is>
          <t>•</t>
        </is>
      </c>
      <c r="C26" s="10" t="inlineStr">
        <is>
          <t>Per un mese di budget diverso dal solito scrivi il valore nella cella del mese. Per tornare all'importo tipico copia la cella di un mese non modificato.</t>
        </is>
      </c>
    </row>
    <row r="28" ht="20" customHeight="1">
      <c r="B28" s="3" t="inlineStr">
        <is>
          <t>Protezione, stampa e nuovo anno</t>
        </is>
      </c>
      <c r="C28" s="4" t="n"/>
    </row>
    <row r="29" ht="33" customHeight="1">
      <c r="B29" s="9" t="inlineStr">
        <is>
          <t>•</t>
        </is>
      </c>
      <c r="C29" s="10" t="inlineStr">
        <is>
          <t>Per togliere la protezione (non c'è password): Excel, Revisione &gt; Rimuovi protezione foglio; LibreOffice, Strumenti &gt; Proteggi foglio; Google Sheets, Dati &gt; Proteggi fogli e intervalli.</t>
        </is>
      </c>
    </row>
    <row r="30" ht="33" customHeight="1">
      <c r="B30" s="9" t="inlineStr">
        <is>
          <t>•</t>
        </is>
      </c>
      <c r="C30" s="10" t="inlineStr">
        <is>
          <t>Per ordinare i movimenti togli prima la protezione del foglio Movimenti. Per stampare solo una parte del registro seleziona le righe e scegli «Stampa selezione».</t>
        </is>
      </c>
    </row>
    <row r="31" ht="33" customHeight="1">
      <c r="B31" s="9" t="inlineStr">
        <is>
          <t>•</t>
        </is>
      </c>
      <c r="C31" s="10" t="inlineStr">
        <is>
          <t>Nuovo anno: salva una copia del file, cambia l'anno in Impostazioni, scrivi come saldo iniziale il saldo di cassa di fine anno, svuota i movimenti e aggiorna budget, obiettivi e debiti.</t>
        </is>
      </c>
    </row>
    <row r="33" ht="20" customHeight="1">
      <c r="B33" s="3" t="inlineStr">
        <is>
          <t>Compatibilità</t>
        </is>
      </c>
      <c r="C33" s="4" t="n"/>
    </row>
    <row r="34" ht="33" customHeight="1">
      <c r="B34" s="9" t="inlineStr">
        <is>
          <t>•</t>
        </is>
      </c>
      <c r="C34" s="10" t="inlineStr">
        <is>
          <t>Excel 2016 o successivo (Windows e Mac), Google Sheets (carica il file su Google Drive e aprilo con Google Sheets), LibreOffice Calc. Nessuna macro, nessun collegamento esterno.</t>
        </is>
      </c>
    </row>
    <row r="35" ht="33" customHeight="1">
      <c r="B35" s="9" t="inlineStr">
        <is>
          <t>•</t>
        </is>
      </c>
      <c r="C35" s="10" t="inlineStr">
        <is>
          <t>Excel apre i file scaricati da internet in «Visualizzazione protetta», dove i calcoli non si aggiornano: fai clic su «Abilita modifica».</t>
        </is>
      </c>
    </row>
    <row r="36" ht="33" customHeight="1">
      <c r="B36" s="9" t="inlineStr">
        <is>
          <t>•</t>
        </is>
      </c>
      <c r="C36" s="10" t="inlineStr">
        <is>
          <t>In Google Sheets la protezione dei fogli può non restare attiva: scrivi solo nelle celle gialle. I grafici possono avere uno stile leggermente diverso.</t>
        </is>
      </c>
    </row>
    <row r="38" ht="20" customHeight="1">
      <c r="B38" s="3" t="inlineStr">
        <is>
          <t>Avvertenze</t>
        </is>
      </c>
      <c r="C38" s="4" t="n"/>
    </row>
    <row r="39" ht="33" customHeight="1">
      <c r="B39" s="9" t="inlineStr">
        <is>
          <t>•</t>
        </is>
      </c>
      <c r="C39" s="10" t="inlineStr">
        <is>
          <t>Strumento di organizzazione personale: non è consulenza finanziaria né fiscale. Le stime su obiettivi e debiti ipotizzano tassi e rate costanti; controlla sempre i dati del tuo contratto.</t>
        </is>
      </c>
    </row>
    <row r="40" ht="18" customHeight="1">
      <c r="B40" s="9" t="inlineStr">
        <is>
          <t>•</t>
        </is>
      </c>
      <c r="C40" s="11" t="inlineStr">
        <is>
          <t>Calcolo dello stipendio netto: nettochiaro.com/calcolo-stipendio-netto</t>
        </is>
      </c>
    </row>
    <row r="41" ht="18" customHeight="1">
      <c r="B41" s="9" t="inlineStr">
        <is>
          <t>•</t>
        </is>
      </c>
      <c r="C41" s="11" t="inlineStr">
        <is>
          <t>Calcolo della rata del mutuo: nettochiaro.com/calcolo-rata-mutuo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hyperlinks>
    <hyperlink xmlns:r="http://schemas.openxmlformats.org/officeDocument/2006/relationships" ref="C40" r:id="rId1"/>
    <hyperlink xmlns:r="http://schemas.openxmlformats.org/officeDocument/2006/relationships" ref="C41" r:id="rId2"/>
  </hyperlink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E3C766"/>
    <outlinePr summaryBelow="1" summaryRight="1"/>
    <pageSetUpPr fitToPage="1"/>
  </sheetPr>
  <dimension ref="B1:D31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4" customWidth="1" min="3" max="3"/>
    <col width="78" customWidth="1" min="4" max="4"/>
  </cols>
  <sheetData>
    <row r="1" ht="30" customHeight="1">
      <c r="B1" s="12" t="inlineStr">
        <is>
          <t>Impostazioni</t>
        </is>
      </c>
    </row>
    <row r="2">
      <c r="B2" s="2" t="inlineStr">
        <is>
          <t>Compila le celle gialle. Le altre si aggiornano da sole.</t>
        </is>
      </c>
    </row>
    <row r="4" ht="20" customHeight="1">
      <c r="B4" s="13" t="inlineStr">
        <is>
          <t>Anno del budget</t>
        </is>
      </c>
      <c r="C4" s="14" t="n">
        <v>2026</v>
      </c>
      <c r="D4" s="15" t="inlineStr">
        <is>
          <t>Contano solo i movimenti con una data di quest'anno.</t>
        </is>
      </c>
    </row>
    <row r="5" ht="20" customHeight="1">
      <c r="B5" s="13" t="inlineStr">
        <is>
          <t>Saldo di cassa al 1° gennaio</t>
        </is>
      </c>
      <c r="C5" s="16" t="n">
        <v>3200</v>
      </c>
      <c r="D5" s="15" t="inlineStr">
        <is>
          <t>Conto corrente più contanti a inizio anno. Esclude i conti di risparmio e gli investimenti.</t>
        </is>
      </c>
    </row>
    <row r="6" ht="20" customHeight="1">
      <c r="B6" s="13" t="inlineStr">
        <is>
          <t>Nome della famiglia (facoltativo)</t>
        </is>
      </c>
      <c r="C6" s="17" t="inlineStr">
        <is>
          <t>Famiglia Rossi</t>
        </is>
      </c>
      <c r="D6" s="15" t="inlineStr">
        <is>
          <t>Compare nel titolo della Dashboard.</t>
        </is>
      </c>
    </row>
    <row r="7" ht="20" customHeight="1">
      <c r="B7" s="13" t="inlineStr">
        <is>
          <t>Mese di riferimento</t>
        </is>
      </c>
      <c r="C7" s="17" t="inlineStr">
        <is>
          <t>Automatico</t>
        </is>
      </c>
      <c r="D7" s="15" t="inlineStr">
        <is>
          <t>«Automatico» (o vuoto) usa il mese della data di riferimento. Serve per i confronti «da inizio anno».</t>
        </is>
      </c>
    </row>
    <row r="8" ht="20" customHeight="1">
      <c r="B8" s="13" t="inlineStr">
        <is>
          <t>Data di riferimento (facoltativa)</t>
        </is>
      </c>
      <c r="C8" s="18" t="n">
        <v>46387</v>
      </c>
      <c r="D8" s="15" t="inlineStr">
        <is>
          <t>Lascia vuoto per usare la data di oggi. Serve per obiettivi, debiti e mese automatico.</t>
        </is>
      </c>
    </row>
    <row r="10">
      <c r="B10" s="3" t="inlineStr">
        <is>
          <t>Valori usati dal foglio (calcolati, non modificare)</t>
        </is>
      </c>
      <c r="C10" s="4" t="n"/>
      <c r="D10" s="4" t="n"/>
    </row>
    <row r="11" ht="18" customHeight="1">
      <c r="B11" s="19" t="inlineStr">
        <is>
          <t>Data di riferimento usata</t>
        </is>
      </c>
      <c r="C11" s="20">
        <f>IF(C8="",TODAY(),C8)</f>
        <v/>
      </c>
    </row>
    <row r="12" ht="18" customHeight="1">
      <c r="B12" s="19" t="inlineStr">
        <is>
          <t>Mese di riferimento usato (numero)</t>
        </is>
      </c>
      <c r="C12" s="21">
        <f>IF(OR(C7="",C7="Automatico"),IF(YEAR(C11)=C4,MONTH(C11),IF(YEAR(C11)&gt;C4,12,1)),IFERROR(MATCH(C7,Elenchi!$A$2:$A$13,0),12))</f>
        <v/>
      </c>
    </row>
    <row r="13" ht="18" customHeight="1">
      <c r="B13" s="19" t="inlineStr">
        <is>
          <t>Mese di riferimento usato (nome)</t>
        </is>
      </c>
      <c r="C13" s="22">
        <f>INDEX(Elenchi!$A$2:$A$13,C12)</f>
        <v/>
      </c>
    </row>
    <row r="15">
      <c r="B15" s="3" t="inlineStr">
        <is>
          <t>Membri della famiglia (facoltativo)</t>
        </is>
      </c>
      <c r="C15" s="4" t="n"/>
      <c r="D15" s="23" t="inlineStr">
        <is>
          <t>Per la colonna «Chi» dei Movimenti e il riepilogo per persona in Dashboard.</t>
        </is>
      </c>
    </row>
    <row r="16">
      <c r="B16" s="19" t="inlineStr">
        <is>
          <t>Membro 1</t>
        </is>
      </c>
      <c r="C16" s="17" t="inlineStr">
        <is>
          <t>Marco</t>
        </is>
      </c>
    </row>
    <row r="17">
      <c r="B17" s="19" t="inlineStr">
        <is>
          <t>Membro 2</t>
        </is>
      </c>
      <c r="C17" s="17" t="inlineStr">
        <is>
          <t>Giulia</t>
        </is>
      </c>
    </row>
    <row r="18">
      <c r="B18" s="19" t="inlineStr">
        <is>
          <t>Membro 3</t>
        </is>
      </c>
      <c r="C18" s="17" t="inlineStr">
        <is>
          <t>Sofia</t>
        </is>
      </c>
    </row>
    <row r="19">
      <c r="B19" s="19" t="inlineStr">
        <is>
          <t>Membro 4</t>
        </is>
      </c>
      <c r="C19" s="17" t="n"/>
    </row>
    <row r="20">
      <c r="B20" s="19" t="inlineStr">
        <is>
          <t>Membro 5</t>
        </is>
      </c>
      <c r="C20" s="17" t="n"/>
    </row>
    <row r="21">
      <c r="B21" s="19" t="inlineStr">
        <is>
          <t>Membro 6</t>
        </is>
      </c>
      <c r="C21" s="17" t="n"/>
    </row>
    <row r="23">
      <c r="B23" s="3" t="inlineStr">
        <is>
          <t>Conti e metodi di pagamento</t>
        </is>
      </c>
      <c r="C23" s="4" t="n"/>
      <c r="D23" s="23" t="inlineStr">
        <is>
          <t>Per la colonna «Conto o metodo» dei Movimenti. Puoi rinominarli.</t>
        </is>
      </c>
    </row>
    <row r="24">
      <c r="B24" s="19" t="inlineStr">
        <is>
          <t>Conto 1</t>
        </is>
      </c>
      <c r="C24" s="17" t="inlineStr">
        <is>
          <t>Conto corrente</t>
        </is>
      </c>
    </row>
    <row r="25">
      <c r="B25" s="19" t="inlineStr">
        <is>
          <t>Conto 2</t>
        </is>
      </c>
      <c r="C25" s="17" t="inlineStr">
        <is>
          <t>Carta di debito</t>
        </is>
      </c>
    </row>
    <row r="26">
      <c r="B26" s="19" t="inlineStr">
        <is>
          <t>Conto 3</t>
        </is>
      </c>
      <c r="C26" s="17" t="inlineStr">
        <is>
          <t>Carta di credito</t>
        </is>
      </c>
    </row>
    <row r="27">
      <c r="B27" s="19" t="inlineStr">
        <is>
          <t>Conto 4</t>
        </is>
      </c>
      <c r="C27" s="17" t="inlineStr">
        <is>
          <t>Contanti</t>
        </is>
      </c>
    </row>
    <row r="28">
      <c r="B28" s="19" t="inlineStr">
        <is>
          <t>Conto 5</t>
        </is>
      </c>
      <c r="C28" s="17" t="inlineStr">
        <is>
          <t>Carta prepagata</t>
        </is>
      </c>
    </row>
    <row r="29">
      <c r="B29" s="19" t="inlineStr">
        <is>
          <t>Conto 6</t>
        </is>
      </c>
      <c r="C29" s="17" t="n"/>
    </row>
    <row r="30">
      <c r="B30" s="19" t="inlineStr">
        <is>
          <t>Conto 7</t>
        </is>
      </c>
      <c r="C30" s="17" t="n"/>
    </row>
    <row r="31">
      <c r="B31" s="19" t="inlineStr">
        <is>
          <t>Conto 8</t>
        </is>
      </c>
      <c r="C31" s="1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4">
    <dataValidation sqref="C4" showDropDown="0" showInputMessage="0" showErrorMessage="1" allowBlank="1" errorTitle="Valore non valido" error="Inserisci un anno, ad esempio 2026." type="decimal" operator="between">
      <formula1>2000</formula1>
      <formula2>2099</formula2>
    </dataValidation>
    <dataValidation sqref="C5" showDropDown="0" showInputMessage="0" showErrorMessage="1" allowBlank="1" errorTitle="Valore non valido" error="Inserisci un numero (es. 125,50)." type="decimal" operator="between">
      <formula1>-100000000</formula1>
      <formula2>100000000</formula2>
    </dataValidation>
    <dataValidation sqref="C7" showDropDown="0" showInputMessage="0" showErrorMessage="1" allowBlank="1" errorTitle="Mese non valido" error="Scegli «Automatico» o un mese dal menu." type="list">
      <formula1>Elenchi!$D$2:$D$14</formula1>
    </dataValidation>
    <dataValidation sqref="C8" showDropDown="0" showInputMessage="0" showErrorMessage="1" allowBlank="1" errorTitle="Data non valida" error="Inserisci una data nel formato gg/mm/aaaa." type="date" operator="between">
      <formula1>36526</formula1>
      <formula2>73050</formula2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E3C766"/>
    <outlinePr summaryBelow="1" summaryRight="1"/>
    <pageSetUpPr fitToPage="1"/>
  </sheetPr>
  <dimension ref="A1:D65"/>
  <sheetViews>
    <sheetView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70" customWidth="1" min="3" max="3"/>
    <col width="24" customWidth="1" min="4" max="4"/>
  </cols>
  <sheetData>
    <row r="1" ht="30" customHeight="1">
      <c r="A1" s="12" t="inlineStr">
        <is>
          <t>Categorie</t>
        </is>
      </c>
    </row>
    <row r="2">
      <c r="A2" s="2" t="inlineStr">
        <is>
          <t>Rinomina, aggiungi o svuota le categorie. Non eliminare le righe: per togliere una categoria cancella nome e tipo.</t>
        </is>
      </c>
    </row>
    <row r="3">
      <c r="A3" s="2" t="inlineStr">
        <is>
          <t>Se rinomini una categoria già usata, correggi anche i movimenti: il registro segnala «Categoria non trovata».</t>
        </is>
      </c>
    </row>
    <row r="4">
      <c r="A4" s="2" t="inlineStr">
        <is>
          <t>Nei nomi non usare i simboli * ? ~ e non iniziare con &lt; &gt; =.</t>
        </is>
      </c>
    </row>
    <row r="5" ht="22" customHeight="1">
      <c r="A5" s="24" t="inlineStr">
        <is>
          <t>Categoria</t>
        </is>
      </c>
      <c r="B5" s="24" t="inlineStr">
        <is>
          <t>Tipo</t>
        </is>
      </c>
      <c r="C5" s="24" t="inlineStr">
        <is>
          <t>Note</t>
        </is>
      </c>
      <c r="D5" s="24" t="inlineStr">
        <is>
          <t>Controllo</t>
        </is>
      </c>
    </row>
    <row r="6">
      <c r="A6" s="17" t="inlineStr">
        <is>
          <t>Stipendio Marco</t>
        </is>
      </c>
      <c r="B6" s="17" t="inlineStr">
        <is>
          <t>Entrata</t>
        </is>
      </c>
      <c r="C6" s="17" t="inlineStr">
        <is>
          <t>Stipendio netto.</t>
        </is>
      </c>
      <c r="D6" s="25">
        <f>IF(AND(A6="",B6=""),"",IF(A6="","Manca il nome",IF(OR(ISNUMBER(FIND("*",A6)),ISNUMBER(FIND("?",A6)),ISNUMBER(FIND("~",A6)),ISNUMBER(FIND(LEFT(A6,1),"&lt;&gt;="))),"Simbolo non ammesso",IF(COUNTIF($A$6:$A$65,A6)&gt;1,"Nome doppio",IF(B6="","Manca il tipo","")))))</f>
        <v/>
      </c>
    </row>
    <row r="7">
      <c r="A7" s="17" t="inlineStr">
        <is>
          <t>Stipendio Giulia</t>
        </is>
      </c>
      <c r="B7" s="17" t="inlineStr">
        <is>
          <t>Entrata</t>
        </is>
      </c>
      <c r="C7" s="17" t="inlineStr">
        <is>
          <t>Stipendio netto.</t>
        </is>
      </c>
      <c r="D7" s="25">
        <f>IF(AND(A7="",B7=""),"",IF(A7="","Manca il nome",IF(OR(ISNUMBER(FIND("*",A7)),ISNUMBER(FIND("?",A7)),ISNUMBER(FIND("~",A7)),ISNUMBER(FIND(LEFT(A7,1),"&lt;&gt;="))),"Simbolo non ammesso",IF(COUNTIF($A$6:$A$65,A7)&gt;1,"Nome doppio",IF(B7="","Manca il tipo","")))))</f>
        <v/>
      </c>
    </row>
    <row r="8">
      <c r="A8" s="17" t="inlineStr">
        <is>
          <t>Tredicesima e quattordicesima</t>
        </is>
      </c>
      <c r="B8" s="17" t="inlineStr">
        <is>
          <t>Entrata</t>
        </is>
      </c>
      <c r="C8" s="17" t="inlineStr">
        <is>
          <t>Mensilità aggiuntive.</t>
        </is>
      </c>
      <c r="D8" s="25">
        <f>IF(AND(A8="",B8=""),"",IF(A8="","Manca il nome",IF(OR(ISNUMBER(FIND("*",A8)),ISNUMBER(FIND("?",A8)),ISNUMBER(FIND("~",A8)),ISNUMBER(FIND(LEFT(A8,1),"&lt;&gt;="))),"Simbolo non ammesso",IF(COUNTIF($A$6:$A$65,A8)&gt;1,"Nome doppio",IF(B8="","Manca il tipo","")))))</f>
        <v/>
      </c>
    </row>
    <row r="9">
      <c r="A9" s="17" t="inlineStr">
        <is>
          <t>Assegno unico figli</t>
        </is>
      </c>
      <c r="B9" s="17" t="inlineStr">
        <is>
          <t>Entrata</t>
        </is>
      </c>
      <c r="C9" s="17" t="inlineStr">
        <is>
          <t>Assegno unico e universale INPS.</t>
        </is>
      </c>
      <c r="D9" s="25">
        <f>IF(AND(A9="",B9=""),"",IF(A9="","Manca il nome",IF(OR(ISNUMBER(FIND("*",A9)),ISNUMBER(FIND("?",A9)),ISNUMBER(FIND("~",A9)),ISNUMBER(FIND(LEFT(A9,1),"&lt;&gt;="))),"Simbolo non ammesso",IF(COUNTIF($A$6:$A$65,A9)&gt;1,"Nome doppio",IF(B9="","Manca il tipo","")))))</f>
        <v/>
      </c>
    </row>
    <row r="10">
      <c r="A10" s="17" t="inlineStr">
        <is>
          <t>Entrate extra</t>
        </is>
      </c>
      <c r="B10" s="17" t="inlineStr">
        <is>
          <t>Entrata</t>
        </is>
      </c>
      <c r="C10" s="17" t="inlineStr">
        <is>
          <t>Lavori occasionali, vendita di oggetti usati.</t>
        </is>
      </c>
      <c r="D10" s="25">
        <f>IF(AND(A10="",B10=""),"",IF(A10="","Manca il nome",IF(OR(ISNUMBER(FIND("*",A10)),ISNUMBER(FIND("?",A10)),ISNUMBER(FIND("~",A10)),ISNUMBER(FIND(LEFT(A10,1),"&lt;&gt;="))),"Simbolo non ammesso",IF(COUNTIF($A$6:$A$65,A10)&gt;1,"Nome doppio",IF(B10="","Manca il tipo","")))))</f>
        <v/>
      </c>
    </row>
    <row r="11">
      <c r="A11" s="17" t="inlineStr">
        <is>
          <t>Rimborsi e altre entrate</t>
        </is>
      </c>
      <c r="B11" s="17" t="inlineStr">
        <is>
          <t>Entrata</t>
        </is>
      </c>
      <c r="C11" s="17" t="inlineStr">
        <is>
          <t>Rimborso del 730, rimborsi spese, regali in denaro.</t>
        </is>
      </c>
      <c r="D11" s="25">
        <f>IF(AND(A11="",B11=""),"",IF(A11="","Manca il nome",IF(OR(ISNUMBER(FIND("*",A11)),ISNUMBER(FIND("?",A11)),ISNUMBER(FIND("~",A11)),ISNUMBER(FIND(LEFT(A11,1),"&lt;&gt;="))),"Simbolo non ammesso",IF(COUNTIF($A$6:$A$65,A11)&gt;1,"Nome doppio",IF(B11="","Manca il tipo","")))))</f>
        <v/>
      </c>
    </row>
    <row r="12">
      <c r="A12" s="17" t="inlineStr">
        <is>
          <t>Affitto o rata mutuo</t>
        </is>
      </c>
      <c r="B12" s="17" t="inlineStr">
        <is>
          <t>Spesa fissa</t>
        </is>
      </c>
      <c r="C12" s="17" t="inlineStr">
        <is>
          <t>Per stimare la rata del mutuo: nettochiaro.com/calcolo-rata-mutuo</t>
        </is>
      </c>
      <c r="D12" s="25">
        <f>IF(AND(A12="",B12=""),"",IF(A12="","Manca il nome",IF(OR(ISNUMBER(FIND("*",A12)),ISNUMBER(FIND("?",A12)),ISNUMBER(FIND("~",A12)),ISNUMBER(FIND(LEFT(A12,1),"&lt;&gt;="))),"Simbolo non ammesso",IF(COUNTIF($A$6:$A$65,A12)&gt;1,"Nome doppio",IF(B12="","Manca il tipo","")))))</f>
        <v/>
      </c>
    </row>
    <row r="13">
      <c r="A13" s="17" t="inlineStr">
        <is>
          <t>Condominio</t>
        </is>
      </c>
      <c r="B13" s="17" t="inlineStr">
        <is>
          <t>Spesa fissa</t>
        </is>
      </c>
      <c r="C13" s="17" t="n"/>
      <c r="D13" s="25">
        <f>IF(AND(A13="",B13=""),"",IF(A13="","Manca il nome",IF(OR(ISNUMBER(FIND("*",A13)),ISNUMBER(FIND("?",A13)),ISNUMBER(FIND("~",A13)),ISNUMBER(FIND(LEFT(A13,1),"&lt;&gt;="))),"Simbolo non ammesso",IF(COUNTIF($A$6:$A$65,A13)&gt;1,"Nome doppio",IF(B13="","Manca il tipo","")))))</f>
        <v/>
      </c>
    </row>
    <row r="14">
      <c r="A14" s="17" t="inlineStr">
        <is>
          <t>Luce</t>
        </is>
      </c>
      <c r="B14" s="17" t="inlineStr">
        <is>
          <t>Spesa fissa</t>
        </is>
      </c>
      <c r="C14" s="17" t="n"/>
      <c r="D14" s="25">
        <f>IF(AND(A14="",B14=""),"",IF(A14="","Manca il nome",IF(OR(ISNUMBER(FIND("*",A14)),ISNUMBER(FIND("?",A14)),ISNUMBER(FIND("~",A14)),ISNUMBER(FIND(LEFT(A14,1),"&lt;&gt;="))),"Simbolo non ammesso",IF(COUNTIF($A$6:$A$65,A14)&gt;1,"Nome doppio",IF(B14="","Manca il tipo","")))))</f>
        <v/>
      </c>
    </row>
    <row r="15">
      <c r="A15" s="17" t="inlineStr">
        <is>
          <t>Gas</t>
        </is>
      </c>
      <c r="B15" s="17" t="inlineStr">
        <is>
          <t>Spesa fissa</t>
        </is>
      </c>
      <c r="C15" s="17" t="n"/>
      <c r="D15" s="25">
        <f>IF(AND(A15="",B15=""),"",IF(A15="","Manca il nome",IF(OR(ISNUMBER(FIND("*",A15)),ISNUMBER(FIND("?",A15)),ISNUMBER(FIND("~",A15)),ISNUMBER(FIND(LEFT(A15,1),"&lt;&gt;="))),"Simbolo non ammesso",IF(COUNTIF($A$6:$A$65,A15)&gt;1,"Nome doppio",IF(B15="","Manca il tipo","")))))</f>
        <v/>
      </c>
    </row>
    <row r="16">
      <c r="A16" s="17" t="inlineStr">
        <is>
          <t>Acqua</t>
        </is>
      </c>
      <c r="B16" s="17" t="inlineStr">
        <is>
          <t>Spesa fissa</t>
        </is>
      </c>
      <c r="C16" s="17" t="n"/>
      <c r="D16" s="25">
        <f>IF(AND(A16="",B16=""),"",IF(A16="","Manca il nome",IF(OR(ISNUMBER(FIND("*",A16)),ISNUMBER(FIND("?",A16)),ISNUMBER(FIND("~",A16)),ISNUMBER(FIND(LEFT(A16,1),"&lt;&gt;="))),"Simbolo non ammesso",IF(COUNTIF($A$6:$A$65,A16)&gt;1,"Nome doppio",IF(B16="","Manca il tipo","")))))</f>
        <v/>
      </c>
    </row>
    <row r="17">
      <c r="A17" s="17" t="inlineStr">
        <is>
          <t>TARI</t>
        </is>
      </c>
      <c r="B17" s="17" t="inlineStr">
        <is>
          <t>Spesa fissa</t>
        </is>
      </c>
      <c r="C17" s="17" t="inlineStr">
        <is>
          <t>Tassa sui rifiuti del Comune.</t>
        </is>
      </c>
      <c r="D17" s="25">
        <f>IF(AND(A17="",B17=""),"",IF(A17="","Manca il nome",IF(OR(ISNUMBER(FIND("*",A17)),ISNUMBER(FIND("?",A17)),ISNUMBER(FIND("~",A17)),ISNUMBER(FIND(LEFT(A17,1),"&lt;&gt;="))),"Simbolo non ammesso",IF(COUNTIF($A$6:$A$65,A17)&gt;1,"Nome doppio",IF(B17="","Manca il tipo","")))))</f>
        <v/>
      </c>
    </row>
    <row r="18">
      <c r="A18" s="17" t="inlineStr">
        <is>
          <t>Internet e telefono</t>
        </is>
      </c>
      <c r="B18" s="17" t="inlineStr">
        <is>
          <t>Spesa fissa</t>
        </is>
      </c>
      <c r="C18" s="17" t="n"/>
      <c r="D18" s="25">
        <f>IF(AND(A18="",B18=""),"",IF(A18="","Manca il nome",IF(OR(ISNUMBER(FIND("*",A18)),ISNUMBER(FIND("?",A18)),ISNUMBER(FIND("~",A18)),ISNUMBER(FIND(LEFT(A18,1),"&lt;&gt;="))),"Simbolo non ammesso",IF(COUNTIF($A$6:$A$65,A18)&gt;1,"Nome doppio",IF(B18="","Manca il tipo","")))))</f>
        <v/>
      </c>
    </row>
    <row r="19">
      <c r="A19" s="17" t="inlineStr">
        <is>
          <t>Assicurazioni</t>
        </is>
      </c>
      <c r="B19" s="17" t="inlineStr">
        <is>
          <t>Spesa fissa</t>
        </is>
      </c>
      <c r="C19" s="17" t="inlineStr">
        <is>
          <t>Auto, casa, salute, vita.</t>
        </is>
      </c>
      <c r="D19" s="25">
        <f>IF(AND(A19="",B19=""),"",IF(A19="","Manca il nome",IF(OR(ISNUMBER(FIND("*",A19)),ISNUMBER(FIND("?",A19)),ISNUMBER(FIND("~",A19)),ISNUMBER(FIND(LEFT(A19,1),"&lt;&gt;="))),"Simbolo non ammesso",IF(COUNTIF($A$6:$A$65,A19)&gt;1,"Nome doppio",IF(B19="","Manca il tipo","")))))</f>
        <v/>
      </c>
    </row>
    <row r="20">
      <c r="A20" s="17" t="inlineStr">
        <is>
          <t>Bollo auto</t>
        </is>
      </c>
      <c r="B20" s="17" t="inlineStr">
        <is>
          <t>Spesa fissa</t>
        </is>
      </c>
      <c r="C20" s="17" t="inlineStr">
        <is>
          <t>Tassa automobilistica regionale.</t>
        </is>
      </c>
      <c r="D20" s="25">
        <f>IF(AND(A20="",B20=""),"",IF(A20="","Manca il nome",IF(OR(ISNUMBER(FIND("*",A20)),ISNUMBER(FIND("?",A20)),ISNUMBER(FIND("~",A20)),ISNUMBER(FIND(LEFT(A20,1),"&lt;&gt;="))),"Simbolo non ammesso",IF(COUNTIF($A$6:$A$65,A20)&gt;1,"Nome doppio",IF(B20="","Manca il tipo","")))))</f>
        <v/>
      </c>
    </row>
    <row r="21">
      <c r="A21" s="17" t="inlineStr">
        <is>
          <t>Abbonamenti</t>
        </is>
      </c>
      <c r="B21" s="17" t="inlineStr">
        <is>
          <t>Spesa fissa</t>
        </is>
      </c>
      <c r="C21" s="17" t="inlineStr">
        <is>
          <t>Streaming, palestra, quotidiani, app.</t>
        </is>
      </c>
      <c r="D21" s="25">
        <f>IF(AND(A21="",B21=""),"",IF(A21="","Manca il nome",IF(OR(ISNUMBER(FIND("*",A21)),ISNUMBER(FIND("?",A21)),ISNUMBER(FIND("~",A21)),ISNUMBER(FIND(LEFT(A21,1),"&lt;&gt;="))),"Simbolo non ammesso",IF(COUNTIF($A$6:$A$65,A21)&gt;1,"Nome doppio",IF(B21="","Manca il tipo","")))))</f>
        <v/>
      </c>
    </row>
    <row r="22">
      <c r="A22" s="17" t="inlineStr">
        <is>
          <t>Rate di prestiti</t>
        </is>
      </c>
      <c r="B22" s="17" t="inlineStr">
        <is>
          <t>Spesa fissa</t>
        </is>
      </c>
      <c r="C22" s="17" t="inlineStr">
        <is>
          <t>Prestiti personali, auto, acquisti a rate. Dettaglio nel foglio Debiti.</t>
        </is>
      </c>
      <c r="D22" s="25">
        <f>IF(AND(A22="",B22=""),"",IF(A22="","Manca il nome",IF(OR(ISNUMBER(FIND("*",A22)),ISNUMBER(FIND("?",A22)),ISNUMBER(FIND("~",A22)),ISNUMBER(FIND(LEFT(A22,1),"&lt;&gt;="))),"Simbolo non ammesso",IF(COUNTIF($A$6:$A$65,A22)&gt;1,"Nome doppio",IF(B22="","Manca il tipo","")))))</f>
        <v/>
      </c>
    </row>
    <row r="23">
      <c r="A23" s="17" t="inlineStr">
        <is>
          <t>Spesa alimentare</t>
        </is>
      </c>
      <c r="B23" s="17" t="inlineStr">
        <is>
          <t>Spesa variabile</t>
        </is>
      </c>
      <c r="C23" s="17" t="inlineStr">
        <is>
          <t>Supermercato, mercato, prodotti per la casa.</t>
        </is>
      </c>
      <c r="D23" s="25">
        <f>IF(AND(A23="",B23=""),"",IF(A23="","Manca il nome",IF(OR(ISNUMBER(FIND("*",A23)),ISNUMBER(FIND("?",A23)),ISNUMBER(FIND("~",A23)),ISNUMBER(FIND(LEFT(A23,1),"&lt;&gt;="))),"Simbolo non ammesso",IF(COUNTIF($A$6:$A$65,A23)&gt;1,"Nome doppio",IF(B23="","Manca il tipo","")))))</f>
        <v/>
      </c>
    </row>
    <row r="24">
      <c r="A24" s="17" t="inlineStr">
        <is>
          <t>Carburante</t>
        </is>
      </c>
      <c r="B24" s="17" t="inlineStr">
        <is>
          <t>Spesa variabile</t>
        </is>
      </c>
      <c r="C24" s="17" t="n"/>
      <c r="D24" s="25">
        <f>IF(AND(A24="",B24=""),"",IF(A24="","Manca il nome",IF(OR(ISNUMBER(FIND("*",A24)),ISNUMBER(FIND("?",A24)),ISNUMBER(FIND("~",A24)),ISNUMBER(FIND(LEFT(A24,1),"&lt;&gt;="))),"Simbolo non ammesso",IF(COUNTIF($A$6:$A$65,A24)&gt;1,"Nome doppio",IF(B24="","Manca il tipo","")))))</f>
        <v/>
      </c>
    </row>
    <row r="25">
      <c r="A25" s="17" t="inlineStr">
        <is>
          <t>Trasporti</t>
        </is>
      </c>
      <c r="B25" s="17" t="inlineStr">
        <is>
          <t>Spesa variabile</t>
        </is>
      </c>
      <c r="C25" s="17" t="inlineStr">
        <is>
          <t>Mezzi pubblici, treni, parcheggi, pedaggi.</t>
        </is>
      </c>
      <c r="D25" s="25">
        <f>IF(AND(A25="",B25=""),"",IF(A25="","Manca il nome",IF(OR(ISNUMBER(FIND("*",A25)),ISNUMBER(FIND("?",A25)),ISNUMBER(FIND("~",A25)),ISNUMBER(FIND(LEFT(A25,1),"&lt;&gt;="))),"Simbolo non ammesso",IF(COUNTIF($A$6:$A$65,A25)&gt;1,"Nome doppio",IF(B25="","Manca il tipo","")))))</f>
        <v/>
      </c>
    </row>
    <row r="26">
      <c r="A26" s="17" t="inlineStr">
        <is>
          <t>Farmacia e salute</t>
        </is>
      </c>
      <c r="B26" s="17" t="inlineStr">
        <is>
          <t>Spesa variabile</t>
        </is>
      </c>
      <c r="C26" s="17" t="inlineStr">
        <is>
          <t>Farmaci, visite, ticket, dentista.</t>
        </is>
      </c>
      <c r="D26" s="25">
        <f>IF(AND(A26="",B26=""),"",IF(A26="","Manca il nome",IF(OR(ISNUMBER(FIND("*",A26)),ISNUMBER(FIND("?",A26)),ISNUMBER(FIND("~",A26)),ISNUMBER(FIND(LEFT(A26,1),"&lt;&gt;="))),"Simbolo non ammesso",IF(COUNTIF($A$6:$A$65,A26)&gt;1,"Nome doppio",IF(B26="","Manca il tipo","")))))</f>
        <v/>
      </c>
    </row>
    <row r="27">
      <c r="A27" s="17" t="inlineStr">
        <is>
          <t>Scuola e figli</t>
        </is>
      </c>
      <c r="B27" s="17" t="inlineStr">
        <is>
          <t>Spesa variabile</t>
        </is>
      </c>
      <c r="C27" s="17" t="inlineStr">
        <is>
          <t>Mensa, libri, gite, sport, centri estivi.</t>
        </is>
      </c>
      <c r="D27" s="25">
        <f>IF(AND(A27="",B27=""),"",IF(A27="","Manca il nome",IF(OR(ISNUMBER(FIND("*",A27)),ISNUMBER(FIND("?",A27)),ISNUMBER(FIND("~",A27)),ISNUMBER(FIND(LEFT(A27,1),"&lt;&gt;="))),"Simbolo non ammesso",IF(COUNTIF($A$6:$A$65,A27)&gt;1,"Nome doppio",IF(B27="","Manca il tipo","")))))</f>
        <v/>
      </c>
    </row>
    <row r="28">
      <c r="A28" s="17" t="inlineStr">
        <is>
          <t>Casa e manutenzione</t>
        </is>
      </c>
      <c r="B28" s="17" t="inlineStr">
        <is>
          <t>Spesa variabile</t>
        </is>
      </c>
      <c r="C28" s="17" t="inlineStr">
        <is>
          <t>Piccoli lavori, arredi, elettrodomestici.</t>
        </is>
      </c>
      <c r="D28" s="25">
        <f>IF(AND(A28="",B28=""),"",IF(A28="","Manca il nome",IF(OR(ISNUMBER(FIND("*",A28)),ISNUMBER(FIND("?",A28)),ISNUMBER(FIND("~",A28)),ISNUMBER(FIND(LEFT(A28,1),"&lt;&gt;="))),"Simbolo non ammesso",IF(COUNTIF($A$6:$A$65,A28)&gt;1,"Nome doppio",IF(B28="","Manca il tipo","")))))</f>
        <v/>
      </c>
    </row>
    <row r="29">
      <c r="A29" s="17" t="inlineStr">
        <is>
          <t>Abbigliamento</t>
        </is>
      </c>
      <c r="B29" s="17" t="inlineStr">
        <is>
          <t>Spesa variabile</t>
        </is>
      </c>
      <c r="C29" s="17" t="n"/>
      <c r="D29" s="25">
        <f>IF(AND(A29="",B29=""),"",IF(A29="","Manca il nome",IF(OR(ISNUMBER(FIND("*",A29)),ISNUMBER(FIND("?",A29)),ISNUMBER(FIND("~",A29)),ISNUMBER(FIND(LEFT(A29,1),"&lt;&gt;="))),"Simbolo non ammesso",IF(COUNTIF($A$6:$A$65,A29)&gt;1,"Nome doppio",IF(B29="","Manca il tipo","")))))</f>
        <v/>
      </c>
    </row>
    <row r="30">
      <c r="A30" s="17" t="inlineStr">
        <is>
          <t>Svago</t>
        </is>
      </c>
      <c r="B30" s="17" t="inlineStr">
        <is>
          <t>Spesa variabile</t>
        </is>
      </c>
      <c r="C30" s="17" t="inlineStr">
        <is>
          <t>Ristoranti, bar, cinema, hobby.</t>
        </is>
      </c>
      <c r="D30" s="25">
        <f>IF(AND(A30="",B30=""),"",IF(A30="","Manca il nome",IF(OR(ISNUMBER(FIND("*",A30)),ISNUMBER(FIND("?",A30)),ISNUMBER(FIND("~",A30)),ISNUMBER(FIND(LEFT(A30,1),"&lt;&gt;="))),"Simbolo non ammesso",IF(COUNTIF($A$6:$A$65,A30)&gt;1,"Nome doppio",IF(B30="","Manca il tipo","")))))</f>
        <v/>
      </c>
    </row>
    <row r="31">
      <c r="A31" s="17" t="inlineStr">
        <is>
          <t>Regali</t>
        </is>
      </c>
      <c r="B31" s="17" t="inlineStr">
        <is>
          <t>Spesa variabile</t>
        </is>
      </c>
      <c r="C31" s="17" t="n"/>
      <c r="D31" s="25">
        <f>IF(AND(A31="",B31=""),"",IF(A31="","Manca il nome",IF(OR(ISNUMBER(FIND("*",A31)),ISNUMBER(FIND("?",A31)),ISNUMBER(FIND("~",A31)),ISNUMBER(FIND(LEFT(A31,1),"&lt;&gt;="))),"Simbolo non ammesso",IF(COUNTIF($A$6:$A$65,A31)&gt;1,"Nome doppio",IF(B31="","Manca il tipo","")))))</f>
        <v/>
      </c>
    </row>
    <row r="32">
      <c r="A32" s="17" t="inlineStr">
        <is>
          <t>Vacanze</t>
        </is>
      </c>
      <c r="B32" s="17" t="inlineStr">
        <is>
          <t>Spesa variabile</t>
        </is>
      </c>
      <c r="C32" s="17" t="n"/>
      <c r="D32" s="25">
        <f>IF(AND(A32="",B32=""),"",IF(A32="","Manca il nome",IF(OR(ISNUMBER(FIND("*",A32)),ISNUMBER(FIND("?",A32)),ISNUMBER(FIND("~",A32)),ISNUMBER(FIND(LEFT(A32,1),"&lt;&gt;="))),"Simbolo non ammesso",IF(COUNTIF($A$6:$A$65,A32)&gt;1,"Nome doppio",IF(B32="","Manca il tipo","")))))</f>
        <v/>
      </c>
    </row>
    <row r="33">
      <c r="A33" s="17" t="inlineStr">
        <is>
          <t>Imprevisti</t>
        </is>
      </c>
      <c r="B33" s="17" t="inlineStr">
        <is>
          <t>Spesa variabile</t>
        </is>
      </c>
      <c r="C33" s="17" t="inlineStr">
        <is>
          <t>Riparazioni e spese non previste.</t>
        </is>
      </c>
      <c r="D33" s="25">
        <f>IF(AND(A33="",B33=""),"",IF(A33="","Manca il nome",IF(OR(ISNUMBER(FIND("*",A33)),ISNUMBER(FIND("?",A33)),ISNUMBER(FIND("~",A33)),ISNUMBER(FIND(LEFT(A33,1),"&lt;&gt;="))),"Simbolo non ammesso",IF(COUNTIF($A$6:$A$65,A33)&gt;1,"Nome doppio",IF(B33="","Manca il tipo","")))))</f>
        <v/>
      </c>
    </row>
    <row r="34">
      <c r="A34" s="17" t="inlineStr">
        <is>
          <t>Fondo emergenze</t>
        </is>
      </c>
      <c r="B34" s="17" t="inlineStr">
        <is>
          <t>Risparmio e investimenti</t>
        </is>
      </c>
      <c r="C34" s="17" t="inlineStr">
        <is>
          <t>Versamenti sul conto di riserva.</t>
        </is>
      </c>
      <c r="D34" s="25">
        <f>IF(AND(A34="",B34=""),"",IF(A34="","Manca il nome",IF(OR(ISNUMBER(FIND("*",A34)),ISNUMBER(FIND("?",A34)),ISNUMBER(FIND("~",A34)),ISNUMBER(FIND(LEFT(A34,1),"&lt;&gt;="))),"Simbolo non ammesso",IF(COUNTIF($A$6:$A$65,A34)&gt;1,"Nome doppio",IF(B34="","Manca il tipo","")))))</f>
        <v/>
      </c>
    </row>
    <row r="35">
      <c r="A35" s="17" t="inlineStr">
        <is>
          <t>Obiettivi di risparmio</t>
        </is>
      </c>
      <c r="B35" s="17" t="inlineStr">
        <is>
          <t>Risparmio e investimenti</t>
        </is>
      </c>
      <c r="C35" s="17" t="inlineStr">
        <is>
          <t>Versamenti per gli obiettivi del foglio Obiettivi.</t>
        </is>
      </c>
      <c r="D35" s="25">
        <f>IF(AND(A35="",B35=""),"",IF(A35="","Manca il nome",IF(OR(ISNUMBER(FIND("*",A35)),ISNUMBER(FIND("?",A35)),ISNUMBER(FIND("~",A35)),ISNUMBER(FIND(LEFT(A35,1),"&lt;&gt;="))),"Simbolo non ammesso",IF(COUNTIF($A$6:$A$65,A35)&gt;1,"Nome doppio",IF(B35="","Manca il tipo","")))))</f>
        <v/>
      </c>
    </row>
    <row r="36">
      <c r="A36" s="17" t="inlineStr">
        <is>
          <t>Investimenti</t>
        </is>
      </c>
      <c r="B36" s="17" t="inlineStr">
        <is>
          <t>Risparmio e investimenti</t>
        </is>
      </c>
      <c r="C36" s="17" t="inlineStr">
        <is>
          <t>Piani di accumulo, titoli, buoni.</t>
        </is>
      </c>
      <c r="D36" s="25">
        <f>IF(AND(A36="",B36=""),"",IF(A36="","Manca il nome",IF(OR(ISNUMBER(FIND("*",A36)),ISNUMBER(FIND("?",A36)),ISNUMBER(FIND("~",A36)),ISNUMBER(FIND(LEFT(A36,1),"&lt;&gt;="))),"Simbolo non ammesso",IF(COUNTIF($A$6:$A$65,A36)&gt;1,"Nome doppio",IF(B36="","Manca il tipo","")))))</f>
        <v/>
      </c>
    </row>
    <row r="37">
      <c r="A37" s="17" t="inlineStr">
        <is>
          <t>Previdenza complementare</t>
        </is>
      </c>
      <c r="B37" s="17" t="inlineStr">
        <is>
          <t>Risparmio e investimenti</t>
        </is>
      </c>
      <c r="C37" s="17" t="inlineStr">
        <is>
          <t>Versamenti volontari al fondo pensione.</t>
        </is>
      </c>
      <c r="D37" s="25">
        <f>IF(AND(A37="",B37=""),"",IF(A37="","Manca il nome",IF(OR(ISNUMBER(FIND("*",A37)),ISNUMBER(FIND("?",A37)),ISNUMBER(FIND("~",A37)),ISNUMBER(FIND(LEFT(A37,1),"&lt;&gt;="))),"Simbolo non ammesso",IF(COUNTIF($A$6:$A$65,A37)&gt;1,"Nome doppio",IF(B37="","Manca il tipo","")))))</f>
        <v/>
      </c>
    </row>
    <row r="38">
      <c r="A38" s="17" t="n"/>
      <c r="B38" s="17" t="n"/>
      <c r="C38" s="17" t="n"/>
      <c r="D38" s="25">
        <f>IF(AND(A38="",B38=""),"",IF(A38="","Manca il nome",IF(OR(ISNUMBER(FIND("*",A38)),ISNUMBER(FIND("?",A38)),ISNUMBER(FIND("~",A38)),ISNUMBER(FIND(LEFT(A38,1),"&lt;&gt;="))),"Simbolo non ammesso",IF(COUNTIF($A$6:$A$65,A38)&gt;1,"Nome doppio",IF(B38="","Manca il tipo","")))))</f>
        <v/>
      </c>
    </row>
    <row r="39">
      <c r="A39" s="17" t="n"/>
      <c r="B39" s="17" t="n"/>
      <c r="C39" s="17" t="n"/>
      <c r="D39" s="25">
        <f>IF(AND(A39="",B39=""),"",IF(A39="","Manca il nome",IF(OR(ISNUMBER(FIND("*",A39)),ISNUMBER(FIND("?",A39)),ISNUMBER(FIND("~",A39)),ISNUMBER(FIND(LEFT(A39,1),"&lt;&gt;="))),"Simbolo non ammesso",IF(COUNTIF($A$6:$A$65,A39)&gt;1,"Nome doppio",IF(B39="","Manca il tipo","")))))</f>
        <v/>
      </c>
    </row>
    <row r="40">
      <c r="A40" s="17" t="n"/>
      <c r="B40" s="17" t="n"/>
      <c r="C40" s="17" t="n"/>
      <c r="D40" s="25">
        <f>IF(AND(A40="",B40=""),"",IF(A40="","Manca il nome",IF(OR(ISNUMBER(FIND("*",A40)),ISNUMBER(FIND("?",A40)),ISNUMBER(FIND("~",A40)),ISNUMBER(FIND(LEFT(A40,1),"&lt;&gt;="))),"Simbolo non ammesso",IF(COUNTIF($A$6:$A$65,A40)&gt;1,"Nome doppio",IF(B40="","Manca il tipo","")))))</f>
        <v/>
      </c>
    </row>
    <row r="41">
      <c r="A41" s="17" t="n"/>
      <c r="B41" s="17" t="n"/>
      <c r="C41" s="17" t="n"/>
      <c r="D41" s="25">
        <f>IF(AND(A41="",B41=""),"",IF(A41="","Manca il nome",IF(OR(ISNUMBER(FIND("*",A41)),ISNUMBER(FIND("?",A41)),ISNUMBER(FIND("~",A41)),ISNUMBER(FIND(LEFT(A41,1),"&lt;&gt;="))),"Simbolo non ammesso",IF(COUNTIF($A$6:$A$65,A41)&gt;1,"Nome doppio",IF(B41="","Manca il tipo","")))))</f>
        <v/>
      </c>
    </row>
    <row r="42">
      <c r="A42" s="17" t="n"/>
      <c r="B42" s="17" t="n"/>
      <c r="C42" s="17" t="n"/>
      <c r="D42" s="25">
        <f>IF(AND(A42="",B42=""),"",IF(A42="","Manca il nome",IF(OR(ISNUMBER(FIND("*",A42)),ISNUMBER(FIND("?",A42)),ISNUMBER(FIND("~",A42)),ISNUMBER(FIND(LEFT(A42,1),"&lt;&gt;="))),"Simbolo non ammesso",IF(COUNTIF($A$6:$A$65,A42)&gt;1,"Nome doppio",IF(B42="","Manca il tipo","")))))</f>
        <v/>
      </c>
    </row>
    <row r="43">
      <c r="A43" s="17" t="n"/>
      <c r="B43" s="17" t="n"/>
      <c r="C43" s="17" t="n"/>
      <c r="D43" s="25">
        <f>IF(AND(A43="",B43=""),"",IF(A43="","Manca il nome",IF(OR(ISNUMBER(FIND("*",A43)),ISNUMBER(FIND("?",A43)),ISNUMBER(FIND("~",A43)),ISNUMBER(FIND(LEFT(A43,1),"&lt;&gt;="))),"Simbolo non ammesso",IF(COUNTIF($A$6:$A$65,A43)&gt;1,"Nome doppio",IF(B43="","Manca il tipo","")))))</f>
        <v/>
      </c>
    </row>
    <row r="44">
      <c r="A44" s="17" t="n"/>
      <c r="B44" s="17" t="n"/>
      <c r="C44" s="17" t="n"/>
      <c r="D44" s="25">
        <f>IF(AND(A44="",B44=""),"",IF(A44="","Manca il nome",IF(OR(ISNUMBER(FIND("*",A44)),ISNUMBER(FIND("?",A44)),ISNUMBER(FIND("~",A44)),ISNUMBER(FIND(LEFT(A44,1),"&lt;&gt;="))),"Simbolo non ammesso",IF(COUNTIF($A$6:$A$65,A44)&gt;1,"Nome doppio",IF(B44="","Manca il tipo","")))))</f>
        <v/>
      </c>
    </row>
    <row r="45">
      <c r="A45" s="17" t="n"/>
      <c r="B45" s="17" t="n"/>
      <c r="C45" s="17" t="n"/>
      <c r="D45" s="25">
        <f>IF(AND(A45="",B45=""),"",IF(A45="","Manca il nome",IF(OR(ISNUMBER(FIND("*",A45)),ISNUMBER(FIND("?",A45)),ISNUMBER(FIND("~",A45)),ISNUMBER(FIND(LEFT(A45,1),"&lt;&gt;="))),"Simbolo non ammesso",IF(COUNTIF($A$6:$A$65,A45)&gt;1,"Nome doppio",IF(B45="","Manca il tipo","")))))</f>
        <v/>
      </c>
    </row>
    <row r="46">
      <c r="A46" s="17" t="n"/>
      <c r="B46" s="17" t="n"/>
      <c r="C46" s="17" t="n"/>
      <c r="D46" s="25">
        <f>IF(AND(A46="",B46=""),"",IF(A46="","Manca il nome",IF(OR(ISNUMBER(FIND("*",A46)),ISNUMBER(FIND("?",A46)),ISNUMBER(FIND("~",A46)),ISNUMBER(FIND(LEFT(A46,1),"&lt;&gt;="))),"Simbolo non ammesso",IF(COUNTIF($A$6:$A$65,A46)&gt;1,"Nome doppio",IF(B46="","Manca il tipo","")))))</f>
        <v/>
      </c>
    </row>
    <row r="47">
      <c r="A47" s="17" t="n"/>
      <c r="B47" s="17" t="n"/>
      <c r="C47" s="17" t="n"/>
      <c r="D47" s="25">
        <f>IF(AND(A47="",B47=""),"",IF(A47="","Manca il nome",IF(OR(ISNUMBER(FIND("*",A47)),ISNUMBER(FIND("?",A47)),ISNUMBER(FIND("~",A47)),ISNUMBER(FIND(LEFT(A47,1),"&lt;&gt;="))),"Simbolo non ammesso",IF(COUNTIF($A$6:$A$65,A47)&gt;1,"Nome doppio",IF(B47="","Manca il tipo","")))))</f>
        <v/>
      </c>
    </row>
    <row r="48">
      <c r="A48" s="17" t="n"/>
      <c r="B48" s="17" t="n"/>
      <c r="C48" s="17" t="n"/>
      <c r="D48" s="25">
        <f>IF(AND(A48="",B48=""),"",IF(A48="","Manca il nome",IF(OR(ISNUMBER(FIND("*",A48)),ISNUMBER(FIND("?",A48)),ISNUMBER(FIND("~",A48)),ISNUMBER(FIND(LEFT(A48,1),"&lt;&gt;="))),"Simbolo non ammesso",IF(COUNTIF($A$6:$A$65,A48)&gt;1,"Nome doppio",IF(B48="","Manca il tipo","")))))</f>
        <v/>
      </c>
    </row>
    <row r="49">
      <c r="A49" s="17" t="n"/>
      <c r="B49" s="17" t="n"/>
      <c r="C49" s="17" t="n"/>
      <c r="D49" s="25">
        <f>IF(AND(A49="",B49=""),"",IF(A49="","Manca il nome",IF(OR(ISNUMBER(FIND("*",A49)),ISNUMBER(FIND("?",A49)),ISNUMBER(FIND("~",A49)),ISNUMBER(FIND(LEFT(A49,1),"&lt;&gt;="))),"Simbolo non ammesso",IF(COUNTIF($A$6:$A$65,A49)&gt;1,"Nome doppio",IF(B49="","Manca il tipo","")))))</f>
        <v/>
      </c>
    </row>
    <row r="50">
      <c r="A50" s="17" t="n"/>
      <c r="B50" s="17" t="n"/>
      <c r="C50" s="17" t="n"/>
      <c r="D50" s="25">
        <f>IF(AND(A50="",B50=""),"",IF(A50="","Manca il nome",IF(OR(ISNUMBER(FIND("*",A50)),ISNUMBER(FIND("?",A50)),ISNUMBER(FIND("~",A50)),ISNUMBER(FIND(LEFT(A50,1),"&lt;&gt;="))),"Simbolo non ammesso",IF(COUNTIF($A$6:$A$65,A50)&gt;1,"Nome doppio",IF(B50="","Manca il tipo","")))))</f>
        <v/>
      </c>
    </row>
    <row r="51">
      <c r="A51" s="17" t="n"/>
      <c r="B51" s="17" t="n"/>
      <c r="C51" s="17" t="n"/>
      <c r="D51" s="25">
        <f>IF(AND(A51="",B51=""),"",IF(A51="","Manca il nome",IF(OR(ISNUMBER(FIND("*",A51)),ISNUMBER(FIND("?",A51)),ISNUMBER(FIND("~",A51)),ISNUMBER(FIND(LEFT(A51,1),"&lt;&gt;="))),"Simbolo non ammesso",IF(COUNTIF($A$6:$A$65,A51)&gt;1,"Nome doppio",IF(B51="","Manca il tipo","")))))</f>
        <v/>
      </c>
    </row>
    <row r="52">
      <c r="A52" s="17" t="n"/>
      <c r="B52" s="17" t="n"/>
      <c r="C52" s="17" t="n"/>
      <c r="D52" s="25">
        <f>IF(AND(A52="",B52=""),"",IF(A52="","Manca il nome",IF(OR(ISNUMBER(FIND("*",A52)),ISNUMBER(FIND("?",A52)),ISNUMBER(FIND("~",A52)),ISNUMBER(FIND(LEFT(A52,1),"&lt;&gt;="))),"Simbolo non ammesso",IF(COUNTIF($A$6:$A$65,A52)&gt;1,"Nome doppio",IF(B52="","Manca il tipo","")))))</f>
        <v/>
      </c>
    </row>
    <row r="53">
      <c r="A53" s="17" t="n"/>
      <c r="B53" s="17" t="n"/>
      <c r="C53" s="17" t="n"/>
      <c r="D53" s="25">
        <f>IF(AND(A53="",B53=""),"",IF(A53="","Manca il nome",IF(OR(ISNUMBER(FIND("*",A53)),ISNUMBER(FIND("?",A53)),ISNUMBER(FIND("~",A53)),ISNUMBER(FIND(LEFT(A53,1),"&lt;&gt;="))),"Simbolo non ammesso",IF(COUNTIF($A$6:$A$65,A53)&gt;1,"Nome doppio",IF(B53="","Manca il tipo","")))))</f>
        <v/>
      </c>
    </row>
    <row r="54">
      <c r="A54" s="17" t="n"/>
      <c r="B54" s="17" t="n"/>
      <c r="C54" s="17" t="n"/>
      <c r="D54" s="25">
        <f>IF(AND(A54="",B54=""),"",IF(A54="","Manca il nome",IF(OR(ISNUMBER(FIND("*",A54)),ISNUMBER(FIND("?",A54)),ISNUMBER(FIND("~",A54)),ISNUMBER(FIND(LEFT(A54,1),"&lt;&gt;="))),"Simbolo non ammesso",IF(COUNTIF($A$6:$A$65,A54)&gt;1,"Nome doppio",IF(B54="","Manca il tipo","")))))</f>
        <v/>
      </c>
    </row>
    <row r="55">
      <c r="A55" s="17" t="n"/>
      <c r="B55" s="17" t="n"/>
      <c r="C55" s="17" t="n"/>
      <c r="D55" s="25">
        <f>IF(AND(A55="",B55=""),"",IF(A55="","Manca il nome",IF(OR(ISNUMBER(FIND("*",A55)),ISNUMBER(FIND("?",A55)),ISNUMBER(FIND("~",A55)),ISNUMBER(FIND(LEFT(A55,1),"&lt;&gt;="))),"Simbolo non ammesso",IF(COUNTIF($A$6:$A$65,A55)&gt;1,"Nome doppio",IF(B55="","Manca il tipo","")))))</f>
        <v/>
      </c>
    </row>
    <row r="56">
      <c r="A56" s="17" t="n"/>
      <c r="B56" s="17" t="n"/>
      <c r="C56" s="17" t="n"/>
      <c r="D56" s="25">
        <f>IF(AND(A56="",B56=""),"",IF(A56="","Manca il nome",IF(OR(ISNUMBER(FIND("*",A56)),ISNUMBER(FIND("?",A56)),ISNUMBER(FIND("~",A56)),ISNUMBER(FIND(LEFT(A56,1),"&lt;&gt;="))),"Simbolo non ammesso",IF(COUNTIF($A$6:$A$65,A56)&gt;1,"Nome doppio",IF(B56="","Manca il tipo","")))))</f>
        <v/>
      </c>
    </row>
    <row r="57">
      <c r="A57" s="17" t="n"/>
      <c r="B57" s="17" t="n"/>
      <c r="C57" s="17" t="n"/>
      <c r="D57" s="25">
        <f>IF(AND(A57="",B57=""),"",IF(A57="","Manca il nome",IF(OR(ISNUMBER(FIND("*",A57)),ISNUMBER(FIND("?",A57)),ISNUMBER(FIND("~",A57)),ISNUMBER(FIND(LEFT(A57,1),"&lt;&gt;="))),"Simbolo non ammesso",IF(COUNTIF($A$6:$A$65,A57)&gt;1,"Nome doppio",IF(B57="","Manca il tipo","")))))</f>
        <v/>
      </c>
    </row>
    <row r="58">
      <c r="A58" s="17" t="n"/>
      <c r="B58" s="17" t="n"/>
      <c r="C58" s="17" t="n"/>
      <c r="D58" s="25">
        <f>IF(AND(A58="",B58=""),"",IF(A58="","Manca il nome",IF(OR(ISNUMBER(FIND("*",A58)),ISNUMBER(FIND("?",A58)),ISNUMBER(FIND("~",A58)),ISNUMBER(FIND(LEFT(A58,1),"&lt;&gt;="))),"Simbolo non ammesso",IF(COUNTIF($A$6:$A$65,A58)&gt;1,"Nome doppio",IF(B58="","Manca il tipo","")))))</f>
        <v/>
      </c>
    </row>
    <row r="59">
      <c r="A59" s="17" t="n"/>
      <c r="B59" s="17" t="n"/>
      <c r="C59" s="17" t="n"/>
      <c r="D59" s="25">
        <f>IF(AND(A59="",B59=""),"",IF(A59="","Manca il nome",IF(OR(ISNUMBER(FIND("*",A59)),ISNUMBER(FIND("?",A59)),ISNUMBER(FIND("~",A59)),ISNUMBER(FIND(LEFT(A59,1),"&lt;&gt;="))),"Simbolo non ammesso",IF(COUNTIF($A$6:$A$65,A59)&gt;1,"Nome doppio",IF(B59="","Manca il tipo","")))))</f>
        <v/>
      </c>
    </row>
    <row r="60">
      <c r="A60" s="17" t="n"/>
      <c r="B60" s="17" t="n"/>
      <c r="C60" s="17" t="n"/>
      <c r="D60" s="25">
        <f>IF(AND(A60="",B60=""),"",IF(A60="","Manca il nome",IF(OR(ISNUMBER(FIND("*",A60)),ISNUMBER(FIND("?",A60)),ISNUMBER(FIND("~",A60)),ISNUMBER(FIND(LEFT(A60,1),"&lt;&gt;="))),"Simbolo non ammesso",IF(COUNTIF($A$6:$A$65,A60)&gt;1,"Nome doppio",IF(B60="","Manca il tipo","")))))</f>
        <v/>
      </c>
    </row>
    <row r="61">
      <c r="A61" s="17" t="n"/>
      <c r="B61" s="17" t="n"/>
      <c r="C61" s="17" t="n"/>
      <c r="D61" s="25">
        <f>IF(AND(A61="",B61=""),"",IF(A61="","Manca il nome",IF(OR(ISNUMBER(FIND("*",A61)),ISNUMBER(FIND("?",A61)),ISNUMBER(FIND("~",A61)),ISNUMBER(FIND(LEFT(A61,1),"&lt;&gt;="))),"Simbolo non ammesso",IF(COUNTIF($A$6:$A$65,A61)&gt;1,"Nome doppio",IF(B61="","Manca il tipo","")))))</f>
        <v/>
      </c>
    </row>
    <row r="62">
      <c r="A62" s="17" t="n"/>
      <c r="B62" s="17" t="n"/>
      <c r="C62" s="17" t="n"/>
      <c r="D62" s="25">
        <f>IF(AND(A62="",B62=""),"",IF(A62="","Manca il nome",IF(OR(ISNUMBER(FIND("*",A62)),ISNUMBER(FIND("?",A62)),ISNUMBER(FIND("~",A62)),ISNUMBER(FIND(LEFT(A62,1),"&lt;&gt;="))),"Simbolo non ammesso",IF(COUNTIF($A$6:$A$65,A62)&gt;1,"Nome doppio",IF(B62="","Manca il tipo","")))))</f>
        <v/>
      </c>
    </row>
    <row r="63">
      <c r="A63" s="17" t="n"/>
      <c r="B63" s="17" t="n"/>
      <c r="C63" s="17" t="n"/>
      <c r="D63" s="25">
        <f>IF(AND(A63="",B63=""),"",IF(A63="","Manca il nome",IF(OR(ISNUMBER(FIND("*",A63)),ISNUMBER(FIND("?",A63)),ISNUMBER(FIND("~",A63)),ISNUMBER(FIND(LEFT(A63,1),"&lt;&gt;="))),"Simbolo non ammesso",IF(COUNTIF($A$6:$A$65,A63)&gt;1,"Nome doppio",IF(B63="","Manca il tipo","")))))</f>
        <v/>
      </c>
    </row>
    <row r="64">
      <c r="A64" s="17" t="n"/>
      <c r="B64" s="17" t="n"/>
      <c r="C64" s="17" t="n"/>
      <c r="D64" s="25">
        <f>IF(AND(A64="",B64=""),"",IF(A64="","Manca il nome",IF(OR(ISNUMBER(FIND("*",A64)),ISNUMBER(FIND("?",A64)),ISNUMBER(FIND("~",A64)),ISNUMBER(FIND(LEFT(A64,1),"&lt;&gt;="))),"Simbolo non ammesso",IF(COUNTIF($A$6:$A$65,A64)&gt;1,"Nome doppio",IF(B64="","Manca il tipo","")))))</f>
        <v/>
      </c>
    </row>
    <row r="65">
      <c r="A65" s="17" t="n"/>
      <c r="B65" s="17" t="n"/>
      <c r="C65" s="17" t="n"/>
      <c r="D65" s="25">
        <f>IF(AND(A65="",B65=""),"",IF(A65="","Manca il nome",IF(OR(ISNUMBER(FIND("*",A65)),ISNUMBER(FIND("?",A65)),ISNUMBER(FIND("~",A65)),ISNUMBER(FIND(LEFT(A65,1),"&lt;&gt;="))),"Simbolo non ammesso",IF(COUNTIF($A$6:$A$65,A65)&gt;1,"Nome doppio",IF(B65="","Manca il tipo","")))))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D6:D65">
    <cfRule type="expression" priority="1" dxfId="0">
      <formula>LEN($D6)&gt;0</formula>
    </cfRule>
  </conditionalFormatting>
  <dataValidations count="1">
    <dataValidation sqref="B6:B65" showDropDown="0" showInputMessage="0" showErrorMessage="1" allowBlank="1" errorTitle="Tipo non valido" error="Scegli il tipo dal menu." type="list">
      <formula1>Elenchi!$C$2:$C$5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E3C766"/>
    <outlinePr summaryBelow="1" summaryRight="1"/>
    <pageSetUpPr fitToPage="1"/>
  </sheetPr>
  <dimension ref="A1:H2005"/>
  <sheetViews>
    <sheetView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14" customWidth="1" min="4" max="4"/>
    <col width="18" customWidth="1" min="5" max="5"/>
    <col width="14" customWidth="1" min="6" max="6"/>
    <col width="24" customWidth="1" min="7" max="7"/>
    <col width="26" customWidth="1" min="8" max="8"/>
  </cols>
  <sheetData>
    <row r="1" ht="30" customHeight="1">
      <c r="A1" s="12" t="inlineStr">
        <is>
          <t>Movimenti</t>
        </is>
      </c>
    </row>
    <row r="2">
      <c r="A2" s="2" t="inlineStr">
        <is>
          <t>Un movimento per riga. Importi sempre positivi: il tipo lo decide la categoria. Un rimborso su una spesa si scrive in negativo.</t>
        </is>
      </c>
    </row>
    <row r="3">
      <c r="C3" s="26" t="inlineStr">
        <is>
          <t>Movimenti registrati</t>
        </is>
      </c>
      <c r="D3" s="27">
        <f>COUNT(D6:D2005)</f>
        <v/>
      </c>
      <c r="G3" s="26" t="inlineStr">
        <is>
          <t>Righe da controllare</t>
        </is>
      </c>
      <c r="H3" s="28">
        <f>COUNTIF(H6:H2005,"?*")</f>
        <v/>
      </c>
    </row>
    <row r="5" ht="22" customHeight="1">
      <c r="A5" s="24" t="inlineStr">
        <is>
          <t>Data</t>
        </is>
      </c>
      <c r="B5" s="24" t="inlineStr">
        <is>
          <t>Descrizione</t>
        </is>
      </c>
      <c r="C5" s="24" t="inlineStr">
        <is>
          <t>Categoria</t>
        </is>
      </c>
      <c r="D5" s="24" t="inlineStr">
        <is>
          <t>Importo</t>
        </is>
      </c>
      <c r="E5" s="24" t="inlineStr">
        <is>
          <t>Conto o metodo</t>
        </is>
      </c>
      <c r="F5" s="24" t="inlineStr">
        <is>
          <t>Chi (facoltativo)</t>
        </is>
      </c>
      <c r="G5" s="24" t="inlineStr">
        <is>
          <t>Tipo</t>
        </is>
      </c>
      <c r="H5" s="24" t="inlineStr">
        <is>
          <t>Controllo</t>
        </is>
      </c>
    </row>
    <row r="6">
      <c r="A6" s="29" t="n">
        <v>46023</v>
      </c>
      <c r="B6" s="17" t="inlineStr">
        <is>
          <t>Rata mutuo</t>
        </is>
      </c>
      <c r="C6" s="17" t="inlineStr">
        <is>
          <t>Affitto o rata mutuo</t>
        </is>
      </c>
      <c r="D6" s="16" t="n">
        <v>680</v>
      </c>
      <c r="E6" s="30" t="inlineStr">
        <is>
          <t>Conto corrente</t>
        </is>
      </c>
      <c r="F6" s="17" t="n"/>
      <c r="G6" s="31">
        <f>IF(C6="","",IFERROR(INDEX(Categorie!$B$6:$B$65,MATCH(C6,Categorie!$A$6:$A$65,0))&amp;"",""))</f>
        <v/>
      </c>
      <c r="H6" s="32">
        <f>IF(AND(A6="",C6="",D6=""),"",IF(D6="","Manca l'importo",IF(NOT(ISNUMBER(D6)),"Importo non valido",IF(NOT(ISNUMBER(A6)),"Data mancante o non valida",IF(YEAR(A6)&lt;&gt;Impostazioni!$C$4,"Fuori dall'anno",IF(C6="","Manca la categoria",IF(ISNA(MATCH(C6,Categorie!$A$6:$A$65,0)),"Categoria non trovata",IF(G6="","Categoria senza tipo",""))))))))</f>
        <v/>
      </c>
    </row>
    <row r="7">
      <c r="A7" s="29" t="n">
        <v>46025</v>
      </c>
      <c r="B7" s="17" t="inlineStr">
        <is>
          <t>Spesa settimanale</t>
        </is>
      </c>
      <c r="C7" s="17" t="inlineStr">
        <is>
          <t>Spesa alimentare</t>
        </is>
      </c>
      <c r="D7" s="16" t="n">
        <v>97.53</v>
      </c>
      <c r="E7" s="30" t="inlineStr">
        <is>
          <t>Carta di debito</t>
        </is>
      </c>
      <c r="F7" s="17" t="n"/>
      <c r="G7" s="31">
        <f>IF(C7="","",IFERROR(INDEX(Categorie!$B$6:$B$65,MATCH(C7,Categorie!$A$6:$A$65,0))&amp;"",""))</f>
        <v/>
      </c>
      <c r="H7" s="32">
        <f>IF(AND(A7="",C7="",D7=""),"",IF(D7="","Manca l'importo",IF(NOT(ISNUMBER(D7)),"Importo non valido",IF(NOT(ISNUMBER(A7)),"Data mancante o non valida",IF(YEAR(A7)&lt;&gt;Impostazioni!$C$4,"Fuori dall'anno",IF(C7="","Manca la categoria",IF(ISNA(MATCH(C7,Categorie!$A$6:$A$65,0)),"Categoria non trovata",IF(G7="","Categoria senza tipo",""))))))))</f>
        <v/>
      </c>
    </row>
    <row r="8">
      <c r="A8" s="29" t="n">
        <v>46025</v>
      </c>
      <c r="B8" s="17" t="inlineStr">
        <is>
          <t>Abbonamento bus Sofia</t>
        </is>
      </c>
      <c r="C8" s="17" t="inlineStr">
        <is>
          <t>Trasporti</t>
        </is>
      </c>
      <c r="D8" s="16" t="n">
        <v>25</v>
      </c>
      <c r="E8" s="30" t="inlineStr">
        <is>
          <t>Carta di debito</t>
        </is>
      </c>
      <c r="F8" s="17" t="inlineStr">
        <is>
          <t>Sofia</t>
        </is>
      </c>
      <c r="G8" s="31">
        <f>IF(C8="","",IFERROR(INDEX(Categorie!$B$6:$B$65,MATCH(C8,Categorie!$A$6:$A$65,0))&amp;"",""))</f>
        <v/>
      </c>
      <c r="H8" s="32">
        <f>IF(AND(A8="",C8="",D8=""),"",IF(D8="","Manca l'importo",IF(NOT(ISNUMBER(D8)),"Importo non valido",IF(NOT(ISNUMBER(A8)),"Data mancante o non valida",IF(YEAR(A8)&lt;&gt;Impostazioni!$C$4,"Fuori dall'anno",IF(C8="","Manca la categoria",IF(ISNA(MATCH(C8,Categorie!$A$6:$A$65,0)),"Categoria non trovata",IF(G8="","Categoria senza tipo",""))))))))</f>
        <v/>
      </c>
    </row>
    <row r="9">
      <c r="A9" s="29" t="n">
        <v>46026</v>
      </c>
      <c r="B9" s="17" t="inlineStr">
        <is>
          <t>Mensa scolastica</t>
        </is>
      </c>
      <c r="C9" s="17" t="inlineStr">
        <is>
          <t>Scuola e figli</t>
        </is>
      </c>
      <c r="D9" s="16" t="n">
        <v>78</v>
      </c>
      <c r="E9" s="30" t="inlineStr">
        <is>
          <t>Conto corrente</t>
        </is>
      </c>
      <c r="F9" s="17" t="inlineStr">
        <is>
          <t>Sofia</t>
        </is>
      </c>
      <c r="G9" s="31">
        <f>IF(C9="","",IFERROR(INDEX(Categorie!$B$6:$B$65,MATCH(C9,Categorie!$A$6:$A$65,0))&amp;"",""))</f>
        <v/>
      </c>
      <c r="H9" s="32">
        <f>IF(AND(A9="",C9="",D9=""),"",IF(D9="","Manca l'importo",IF(NOT(ISNUMBER(D9)),"Importo non valido",IF(NOT(ISNUMBER(A9)),"Data mancante o non valida",IF(YEAR(A9)&lt;&gt;Impostazioni!$C$4,"Fuori dall'anno",IF(C9="","Manca la categoria",IF(ISNA(MATCH(C9,Categorie!$A$6:$A$65,0)),"Categoria non trovata",IF(G9="","Categoria senza tipo",""))))))))</f>
        <v/>
      </c>
    </row>
    <row r="10">
      <c r="A10" s="29" t="n">
        <v>46026</v>
      </c>
      <c r="B10" s="17" t="inlineStr">
        <is>
          <t>Cena con amici</t>
        </is>
      </c>
      <c r="C10" s="17" t="inlineStr">
        <is>
          <t>Svago</t>
        </is>
      </c>
      <c r="D10" s="16" t="n">
        <v>48.88</v>
      </c>
      <c r="E10" s="30" t="inlineStr">
        <is>
          <t>Carta di debito</t>
        </is>
      </c>
      <c r="F10" s="17" t="n"/>
      <c r="G10" s="31">
        <f>IF(C10="","",IFERROR(INDEX(Categorie!$B$6:$B$65,MATCH(C10,Categorie!$A$6:$A$65,0))&amp;"",""))</f>
        <v/>
      </c>
      <c r="H10" s="32">
        <f>IF(AND(A10="",C10="",D10=""),"",IF(D10="","Manca l'importo",IF(NOT(ISNUMBER(D10)),"Importo non valido",IF(NOT(ISNUMBER(A10)),"Data mancante o non valida",IF(YEAR(A10)&lt;&gt;Impostazioni!$C$4,"Fuori dall'anno",IF(C10="","Manca la categoria",IF(ISNA(MATCH(C10,Categorie!$A$6:$A$65,0)),"Categoria non trovata",IF(G10="","Categoria senza tipo",""))))))))</f>
        <v/>
      </c>
    </row>
    <row r="11">
      <c r="A11" s="29" t="n">
        <v>46027</v>
      </c>
      <c r="B11" s="17" t="inlineStr">
        <is>
          <t>Rifornimento</t>
        </is>
      </c>
      <c r="C11" s="17" t="inlineStr">
        <is>
          <t>Carburante</t>
        </is>
      </c>
      <c r="D11" s="16" t="n">
        <v>58.64</v>
      </c>
      <c r="E11" s="30" t="inlineStr">
        <is>
          <t>Carta di credito</t>
        </is>
      </c>
      <c r="F11" s="17" t="inlineStr">
        <is>
          <t>Marco</t>
        </is>
      </c>
      <c r="G11" s="31">
        <f>IF(C11="","",IFERROR(INDEX(Categorie!$B$6:$B$65,MATCH(C11,Categorie!$A$6:$A$65,0))&amp;"",""))</f>
        <v/>
      </c>
      <c r="H11" s="32">
        <f>IF(AND(A11="",C11="",D11=""),"",IF(D11="","Manca l'importo",IF(NOT(ISNUMBER(D11)),"Importo non valido",IF(NOT(ISNUMBER(A11)),"Data mancante o non valida",IF(YEAR(A11)&lt;&gt;Impostazioni!$C$4,"Fuori dall'anno",IF(C11="","Manca la categoria",IF(ISNA(MATCH(C11,Categorie!$A$6:$A$65,0)),"Categoria non trovata",IF(G11="","Categoria senza tipo",""))))))))</f>
        <v/>
      </c>
    </row>
    <row r="12">
      <c r="A12" s="29" t="n">
        <v>46027</v>
      </c>
      <c r="B12" s="17" t="inlineStr">
        <is>
          <t>Fibra casa</t>
        </is>
      </c>
      <c r="C12" s="17" t="inlineStr">
        <is>
          <t>Internet e telefono</t>
        </is>
      </c>
      <c r="D12" s="16" t="n">
        <v>27.9</v>
      </c>
      <c r="E12" s="30" t="inlineStr">
        <is>
          <t>Carta di credito</t>
        </is>
      </c>
      <c r="F12" s="17" t="n"/>
      <c r="G12" s="31">
        <f>IF(C12="","",IFERROR(INDEX(Categorie!$B$6:$B$65,MATCH(C12,Categorie!$A$6:$A$65,0))&amp;"",""))</f>
        <v/>
      </c>
      <c r="H12" s="32">
        <f>IF(AND(A12="",C12="",D12=""),"",IF(D12="","Manca l'importo",IF(NOT(ISNUMBER(D12)),"Importo non valido",IF(NOT(ISNUMBER(A12)),"Data mancante o non valida",IF(YEAR(A12)&lt;&gt;Impostazioni!$C$4,"Fuori dall'anno",IF(C12="","Manca la categoria",IF(ISNA(MATCH(C12,Categorie!$A$6:$A$65,0)),"Categoria non trovata",IF(G12="","Categoria senza tipo",""))))))))</f>
        <v/>
      </c>
    </row>
    <row r="13">
      <c r="A13" s="29" t="n">
        <v>46027</v>
      </c>
      <c r="B13" s="17" t="inlineStr">
        <is>
          <t>Telefono Giulia</t>
        </is>
      </c>
      <c r="C13" s="17" t="inlineStr">
        <is>
          <t>Internet e telefono</t>
        </is>
      </c>
      <c r="D13" s="16" t="n">
        <v>7.99</v>
      </c>
      <c r="E13" s="30" t="inlineStr">
        <is>
          <t>Carta di credito</t>
        </is>
      </c>
      <c r="F13" s="17" t="inlineStr">
        <is>
          <t>Giulia</t>
        </is>
      </c>
      <c r="G13" s="31">
        <f>IF(C13="","",IFERROR(INDEX(Categorie!$B$6:$B$65,MATCH(C13,Categorie!$A$6:$A$65,0))&amp;"",""))</f>
        <v/>
      </c>
      <c r="H13" s="32">
        <f>IF(AND(A13="",C13="",D13=""),"",IF(D13="","Manca l'importo",IF(NOT(ISNUMBER(D13)),"Importo non valido",IF(NOT(ISNUMBER(A13)),"Data mancante o non valida",IF(YEAR(A13)&lt;&gt;Impostazioni!$C$4,"Fuori dall'anno",IF(C13="","Manca la categoria",IF(ISNA(MATCH(C13,Categorie!$A$6:$A$65,0)),"Categoria non trovata",IF(G13="","Categoria senza tipo",""))))))))</f>
        <v/>
      </c>
    </row>
    <row r="14">
      <c r="A14" s="29" t="n">
        <v>46027</v>
      </c>
      <c r="B14" s="17" t="inlineStr">
        <is>
          <t>Telefono Marco</t>
        </is>
      </c>
      <c r="C14" s="17" t="inlineStr">
        <is>
          <t>Internet e telefono</t>
        </is>
      </c>
      <c r="D14" s="16" t="n">
        <v>9.99</v>
      </c>
      <c r="E14" s="30" t="inlineStr">
        <is>
          <t>Carta di credito</t>
        </is>
      </c>
      <c r="F14" s="17" t="inlineStr">
        <is>
          <t>Marco</t>
        </is>
      </c>
      <c r="G14" s="31">
        <f>IF(C14="","",IFERROR(INDEX(Categorie!$B$6:$B$65,MATCH(C14,Categorie!$A$6:$A$65,0))&amp;"",""))</f>
        <v/>
      </c>
      <c r="H14" s="32">
        <f>IF(AND(A14="",C14="",D14=""),"",IF(D14="","Manca l'importo",IF(NOT(ISNUMBER(D14)),"Importo non valido",IF(NOT(ISNUMBER(A14)),"Data mancante o non valida",IF(YEAR(A14)&lt;&gt;Impostazioni!$C$4,"Fuori dall'anno",IF(C14="","Manca la categoria",IF(ISNA(MATCH(C14,Categorie!$A$6:$A$65,0)),"Categoria non trovata",IF(G14="","Categoria senza tipo",""))))))))</f>
        <v/>
      </c>
    </row>
    <row r="15">
      <c r="A15" s="29" t="n">
        <v>46029</v>
      </c>
      <c r="B15" s="17" t="inlineStr">
        <is>
          <t>Spesa al mercato</t>
        </is>
      </c>
      <c r="C15" s="17" t="inlineStr">
        <is>
          <t>Spesa alimentare</t>
        </is>
      </c>
      <c r="D15" s="16" t="n">
        <v>29.66</v>
      </c>
      <c r="E15" s="30" t="inlineStr">
        <is>
          <t>Contanti</t>
        </is>
      </c>
      <c r="F15" s="17" t="n"/>
      <c r="G15" s="31">
        <f>IF(C15="","",IFERROR(INDEX(Categorie!$B$6:$B$65,MATCH(C15,Categorie!$A$6:$A$65,0))&amp;"",""))</f>
        <v/>
      </c>
      <c r="H15" s="32">
        <f>IF(AND(A15="",C15="",D15=""),"",IF(D15="","Manca l'importo",IF(NOT(ISNUMBER(D15)),"Importo non valido",IF(NOT(ISNUMBER(A15)),"Data mancante o non valida",IF(YEAR(A15)&lt;&gt;Impostazioni!$C$4,"Fuori dall'anno",IF(C15="","Manca la categoria",IF(ISNA(MATCH(C15,Categorie!$A$6:$A$65,0)),"Categoria non trovata",IF(G15="","Categoria senza tipo",""))))))))</f>
        <v/>
      </c>
    </row>
    <row r="16">
      <c r="A16" s="29" t="n">
        <v>46030</v>
      </c>
      <c r="B16" s="17" t="inlineStr">
        <is>
          <t>Musica in streaming</t>
        </is>
      </c>
      <c r="C16" s="17" t="inlineStr">
        <is>
          <t>Abbonamenti</t>
        </is>
      </c>
      <c r="D16" s="16" t="n">
        <v>10.99</v>
      </c>
      <c r="E16" s="30" t="inlineStr">
        <is>
          <t>Carta di credito</t>
        </is>
      </c>
      <c r="F16" s="17" t="inlineStr">
        <is>
          <t>Giulia</t>
        </is>
      </c>
      <c r="G16" s="31">
        <f>IF(C16="","",IFERROR(INDEX(Categorie!$B$6:$B$65,MATCH(C16,Categorie!$A$6:$A$65,0))&amp;"",""))</f>
        <v/>
      </c>
      <c r="H16" s="32">
        <f>IF(AND(A16="",C16="",D16=""),"",IF(D16="","Manca l'importo",IF(NOT(ISNUMBER(D16)),"Importo non valido",IF(NOT(ISNUMBER(A16)),"Data mancante o non valida",IF(YEAR(A16)&lt;&gt;Impostazioni!$C$4,"Fuori dall'anno",IF(C16="","Manca la categoria",IF(ISNA(MATCH(C16,Categorie!$A$6:$A$65,0)),"Categoria non trovata",IF(G16="","Categoria senza tipo",""))))))))</f>
        <v/>
      </c>
    </row>
    <row r="17">
      <c r="A17" s="29" t="n">
        <v>46030</v>
      </c>
      <c r="B17" s="17" t="inlineStr">
        <is>
          <t>Streaming video</t>
        </is>
      </c>
      <c r="C17" s="17" t="inlineStr">
        <is>
          <t>Abbonamenti</t>
        </is>
      </c>
      <c r="D17" s="16" t="n">
        <v>13.99</v>
      </c>
      <c r="E17" s="30" t="inlineStr">
        <is>
          <t>Carta di credito</t>
        </is>
      </c>
      <c r="F17" s="17" t="n"/>
      <c r="G17" s="31">
        <f>IF(C17="","",IFERROR(INDEX(Categorie!$B$6:$B$65,MATCH(C17,Categorie!$A$6:$A$65,0))&amp;"",""))</f>
        <v/>
      </c>
      <c r="H17" s="32">
        <f>IF(AND(A17="",C17="",D17=""),"",IF(D17="","Manca l'importo",IF(NOT(ISNUMBER(D17)),"Importo non valido",IF(NOT(ISNUMBER(A17)),"Data mancante o non valida",IF(YEAR(A17)&lt;&gt;Impostazioni!$C$4,"Fuori dall'anno",IF(C17="","Manca la categoria",IF(ISNA(MATCH(C17,Categorie!$A$6:$A$65,0)),"Categoria non trovata",IF(G17="","Categoria senza tipo",""))))))))</f>
        <v/>
      </c>
    </row>
    <row r="18">
      <c r="A18" s="29" t="n">
        <v>46031</v>
      </c>
      <c r="B18" s="17" t="inlineStr">
        <is>
          <t>Parcheggio</t>
        </is>
      </c>
      <c r="C18" s="17" t="inlineStr">
        <is>
          <t>Trasporti</t>
        </is>
      </c>
      <c r="D18" s="16" t="n">
        <v>8.26</v>
      </c>
      <c r="E18" s="30" t="inlineStr">
        <is>
          <t>Contanti</t>
        </is>
      </c>
      <c r="F18" s="17" t="n"/>
      <c r="G18" s="31">
        <f>IF(C18="","",IFERROR(INDEX(Categorie!$B$6:$B$65,MATCH(C18,Categorie!$A$6:$A$65,0))&amp;"",""))</f>
        <v/>
      </c>
      <c r="H18" s="32">
        <f>IF(AND(A18="",C18="",D18=""),"",IF(D18="","Manca l'importo",IF(NOT(ISNUMBER(D18)),"Importo non valido",IF(NOT(ISNUMBER(A18)),"Data mancante o non valida",IF(YEAR(A18)&lt;&gt;Impostazioni!$C$4,"Fuori dall'anno",IF(C18="","Manca la categoria",IF(ISNA(MATCH(C18,Categorie!$A$6:$A$65,0)),"Categoria non trovata",IF(G18="","Categoria senza tipo",""))))))))</f>
        <v/>
      </c>
    </row>
    <row r="19">
      <c r="A19" s="29" t="n">
        <v>46032</v>
      </c>
      <c r="B19" s="17" t="inlineStr">
        <is>
          <t>Saldi invernali</t>
        </is>
      </c>
      <c r="C19" s="17" t="inlineStr">
        <is>
          <t>Abbigliamento</t>
        </is>
      </c>
      <c r="D19" s="16" t="n">
        <v>142.8</v>
      </c>
      <c r="E19" s="30" t="inlineStr">
        <is>
          <t>Carta di credito</t>
        </is>
      </c>
      <c r="F19" s="17" t="inlineStr">
        <is>
          <t>Giulia</t>
        </is>
      </c>
      <c r="G19" s="31">
        <f>IF(C19="","",IFERROR(INDEX(Categorie!$B$6:$B$65,MATCH(C19,Categorie!$A$6:$A$65,0))&amp;"",""))</f>
        <v/>
      </c>
      <c r="H19" s="32">
        <f>IF(AND(A19="",C19="",D19=""),"",IF(D19="","Manca l'importo",IF(NOT(ISNUMBER(D19)),"Importo non valido",IF(NOT(ISNUMBER(A19)),"Data mancante o non valida",IF(YEAR(A19)&lt;&gt;Impostazioni!$C$4,"Fuori dall'anno",IF(C19="","Manca la categoria",IF(ISNA(MATCH(C19,Categorie!$A$6:$A$65,0)),"Categoria non trovata",IF(G19="","Categoria senza tipo",""))))))))</f>
        <v/>
      </c>
    </row>
    <row r="20">
      <c r="A20" s="29" t="n">
        <v>46032</v>
      </c>
      <c r="B20" s="17" t="inlineStr">
        <is>
          <t>Rata condominio trimestrale</t>
        </is>
      </c>
      <c r="C20" s="17" t="inlineStr">
        <is>
          <t>Condominio</t>
        </is>
      </c>
      <c r="D20" s="16" t="n">
        <v>270</v>
      </c>
      <c r="E20" s="30" t="inlineStr">
        <is>
          <t>Conto corrente</t>
        </is>
      </c>
      <c r="F20" s="17" t="n"/>
      <c r="G20" s="31">
        <f>IF(C20="","",IFERROR(INDEX(Categorie!$B$6:$B$65,MATCH(C20,Categorie!$A$6:$A$65,0))&amp;"",""))</f>
        <v/>
      </c>
      <c r="H20" s="32">
        <f>IF(AND(A20="",C20="",D20=""),"",IF(D20="","Manca l'importo",IF(NOT(ISNUMBER(D20)),"Importo non valido",IF(NOT(ISNUMBER(A20)),"Data mancante o non valida",IF(YEAR(A20)&lt;&gt;Impostazioni!$C$4,"Fuori dall'anno",IF(C20="","Manca la categoria",IF(ISNA(MATCH(C20,Categorie!$A$6:$A$65,0)),"Categoria non trovata",IF(G20="","Categoria senza tipo",""))))))))</f>
        <v/>
      </c>
    </row>
    <row r="21">
      <c r="A21" s="29" t="n">
        <v>46032</v>
      </c>
      <c r="B21" s="17" t="inlineStr">
        <is>
          <t>Spesa settimanale</t>
        </is>
      </c>
      <c r="C21" s="17" t="inlineStr">
        <is>
          <t>Spesa alimentare</t>
        </is>
      </c>
      <c r="D21" s="16" t="n">
        <v>100.34</v>
      </c>
      <c r="E21" s="30" t="inlineStr">
        <is>
          <t>Carta di debito</t>
        </is>
      </c>
      <c r="F21" s="17" t="n"/>
      <c r="G21" s="31">
        <f>IF(C21="","",IFERROR(INDEX(Categorie!$B$6:$B$65,MATCH(C21,Categorie!$A$6:$A$65,0))&amp;"",""))</f>
        <v/>
      </c>
      <c r="H21" s="32">
        <f>IF(AND(A21="",C21="",D21=""),"",IF(D21="","Manca l'importo",IF(NOT(ISNUMBER(D21)),"Importo non valido",IF(NOT(ISNUMBER(A21)),"Data mancante o non valida",IF(YEAR(A21)&lt;&gt;Impostazioni!$C$4,"Fuori dall'anno",IF(C21="","Manca la categoria",IF(ISNA(MATCH(C21,Categorie!$A$6:$A$65,0)),"Categoria non trovata",IF(G21="","Categoria senza tipo",""))))))))</f>
        <v/>
      </c>
    </row>
    <row r="22">
      <c r="A22" s="29" t="n">
        <v>46034</v>
      </c>
      <c r="B22" s="17" t="inlineStr">
        <is>
          <t>Corso di nuoto Sofia</t>
        </is>
      </c>
      <c r="C22" s="17" t="inlineStr">
        <is>
          <t>Scuola e figli</t>
        </is>
      </c>
      <c r="D22" s="16" t="n">
        <v>165</v>
      </c>
      <c r="E22" s="30" t="inlineStr">
        <is>
          <t>Carta di debito</t>
        </is>
      </c>
      <c r="F22" s="17" t="inlineStr">
        <is>
          <t>Sofia</t>
        </is>
      </c>
      <c r="G22" s="31">
        <f>IF(C22="","",IFERROR(INDEX(Categorie!$B$6:$B$65,MATCH(C22,Categorie!$A$6:$A$65,0))&amp;"",""))</f>
        <v/>
      </c>
      <c r="H22" s="32">
        <f>IF(AND(A22="",C22="",D22=""),"",IF(D22="","Manca l'importo",IF(NOT(ISNUMBER(D22)),"Importo non valido",IF(NOT(ISNUMBER(A22)),"Data mancante o non valida",IF(YEAR(A22)&lt;&gt;Impostazioni!$C$4,"Fuori dall'anno",IF(C22="","Manca la categoria",IF(ISNA(MATCH(C22,Categorie!$A$6:$A$65,0)),"Categoria non trovata",IF(G22="","Categoria senza tipo",""))))))))</f>
        <v/>
      </c>
    </row>
    <row r="23">
      <c r="A23" s="29" t="n">
        <v>46037</v>
      </c>
      <c r="B23" s="17" t="inlineStr">
        <is>
          <t>Rata carta revolving</t>
        </is>
      </c>
      <c r="C23" s="17" t="inlineStr">
        <is>
          <t>Rate di prestiti</t>
        </is>
      </c>
      <c r="D23" s="16" t="n">
        <v>60</v>
      </c>
      <c r="E23" s="30" t="inlineStr">
        <is>
          <t>Conto corrente</t>
        </is>
      </c>
      <c r="F23" s="17" t="n"/>
      <c r="G23" s="31">
        <f>IF(C23="","",IFERROR(INDEX(Categorie!$B$6:$B$65,MATCH(C23,Categorie!$A$6:$A$65,0))&amp;"",""))</f>
        <v/>
      </c>
      <c r="H23" s="32">
        <f>IF(AND(A23="",C23="",D23=""),"",IF(D23="","Manca l'importo",IF(NOT(ISNUMBER(D23)),"Importo non valido",IF(NOT(ISNUMBER(A23)),"Data mancante o non valida",IF(YEAR(A23)&lt;&gt;Impostazioni!$C$4,"Fuori dall'anno",IF(C23="","Manca la categoria",IF(ISNA(MATCH(C23,Categorie!$A$6:$A$65,0)),"Categoria non trovata",IF(G23="","Categoria senza tipo",""))))))))</f>
        <v/>
      </c>
    </row>
    <row r="24">
      <c r="A24" s="29" t="n">
        <v>46037</v>
      </c>
      <c r="B24" s="17" t="inlineStr">
        <is>
          <t>Rata lavatrice a tasso zero</t>
        </is>
      </c>
      <c r="C24" s="17" t="inlineStr">
        <is>
          <t>Rate di prestiti</t>
        </is>
      </c>
      <c r="D24" s="16" t="n">
        <v>40</v>
      </c>
      <c r="E24" s="30" t="inlineStr">
        <is>
          <t>Conto corrente</t>
        </is>
      </c>
      <c r="F24" s="17" t="n"/>
      <c r="G24" s="31">
        <f>IF(C24="","",IFERROR(INDEX(Categorie!$B$6:$B$65,MATCH(C24,Categorie!$A$6:$A$65,0))&amp;"",""))</f>
        <v/>
      </c>
      <c r="H24" s="32">
        <f>IF(AND(A24="",C24="",D24=""),"",IF(D24="","Manca l'importo",IF(NOT(ISNUMBER(D24)),"Importo non valido",IF(NOT(ISNUMBER(A24)),"Data mancante o non valida",IF(YEAR(A24)&lt;&gt;Impostazioni!$C$4,"Fuori dall'anno",IF(C24="","Manca la categoria",IF(ISNA(MATCH(C24,Categorie!$A$6:$A$65,0)),"Categoria non trovata",IF(G24="","Categoria senza tipo",""))))))))</f>
        <v/>
      </c>
    </row>
    <row r="25">
      <c r="A25" s="29" t="n">
        <v>46037</v>
      </c>
      <c r="B25" s="17" t="inlineStr">
        <is>
          <t>Rata prestito auto</t>
        </is>
      </c>
      <c r="C25" s="17" t="inlineStr">
        <is>
          <t>Rate di prestiti</t>
        </is>
      </c>
      <c r="D25" s="16" t="n">
        <v>210</v>
      </c>
      <c r="E25" s="30" t="inlineStr">
        <is>
          <t>Conto corrente</t>
        </is>
      </c>
      <c r="F25" s="17" t="n"/>
      <c r="G25" s="31">
        <f>IF(C25="","",IFERROR(INDEX(Categorie!$B$6:$B$65,MATCH(C25,Categorie!$A$6:$A$65,0))&amp;"",""))</f>
        <v/>
      </c>
      <c r="H25" s="32">
        <f>IF(AND(A25="",C25="",D25=""),"",IF(D25="","Manca l'importo",IF(NOT(ISNUMBER(D25)),"Importo non valido",IF(NOT(ISNUMBER(A25)),"Data mancante o non valida",IF(YEAR(A25)&lt;&gt;Impostazioni!$C$4,"Fuori dall'anno",IF(C25="","Manca la categoria",IF(ISNA(MATCH(C25,Categorie!$A$6:$A$65,0)),"Categoria non trovata",IF(G25="","Categoria senza tipo",""))))))))</f>
        <v/>
      </c>
    </row>
    <row r="26">
      <c r="A26" s="29" t="n">
        <v>46038</v>
      </c>
      <c r="B26" s="17" t="inlineStr">
        <is>
          <t>Cena con amici</t>
        </is>
      </c>
      <c r="C26" s="17" t="inlineStr">
        <is>
          <t>Svago</t>
        </is>
      </c>
      <c r="D26" s="16" t="n">
        <v>53.4</v>
      </c>
      <c r="E26" s="30" t="inlineStr">
        <is>
          <t>Carta di debito</t>
        </is>
      </c>
      <c r="F26" s="17" t="n"/>
      <c r="G26" s="31">
        <f>IF(C26="","",IFERROR(INDEX(Categorie!$B$6:$B$65,MATCH(C26,Categorie!$A$6:$A$65,0))&amp;"",""))</f>
        <v/>
      </c>
      <c r="H26" s="32">
        <f>IF(AND(A26="",C26="",D26=""),"",IF(D26="","Manca l'importo",IF(NOT(ISNUMBER(D26)),"Importo non valido",IF(NOT(ISNUMBER(A26)),"Data mancante o non valida",IF(YEAR(A26)&lt;&gt;Impostazioni!$C$4,"Fuori dall'anno",IF(C26="","Manca la categoria",IF(ISNA(MATCH(C26,Categorie!$A$6:$A$65,0)),"Categoria non trovata",IF(G26="","Categoria senza tipo",""))))))))</f>
        <v/>
      </c>
    </row>
    <row r="27">
      <c r="A27" s="29" t="n">
        <v>46038</v>
      </c>
      <c r="B27" s="17" t="inlineStr">
        <is>
          <t>Pizzeria</t>
        </is>
      </c>
      <c r="C27" s="17" t="inlineStr">
        <is>
          <t>Svago</t>
        </is>
      </c>
      <c r="D27" s="16" t="n">
        <v>38.28</v>
      </c>
      <c r="E27" s="30" t="inlineStr">
        <is>
          <t>Carta di debito</t>
        </is>
      </c>
      <c r="F27" s="17" t="n"/>
      <c r="G27" s="31">
        <f>IF(C27="","",IFERROR(INDEX(Categorie!$B$6:$B$65,MATCH(C27,Categorie!$A$6:$A$65,0))&amp;"",""))</f>
        <v/>
      </c>
      <c r="H27" s="32">
        <f>IF(AND(A27="",C27="",D27=""),"",IF(D27="","Manca l'importo",IF(NOT(ISNUMBER(D27)),"Importo non valido",IF(NOT(ISNUMBER(A27)),"Data mancante o non valida",IF(YEAR(A27)&lt;&gt;Impostazioni!$C$4,"Fuori dall'anno",IF(C27="","Manca la categoria",IF(ISNA(MATCH(C27,Categorie!$A$6:$A$65,0)),"Categoria non trovata",IF(G27="","Categoria senza tipo",""))))))))</f>
        <v/>
      </c>
    </row>
    <row r="28">
      <c r="A28" s="29" t="n">
        <v>46039</v>
      </c>
      <c r="B28" s="17" t="inlineStr">
        <is>
          <t>Rifornimento</t>
        </is>
      </c>
      <c r="C28" s="17" t="inlineStr">
        <is>
          <t>Carburante</t>
        </is>
      </c>
      <c r="D28" s="16" t="n">
        <v>55.83</v>
      </c>
      <c r="E28" s="30" t="inlineStr">
        <is>
          <t>Carta di credito</t>
        </is>
      </c>
      <c r="F28" s="17" t="inlineStr">
        <is>
          <t>Giulia</t>
        </is>
      </c>
      <c r="G28" s="31">
        <f>IF(C28="","",IFERROR(INDEX(Categorie!$B$6:$B$65,MATCH(C28,Categorie!$A$6:$A$65,0))&amp;"",""))</f>
        <v/>
      </c>
      <c r="H28" s="32">
        <f>IF(AND(A28="",C28="",D28=""),"",IF(D28="","Manca l'importo",IF(NOT(ISNUMBER(D28)),"Importo non valido",IF(NOT(ISNUMBER(A28)),"Data mancante o non valida",IF(YEAR(A28)&lt;&gt;Impostazioni!$C$4,"Fuori dall'anno",IF(C28="","Manca la categoria",IF(ISNA(MATCH(C28,Categorie!$A$6:$A$65,0)),"Categoria non trovata",IF(G28="","Categoria senza tipo",""))))))))</f>
        <v/>
      </c>
    </row>
    <row r="29">
      <c r="A29" s="29" t="n">
        <v>46039</v>
      </c>
      <c r="B29" s="17" t="inlineStr">
        <is>
          <t>Spesa settimanale</t>
        </is>
      </c>
      <c r="C29" s="17" t="inlineStr">
        <is>
          <t>Spesa alimentare</t>
        </is>
      </c>
      <c r="D29" s="16" t="n">
        <v>121.05</v>
      </c>
      <c r="E29" s="30" t="inlineStr">
        <is>
          <t>Carta di debito</t>
        </is>
      </c>
      <c r="F29" s="17" t="n"/>
      <c r="G29" s="31">
        <f>IF(C29="","",IFERROR(INDEX(Categorie!$B$6:$B$65,MATCH(C29,Categorie!$A$6:$A$65,0))&amp;"",""))</f>
        <v/>
      </c>
      <c r="H29" s="32">
        <f>IF(AND(A29="",C29="",D29=""),"",IF(D29="","Manca l'importo",IF(NOT(ISNUMBER(D29)),"Importo non valido",IF(NOT(ISNUMBER(A29)),"Data mancante o non valida",IF(YEAR(A29)&lt;&gt;Impostazioni!$C$4,"Fuori dall'anno",IF(C29="","Manca la categoria",IF(ISNA(MATCH(C29,Categorie!$A$6:$A$65,0)),"Categoria non trovata",IF(G29="","Categoria senza tipo",""))))))))</f>
        <v/>
      </c>
    </row>
    <row r="30">
      <c r="A30" s="29" t="n">
        <v>46039</v>
      </c>
      <c r="B30" s="17" t="inlineStr">
        <is>
          <t>Libri</t>
        </is>
      </c>
      <c r="C30" s="17" t="inlineStr">
        <is>
          <t>Svago</t>
        </is>
      </c>
      <c r="D30" s="16" t="n">
        <v>22.87</v>
      </c>
      <c r="E30" s="30" t="inlineStr">
        <is>
          <t>Carta di debito</t>
        </is>
      </c>
      <c r="F30" s="17" t="n"/>
      <c r="G30" s="31">
        <f>IF(C30="","",IFERROR(INDEX(Categorie!$B$6:$B$65,MATCH(C30,Categorie!$A$6:$A$65,0))&amp;"",""))</f>
        <v/>
      </c>
      <c r="H30" s="32">
        <f>IF(AND(A30="",C30="",D30=""),"",IF(D30="","Manca l'importo",IF(NOT(ISNUMBER(D30)),"Importo non valido",IF(NOT(ISNUMBER(A30)),"Data mancante o non valida",IF(YEAR(A30)&lt;&gt;Impostazioni!$C$4,"Fuori dall'anno",IF(C30="","Manca la categoria",IF(ISNA(MATCH(C30,Categorie!$A$6:$A$65,0)),"Categoria non trovata",IF(G30="","Categoria senza tipo",""))))))))</f>
        <v/>
      </c>
    </row>
    <row r="31">
      <c r="A31" s="29" t="n">
        <v>46040</v>
      </c>
      <c r="B31" s="17" t="inlineStr">
        <is>
          <t>Bolletta gas</t>
        </is>
      </c>
      <c r="C31" s="17" t="inlineStr">
        <is>
          <t>Gas</t>
        </is>
      </c>
      <c r="D31" s="16" t="n">
        <v>168.03</v>
      </c>
      <c r="E31" s="30" t="inlineStr">
        <is>
          <t>Conto corrente</t>
        </is>
      </c>
      <c r="F31" s="17" t="n"/>
      <c r="G31" s="31">
        <f>IF(C31="","",IFERROR(INDEX(Categorie!$B$6:$B$65,MATCH(C31,Categorie!$A$6:$A$65,0))&amp;"",""))</f>
        <v/>
      </c>
      <c r="H31" s="32">
        <f>IF(AND(A31="",C31="",D31=""),"",IF(D31="","Manca l'importo",IF(NOT(ISNUMBER(D31)),"Importo non valido",IF(NOT(ISNUMBER(A31)),"Data mancante o non valida",IF(YEAR(A31)&lt;&gt;Impostazioni!$C$4,"Fuori dall'anno",IF(C31="","Manca la categoria",IF(ISNA(MATCH(C31,Categorie!$A$6:$A$65,0)),"Categoria non trovata",IF(G31="","Categoria senza tipo",""))))))))</f>
        <v/>
      </c>
    </row>
    <row r="32">
      <c r="A32" s="29" t="n">
        <v>46040</v>
      </c>
      <c r="B32" s="17" t="inlineStr">
        <is>
          <t>Bolletta luce</t>
        </is>
      </c>
      <c r="C32" s="17" t="inlineStr">
        <is>
          <t>Luce</t>
        </is>
      </c>
      <c r="D32" s="16" t="n">
        <v>78.95</v>
      </c>
      <c r="E32" s="30" t="inlineStr">
        <is>
          <t>Conto corrente</t>
        </is>
      </c>
      <c r="F32" s="17" t="n"/>
      <c r="G32" s="31">
        <f>IF(C32="","",IFERROR(INDEX(Categorie!$B$6:$B$65,MATCH(C32,Categorie!$A$6:$A$65,0))&amp;"",""))</f>
        <v/>
      </c>
      <c r="H32" s="32">
        <f>IF(AND(A32="",C32="",D32=""),"",IF(D32="","Manca l'importo",IF(NOT(ISNUMBER(D32)),"Importo non valido",IF(NOT(ISNUMBER(A32)),"Data mancante o non valida",IF(YEAR(A32)&lt;&gt;Impostazioni!$C$4,"Fuori dall'anno",IF(C32="","Manca la categoria",IF(ISNA(MATCH(C32,Categorie!$A$6:$A$65,0)),"Categoria non trovata",IF(G32="","Categoria senza tipo",""))))))))</f>
        <v/>
      </c>
    </row>
    <row r="33">
      <c r="A33" s="29" t="n">
        <v>46041</v>
      </c>
      <c r="B33" s="17" t="inlineStr">
        <is>
          <t>Farmacia</t>
        </is>
      </c>
      <c r="C33" s="17" t="inlineStr">
        <is>
          <t>Farmacia e salute</t>
        </is>
      </c>
      <c r="D33" s="16" t="n">
        <v>19.46</v>
      </c>
      <c r="E33" s="30" t="inlineStr">
        <is>
          <t>Carta di debito</t>
        </is>
      </c>
      <c r="F33" s="17" t="n"/>
      <c r="G33" s="31">
        <f>IF(C33="","",IFERROR(INDEX(Categorie!$B$6:$B$65,MATCH(C33,Categorie!$A$6:$A$65,0))&amp;"",""))</f>
        <v/>
      </c>
      <c r="H33" s="32">
        <f>IF(AND(A33="",C33="",D33=""),"",IF(D33="","Manca l'importo",IF(NOT(ISNUMBER(D33)),"Importo non valido",IF(NOT(ISNUMBER(A33)),"Data mancante o non valida",IF(YEAR(A33)&lt;&gt;Impostazioni!$C$4,"Fuori dall'anno",IF(C33="","Manca la categoria",IF(ISNA(MATCH(C33,Categorie!$A$6:$A$65,0)),"Categoria non trovata",IF(G33="","Categoria senza tipo",""))))))))</f>
        <v/>
      </c>
    </row>
    <row r="34">
      <c r="A34" s="29" t="n">
        <v>46042</v>
      </c>
      <c r="B34" s="17" t="inlineStr">
        <is>
          <t>Assegno unico INPS</t>
        </is>
      </c>
      <c r="C34" s="17" t="inlineStr">
        <is>
          <t>Assegno unico figli</t>
        </is>
      </c>
      <c r="D34" s="16" t="n">
        <v>145.3</v>
      </c>
      <c r="E34" s="30" t="inlineStr">
        <is>
          <t>Conto corrente</t>
        </is>
      </c>
      <c r="F34" s="17" t="n"/>
      <c r="G34" s="31">
        <f>IF(C34="","",IFERROR(INDEX(Categorie!$B$6:$B$65,MATCH(C34,Categorie!$A$6:$A$65,0))&amp;"",""))</f>
        <v/>
      </c>
      <c r="H34" s="32">
        <f>IF(AND(A34="",C34="",D34=""),"",IF(D34="","Manca l'importo",IF(NOT(ISNUMBER(D34)),"Importo non valido",IF(NOT(ISNUMBER(A34)),"Data mancante o non valida",IF(YEAR(A34)&lt;&gt;Impostazioni!$C$4,"Fuori dall'anno",IF(C34="","Manca la categoria",IF(ISNA(MATCH(C34,Categorie!$A$6:$A$65,0)),"Categoria non trovata",IF(G34="","Categoria senza tipo",""))))))))</f>
        <v/>
      </c>
    </row>
    <row r="35">
      <c r="A35" s="29" t="n">
        <v>46042</v>
      </c>
      <c r="B35" s="17" t="inlineStr">
        <is>
          <t>Farmacia</t>
        </is>
      </c>
      <c r="C35" s="17" t="inlineStr">
        <is>
          <t>Farmacia e salute</t>
        </is>
      </c>
      <c r="D35" s="16" t="n">
        <v>23.53</v>
      </c>
      <c r="E35" s="30" t="inlineStr">
        <is>
          <t>Carta di debito</t>
        </is>
      </c>
      <c r="F35" s="17" t="n"/>
      <c r="G35" s="31">
        <f>IF(C35="","",IFERROR(INDEX(Categorie!$B$6:$B$65,MATCH(C35,Categorie!$A$6:$A$65,0))&amp;"",""))</f>
        <v/>
      </c>
      <c r="H35" s="32">
        <f>IF(AND(A35="",C35="",D35=""),"",IF(D35="","Manca l'importo",IF(NOT(ISNUMBER(D35)),"Importo non valido",IF(NOT(ISNUMBER(A35)),"Data mancante o non valida",IF(YEAR(A35)&lt;&gt;Impostazioni!$C$4,"Fuori dall'anno",IF(C35="","Manca la categoria",IF(ISNA(MATCH(C35,Categorie!$A$6:$A$65,0)),"Categoria non trovata",IF(G35="","Categoria senza tipo",""))))))))</f>
        <v/>
      </c>
    </row>
    <row r="36">
      <c r="A36" s="29" t="n">
        <v>46043</v>
      </c>
      <c r="B36" s="17" t="inlineStr">
        <is>
          <t>Spesa al mercato</t>
        </is>
      </c>
      <c r="C36" s="17" t="inlineStr">
        <is>
          <t>Spesa alimentare</t>
        </is>
      </c>
      <c r="D36" s="16" t="n">
        <v>32.08</v>
      </c>
      <c r="E36" s="30" t="inlineStr">
        <is>
          <t>Contanti</t>
        </is>
      </c>
      <c r="F36" s="17" t="n"/>
      <c r="G36" s="31">
        <f>IF(C36="","",IFERROR(INDEX(Categorie!$B$6:$B$65,MATCH(C36,Categorie!$A$6:$A$65,0))&amp;"",""))</f>
        <v/>
      </c>
      <c r="H36" s="32">
        <f>IF(AND(A36="",C36="",D36=""),"",IF(D36="","Manca l'importo",IF(NOT(ISNUMBER(D36)),"Importo non valido",IF(NOT(ISNUMBER(A36)),"Data mancante o non valida",IF(YEAR(A36)&lt;&gt;Impostazioni!$C$4,"Fuori dall'anno",IF(C36="","Manca la categoria",IF(ISNA(MATCH(C36,Categorie!$A$6:$A$65,0)),"Categoria non trovata",IF(G36="","Categoria senza tipo",""))))))))</f>
        <v/>
      </c>
    </row>
    <row r="37">
      <c r="A37" s="29" t="n">
        <v>46046</v>
      </c>
      <c r="B37" s="17" t="inlineStr">
        <is>
          <t>Spesa settimanale</t>
        </is>
      </c>
      <c r="C37" s="17" t="inlineStr">
        <is>
          <t>Spesa alimentare</t>
        </is>
      </c>
      <c r="D37" s="16" t="n">
        <v>113.07</v>
      </c>
      <c r="E37" s="30" t="inlineStr">
        <is>
          <t>Carta di debito</t>
        </is>
      </c>
      <c r="F37" s="17" t="n"/>
      <c r="G37" s="31">
        <f>IF(C37="","",IFERROR(INDEX(Categorie!$B$6:$B$65,MATCH(C37,Categorie!$A$6:$A$65,0))&amp;"",""))</f>
        <v/>
      </c>
      <c r="H37" s="32">
        <f>IF(AND(A37="",C37="",D37=""),"",IF(D37="","Manca l'importo",IF(NOT(ISNUMBER(D37)),"Importo non valido",IF(NOT(ISNUMBER(A37)),"Data mancante o non valida",IF(YEAR(A37)&lt;&gt;Impostazioni!$C$4,"Fuori dall'anno",IF(C37="","Manca la categoria",IF(ISNA(MATCH(C37,Categorie!$A$6:$A$65,0)),"Categoria non trovata",IF(G37="","Categoria senza tipo",""))))))))</f>
        <v/>
      </c>
    </row>
    <row r="38">
      <c r="A38" s="29" t="n">
        <v>46047</v>
      </c>
      <c r="B38" s="17" t="inlineStr">
        <is>
          <t>Farmacia</t>
        </is>
      </c>
      <c r="C38" s="17" t="inlineStr">
        <is>
          <t>Farmacia e salute</t>
        </is>
      </c>
      <c r="D38" s="16" t="n">
        <v>30.85</v>
      </c>
      <c r="E38" s="30" t="inlineStr">
        <is>
          <t>Carta di debito</t>
        </is>
      </c>
      <c r="F38" s="17" t="n"/>
      <c r="G38" s="31">
        <f>IF(C38="","",IFERROR(INDEX(Categorie!$B$6:$B$65,MATCH(C38,Categorie!$A$6:$A$65,0))&amp;"",""))</f>
        <v/>
      </c>
      <c r="H38" s="32">
        <f>IF(AND(A38="",C38="",D38=""),"",IF(D38="","Manca l'importo",IF(NOT(ISNUMBER(D38)),"Importo non valido",IF(NOT(ISNUMBER(A38)),"Data mancante o non valida",IF(YEAR(A38)&lt;&gt;Impostazioni!$C$4,"Fuori dall'anno",IF(C38="","Manca la categoria",IF(ISNA(MATCH(C38,Categorie!$A$6:$A$65,0)),"Categoria non trovata",IF(G38="","Categoria senza tipo",""))))))))</f>
        <v/>
      </c>
    </row>
    <row r="39">
      <c r="A39" s="29" t="n">
        <v>46049</v>
      </c>
      <c r="B39" s="17" t="inlineStr">
        <is>
          <t>Stipendio</t>
        </is>
      </c>
      <c r="C39" s="17" t="inlineStr">
        <is>
          <t>Stipendio Giulia</t>
        </is>
      </c>
      <c r="D39" s="16" t="n">
        <v>1480</v>
      </c>
      <c r="E39" s="30" t="inlineStr">
        <is>
          <t>Conto corrente</t>
        </is>
      </c>
      <c r="F39" s="17" t="inlineStr">
        <is>
          <t>Giulia</t>
        </is>
      </c>
      <c r="G39" s="31">
        <f>IF(C39="","",IFERROR(INDEX(Categorie!$B$6:$B$65,MATCH(C39,Categorie!$A$6:$A$65,0))&amp;"",""))</f>
        <v/>
      </c>
      <c r="H39" s="32">
        <f>IF(AND(A39="",C39="",D39=""),"",IF(D39="","Manca l'importo",IF(NOT(ISNUMBER(D39)),"Importo non valido",IF(NOT(ISNUMBER(A39)),"Data mancante o non valida",IF(YEAR(A39)&lt;&gt;Impostazioni!$C$4,"Fuori dall'anno",IF(C39="","Manca la categoria",IF(ISNA(MATCH(C39,Categorie!$A$6:$A$65,0)),"Categoria non trovata",IF(G39="","Categoria senza tipo",""))))))))</f>
        <v/>
      </c>
    </row>
    <row r="40">
      <c r="A40" s="29" t="n">
        <v>46049</v>
      </c>
      <c r="B40" s="17" t="inlineStr">
        <is>
          <t>Stipendio</t>
        </is>
      </c>
      <c r="C40" s="17" t="inlineStr">
        <is>
          <t>Stipendio Marco</t>
        </is>
      </c>
      <c r="D40" s="16" t="n">
        <v>1850</v>
      </c>
      <c r="E40" s="30" t="inlineStr">
        <is>
          <t>Conto corrente</t>
        </is>
      </c>
      <c r="F40" s="17" t="inlineStr">
        <is>
          <t>Marco</t>
        </is>
      </c>
      <c r="G40" s="31">
        <f>IF(C40="","",IFERROR(INDEX(Categorie!$B$6:$B$65,MATCH(C40,Categorie!$A$6:$A$65,0))&amp;"",""))</f>
        <v/>
      </c>
      <c r="H40" s="32">
        <f>IF(AND(A40="",C40="",D40=""),"",IF(D40="","Manca l'importo",IF(NOT(ISNUMBER(D40)),"Importo non valido",IF(NOT(ISNUMBER(A40)),"Data mancante o non valida",IF(YEAR(A40)&lt;&gt;Impostazioni!$C$4,"Fuori dall'anno",IF(C40="","Manca la categoria",IF(ISNA(MATCH(C40,Categorie!$A$6:$A$65,0)),"Categoria non trovata",IF(G40="","Categoria senza tipo",""))))))))</f>
        <v/>
      </c>
    </row>
    <row r="41">
      <c r="A41" s="29" t="n">
        <v>46050</v>
      </c>
      <c r="B41" s="17" t="inlineStr">
        <is>
          <t>Versamento fondo emergenze</t>
        </is>
      </c>
      <c r="C41" s="17" t="inlineStr">
        <is>
          <t>Fondo emergenze</t>
        </is>
      </c>
      <c r="D41" s="16" t="n">
        <v>150</v>
      </c>
      <c r="E41" s="30" t="inlineStr">
        <is>
          <t>Conto corrente</t>
        </is>
      </c>
      <c r="F41" s="17" t="n"/>
      <c r="G41" s="31">
        <f>IF(C41="","",IFERROR(INDEX(Categorie!$B$6:$B$65,MATCH(C41,Categorie!$A$6:$A$65,0))&amp;"",""))</f>
        <v/>
      </c>
      <c r="H41" s="32">
        <f>IF(AND(A41="",C41="",D41=""),"",IF(D41="","Manca l'importo",IF(NOT(ISNUMBER(D41)),"Importo non valido",IF(NOT(ISNUMBER(A41)),"Data mancante o non valida",IF(YEAR(A41)&lt;&gt;Impostazioni!$C$4,"Fuori dall'anno",IF(C41="","Manca la categoria",IF(ISNA(MATCH(C41,Categorie!$A$6:$A$65,0)),"Categoria non trovata",IF(G41="","Categoria senza tipo",""))))))))</f>
        <v/>
      </c>
    </row>
    <row r="42">
      <c r="A42" s="29" t="n">
        <v>46050</v>
      </c>
      <c r="B42" s="17" t="inlineStr">
        <is>
          <t>Piano di accumulo mensile</t>
        </is>
      </c>
      <c r="C42" s="17" t="inlineStr">
        <is>
          <t>Investimenti</t>
        </is>
      </c>
      <c r="D42" s="16" t="n">
        <v>100</v>
      </c>
      <c r="E42" s="30" t="inlineStr">
        <is>
          <t>Conto corrente</t>
        </is>
      </c>
      <c r="F42" s="17" t="n"/>
      <c r="G42" s="31">
        <f>IF(C42="","",IFERROR(INDEX(Categorie!$B$6:$B$65,MATCH(C42,Categorie!$A$6:$A$65,0))&amp;"",""))</f>
        <v/>
      </c>
      <c r="H42" s="32">
        <f>IF(AND(A42="",C42="",D42=""),"",IF(D42="","Manca l'importo",IF(NOT(ISNUMBER(D42)),"Importo non valido",IF(NOT(ISNUMBER(A42)),"Data mancante o non valida",IF(YEAR(A42)&lt;&gt;Impostazioni!$C$4,"Fuori dall'anno",IF(C42="","Manca la categoria",IF(ISNA(MATCH(C42,Categorie!$A$6:$A$65,0)),"Categoria non trovata",IF(G42="","Categoria senza tipo",""))))))))</f>
        <v/>
      </c>
    </row>
    <row r="43">
      <c r="A43" s="29" t="n">
        <v>46050</v>
      </c>
      <c r="B43" s="17" t="inlineStr">
        <is>
          <t>Accantonamento obiettivi</t>
        </is>
      </c>
      <c r="C43" s="17" t="inlineStr">
        <is>
          <t>Obiettivi di risparmio</t>
        </is>
      </c>
      <c r="D43" s="16" t="n">
        <v>200</v>
      </c>
      <c r="E43" s="30" t="inlineStr">
        <is>
          <t>Conto corrente</t>
        </is>
      </c>
      <c r="F43" s="17" t="n"/>
      <c r="G43" s="31">
        <f>IF(C43="","",IFERROR(INDEX(Categorie!$B$6:$B$65,MATCH(C43,Categorie!$A$6:$A$65,0))&amp;"",""))</f>
        <v/>
      </c>
      <c r="H43" s="32">
        <f>IF(AND(A43="",C43="",D43=""),"",IF(D43="","Manca l'importo",IF(NOT(ISNUMBER(D43)),"Importo non valido",IF(NOT(ISNUMBER(A43)),"Data mancante o non valida",IF(YEAR(A43)&lt;&gt;Impostazioni!$C$4,"Fuori dall'anno",IF(C43="","Manca la categoria",IF(ISNA(MATCH(C43,Categorie!$A$6:$A$65,0)),"Categoria non trovata",IF(G43="","Categoria senza tipo",""))))))))</f>
        <v/>
      </c>
    </row>
    <row r="44">
      <c r="A44" s="29" t="n">
        <v>46051</v>
      </c>
      <c r="B44" s="17" t="inlineStr">
        <is>
          <t>Rifornimento</t>
        </is>
      </c>
      <c r="C44" s="17" t="inlineStr">
        <is>
          <t>Carburante</t>
        </is>
      </c>
      <c r="D44" s="16" t="n">
        <v>62.6</v>
      </c>
      <c r="E44" s="30" t="inlineStr">
        <is>
          <t>Carta di credito</t>
        </is>
      </c>
      <c r="F44" s="17" t="inlineStr">
        <is>
          <t>Marco</t>
        </is>
      </c>
      <c r="G44" s="31">
        <f>IF(C44="","",IFERROR(INDEX(Categorie!$B$6:$B$65,MATCH(C44,Categorie!$A$6:$A$65,0))&amp;"",""))</f>
        <v/>
      </c>
      <c r="H44" s="32">
        <f>IF(AND(A44="",C44="",D44=""),"",IF(D44="","Manca l'importo",IF(NOT(ISNUMBER(D44)),"Importo non valido",IF(NOT(ISNUMBER(A44)),"Data mancante o non valida",IF(YEAR(A44)&lt;&gt;Impostazioni!$C$4,"Fuori dall'anno",IF(C44="","Manca la categoria",IF(ISNA(MATCH(C44,Categorie!$A$6:$A$65,0)),"Categoria non trovata",IF(G44="","Categoria senza tipo",""))))))))</f>
        <v/>
      </c>
    </row>
    <row r="45">
      <c r="A45" s="29" t="n">
        <v>46053</v>
      </c>
      <c r="B45" s="17" t="inlineStr">
        <is>
          <t>Spesa settimanale</t>
        </is>
      </c>
      <c r="C45" s="17" t="inlineStr">
        <is>
          <t>Spesa alimentare</t>
        </is>
      </c>
      <c r="D45" s="16" t="n">
        <v>112.76</v>
      </c>
      <c r="E45" s="30" t="inlineStr">
        <is>
          <t>Carta di debito</t>
        </is>
      </c>
      <c r="F45" s="17" t="n"/>
      <c r="G45" s="31">
        <f>IF(C45="","",IFERROR(INDEX(Categorie!$B$6:$B$65,MATCH(C45,Categorie!$A$6:$A$65,0))&amp;"",""))</f>
        <v/>
      </c>
      <c r="H45" s="32">
        <f>IF(AND(A45="",C45="",D45=""),"",IF(D45="","Manca l'importo",IF(NOT(ISNUMBER(D45)),"Importo non valido",IF(NOT(ISNUMBER(A45)),"Data mancante o non valida",IF(YEAR(A45)&lt;&gt;Impostazioni!$C$4,"Fuori dall'anno",IF(C45="","Manca la categoria",IF(ISNA(MATCH(C45,Categorie!$A$6:$A$65,0)),"Categoria non trovata",IF(G45="","Categoria senza tipo",""))))))))</f>
        <v/>
      </c>
    </row>
    <row r="46">
      <c r="A46" s="29" t="n">
        <v>46054</v>
      </c>
      <c r="B46" s="17" t="inlineStr">
        <is>
          <t>Rata mutuo</t>
        </is>
      </c>
      <c r="C46" s="17" t="inlineStr">
        <is>
          <t>Affitto o rata mutuo</t>
        </is>
      </c>
      <c r="D46" s="16" t="n">
        <v>680</v>
      </c>
      <c r="E46" s="30" t="inlineStr">
        <is>
          <t>Conto corrente</t>
        </is>
      </c>
      <c r="F46" s="17" t="n"/>
      <c r="G46" s="31">
        <f>IF(C46="","",IFERROR(INDEX(Categorie!$B$6:$B$65,MATCH(C46,Categorie!$A$6:$A$65,0))&amp;"",""))</f>
        <v/>
      </c>
      <c r="H46" s="32">
        <f>IF(AND(A46="",C46="",D46=""),"",IF(D46="","Manca l'importo",IF(NOT(ISNUMBER(D46)),"Importo non valido",IF(NOT(ISNUMBER(A46)),"Data mancante o non valida",IF(YEAR(A46)&lt;&gt;Impostazioni!$C$4,"Fuori dall'anno",IF(C46="","Manca la categoria",IF(ISNA(MATCH(C46,Categorie!$A$6:$A$65,0)),"Categoria non trovata",IF(G46="","Categoria senza tipo",""))))))))</f>
        <v/>
      </c>
    </row>
    <row r="47">
      <c r="A47" s="29" t="n">
        <v>46055</v>
      </c>
      <c r="B47" s="17" t="inlineStr">
        <is>
          <t>Gelateria</t>
        </is>
      </c>
      <c r="C47" s="17" t="inlineStr">
        <is>
          <t>Svago</t>
        </is>
      </c>
      <c r="D47" s="16" t="n">
        <v>14.93</v>
      </c>
      <c r="E47" s="30" t="inlineStr">
        <is>
          <t>Carta di debito</t>
        </is>
      </c>
      <c r="F47" s="17" t="n"/>
      <c r="G47" s="31">
        <f>IF(C47="","",IFERROR(INDEX(Categorie!$B$6:$B$65,MATCH(C47,Categorie!$A$6:$A$65,0))&amp;"",""))</f>
        <v/>
      </c>
      <c r="H47" s="32">
        <f>IF(AND(A47="",C47="",D47=""),"",IF(D47="","Manca l'importo",IF(NOT(ISNUMBER(D47)),"Importo non valido",IF(NOT(ISNUMBER(A47)),"Data mancante o non valida",IF(YEAR(A47)&lt;&gt;Impostazioni!$C$4,"Fuori dall'anno",IF(C47="","Manca la categoria",IF(ISNA(MATCH(C47,Categorie!$A$6:$A$65,0)),"Categoria non trovata",IF(G47="","Categoria senza tipo",""))))))))</f>
        <v/>
      </c>
    </row>
    <row r="48">
      <c r="A48" s="29" t="n">
        <v>46056</v>
      </c>
      <c r="B48" s="17" t="inlineStr">
        <is>
          <t>Abbonamento bus Sofia</t>
        </is>
      </c>
      <c r="C48" s="17" t="inlineStr">
        <is>
          <t>Trasporti</t>
        </is>
      </c>
      <c r="D48" s="16" t="n">
        <v>25</v>
      </c>
      <c r="E48" s="30" t="inlineStr">
        <is>
          <t>Carta di debito</t>
        </is>
      </c>
      <c r="F48" s="17" t="inlineStr">
        <is>
          <t>Sofia</t>
        </is>
      </c>
      <c r="G48" s="31">
        <f>IF(C48="","",IFERROR(INDEX(Categorie!$B$6:$B$65,MATCH(C48,Categorie!$A$6:$A$65,0))&amp;"",""))</f>
        <v/>
      </c>
      <c r="H48" s="32">
        <f>IF(AND(A48="",C48="",D48=""),"",IF(D48="","Manca l'importo",IF(NOT(ISNUMBER(D48)),"Importo non valido",IF(NOT(ISNUMBER(A48)),"Data mancante o non valida",IF(YEAR(A48)&lt;&gt;Impostazioni!$C$4,"Fuori dall'anno",IF(C48="","Manca la categoria",IF(ISNA(MATCH(C48,Categorie!$A$6:$A$65,0)),"Categoria non trovata",IF(G48="","Categoria senza tipo",""))))))))</f>
        <v/>
      </c>
    </row>
    <row r="49">
      <c r="A49" s="29" t="n">
        <v>46057</v>
      </c>
      <c r="B49" s="17" t="inlineStr">
        <is>
          <t>Mensa scolastica</t>
        </is>
      </c>
      <c r="C49" s="17" t="inlineStr">
        <is>
          <t>Scuola e figli</t>
        </is>
      </c>
      <c r="D49" s="16" t="n">
        <v>78</v>
      </c>
      <c r="E49" s="30" t="inlineStr">
        <is>
          <t>Conto corrente</t>
        </is>
      </c>
      <c r="F49" s="17" t="inlineStr">
        <is>
          <t>Sofia</t>
        </is>
      </c>
      <c r="G49" s="31">
        <f>IF(C49="","",IFERROR(INDEX(Categorie!$B$6:$B$65,MATCH(C49,Categorie!$A$6:$A$65,0))&amp;"",""))</f>
        <v/>
      </c>
      <c r="H49" s="32">
        <f>IF(AND(A49="",C49="",D49=""),"",IF(D49="","Manca l'importo",IF(NOT(ISNUMBER(D49)),"Importo non valido",IF(NOT(ISNUMBER(A49)),"Data mancante o non valida",IF(YEAR(A49)&lt;&gt;Impostazioni!$C$4,"Fuori dall'anno",IF(C49="","Manca la categoria",IF(ISNA(MATCH(C49,Categorie!$A$6:$A$65,0)),"Categoria non trovata",IF(G49="","Categoria senza tipo",""))))))))</f>
        <v/>
      </c>
    </row>
    <row r="50">
      <c r="A50" s="29" t="n">
        <v>46057</v>
      </c>
      <c r="B50" s="17" t="inlineStr">
        <is>
          <t>Spesa al mercato</t>
        </is>
      </c>
      <c r="C50" s="17" t="inlineStr">
        <is>
          <t>Spesa alimentare</t>
        </is>
      </c>
      <c r="D50" s="16" t="n">
        <v>30.75</v>
      </c>
      <c r="E50" s="30" t="inlineStr">
        <is>
          <t>Contanti</t>
        </is>
      </c>
      <c r="F50" s="17" t="n"/>
      <c r="G50" s="31">
        <f>IF(C50="","",IFERROR(INDEX(Categorie!$B$6:$B$65,MATCH(C50,Categorie!$A$6:$A$65,0))&amp;"",""))</f>
        <v/>
      </c>
      <c r="H50" s="32">
        <f>IF(AND(A50="",C50="",D50=""),"",IF(D50="","Manca l'importo",IF(NOT(ISNUMBER(D50)),"Importo non valido",IF(NOT(ISNUMBER(A50)),"Data mancante o non valida",IF(YEAR(A50)&lt;&gt;Impostazioni!$C$4,"Fuori dall'anno",IF(C50="","Manca la categoria",IF(ISNA(MATCH(C50,Categorie!$A$6:$A$65,0)),"Categoria non trovata",IF(G50="","Categoria senza tipo",""))))))))</f>
        <v/>
      </c>
    </row>
    <row r="51">
      <c r="A51" s="29" t="n">
        <v>46058</v>
      </c>
      <c r="B51" s="17" t="inlineStr">
        <is>
          <t>Fibra casa</t>
        </is>
      </c>
      <c r="C51" s="17" t="inlineStr">
        <is>
          <t>Internet e telefono</t>
        </is>
      </c>
      <c r="D51" s="16" t="n">
        <v>27.9</v>
      </c>
      <c r="E51" s="30" t="inlineStr">
        <is>
          <t>Carta di credito</t>
        </is>
      </c>
      <c r="F51" s="17" t="n"/>
      <c r="G51" s="31">
        <f>IF(C51="","",IFERROR(INDEX(Categorie!$B$6:$B$65,MATCH(C51,Categorie!$A$6:$A$65,0))&amp;"",""))</f>
        <v/>
      </c>
      <c r="H51" s="32">
        <f>IF(AND(A51="",C51="",D51=""),"",IF(D51="","Manca l'importo",IF(NOT(ISNUMBER(D51)),"Importo non valido",IF(NOT(ISNUMBER(A51)),"Data mancante o non valida",IF(YEAR(A51)&lt;&gt;Impostazioni!$C$4,"Fuori dall'anno",IF(C51="","Manca la categoria",IF(ISNA(MATCH(C51,Categorie!$A$6:$A$65,0)),"Categoria non trovata",IF(G51="","Categoria senza tipo",""))))))))</f>
        <v/>
      </c>
    </row>
    <row r="52">
      <c r="A52" s="29" t="n">
        <v>46058</v>
      </c>
      <c r="B52" s="17" t="inlineStr">
        <is>
          <t>Telefono Giulia</t>
        </is>
      </c>
      <c r="C52" s="17" t="inlineStr">
        <is>
          <t>Internet e telefono</t>
        </is>
      </c>
      <c r="D52" s="16" t="n">
        <v>7.99</v>
      </c>
      <c r="E52" s="30" t="inlineStr">
        <is>
          <t>Carta di credito</t>
        </is>
      </c>
      <c r="F52" s="17" t="inlineStr">
        <is>
          <t>Giulia</t>
        </is>
      </c>
      <c r="G52" s="31">
        <f>IF(C52="","",IFERROR(INDEX(Categorie!$B$6:$B$65,MATCH(C52,Categorie!$A$6:$A$65,0))&amp;"",""))</f>
        <v/>
      </c>
      <c r="H52" s="32">
        <f>IF(AND(A52="",C52="",D52=""),"",IF(D52="","Manca l'importo",IF(NOT(ISNUMBER(D52)),"Importo non valido",IF(NOT(ISNUMBER(A52)),"Data mancante o non valida",IF(YEAR(A52)&lt;&gt;Impostazioni!$C$4,"Fuori dall'anno",IF(C52="","Manca la categoria",IF(ISNA(MATCH(C52,Categorie!$A$6:$A$65,0)),"Categoria non trovata",IF(G52="","Categoria senza tipo",""))))))))</f>
        <v/>
      </c>
    </row>
    <row r="53">
      <c r="A53" s="29" t="n">
        <v>46058</v>
      </c>
      <c r="B53" s="17" t="inlineStr">
        <is>
          <t>Telefono Marco</t>
        </is>
      </c>
      <c r="C53" s="17" t="inlineStr">
        <is>
          <t>Internet e telefono</t>
        </is>
      </c>
      <c r="D53" s="16" t="n">
        <v>9.99</v>
      </c>
      <c r="E53" s="30" t="inlineStr">
        <is>
          <t>Carta di credito</t>
        </is>
      </c>
      <c r="F53" s="17" t="inlineStr">
        <is>
          <t>Marco</t>
        </is>
      </c>
      <c r="G53" s="31">
        <f>IF(C53="","",IFERROR(INDEX(Categorie!$B$6:$B$65,MATCH(C53,Categorie!$A$6:$A$65,0))&amp;"",""))</f>
        <v/>
      </c>
      <c r="H53" s="32">
        <f>IF(AND(A53="",C53="",D53=""),"",IF(D53="","Manca l'importo",IF(NOT(ISNUMBER(D53)),"Importo non valido",IF(NOT(ISNUMBER(A53)),"Data mancante o non valida",IF(YEAR(A53)&lt;&gt;Impostazioni!$C$4,"Fuori dall'anno",IF(C53="","Manca la categoria",IF(ISNA(MATCH(C53,Categorie!$A$6:$A$65,0)),"Categoria non trovata",IF(G53="","Categoria senza tipo",""))))))))</f>
        <v/>
      </c>
    </row>
    <row r="54">
      <c r="A54" s="29" t="n">
        <v>46060</v>
      </c>
      <c r="B54" s="17" t="inlineStr">
        <is>
          <t>Ferramenta</t>
        </is>
      </c>
      <c r="C54" s="17" t="inlineStr">
        <is>
          <t>Casa e manutenzione</t>
        </is>
      </c>
      <c r="D54" s="16" t="n">
        <v>23.5</v>
      </c>
      <c r="E54" s="30" t="inlineStr">
        <is>
          <t>Contanti</t>
        </is>
      </c>
      <c r="F54" s="17" t="n"/>
      <c r="G54" s="31">
        <f>IF(C54="","",IFERROR(INDEX(Categorie!$B$6:$B$65,MATCH(C54,Categorie!$A$6:$A$65,0))&amp;"",""))</f>
        <v/>
      </c>
      <c r="H54" s="32">
        <f>IF(AND(A54="",C54="",D54=""),"",IF(D54="","Manca l'importo",IF(NOT(ISNUMBER(D54)),"Importo non valido",IF(NOT(ISNUMBER(A54)),"Data mancante o non valida",IF(YEAR(A54)&lt;&gt;Impostazioni!$C$4,"Fuori dall'anno",IF(C54="","Manca la categoria",IF(ISNA(MATCH(C54,Categorie!$A$6:$A$65,0)),"Categoria non trovata",IF(G54="","Categoria senza tipo",""))))))))</f>
        <v/>
      </c>
    </row>
    <row r="55">
      <c r="A55" s="29" t="n">
        <v>46060</v>
      </c>
      <c r="B55" s="17" t="inlineStr">
        <is>
          <t>Spesa settimanale</t>
        </is>
      </c>
      <c r="C55" s="17" t="inlineStr">
        <is>
          <t>Spesa alimentare</t>
        </is>
      </c>
      <c r="D55" s="16" t="n">
        <v>93.84</v>
      </c>
      <c r="E55" s="30" t="inlineStr">
        <is>
          <t>Carta di debito</t>
        </is>
      </c>
      <c r="F55" s="17" t="n"/>
      <c r="G55" s="31">
        <f>IF(C55="","",IFERROR(INDEX(Categorie!$B$6:$B$65,MATCH(C55,Categorie!$A$6:$A$65,0))&amp;"",""))</f>
        <v/>
      </c>
      <c r="H55" s="32">
        <f>IF(AND(A55="",C55="",D55=""),"",IF(D55="","Manca l'importo",IF(NOT(ISNUMBER(D55)),"Importo non valido",IF(NOT(ISNUMBER(A55)),"Data mancante o non valida",IF(YEAR(A55)&lt;&gt;Impostazioni!$C$4,"Fuori dall'anno",IF(C55="","Manca la categoria",IF(ISNA(MATCH(C55,Categorie!$A$6:$A$65,0)),"Categoria non trovata",IF(G55="","Categoria senza tipo",""))))))))</f>
        <v/>
      </c>
    </row>
    <row r="56">
      <c r="A56" s="29" t="n">
        <v>46061</v>
      </c>
      <c r="B56" s="17" t="inlineStr">
        <is>
          <t>Musica in streaming</t>
        </is>
      </c>
      <c r="C56" s="17" t="inlineStr">
        <is>
          <t>Abbonamenti</t>
        </is>
      </c>
      <c r="D56" s="16" t="n">
        <v>10.99</v>
      </c>
      <c r="E56" s="30" t="inlineStr">
        <is>
          <t>Carta di credito</t>
        </is>
      </c>
      <c r="F56" s="17" t="inlineStr">
        <is>
          <t>Giulia</t>
        </is>
      </c>
      <c r="G56" s="31">
        <f>IF(C56="","",IFERROR(INDEX(Categorie!$B$6:$B$65,MATCH(C56,Categorie!$A$6:$A$65,0))&amp;"",""))</f>
        <v/>
      </c>
      <c r="H56" s="32">
        <f>IF(AND(A56="",C56="",D56=""),"",IF(D56="","Manca l'importo",IF(NOT(ISNUMBER(D56)),"Importo non valido",IF(NOT(ISNUMBER(A56)),"Data mancante o non valida",IF(YEAR(A56)&lt;&gt;Impostazioni!$C$4,"Fuori dall'anno",IF(C56="","Manca la categoria",IF(ISNA(MATCH(C56,Categorie!$A$6:$A$65,0)),"Categoria non trovata",IF(G56="","Categoria senza tipo",""))))))))</f>
        <v/>
      </c>
    </row>
    <row r="57">
      <c r="A57" s="29" t="n">
        <v>46061</v>
      </c>
      <c r="B57" s="17" t="inlineStr">
        <is>
          <t>Streaming video</t>
        </is>
      </c>
      <c r="C57" s="17" t="inlineStr">
        <is>
          <t>Abbonamenti</t>
        </is>
      </c>
      <c r="D57" s="16" t="n">
        <v>13.99</v>
      </c>
      <c r="E57" s="30" t="inlineStr">
        <is>
          <t>Carta di credito</t>
        </is>
      </c>
      <c r="F57" s="17" t="n"/>
      <c r="G57" s="31">
        <f>IF(C57="","",IFERROR(INDEX(Categorie!$B$6:$B$65,MATCH(C57,Categorie!$A$6:$A$65,0))&amp;"",""))</f>
        <v/>
      </c>
      <c r="H57" s="32">
        <f>IF(AND(A57="",C57="",D57=""),"",IF(D57="","Manca l'importo",IF(NOT(ISNUMBER(D57)),"Importo non valido",IF(NOT(ISNUMBER(A57)),"Data mancante o non valida",IF(YEAR(A57)&lt;&gt;Impostazioni!$C$4,"Fuori dall'anno",IF(C57="","Manca la categoria",IF(ISNA(MATCH(C57,Categorie!$A$6:$A$65,0)),"Categoria non trovata",IF(G57="","Categoria senza tipo",""))))))))</f>
        <v/>
      </c>
    </row>
    <row r="58">
      <c r="A58" s="29" t="n">
        <v>46061</v>
      </c>
      <c r="B58" s="17" t="inlineStr">
        <is>
          <t>Rifornimento</t>
        </is>
      </c>
      <c r="C58" s="17" t="inlineStr">
        <is>
          <t>Carburante</t>
        </is>
      </c>
      <c r="D58" s="16" t="n">
        <v>54.94</v>
      </c>
      <c r="E58" s="30" t="inlineStr">
        <is>
          <t>Carta di credito</t>
        </is>
      </c>
      <c r="F58" s="17" t="inlineStr">
        <is>
          <t>Giulia</t>
        </is>
      </c>
      <c r="G58" s="31">
        <f>IF(C58="","",IFERROR(INDEX(Categorie!$B$6:$B$65,MATCH(C58,Categorie!$A$6:$A$65,0))&amp;"",""))</f>
        <v/>
      </c>
      <c r="H58" s="32">
        <f>IF(AND(A58="",C58="",D58=""),"",IF(D58="","Manca l'importo",IF(NOT(ISNUMBER(D58)),"Importo non valido",IF(NOT(ISNUMBER(A58)),"Data mancante o non valida",IF(YEAR(A58)&lt;&gt;Impostazioni!$C$4,"Fuori dall'anno",IF(C58="","Manca la categoria",IF(ISNA(MATCH(C58,Categorie!$A$6:$A$65,0)),"Categoria non trovata",IF(G58="","Categoria senza tipo",""))))))))</f>
        <v/>
      </c>
    </row>
    <row r="59">
      <c r="A59" s="29" t="n">
        <v>46066</v>
      </c>
      <c r="B59" s="17" t="inlineStr">
        <is>
          <t>Gelateria</t>
        </is>
      </c>
      <c r="C59" s="17" t="inlineStr">
        <is>
          <t>Svago</t>
        </is>
      </c>
      <c r="D59" s="16" t="n">
        <v>12.23</v>
      </c>
      <c r="E59" s="30" t="inlineStr">
        <is>
          <t>Carta di debito</t>
        </is>
      </c>
      <c r="F59" s="17" t="n"/>
      <c r="G59" s="31">
        <f>IF(C59="","",IFERROR(INDEX(Categorie!$B$6:$B$65,MATCH(C59,Categorie!$A$6:$A$65,0))&amp;"",""))</f>
        <v/>
      </c>
      <c r="H59" s="32">
        <f>IF(AND(A59="",C59="",D59=""),"",IF(D59="","Manca l'importo",IF(NOT(ISNUMBER(D59)),"Importo non valido",IF(NOT(ISNUMBER(A59)),"Data mancante o non valida",IF(YEAR(A59)&lt;&gt;Impostazioni!$C$4,"Fuori dall'anno",IF(C59="","Manca la categoria",IF(ISNA(MATCH(C59,Categorie!$A$6:$A$65,0)),"Categoria non trovata",IF(G59="","Categoria senza tipo",""))))))))</f>
        <v/>
      </c>
    </row>
    <row r="60">
      <c r="A60" s="29" t="n">
        <v>46067</v>
      </c>
      <c r="B60" s="17" t="inlineStr">
        <is>
          <t>Spesa settimanale</t>
        </is>
      </c>
      <c r="C60" s="17" t="inlineStr">
        <is>
          <t>Spesa alimentare</t>
        </is>
      </c>
      <c r="D60" s="16" t="n">
        <v>122.39</v>
      </c>
      <c r="E60" s="30" t="inlineStr">
        <is>
          <t>Carta di debito</t>
        </is>
      </c>
      <c r="F60" s="17" t="n"/>
      <c r="G60" s="31">
        <f>IF(C60="","",IFERROR(INDEX(Categorie!$B$6:$B$65,MATCH(C60,Categorie!$A$6:$A$65,0))&amp;"",""))</f>
        <v/>
      </c>
      <c r="H60" s="32">
        <f>IF(AND(A60="",C60="",D60=""),"",IF(D60="","Manca l'importo",IF(NOT(ISNUMBER(D60)),"Importo non valido",IF(NOT(ISNUMBER(A60)),"Data mancante o non valida",IF(YEAR(A60)&lt;&gt;Impostazioni!$C$4,"Fuori dall'anno",IF(C60="","Manca la categoria",IF(ISNA(MATCH(C60,Categorie!$A$6:$A$65,0)),"Categoria non trovata",IF(G60="","Categoria senza tipo",""))))))))</f>
        <v/>
      </c>
    </row>
    <row r="61">
      <c r="A61" s="29" t="n">
        <v>46068</v>
      </c>
      <c r="B61" s="17" t="inlineStr">
        <is>
          <t>Rata carta revolving</t>
        </is>
      </c>
      <c r="C61" s="17" t="inlineStr">
        <is>
          <t>Rate di prestiti</t>
        </is>
      </c>
      <c r="D61" s="16" t="n">
        <v>60</v>
      </c>
      <c r="E61" s="30" t="inlineStr">
        <is>
          <t>Conto corrente</t>
        </is>
      </c>
      <c r="F61" s="17" t="n"/>
      <c r="G61" s="31">
        <f>IF(C61="","",IFERROR(INDEX(Categorie!$B$6:$B$65,MATCH(C61,Categorie!$A$6:$A$65,0))&amp;"",""))</f>
        <v/>
      </c>
      <c r="H61" s="32">
        <f>IF(AND(A61="",C61="",D61=""),"",IF(D61="","Manca l'importo",IF(NOT(ISNUMBER(D61)),"Importo non valido",IF(NOT(ISNUMBER(A61)),"Data mancante o non valida",IF(YEAR(A61)&lt;&gt;Impostazioni!$C$4,"Fuori dall'anno",IF(C61="","Manca la categoria",IF(ISNA(MATCH(C61,Categorie!$A$6:$A$65,0)),"Categoria non trovata",IF(G61="","Categoria senza tipo",""))))))))</f>
        <v/>
      </c>
    </row>
    <row r="62">
      <c r="A62" s="29" t="n">
        <v>46068</v>
      </c>
      <c r="B62" s="17" t="inlineStr">
        <is>
          <t>Rata lavatrice a tasso zero</t>
        </is>
      </c>
      <c r="C62" s="17" t="inlineStr">
        <is>
          <t>Rate di prestiti</t>
        </is>
      </c>
      <c r="D62" s="16" t="n">
        <v>40</v>
      </c>
      <c r="E62" s="30" t="inlineStr">
        <is>
          <t>Conto corrente</t>
        </is>
      </c>
      <c r="F62" s="17" t="n"/>
      <c r="G62" s="31">
        <f>IF(C62="","",IFERROR(INDEX(Categorie!$B$6:$B$65,MATCH(C62,Categorie!$A$6:$A$65,0))&amp;"",""))</f>
        <v/>
      </c>
      <c r="H62" s="32">
        <f>IF(AND(A62="",C62="",D62=""),"",IF(D62="","Manca l'importo",IF(NOT(ISNUMBER(D62)),"Importo non valido",IF(NOT(ISNUMBER(A62)),"Data mancante o non valida",IF(YEAR(A62)&lt;&gt;Impostazioni!$C$4,"Fuori dall'anno",IF(C62="","Manca la categoria",IF(ISNA(MATCH(C62,Categorie!$A$6:$A$65,0)),"Categoria non trovata",IF(G62="","Categoria senza tipo",""))))))))</f>
        <v/>
      </c>
    </row>
    <row r="63">
      <c r="A63" s="29" t="n">
        <v>46068</v>
      </c>
      <c r="B63" s="17" t="inlineStr">
        <is>
          <t>Rata prestito auto</t>
        </is>
      </c>
      <c r="C63" s="17" t="inlineStr">
        <is>
          <t>Rate di prestiti</t>
        </is>
      </c>
      <c r="D63" s="16" t="n">
        <v>210</v>
      </c>
      <c r="E63" s="30" t="inlineStr">
        <is>
          <t>Conto corrente</t>
        </is>
      </c>
      <c r="F63" s="17" t="n"/>
      <c r="G63" s="31">
        <f>IF(C63="","",IFERROR(INDEX(Categorie!$B$6:$B$65,MATCH(C63,Categorie!$A$6:$A$65,0))&amp;"",""))</f>
        <v/>
      </c>
      <c r="H63" s="32">
        <f>IF(AND(A63="",C63="",D63=""),"",IF(D63="","Manca l'importo",IF(NOT(ISNUMBER(D63)),"Importo non valido",IF(NOT(ISNUMBER(A63)),"Data mancante o non valida",IF(YEAR(A63)&lt;&gt;Impostazioni!$C$4,"Fuori dall'anno",IF(C63="","Manca la categoria",IF(ISNA(MATCH(C63,Categorie!$A$6:$A$65,0)),"Categoria non trovata",IF(G63="","Categoria senza tipo",""))))))))</f>
        <v/>
      </c>
    </row>
    <row r="64">
      <c r="A64" s="29" t="n">
        <v>46068</v>
      </c>
      <c r="B64" s="17" t="inlineStr">
        <is>
          <t>Compleanno nonna</t>
        </is>
      </c>
      <c r="C64" s="17" t="inlineStr">
        <is>
          <t>Regali</t>
        </is>
      </c>
      <c r="D64" s="16" t="n">
        <v>40</v>
      </c>
      <c r="E64" s="30" t="inlineStr">
        <is>
          <t>Contanti</t>
        </is>
      </c>
      <c r="F64" s="17" t="n"/>
      <c r="G64" s="31">
        <f>IF(C64="","",IFERROR(INDEX(Categorie!$B$6:$B$65,MATCH(C64,Categorie!$A$6:$A$65,0))&amp;"",""))</f>
        <v/>
      </c>
      <c r="H64" s="32">
        <f>IF(AND(A64="",C64="",D64=""),"",IF(D64="","Manca l'importo",IF(NOT(ISNUMBER(D64)),"Importo non valido",IF(NOT(ISNUMBER(A64)),"Data mancante o non valida",IF(YEAR(A64)&lt;&gt;Impostazioni!$C$4,"Fuori dall'anno",IF(C64="","Manca la categoria",IF(ISNA(MATCH(C64,Categorie!$A$6:$A$65,0)),"Categoria non trovata",IF(G64="","Categoria senza tipo",""))))))))</f>
        <v/>
      </c>
    </row>
    <row r="65">
      <c r="A65" s="29" t="n">
        <v>46069</v>
      </c>
      <c r="B65" s="17" t="inlineStr">
        <is>
          <t>Gelateria</t>
        </is>
      </c>
      <c r="C65" s="17" t="inlineStr">
        <is>
          <t>Svago</t>
        </is>
      </c>
      <c r="D65" s="16" t="n">
        <v>9.99</v>
      </c>
      <c r="E65" s="30" t="inlineStr">
        <is>
          <t>Carta di debito</t>
        </is>
      </c>
      <c r="F65" s="17" t="n"/>
      <c r="G65" s="31">
        <f>IF(C65="","",IFERROR(INDEX(Categorie!$B$6:$B$65,MATCH(C65,Categorie!$A$6:$A$65,0))&amp;"",""))</f>
        <v/>
      </c>
      <c r="H65" s="32">
        <f>IF(AND(A65="",C65="",D65=""),"",IF(D65="","Manca l'importo",IF(NOT(ISNUMBER(D65)),"Importo non valido",IF(NOT(ISNUMBER(A65)),"Data mancante o non valida",IF(YEAR(A65)&lt;&gt;Impostazioni!$C$4,"Fuori dall'anno",IF(C65="","Manca la categoria",IF(ISNA(MATCH(C65,Categorie!$A$6:$A$65,0)),"Categoria non trovata",IF(G65="","Categoria senza tipo",""))))))))</f>
        <v/>
      </c>
    </row>
    <row r="66">
      <c r="A66" s="29" t="n">
        <v>46070</v>
      </c>
      <c r="B66" s="17" t="inlineStr">
        <is>
          <t>Rifornimento</t>
        </is>
      </c>
      <c r="C66" s="17" t="inlineStr">
        <is>
          <t>Carburante</t>
        </is>
      </c>
      <c r="D66" s="16" t="n">
        <v>62.59</v>
      </c>
      <c r="E66" s="30" t="inlineStr">
        <is>
          <t>Carta di credito</t>
        </is>
      </c>
      <c r="F66" s="17" t="inlineStr">
        <is>
          <t>Marco</t>
        </is>
      </c>
      <c r="G66" s="31">
        <f>IF(C66="","",IFERROR(INDEX(Categorie!$B$6:$B$65,MATCH(C66,Categorie!$A$6:$A$65,0))&amp;"",""))</f>
        <v/>
      </c>
      <c r="H66" s="32">
        <f>IF(AND(A66="",C66="",D66=""),"",IF(D66="","Manca l'importo",IF(NOT(ISNUMBER(D66)),"Importo non valido",IF(NOT(ISNUMBER(A66)),"Data mancante o non valida",IF(YEAR(A66)&lt;&gt;Impostazioni!$C$4,"Fuori dall'anno",IF(C66="","Manca la categoria",IF(ISNA(MATCH(C66,Categorie!$A$6:$A$65,0)),"Categoria non trovata",IF(G66="","Categoria senza tipo",""))))))))</f>
        <v/>
      </c>
    </row>
    <row r="67">
      <c r="A67" s="29" t="n">
        <v>46071</v>
      </c>
      <c r="B67" s="17" t="inlineStr">
        <is>
          <t>Bolletta gas</t>
        </is>
      </c>
      <c r="C67" s="17" t="inlineStr">
        <is>
          <t>Gas</t>
        </is>
      </c>
      <c r="D67" s="16" t="n">
        <v>149.52</v>
      </c>
      <c r="E67" s="30" t="inlineStr">
        <is>
          <t>Conto corrente</t>
        </is>
      </c>
      <c r="F67" s="17" t="n"/>
      <c r="G67" s="31">
        <f>IF(C67="","",IFERROR(INDEX(Categorie!$B$6:$B$65,MATCH(C67,Categorie!$A$6:$A$65,0))&amp;"",""))</f>
        <v/>
      </c>
      <c r="H67" s="32">
        <f>IF(AND(A67="",C67="",D67=""),"",IF(D67="","Manca l'importo",IF(NOT(ISNUMBER(D67)),"Importo non valido",IF(NOT(ISNUMBER(A67)),"Data mancante o non valida",IF(YEAR(A67)&lt;&gt;Impostazioni!$C$4,"Fuori dall'anno",IF(C67="","Manca la categoria",IF(ISNA(MATCH(C67,Categorie!$A$6:$A$65,0)),"Categoria non trovata",IF(G67="","Categoria senza tipo",""))))))))</f>
        <v/>
      </c>
    </row>
    <row r="68">
      <c r="A68" s="29" t="n">
        <v>46071</v>
      </c>
      <c r="B68" s="17" t="inlineStr">
        <is>
          <t>Bolletta luce</t>
        </is>
      </c>
      <c r="C68" s="17" t="inlineStr">
        <is>
          <t>Luce</t>
        </is>
      </c>
      <c r="D68" s="16" t="n">
        <v>73.68000000000001</v>
      </c>
      <c r="E68" s="30" t="inlineStr">
        <is>
          <t>Conto corrente</t>
        </is>
      </c>
      <c r="F68" s="17" t="n"/>
      <c r="G68" s="31">
        <f>IF(C68="","",IFERROR(INDEX(Categorie!$B$6:$B$65,MATCH(C68,Categorie!$A$6:$A$65,0))&amp;"",""))</f>
        <v/>
      </c>
      <c r="H68" s="32">
        <f>IF(AND(A68="",C68="",D68=""),"",IF(D68="","Manca l'importo",IF(NOT(ISNUMBER(D68)),"Importo non valido",IF(NOT(ISNUMBER(A68)),"Data mancante o non valida",IF(YEAR(A68)&lt;&gt;Impostazioni!$C$4,"Fuori dall'anno",IF(C68="","Manca la categoria",IF(ISNA(MATCH(C68,Categorie!$A$6:$A$65,0)),"Categoria non trovata",IF(G68="","Categoria senza tipo",""))))))))</f>
        <v/>
      </c>
    </row>
    <row r="69">
      <c r="A69" s="29" t="n">
        <v>46071</v>
      </c>
      <c r="B69" s="17" t="inlineStr">
        <is>
          <t>Spesa al mercato</t>
        </is>
      </c>
      <c r="C69" s="17" t="inlineStr">
        <is>
          <t>Spesa alimentare</t>
        </is>
      </c>
      <c r="D69" s="16" t="n">
        <v>18.12</v>
      </c>
      <c r="E69" s="30" t="inlineStr">
        <is>
          <t>Contanti</t>
        </is>
      </c>
      <c r="F69" s="17" t="n"/>
      <c r="G69" s="31">
        <f>IF(C69="","",IFERROR(INDEX(Categorie!$B$6:$B$65,MATCH(C69,Categorie!$A$6:$A$65,0))&amp;"",""))</f>
        <v/>
      </c>
      <c r="H69" s="32">
        <f>IF(AND(A69="",C69="",D69=""),"",IF(D69="","Manca l'importo",IF(NOT(ISNUMBER(D69)),"Importo non valido",IF(NOT(ISNUMBER(A69)),"Data mancante o non valida",IF(YEAR(A69)&lt;&gt;Impostazioni!$C$4,"Fuori dall'anno",IF(C69="","Manca la categoria",IF(ISNA(MATCH(C69,Categorie!$A$6:$A$65,0)),"Categoria non trovata",IF(G69="","Categoria senza tipo",""))))))))</f>
        <v/>
      </c>
    </row>
    <row r="70">
      <c r="A70" s="29" t="n">
        <v>46072</v>
      </c>
      <c r="B70" s="17" t="inlineStr">
        <is>
          <t>Riparazione auto</t>
        </is>
      </c>
      <c r="C70" s="17" t="inlineStr">
        <is>
          <t>Imprevisti</t>
        </is>
      </c>
      <c r="D70" s="16" t="n">
        <v>384.2</v>
      </c>
      <c r="E70" s="30" t="inlineStr">
        <is>
          <t>Carta di debito</t>
        </is>
      </c>
      <c r="F70" s="17" t="inlineStr">
        <is>
          <t>Marco</t>
        </is>
      </c>
      <c r="G70" s="31">
        <f>IF(C70="","",IFERROR(INDEX(Categorie!$B$6:$B$65,MATCH(C70,Categorie!$A$6:$A$65,0))&amp;"",""))</f>
        <v/>
      </c>
      <c r="H70" s="32">
        <f>IF(AND(A70="",C70="",D70=""),"",IF(D70="","Manca l'importo",IF(NOT(ISNUMBER(D70)),"Importo non valido",IF(NOT(ISNUMBER(A70)),"Data mancante o non valida",IF(YEAR(A70)&lt;&gt;Impostazioni!$C$4,"Fuori dall'anno",IF(C70="","Manca la categoria",IF(ISNA(MATCH(C70,Categorie!$A$6:$A$65,0)),"Categoria non trovata",IF(G70="","Categoria senza tipo",""))))))))</f>
        <v/>
      </c>
    </row>
    <row r="71">
      <c r="A71" s="29" t="n">
        <v>46073</v>
      </c>
      <c r="B71" s="17" t="inlineStr">
        <is>
          <t>Assegno unico INPS</t>
        </is>
      </c>
      <c r="C71" s="17" t="inlineStr">
        <is>
          <t>Assegno unico figli</t>
        </is>
      </c>
      <c r="D71" s="16" t="n">
        <v>145.3</v>
      </c>
      <c r="E71" s="30" t="inlineStr">
        <is>
          <t>Conto corrente</t>
        </is>
      </c>
      <c r="F71" s="17" t="n"/>
      <c r="G71" s="31">
        <f>IF(C71="","",IFERROR(INDEX(Categorie!$B$6:$B$65,MATCH(C71,Categorie!$A$6:$A$65,0))&amp;"",""))</f>
        <v/>
      </c>
      <c r="H71" s="32">
        <f>IF(AND(A71="",C71="",D71=""),"",IF(D71="","Manca l'importo",IF(NOT(ISNUMBER(D71)),"Importo non valido",IF(NOT(ISNUMBER(A71)),"Data mancante o non valida",IF(YEAR(A71)&lt;&gt;Impostazioni!$C$4,"Fuori dall'anno",IF(C71="","Manca la categoria",IF(ISNA(MATCH(C71,Categorie!$A$6:$A$65,0)),"Categoria non trovata",IF(G71="","Categoria senza tipo",""))))))))</f>
        <v/>
      </c>
    </row>
    <row r="72">
      <c r="A72" s="29" t="n">
        <v>46074</v>
      </c>
      <c r="B72" s="17" t="inlineStr">
        <is>
          <t>Spesa settimanale</t>
        </is>
      </c>
      <c r="C72" s="17" t="inlineStr">
        <is>
          <t>Spesa alimentare</t>
        </is>
      </c>
      <c r="D72" s="16" t="n">
        <v>107.19</v>
      </c>
      <c r="E72" s="30" t="inlineStr">
        <is>
          <t>Carta di debito</t>
        </is>
      </c>
      <c r="F72" s="17" t="n"/>
      <c r="G72" s="31">
        <f>IF(C72="","",IFERROR(INDEX(Categorie!$B$6:$B$65,MATCH(C72,Categorie!$A$6:$A$65,0))&amp;"",""))</f>
        <v/>
      </c>
      <c r="H72" s="32">
        <f>IF(AND(A72="",C72="",D72=""),"",IF(D72="","Manca l'importo",IF(NOT(ISNUMBER(D72)),"Importo non valido",IF(NOT(ISNUMBER(A72)),"Data mancante o non valida",IF(YEAR(A72)&lt;&gt;Impostazioni!$C$4,"Fuori dall'anno",IF(C72="","Manca la categoria",IF(ISNA(MATCH(C72,Categorie!$A$6:$A$65,0)),"Categoria non trovata",IF(G72="","Categoria senza tipo",""))))))))</f>
        <v/>
      </c>
    </row>
    <row r="73">
      <c r="A73" s="29" t="n">
        <v>46075</v>
      </c>
      <c r="B73" s="17" t="inlineStr">
        <is>
          <t>Bolletta acqua</t>
        </is>
      </c>
      <c r="C73" s="17" t="inlineStr">
        <is>
          <t>Acqua</t>
        </is>
      </c>
      <c r="D73" s="16" t="n">
        <v>91.40000000000001</v>
      </c>
      <c r="E73" s="30" t="inlineStr">
        <is>
          <t>Conto corrente</t>
        </is>
      </c>
      <c r="F73" s="17" t="n"/>
      <c r="G73" s="31">
        <f>IF(C73="","",IFERROR(INDEX(Categorie!$B$6:$B$65,MATCH(C73,Categorie!$A$6:$A$65,0))&amp;"",""))</f>
        <v/>
      </c>
      <c r="H73" s="32">
        <f>IF(AND(A73="",C73="",D73=""),"",IF(D73="","Manca l'importo",IF(NOT(ISNUMBER(D73)),"Importo non valido",IF(NOT(ISNUMBER(A73)),"Data mancante o non valida",IF(YEAR(A73)&lt;&gt;Impostazioni!$C$4,"Fuori dall'anno",IF(C73="","Manca la categoria",IF(ISNA(MATCH(C73,Categorie!$A$6:$A$65,0)),"Categoria non trovata",IF(G73="","Categoria senza tipo",""))))))))</f>
        <v/>
      </c>
    </row>
    <row r="74">
      <c r="A74" s="29" t="n">
        <v>46077</v>
      </c>
      <c r="B74" s="17" t="inlineStr">
        <is>
          <t>Libri</t>
        </is>
      </c>
      <c r="C74" s="17" t="inlineStr">
        <is>
          <t>Svago</t>
        </is>
      </c>
      <c r="D74" s="16" t="n">
        <v>23.46</v>
      </c>
      <c r="E74" s="30" t="inlineStr">
        <is>
          <t>Carta di debito</t>
        </is>
      </c>
      <c r="F74" s="17" t="n"/>
      <c r="G74" s="31">
        <f>IF(C74="","",IFERROR(INDEX(Categorie!$B$6:$B$65,MATCH(C74,Categorie!$A$6:$A$65,0))&amp;"",""))</f>
        <v/>
      </c>
      <c r="H74" s="32">
        <f>IF(AND(A74="",C74="",D74=""),"",IF(D74="","Manca l'importo",IF(NOT(ISNUMBER(D74)),"Importo non valido",IF(NOT(ISNUMBER(A74)),"Data mancante o non valida",IF(YEAR(A74)&lt;&gt;Impostazioni!$C$4,"Fuori dall'anno",IF(C74="","Manca la categoria",IF(ISNA(MATCH(C74,Categorie!$A$6:$A$65,0)),"Categoria non trovata",IF(G74="","Categoria senza tipo",""))))))))</f>
        <v/>
      </c>
    </row>
    <row r="75">
      <c r="A75" s="29" t="n">
        <v>46078</v>
      </c>
      <c r="B75" s="17" t="inlineStr">
        <is>
          <t>Farmacia</t>
        </is>
      </c>
      <c r="C75" s="17" t="inlineStr">
        <is>
          <t>Farmacia e salute</t>
        </is>
      </c>
      <c r="D75" s="16" t="n">
        <v>16.89</v>
      </c>
      <c r="E75" s="30" t="inlineStr">
        <is>
          <t>Carta di debito</t>
        </is>
      </c>
      <c r="F75" s="17" t="n"/>
      <c r="G75" s="31">
        <f>IF(C75="","",IFERROR(INDEX(Categorie!$B$6:$B$65,MATCH(C75,Categorie!$A$6:$A$65,0))&amp;"",""))</f>
        <v/>
      </c>
      <c r="H75" s="32">
        <f>IF(AND(A75="",C75="",D75=""),"",IF(D75="","Manca l'importo",IF(NOT(ISNUMBER(D75)),"Importo non valido",IF(NOT(ISNUMBER(A75)),"Data mancante o non valida",IF(YEAR(A75)&lt;&gt;Impostazioni!$C$4,"Fuori dall'anno",IF(C75="","Manca la categoria",IF(ISNA(MATCH(C75,Categorie!$A$6:$A$65,0)),"Categoria non trovata",IF(G75="","Categoria senza tipo",""))))))))</f>
        <v/>
      </c>
    </row>
    <row r="76">
      <c r="A76" s="29" t="n">
        <v>46078</v>
      </c>
      <c r="B76" s="17" t="inlineStr">
        <is>
          <t>Parcheggio</t>
        </is>
      </c>
      <c r="C76" s="17" t="inlineStr">
        <is>
          <t>Trasporti</t>
        </is>
      </c>
      <c r="D76" s="16" t="n">
        <v>5.6</v>
      </c>
      <c r="E76" s="30" t="inlineStr">
        <is>
          <t>Contanti</t>
        </is>
      </c>
      <c r="F76" s="17" t="n"/>
      <c r="G76" s="31">
        <f>IF(C76="","",IFERROR(INDEX(Categorie!$B$6:$B$65,MATCH(C76,Categorie!$A$6:$A$65,0))&amp;"",""))</f>
        <v/>
      </c>
      <c r="H76" s="32">
        <f>IF(AND(A76="",C76="",D76=""),"",IF(D76="","Manca l'importo",IF(NOT(ISNUMBER(D76)),"Importo non valido",IF(NOT(ISNUMBER(A76)),"Data mancante o non valida",IF(YEAR(A76)&lt;&gt;Impostazioni!$C$4,"Fuori dall'anno",IF(C76="","Manca la categoria",IF(ISNA(MATCH(C76,Categorie!$A$6:$A$65,0)),"Categoria non trovata",IF(G76="","Categoria senza tipo",""))))))))</f>
        <v/>
      </c>
    </row>
    <row r="77">
      <c r="A77" s="29" t="n">
        <v>46080</v>
      </c>
      <c r="B77" s="17" t="inlineStr">
        <is>
          <t>Stipendio</t>
        </is>
      </c>
      <c r="C77" s="17" t="inlineStr">
        <is>
          <t>Stipendio Giulia</t>
        </is>
      </c>
      <c r="D77" s="16" t="n">
        <v>1480</v>
      </c>
      <c r="E77" s="30" t="inlineStr">
        <is>
          <t>Conto corrente</t>
        </is>
      </c>
      <c r="F77" s="17" t="inlineStr">
        <is>
          <t>Giulia</t>
        </is>
      </c>
      <c r="G77" s="31">
        <f>IF(C77="","",IFERROR(INDEX(Categorie!$B$6:$B$65,MATCH(C77,Categorie!$A$6:$A$65,0))&amp;"",""))</f>
        <v/>
      </c>
      <c r="H77" s="32">
        <f>IF(AND(A77="",C77="",D77=""),"",IF(D77="","Manca l'importo",IF(NOT(ISNUMBER(D77)),"Importo non valido",IF(NOT(ISNUMBER(A77)),"Data mancante o non valida",IF(YEAR(A77)&lt;&gt;Impostazioni!$C$4,"Fuori dall'anno",IF(C77="","Manca la categoria",IF(ISNA(MATCH(C77,Categorie!$A$6:$A$65,0)),"Categoria non trovata",IF(G77="","Categoria senza tipo",""))))))))</f>
        <v/>
      </c>
    </row>
    <row r="78">
      <c r="A78" s="29" t="n">
        <v>46080</v>
      </c>
      <c r="B78" s="17" t="inlineStr">
        <is>
          <t>Stipendio</t>
        </is>
      </c>
      <c r="C78" s="17" t="inlineStr">
        <is>
          <t>Stipendio Marco</t>
        </is>
      </c>
      <c r="D78" s="16" t="n">
        <v>1850</v>
      </c>
      <c r="E78" s="30" t="inlineStr">
        <is>
          <t>Conto corrente</t>
        </is>
      </c>
      <c r="F78" s="17" t="inlineStr">
        <is>
          <t>Marco</t>
        </is>
      </c>
      <c r="G78" s="31">
        <f>IF(C78="","",IFERROR(INDEX(Categorie!$B$6:$B$65,MATCH(C78,Categorie!$A$6:$A$65,0))&amp;"",""))</f>
        <v/>
      </c>
      <c r="H78" s="32">
        <f>IF(AND(A78="",C78="",D78=""),"",IF(D78="","Manca l'importo",IF(NOT(ISNUMBER(D78)),"Importo non valido",IF(NOT(ISNUMBER(A78)),"Data mancante o non valida",IF(YEAR(A78)&lt;&gt;Impostazioni!$C$4,"Fuori dall'anno",IF(C78="","Manca la categoria",IF(ISNA(MATCH(C78,Categorie!$A$6:$A$65,0)),"Categoria non trovata",IF(G78="","Categoria senza tipo",""))))))))</f>
        <v/>
      </c>
    </row>
    <row r="79">
      <c r="A79" s="29" t="n">
        <v>46080</v>
      </c>
      <c r="B79" s="17" t="inlineStr">
        <is>
          <t>Parcheggio</t>
        </is>
      </c>
      <c r="C79" s="17" t="inlineStr">
        <is>
          <t>Trasporti</t>
        </is>
      </c>
      <c r="D79" s="16" t="n">
        <v>4.63</v>
      </c>
      <c r="E79" s="30" t="inlineStr">
        <is>
          <t>Contanti</t>
        </is>
      </c>
      <c r="F79" s="17" t="n"/>
      <c r="G79" s="31">
        <f>IF(C79="","",IFERROR(INDEX(Categorie!$B$6:$B$65,MATCH(C79,Categorie!$A$6:$A$65,0))&amp;"",""))</f>
        <v/>
      </c>
      <c r="H79" s="32">
        <f>IF(AND(A79="",C79="",D79=""),"",IF(D79="","Manca l'importo",IF(NOT(ISNUMBER(D79)),"Importo non valido",IF(NOT(ISNUMBER(A79)),"Data mancante o non valida",IF(YEAR(A79)&lt;&gt;Impostazioni!$C$4,"Fuori dall'anno",IF(C79="","Manca la categoria",IF(ISNA(MATCH(C79,Categorie!$A$6:$A$65,0)),"Categoria non trovata",IF(G79="","Categoria senza tipo",""))))))))</f>
        <v/>
      </c>
    </row>
    <row r="80">
      <c r="A80" s="29" t="n">
        <v>46081</v>
      </c>
      <c r="B80" s="17" t="inlineStr">
        <is>
          <t>Versamento fondo emergenze</t>
        </is>
      </c>
      <c r="C80" s="17" t="inlineStr">
        <is>
          <t>Fondo emergenze</t>
        </is>
      </c>
      <c r="D80" s="16" t="n">
        <v>150</v>
      </c>
      <c r="E80" s="30" t="inlineStr">
        <is>
          <t>Conto corrente</t>
        </is>
      </c>
      <c r="F80" s="17" t="n"/>
      <c r="G80" s="31">
        <f>IF(C80="","",IFERROR(INDEX(Categorie!$B$6:$B$65,MATCH(C80,Categorie!$A$6:$A$65,0))&amp;"",""))</f>
        <v/>
      </c>
      <c r="H80" s="32">
        <f>IF(AND(A80="",C80="",D80=""),"",IF(D80="","Manca l'importo",IF(NOT(ISNUMBER(D80)),"Importo non valido",IF(NOT(ISNUMBER(A80)),"Data mancante o non valida",IF(YEAR(A80)&lt;&gt;Impostazioni!$C$4,"Fuori dall'anno",IF(C80="","Manca la categoria",IF(ISNA(MATCH(C80,Categorie!$A$6:$A$65,0)),"Categoria non trovata",IF(G80="","Categoria senza tipo",""))))))))</f>
        <v/>
      </c>
    </row>
    <row r="81">
      <c r="A81" s="29" t="n">
        <v>46081</v>
      </c>
      <c r="B81" s="17" t="inlineStr">
        <is>
          <t>Piano di accumulo mensile</t>
        </is>
      </c>
      <c r="C81" s="17" t="inlineStr">
        <is>
          <t>Investimenti</t>
        </is>
      </c>
      <c r="D81" s="16" t="n">
        <v>100</v>
      </c>
      <c r="E81" s="30" t="inlineStr">
        <is>
          <t>Conto corrente</t>
        </is>
      </c>
      <c r="F81" s="17" t="n"/>
      <c r="G81" s="31">
        <f>IF(C81="","",IFERROR(INDEX(Categorie!$B$6:$B$65,MATCH(C81,Categorie!$A$6:$A$65,0))&amp;"",""))</f>
        <v/>
      </c>
      <c r="H81" s="32">
        <f>IF(AND(A81="",C81="",D81=""),"",IF(D81="","Manca l'importo",IF(NOT(ISNUMBER(D81)),"Importo non valido",IF(NOT(ISNUMBER(A81)),"Data mancante o non valida",IF(YEAR(A81)&lt;&gt;Impostazioni!$C$4,"Fuori dall'anno",IF(C81="","Manca la categoria",IF(ISNA(MATCH(C81,Categorie!$A$6:$A$65,0)),"Categoria non trovata",IF(G81="","Categoria senza tipo",""))))))))</f>
        <v/>
      </c>
    </row>
    <row r="82">
      <c r="A82" s="29" t="n">
        <v>46081</v>
      </c>
      <c r="B82" s="17" t="inlineStr">
        <is>
          <t>Accantonamento obiettivi</t>
        </is>
      </c>
      <c r="C82" s="17" t="inlineStr">
        <is>
          <t>Obiettivi di risparmio</t>
        </is>
      </c>
      <c r="D82" s="16" t="n">
        <v>200</v>
      </c>
      <c r="E82" s="30" t="inlineStr">
        <is>
          <t>Conto corrente</t>
        </is>
      </c>
      <c r="F82" s="17" t="n"/>
      <c r="G82" s="31">
        <f>IF(C82="","",IFERROR(INDEX(Categorie!$B$6:$B$65,MATCH(C82,Categorie!$A$6:$A$65,0))&amp;"",""))</f>
        <v/>
      </c>
      <c r="H82" s="32">
        <f>IF(AND(A82="",C82="",D82=""),"",IF(D82="","Manca l'importo",IF(NOT(ISNUMBER(D82)),"Importo non valido",IF(NOT(ISNUMBER(A82)),"Data mancante o non valida",IF(YEAR(A82)&lt;&gt;Impostazioni!$C$4,"Fuori dall'anno",IF(C82="","Manca la categoria",IF(ISNA(MATCH(C82,Categorie!$A$6:$A$65,0)),"Categoria non trovata",IF(G82="","Categoria senza tipo",""))))))))</f>
        <v/>
      </c>
    </row>
    <row r="83">
      <c r="A83" s="29" t="n">
        <v>46081</v>
      </c>
      <c r="B83" s="17" t="inlineStr">
        <is>
          <t>Spesa settimanale</t>
        </is>
      </c>
      <c r="C83" s="17" t="inlineStr">
        <is>
          <t>Spesa alimentare</t>
        </is>
      </c>
      <c r="D83" s="16" t="n">
        <v>92.67</v>
      </c>
      <c r="E83" s="30" t="inlineStr">
        <is>
          <t>Carta di debito</t>
        </is>
      </c>
      <c r="F83" s="17" t="n"/>
      <c r="G83" s="31">
        <f>IF(C83="","",IFERROR(INDEX(Categorie!$B$6:$B$65,MATCH(C83,Categorie!$A$6:$A$65,0))&amp;"",""))</f>
        <v/>
      </c>
      <c r="H83" s="32">
        <f>IF(AND(A83="",C83="",D83=""),"",IF(D83="","Manca l'importo",IF(NOT(ISNUMBER(D83)),"Importo non valido",IF(NOT(ISNUMBER(A83)),"Data mancante o non valida",IF(YEAR(A83)&lt;&gt;Impostazioni!$C$4,"Fuori dall'anno",IF(C83="","Manca la categoria",IF(ISNA(MATCH(C83,Categorie!$A$6:$A$65,0)),"Categoria non trovata",IF(G83="","Categoria senza tipo",""))))))))</f>
        <v/>
      </c>
    </row>
    <row r="84">
      <c r="A84" s="29" t="n">
        <v>46082</v>
      </c>
      <c r="B84" s="17" t="inlineStr">
        <is>
          <t>Rata mutuo</t>
        </is>
      </c>
      <c r="C84" s="17" t="inlineStr">
        <is>
          <t>Affitto o rata mutuo</t>
        </is>
      </c>
      <c r="D84" s="16" t="n">
        <v>680</v>
      </c>
      <c r="E84" s="30" t="inlineStr">
        <is>
          <t>Conto corrente</t>
        </is>
      </c>
      <c r="F84" s="17" t="n"/>
      <c r="G84" s="31">
        <f>IF(C84="","",IFERROR(INDEX(Categorie!$B$6:$B$65,MATCH(C84,Categorie!$A$6:$A$65,0))&amp;"",""))</f>
        <v/>
      </c>
      <c r="H84" s="32">
        <f>IF(AND(A84="",C84="",D84=""),"",IF(D84="","Manca l'importo",IF(NOT(ISNUMBER(D84)),"Importo non valido",IF(NOT(ISNUMBER(A84)),"Data mancante o non valida",IF(YEAR(A84)&lt;&gt;Impostazioni!$C$4,"Fuori dall'anno",IF(C84="","Manca la categoria",IF(ISNA(MATCH(C84,Categorie!$A$6:$A$65,0)),"Categoria non trovata",IF(G84="","Categoria senza tipo",""))))))))</f>
        <v/>
      </c>
    </row>
    <row r="85">
      <c r="A85" s="29" t="n">
        <v>46082</v>
      </c>
      <c r="B85" s="17" t="inlineStr">
        <is>
          <t>Rifornimento</t>
        </is>
      </c>
      <c r="C85" s="17" t="inlineStr">
        <is>
          <t>Carburante</t>
        </is>
      </c>
      <c r="D85" s="16" t="n">
        <v>66.23</v>
      </c>
      <c r="E85" s="30" t="inlineStr">
        <is>
          <t>Carta di credito</t>
        </is>
      </c>
      <c r="F85" s="17" t="inlineStr">
        <is>
          <t>Giulia</t>
        </is>
      </c>
      <c r="G85" s="31">
        <f>IF(C85="","",IFERROR(INDEX(Categorie!$B$6:$B$65,MATCH(C85,Categorie!$A$6:$A$65,0))&amp;"",""))</f>
        <v/>
      </c>
      <c r="H85" s="32">
        <f>IF(AND(A85="",C85="",D85=""),"",IF(D85="","Manca l'importo",IF(NOT(ISNUMBER(D85)),"Importo non valido",IF(NOT(ISNUMBER(A85)),"Data mancante o non valida",IF(YEAR(A85)&lt;&gt;Impostazioni!$C$4,"Fuori dall'anno",IF(C85="","Manca la categoria",IF(ISNA(MATCH(C85,Categorie!$A$6:$A$65,0)),"Categoria non trovata",IF(G85="","Categoria senza tipo",""))))))))</f>
        <v/>
      </c>
    </row>
    <row r="86">
      <c r="A86" s="29" t="n">
        <v>46083</v>
      </c>
      <c r="B86" s="17" t="inlineStr">
        <is>
          <t>RC auto</t>
        </is>
      </c>
      <c r="C86" s="17" t="inlineStr">
        <is>
          <t>Assicurazioni</t>
        </is>
      </c>
      <c r="D86" s="16" t="n">
        <v>486</v>
      </c>
      <c r="E86" s="30" t="inlineStr">
        <is>
          <t>Conto corrente</t>
        </is>
      </c>
      <c r="F86" s="17" t="n"/>
      <c r="G86" s="31">
        <f>IF(C86="","",IFERROR(INDEX(Categorie!$B$6:$B$65,MATCH(C86,Categorie!$A$6:$A$65,0))&amp;"",""))</f>
        <v/>
      </c>
      <c r="H86" s="32">
        <f>IF(AND(A86="",C86="",D86=""),"",IF(D86="","Manca l'importo",IF(NOT(ISNUMBER(D86)),"Importo non valido",IF(NOT(ISNUMBER(A86)),"Data mancante o non valida",IF(YEAR(A86)&lt;&gt;Impostazioni!$C$4,"Fuori dall'anno",IF(C86="","Manca la categoria",IF(ISNA(MATCH(C86,Categorie!$A$6:$A$65,0)),"Categoria non trovata",IF(G86="","Categoria senza tipo",""))))))))</f>
        <v/>
      </c>
    </row>
    <row r="87">
      <c r="A87" s="29" t="n">
        <v>46084</v>
      </c>
      <c r="B87" s="17" t="inlineStr">
        <is>
          <t>Abbonamento bus Sofia</t>
        </is>
      </c>
      <c r="C87" s="17" t="inlineStr">
        <is>
          <t>Trasporti</t>
        </is>
      </c>
      <c r="D87" s="16" t="n">
        <v>25</v>
      </c>
      <c r="E87" s="30" t="inlineStr">
        <is>
          <t>Carta di debito</t>
        </is>
      </c>
      <c r="F87" s="17" t="inlineStr">
        <is>
          <t>Sofia</t>
        </is>
      </c>
      <c r="G87" s="31">
        <f>IF(C87="","",IFERROR(INDEX(Categorie!$B$6:$B$65,MATCH(C87,Categorie!$A$6:$A$65,0))&amp;"",""))</f>
        <v/>
      </c>
      <c r="H87" s="32">
        <f>IF(AND(A87="",C87="",D87=""),"",IF(D87="","Manca l'importo",IF(NOT(ISNUMBER(D87)),"Importo non valido",IF(NOT(ISNUMBER(A87)),"Data mancante o non valida",IF(YEAR(A87)&lt;&gt;Impostazioni!$C$4,"Fuori dall'anno",IF(C87="","Manca la categoria",IF(ISNA(MATCH(C87,Categorie!$A$6:$A$65,0)),"Categoria non trovata",IF(G87="","Categoria senza tipo",""))))))))</f>
        <v/>
      </c>
    </row>
    <row r="88">
      <c r="A88" s="29" t="n">
        <v>46085</v>
      </c>
      <c r="B88" s="17" t="inlineStr">
        <is>
          <t>Mensa scolastica</t>
        </is>
      </c>
      <c r="C88" s="17" t="inlineStr">
        <is>
          <t>Scuola e figli</t>
        </is>
      </c>
      <c r="D88" s="16" t="n">
        <v>78</v>
      </c>
      <c r="E88" s="30" t="inlineStr">
        <is>
          <t>Conto corrente</t>
        </is>
      </c>
      <c r="F88" s="17" t="inlineStr">
        <is>
          <t>Sofia</t>
        </is>
      </c>
      <c r="G88" s="31">
        <f>IF(C88="","",IFERROR(INDEX(Categorie!$B$6:$B$65,MATCH(C88,Categorie!$A$6:$A$65,0))&amp;"",""))</f>
        <v/>
      </c>
      <c r="H88" s="32">
        <f>IF(AND(A88="",C88="",D88=""),"",IF(D88="","Manca l'importo",IF(NOT(ISNUMBER(D88)),"Importo non valido",IF(NOT(ISNUMBER(A88)),"Data mancante o non valida",IF(YEAR(A88)&lt;&gt;Impostazioni!$C$4,"Fuori dall'anno",IF(C88="","Manca la categoria",IF(ISNA(MATCH(C88,Categorie!$A$6:$A$65,0)),"Categoria non trovata",IF(G88="","Categoria senza tipo",""))))))))</f>
        <v/>
      </c>
    </row>
    <row r="89">
      <c r="A89" s="29" t="n">
        <v>46085</v>
      </c>
      <c r="B89" s="17" t="inlineStr">
        <is>
          <t>Spesa al mercato</t>
        </is>
      </c>
      <c r="C89" s="17" t="inlineStr">
        <is>
          <t>Spesa alimentare</t>
        </is>
      </c>
      <c r="D89" s="16" t="n">
        <v>17.33</v>
      </c>
      <c r="E89" s="30" t="inlineStr">
        <is>
          <t>Contanti</t>
        </is>
      </c>
      <c r="F89" s="17" t="n"/>
      <c r="G89" s="31">
        <f>IF(C89="","",IFERROR(INDEX(Categorie!$B$6:$B$65,MATCH(C89,Categorie!$A$6:$A$65,0))&amp;"",""))</f>
        <v/>
      </c>
      <c r="H89" s="32">
        <f>IF(AND(A89="",C89="",D89=""),"",IF(D89="","Manca l'importo",IF(NOT(ISNUMBER(D89)),"Importo non valido",IF(NOT(ISNUMBER(A89)),"Data mancante o non valida",IF(YEAR(A89)&lt;&gt;Impostazioni!$C$4,"Fuori dall'anno",IF(C89="","Manca la categoria",IF(ISNA(MATCH(C89,Categorie!$A$6:$A$65,0)),"Categoria non trovata",IF(G89="","Categoria senza tipo",""))))))))</f>
        <v/>
      </c>
    </row>
    <row r="90">
      <c r="A90" s="29" t="n">
        <v>46086</v>
      </c>
      <c r="B90" s="17" t="inlineStr">
        <is>
          <t>Fibra casa</t>
        </is>
      </c>
      <c r="C90" s="17" t="inlineStr">
        <is>
          <t>Internet e telefono</t>
        </is>
      </c>
      <c r="D90" s="16" t="n">
        <v>27.9</v>
      </c>
      <c r="E90" s="30" t="inlineStr">
        <is>
          <t>Carta di credito</t>
        </is>
      </c>
      <c r="F90" s="17" t="n"/>
      <c r="G90" s="31">
        <f>IF(C90="","",IFERROR(INDEX(Categorie!$B$6:$B$65,MATCH(C90,Categorie!$A$6:$A$65,0))&amp;"",""))</f>
        <v/>
      </c>
      <c r="H90" s="32">
        <f>IF(AND(A90="",C90="",D90=""),"",IF(D90="","Manca l'importo",IF(NOT(ISNUMBER(D90)),"Importo non valido",IF(NOT(ISNUMBER(A90)),"Data mancante o non valida",IF(YEAR(A90)&lt;&gt;Impostazioni!$C$4,"Fuori dall'anno",IF(C90="","Manca la categoria",IF(ISNA(MATCH(C90,Categorie!$A$6:$A$65,0)),"Categoria non trovata",IF(G90="","Categoria senza tipo",""))))))))</f>
        <v/>
      </c>
    </row>
    <row r="91">
      <c r="A91" s="29" t="n">
        <v>46086</v>
      </c>
      <c r="B91" s="17" t="inlineStr">
        <is>
          <t>Telefono Giulia</t>
        </is>
      </c>
      <c r="C91" s="17" t="inlineStr">
        <is>
          <t>Internet e telefono</t>
        </is>
      </c>
      <c r="D91" s="16" t="n">
        <v>7.99</v>
      </c>
      <c r="E91" s="30" t="inlineStr">
        <is>
          <t>Carta di credito</t>
        </is>
      </c>
      <c r="F91" s="17" t="inlineStr">
        <is>
          <t>Giulia</t>
        </is>
      </c>
      <c r="G91" s="31">
        <f>IF(C91="","",IFERROR(INDEX(Categorie!$B$6:$B$65,MATCH(C91,Categorie!$A$6:$A$65,0))&amp;"",""))</f>
        <v/>
      </c>
      <c r="H91" s="32">
        <f>IF(AND(A91="",C91="",D91=""),"",IF(D91="","Manca l'importo",IF(NOT(ISNUMBER(D91)),"Importo non valido",IF(NOT(ISNUMBER(A91)),"Data mancante o non valida",IF(YEAR(A91)&lt;&gt;Impostazioni!$C$4,"Fuori dall'anno",IF(C91="","Manca la categoria",IF(ISNA(MATCH(C91,Categorie!$A$6:$A$65,0)),"Categoria non trovata",IF(G91="","Categoria senza tipo",""))))))))</f>
        <v/>
      </c>
    </row>
    <row r="92">
      <c r="A92" s="29" t="n">
        <v>46086</v>
      </c>
      <c r="B92" s="17" t="inlineStr">
        <is>
          <t>Telefono Marco</t>
        </is>
      </c>
      <c r="C92" s="17" t="inlineStr">
        <is>
          <t>Internet e telefono</t>
        </is>
      </c>
      <c r="D92" s="16" t="n">
        <v>9.99</v>
      </c>
      <c r="E92" s="30" t="inlineStr">
        <is>
          <t>Carta di credito</t>
        </is>
      </c>
      <c r="F92" s="17" t="inlineStr">
        <is>
          <t>Marco</t>
        </is>
      </c>
      <c r="G92" s="31">
        <f>IF(C92="","",IFERROR(INDEX(Categorie!$B$6:$B$65,MATCH(C92,Categorie!$A$6:$A$65,0))&amp;"",""))</f>
        <v/>
      </c>
      <c r="H92" s="32">
        <f>IF(AND(A92="",C92="",D92=""),"",IF(D92="","Manca l'importo",IF(NOT(ISNUMBER(D92)),"Importo non valido",IF(NOT(ISNUMBER(A92)),"Data mancante o non valida",IF(YEAR(A92)&lt;&gt;Impostazioni!$C$4,"Fuori dall'anno",IF(C92="","Manca la categoria",IF(ISNA(MATCH(C92,Categorie!$A$6:$A$65,0)),"Categoria non trovata",IF(G92="","Categoria senza tipo",""))))))))</f>
        <v/>
      </c>
    </row>
    <row r="93">
      <c r="A93" s="29" t="n">
        <v>46086</v>
      </c>
      <c r="B93" s="17" t="inlineStr">
        <is>
          <t>Libri</t>
        </is>
      </c>
      <c r="C93" s="17" t="inlineStr">
        <is>
          <t>Svago</t>
        </is>
      </c>
      <c r="D93" s="16" t="n">
        <v>23.48</v>
      </c>
      <c r="E93" s="30" t="inlineStr">
        <is>
          <t>Carta di debito</t>
        </is>
      </c>
      <c r="F93" s="17" t="n"/>
      <c r="G93" s="31">
        <f>IF(C93="","",IFERROR(INDEX(Categorie!$B$6:$B$65,MATCH(C93,Categorie!$A$6:$A$65,0))&amp;"",""))</f>
        <v/>
      </c>
      <c r="H93" s="32">
        <f>IF(AND(A93="",C93="",D93=""),"",IF(D93="","Manca l'importo",IF(NOT(ISNUMBER(D93)),"Importo non valido",IF(NOT(ISNUMBER(A93)),"Data mancante o non valida",IF(YEAR(A93)&lt;&gt;Impostazioni!$C$4,"Fuori dall'anno",IF(C93="","Manca la categoria",IF(ISNA(MATCH(C93,Categorie!$A$6:$A$65,0)),"Categoria non trovata",IF(G93="","Categoria senza tipo",""))))))))</f>
        <v/>
      </c>
    </row>
    <row r="94">
      <c r="A94" s="29" t="n">
        <v>46086</v>
      </c>
      <c r="B94" s="17" t="inlineStr">
        <is>
          <t>Parcheggio</t>
        </is>
      </c>
      <c r="C94" s="17" t="inlineStr">
        <is>
          <t>Trasporti</t>
        </is>
      </c>
      <c r="D94" s="16" t="n">
        <v>4.98</v>
      </c>
      <c r="E94" s="30" t="inlineStr">
        <is>
          <t>Contanti</t>
        </is>
      </c>
      <c r="F94" s="17" t="n"/>
      <c r="G94" s="31">
        <f>IF(C94="","",IFERROR(INDEX(Categorie!$B$6:$B$65,MATCH(C94,Categorie!$A$6:$A$65,0))&amp;"",""))</f>
        <v/>
      </c>
      <c r="H94" s="32">
        <f>IF(AND(A94="",C94="",D94=""),"",IF(D94="","Manca l'importo",IF(NOT(ISNUMBER(D94)),"Importo non valido",IF(NOT(ISNUMBER(A94)),"Data mancante o non valida",IF(YEAR(A94)&lt;&gt;Impostazioni!$C$4,"Fuori dall'anno",IF(C94="","Manca la categoria",IF(ISNA(MATCH(C94,Categorie!$A$6:$A$65,0)),"Categoria non trovata",IF(G94="","Categoria senza tipo",""))))))))</f>
        <v/>
      </c>
    </row>
    <row r="95">
      <c r="A95" s="29" t="n">
        <v>46088</v>
      </c>
      <c r="B95" s="17" t="inlineStr">
        <is>
          <t>Spesa settimanale</t>
        </is>
      </c>
      <c r="C95" s="17" t="inlineStr">
        <is>
          <t>Spesa alimentare</t>
        </is>
      </c>
      <c r="D95" s="16" t="n">
        <v>103.68</v>
      </c>
      <c r="E95" s="30" t="inlineStr">
        <is>
          <t>Carta di debito</t>
        </is>
      </c>
      <c r="F95" s="17" t="n"/>
      <c r="G95" s="31">
        <f>IF(C95="","",IFERROR(INDEX(Categorie!$B$6:$B$65,MATCH(C95,Categorie!$A$6:$A$65,0))&amp;"",""))</f>
        <v/>
      </c>
      <c r="H95" s="32">
        <f>IF(AND(A95="",C95="",D95=""),"",IF(D95="","Manca l'importo",IF(NOT(ISNUMBER(D95)),"Importo non valido",IF(NOT(ISNUMBER(A95)),"Data mancante o non valida",IF(YEAR(A95)&lt;&gt;Impostazioni!$C$4,"Fuori dall'anno",IF(C95="","Manca la categoria",IF(ISNA(MATCH(C95,Categorie!$A$6:$A$65,0)),"Categoria non trovata",IF(G95="","Categoria senza tipo",""))))))))</f>
        <v/>
      </c>
    </row>
    <row r="96">
      <c r="A96" s="29" t="n">
        <v>46089</v>
      </c>
      <c r="B96" s="17" t="inlineStr">
        <is>
          <t>Musica in streaming</t>
        </is>
      </c>
      <c r="C96" s="17" t="inlineStr">
        <is>
          <t>Abbonamenti</t>
        </is>
      </c>
      <c r="D96" s="16" t="n">
        <v>10.99</v>
      </c>
      <c r="E96" s="30" t="inlineStr">
        <is>
          <t>Carta di credito</t>
        </is>
      </c>
      <c r="F96" s="17" t="inlineStr">
        <is>
          <t>Giulia</t>
        </is>
      </c>
      <c r="G96" s="31">
        <f>IF(C96="","",IFERROR(INDEX(Categorie!$B$6:$B$65,MATCH(C96,Categorie!$A$6:$A$65,0))&amp;"",""))</f>
        <v/>
      </c>
      <c r="H96" s="32">
        <f>IF(AND(A96="",C96="",D96=""),"",IF(D96="","Manca l'importo",IF(NOT(ISNUMBER(D96)),"Importo non valido",IF(NOT(ISNUMBER(A96)),"Data mancante o non valida",IF(YEAR(A96)&lt;&gt;Impostazioni!$C$4,"Fuori dall'anno",IF(C96="","Manca la categoria",IF(ISNA(MATCH(C96,Categorie!$A$6:$A$65,0)),"Categoria non trovata",IF(G96="","Categoria senza tipo",""))))))))</f>
        <v/>
      </c>
    </row>
    <row r="97">
      <c r="A97" s="29" t="n">
        <v>46089</v>
      </c>
      <c r="B97" s="17" t="inlineStr">
        <is>
          <t>Streaming video</t>
        </is>
      </c>
      <c r="C97" s="17" t="inlineStr">
        <is>
          <t>Abbonamenti</t>
        </is>
      </c>
      <c r="D97" s="16" t="n">
        <v>13.99</v>
      </c>
      <c r="E97" s="30" t="inlineStr">
        <is>
          <t>Carta di credito</t>
        </is>
      </c>
      <c r="F97" s="17" t="n"/>
      <c r="G97" s="31">
        <f>IF(C97="","",IFERROR(INDEX(Categorie!$B$6:$B$65,MATCH(C97,Categorie!$A$6:$A$65,0))&amp;"",""))</f>
        <v/>
      </c>
      <c r="H97" s="32">
        <f>IF(AND(A97="",C97="",D97=""),"",IF(D97="","Manca l'importo",IF(NOT(ISNUMBER(D97)),"Importo non valido",IF(NOT(ISNUMBER(A97)),"Data mancante o non valida",IF(YEAR(A97)&lt;&gt;Impostazioni!$C$4,"Fuori dall'anno",IF(C97="","Manca la categoria",IF(ISNA(MATCH(C97,Categorie!$A$6:$A$65,0)),"Categoria non trovata",IF(G97="","Categoria senza tipo",""))))))))</f>
        <v/>
      </c>
    </row>
    <row r="98">
      <c r="A98" s="29" t="n">
        <v>46090</v>
      </c>
      <c r="B98" s="17" t="inlineStr">
        <is>
          <t>Cena con amici</t>
        </is>
      </c>
      <c r="C98" s="17" t="inlineStr">
        <is>
          <t>Svago</t>
        </is>
      </c>
      <c r="D98" s="16" t="n">
        <v>71.8</v>
      </c>
      <c r="E98" s="30" t="inlineStr">
        <is>
          <t>Carta di debito</t>
        </is>
      </c>
      <c r="F98" s="17" t="n"/>
      <c r="G98" s="31">
        <f>IF(C98="","",IFERROR(INDEX(Categorie!$B$6:$B$65,MATCH(C98,Categorie!$A$6:$A$65,0))&amp;"",""))</f>
        <v/>
      </c>
      <c r="H98" s="32">
        <f>IF(AND(A98="",C98="",D98=""),"",IF(D98="","Manca l'importo",IF(NOT(ISNUMBER(D98)),"Importo non valido",IF(NOT(ISNUMBER(A98)),"Data mancante o non valida",IF(YEAR(A98)&lt;&gt;Impostazioni!$C$4,"Fuori dall'anno",IF(C98="","Manca la categoria",IF(ISNA(MATCH(C98,Categorie!$A$6:$A$65,0)),"Categoria non trovata",IF(G98="","Categoria senza tipo",""))))))))</f>
        <v/>
      </c>
    </row>
    <row r="99">
      <c r="A99" s="29" t="n">
        <v>46092</v>
      </c>
      <c r="B99" s="17" t="inlineStr">
        <is>
          <t>Rifornimento</t>
        </is>
      </c>
      <c r="C99" s="17" t="inlineStr">
        <is>
          <t>Carburante</t>
        </is>
      </c>
      <c r="D99" s="16" t="n">
        <v>55.65</v>
      </c>
      <c r="E99" s="30" t="inlineStr">
        <is>
          <t>Carta di credito</t>
        </is>
      </c>
      <c r="F99" s="17" t="inlineStr">
        <is>
          <t>Marco</t>
        </is>
      </c>
      <c r="G99" s="31">
        <f>IF(C99="","",IFERROR(INDEX(Categorie!$B$6:$B$65,MATCH(C99,Categorie!$A$6:$A$65,0))&amp;"",""))</f>
        <v/>
      </c>
      <c r="H99" s="32">
        <f>IF(AND(A99="",C99="",D99=""),"",IF(D99="","Manca l'importo",IF(NOT(ISNUMBER(D99)),"Importo non valido",IF(NOT(ISNUMBER(A99)),"Data mancante o non valida",IF(YEAR(A99)&lt;&gt;Impostazioni!$C$4,"Fuori dall'anno",IF(C99="","Manca la categoria",IF(ISNA(MATCH(C99,Categorie!$A$6:$A$65,0)),"Categoria non trovata",IF(G99="","Categoria senza tipo",""))))))))</f>
        <v/>
      </c>
    </row>
    <row r="100">
      <c r="A100" s="29" t="n">
        <v>46095</v>
      </c>
      <c r="B100" s="17" t="inlineStr">
        <is>
          <t>Vendita bici usata</t>
        </is>
      </c>
      <c r="C100" s="17" t="inlineStr">
        <is>
          <t>Entrate extra</t>
        </is>
      </c>
      <c r="D100" s="16" t="n">
        <v>120</v>
      </c>
      <c r="E100" s="30" t="inlineStr">
        <is>
          <t>Contanti</t>
        </is>
      </c>
      <c r="F100" s="17" t="inlineStr">
        <is>
          <t>Marco</t>
        </is>
      </c>
      <c r="G100" s="31">
        <f>IF(C100="","",IFERROR(INDEX(Categorie!$B$6:$B$65,MATCH(C100,Categorie!$A$6:$A$65,0))&amp;"",""))</f>
        <v/>
      </c>
      <c r="H100" s="32">
        <f>IF(AND(A100="",C100="",D100=""),"",IF(D100="","Manca l'importo",IF(NOT(ISNUMBER(D100)),"Importo non valido",IF(NOT(ISNUMBER(A100)),"Data mancante o non valida",IF(YEAR(A100)&lt;&gt;Impostazioni!$C$4,"Fuori dall'anno",IF(C100="","Manca la categoria",IF(ISNA(MATCH(C100,Categorie!$A$6:$A$65,0)),"Categoria non trovata",IF(G100="","Categoria senza tipo",""))))))))</f>
        <v/>
      </c>
    </row>
    <row r="101">
      <c r="A101" s="29" t="n">
        <v>46095</v>
      </c>
      <c r="B101" s="17" t="inlineStr">
        <is>
          <t>Spesa settimanale</t>
        </is>
      </c>
      <c r="C101" s="17" t="inlineStr">
        <is>
          <t>Spesa alimentare</t>
        </is>
      </c>
      <c r="D101" s="16" t="n">
        <v>123.3</v>
      </c>
      <c r="E101" s="30" t="inlineStr">
        <is>
          <t>Carta di debito</t>
        </is>
      </c>
      <c r="F101" s="17" t="n"/>
      <c r="G101" s="31">
        <f>IF(C101="","",IFERROR(INDEX(Categorie!$B$6:$B$65,MATCH(C101,Categorie!$A$6:$A$65,0))&amp;"",""))</f>
        <v/>
      </c>
      <c r="H101" s="32">
        <f>IF(AND(A101="",C101="",D101=""),"",IF(D101="","Manca l'importo",IF(NOT(ISNUMBER(D101)),"Importo non valido",IF(NOT(ISNUMBER(A101)),"Data mancante o non valida",IF(YEAR(A101)&lt;&gt;Impostazioni!$C$4,"Fuori dall'anno",IF(C101="","Manca la categoria",IF(ISNA(MATCH(C101,Categorie!$A$6:$A$65,0)),"Categoria non trovata",IF(G101="","Categoria senza tipo",""))))))))</f>
        <v/>
      </c>
    </row>
    <row r="102">
      <c r="A102" s="29" t="n">
        <v>46096</v>
      </c>
      <c r="B102" s="17" t="inlineStr">
        <is>
          <t>Farmacia</t>
        </is>
      </c>
      <c r="C102" s="17" t="inlineStr">
        <is>
          <t>Farmacia e salute</t>
        </is>
      </c>
      <c r="D102" s="16" t="n">
        <v>24.05</v>
      </c>
      <c r="E102" s="30" t="inlineStr">
        <is>
          <t>Carta di debito</t>
        </is>
      </c>
      <c r="F102" s="17" t="n"/>
      <c r="G102" s="31">
        <f>IF(C102="","",IFERROR(INDEX(Categorie!$B$6:$B$65,MATCH(C102,Categorie!$A$6:$A$65,0))&amp;"",""))</f>
        <v/>
      </c>
      <c r="H102" s="32">
        <f>IF(AND(A102="",C102="",D102=""),"",IF(D102="","Manca l'importo",IF(NOT(ISNUMBER(D102)),"Importo non valido",IF(NOT(ISNUMBER(A102)),"Data mancante o non valida",IF(YEAR(A102)&lt;&gt;Impostazioni!$C$4,"Fuori dall'anno",IF(C102="","Manca la categoria",IF(ISNA(MATCH(C102,Categorie!$A$6:$A$65,0)),"Categoria non trovata",IF(G102="","Categoria senza tipo",""))))))))</f>
        <v/>
      </c>
    </row>
    <row r="103">
      <c r="A103" s="29" t="n">
        <v>46096</v>
      </c>
      <c r="B103" s="17" t="inlineStr">
        <is>
          <t>Rata carta revolving</t>
        </is>
      </c>
      <c r="C103" s="17" t="inlineStr">
        <is>
          <t>Rate di prestiti</t>
        </is>
      </c>
      <c r="D103" s="16" t="n">
        <v>60</v>
      </c>
      <c r="E103" s="30" t="inlineStr">
        <is>
          <t>Conto corrente</t>
        </is>
      </c>
      <c r="F103" s="17" t="n"/>
      <c r="G103" s="31">
        <f>IF(C103="","",IFERROR(INDEX(Categorie!$B$6:$B$65,MATCH(C103,Categorie!$A$6:$A$65,0))&amp;"",""))</f>
        <v/>
      </c>
      <c r="H103" s="32">
        <f>IF(AND(A103="",C103="",D103=""),"",IF(D103="","Manca l'importo",IF(NOT(ISNUMBER(D103)),"Importo non valido",IF(NOT(ISNUMBER(A103)),"Data mancante o non valida",IF(YEAR(A103)&lt;&gt;Impostazioni!$C$4,"Fuori dall'anno",IF(C103="","Manca la categoria",IF(ISNA(MATCH(C103,Categorie!$A$6:$A$65,0)),"Categoria non trovata",IF(G103="","Categoria senza tipo",""))))))))</f>
        <v/>
      </c>
    </row>
    <row r="104">
      <c r="A104" s="29" t="n">
        <v>46096</v>
      </c>
      <c r="B104" s="17" t="inlineStr">
        <is>
          <t>Rata lavatrice a tasso zero</t>
        </is>
      </c>
      <c r="C104" s="17" t="inlineStr">
        <is>
          <t>Rate di prestiti</t>
        </is>
      </c>
      <c r="D104" s="16" t="n">
        <v>40</v>
      </c>
      <c r="E104" s="30" t="inlineStr">
        <is>
          <t>Conto corrente</t>
        </is>
      </c>
      <c r="F104" s="17" t="n"/>
      <c r="G104" s="31">
        <f>IF(C104="","",IFERROR(INDEX(Categorie!$B$6:$B$65,MATCH(C104,Categorie!$A$6:$A$65,0))&amp;"",""))</f>
        <v/>
      </c>
      <c r="H104" s="32">
        <f>IF(AND(A104="",C104="",D104=""),"",IF(D104="","Manca l'importo",IF(NOT(ISNUMBER(D104)),"Importo non valido",IF(NOT(ISNUMBER(A104)),"Data mancante o non valida",IF(YEAR(A104)&lt;&gt;Impostazioni!$C$4,"Fuori dall'anno",IF(C104="","Manca la categoria",IF(ISNA(MATCH(C104,Categorie!$A$6:$A$65,0)),"Categoria non trovata",IF(G104="","Categoria senza tipo",""))))))))</f>
        <v/>
      </c>
    </row>
    <row r="105">
      <c r="A105" s="29" t="n">
        <v>46096</v>
      </c>
      <c r="B105" s="17" t="inlineStr">
        <is>
          <t>Rata prestito auto</t>
        </is>
      </c>
      <c r="C105" s="17" t="inlineStr">
        <is>
          <t>Rate di prestiti</t>
        </is>
      </c>
      <c r="D105" s="16" t="n">
        <v>210</v>
      </c>
      <c r="E105" s="30" t="inlineStr">
        <is>
          <t>Conto corrente</t>
        </is>
      </c>
      <c r="F105" s="17" t="n"/>
      <c r="G105" s="31">
        <f>IF(C105="","",IFERROR(INDEX(Categorie!$B$6:$B$65,MATCH(C105,Categorie!$A$6:$A$65,0))&amp;"",""))</f>
        <v/>
      </c>
      <c r="H105" s="32">
        <f>IF(AND(A105="",C105="",D105=""),"",IF(D105="","Manca l'importo",IF(NOT(ISNUMBER(D105)),"Importo non valido",IF(NOT(ISNUMBER(A105)),"Data mancante o non valida",IF(YEAR(A105)&lt;&gt;Impostazioni!$C$4,"Fuori dall'anno",IF(C105="","Manca la categoria",IF(ISNA(MATCH(C105,Categorie!$A$6:$A$65,0)),"Categoria non trovata",IF(G105="","Categoria senza tipo",""))))))))</f>
        <v/>
      </c>
    </row>
    <row r="106">
      <c r="A106" s="29" t="n">
        <v>46098</v>
      </c>
      <c r="B106" s="17" t="inlineStr">
        <is>
          <t>Farmacia</t>
        </is>
      </c>
      <c r="C106" s="17" t="inlineStr">
        <is>
          <t>Farmacia e salute</t>
        </is>
      </c>
      <c r="D106" s="16" t="n">
        <v>18.74</v>
      </c>
      <c r="E106" s="30" t="inlineStr">
        <is>
          <t>Carta di debito</t>
        </is>
      </c>
      <c r="F106" s="17" t="n"/>
      <c r="G106" s="31">
        <f>IF(C106="","",IFERROR(INDEX(Categorie!$B$6:$B$65,MATCH(C106,Categorie!$A$6:$A$65,0))&amp;"",""))</f>
        <v/>
      </c>
      <c r="H106" s="32">
        <f>IF(AND(A106="",C106="",D106=""),"",IF(D106="","Manca l'importo",IF(NOT(ISNUMBER(D106)),"Importo non valido",IF(NOT(ISNUMBER(A106)),"Data mancante o non valida",IF(YEAR(A106)&lt;&gt;Impostazioni!$C$4,"Fuori dall'anno",IF(C106="","Manca la categoria",IF(ISNA(MATCH(C106,Categorie!$A$6:$A$65,0)),"Categoria non trovata",IF(G106="","Categoria senza tipo",""))))))))</f>
        <v/>
      </c>
    </row>
    <row r="107">
      <c r="A107" s="29" t="n">
        <v>46099</v>
      </c>
      <c r="B107" s="17" t="inlineStr">
        <is>
          <t>Farmacia</t>
        </is>
      </c>
      <c r="C107" s="17" t="inlineStr">
        <is>
          <t>Farmacia e salute</t>
        </is>
      </c>
      <c r="D107" s="16" t="n">
        <v>14.28</v>
      </c>
      <c r="E107" s="30" t="inlineStr">
        <is>
          <t>Carta di debito</t>
        </is>
      </c>
      <c r="F107" s="17" t="n"/>
      <c r="G107" s="31">
        <f>IF(C107="","",IFERROR(INDEX(Categorie!$B$6:$B$65,MATCH(C107,Categorie!$A$6:$A$65,0))&amp;"",""))</f>
        <v/>
      </c>
      <c r="H107" s="32">
        <f>IF(AND(A107="",C107="",D107=""),"",IF(D107="","Manca l'importo",IF(NOT(ISNUMBER(D107)),"Importo non valido",IF(NOT(ISNUMBER(A107)),"Data mancante o non valida",IF(YEAR(A107)&lt;&gt;Impostazioni!$C$4,"Fuori dall'anno",IF(C107="","Manca la categoria",IF(ISNA(MATCH(C107,Categorie!$A$6:$A$65,0)),"Categoria non trovata",IF(G107="","Categoria senza tipo",""))))))))</f>
        <v/>
      </c>
    </row>
    <row r="108">
      <c r="A108" s="29" t="n">
        <v>46099</v>
      </c>
      <c r="B108" s="17" t="inlineStr">
        <is>
          <t>Bolletta gas</t>
        </is>
      </c>
      <c r="C108" s="17" t="inlineStr">
        <is>
          <t>Gas</t>
        </is>
      </c>
      <c r="D108" s="16" t="n">
        <v>124.91</v>
      </c>
      <c r="E108" s="30" t="inlineStr">
        <is>
          <t>Conto corrente</t>
        </is>
      </c>
      <c r="F108" s="17" t="n"/>
      <c r="G108" s="31">
        <f>IF(C108="","",IFERROR(INDEX(Categorie!$B$6:$B$65,MATCH(C108,Categorie!$A$6:$A$65,0))&amp;"",""))</f>
        <v/>
      </c>
      <c r="H108" s="32">
        <f>IF(AND(A108="",C108="",D108=""),"",IF(D108="","Manca l'importo",IF(NOT(ISNUMBER(D108)),"Importo non valido",IF(NOT(ISNUMBER(A108)),"Data mancante o non valida",IF(YEAR(A108)&lt;&gt;Impostazioni!$C$4,"Fuori dall'anno",IF(C108="","Manca la categoria",IF(ISNA(MATCH(C108,Categorie!$A$6:$A$65,0)),"Categoria non trovata",IF(G108="","Categoria senza tipo",""))))))))</f>
        <v/>
      </c>
    </row>
    <row r="109">
      <c r="A109" s="29" t="n">
        <v>46099</v>
      </c>
      <c r="B109" s="17" t="inlineStr">
        <is>
          <t>Bolletta luce</t>
        </is>
      </c>
      <c r="C109" s="17" t="inlineStr">
        <is>
          <t>Luce</t>
        </is>
      </c>
      <c r="D109" s="16" t="n">
        <v>66.73</v>
      </c>
      <c r="E109" s="30" t="inlineStr">
        <is>
          <t>Conto corrente</t>
        </is>
      </c>
      <c r="F109" s="17" t="n"/>
      <c r="G109" s="31">
        <f>IF(C109="","",IFERROR(INDEX(Categorie!$B$6:$B$65,MATCH(C109,Categorie!$A$6:$A$65,0))&amp;"",""))</f>
        <v/>
      </c>
      <c r="H109" s="32">
        <f>IF(AND(A109="",C109="",D109=""),"",IF(D109="","Manca l'importo",IF(NOT(ISNUMBER(D109)),"Importo non valido",IF(NOT(ISNUMBER(A109)),"Data mancante o non valida",IF(YEAR(A109)&lt;&gt;Impostazioni!$C$4,"Fuori dall'anno",IF(C109="","Manca la categoria",IF(ISNA(MATCH(C109,Categorie!$A$6:$A$65,0)),"Categoria non trovata",IF(G109="","Categoria senza tipo",""))))))))</f>
        <v/>
      </c>
    </row>
    <row r="110">
      <c r="A110" s="29" t="n">
        <v>46099</v>
      </c>
      <c r="B110" s="17" t="inlineStr">
        <is>
          <t>Spesa al mercato</t>
        </is>
      </c>
      <c r="C110" s="17" t="inlineStr">
        <is>
          <t>Spesa alimentare</t>
        </is>
      </c>
      <c r="D110" s="16" t="n">
        <v>30.21</v>
      </c>
      <c r="E110" s="30" t="inlineStr">
        <is>
          <t>Contanti</t>
        </is>
      </c>
      <c r="F110" s="17" t="n"/>
      <c r="G110" s="31">
        <f>IF(C110="","",IFERROR(INDEX(Categorie!$B$6:$B$65,MATCH(C110,Categorie!$A$6:$A$65,0))&amp;"",""))</f>
        <v/>
      </c>
      <c r="H110" s="32">
        <f>IF(AND(A110="",C110="",D110=""),"",IF(D110="","Manca l'importo",IF(NOT(ISNUMBER(D110)),"Importo non valido",IF(NOT(ISNUMBER(A110)),"Data mancante o non valida",IF(YEAR(A110)&lt;&gt;Impostazioni!$C$4,"Fuori dall'anno",IF(C110="","Manca la categoria",IF(ISNA(MATCH(C110,Categorie!$A$6:$A$65,0)),"Categoria non trovata",IF(G110="","Categoria senza tipo",""))))))))</f>
        <v/>
      </c>
    </row>
    <row r="111">
      <c r="A111" s="29" t="n">
        <v>46099</v>
      </c>
      <c r="B111" s="17" t="inlineStr">
        <is>
          <t>Cena con amici</t>
        </is>
      </c>
      <c r="C111" s="17" t="inlineStr">
        <is>
          <t>Svago</t>
        </is>
      </c>
      <c r="D111" s="16" t="n">
        <v>73.18000000000001</v>
      </c>
      <c r="E111" s="30" t="inlineStr">
        <is>
          <t>Carta di debito</t>
        </is>
      </c>
      <c r="F111" s="17" t="n"/>
      <c r="G111" s="31">
        <f>IF(C111="","",IFERROR(INDEX(Categorie!$B$6:$B$65,MATCH(C111,Categorie!$A$6:$A$65,0))&amp;"",""))</f>
        <v/>
      </c>
      <c r="H111" s="32">
        <f>IF(AND(A111="",C111="",D111=""),"",IF(D111="","Manca l'importo",IF(NOT(ISNUMBER(D111)),"Importo non valido",IF(NOT(ISNUMBER(A111)),"Data mancante o non valida",IF(YEAR(A111)&lt;&gt;Impostazioni!$C$4,"Fuori dall'anno",IF(C111="","Manca la categoria",IF(ISNA(MATCH(C111,Categorie!$A$6:$A$65,0)),"Categoria non trovata",IF(G111="","Categoria senza tipo",""))))))))</f>
        <v/>
      </c>
    </row>
    <row r="112">
      <c r="A112" s="29" t="n">
        <v>46101</v>
      </c>
      <c r="B112" s="17" t="inlineStr">
        <is>
          <t>Assegno unico INPS</t>
        </is>
      </c>
      <c r="C112" s="17" t="inlineStr">
        <is>
          <t>Assegno unico figli</t>
        </is>
      </c>
      <c r="D112" s="16" t="n">
        <v>145.3</v>
      </c>
      <c r="E112" s="30" t="inlineStr">
        <is>
          <t>Conto corrente</t>
        </is>
      </c>
      <c r="F112" s="17" t="n"/>
      <c r="G112" s="31">
        <f>IF(C112="","",IFERROR(INDEX(Categorie!$B$6:$B$65,MATCH(C112,Categorie!$A$6:$A$65,0))&amp;"",""))</f>
        <v/>
      </c>
      <c r="H112" s="32">
        <f>IF(AND(A112="",C112="",D112=""),"",IF(D112="","Manca l'importo",IF(NOT(ISNUMBER(D112)),"Importo non valido",IF(NOT(ISNUMBER(A112)),"Data mancante o non valida",IF(YEAR(A112)&lt;&gt;Impostazioni!$C$4,"Fuori dall'anno",IF(C112="","Manca la categoria",IF(ISNA(MATCH(C112,Categorie!$A$6:$A$65,0)),"Categoria non trovata",IF(G112="","Categoria senza tipo",""))))))))</f>
        <v/>
      </c>
    </row>
    <row r="113">
      <c r="A113" s="29" t="n">
        <v>46101</v>
      </c>
      <c r="B113" s="17" t="inlineStr">
        <is>
          <t>Rifornimento</t>
        </is>
      </c>
      <c r="C113" s="17" t="inlineStr">
        <is>
          <t>Carburante</t>
        </is>
      </c>
      <c r="D113" s="16" t="n">
        <v>56.43</v>
      </c>
      <c r="E113" s="30" t="inlineStr">
        <is>
          <t>Carta di credito</t>
        </is>
      </c>
      <c r="F113" s="17" t="inlineStr">
        <is>
          <t>Giulia</t>
        </is>
      </c>
      <c r="G113" s="31">
        <f>IF(C113="","",IFERROR(INDEX(Categorie!$B$6:$B$65,MATCH(C113,Categorie!$A$6:$A$65,0))&amp;"",""))</f>
        <v/>
      </c>
      <c r="H113" s="32">
        <f>IF(AND(A113="",C113="",D113=""),"",IF(D113="","Manca l'importo",IF(NOT(ISNUMBER(D113)),"Importo non valido",IF(NOT(ISNUMBER(A113)),"Data mancante o non valida",IF(YEAR(A113)&lt;&gt;Impostazioni!$C$4,"Fuori dall'anno",IF(C113="","Manca la categoria",IF(ISNA(MATCH(C113,Categorie!$A$6:$A$65,0)),"Categoria non trovata",IF(G113="","Categoria senza tipo",""))))))))</f>
        <v/>
      </c>
    </row>
    <row r="114">
      <c r="A114" s="29" t="n">
        <v>46102</v>
      </c>
      <c r="B114" s="17" t="inlineStr">
        <is>
          <t>Piante per il balcone</t>
        </is>
      </c>
      <c r="C114" s="17" t="inlineStr">
        <is>
          <t>Casa e manutenzione</t>
        </is>
      </c>
      <c r="D114" s="16" t="n">
        <v>34</v>
      </c>
      <c r="E114" s="30" t="inlineStr">
        <is>
          <t>Carta di debito</t>
        </is>
      </c>
      <c r="F114" s="17" t="n"/>
      <c r="G114" s="31">
        <f>IF(C114="","",IFERROR(INDEX(Categorie!$B$6:$B$65,MATCH(C114,Categorie!$A$6:$A$65,0))&amp;"",""))</f>
        <v/>
      </c>
      <c r="H114" s="32">
        <f>IF(AND(A114="",C114="",D114=""),"",IF(D114="","Manca l'importo",IF(NOT(ISNUMBER(D114)),"Importo non valido",IF(NOT(ISNUMBER(A114)),"Data mancante o non valida",IF(YEAR(A114)&lt;&gt;Impostazioni!$C$4,"Fuori dall'anno",IF(C114="","Manca la categoria",IF(ISNA(MATCH(C114,Categorie!$A$6:$A$65,0)),"Categoria non trovata",IF(G114="","Categoria senza tipo",""))))))))</f>
        <v/>
      </c>
    </row>
    <row r="115">
      <c r="A115" s="29" t="n">
        <v>46102</v>
      </c>
      <c r="B115" s="17" t="inlineStr">
        <is>
          <t>Spesa settimanale</t>
        </is>
      </c>
      <c r="C115" s="17" t="inlineStr">
        <is>
          <t>Spesa alimentare</t>
        </is>
      </c>
      <c r="D115" s="16" t="n">
        <v>92.68000000000001</v>
      </c>
      <c r="E115" s="30" t="inlineStr">
        <is>
          <t>Carta di debito</t>
        </is>
      </c>
      <c r="F115" s="17" t="n"/>
      <c r="G115" s="31">
        <f>IF(C115="","",IFERROR(INDEX(Categorie!$B$6:$B$65,MATCH(C115,Categorie!$A$6:$A$65,0))&amp;"",""))</f>
        <v/>
      </c>
      <c r="H115" s="32">
        <f>IF(AND(A115="",C115="",D115=""),"",IF(D115="","Manca l'importo",IF(NOT(ISNUMBER(D115)),"Importo non valido",IF(NOT(ISNUMBER(A115)),"Data mancante o non valida",IF(YEAR(A115)&lt;&gt;Impostazioni!$C$4,"Fuori dall'anno",IF(C115="","Manca la categoria",IF(ISNA(MATCH(C115,Categorie!$A$6:$A$65,0)),"Categoria non trovata",IF(G115="","Categoria senza tipo",""))))))))</f>
        <v/>
      </c>
    </row>
    <row r="116">
      <c r="A116" s="29" t="n">
        <v>46105</v>
      </c>
      <c r="B116" s="17" t="inlineStr">
        <is>
          <t>Pizzeria</t>
        </is>
      </c>
      <c r="C116" s="17" t="inlineStr">
        <is>
          <t>Svago</t>
        </is>
      </c>
      <c r="D116" s="16" t="n">
        <v>50.56</v>
      </c>
      <c r="E116" s="30" t="inlineStr">
        <is>
          <t>Carta di debito</t>
        </is>
      </c>
      <c r="F116" s="17" t="n"/>
      <c r="G116" s="31">
        <f>IF(C116="","",IFERROR(INDEX(Categorie!$B$6:$B$65,MATCH(C116,Categorie!$A$6:$A$65,0))&amp;"",""))</f>
        <v/>
      </c>
      <c r="H116" s="32">
        <f>IF(AND(A116="",C116="",D116=""),"",IF(D116="","Manca l'importo",IF(NOT(ISNUMBER(D116)),"Importo non valido",IF(NOT(ISNUMBER(A116)),"Data mancante o non valida",IF(YEAR(A116)&lt;&gt;Impostazioni!$C$4,"Fuori dall'anno",IF(C116="","Manca la categoria",IF(ISNA(MATCH(C116,Categorie!$A$6:$A$65,0)),"Categoria non trovata",IF(G116="","Categoria senza tipo",""))))))))</f>
        <v/>
      </c>
    </row>
    <row r="117">
      <c r="A117" s="29" t="n">
        <v>46108</v>
      </c>
      <c r="B117" s="17" t="inlineStr">
        <is>
          <t>Stipendio</t>
        </is>
      </c>
      <c r="C117" s="17" t="inlineStr">
        <is>
          <t>Stipendio Giulia</t>
        </is>
      </c>
      <c r="D117" s="16" t="n">
        <v>1480</v>
      </c>
      <c r="E117" s="30" t="inlineStr">
        <is>
          <t>Conto corrente</t>
        </is>
      </c>
      <c r="F117" s="17" t="inlineStr">
        <is>
          <t>Giulia</t>
        </is>
      </c>
      <c r="G117" s="31">
        <f>IF(C117="","",IFERROR(INDEX(Categorie!$B$6:$B$65,MATCH(C117,Categorie!$A$6:$A$65,0))&amp;"",""))</f>
        <v/>
      </c>
      <c r="H117" s="32">
        <f>IF(AND(A117="",C117="",D117=""),"",IF(D117="","Manca l'importo",IF(NOT(ISNUMBER(D117)),"Importo non valido",IF(NOT(ISNUMBER(A117)),"Data mancante o non valida",IF(YEAR(A117)&lt;&gt;Impostazioni!$C$4,"Fuori dall'anno",IF(C117="","Manca la categoria",IF(ISNA(MATCH(C117,Categorie!$A$6:$A$65,0)),"Categoria non trovata",IF(G117="","Categoria senza tipo",""))))))))</f>
        <v/>
      </c>
    </row>
    <row r="118">
      <c r="A118" s="29" t="n">
        <v>46108</v>
      </c>
      <c r="B118" s="17" t="inlineStr">
        <is>
          <t>Stipendio</t>
        </is>
      </c>
      <c r="C118" s="17" t="inlineStr">
        <is>
          <t>Stipendio Marco</t>
        </is>
      </c>
      <c r="D118" s="16" t="n">
        <v>1850</v>
      </c>
      <c r="E118" s="30" t="inlineStr">
        <is>
          <t>Conto corrente</t>
        </is>
      </c>
      <c r="F118" s="17" t="inlineStr">
        <is>
          <t>Marco</t>
        </is>
      </c>
      <c r="G118" s="31">
        <f>IF(C118="","",IFERROR(INDEX(Categorie!$B$6:$B$65,MATCH(C118,Categorie!$A$6:$A$65,0))&amp;"",""))</f>
        <v/>
      </c>
      <c r="H118" s="32">
        <f>IF(AND(A118="",C118="",D118=""),"",IF(D118="","Manca l'importo",IF(NOT(ISNUMBER(D118)),"Importo non valido",IF(NOT(ISNUMBER(A118)),"Data mancante o non valida",IF(YEAR(A118)&lt;&gt;Impostazioni!$C$4,"Fuori dall'anno",IF(C118="","Manca la categoria",IF(ISNA(MATCH(C118,Categorie!$A$6:$A$65,0)),"Categoria non trovata",IF(G118="","Categoria senza tipo",""))))))))</f>
        <v/>
      </c>
    </row>
    <row r="119">
      <c r="A119" s="29" t="n">
        <v>46108</v>
      </c>
      <c r="B119" s="17" t="inlineStr">
        <is>
          <t>Parcheggio</t>
        </is>
      </c>
      <c r="C119" s="17" t="inlineStr">
        <is>
          <t>Trasporti</t>
        </is>
      </c>
      <c r="D119" s="16" t="n">
        <v>7.25</v>
      </c>
      <c r="E119" s="30" t="inlineStr">
        <is>
          <t>Contanti</t>
        </is>
      </c>
      <c r="F119" s="17" t="n"/>
      <c r="G119" s="31">
        <f>IF(C119="","",IFERROR(INDEX(Categorie!$B$6:$B$65,MATCH(C119,Categorie!$A$6:$A$65,0))&amp;"",""))</f>
        <v/>
      </c>
      <c r="H119" s="32">
        <f>IF(AND(A119="",C119="",D119=""),"",IF(D119="","Manca l'importo",IF(NOT(ISNUMBER(D119)),"Importo non valido",IF(NOT(ISNUMBER(A119)),"Data mancante o non valida",IF(YEAR(A119)&lt;&gt;Impostazioni!$C$4,"Fuori dall'anno",IF(C119="","Manca la categoria",IF(ISNA(MATCH(C119,Categorie!$A$6:$A$65,0)),"Categoria non trovata",IF(G119="","Categoria senza tipo",""))))))))</f>
        <v/>
      </c>
    </row>
    <row r="120">
      <c r="A120" s="29" t="n">
        <v>46109</v>
      </c>
      <c r="B120" s="17" t="inlineStr">
        <is>
          <t>Versamento fondo emergenze</t>
        </is>
      </c>
      <c r="C120" s="17" t="inlineStr">
        <is>
          <t>Fondo emergenze</t>
        </is>
      </c>
      <c r="D120" s="16" t="n">
        <v>150</v>
      </c>
      <c r="E120" s="30" t="inlineStr">
        <is>
          <t>Conto corrente</t>
        </is>
      </c>
      <c r="F120" s="17" t="n"/>
      <c r="G120" s="31">
        <f>IF(C120="","",IFERROR(INDEX(Categorie!$B$6:$B$65,MATCH(C120,Categorie!$A$6:$A$65,0))&amp;"",""))</f>
        <v/>
      </c>
      <c r="H120" s="32">
        <f>IF(AND(A120="",C120="",D120=""),"",IF(D120="","Manca l'importo",IF(NOT(ISNUMBER(D120)),"Importo non valido",IF(NOT(ISNUMBER(A120)),"Data mancante o non valida",IF(YEAR(A120)&lt;&gt;Impostazioni!$C$4,"Fuori dall'anno",IF(C120="","Manca la categoria",IF(ISNA(MATCH(C120,Categorie!$A$6:$A$65,0)),"Categoria non trovata",IF(G120="","Categoria senza tipo",""))))))))</f>
        <v/>
      </c>
    </row>
    <row r="121">
      <c r="A121" s="29" t="n">
        <v>46109</v>
      </c>
      <c r="B121" s="17" t="inlineStr">
        <is>
          <t>Piano di accumulo mensile</t>
        </is>
      </c>
      <c r="C121" s="17" t="inlineStr">
        <is>
          <t>Investimenti</t>
        </is>
      </c>
      <c r="D121" s="16" t="n">
        <v>100</v>
      </c>
      <c r="E121" s="30" t="inlineStr">
        <is>
          <t>Conto corrente</t>
        </is>
      </c>
      <c r="F121" s="17" t="n"/>
      <c r="G121" s="31">
        <f>IF(C121="","",IFERROR(INDEX(Categorie!$B$6:$B$65,MATCH(C121,Categorie!$A$6:$A$65,0))&amp;"",""))</f>
        <v/>
      </c>
      <c r="H121" s="32">
        <f>IF(AND(A121="",C121="",D121=""),"",IF(D121="","Manca l'importo",IF(NOT(ISNUMBER(D121)),"Importo non valido",IF(NOT(ISNUMBER(A121)),"Data mancante o non valida",IF(YEAR(A121)&lt;&gt;Impostazioni!$C$4,"Fuori dall'anno",IF(C121="","Manca la categoria",IF(ISNA(MATCH(C121,Categorie!$A$6:$A$65,0)),"Categoria non trovata",IF(G121="","Categoria senza tipo",""))))))))</f>
        <v/>
      </c>
    </row>
    <row r="122">
      <c r="A122" s="29" t="n">
        <v>46109</v>
      </c>
      <c r="B122" s="17" t="inlineStr">
        <is>
          <t>Accantonamento obiettivi</t>
        </is>
      </c>
      <c r="C122" s="17" t="inlineStr">
        <is>
          <t>Obiettivi di risparmio</t>
        </is>
      </c>
      <c r="D122" s="16" t="n">
        <v>200</v>
      </c>
      <c r="E122" s="30" t="inlineStr">
        <is>
          <t>Conto corrente</t>
        </is>
      </c>
      <c r="F122" s="17" t="n"/>
      <c r="G122" s="31">
        <f>IF(C122="","",IFERROR(INDEX(Categorie!$B$6:$B$65,MATCH(C122,Categorie!$A$6:$A$65,0))&amp;"",""))</f>
        <v/>
      </c>
      <c r="H122" s="32">
        <f>IF(AND(A122="",C122="",D122=""),"",IF(D122="","Manca l'importo",IF(NOT(ISNUMBER(D122)),"Importo non valido",IF(NOT(ISNUMBER(A122)),"Data mancante o non valida",IF(YEAR(A122)&lt;&gt;Impostazioni!$C$4,"Fuori dall'anno",IF(C122="","Manca la categoria",IF(ISNA(MATCH(C122,Categorie!$A$6:$A$65,0)),"Categoria non trovata",IF(G122="","Categoria senza tipo",""))))))))</f>
        <v/>
      </c>
    </row>
    <row r="123">
      <c r="A123" s="29" t="n">
        <v>46109</v>
      </c>
      <c r="B123" s="17" t="inlineStr">
        <is>
          <t>Spesa settimanale</t>
        </is>
      </c>
      <c r="C123" s="17" t="inlineStr">
        <is>
          <t>Spesa alimentare</t>
        </is>
      </c>
      <c r="D123" s="16" t="n">
        <v>101.8</v>
      </c>
      <c r="E123" s="30" t="inlineStr">
        <is>
          <t>Carta di debito</t>
        </is>
      </c>
      <c r="F123" s="17" t="n"/>
      <c r="G123" s="31">
        <f>IF(C123="","",IFERROR(INDEX(Categorie!$B$6:$B$65,MATCH(C123,Categorie!$A$6:$A$65,0))&amp;"",""))</f>
        <v/>
      </c>
      <c r="H123" s="32">
        <f>IF(AND(A123="",C123="",D123=""),"",IF(D123="","Manca l'importo",IF(NOT(ISNUMBER(D123)),"Importo non valido",IF(NOT(ISNUMBER(A123)),"Data mancante o non valida",IF(YEAR(A123)&lt;&gt;Impostazioni!$C$4,"Fuori dall'anno",IF(C123="","Manca la categoria",IF(ISNA(MATCH(C123,Categorie!$A$6:$A$65,0)),"Categoria non trovata",IF(G123="","Categoria senza tipo",""))))))))</f>
        <v/>
      </c>
    </row>
    <row r="124">
      <c r="A124" s="29" t="n">
        <v>46113</v>
      </c>
      <c r="B124" s="17" t="inlineStr">
        <is>
          <t>Rata mutuo</t>
        </is>
      </c>
      <c r="C124" s="17" t="inlineStr">
        <is>
          <t>Affitto o rata mutuo</t>
        </is>
      </c>
      <c r="D124" s="16" t="n">
        <v>680</v>
      </c>
      <c r="E124" s="30" t="inlineStr">
        <is>
          <t>Conto corrente</t>
        </is>
      </c>
      <c r="F124" s="17" t="n"/>
      <c r="G124" s="31">
        <f>IF(C124="","",IFERROR(INDEX(Categorie!$B$6:$B$65,MATCH(C124,Categorie!$A$6:$A$65,0))&amp;"",""))</f>
        <v/>
      </c>
      <c r="H124" s="32">
        <f>IF(AND(A124="",C124="",D124=""),"",IF(D124="","Manca l'importo",IF(NOT(ISNUMBER(D124)),"Importo non valido",IF(NOT(ISNUMBER(A124)),"Data mancante o non valida",IF(YEAR(A124)&lt;&gt;Impostazioni!$C$4,"Fuori dall'anno",IF(C124="","Manca la categoria",IF(ISNA(MATCH(C124,Categorie!$A$6:$A$65,0)),"Categoria non trovata",IF(G124="","Categoria senza tipo",""))))))))</f>
        <v/>
      </c>
    </row>
    <row r="125">
      <c r="A125" s="29" t="n">
        <v>46113</v>
      </c>
      <c r="B125" s="17" t="inlineStr">
        <is>
          <t>Rifornimento</t>
        </is>
      </c>
      <c r="C125" s="17" t="inlineStr">
        <is>
          <t>Carburante</t>
        </is>
      </c>
      <c r="D125" s="16" t="n">
        <v>58.69</v>
      </c>
      <c r="E125" s="30" t="inlineStr">
        <is>
          <t>Carta di credito</t>
        </is>
      </c>
      <c r="F125" s="17" t="inlineStr">
        <is>
          <t>Marco</t>
        </is>
      </c>
      <c r="G125" s="31">
        <f>IF(C125="","",IFERROR(INDEX(Categorie!$B$6:$B$65,MATCH(C125,Categorie!$A$6:$A$65,0))&amp;"",""))</f>
        <v/>
      </c>
      <c r="H125" s="32">
        <f>IF(AND(A125="",C125="",D125=""),"",IF(D125="","Manca l'importo",IF(NOT(ISNUMBER(D125)),"Importo non valido",IF(NOT(ISNUMBER(A125)),"Data mancante o non valida",IF(YEAR(A125)&lt;&gt;Impostazioni!$C$4,"Fuori dall'anno",IF(C125="","Manca la categoria",IF(ISNA(MATCH(C125,Categorie!$A$6:$A$65,0)),"Categoria non trovata",IF(G125="","Categoria senza tipo",""))))))))</f>
        <v/>
      </c>
    </row>
    <row r="126">
      <c r="A126" s="29" t="n">
        <v>46113</v>
      </c>
      <c r="B126" s="17" t="inlineStr">
        <is>
          <t>Spesa al mercato</t>
        </is>
      </c>
      <c r="C126" s="17" t="inlineStr">
        <is>
          <t>Spesa alimentare</t>
        </is>
      </c>
      <c r="D126" s="16" t="n">
        <v>28.94</v>
      </c>
      <c r="E126" s="30" t="inlineStr">
        <is>
          <t>Contanti</t>
        </is>
      </c>
      <c r="F126" s="17" t="n"/>
      <c r="G126" s="31">
        <f>IF(C126="","",IFERROR(INDEX(Categorie!$B$6:$B$65,MATCH(C126,Categorie!$A$6:$A$65,0))&amp;"",""))</f>
        <v/>
      </c>
      <c r="H126" s="32">
        <f>IF(AND(A126="",C126="",D126=""),"",IF(D126="","Manca l'importo",IF(NOT(ISNUMBER(D126)),"Importo non valido",IF(NOT(ISNUMBER(A126)),"Data mancante o non valida",IF(YEAR(A126)&lt;&gt;Impostazioni!$C$4,"Fuori dall'anno",IF(C126="","Manca la categoria",IF(ISNA(MATCH(C126,Categorie!$A$6:$A$65,0)),"Categoria non trovata",IF(G126="","Categoria senza tipo",""))))))))</f>
        <v/>
      </c>
    </row>
    <row r="127">
      <c r="A127" s="29" t="n">
        <v>46114</v>
      </c>
      <c r="B127" s="17" t="inlineStr">
        <is>
          <t>Gelateria</t>
        </is>
      </c>
      <c r="C127" s="17" t="inlineStr">
        <is>
          <t>Svago</t>
        </is>
      </c>
      <c r="D127" s="16" t="n">
        <v>9.23</v>
      </c>
      <c r="E127" s="30" t="inlineStr">
        <is>
          <t>Carta di debito</t>
        </is>
      </c>
      <c r="F127" s="17" t="n"/>
      <c r="G127" s="31">
        <f>IF(C127="","",IFERROR(INDEX(Categorie!$B$6:$B$65,MATCH(C127,Categorie!$A$6:$A$65,0))&amp;"",""))</f>
        <v/>
      </c>
      <c r="H127" s="32">
        <f>IF(AND(A127="",C127="",D127=""),"",IF(D127="","Manca l'importo",IF(NOT(ISNUMBER(D127)),"Importo non valido",IF(NOT(ISNUMBER(A127)),"Data mancante o non valida",IF(YEAR(A127)&lt;&gt;Impostazioni!$C$4,"Fuori dall'anno",IF(C127="","Manca la categoria",IF(ISNA(MATCH(C127,Categorie!$A$6:$A$65,0)),"Categoria non trovata",IF(G127="","Categoria senza tipo",""))))))))</f>
        <v/>
      </c>
    </row>
    <row r="128">
      <c r="A128" s="29" t="n">
        <v>46115</v>
      </c>
      <c r="B128" s="17" t="inlineStr">
        <is>
          <t>Abbonamento bus Sofia</t>
        </is>
      </c>
      <c r="C128" s="17" t="inlineStr">
        <is>
          <t>Trasporti</t>
        </is>
      </c>
      <c r="D128" s="16" t="n">
        <v>25</v>
      </c>
      <c r="E128" s="30" t="inlineStr">
        <is>
          <t>Carta di debito</t>
        </is>
      </c>
      <c r="F128" s="17" t="inlineStr">
        <is>
          <t>Sofia</t>
        </is>
      </c>
      <c r="G128" s="31">
        <f>IF(C128="","",IFERROR(INDEX(Categorie!$B$6:$B$65,MATCH(C128,Categorie!$A$6:$A$65,0))&amp;"",""))</f>
        <v/>
      </c>
      <c r="H128" s="32">
        <f>IF(AND(A128="",C128="",D128=""),"",IF(D128="","Manca l'importo",IF(NOT(ISNUMBER(D128)),"Importo non valido",IF(NOT(ISNUMBER(A128)),"Data mancante o non valida",IF(YEAR(A128)&lt;&gt;Impostazioni!$C$4,"Fuori dall'anno",IF(C128="","Manca la categoria",IF(ISNA(MATCH(C128,Categorie!$A$6:$A$65,0)),"Categoria non trovata",IF(G128="","Categoria senza tipo",""))))))))</f>
        <v/>
      </c>
    </row>
    <row r="129">
      <c r="A129" s="29" t="n">
        <v>46116</v>
      </c>
      <c r="B129" s="17" t="inlineStr">
        <is>
          <t>Mensa scolastica</t>
        </is>
      </c>
      <c r="C129" s="17" t="inlineStr">
        <is>
          <t>Scuola e figli</t>
        </is>
      </c>
      <c r="D129" s="16" t="n">
        <v>78</v>
      </c>
      <c r="E129" s="30" t="inlineStr">
        <is>
          <t>Conto corrente</t>
        </is>
      </c>
      <c r="F129" s="17" t="inlineStr">
        <is>
          <t>Sofia</t>
        </is>
      </c>
      <c r="G129" s="31">
        <f>IF(C129="","",IFERROR(INDEX(Categorie!$B$6:$B$65,MATCH(C129,Categorie!$A$6:$A$65,0))&amp;"",""))</f>
        <v/>
      </c>
      <c r="H129" s="32">
        <f>IF(AND(A129="",C129="",D129=""),"",IF(D129="","Manca l'importo",IF(NOT(ISNUMBER(D129)),"Importo non valido",IF(NOT(ISNUMBER(A129)),"Data mancante o non valida",IF(YEAR(A129)&lt;&gt;Impostazioni!$C$4,"Fuori dall'anno",IF(C129="","Manca la categoria",IF(ISNA(MATCH(C129,Categorie!$A$6:$A$65,0)),"Categoria non trovata",IF(G129="","Categoria senza tipo",""))))))))</f>
        <v/>
      </c>
    </row>
    <row r="130">
      <c r="A130" s="29" t="n">
        <v>46116</v>
      </c>
      <c r="B130" s="17" t="inlineStr">
        <is>
          <t>Spesa settimanale</t>
        </is>
      </c>
      <c r="C130" s="17" t="inlineStr">
        <is>
          <t>Spesa alimentare</t>
        </is>
      </c>
      <c r="D130" s="16" t="n">
        <v>90.81</v>
      </c>
      <c r="E130" s="30" t="inlineStr">
        <is>
          <t>Carta di debito</t>
        </is>
      </c>
      <c r="F130" s="17" t="n"/>
      <c r="G130" s="31">
        <f>IF(C130="","",IFERROR(INDEX(Categorie!$B$6:$B$65,MATCH(C130,Categorie!$A$6:$A$65,0))&amp;"",""))</f>
        <v/>
      </c>
      <c r="H130" s="32">
        <f>IF(AND(A130="",C130="",D130=""),"",IF(D130="","Manca l'importo",IF(NOT(ISNUMBER(D130)),"Importo non valido",IF(NOT(ISNUMBER(A130)),"Data mancante o non valida",IF(YEAR(A130)&lt;&gt;Impostazioni!$C$4,"Fuori dall'anno",IF(C130="","Manca la categoria",IF(ISNA(MATCH(C130,Categorie!$A$6:$A$65,0)),"Categoria non trovata",IF(G130="","Categoria senza tipo",""))))))))</f>
        <v/>
      </c>
    </row>
    <row r="131">
      <c r="A131" s="29" t="n">
        <v>46116</v>
      </c>
      <c r="B131" s="17" t="inlineStr">
        <is>
          <t>Weekend di Pasqua</t>
        </is>
      </c>
      <c r="C131" s="17" t="inlineStr">
        <is>
          <t>Vacanze</t>
        </is>
      </c>
      <c r="D131" s="16" t="n">
        <v>284</v>
      </c>
      <c r="E131" s="30" t="inlineStr">
        <is>
          <t>Carta di credito</t>
        </is>
      </c>
      <c r="F131" s="17" t="n"/>
      <c r="G131" s="31">
        <f>IF(C131="","",IFERROR(INDEX(Categorie!$B$6:$B$65,MATCH(C131,Categorie!$A$6:$A$65,0))&amp;"",""))</f>
        <v/>
      </c>
      <c r="H131" s="32">
        <f>IF(AND(A131="",C131="",D131=""),"",IF(D131="","Manca l'importo",IF(NOT(ISNUMBER(D131)),"Importo non valido",IF(NOT(ISNUMBER(A131)),"Data mancante o non valida",IF(YEAR(A131)&lt;&gt;Impostazioni!$C$4,"Fuori dall'anno",IF(C131="","Manca la categoria",IF(ISNA(MATCH(C131,Categorie!$A$6:$A$65,0)),"Categoria non trovata",IF(G131="","Categoria senza tipo",""))))))))</f>
        <v/>
      </c>
    </row>
    <row r="132">
      <c r="A132" s="29" t="n">
        <v>46117</v>
      </c>
      <c r="B132" s="17" t="inlineStr">
        <is>
          <t>Fibra casa</t>
        </is>
      </c>
      <c r="C132" s="17" t="inlineStr">
        <is>
          <t>Internet e telefono</t>
        </is>
      </c>
      <c r="D132" s="16" t="n">
        <v>27.9</v>
      </c>
      <c r="E132" s="30" t="inlineStr">
        <is>
          <t>Carta di credito</t>
        </is>
      </c>
      <c r="F132" s="17" t="n"/>
      <c r="G132" s="31">
        <f>IF(C132="","",IFERROR(INDEX(Categorie!$B$6:$B$65,MATCH(C132,Categorie!$A$6:$A$65,0))&amp;"",""))</f>
        <v/>
      </c>
      <c r="H132" s="32">
        <f>IF(AND(A132="",C132="",D132=""),"",IF(D132="","Manca l'importo",IF(NOT(ISNUMBER(D132)),"Importo non valido",IF(NOT(ISNUMBER(A132)),"Data mancante o non valida",IF(YEAR(A132)&lt;&gt;Impostazioni!$C$4,"Fuori dall'anno",IF(C132="","Manca la categoria",IF(ISNA(MATCH(C132,Categorie!$A$6:$A$65,0)),"Categoria non trovata",IF(G132="","Categoria senza tipo",""))))))))</f>
        <v/>
      </c>
    </row>
    <row r="133">
      <c r="A133" s="29" t="n">
        <v>46117</v>
      </c>
      <c r="B133" s="17" t="inlineStr">
        <is>
          <t>Telefono Giulia</t>
        </is>
      </c>
      <c r="C133" s="17" t="inlineStr">
        <is>
          <t>Internet e telefono</t>
        </is>
      </c>
      <c r="D133" s="16" t="n">
        <v>7.99</v>
      </c>
      <c r="E133" s="30" t="inlineStr">
        <is>
          <t>Carta di credito</t>
        </is>
      </c>
      <c r="F133" s="17" t="inlineStr">
        <is>
          <t>Giulia</t>
        </is>
      </c>
      <c r="G133" s="31">
        <f>IF(C133="","",IFERROR(INDEX(Categorie!$B$6:$B$65,MATCH(C133,Categorie!$A$6:$A$65,0))&amp;"",""))</f>
        <v/>
      </c>
      <c r="H133" s="32">
        <f>IF(AND(A133="",C133="",D133=""),"",IF(D133="","Manca l'importo",IF(NOT(ISNUMBER(D133)),"Importo non valido",IF(NOT(ISNUMBER(A133)),"Data mancante o non valida",IF(YEAR(A133)&lt;&gt;Impostazioni!$C$4,"Fuori dall'anno",IF(C133="","Manca la categoria",IF(ISNA(MATCH(C133,Categorie!$A$6:$A$65,0)),"Categoria non trovata",IF(G133="","Categoria senza tipo",""))))))))</f>
        <v/>
      </c>
    </row>
    <row r="134">
      <c r="A134" s="29" t="n">
        <v>46117</v>
      </c>
      <c r="B134" s="17" t="inlineStr">
        <is>
          <t>Telefono Marco</t>
        </is>
      </c>
      <c r="C134" s="17" t="inlineStr">
        <is>
          <t>Internet e telefono</t>
        </is>
      </c>
      <c r="D134" s="16" t="n">
        <v>9.99</v>
      </c>
      <c r="E134" s="30" t="inlineStr">
        <is>
          <t>Carta di credito</t>
        </is>
      </c>
      <c r="F134" s="17" t="inlineStr">
        <is>
          <t>Marco</t>
        </is>
      </c>
      <c r="G134" s="31">
        <f>IF(C134="","",IFERROR(INDEX(Categorie!$B$6:$B$65,MATCH(C134,Categorie!$A$6:$A$65,0))&amp;"",""))</f>
        <v/>
      </c>
      <c r="H134" s="32">
        <f>IF(AND(A134="",C134="",D134=""),"",IF(D134="","Manca l'importo",IF(NOT(ISNUMBER(D134)),"Importo non valido",IF(NOT(ISNUMBER(A134)),"Data mancante o non valida",IF(YEAR(A134)&lt;&gt;Impostazioni!$C$4,"Fuori dall'anno",IF(C134="","Manca la categoria",IF(ISNA(MATCH(C134,Categorie!$A$6:$A$65,0)),"Categoria non trovata",IF(G134="","Categoria senza tipo",""))))))))</f>
        <v/>
      </c>
    </row>
    <row r="135">
      <c r="A135" s="29" t="n">
        <v>46117</v>
      </c>
      <c r="B135" s="17" t="inlineStr">
        <is>
          <t>Parcheggio</t>
        </is>
      </c>
      <c r="C135" s="17" t="inlineStr">
        <is>
          <t>Trasporti</t>
        </is>
      </c>
      <c r="D135" s="16" t="n">
        <v>6.39</v>
      </c>
      <c r="E135" s="30" t="inlineStr">
        <is>
          <t>Contanti</t>
        </is>
      </c>
      <c r="F135" s="17" t="n"/>
      <c r="G135" s="31">
        <f>IF(C135="","",IFERROR(INDEX(Categorie!$B$6:$B$65,MATCH(C135,Categorie!$A$6:$A$65,0))&amp;"",""))</f>
        <v/>
      </c>
      <c r="H135" s="32">
        <f>IF(AND(A135="",C135="",D135=""),"",IF(D135="","Manca l'importo",IF(NOT(ISNUMBER(D135)),"Importo non valido",IF(NOT(ISNUMBER(A135)),"Data mancante o non valida",IF(YEAR(A135)&lt;&gt;Impostazioni!$C$4,"Fuori dall'anno",IF(C135="","Manca la categoria",IF(ISNA(MATCH(C135,Categorie!$A$6:$A$65,0)),"Categoria non trovata",IF(G135="","Categoria senza tipo",""))))))))</f>
        <v/>
      </c>
    </row>
    <row r="136">
      <c r="A136" s="29" t="n">
        <v>46120</v>
      </c>
      <c r="B136" s="17" t="inlineStr">
        <is>
          <t>Musica in streaming</t>
        </is>
      </c>
      <c r="C136" s="17" t="inlineStr">
        <is>
          <t>Abbonamenti</t>
        </is>
      </c>
      <c r="D136" s="16" t="n">
        <v>10.99</v>
      </c>
      <c r="E136" s="30" t="inlineStr">
        <is>
          <t>Carta di credito</t>
        </is>
      </c>
      <c r="F136" s="17" t="inlineStr">
        <is>
          <t>Giulia</t>
        </is>
      </c>
      <c r="G136" s="31">
        <f>IF(C136="","",IFERROR(INDEX(Categorie!$B$6:$B$65,MATCH(C136,Categorie!$A$6:$A$65,0))&amp;"",""))</f>
        <v/>
      </c>
      <c r="H136" s="32">
        <f>IF(AND(A136="",C136="",D136=""),"",IF(D136="","Manca l'importo",IF(NOT(ISNUMBER(D136)),"Importo non valido",IF(NOT(ISNUMBER(A136)),"Data mancante o non valida",IF(YEAR(A136)&lt;&gt;Impostazioni!$C$4,"Fuori dall'anno",IF(C136="","Manca la categoria",IF(ISNA(MATCH(C136,Categorie!$A$6:$A$65,0)),"Categoria non trovata",IF(G136="","Categoria senza tipo",""))))))))</f>
        <v/>
      </c>
    </row>
    <row r="137">
      <c r="A137" s="29" t="n">
        <v>46120</v>
      </c>
      <c r="B137" s="17" t="inlineStr">
        <is>
          <t>Streaming video</t>
        </is>
      </c>
      <c r="C137" s="17" t="inlineStr">
        <is>
          <t>Abbonamenti</t>
        </is>
      </c>
      <c r="D137" s="16" t="n">
        <v>13.99</v>
      </c>
      <c r="E137" s="30" t="inlineStr">
        <is>
          <t>Carta di credito</t>
        </is>
      </c>
      <c r="F137" s="17" t="n"/>
      <c r="G137" s="31">
        <f>IF(C137="","",IFERROR(INDEX(Categorie!$B$6:$B$65,MATCH(C137,Categorie!$A$6:$A$65,0))&amp;"",""))</f>
        <v/>
      </c>
      <c r="H137" s="32">
        <f>IF(AND(A137="",C137="",D137=""),"",IF(D137="","Manca l'importo",IF(NOT(ISNUMBER(D137)),"Importo non valido",IF(NOT(ISNUMBER(A137)),"Data mancante o non valida",IF(YEAR(A137)&lt;&gt;Impostazioni!$C$4,"Fuori dall'anno",IF(C137="","Manca la categoria",IF(ISNA(MATCH(C137,Categorie!$A$6:$A$65,0)),"Categoria non trovata",IF(G137="","Categoria senza tipo",""))))))))</f>
        <v/>
      </c>
    </row>
    <row r="138">
      <c r="A138" s="29" t="n">
        <v>46122</v>
      </c>
      <c r="B138" s="17" t="inlineStr">
        <is>
          <t>Rata condominio trimestrale</t>
        </is>
      </c>
      <c r="C138" s="17" t="inlineStr">
        <is>
          <t>Condominio</t>
        </is>
      </c>
      <c r="D138" s="16" t="n">
        <v>270</v>
      </c>
      <c r="E138" s="30" t="inlineStr">
        <is>
          <t>Conto corrente</t>
        </is>
      </c>
      <c r="F138" s="17" t="n"/>
      <c r="G138" s="31">
        <f>IF(C138="","",IFERROR(INDEX(Categorie!$B$6:$B$65,MATCH(C138,Categorie!$A$6:$A$65,0))&amp;"",""))</f>
        <v/>
      </c>
      <c r="H138" s="32">
        <f>IF(AND(A138="",C138="",D138=""),"",IF(D138="","Manca l'importo",IF(NOT(ISNUMBER(D138)),"Importo non valido",IF(NOT(ISNUMBER(A138)),"Data mancante o non valida",IF(YEAR(A138)&lt;&gt;Impostazioni!$C$4,"Fuori dall'anno",IF(C138="","Manca la categoria",IF(ISNA(MATCH(C138,Categorie!$A$6:$A$65,0)),"Categoria non trovata",IF(G138="","Categoria senza tipo",""))))))))</f>
        <v/>
      </c>
    </row>
    <row r="139">
      <c r="A139" s="29" t="n">
        <v>46123</v>
      </c>
      <c r="B139" s="17" t="inlineStr">
        <is>
          <t>Maglieria</t>
        </is>
      </c>
      <c r="C139" s="17" t="inlineStr">
        <is>
          <t>Abbigliamento</t>
        </is>
      </c>
      <c r="D139" s="16" t="n">
        <v>39.9</v>
      </c>
      <c r="E139" s="30" t="inlineStr">
        <is>
          <t>Carta di debito</t>
        </is>
      </c>
      <c r="F139" s="17" t="inlineStr">
        <is>
          <t>Marco</t>
        </is>
      </c>
      <c r="G139" s="31">
        <f>IF(C139="","",IFERROR(INDEX(Categorie!$B$6:$B$65,MATCH(C139,Categorie!$A$6:$A$65,0))&amp;"",""))</f>
        <v/>
      </c>
      <c r="H139" s="32">
        <f>IF(AND(A139="",C139="",D139=""),"",IF(D139="","Manca l'importo",IF(NOT(ISNUMBER(D139)),"Importo non valido",IF(NOT(ISNUMBER(A139)),"Data mancante o non valida",IF(YEAR(A139)&lt;&gt;Impostazioni!$C$4,"Fuori dall'anno",IF(C139="","Manca la categoria",IF(ISNA(MATCH(C139,Categorie!$A$6:$A$65,0)),"Categoria non trovata",IF(G139="","Categoria senza tipo",""))))))))</f>
        <v/>
      </c>
    </row>
    <row r="140">
      <c r="A140" s="29" t="n">
        <v>46123</v>
      </c>
      <c r="B140" s="17" t="inlineStr">
        <is>
          <t>Spesa settimanale</t>
        </is>
      </c>
      <c r="C140" s="17" t="inlineStr">
        <is>
          <t>Spesa alimentare</t>
        </is>
      </c>
      <c r="D140" s="16" t="n">
        <v>129</v>
      </c>
      <c r="E140" s="30" t="inlineStr">
        <is>
          <t>Carta di debito</t>
        </is>
      </c>
      <c r="F140" s="17" t="n"/>
      <c r="G140" s="31">
        <f>IF(C140="","",IFERROR(INDEX(Categorie!$B$6:$B$65,MATCH(C140,Categorie!$A$6:$A$65,0))&amp;"",""))</f>
        <v/>
      </c>
      <c r="H140" s="32">
        <f>IF(AND(A140="",C140="",D140=""),"",IF(D140="","Manca l'importo",IF(NOT(ISNUMBER(D140)),"Importo non valido",IF(NOT(ISNUMBER(A140)),"Data mancante o non valida",IF(YEAR(A140)&lt;&gt;Impostazioni!$C$4,"Fuori dall'anno",IF(C140="","Manca la categoria",IF(ISNA(MATCH(C140,Categorie!$A$6:$A$65,0)),"Categoria non trovata",IF(G140="","Categoria senza tipo",""))))))))</f>
        <v/>
      </c>
    </row>
    <row r="141">
      <c r="A141" s="29" t="n">
        <v>46123</v>
      </c>
      <c r="B141" s="17" t="inlineStr">
        <is>
          <t>Libri</t>
        </is>
      </c>
      <c r="C141" s="17" t="inlineStr">
        <is>
          <t>Svago</t>
        </is>
      </c>
      <c r="D141" s="16" t="n">
        <v>20.77</v>
      </c>
      <c r="E141" s="30" t="inlineStr">
        <is>
          <t>Carta di debito</t>
        </is>
      </c>
      <c r="F141" s="17" t="n"/>
      <c r="G141" s="31">
        <f>IF(C141="","",IFERROR(INDEX(Categorie!$B$6:$B$65,MATCH(C141,Categorie!$A$6:$A$65,0))&amp;"",""))</f>
        <v/>
      </c>
      <c r="H141" s="32">
        <f>IF(AND(A141="",C141="",D141=""),"",IF(D141="","Manca l'importo",IF(NOT(ISNUMBER(D141)),"Importo non valido",IF(NOT(ISNUMBER(A141)),"Data mancante o non valida",IF(YEAR(A141)&lt;&gt;Impostazioni!$C$4,"Fuori dall'anno",IF(C141="","Manca la categoria",IF(ISNA(MATCH(C141,Categorie!$A$6:$A$65,0)),"Categoria non trovata",IF(G141="","Categoria senza tipo",""))))))))</f>
        <v/>
      </c>
    </row>
    <row r="142">
      <c r="A142" s="29" t="n">
        <v>46124</v>
      </c>
      <c r="B142" s="17" t="inlineStr">
        <is>
          <t>Rifornimento</t>
        </is>
      </c>
      <c r="C142" s="17" t="inlineStr">
        <is>
          <t>Carburante</t>
        </is>
      </c>
      <c r="D142" s="16" t="n">
        <v>54.22</v>
      </c>
      <c r="E142" s="30" t="inlineStr">
        <is>
          <t>Carta di credito</t>
        </is>
      </c>
      <c r="F142" s="17" t="inlineStr">
        <is>
          <t>Giulia</t>
        </is>
      </c>
      <c r="G142" s="31">
        <f>IF(C142="","",IFERROR(INDEX(Categorie!$B$6:$B$65,MATCH(C142,Categorie!$A$6:$A$65,0))&amp;"",""))</f>
        <v/>
      </c>
      <c r="H142" s="32">
        <f>IF(AND(A142="",C142="",D142=""),"",IF(D142="","Manca l'importo",IF(NOT(ISNUMBER(D142)),"Importo non valido",IF(NOT(ISNUMBER(A142)),"Data mancante o non valida",IF(YEAR(A142)&lt;&gt;Impostazioni!$C$4,"Fuori dall'anno",IF(C142="","Manca la categoria",IF(ISNA(MATCH(C142,Categorie!$A$6:$A$65,0)),"Categoria non trovata",IF(G142="","Categoria senza tipo",""))))))))</f>
        <v/>
      </c>
    </row>
    <row r="143">
      <c r="A143" s="29" t="n">
        <v>46127</v>
      </c>
      <c r="B143" s="17" t="inlineStr">
        <is>
          <t>Rata carta revolving</t>
        </is>
      </c>
      <c r="C143" s="17" t="inlineStr">
        <is>
          <t>Rate di prestiti</t>
        </is>
      </c>
      <c r="D143" s="16" t="n">
        <v>60</v>
      </c>
      <c r="E143" s="30" t="inlineStr">
        <is>
          <t>Conto corrente</t>
        </is>
      </c>
      <c r="F143" s="17" t="n"/>
      <c r="G143" s="31">
        <f>IF(C143="","",IFERROR(INDEX(Categorie!$B$6:$B$65,MATCH(C143,Categorie!$A$6:$A$65,0))&amp;"",""))</f>
        <v/>
      </c>
      <c r="H143" s="32">
        <f>IF(AND(A143="",C143="",D143=""),"",IF(D143="","Manca l'importo",IF(NOT(ISNUMBER(D143)),"Importo non valido",IF(NOT(ISNUMBER(A143)),"Data mancante o non valida",IF(YEAR(A143)&lt;&gt;Impostazioni!$C$4,"Fuori dall'anno",IF(C143="","Manca la categoria",IF(ISNA(MATCH(C143,Categorie!$A$6:$A$65,0)),"Categoria non trovata",IF(G143="","Categoria senza tipo",""))))))))</f>
        <v/>
      </c>
    </row>
    <row r="144">
      <c r="A144" s="29" t="n">
        <v>46127</v>
      </c>
      <c r="B144" s="17" t="inlineStr">
        <is>
          <t>Rata lavatrice a tasso zero</t>
        </is>
      </c>
      <c r="C144" s="17" t="inlineStr">
        <is>
          <t>Rate di prestiti</t>
        </is>
      </c>
      <c r="D144" s="16" t="n">
        <v>40</v>
      </c>
      <c r="E144" s="30" t="inlineStr">
        <is>
          <t>Conto corrente</t>
        </is>
      </c>
      <c r="F144" s="17" t="n"/>
      <c r="G144" s="31">
        <f>IF(C144="","",IFERROR(INDEX(Categorie!$B$6:$B$65,MATCH(C144,Categorie!$A$6:$A$65,0))&amp;"",""))</f>
        <v/>
      </c>
      <c r="H144" s="32">
        <f>IF(AND(A144="",C144="",D144=""),"",IF(D144="","Manca l'importo",IF(NOT(ISNUMBER(D144)),"Importo non valido",IF(NOT(ISNUMBER(A144)),"Data mancante o non valida",IF(YEAR(A144)&lt;&gt;Impostazioni!$C$4,"Fuori dall'anno",IF(C144="","Manca la categoria",IF(ISNA(MATCH(C144,Categorie!$A$6:$A$65,0)),"Categoria non trovata",IF(G144="","Categoria senza tipo",""))))))))</f>
        <v/>
      </c>
    </row>
    <row r="145">
      <c r="A145" s="29" t="n">
        <v>46127</v>
      </c>
      <c r="B145" s="17" t="inlineStr">
        <is>
          <t>Rata prestito auto</t>
        </is>
      </c>
      <c r="C145" s="17" t="inlineStr">
        <is>
          <t>Rate di prestiti</t>
        </is>
      </c>
      <c r="D145" s="16" t="n">
        <v>210</v>
      </c>
      <c r="E145" s="30" t="inlineStr">
        <is>
          <t>Conto corrente</t>
        </is>
      </c>
      <c r="F145" s="17" t="n"/>
      <c r="G145" s="31">
        <f>IF(C145="","",IFERROR(INDEX(Categorie!$B$6:$B$65,MATCH(C145,Categorie!$A$6:$A$65,0))&amp;"",""))</f>
        <v/>
      </c>
      <c r="H145" s="32">
        <f>IF(AND(A145="",C145="",D145=""),"",IF(D145="","Manca l'importo",IF(NOT(ISNUMBER(D145)),"Importo non valido",IF(NOT(ISNUMBER(A145)),"Data mancante o non valida",IF(YEAR(A145)&lt;&gt;Impostazioni!$C$4,"Fuori dall'anno",IF(C145="","Manca la categoria",IF(ISNA(MATCH(C145,Categorie!$A$6:$A$65,0)),"Categoria non trovata",IF(G145="","Categoria senza tipo",""))))))))</f>
        <v/>
      </c>
    </row>
    <row r="146">
      <c r="A146" s="29" t="n">
        <v>46127</v>
      </c>
      <c r="B146" s="17" t="inlineStr">
        <is>
          <t>Spesa al mercato</t>
        </is>
      </c>
      <c r="C146" s="17" t="inlineStr">
        <is>
          <t>Spesa alimentare</t>
        </is>
      </c>
      <c r="D146" s="16" t="n">
        <v>19.55</v>
      </c>
      <c r="E146" s="30" t="inlineStr">
        <is>
          <t>Contanti</t>
        </is>
      </c>
      <c r="F146" s="17" t="n"/>
      <c r="G146" s="31">
        <f>IF(C146="","",IFERROR(INDEX(Categorie!$B$6:$B$65,MATCH(C146,Categorie!$A$6:$A$65,0))&amp;"",""))</f>
        <v/>
      </c>
      <c r="H146" s="32">
        <f>IF(AND(A146="",C146="",D146=""),"",IF(D146="","Manca l'importo",IF(NOT(ISNUMBER(D146)),"Importo non valido",IF(NOT(ISNUMBER(A146)),"Data mancante o non valida",IF(YEAR(A146)&lt;&gt;Impostazioni!$C$4,"Fuori dall'anno",IF(C146="","Manca la categoria",IF(ISNA(MATCH(C146,Categorie!$A$6:$A$65,0)),"Categoria non trovata",IF(G146="","Categoria senza tipo",""))))))))</f>
        <v/>
      </c>
    </row>
    <row r="147">
      <c r="A147" s="29" t="n">
        <v>46127</v>
      </c>
      <c r="B147" s="17" t="inlineStr">
        <is>
          <t>Bar</t>
        </is>
      </c>
      <c r="C147" s="17" t="inlineStr">
        <is>
          <t>Svago</t>
        </is>
      </c>
      <c r="D147" s="16" t="n">
        <v>7.62</v>
      </c>
      <c r="E147" s="30" t="inlineStr">
        <is>
          <t>Carta di debito</t>
        </is>
      </c>
      <c r="F147" s="17" t="n"/>
      <c r="G147" s="31">
        <f>IF(C147="","",IFERROR(INDEX(Categorie!$B$6:$B$65,MATCH(C147,Categorie!$A$6:$A$65,0))&amp;"",""))</f>
        <v/>
      </c>
      <c r="H147" s="32">
        <f>IF(AND(A147="",C147="",D147=""),"",IF(D147="","Manca l'importo",IF(NOT(ISNUMBER(D147)),"Importo non valido",IF(NOT(ISNUMBER(A147)),"Data mancante o non valida",IF(YEAR(A147)&lt;&gt;Impostazioni!$C$4,"Fuori dall'anno",IF(C147="","Manca la categoria",IF(ISNA(MATCH(C147,Categorie!$A$6:$A$65,0)),"Categoria non trovata",IF(G147="","Categoria senza tipo",""))))))))</f>
        <v/>
      </c>
    </row>
    <row r="148">
      <c r="A148" s="29" t="n">
        <v>46128</v>
      </c>
      <c r="B148" s="17" t="inlineStr">
        <is>
          <t>TARI rata</t>
        </is>
      </c>
      <c r="C148" s="17" t="inlineStr">
        <is>
          <t>TARI</t>
        </is>
      </c>
      <c r="D148" s="16" t="n">
        <v>108.67</v>
      </c>
      <c r="E148" s="30" t="inlineStr">
        <is>
          <t>Conto corrente</t>
        </is>
      </c>
      <c r="F148" s="17" t="n"/>
      <c r="G148" s="31">
        <f>IF(C148="","",IFERROR(INDEX(Categorie!$B$6:$B$65,MATCH(C148,Categorie!$A$6:$A$65,0))&amp;"",""))</f>
        <v/>
      </c>
      <c r="H148" s="32">
        <f>IF(AND(A148="",C148="",D148=""),"",IF(D148="","Manca l'importo",IF(NOT(ISNUMBER(D148)),"Importo non valido",IF(NOT(ISNUMBER(A148)),"Data mancante o non valida",IF(YEAR(A148)&lt;&gt;Impostazioni!$C$4,"Fuori dall'anno",IF(C148="","Manca la categoria",IF(ISNA(MATCH(C148,Categorie!$A$6:$A$65,0)),"Categoria non trovata",IF(G148="","Categoria senza tipo",""))))))))</f>
        <v/>
      </c>
    </row>
    <row r="149">
      <c r="A149" s="29" t="n">
        <v>46130</v>
      </c>
      <c r="B149" s="17" t="inlineStr">
        <is>
          <t>Bolletta gas</t>
        </is>
      </c>
      <c r="C149" s="17" t="inlineStr">
        <is>
          <t>Gas</t>
        </is>
      </c>
      <c r="D149" s="16" t="n">
        <v>70.42</v>
      </c>
      <c r="E149" s="30" t="inlineStr">
        <is>
          <t>Conto corrente</t>
        </is>
      </c>
      <c r="F149" s="17" t="n"/>
      <c r="G149" s="31">
        <f>IF(C149="","",IFERROR(INDEX(Categorie!$B$6:$B$65,MATCH(C149,Categorie!$A$6:$A$65,0))&amp;"",""))</f>
        <v/>
      </c>
      <c r="H149" s="32">
        <f>IF(AND(A149="",C149="",D149=""),"",IF(D149="","Manca l'importo",IF(NOT(ISNUMBER(D149)),"Importo non valido",IF(NOT(ISNUMBER(A149)),"Data mancante o non valida",IF(YEAR(A149)&lt;&gt;Impostazioni!$C$4,"Fuori dall'anno",IF(C149="","Manca la categoria",IF(ISNA(MATCH(C149,Categorie!$A$6:$A$65,0)),"Categoria non trovata",IF(G149="","Categoria senza tipo",""))))))))</f>
        <v/>
      </c>
    </row>
    <row r="150">
      <c r="A150" s="29" t="n">
        <v>46130</v>
      </c>
      <c r="B150" s="17" t="inlineStr">
        <is>
          <t>Bolletta luce</t>
        </is>
      </c>
      <c r="C150" s="17" t="inlineStr">
        <is>
          <t>Luce</t>
        </is>
      </c>
      <c r="D150" s="16" t="n">
        <v>60.44</v>
      </c>
      <c r="E150" s="30" t="inlineStr">
        <is>
          <t>Conto corrente</t>
        </is>
      </c>
      <c r="F150" s="17" t="n"/>
      <c r="G150" s="31">
        <f>IF(C150="","",IFERROR(INDEX(Categorie!$B$6:$B$65,MATCH(C150,Categorie!$A$6:$A$65,0))&amp;"",""))</f>
        <v/>
      </c>
      <c r="H150" s="32">
        <f>IF(AND(A150="",C150="",D150=""),"",IF(D150="","Manca l'importo",IF(NOT(ISNUMBER(D150)),"Importo non valido",IF(NOT(ISNUMBER(A150)),"Data mancante o non valida",IF(YEAR(A150)&lt;&gt;Impostazioni!$C$4,"Fuori dall'anno",IF(C150="","Manca la categoria",IF(ISNA(MATCH(C150,Categorie!$A$6:$A$65,0)),"Categoria non trovata",IF(G150="","Categoria senza tipo",""))))))))</f>
        <v/>
      </c>
    </row>
    <row r="151">
      <c r="A151" s="29" t="n">
        <v>46130</v>
      </c>
      <c r="B151" s="17" t="inlineStr">
        <is>
          <t>Spesa settimanale</t>
        </is>
      </c>
      <c r="C151" s="17" t="inlineStr">
        <is>
          <t>Spesa alimentare</t>
        </is>
      </c>
      <c r="D151" s="16" t="n">
        <v>99.27</v>
      </c>
      <c r="E151" s="30" t="inlineStr">
        <is>
          <t>Carta di debito</t>
        </is>
      </c>
      <c r="F151" s="17" t="n"/>
      <c r="G151" s="31">
        <f>IF(C151="","",IFERROR(INDEX(Categorie!$B$6:$B$65,MATCH(C151,Categorie!$A$6:$A$65,0))&amp;"",""))</f>
        <v/>
      </c>
      <c r="H151" s="32">
        <f>IF(AND(A151="",C151="",D151=""),"",IF(D151="","Manca l'importo",IF(NOT(ISNUMBER(D151)),"Importo non valido",IF(NOT(ISNUMBER(A151)),"Data mancante o non valida",IF(YEAR(A151)&lt;&gt;Impostazioni!$C$4,"Fuori dall'anno",IF(C151="","Manca la categoria",IF(ISNA(MATCH(C151,Categorie!$A$6:$A$65,0)),"Categoria non trovata",IF(G151="","Categoria senza tipo",""))))))))</f>
        <v/>
      </c>
    </row>
    <row r="152">
      <c r="A152" s="29" t="n">
        <v>46130</v>
      </c>
      <c r="B152" s="17" t="inlineStr">
        <is>
          <t>Libri</t>
        </is>
      </c>
      <c r="C152" s="17" t="inlineStr">
        <is>
          <t>Svago</t>
        </is>
      </c>
      <c r="D152" s="16" t="n">
        <v>23.17</v>
      </c>
      <c r="E152" s="30" t="inlineStr">
        <is>
          <t>Carta di debito</t>
        </is>
      </c>
      <c r="F152" s="17" t="n"/>
      <c r="G152" s="31">
        <f>IF(C152="","",IFERROR(INDEX(Categorie!$B$6:$B$65,MATCH(C152,Categorie!$A$6:$A$65,0))&amp;"",""))</f>
        <v/>
      </c>
      <c r="H152" s="32">
        <f>IF(AND(A152="",C152="",D152=""),"",IF(D152="","Manca l'importo",IF(NOT(ISNUMBER(D152)),"Importo non valido",IF(NOT(ISNUMBER(A152)),"Data mancante o non valida",IF(YEAR(A152)&lt;&gt;Impostazioni!$C$4,"Fuori dall'anno",IF(C152="","Manca la categoria",IF(ISNA(MATCH(C152,Categorie!$A$6:$A$65,0)),"Categoria non trovata",IF(G152="","Categoria senza tipo",""))))))))</f>
        <v/>
      </c>
    </row>
    <row r="153">
      <c r="A153" s="29" t="n">
        <v>46131</v>
      </c>
      <c r="B153" s="17" t="inlineStr">
        <is>
          <t>Farmacia</t>
        </is>
      </c>
      <c r="C153" s="17" t="inlineStr">
        <is>
          <t>Farmacia e salute</t>
        </is>
      </c>
      <c r="D153" s="16" t="n">
        <v>14.03</v>
      </c>
      <c r="E153" s="30" t="inlineStr">
        <is>
          <t>Carta di debito</t>
        </is>
      </c>
      <c r="F153" s="17" t="n"/>
      <c r="G153" s="31">
        <f>IF(C153="","",IFERROR(INDEX(Categorie!$B$6:$B$65,MATCH(C153,Categorie!$A$6:$A$65,0))&amp;"",""))</f>
        <v/>
      </c>
      <c r="H153" s="32">
        <f>IF(AND(A153="",C153="",D153=""),"",IF(D153="","Manca l'importo",IF(NOT(ISNUMBER(D153)),"Importo non valido",IF(NOT(ISNUMBER(A153)),"Data mancante o non valida",IF(YEAR(A153)&lt;&gt;Impostazioni!$C$4,"Fuori dall'anno",IF(C153="","Manca la categoria",IF(ISNA(MATCH(C153,Categorie!$A$6:$A$65,0)),"Categoria non trovata",IF(G153="","Categoria senza tipo",""))))))))</f>
        <v/>
      </c>
    </row>
    <row r="154">
      <c r="A154" s="29" t="n">
        <v>46132</v>
      </c>
      <c r="B154" s="17" t="inlineStr">
        <is>
          <t>Assegno unico INPS</t>
        </is>
      </c>
      <c r="C154" s="17" t="inlineStr">
        <is>
          <t>Assegno unico figli</t>
        </is>
      </c>
      <c r="D154" s="16" t="n">
        <v>145.3</v>
      </c>
      <c r="E154" s="30" t="inlineStr">
        <is>
          <t>Conto corrente</t>
        </is>
      </c>
      <c r="F154" s="17" t="n"/>
      <c r="G154" s="31">
        <f>IF(C154="","",IFERROR(INDEX(Categorie!$B$6:$B$65,MATCH(C154,Categorie!$A$6:$A$65,0))&amp;"",""))</f>
        <v/>
      </c>
      <c r="H154" s="32">
        <f>IF(AND(A154="",C154="",D154=""),"",IF(D154="","Manca l'importo",IF(NOT(ISNUMBER(D154)),"Importo non valido",IF(NOT(ISNUMBER(A154)),"Data mancante o non valida",IF(YEAR(A154)&lt;&gt;Impostazioni!$C$4,"Fuori dall'anno",IF(C154="","Manca la categoria",IF(ISNA(MATCH(C154,Categorie!$A$6:$A$65,0)),"Categoria non trovata",IF(G154="","Categoria senza tipo",""))))))))</f>
        <v/>
      </c>
    </row>
    <row r="155">
      <c r="A155" s="29" t="n">
        <v>46132</v>
      </c>
      <c r="B155" s="17" t="inlineStr">
        <is>
          <t>Gita scolastica</t>
        </is>
      </c>
      <c r="C155" s="17" t="inlineStr">
        <is>
          <t>Scuola e figli</t>
        </is>
      </c>
      <c r="D155" s="16" t="n">
        <v>42</v>
      </c>
      <c r="E155" s="30" t="inlineStr">
        <is>
          <t>Contanti</t>
        </is>
      </c>
      <c r="F155" s="17" t="inlineStr">
        <is>
          <t>Sofia</t>
        </is>
      </c>
      <c r="G155" s="31">
        <f>IF(C155="","",IFERROR(INDEX(Categorie!$B$6:$B$65,MATCH(C155,Categorie!$A$6:$A$65,0))&amp;"",""))</f>
        <v/>
      </c>
      <c r="H155" s="32">
        <f>IF(AND(A155="",C155="",D155=""),"",IF(D155="","Manca l'importo",IF(NOT(ISNUMBER(D155)),"Importo non valido",IF(NOT(ISNUMBER(A155)),"Data mancante o non valida",IF(YEAR(A155)&lt;&gt;Impostazioni!$C$4,"Fuori dall'anno",IF(C155="","Manca la categoria",IF(ISNA(MATCH(C155,Categorie!$A$6:$A$65,0)),"Categoria non trovata",IF(G155="","Categoria senza tipo",""))))))))</f>
        <v/>
      </c>
    </row>
    <row r="156">
      <c r="A156" s="29" t="n">
        <v>46133</v>
      </c>
      <c r="B156" s="17" t="inlineStr">
        <is>
          <t>Rifornimento</t>
        </is>
      </c>
      <c r="C156" s="17" t="inlineStr">
        <is>
          <t>Carburante</t>
        </is>
      </c>
      <c r="D156" s="16" t="n">
        <v>65.43000000000001</v>
      </c>
      <c r="E156" s="30" t="inlineStr">
        <is>
          <t>Carta di credito</t>
        </is>
      </c>
      <c r="F156" s="17" t="inlineStr">
        <is>
          <t>Marco</t>
        </is>
      </c>
      <c r="G156" s="31">
        <f>IF(C156="","",IFERROR(INDEX(Categorie!$B$6:$B$65,MATCH(C156,Categorie!$A$6:$A$65,0))&amp;"",""))</f>
        <v/>
      </c>
      <c r="H156" s="32">
        <f>IF(AND(A156="",C156="",D156=""),"",IF(D156="","Manca l'importo",IF(NOT(ISNUMBER(D156)),"Importo non valido",IF(NOT(ISNUMBER(A156)),"Data mancante o non valida",IF(YEAR(A156)&lt;&gt;Impostazioni!$C$4,"Fuori dall'anno",IF(C156="","Manca la categoria",IF(ISNA(MATCH(C156,Categorie!$A$6:$A$65,0)),"Categoria non trovata",IF(G156="","Categoria senza tipo",""))))))))</f>
        <v/>
      </c>
    </row>
    <row r="157">
      <c r="A157" s="29" t="n">
        <v>46135</v>
      </c>
      <c r="B157" s="17" t="inlineStr">
        <is>
          <t>Farmacia</t>
        </is>
      </c>
      <c r="C157" s="17" t="inlineStr">
        <is>
          <t>Farmacia e salute</t>
        </is>
      </c>
      <c r="D157" s="16" t="n">
        <v>21.02</v>
      </c>
      <c r="E157" s="30" t="inlineStr">
        <is>
          <t>Carta di debito</t>
        </is>
      </c>
      <c r="F157" s="17" t="n"/>
      <c r="G157" s="31">
        <f>IF(C157="","",IFERROR(INDEX(Categorie!$B$6:$B$65,MATCH(C157,Categorie!$A$6:$A$65,0))&amp;"",""))</f>
        <v/>
      </c>
      <c r="H157" s="32">
        <f>IF(AND(A157="",C157="",D157=""),"",IF(D157="","Manca l'importo",IF(NOT(ISNUMBER(D157)),"Importo non valido",IF(NOT(ISNUMBER(A157)),"Data mancante o non valida",IF(YEAR(A157)&lt;&gt;Impostazioni!$C$4,"Fuori dall'anno",IF(C157="","Manca la categoria",IF(ISNA(MATCH(C157,Categorie!$A$6:$A$65,0)),"Categoria non trovata",IF(G157="","Categoria senza tipo",""))))))))</f>
        <v/>
      </c>
    </row>
    <row r="158">
      <c r="A158" s="29" t="n">
        <v>46137</v>
      </c>
      <c r="B158" s="17" t="inlineStr">
        <is>
          <t>Spesa settimanale</t>
        </is>
      </c>
      <c r="C158" s="17" t="inlineStr">
        <is>
          <t>Spesa alimentare</t>
        </is>
      </c>
      <c r="D158" s="16" t="n">
        <v>88.61</v>
      </c>
      <c r="E158" s="30" t="inlineStr">
        <is>
          <t>Carta di debito</t>
        </is>
      </c>
      <c r="F158" s="17" t="n"/>
      <c r="G158" s="31">
        <f>IF(C158="","",IFERROR(INDEX(Categorie!$B$6:$B$65,MATCH(C158,Categorie!$A$6:$A$65,0))&amp;"",""))</f>
        <v/>
      </c>
      <c r="H158" s="32">
        <f>IF(AND(A158="",C158="",D158=""),"",IF(D158="","Manca l'importo",IF(NOT(ISNUMBER(D158)),"Importo non valido",IF(NOT(ISNUMBER(A158)),"Data mancante o non valida",IF(YEAR(A158)&lt;&gt;Impostazioni!$C$4,"Fuori dall'anno",IF(C158="","Manca la categoria",IF(ISNA(MATCH(C158,Categorie!$A$6:$A$65,0)),"Categoria non trovata",IF(G158="","Categoria senza tipo",""))))))))</f>
        <v/>
      </c>
    </row>
    <row r="159">
      <c r="A159" s="29" t="n">
        <v>46139</v>
      </c>
      <c r="B159" s="17" t="inlineStr">
        <is>
          <t>Stipendio</t>
        </is>
      </c>
      <c r="C159" s="17" t="inlineStr">
        <is>
          <t>Stipendio Giulia</t>
        </is>
      </c>
      <c r="D159" s="16" t="n">
        <v>1480</v>
      </c>
      <c r="E159" s="30" t="inlineStr">
        <is>
          <t>Conto corrente</t>
        </is>
      </c>
      <c r="F159" s="17" t="inlineStr">
        <is>
          <t>Giulia</t>
        </is>
      </c>
      <c r="G159" s="31">
        <f>IF(C159="","",IFERROR(INDEX(Categorie!$B$6:$B$65,MATCH(C159,Categorie!$A$6:$A$65,0))&amp;"",""))</f>
        <v/>
      </c>
      <c r="H159" s="32">
        <f>IF(AND(A159="",C159="",D159=""),"",IF(D159="","Manca l'importo",IF(NOT(ISNUMBER(D159)),"Importo non valido",IF(NOT(ISNUMBER(A159)),"Data mancante o non valida",IF(YEAR(A159)&lt;&gt;Impostazioni!$C$4,"Fuori dall'anno",IF(C159="","Manca la categoria",IF(ISNA(MATCH(C159,Categorie!$A$6:$A$65,0)),"Categoria non trovata",IF(G159="","Categoria senza tipo",""))))))))</f>
        <v/>
      </c>
    </row>
    <row r="160">
      <c r="A160" s="29" t="n">
        <v>46139</v>
      </c>
      <c r="B160" s="17" t="inlineStr">
        <is>
          <t>Stipendio</t>
        </is>
      </c>
      <c r="C160" s="17" t="inlineStr">
        <is>
          <t>Stipendio Marco</t>
        </is>
      </c>
      <c r="D160" s="16" t="n">
        <v>1850</v>
      </c>
      <c r="E160" s="30" t="inlineStr">
        <is>
          <t>Conto corrente</t>
        </is>
      </c>
      <c r="F160" s="17" t="inlineStr">
        <is>
          <t>Marco</t>
        </is>
      </c>
      <c r="G160" s="31">
        <f>IF(C160="","",IFERROR(INDEX(Categorie!$B$6:$B$65,MATCH(C160,Categorie!$A$6:$A$65,0))&amp;"",""))</f>
        <v/>
      </c>
      <c r="H160" s="32">
        <f>IF(AND(A160="",C160="",D160=""),"",IF(D160="","Manca l'importo",IF(NOT(ISNUMBER(D160)),"Importo non valido",IF(NOT(ISNUMBER(A160)),"Data mancante o non valida",IF(YEAR(A160)&lt;&gt;Impostazioni!$C$4,"Fuori dall'anno",IF(C160="","Manca la categoria",IF(ISNA(MATCH(C160,Categorie!$A$6:$A$65,0)),"Categoria non trovata",IF(G160="","Categoria senza tipo",""))))))))</f>
        <v/>
      </c>
    </row>
    <row r="161">
      <c r="A161" s="29" t="n">
        <v>46140</v>
      </c>
      <c r="B161" s="17" t="inlineStr">
        <is>
          <t>Bollo auto</t>
        </is>
      </c>
      <c r="C161" s="17" t="inlineStr">
        <is>
          <t>Bollo auto</t>
        </is>
      </c>
      <c r="D161" s="16" t="n">
        <v>232.4</v>
      </c>
      <c r="E161" s="30" t="inlineStr">
        <is>
          <t>Carta di credito</t>
        </is>
      </c>
      <c r="F161" s="17" t="inlineStr">
        <is>
          <t>Marco</t>
        </is>
      </c>
      <c r="G161" s="31">
        <f>IF(C161="","",IFERROR(INDEX(Categorie!$B$6:$B$65,MATCH(C161,Categorie!$A$6:$A$65,0))&amp;"",""))</f>
        <v/>
      </c>
      <c r="H161" s="32">
        <f>IF(AND(A161="",C161="",D161=""),"",IF(D161="","Manca l'importo",IF(NOT(ISNUMBER(D161)),"Importo non valido",IF(NOT(ISNUMBER(A161)),"Data mancante o non valida",IF(YEAR(A161)&lt;&gt;Impostazioni!$C$4,"Fuori dall'anno",IF(C161="","Manca la categoria",IF(ISNA(MATCH(C161,Categorie!$A$6:$A$65,0)),"Categoria non trovata",IF(G161="","Categoria senza tipo",""))))))))</f>
        <v/>
      </c>
    </row>
    <row r="162">
      <c r="A162" s="29" t="n">
        <v>46140</v>
      </c>
      <c r="B162" s="17" t="inlineStr">
        <is>
          <t>Versamento fondo emergenze</t>
        </is>
      </c>
      <c r="C162" s="17" t="inlineStr">
        <is>
          <t>Fondo emergenze</t>
        </is>
      </c>
      <c r="D162" s="16" t="n">
        <v>150</v>
      </c>
      <c r="E162" s="30" t="inlineStr">
        <is>
          <t>Conto corrente</t>
        </is>
      </c>
      <c r="F162" s="17" t="n"/>
      <c r="G162" s="31">
        <f>IF(C162="","",IFERROR(INDEX(Categorie!$B$6:$B$65,MATCH(C162,Categorie!$A$6:$A$65,0))&amp;"",""))</f>
        <v/>
      </c>
      <c r="H162" s="32">
        <f>IF(AND(A162="",C162="",D162=""),"",IF(D162="","Manca l'importo",IF(NOT(ISNUMBER(D162)),"Importo non valido",IF(NOT(ISNUMBER(A162)),"Data mancante o non valida",IF(YEAR(A162)&lt;&gt;Impostazioni!$C$4,"Fuori dall'anno",IF(C162="","Manca la categoria",IF(ISNA(MATCH(C162,Categorie!$A$6:$A$65,0)),"Categoria non trovata",IF(G162="","Categoria senza tipo",""))))))))</f>
        <v/>
      </c>
    </row>
    <row r="163">
      <c r="A163" s="29" t="n">
        <v>46140</v>
      </c>
      <c r="B163" s="17" t="inlineStr">
        <is>
          <t>Piano di accumulo mensile</t>
        </is>
      </c>
      <c r="C163" s="17" t="inlineStr">
        <is>
          <t>Investimenti</t>
        </is>
      </c>
      <c r="D163" s="16" t="n">
        <v>100</v>
      </c>
      <c r="E163" s="30" t="inlineStr">
        <is>
          <t>Conto corrente</t>
        </is>
      </c>
      <c r="F163" s="17" t="n"/>
      <c r="G163" s="31">
        <f>IF(C163="","",IFERROR(INDEX(Categorie!$B$6:$B$65,MATCH(C163,Categorie!$A$6:$A$65,0))&amp;"",""))</f>
        <v/>
      </c>
      <c r="H163" s="32">
        <f>IF(AND(A163="",C163="",D163=""),"",IF(D163="","Manca l'importo",IF(NOT(ISNUMBER(D163)),"Importo non valido",IF(NOT(ISNUMBER(A163)),"Data mancante o non valida",IF(YEAR(A163)&lt;&gt;Impostazioni!$C$4,"Fuori dall'anno",IF(C163="","Manca la categoria",IF(ISNA(MATCH(C163,Categorie!$A$6:$A$65,0)),"Categoria non trovata",IF(G163="","Categoria senza tipo",""))))))))</f>
        <v/>
      </c>
    </row>
    <row r="164">
      <c r="A164" s="29" t="n">
        <v>46140</v>
      </c>
      <c r="B164" s="17" t="inlineStr">
        <is>
          <t>Accantonamento obiettivi</t>
        </is>
      </c>
      <c r="C164" s="17" t="inlineStr">
        <is>
          <t>Obiettivi di risparmio</t>
        </is>
      </c>
      <c r="D164" s="16" t="n">
        <v>200</v>
      </c>
      <c r="E164" s="30" t="inlineStr">
        <is>
          <t>Conto corrente</t>
        </is>
      </c>
      <c r="F164" s="17" t="n"/>
      <c r="G164" s="31">
        <f>IF(C164="","",IFERROR(INDEX(Categorie!$B$6:$B$65,MATCH(C164,Categorie!$A$6:$A$65,0))&amp;"",""))</f>
        <v/>
      </c>
      <c r="H164" s="32">
        <f>IF(AND(A164="",C164="",D164=""),"",IF(D164="","Manca l'importo",IF(NOT(ISNUMBER(D164)),"Importo non valido",IF(NOT(ISNUMBER(A164)),"Data mancante o non valida",IF(YEAR(A164)&lt;&gt;Impostazioni!$C$4,"Fuori dall'anno",IF(C164="","Manca la categoria",IF(ISNA(MATCH(C164,Categorie!$A$6:$A$65,0)),"Categoria non trovata",IF(G164="","Categoria senza tipo",""))))))))</f>
        <v/>
      </c>
    </row>
    <row r="165">
      <c r="A165" s="29" t="n">
        <v>46141</v>
      </c>
      <c r="B165" s="17" t="inlineStr">
        <is>
          <t>Spesa al mercato</t>
        </is>
      </c>
      <c r="C165" s="17" t="inlineStr">
        <is>
          <t>Spesa alimentare</t>
        </is>
      </c>
      <c r="D165" s="16" t="n">
        <v>35.06</v>
      </c>
      <c r="E165" s="30" t="inlineStr">
        <is>
          <t>Contanti</t>
        </is>
      </c>
      <c r="F165" s="17" t="n"/>
      <c r="G165" s="31">
        <f>IF(C165="","",IFERROR(INDEX(Categorie!$B$6:$B$65,MATCH(C165,Categorie!$A$6:$A$65,0))&amp;"",""))</f>
        <v/>
      </c>
      <c r="H165" s="32">
        <f>IF(AND(A165="",C165="",D165=""),"",IF(D165="","Manca l'importo",IF(NOT(ISNUMBER(D165)),"Importo non valido",IF(NOT(ISNUMBER(A165)),"Data mancante o non valida",IF(YEAR(A165)&lt;&gt;Impostazioni!$C$4,"Fuori dall'anno",IF(C165="","Manca la categoria",IF(ISNA(MATCH(C165,Categorie!$A$6:$A$65,0)),"Categoria non trovata",IF(G165="","Categoria senza tipo",""))))))))</f>
        <v/>
      </c>
    </row>
    <row r="166">
      <c r="A166" s="29" t="n">
        <v>46142</v>
      </c>
      <c r="B166" s="17" t="inlineStr">
        <is>
          <t>Rifornimento</t>
        </is>
      </c>
      <c r="C166" s="17" t="inlineStr">
        <is>
          <t>Carburante</t>
        </is>
      </c>
      <c r="D166" s="16" t="n">
        <v>62.4</v>
      </c>
      <c r="E166" s="30" t="inlineStr">
        <is>
          <t>Carta di credito</t>
        </is>
      </c>
      <c r="F166" s="17" t="inlineStr">
        <is>
          <t>Giulia</t>
        </is>
      </c>
      <c r="G166" s="31">
        <f>IF(C166="","",IFERROR(INDEX(Categorie!$B$6:$B$65,MATCH(C166,Categorie!$A$6:$A$65,0))&amp;"",""))</f>
        <v/>
      </c>
      <c r="H166" s="32">
        <f>IF(AND(A166="",C166="",D166=""),"",IF(D166="","Manca l'importo",IF(NOT(ISNUMBER(D166)),"Importo non valido",IF(NOT(ISNUMBER(A166)),"Data mancante o non valida",IF(YEAR(A166)&lt;&gt;Impostazioni!$C$4,"Fuori dall'anno",IF(C166="","Manca la categoria",IF(ISNA(MATCH(C166,Categorie!$A$6:$A$65,0)),"Categoria non trovata",IF(G166="","Categoria senza tipo",""))))))))</f>
        <v/>
      </c>
    </row>
    <row r="167">
      <c r="A167" s="29" t="n">
        <v>46143</v>
      </c>
      <c r="B167" s="17" t="inlineStr">
        <is>
          <t>Rata mutuo</t>
        </is>
      </c>
      <c r="C167" s="17" t="inlineStr">
        <is>
          <t>Affitto o rata mutuo</t>
        </is>
      </c>
      <c r="D167" s="16" t="n">
        <v>680</v>
      </c>
      <c r="E167" s="30" t="inlineStr">
        <is>
          <t>Conto corrente</t>
        </is>
      </c>
      <c r="F167" s="17" t="n"/>
      <c r="G167" s="31">
        <f>IF(C167="","",IFERROR(INDEX(Categorie!$B$6:$B$65,MATCH(C167,Categorie!$A$6:$A$65,0))&amp;"",""))</f>
        <v/>
      </c>
      <c r="H167" s="32">
        <f>IF(AND(A167="",C167="",D167=""),"",IF(D167="","Manca l'importo",IF(NOT(ISNUMBER(D167)),"Importo non valido",IF(NOT(ISNUMBER(A167)),"Data mancante o non valida",IF(YEAR(A167)&lt;&gt;Impostazioni!$C$4,"Fuori dall'anno",IF(C167="","Manca la categoria",IF(ISNA(MATCH(C167,Categorie!$A$6:$A$65,0)),"Categoria non trovata",IF(G167="","Categoria senza tipo",""))))))))</f>
        <v/>
      </c>
    </row>
    <row r="168">
      <c r="A168" s="29" t="n">
        <v>46144</v>
      </c>
      <c r="B168" s="17" t="inlineStr">
        <is>
          <t>Spesa settimanale</t>
        </is>
      </c>
      <c r="C168" s="17" t="inlineStr">
        <is>
          <t>Spesa alimentare</t>
        </is>
      </c>
      <c r="D168" s="16" t="n">
        <v>127.82</v>
      </c>
      <c r="E168" s="30" t="inlineStr">
        <is>
          <t>Carta di debito</t>
        </is>
      </c>
      <c r="F168" s="17" t="n"/>
      <c r="G168" s="31">
        <f>IF(C168="","",IFERROR(INDEX(Categorie!$B$6:$B$65,MATCH(C168,Categorie!$A$6:$A$65,0))&amp;"",""))</f>
        <v/>
      </c>
      <c r="H168" s="32">
        <f>IF(AND(A168="",C168="",D168=""),"",IF(D168="","Manca l'importo",IF(NOT(ISNUMBER(D168)),"Importo non valido",IF(NOT(ISNUMBER(A168)),"Data mancante o non valida",IF(YEAR(A168)&lt;&gt;Impostazioni!$C$4,"Fuori dall'anno",IF(C168="","Manca la categoria",IF(ISNA(MATCH(C168,Categorie!$A$6:$A$65,0)),"Categoria non trovata",IF(G168="","Categoria senza tipo",""))))))))</f>
        <v/>
      </c>
    </row>
    <row r="169">
      <c r="A169" s="29" t="n">
        <v>46145</v>
      </c>
      <c r="B169" s="17" t="inlineStr">
        <is>
          <t>Abbonamento bus Sofia</t>
        </is>
      </c>
      <c r="C169" s="17" t="inlineStr">
        <is>
          <t>Trasporti</t>
        </is>
      </c>
      <c r="D169" s="16" t="n">
        <v>25</v>
      </c>
      <c r="E169" s="30" t="inlineStr">
        <is>
          <t>Carta di debito</t>
        </is>
      </c>
      <c r="F169" s="17" t="inlineStr">
        <is>
          <t>Sofia</t>
        </is>
      </c>
      <c r="G169" s="31">
        <f>IF(C169="","",IFERROR(INDEX(Categorie!$B$6:$B$65,MATCH(C169,Categorie!$A$6:$A$65,0))&amp;"",""))</f>
        <v/>
      </c>
      <c r="H169" s="32">
        <f>IF(AND(A169="",C169="",D169=""),"",IF(D169="","Manca l'importo",IF(NOT(ISNUMBER(D169)),"Importo non valido",IF(NOT(ISNUMBER(A169)),"Data mancante o non valida",IF(YEAR(A169)&lt;&gt;Impostazioni!$C$4,"Fuori dall'anno",IF(C169="","Manca la categoria",IF(ISNA(MATCH(C169,Categorie!$A$6:$A$65,0)),"Categoria non trovata",IF(G169="","Categoria senza tipo",""))))))))</f>
        <v/>
      </c>
    </row>
    <row r="170">
      <c r="A170" s="29" t="n">
        <v>46146</v>
      </c>
      <c r="B170" s="17" t="inlineStr">
        <is>
          <t>Mensa scolastica</t>
        </is>
      </c>
      <c r="C170" s="17" t="inlineStr">
        <is>
          <t>Scuola e figli</t>
        </is>
      </c>
      <c r="D170" s="16" t="n">
        <v>78</v>
      </c>
      <c r="E170" s="30" t="inlineStr">
        <is>
          <t>Conto corrente</t>
        </is>
      </c>
      <c r="F170" s="17" t="inlineStr">
        <is>
          <t>Sofia</t>
        </is>
      </c>
      <c r="G170" s="31">
        <f>IF(C170="","",IFERROR(INDEX(Categorie!$B$6:$B$65,MATCH(C170,Categorie!$A$6:$A$65,0))&amp;"",""))</f>
        <v/>
      </c>
      <c r="H170" s="32">
        <f>IF(AND(A170="",C170="",D170=""),"",IF(D170="","Manca l'importo",IF(NOT(ISNUMBER(D170)),"Importo non valido",IF(NOT(ISNUMBER(A170)),"Data mancante o non valida",IF(YEAR(A170)&lt;&gt;Impostazioni!$C$4,"Fuori dall'anno",IF(C170="","Manca la categoria",IF(ISNA(MATCH(C170,Categorie!$A$6:$A$65,0)),"Categoria non trovata",IF(G170="","Categoria senza tipo",""))))))))</f>
        <v/>
      </c>
    </row>
    <row r="171">
      <c r="A171" s="29" t="n">
        <v>46147</v>
      </c>
      <c r="B171" s="17" t="inlineStr">
        <is>
          <t>Fibra casa</t>
        </is>
      </c>
      <c r="C171" s="17" t="inlineStr">
        <is>
          <t>Internet e telefono</t>
        </is>
      </c>
      <c r="D171" s="16" t="n">
        <v>27.9</v>
      </c>
      <c r="E171" s="30" t="inlineStr">
        <is>
          <t>Carta di credito</t>
        </is>
      </c>
      <c r="F171" s="17" t="n"/>
      <c r="G171" s="31">
        <f>IF(C171="","",IFERROR(INDEX(Categorie!$B$6:$B$65,MATCH(C171,Categorie!$A$6:$A$65,0))&amp;"",""))</f>
        <v/>
      </c>
      <c r="H171" s="32">
        <f>IF(AND(A171="",C171="",D171=""),"",IF(D171="","Manca l'importo",IF(NOT(ISNUMBER(D171)),"Importo non valido",IF(NOT(ISNUMBER(A171)),"Data mancante o non valida",IF(YEAR(A171)&lt;&gt;Impostazioni!$C$4,"Fuori dall'anno",IF(C171="","Manca la categoria",IF(ISNA(MATCH(C171,Categorie!$A$6:$A$65,0)),"Categoria non trovata",IF(G171="","Categoria senza tipo",""))))))))</f>
        <v/>
      </c>
    </row>
    <row r="172">
      <c r="A172" s="29" t="n">
        <v>46147</v>
      </c>
      <c r="B172" s="17" t="inlineStr">
        <is>
          <t>Telefono Giulia</t>
        </is>
      </c>
      <c r="C172" s="17" t="inlineStr">
        <is>
          <t>Internet e telefono</t>
        </is>
      </c>
      <c r="D172" s="16" t="n">
        <v>7.99</v>
      </c>
      <c r="E172" s="30" t="inlineStr">
        <is>
          <t>Carta di credito</t>
        </is>
      </c>
      <c r="F172" s="17" t="inlineStr">
        <is>
          <t>Giulia</t>
        </is>
      </c>
      <c r="G172" s="31">
        <f>IF(C172="","",IFERROR(INDEX(Categorie!$B$6:$B$65,MATCH(C172,Categorie!$A$6:$A$65,0))&amp;"",""))</f>
        <v/>
      </c>
      <c r="H172" s="32">
        <f>IF(AND(A172="",C172="",D172=""),"",IF(D172="","Manca l'importo",IF(NOT(ISNUMBER(D172)),"Importo non valido",IF(NOT(ISNUMBER(A172)),"Data mancante o non valida",IF(YEAR(A172)&lt;&gt;Impostazioni!$C$4,"Fuori dall'anno",IF(C172="","Manca la categoria",IF(ISNA(MATCH(C172,Categorie!$A$6:$A$65,0)),"Categoria non trovata",IF(G172="","Categoria senza tipo",""))))))))</f>
        <v/>
      </c>
    </row>
    <row r="173">
      <c r="A173" s="29" t="n">
        <v>46147</v>
      </c>
      <c r="B173" s="17" t="inlineStr">
        <is>
          <t>Telefono Marco</t>
        </is>
      </c>
      <c r="C173" s="17" t="inlineStr">
        <is>
          <t>Internet e telefono</t>
        </is>
      </c>
      <c r="D173" s="16" t="n">
        <v>9.99</v>
      </c>
      <c r="E173" s="30" t="inlineStr">
        <is>
          <t>Carta di credito</t>
        </is>
      </c>
      <c r="F173" s="17" t="inlineStr">
        <is>
          <t>Marco</t>
        </is>
      </c>
      <c r="G173" s="31">
        <f>IF(C173="","",IFERROR(INDEX(Categorie!$B$6:$B$65,MATCH(C173,Categorie!$A$6:$A$65,0))&amp;"",""))</f>
        <v/>
      </c>
      <c r="H173" s="32">
        <f>IF(AND(A173="",C173="",D173=""),"",IF(D173="","Manca l'importo",IF(NOT(ISNUMBER(D173)),"Importo non valido",IF(NOT(ISNUMBER(A173)),"Data mancante o non valida",IF(YEAR(A173)&lt;&gt;Impostazioni!$C$4,"Fuori dall'anno",IF(C173="","Manca la categoria",IF(ISNA(MATCH(C173,Categorie!$A$6:$A$65,0)),"Categoria non trovata",IF(G173="","Categoria senza tipo",""))))))))</f>
        <v/>
      </c>
    </row>
    <row r="174">
      <c r="A174" s="29" t="n">
        <v>46150</v>
      </c>
      <c r="B174" s="17" t="inlineStr">
        <is>
          <t>Musica in streaming</t>
        </is>
      </c>
      <c r="C174" s="17" t="inlineStr">
        <is>
          <t>Abbonamenti</t>
        </is>
      </c>
      <c r="D174" s="16" t="n">
        <v>10.99</v>
      </c>
      <c r="E174" s="30" t="inlineStr">
        <is>
          <t>Carta di credito</t>
        </is>
      </c>
      <c r="F174" s="17" t="inlineStr">
        <is>
          <t>Giulia</t>
        </is>
      </c>
      <c r="G174" s="31">
        <f>IF(C174="","",IFERROR(INDEX(Categorie!$B$6:$B$65,MATCH(C174,Categorie!$A$6:$A$65,0))&amp;"",""))</f>
        <v/>
      </c>
      <c r="H174" s="32">
        <f>IF(AND(A174="",C174="",D174=""),"",IF(D174="","Manca l'importo",IF(NOT(ISNUMBER(D174)),"Importo non valido",IF(NOT(ISNUMBER(A174)),"Data mancante o non valida",IF(YEAR(A174)&lt;&gt;Impostazioni!$C$4,"Fuori dall'anno",IF(C174="","Manca la categoria",IF(ISNA(MATCH(C174,Categorie!$A$6:$A$65,0)),"Categoria non trovata",IF(G174="","Categoria senza tipo",""))))))))</f>
        <v/>
      </c>
    </row>
    <row r="175">
      <c r="A175" s="29" t="n">
        <v>46150</v>
      </c>
      <c r="B175" s="17" t="inlineStr">
        <is>
          <t>Streaming video</t>
        </is>
      </c>
      <c r="C175" s="17" t="inlineStr">
        <is>
          <t>Abbonamenti</t>
        </is>
      </c>
      <c r="D175" s="16" t="n">
        <v>13.99</v>
      </c>
      <c r="E175" s="30" t="inlineStr">
        <is>
          <t>Carta di credito</t>
        </is>
      </c>
      <c r="F175" s="17" t="n"/>
      <c r="G175" s="31">
        <f>IF(C175="","",IFERROR(INDEX(Categorie!$B$6:$B$65,MATCH(C175,Categorie!$A$6:$A$65,0))&amp;"",""))</f>
        <v/>
      </c>
      <c r="H175" s="32">
        <f>IF(AND(A175="",C175="",D175=""),"",IF(D175="","Manca l'importo",IF(NOT(ISNUMBER(D175)),"Importo non valido",IF(NOT(ISNUMBER(A175)),"Data mancante o non valida",IF(YEAR(A175)&lt;&gt;Impostazioni!$C$4,"Fuori dall'anno",IF(C175="","Manca la categoria",IF(ISNA(MATCH(C175,Categorie!$A$6:$A$65,0)),"Categoria non trovata",IF(G175="","Categoria senza tipo",""))))))))</f>
        <v/>
      </c>
    </row>
    <row r="176">
      <c r="A176" s="29" t="n">
        <v>46151</v>
      </c>
      <c r="B176" s="17" t="inlineStr">
        <is>
          <t>Festa della mamma</t>
        </is>
      </c>
      <c r="C176" s="17" t="inlineStr">
        <is>
          <t>Regali</t>
        </is>
      </c>
      <c r="D176" s="16" t="n">
        <v>30</v>
      </c>
      <c r="E176" s="30" t="inlineStr">
        <is>
          <t>Carta di debito</t>
        </is>
      </c>
      <c r="F176" s="17" t="inlineStr">
        <is>
          <t>Marco</t>
        </is>
      </c>
      <c r="G176" s="31">
        <f>IF(C176="","",IFERROR(INDEX(Categorie!$B$6:$B$65,MATCH(C176,Categorie!$A$6:$A$65,0))&amp;"",""))</f>
        <v/>
      </c>
      <c r="H176" s="32">
        <f>IF(AND(A176="",C176="",D176=""),"",IF(D176="","Manca l'importo",IF(NOT(ISNUMBER(D176)),"Importo non valido",IF(NOT(ISNUMBER(A176)),"Data mancante o non valida",IF(YEAR(A176)&lt;&gt;Impostazioni!$C$4,"Fuori dall'anno",IF(C176="","Manca la categoria",IF(ISNA(MATCH(C176,Categorie!$A$6:$A$65,0)),"Categoria non trovata",IF(G176="","Categoria senza tipo",""))))))))</f>
        <v/>
      </c>
    </row>
    <row r="177">
      <c r="A177" s="29" t="n">
        <v>46151</v>
      </c>
      <c r="B177" s="17" t="inlineStr">
        <is>
          <t>Spesa settimanale</t>
        </is>
      </c>
      <c r="C177" s="17" t="inlineStr">
        <is>
          <t>Spesa alimentare</t>
        </is>
      </c>
      <c r="D177" s="16" t="n">
        <v>99.31</v>
      </c>
      <c r="E177" s="30" t="inlineStr">
        <is>
          <t>Carta di debito</t>
        </is>
      </c>
      <c r="F177" s="17" t="n"/>
      <c r="G177" s="31">
        <f>IF(C177="","",IFERROR(INDEX(Categorie!$B$6:$B$65,MATCH(C177,Categorie!$A$6:$A$65,0))&amp;"",""))</f>
        <v/>
      </c>
      <c r="H177" s="32">
        <f>IF(AND(A177="",C177="",D177=""),"",IF(D177="","Manca l'importo",IF(NOT(ISNUMBER(D177)),"Importo non valido",IF(NOT(ISNUMBER(A177)),"Data mancante o non valida",IF(YEAR(A177)&lt;&gt;Impostazioni!$C$4,"Fuori dall'anno",IF(C177="","Manca la categoria",IF(ISNA(MATCH(C177,Categorie!$A$6:$A$65,0)),"Categoria non trovata",IF(G177="","Categoria senza tipo",""))))))))</f>
        <v/>
      </c>
    </row>
    <row r="178">
      <c r="A178" s="29" t="n">
        <v>46152</v>
      </c>
      <c r="B178" s="17" t="inlineStr">
        <is>
          <t>Farmacia</t>
        </is>
      </c>
      <c r="C178" s="17" t="inlineStr">
        <is>
          <t>Farmacia e salute</t>
        </is>
      </c>
      <c r="D178" s="16" t="n">
        <v>28.16</v>
      </c>
      <c r="E178" s="30" t="inlineStr">
        <is>
          <t>Carta di debito</t>
        </is>
      </c>
      <c r="F178" s="17" t="n"/>
      <c r="G178" s="31">
        <f>IF(C178="","",IFERROR(INDEX(Categorie!$B$6:$B$65,MATCH(C178,Categorie!$A$6:$A$65,0))&amp;"",""))</f>
        <v/>
      </c>
      <c r="H178" s="32">
        <f>IF(AND(A178="",C178="",D178=""),"",IF(D178="","Manca l'importo",IF(NOT(ISNUMBER(D178)),"Importo non valido",IF(NOT(ISNUMBER(A178)),"Data mancante o non valida",IF(YEAR(A178)&lt;&gt;Impostazioni!$C$4,"Fuori dall'anno",IF(C178="","Manca la categoria",IF(ISNA(MATCH(C178,Categorie!$A$6:$A$65,0)),"Categoria non trovata",IF(G178="","Categoria senza tipo",""))))))))</f>
        <v/>
      </c>
    </row>
    <row r="179">
      <c r="A179" s="29" t="n">
        <v>46153</v>
      </c>
      <c r="B179" s="17" t="inlineStr">
        <is>
          <t>Rifornimento</t>
        </is>
      </c>
      <c r="C179" s="17" t="inlineStr">
        <is>
          <t>Carburante</t>
        </is>
      </c>
      <c r="D179" s="16" t="n">
        <v>57.45</v>
      </c>
      <c r="E179" s="30" t="inlineStr">
        <is>
          <t>Carta di credito</t>
        </is>
      </c>
      <c r="F179" s="17" t="inlineStr">
        <is>
          <t>Marco</t>
        </is>
      </c>
      <c r="G179" s="31">
        <f>IF(C179="","",IFERROR(INDEX(Categorie!$B$6:$B$65,MATCH(C179,Categorie!$A$6:$A$65,0))&amp;"",""))</f>
        <v/>
      </c>
      <c r="H179" s="32">
        <f>IF(AND(A179="",C179="",D179=""),"",IF(D179="","Manca l'importo",IF(NOT(ISNUMBER(D179)),"Importo non valido",IF(NOT(ISNUMBER(A179)),"Data mancante o non valida",IF(YEAR(A179)&lt;&gt;Impostazioni!$C$4,"Fuori dall'anno",IF(C179="","Manca la categoria",IF(ISNA(MATCH(C179,Categorie!$A$6:$A$65,0)),"Categoria non trovata",IF(G179="","Categoria senza tipo",""))))))))</f>
        <v/>
      </c>
    </row>
    <row r="180">
      <c r="A180" s="29" t="n">
        <v>46155</v>
      </c>
      <c r="B180" s="17" t="inlineStr">
        <is>
          <t>Visita dal dentista</t>
        </is>
      </c>
      <c r="C180" s="17" t="inlineStr">
        <is>
          <t>Farmacia e salute</t>
        </is>
      </c>
      <c r="D180" s="16" t="n">
        <v>180</v>
      </c>
      <c r="E180" s="30" t="inlineStr">
        <is>
          <t>Carta di debito</t>
        </is>
      </c>
      <c r="F180" s="17" t="inlineStr">
        <is>
          <t>Giulia</t>
        </is>
      </c>
      <c r="G180" s="31">
        <f>IF(C180="","",IFERROR(INDEX(Categorie!$B$6:$B$65,MATCH(C180,Categorie!$A$6:$A$65,0))&amp;"",""))</f>
        <v/>
      </c>
      <c r="H180" s="32">
        <f>IF(AND(A180="",C180="",D180=""),"",IF(D180="","Manca l'importo",IF(NOT(ISNUMBER(D180)),"Importo non valido",IF(NOT(ISNUMBER(A180)),"Data mancante o non valida",IF(YEAR(A180)&lt;&gt;Impostazioni!$C$4,"Fuori dall'anno",IF(C180="","Manca la categoria",IF(ISNA(MATCH(C180,Categorie!$A$6:$A$65,0)),"Categoria non trovata",IF(G180="","Categoria senza tipo",""))))))))</f>
        <v/>
      </c>
    </row>
    <row r="181">
      <c r="A181" s="29" t="n">
        <v>46155</v>
      </c>
      <c r="B181" s="17" t="inlineStr">
        <is>
          <t>Spesa al mercato</t>
        </is>
      </c>
      <c r="C181" s="17" t="inlineStr">
        <is>
          <t>Spesa alimentare</t>
        </is>
      </c>
      <c r="D181" s="16" t="n">
        <v>37.24</v>
      </c>
      <c r="E181" s="30" t="inlineStr">
        <is>
          <t>Contanti</t>
        </is>
      </c>
      <c r="F181" s="17" t="n"/>
      <c r="G181" s="31">
        <f>IF(C181="","",IFERROR(INDEX(Categorie!$B$6:$B$65,MATCH(C181,Categorie!$A$6:$A$65,0))&amp;"",""))</f>
        <v/>
      </c>
      <c r="H181" s="32">
        <f>IF(AND(A181="",C181="",D181=""),"",IF(D181="","Manca l'importo",IF(NOT(ISNUMBER(D181)),"Importo non valido",IF(NOT(ISNUMBER(A181)),"Data mancante o non valida",IF(YEAR(A181)&lt;&gt;Impostazioni!$C$4,"Fuori dall'anno",IF(C181="","Manca la categoria",IF(ISNA(MATCH(C181,Categorie!$A$6:$A$65,0)),"Categoria non trovata",IF(G181="","Categoria senza tipo",""))))))))</f>
        <v/>
      </c>
    </row>
    <row r="182">
      <c r="A182" s="29" t="n">
        <v>46157</v>
      </c>
      <c r="B182" s="17" t="inlineStr">
        <is>
          <t>Rata carta revolving</t>
        </is>
      </c>
      <c r="C182" s="17" t="inlineStr">
        <is>
          <t>Rate di prestiti</t>
        </is>
      </c>
      <c r="D182" s="16" t="n">
        <v>60</v>
      </c>
      <c r="E182" s="30" t="inlineStr">
        <is>
          <t>Conto corrente</t>
        </is>
      </c>
      <c r="F182" s="17" t="n"/>
      <c r="G182" s="31">
        <f>IF(C182="","",IFERROR(INDEX(Categorie!$B$6:$B$65,MATCH(C182,Categorie!$A$6:$A$65,0))&amp;"",""))</f>
        <v/>
      </c>
      <c r="H182" s="32">
        <f>IF(AND(A182="",C182="",D182=""),"",IF(D182="","Manca l'importo",IF(NOT(ISNUMBER(D182)),"Importo non valido",IF(NOT(ISNUMBER(A182)),"Data mancante o non valida",IF(YEAR(A182)&lt;&gt;Impostazioni!$C$4,"Fuori dall'anno",IF(C182="","Manca la categoria",IF(ISNA(MATCH(C182,Categorie!$A$6:$A$65,0)),"Categoria non trovata",IF(G182="","Categoria senza tipo",""))))))))</f>
        <v/>
      </c>
    </row>
    <row r="183">
      <c r="A183" s="29" t="n">
        <v>46157</v>
      </c>
      <c r="B183" s="17" t="inlineStr">
        <is>
          <t>Rata lavatrice a tasso zero</t>
        </is>
      </c>
      <c r="C183" s="17" t="inlineStr">
        <is>
          <t>Rate di prestiti</t>
        </is>
      </c>
      <c r="D183" s="16" t="n">
        <v>40</v>
      </c>
      <c r="E183" s="30" t="inlineStr">
        <is>
          <t>Conto corrente</t>
        </is>
      </c>
      <c r="F183" s="17" t="n"/>
      <c r="G183" s="31">
        <f>IF(C183="","",IFERROR(INDEX(Categorie!$B$6:$B$65,MATCH(C183,Categorie!$A$6:$A$65,0))&amp;"",""))</f>
        <v/>
      </c>
      <c r="H183" s="32">
        <f>IF(AND(A183="",C183="",D183=""),"",IF(D183="","Manca l'importo",IF(NOT(ISNUMBER(D183)),"Importo non valido",IF(NOT(ISNUMBER(A183)),"Data mancante o non valida",IF(YEAR(A183)&lt;&gt;Impostazioni!$C$4,"Fuori dall'anno",IF(C183="","Manca la categoria",IF(ISNA(MATCH(C183,Categorie!$A$6:$A$65,0)),"Categoria non trovata",IF(G183="","Categoria senza tipo",""))))))))</f>
        <v/>
      </c>
    </row>
    <row r="184">
      <c r="A184" s="29" t="n">
        <v>46157</v>
      </c>
      <c r="B184" s="17" t="inlineStr">
        <is>
          <t>Rata prestito auto</t>
        </is>
      </c>
      <c r="C184" s="17" t="inlineStr">
        <is>
          <t>Rate di prestiti</t>
        </is>
      </c>
      <c r="D184" s="16" t="n">
        <v>210</v>
      </c>
      <c r="E184" s="30" t="inlineStr">
        <is>
          <t>Conto corrente</t>
        </is>
      </c>
      <c r="F184" s="17" t="n"/>
      <c r="G184" s="31">
        <f>IF(C184="","",IFERROR(INDEX(Categorie!$B$6:$B$65,MATCH(C184,Categorie!$A$6:$A$65,0))&amp;"",""))</f>
        <v/>
      </c>
      <c r="H184" s="32">
        <f>IF(AND(A184="",C184="",D184=""),"",IF(D184="","Manca l'importo",IF(NOT(ISNUMBER(D184)),"Importo non valido",IF(NOT(ISNUMBER(A184)),"Data mancante o non valida",IF(YEAR(A184)&lt;&gt;Impostazioni!$C$4,"Fuori dall'anno",IF(C184="","Manca la categoria",IF(ISNA(MATCH(C184,Categorie!$A$6:$A$65,0)),"Categoria non trovata",IF(G184="","Categoria senza tipo",""))))))))</f>
        <v/>
      </c>
    </row>
    <row r="185">
      <c r="A185" s="29" t="n">
        <v>46158</v>
      </c>
      <c r="B185" s="17" t="inlineStr">
        <is>
          <t>Spesa settimanale</t>
        </is>
      </c>
      <c r="C185" s="17" t="inlineStr">
        <is>
          <t>Spesa alimentare</t>
        </is>
      </c>
      <c r="D185" s="16" t="n">
        <v>90.52</v>
      </c>
      <c r="E185" s="30" t="inlineStr">
        <is>
          <t>Carta di debito</t>
        </is>
      </c>
      <c r="F185" s="17" t="n"/>
      <c r="G185" s="31">
        <f>IF(C185="","",IFERROR(INDEX(Categorie!$B$6:$B$65,MATCH(C185,Categorie!$A$6:$A$65,0))&amp;"",""))</f>
        <v/>
      </c>
      <c r="H185" s="32">
        <f>IF(AND(A185="",C185="",D185=""),"",IF(D185="","Manca l'importo",IF(NOT(ISNUMBER(D185)),"Importo non valido",IF(NOT(ISNUMBER(A185)),"Data mancante o non valida",IF(YEAR(A185)&lt;&gt;Impostazioni!$C$4,"Fuori dall'anno",IF(C185="","Manca la categoria",IF(ISNA(MATCH(C185,Categorie!$A$6:$A$65,0)),"Categoria non trovata",IF(G185="","Categoria senza tipo",""))))))))</f>
        <v/>
      </c>
    </row>
    <row r="186">
      <c r="A186" s="29" t="n">
        <v>46159</v>
      </c>
      <c r="B186" s="17" t="inlineStr">
        <is>
          <t>Parcheggio</t>
        </is>
      </c>
      <c r="C186" s="17" t="inlineStr">
        <is>
          <t>Trasporti</t>
        </is>
      </c>
      <c r="D186" s="16" t="n">
        <v>4.52</v>
      </c>
      <c r="E186" s="30" t="inlineStr">
        <is>
          <t>Contanti</t>
        </is>
      </c>
      <c r="F186" s="17" t="n"/>
      <c r="G186" s="31">
        <f>IF(C186="","",IFERROR(INDEX(Categorie!$B$6:$B$65,MATCH(C186,Categorie!$A$6:$A$65,0))&amp;"",""))</f>
        <v/>
      </c>
      <c r="H186" s="32">
        <f>IF(AND(A186="",C186="",D186=""),"",IF(D186="","Manca l'importo",IF(NOT(ISNUMBER(D186)),"Importo non valido",IF(NOT(ISNUMBER(A186)),"Data mancante o non valida",IF(YEAR(A186)&lt;&gt;Impostazioni!$C$4,"Fuori dall'anno",IF(C186="","Manca la categoria",IF(ISNA(MATCH(C186,Categorie!$A$6:$A$65,0)),"Categoria non trovata",IF(G186="","Categoria senza tipo",""))))))))</f>
        <v/>
      </c>
    </row>
    <row r="187">
      <c r="A187" s="29" t="n">
        <v>46160</v>
      </c>
      <c r="B187" s="17" t="inlineStr">
        <is>
          <t>Bolletta gas</t>
        </is>
      </c>
      <c r="C187" s="17" t="inlineStr">
        <is>
          <t>Gas</t>
        </is>
      </c>
      <c r="D187" s="16" t="n">
        <v>41.97</v>
      </c>
      <c r="E187" s="30" t="inlineStr">
        <is>
          <t>Conto corrente</t>
        </is>
      </c>
      <c r="F187" s="17" t="n"/>
      <c r="G187" s="31">
        <f>IF(C187="","",IFERROR(INDEX(Categorie!$B$6:$B$65,MATCH(C187,Categorie!$A$6:$A$65,0))&amp;"",""))</f>
        <v/>
      </c>
      <c r="H187" s="32">
        <f>IF(AND(A187="",C187="",D187=""),"",IF(D187="","Manca l'importo",IF(NOT(ISNUMBER(D187)),"Importo non valido",IF(NOT(ISNUMBER(A187)),"Data mancante o non valida",IF(YEAR(A187)&lt;&gt;Impostazioni!$C$4,"Fuori dall'anno",IF(C187="","Manca la categoria",IF(ISNA(MATCH(C187,Categorie!$A$6:$A$65,0)),"Categoria non trovata",IF(G187="","Categoria senza tipo",""))))))))</f>
        <v/>
      </c>
    </row>
    <row r="188">
      <c r="A188" s="29" t="n">
        <v>46160</v>
      </c>
      <c r="B188" s="17" t="inlineStr">
        <is>
          <t>Bolletta luce</t>
        </is>
      </c>
      <c r="C188" s="17" t="inlineStr">
        <is>
          <t>Luce</t>
        </is>
      </c>
      <c r="D188" s="16" t="n">
        <v>58.25</v>
      </c>
      <c r="E188" s="30" t="inlineStr">
        <is>
          <t>Conto corrente</t>
        </is>
      </c>
      <c r="F188" s="17" t="n"/>
      <c r="G188" s="31">
        <f>IF(C188="","",IFERROR(INDEX(Categorie!$B$6:$B$65,MATCH(C188,Categorie!$A$6:$A$65,0))&amp;"",""))</f>
        <v/>
      </c>
      <c r="H188" s="32">
        <f>IF(AND(A188="",C188="",D188=""),"",IF(D188="","Manca l'importo",IF(NOT(ISNUMBER(D188)),"Importo non valido",IF(NOT(ISNUMBER(A188)),"Data mancante o non valida",IF(YEAR(A188)&lt;&gt;Impostazioni!$C$4,"Fuori dall'anno",IF(C188="","Manca la categoria",IF(ISNA(MATCH(C188,Categorie!$A$6:$A$65,0)),"Categoria non trovata",IF(G188="","Categoria senza tipo",""))))))))</f>
        <v/>
      </c>
    </row>
    <row r="189">
      <c r="A189" s="29" t="n">
        <v>46161</v>
      </c>
      <c r="B189" s="17" t="inlineStr">
        <is>
          <t>Bar</t>
        </is>
      </c>
      <c r="C189" s="17" t="inlineStr">
        <is>
          <t>Svago</t>
        </is>
      </c>
      <c r="D189" s="16" t="n">
        <v>11.31</v>
      </c>
      <c r="E189" s="30" t="inlineStr">
        <is>
          <t>Carta di debito</t>
        </is>
      </c>
      <c r="F189" s="17" t="n"/>
      <c r="G189" s="31">
        <f>IF(C189="","",IFERROR(INDEX(Categorie!$B$6:$B$65,MATCH(C189,Categorie!$A$6:$A$65,0))&amp;"",""))</f>
        <v/>
      </c>
      <c r="H189" s="32">
        <f>IF(AND(A189="",C189="",D189=""),"",IF(D189="","Manca l'importo",IF(NOT(ISNUMBER(D189)),"Importo non valido",IF(NOT(ISNUMBER(A189)),"Data mancante o non valida",IF(YEAR(A189)&lt;&gt;Impostazioni!$C$4,"Fuori dall'anno",IF(C189="","Manca la categoria",IF(ISNA(MATCH(C189,Categorie!$A$6:$A$65,0)),"Categoria non trovata",IF(G189="","Categoria senza tipo",""))))))))</f>
        <v/>
      </c>
    </row>
    <row r="190">
      <c r="A190" s="29" t="n">
        <v>46162</v>
      </c>
      <c r="B190" s="17" t="inlineStr">
        <is>
          <t>Assegno unico INPS</t>
        </is>
      </c>
      <c r="C190" s="17" t="inlineStr">
        <is>
          <t>Assegno unico figli</t>
        </is>
      </c>
      <c r="D190" s="16" t="n">
        <v>145.3</v>
      </c>
      <c r="E190" s="30" t="inlineStr">
        <is>
          <t>Conto corrente</t>
        </is>
      </c>
      <c r="F190" s="17" t="n"/>
      <c r="G190" s="31">
        <f>IF(C190="","",IFERROR(INDEX(Categorie!$B$6:$B$65,MATCH(C190,Categorie!$A$6:$A$65,0))&amp;"",""))</f>
        <v/>
      </c>
      <c r="H190" s="32">
        <f>IF(AND(A190="",C190="",D190=""),"",IF(D190="","Manca l'importo",IF(NOT(ISNUMBER(D190)),"Importo non valido",IF(NOT(ISNUMBER(A190)),"Data mancante o non valida",IF(YEAR(A190)&lt;&gt;Impostazioni!$C$4,"Fuori dall'anno",IF(C190="","Manca la categoria",IF(ISNA(MATCH(C190,Categorie!$A$6:$A$65,0)),"Categoria non trovata",IF(G190="","Categoria senza tipo",""))))))))</f>
        <v/>
      </c>
    </row>
    <row r="191">
      <c r="A191" s="29" t="n">
        <v>46164</v>
      </c>
      <c r="B191" s="17" t="inlineStr">
        <is>
          <t>Bolletta acqua</t>
        </is>
      </c>
      <c r="C191" s="17" t="inlineStr">
        <is>
          <t>Acqua</t>
        </is>
      </c>
      <c r="D191" s="16" t="n">
        <v>87.2</v>
      </c>
      <c r="E191" s="30" t="inlineStr">
        <is>
          <t>Conto corrente</t>
        </is>
      </c>
      <c r="F191" s="17" t="n"/>
      <c r="G191" s="31">
        <f>IF(C191="","",IFERROR(INDEX(Categorie!$B$6:$B$65,MATCH(C191,Categorie!$A$6:$A$65,0))&amp;"",""))</f>
        <v/>
      </c>
      <c r="H191" s="32">
        <f>IF(AND(A191="",C191="",D191=""),"",IF(D191="","Manca l'importo",IF(NOT(ISNUMBER(D191)),"Importo non valido",IF(NOT(ISNUMBER(A191)),"Data mancante o non valida",IF(YEAR(A191)&lt;&gt;Impostazioni!$C$4,"Fuori dall'anno",IF(C191="","Manca la categoria",IF(ISNA(MATCH(C191,Categorie!$A$6:$A$65,0)),"Categoria non trovata",IF(G191="","Categoria senza tipo",""))))))))</f>
        <v/>
      </c>
    </row>
    <row r="192">
      <c r="A192" s="29" t="n">
        <v>46164</v>
      </c>
      <c r="B192" s="17" t="inlineStr">
        <is>
          <t>Rifornimento</t>
        </is>
      </c>
      <c r="C192" s="17" t="inlineStr">
        <is>
          <t>Carburante</t>
        </is>
      </c>
      <c r="D192" s="16" t="n">
        <v>52.9</v>
      </c>
      <c r="E192" s="30" t="inlineStr">
        <is>
          <t>Carta di credito</t>
        </is>
      </c>
      <c r="F192" s="17" t="inlineStr">
        <is>
          <t>Giulia</t>
        </is>
      </c>
      <c r="G192" s="31">
        <f>IF(C192="","",IFERROR(INDEX(Categorie!$B$6:$B$65,MATCH(C192,Categorie!$A$6:$A$65,0))&amp;"",""))</f>
        <v/>
      </c>
      <c r="H192" s="32">
        <f>IF(AND(A192="",C192="",D192=""),"",IF(D192="","Manca l'importo",IF(NOT(ISNUMBER(D192)),"Importo non valido",IF(NOT(ISNUMBER(A192)),"Data mancante o non valida",IF(YEAR(A192)&lt;&gt;Impostazioni!$C$4,"Fuori dall'anno",IF(C192="","Manca la categoria",IF(ISNA(MATCH(C192,Categorie!$A$6:$A$65,0)),"Categoria non trovata",IF(G192="","Categoria senza tipo",""))))))))</f>
        <v/>
      </c>
    </row>
    <row r="193">
      <c r="A193" s="29" t="n">
        <v>46165</v>
      </c>
      <c r="B193" s="17" t="inlineStr">
        <is>
          <t>Scarpe Sofia</t>
        </is>
      </c>
      <c r="C193" s="17" t="inlineStr">
        <is>
          <t>Abbigliamento</t>
        </is>
      </c>
      <c r="D193" s="16" t="n">
        <v>54.9</v>
      </c>
      <c r="E193" s="30" t="inlineStr">
        <is>
          <t>Carta di debito</t>
        </is>
      </c>
      <c r="F193" s="17" t="inlineStr">
        <is>
          <t>Sofia</t>
        </is>
      </c>
      <c r="G193" s="31">
        <f>IF(C193="","",IFERROR(INDEX(Categorie!$B$6:$B$65,MATCH(C193,Categorie!$A$6:$A$65,0))&amp;"",""))</f>
        <v/>
      </c>
      <c r="H193" s="32">
        <f>IF(AND(A193="",C193="",D193=""),"",IF(D193="","Manca l'importo",IF(NOT(ISNUMBER(D193)),"Importo non valido",IF(NOT(ISNUMBER(A193)),"Data mancante o non valida",IF(YEAR(A193)&lt;&gt;Impostazioni!$C$4,"Fuori dall'anno",IF(C193="","Manca la categoria",IF(ISNA(MATCH(C193,Categorie!$A$6:$A$65,0)),"Categoria non trovata",IF(G193="","Categoria senza tipo",""))))))))</f>
        <v/>
      </c>
    </row>
    <row r="194">
      <c r="A194" s="29" t="n">
        <v>46165</v>
      </c>
      <c r="B194" s="17" t="inlineStr">
        <is>
          <t>Spesa settimanale</t>
        </is>
      </c>
      <c r="C194" s="17" t="inlineStr">
        <is>
          <t>Spesa alimentare</t>
        </is>
      </c>
      <c r="D194" s="16" t="n">
        <v>98.34999999999999</v>
      </c>
      <c r="E194" s="30" t="inlineStr">
        <is>
          <t>Carta di debito</t>
        </is>
      </c>
      <c r="F194" s="17" t="n"/>
      <c r="G194" s="31">
        <f>IF(C194="","",IFERROR(INDEX(Categorie!$B$6:$B$65,MATCH(C194,Categorie!$A$6:$A$65,0))&amp;"",""))</f>
        <v/>
      </c>
      <c r="H194" s="32">
        <f>IF(AND(A194="",C194="",D194=""),"",IF(D194="","Manca l'importo",IF(NOT(ISNUMBER(D194)),"Importo non valido",IF(NOT(ISNUMBER(A194)),"Data mancante o non valida",IF(YEAR(A194)&lt;&gt;Impostazioni!$C$4,"Fuori dall'anno",IF(C194="","Manca la categoria",IF(ISNA(MATCH(C194,Categorie!$A$6:$A$65,0)),"Categoria non trovata",IF(G194="","Categoria senza tipo",""))))))))</f>
        <v/>
      </c>
    </row>
    <row r="195">
      <c r="A195" s="29" t="n">
        <v>46168</v>
      </c>
      <c r="B195" s="17" t="inlineStr">
        <is>
          <t>Cena con amici</t>
        </is>
      </c>
      <c r="C195" s="17" t="inlineStr">
        <is>
          <t>Svago</t>
        </is>
      </c>
      <c r="D195" s="16" t="n">
        <v>73.92</v>
      </c>
      <c r="E195" s="30" t="inlineStr">
        <is>
          <t>Carta di debito</t>
        </is>
      </c>
      <c r="F195" s="17" t="n"/>
      <c r="G195" s="31">
        <f>IF(C195="","",IFERROR(INDEX(Categorie!$B$6:$B$65,MATCH(C195,Categorie!$A$6:$A$65,0))&amp;"",""))</f>
        <v/>
      </c>
      <c r="H195" s="32">
        <f>IF(AND(A195="",C195="",D195=""),"",IF(D195="","Manca l'importo",IF(NOT(ISNUMBER(D195)),"Importo non valido",IF(NOT(ISNUMBER(A195)),"Data mancante o non valida",IF(YEAR(A195)&lt;&gt;Impostazioni!$C$4,"Fuori dall'anno",IF(C195="","Manca la categoria",IF(ISNA(MATCH(C195,Categorie!$A$6:$A$65,0)),"Categoria non trovata",IF(G195="","Categoria senza tipo",""))))))))</f>
        <v/>
      </c>
    </row>
    <row r="196">
      <c r="A196" s="29" t="n">
        <v>46169</v>
      </c>
      <c r="B196" s="17" t="inlineStr">
        <is>
          <t>Spesa al mercato</t>
        </is>
      </c>
      <c r="C196" s="17" t="inlineStr">
        <is>
          <t>Spesa alimentare</t>
        </is>
      </c>
      <c r="D196" s="16" t="n">
        <v>22.82</v>
      </c>
      <c r="E196" s="30" t="inlineStr">
        <is>
          <t>Contanti</t>
        </is>
      </c>
      <c r="F196" s="17" t="n"/>
      <c r="G196" s="31">
        <f>IF(C196="","",IFERROR(INDEX(Categorie!$B$6:$B$65,MATCH(C196,Categorie!$A$6:$A$65,0))&amp;"",""))</f>
        <v/>
      </c>
      <c r="H196" s="32">
        <f>IF(AND(A196="",C196="",D196=""),"",IF(D196="","Manca l'importo",IF(NOT(ISNUMBER(D196)),"Importo non valido",IF(NOT(ISNUMBER(A196)),"Data mancante o non valida",IF(YEAR(A196)&lt;&gt;Impostazioni!$C$4,"Fuori dall'anno",IF(C196="","Manca la categoria",IF(ISNA(MATCH(C196,Categorie!$A$6:$A$65,0)),"Categoria non trovata",IF(G196="","Categoria senza tipo",""))))))))</f>
        <v/>
      </c>
    </row>
    <row r="197">
      <c r="A197" s="29" t="n">
        <v>46169</v>
      </c>
      <c r="B197" s="17" t="inlineStr">
        <is>
          <t>Stipendio</t>
        </is>
      </c>
      <c r="C197" s="17" t="inlineStr">
        <is>
          <t>Stipendio Giulia</t>
        </is>
      </c>
      <c r="D197" s="16" t="n">
        <v>1480</v>
      </c>
      <c r="E197" s="30" t="inlineStr">
        <is>
          <t>Conto corrente</t>
        </is>
      </c>
      <c r="F197" s="17" t="inlineStr">
        <is>
          <t>Giulia</t>
        </is>
      </c>
      <c r="G197" s="31">
        <f>IF(C197="","",IFERROR(INDEX(Categorie!$B$6:$B$65,MATCH(C197,Categorie!$A$6:$A$65,0))&amp;"",""))</f>
        <v/>
      </c>
      <c r="H197" s="32">
        <f>IF(AND(A197="",C197="",D197=""),"",IF(D197="","Manca l'importo",IF(NOT(ISNUMBER(D197)),"Importo non valido",IF(NOT(ISNUMBER(A197)),"Data mancante o non valida",IF(YEAR(A197)&lt;&gt;Impostazioni!$C$4,"Fuori dall'anno",IF(C197="","Manca la categoria",IF(ISNA(MATCH(C197,Categorie!$A$6:$A$65,0)),"Categoria non trovata",IF(G197="","Categoria senza tipo",""))))))))</f>
        <v/>
      </c>
    </row>
    <row r="198">
      <c r="A198" s="29" t="n">
        <v>46169</v>
      </c>
      <c r="B198" s="17" t="inlineStr">
        <is>
          <t>Stipendio</t>
        </is>
      </c>
      <c r="C198" s="17" t="inlineStr">
        <is>
          <t>Stipendio Marco</t>
        </is>
      </c>
      <c r="D198" s="16" t="n">
        <v>1850</v>
      </c>
      <c r="E198" s="30" t="inlineStr">
        <is>
          <t>Conto corrente</t>
        </is>
      </c>
      <c r="F198" s="17" t="inlineStr">
        <is>
          <t>Marco</t>
        </is>
      </c>
      <c r="G198" s="31">
        <f>IF(C198="","",IFERROR(INDEX(Categorie!$B$6:$B$65,MATCH(C198,Categorie!$A$6:$A$65,0))&amp;"",""))</f>
        <v/>
      </c>
      <c r="H198" s="32">
        <f>IF(AND(A198="",C198="",D198=""),"",IF(D198="","Manca l'importo",IF(NOT(ISNUMBER(D198)),"Importo non valido",IF(NOT(ISNUMBER(A198)),"Data mancante o non valida",IF(YEAR(A198)&lt;&gt;Impostazioni!$C$4,"Fuori dall'anno",IF(C198="","Manca la categoria",IF(ISNA(MATCH(C198,Categorie!$A$6:$A$65,0)),"Categoria non trovata",IF(G198="","Categoria senza tipo",""))))))))</f>
        <v/>
      </c>
    </row>
    <row r="199">
      <c r="A199" s="29" t="n">
        <v>46169</v>
      </c>
      <c r="B199" s="17" t="inlineStr">
        <is>
          <t>Bar</t>
        </is>
      </c>
      <c r="C199" s="17" t="inlineStr">
        <is>
          <t>Svago</t>
        </is>
      </c>
      <c r="D199" s="16" t="n">
        <v>6.79</v>
      </c>
      <c r="E199" s="30" t="inlineStr">
        <is>
          <t>Carta di debito</t>
        </is>
      </c>
      <c r="F199" s="17" t="n"/>
      <c r="G199" s="31">
        <f>IF(C199="","",IFERROR(INDEX(Categorie!$B$6:$B$65,MATCH(C199,Categorie!$A$6:$A$65,0))&amp;"",""))</f>
        <v/>
      </c>
      <c r="H199" s="32">
        <f>IF(AND(A199="",C199="",D199=""),"",IF(D199="","Manca l'importo",IF(NOT(ISNUMBER(D199)),"Importo non valido",IF(NOT(ISNUMBER(A199)),"Data mancante o non valida",IF(YEAR(A199)&lt;&gt;Impostazioni!$C$4,"Fuori dall'anno",IF(C199="","Manca la categoria",IF(ISNA(MATCH(C199,Categorie!$A$6:$A$65,0)),"Categoria non trovata",IF(G199="","Categoria senza tipo",""))))))))</f>
        <v/>
      </c>
    </row>
    <row r="200">
      <c r="A200" s="29" t="n">
        <v>46169</v>
      </c>
      <c r="B200" s="17" t="inlineStr">
        <is>
          <t>Parcheggio</t>
        </is>
      </c>
      <c r="C200" s="17" t="inlineStr">
        <is>
          <t>Trasporti</t>
        </is>
      </c>
      <c r="D200" s="16" t="n">
        <v>5.66</v>
      </c>
      <c r="E200" s="30" t="inlineStr">
        <is>
          <t>Contanti</t>
        </is>
      </c>
      <c r="F200" s="17" t="n"/>
      <c r="G200" s="31">
        <f>IF(C200="","",IFERROR(INDEX(Categorie!$B$6:$B$65,MATCH(C200,Categorie!$A$6:$A$65,0))&amp;"",""))</f>
        <v/>
      </c>
      <c r="H200" s="32">
        <f>IF(AND(A200="",C200="",D200=""),"",IF(D200="","Manca l'importo",IF(NOT(ISNUMBER(D200)),"Importo non valido",IF(NOT(ISNUMBER(A200)),"Data mancante o non valida",IF(YEAR(A200)&lt;&gt;Impostazioni!$C$4,"Fuori dall'anno",IF(C200="","Manca la categoria",IF(ISNA(MATCH(C200,Categorie!$A$6:$A$65,0)),"Categoria non trovata",IF(G200="","Categoria senza tipo",""))))))))</f>
        <v/>
      </c>
    </row>
    <row r="201">
      <c r="A201" s="29" t="n">
        <v>46170</v>
      </c>
      <c r="B201" s="17" t="inlineStr">
        <is>
          <t>Versamento fondo emergenze</t>
        </is>
      </c>
      <c r="C201" s="17" t="inlineStr">
        <is>
          <t>Fondo emergenze</t>
        </is>
      </c>
      <c r="D201" s="16" t="n">
        <v>150</v>
      </c>
      <c r="E201" s="30" t="inlineStr">
        <is>
          <t>Conto corrente</t>
        </is>
      </c>
      <c r="F201" s="17" t="n"/>
      <c r="G201" s="31">
        <f>IF(C201="","",IFERROR(INDEX(Categorie!$B$6:$B$65,MATCH(C201,Categorie!$A$6:$A$65,0))&amp;"",""))</f>
        <v/>
      </c>
      <c r="H201" s="32">
        <f>IF(AND(A201="",C201="",D201=""),"",IF(D201="","Manca l'importo",IF(NOT(ISNUMBER(D201)),"Importo non valido",IF(NOT(ISNUMBER(A201)),"Data mancante o non valida",IF(YEAR(A201)&lt;&gt;Impostazioni!$C$4,"Fuori dall'anno",IF(C201="","Manca la categoria",IF(ISNA(MATCH(C201,Categorie!$A$6:$A$65,0)),"Categoria non trovata",IF(G201="","Categoria senza tipo",""))))))))</f>
        <v/>
      </c>
    </row>
    <row r="202">
      <c r="A202" s="29" t="n">
        <v>46170</v>
      </c>
      <c r="B202" s="17" t="inlineStr">
        <is>
          <t>Piano di accumulo mensile</t>
        </is>
      </c>
      <c r="C202" s="17" t="inlineStr">
        <is>
          <t>Investimenti</t>
        </is>
      </c>
      <c r="D202" s="16" t="n">
        <v>100</v>
      </c>
      <c r="E202" s="30" t="inlineStr">
        <is>
          <t>Conto corrente</t>
        </is>
      </c>
      <c r="F202" s="17" t="n"/>
      <c r="G202" s="31">
        <f>IF(C202="","",IFERROR(INDEX(Categorie!$B$6:$B$65,MATCH(C202,Categorie!$A$6:$A$65,0))&amp;"",""))</f>
        <v/>
      </c>
      <c r="H202" s="32">
        <f>IF(AND(A202="",C202="",D202=""),"",IF(D202="","Manca l'importo",IF(NOT(ISNUMBER(D202)),"Importo non valido",IF(NOT(ISNUMBER(A202)),"Data mancante o non valida",IF(YEAR(A202)&lt;&gt;Impostazioni!$C$4,"Fuori dall'anno",IF(C202="","Manca la categoria",IF(ISNA(MATCH(C202,Categorie!$A$6:$A$65,0)),"Categoria non trovata",IF(G202="","Categoria senza tipo",""))))))))</f>
        <v/>
      </c>
    </row>
    <row r="203">
      <c r="A203" s="29" t="n">
        <v>46170</v>
      </c>
      <c r="B203" s="17" t="inlineStr">
        <is>
          <t>Accantonamento obiettivi</t>
        </is>
      </c>
      <c r="C203" s="17" t="inlineStr">
        <is>
          <t>Obiettivi di risparmio</t>
        </is>
      </c>
      <c r="D203" s="16" t="n">
        <v>200</v>
      </c>
      <c r="E203" s="30" t="inlineStr">
        <is>
          <t>Conto corrente</t>
        </is>
      </c>
      <c r="F203" s="17" t="n"/>
      <c r="G203" s="31">
        <f>IF(C203="","",IFERROR(INDEX(Categorie!$B$6:$B$65,MATCH(C203,Categorie!$A$6:$A$65,0))&amp;"",""))</f>
        <v/>
      </c>
      <c r="H203" s="32">
        <f>IF(AND(A203="",C203="",D203=""),"",IF(D203="","Manca l'importo",IF(NOT(ISNUMBER(D203)),"Importo non valido",IF(NOT(ISNUMBER(A203)),"Data mancante o non valida",IF(YEAR(A203)&lt;&gt;Impostazioni!$C$4,"Fuori dall'anno",IF(C203="","Manca la categoria",IF(ISNA(MATCH(C203,Categorie!$A$6:$A$65,0)),"Categoria non trovata",IF(G203="","Categoria senza tipo",""))))))))</f>
        <v/>
      </c>
    </row>
    <row r="204">
      <c r="A204" s="29" t="n">
        <v>46170</v>
      </c>
      <c r="B204" s="17" t="inlineStr">
        <is>
          <t>Pizzeria</t>
        </is>
      </c>
      <c r="C204" s="17" t="inlineStr">
        <is>
          <t>Svago</t>
        </is>
      </c>
      <c r="D204" s="16" t="n">
        <v>44.96</v>
      </c>
      <c r="E204" s="30" t="inlineStr">
        <is>
          <t>Carta di debito</t>
        </is>
      </c>
      <c r="F204" s="17" t="n"/>
      <c r="G204" s="31">
        <f>IF(C204="","",IFERROR(INDEX(Categorie!$B$6:$B$65,MATCH(C204,Categorie!$A$6:$A$65,0))&amp;"",""))</f>
        <v/>
      </c>
      <c r="H204" s="32">
        <f>IF(AND(A204="",C204="",D204=""),"",IF(D204="","Manca l'importo",IF(NOT(ISNUMBER(D204)),"Importo non valido",IF(NOT(ISNUMBER(A204)),"Data mancante o non valida",IF(YEAR(A204)&lt;&gt;Impostazioni!$C$4,"Fuori dall'anno",IF(C204="","Manca la categoria",IF(ISNA(MATCH(C204,Categorie!$A$6:$A$65,0)),"Categoria non trovata",IF(G204="","Categoria senza tipo",""))))))))</f>
        <v/>
      </c>
    </row>
    <row r="205">
      <c r="A205" s="29" t="n">
        <v>46172</v>
      </c>
      <c r="B205" s="17" t="inlineStr">
        <is>
          <t>Spesa settimanale</t>
        </is>
      </c>
      <c r="C205" s="17" t="inlineStr">
        <is>
          <t>Spesa alimentare</t>
        </is>
      </c>
      <c r="D205" s="16" t="n">
        <v>92.13</v>
      </c>
      <c r="E205" s="30" t="inlineStr">
        <is>
          <t>Carta di debito</t>
        </is>
      </c>
      <c r="F205" s="17" t="n"/>
      <c r="G205" s="31">
        <f>IF(C205="","",IFERROR(INDEX(Categorie!$B$6:$B$65,MATCH(C205,Categorie!$A$6:$A$65,0))&amp;"",""))</f>
        <v/>
      </c>
      <c r="H205" s="32">
        <f>IF(AND(A205="",C205="",D205=""),"",IF(D205="","Manca l'importo",IF(NOT(ISNUMBER(D205)),"Importo non valido",IF(NOT(ISNUMBER(A205)),"Data mancante o non valida",IF(YEAR(A205)&lt;&gt;Impostazioni!$C$4,"Fuori dall'anno",IF(C205="","Manca la categoria",IF(ISNA(MATCH(C205,Categorie!$A$6:$A$65,0)),"Categoria non trovata",IF(G205="","Categoria senza tipo",""))))))))</f>
        <v/>
      </c>
    </row>
    <row r="206">
      <c r="A206" s="29" t="n">
        <v>46173</v>
      </c>
      <c r="B206" s="17" t="inlineStr">
        <is>
          <t>Rifornimento</t>
        </is>
      </c>
      <c r="C206" s="17" t="inlineStr">
        <is>
          <t>Carburante</t>
        </is>
      </c>
      <c r="D206" s="16" t="n">
        <v>62.05</v>
      </c>
      <c r="E206" s="30" t="inlineStr">
        <is>
          <t>Carta di credito</t>
        </is>
      </c>
      <c r="F206" s="17" t="inlineStr">
        <is>
          <t>Marco</t>
        </is>
      </c>
      <c r="G206" s="31">
        <f>IF(C206="","",IFERROR(INDEX(Categorie!$B$6:$B$65,MATCH(C206,Categorie!$A$6:$A$65,0))&amp;"",""))</f>
        <v/>
      </c>
      <c r="H206" s="32">
        <f>IF(AND(A206="",C206="",D206=""),"",IF(D206="","Manca l'importo",IF(NOT(ISNUMBER(D206)),"Importo non valido",IF(NOT(ISNUMBER(A206)),"Data mancante o non valida",IF(YEAR(A206)&lt;&gt;Impostazioni!$C$4,"Fuori dall'anno",IF(C206="","Manca la categoria",IF(ISNA(MATCH(C206,Categorie!$A$6:$A$65,0)),"Categoria non trovata",IF(G206="","Categoria senza tipo",""))))))))</f>
        <v/>
      </c>
    </row>
    <row r="207">
      <c r="A207" s="29" t="n">
        <v>46174</v>
      </c>
      <c r="B207" s="17" t="inlineStr">
        <is>
          <t>Rata mutuo</t>
        </is>
      </c>
      <c r="C207" s="17" t="inlineStr">
        <is>
          <t>Affitto o rata mutuo</t>
        </is>
      </c>
      <c r="D207" s="16" t="n">
        <v>680</v>
      </c>
      <c r="E207" s="30" t="inlineStr">
        <is>
          <t>Conto corrente</t>
        </is>
      </c>
      <c r="F207" s="17" t="n"/>
      <c r="G207" s="31">
        <f>IF(C207="","",IFERROR(INDEX(Categorie!$B$6:$B$65,MATCH(C207,Categorie!$A$6:$A$65,0))&amp;"",""))</f>
        <v/>
      </c>
      <c r="H207" s="32">
        <f>IF(AND(A207="",C207="",D207=""),"",IF(D207="","Manca l'importo",IF(NOT(ISNUMBER(D207)),"Importo non valido",IF(NOT(ISNUMBER(A207)),"Data mancante o non valida",IF(YEAR(A207)&lt;&gt;Impostazioni!$C$4,"Fuori dall'anno",IF(C207="","Manca la categoria",IF(ISNA(MATCH(C207,Categorie!$A$6:$A$65,0)),"Categoria non trovata",IF(G207="","Categoria senza tipo",""))))))))</f>
        <v/>
      </c>
    </row>
    <row r="208">
      <c r="A208" s="29" t="n">
        <v>46176</v>
      </c>
      <c r="B208" s="17" t="inlineStr">
        <is>
          <t>Idraulico</t>
        </is>
      </c>
      <c r="C208" s="17" t="inlineStr">
        <is>
          <t>Casa e manutenzione</t>
        </is>
      </c>
      <c r="D208" s="16" t="n">
        <v>120</v>
      </c>
      <c r="E208" s="30" t="inlineStr">
        <is>
          <t>Conto corrente</t>
        </is>
      </c>
      <c r="F208" s="17" t="n"/>
      <c r="G208" s="31">
        <f>IF(C208="","",IFERROR(INDEX(Categorie!$B$6:$B$65,MATCH(C208,Categorie!$A$6:$A$65,0))&amp;"",""))</f>
        <v/>
      </c>
      <c r="H208" s="32">
        <f>IF(AND(A208="",C208="",D208=""),"",IF(D208="","Manca l'importo",IF(NOT(ISNUMBER(D208)),"Importo non valido",IF(NOT(ISNUMBER(A208)),"Data mancante o non valida",IF(YEAR(A208)&lt;&gt;Impostazioni!$C$4,"Fuori dall'anno",IF(C208="","Manca la categoria",IF(ISNA(MATCH(C208,Categorie!$A$6:$A$65,0)),"Categoria non trovata",IF(G208="","Categoria senza tipo",""))))))))</f>
        <v/>
      </c>
    </row>
    <row r="209">
      <c r="A209" s="29" t="n">
        <v>46176</v>
      </c>
      <c r="B209" s="17" t="inlineStr">
        <is>
          <t>Abbonamento bus Sofia</t>
        </is>
      </c>
      <c r="C209" s="17" t="inlineStr">
        <is>
          <t>Trasporti</t>
        </is>
      </c>
      <c r="D209" s="16" t="n">
        <v>25</v>
      </c>
      <c r="E209" s="30" t="inlineStr">
        <is>
          <t>Carta di debito</t>
        </is>
      </c>
      <c r="F209" s="17" t="inlineStr">
        <is>
          <t>Sofia</t>
        </is>
      </c>
      <c r="G209" s="31">
        <f>IF(C209="","",IFERROR(INDEX(Categorie!$B$6:$B$65,MATCH(C209,Categorie!$A$6:$A$65,0))&amp;"",""))</f>
        <v/>
      </c>
      <c r="H209" s="32">
        <f>IF(AND(A209="",C209="",D209=""),"",IF(D209="","Manca l'importo",IF(NOT(ISNUMBER(D209)),"Importo non valido",IF(NOT(ISNUMBER(A209)),"Data mancante o non valida",IF(YEAR(A209)&lt;&gt;Impostazioni!$C$4,"Fuori dall'anno",IF(C209="","Manca la categoria",IF(ISNA(MATCH(C209,Categorie!$A$6:$A$65,0)),"Categoria non trovata",IF(G209="","Categoria senza tipo",""))))))))</f>
        <v/>
      </c>
    </row>
    <row r="210">
      <c r="A210" s="29" t="n">
        <v>46177</v>
      </c>
      <c r="B210" s="17" t="inlineStr">
        <is>
          <t>Pizzeria</t>
        </is>
      </c>
      <c r="C210" s="17" t="inlineStr">
        <is>
          <t>Svago</t>
        </is>
      </c>
      <c r="D210" s="16" t="n">
        <v>38.01</v>
      </c>
      <c r="E210" s="30" t="inlineStr">
        <is>
          <t>Carta di debito</t>
        </is>
      </c>
      <c r="F210" s="17" t="n"/>
      <c r="G210" s="31">
        <f>IF(C210="","",IFERROR(INDEX(Categorie!$B$6:$B$65,MATCH(C210,Categorie!$A$6:$A$65,0))&amp;"",""))</f>
        <v/>
      </c>
      <c r="H210" s="32">
        <f>IF(AND(A210="",C210="",D210=""),"",IF(D210="","Manca l'importo",IF(NOT(ISNUMBER(D210)),"Importo non valido",IF(NOT(ISNUMBER(A210)),"Data mancante o non valida",IF(YEAR(A210)&lt;&gt;Impostazioni!$C$4,"Fuori dall'anno",IF(C210="","Manca la categoria",IF(ISNA(MATCH(C210,Categorie!$A$6:$A$65,0)),"Categoria non trovata",IF(G210="","Categoria senza tipo",""))))))))</f>
        <v/>
      </c>
    </row>
    <row r="211">
      <c r="A211" s="29" t="n">
        <v>46178</v>
      </c>
      <c r="B211" s="17" t="inlineStr">
        <is>
          <t>Fibra casa</t>
        </is>
      </c>
      <c r="C211" s="17" t="inlineStr">
        <is>
          <t>Internet e telefono</t>
        </is>
      </c>
      <c r="D211" s="16" t="n">
        <v>27.9</v>
      </c>
      <c r="E211" s="30" t="inlineStr">
        <is>
          <t>Carta di credito</t>
        </is>
      </c>
      <c r="F211" s="17" t="n"/>
      <c r="G211" s="31">
        <f>IF(C211="","",IFERROR(INDEX(Categorie!$B$6:$B$65,MATCH(C211,Categorie!$A$6:$A$65,0))&amp;"",""))</f>
        <v/>
      </c>
      <c r="H211" s="32">
        <f>IF(AND(A211="",C211="",D211=""),"",IF(D211="","Manca l'importo",IF(NOT(ISNUMBER(D211)),"Importo non valido",IF(NOT(ISNUMBER(A211)),"Data mancante o non valida",IF(YEAR(A211)&lt;&gt;Impostazioni!$C$4,"Fuori dall'anno",IF(C211="","Manca la categoria",IF(ISNA(MATCH(C211,Categorie!$A$6:$A$65,0)),"Categoria non trovata",IF(G211="","Categoria senza tipo",""))))))))</f>
        <v/>
      </c>
    </row>
    <row r="212">
      <c r="A212" s="29" t="n">
        <v>46178</v>
      </c>
      <c r="B212" s="17" t="inlineStr">
        <is>
          <t>Telefono Giulia</t>
        </is>
      </c>
      <c r="C212" s="17" t="inlineStr">
        <is>
          <t>Internet e telefono</t>
        </is>
      </c>
      <c r="D212" s="16" t="n">
        <v>7.99</v>
      </c>
      <c r="E212" s="30" t="inlineStr">
        <is>
          <t>Carta di credito</t>
        </is>
      </c>
      <c r="F212" s="17" t="inlineStr">
        <is>
          <t>Giulia</t>
        </is>
      </c>
      <c r="G212" s="31">
        <f>IF(C212="","",IFERROR(INDEX(Categorie!$B$6:$B$65,MATCH(C212,Categorie!$A$6:$A$65,0))&amp;"",""))</f>
        <v/>
      </c>
      <c r="H212" s="32">
        <f>IF(AND(A212="",C212="",D212=""),"",IF(D212="","Manca l'importo",IF(NOT(ISNUMBER(D212)),"Importo non valido",IF(NOT(ISNUMBER(A212)),"Data mancante o non valida",IF(YEAR(A212)&lt;&gt;Impostazioni!$C$4,"Fuori dall'anno",IF(C212="","Manca la categoria",IF(ISNA(MATCH(C212,Categorie!$A$6:$A$65,0)),"Categoria non trovata",IF(G212="","Categoria senza tipo",""))))))))</f>
        <v/>
      </c>
    </row>
    <row r="213">
      <c r="A213" s="29" t="n">
        <v>46178</v>
      </c>
      <c r="B213" s="17" t="inlineStr">
        <is>
          <t>Telefono Marco</t>
        </is>
      </c>
      <c r="C213" s="17" t="inlineStr">
        <is>
          <t>Internet e telefono</t>
        </is>
      </c>
      <c r="D213" s="16" t="n">
        <v>9.99</v>
      </c>
      <c r="E213" s="30" t="inlineStr">
        <is>
          <t>Carta di credito</t>
        </is>
      </c>
      <c r="F213" s="17" t="inlineStr">
        <is>
          <t>Marco</t>
        </is>
      </c>
      <c r="G213" s="31">
        <f>IF(C213="","",IFERROR(INDEX(Categorie!$B$6:$B$65,MATCH(C213,Categorie!$A$6:$A$65,0))&amp;"",""))</f>
        <v/>
      </c>
      <c r="H213" s="32">
        <f>IF(AND(A213="",C213="",D213=""),"",IF(D213="","Manca l'importo",IF(NOT(ISNUMBER(D213)),"Importo non valido",IF(NOT(ISNUMBER(A213)),"Data mancante o non valida",IF(YEAR(A213)&lt;&gt;Impostazioni!$C$4,"Fuori dall'anno",IF(C213="","Manca la categoria",IF(ISNA(MATCH(C213,Categorie!$A$6:$A$65,0)),"Categoria non trovata",IF(G213="","Categoria senza tipo",""))))))))</f>
        <v/>
      </c>
    </row>
    <row r="214">
      <c r="A214" s="29" t="n">
        <v>46179</v>
      </c>
      <c r="B214" s="17" t="inlineStr">
        <is>
          <t>Compleanno Sofia</t>
        </is>
      </c>
      <c r="C214" s="17" t="inlineStr">
        <is>
          <t>Regali</t>
        </is>
      </c>
      <c r="D214" s="16" t="n">
        <v>85</v>
      </c>
      <c r="E214" s="30" t="inlineStr">
        <is>
          <t>Carta di debito</t>
        </is>
      </c>
      <c r="F214" s="17" t="n"/>
      <c r="G214" s="31">
        <f>IF(C214="","",IFERROR(INDEX(Categorie!$B$6:$B$65,MATCH(C214,Categorie!$A$6:$A$65,0))&amp;"",""))</f>
        <v/>
      </c>
      <c r="H214" s="32">
        <f>IF(AND(A214="",C214="",D214=""),"",IF(D214="","Manca l'importo",IF(NOT(ISNUMBER(D214)),"Importo non valido",IF(NOT(ISNUMBER(A214)),"Data mancante o non valida",IF(YEAR(A214)&lt;&gt;Impostazioni!$C$4,"Fuori dall'anno",IF(C214="","Manca la categoria",IF(ISNA(MATCH(C214,Categorie!$A$6:$A$65,0)),"Categoria non trovata",IF(G214="","Categoria senza tipo",""))))))))</f>
        <v/>
      </c>
    </row>
    <row r="215">
      <c r="A215" s="29" t="n">
        <v>46179</v>
      </c>
      <c r="B215" s="17" t="inlineStr">
        <is>
          <t>Spesa settimanale</t>
        </is>
      </c>
      <c r="C215" s="17" t="inlineStr">
        <is>
          <t>Spesa alimentare</t>
        </is>
      </c>
      <c r="D215" s="16" t="n">
        <v>112.69</v>
      </c>
      <c r="E215" s="30" t="inlineStr">
        <is>
          <t>Carta di debito</t>
        </is>
      </c>
      <c r="F215" s="17" t="n"/>
      <c r="G215" s="31">
        <f>IF(C215="","",IFERROR(INDEX(Categorie!$B$6:$B$65,MATCH(C215,Categorie!$A$6:$A$65,0))&amp;"",""))</f>
        <v/>
      </c>
      <c r="H215" s="32">
        <f>IF(AND(A215="",C215="",D215=""),"",IF(D215="","Manca l'importo",IF(NOT(ISNUMBER(D215)),"Importo non valido",IF(NOT(ISNUMBER(A215)),"Data mancante o non valida",IF(YEAR(A215)&lt;&gt;Impostazioni!$C$4,"Fuori dall'anno",IF(C215="","Manca la categoria",IF(ISNA(MATCH(C215,Categorie!$A$6:$A$65,0)),"Categoria non trovata",IF(G215="","Categoria senza tipo",""))))))))</f>
        <v/>
      </c>
    </row>
    <row r="216">
      <c r="A216" s="29" t="n">
        <v>46180</v>
      </c>
      <c r="B216" s="17" t="inlineStr">
        <is>
          <t>Parcheggio</t>
        </is>
      </c>
      <c r="C216" s="17" t="inlineStr">
        <is>
          <t>Trasporti</t>
        </is>
      </c>
      <c r="D216" s="16" t="n">
        <v>8.77</v>
      </c>
      <c r="E216" s="30" t="inlineStr">
        <is>
          <t>Contanti</t>
        </is>
      </c>
      <c r="F216" s="17" t="n"/>
      <c r="G216" s="31">
        <f>IF(C216="","",IFERROR(INDEX(Categorie!$B$6:$B$65,MATCH(C216,Categorie!$A$6:$A$65,0))&amp;"",""))</f>
        <v/>
      </c>
      <c r="H216" s="32">
        <f>IF(AND(A216="",C216="",D216=""),"",IF(D216="","Manca l'importo",IF(NOT(ISNUMBER(D216)),"Importo non valido",IF(NOT(ISNUMBER(A216)),"Data mancante o non valida",IF(YEAR(A216)&lt;&gt;Impostazioni!$C$4,"Fuori dall'anno",IF(C216="","Manca la categoria",IF(ISNA(MATCH(C216,Categorie!$A$6:$A$65,0)),"Categoria non trovata",IF(G216="","Categoria senza tipo",""))))))))</f>
        <v/>
      </c>
    </row>
    <row r="217">
      <c r="A217" s="29" t="n">
        <v>46181</v>
      </c>
      <c r="B217" s="17" t="inlineStr">
        <is>
          <t>Musica in streaming</t>
        </is>
      </c>
      <c r="C217" s="17" t="inlineStr">
        <is>
          <t>Abbonamenti</t>
        </is>
      </c>
      <c r="D217" s="16" t="n">
        <v>10.99</v>
      </c>
      <c r="E217" s="30" t="inlineStr">
        <is>
          <t>Carta di credito</t>
        </is>
      </c>
      <c r="F217" s="17" t="inlineStr">
        <is>
          <t>Giulia</t>
        </is>
      </c>
      <c r="G217" s="31">
        <f>IF(C217="","",IFERROR(INDEX(Categorie!$B$6:$B$65,MATCH(C217,Categorie!$A$6:$A$65,0))&amp;"",""))</f>
        <v/>
      </c>
      <c r="H217" s="32">
        <f>IF(AND(A217="",C217="",D217=""),"",IF(D217="","Manca l'importo",IF(NOT(ISNUMBER(D217)),"Importo non valido",IF(NOT(ISNUMBER(A217)),"Data mancante o non valida",IF(YEAR(A217)&lt;&gt;Impostazioni!$C$4,"Fuori dall'anno",IF(C217="","Manca la categoria",IF(ISNA(MATCH(C217,Categorie!$A$6:$A$65,0)),"Categoria non trovata",IF(G217="","Categoria senza tipo",""))))))))</f>
        <v/>
      </c>
    </row>
    <row r="218">
      <c r="A218" s="29" t="n">
        <v>46181</v>
      </c>
      <c r="B218" s="17" t="inlineStr">
        <is>
          <t>Streaming video</t>
        </is>
      </c>
      <c r="C218" s="17" t="inlineStr">
        <is>
          <t>Abbonamenti</t>
        </is>
      </c>
      <c r="D218" s="16" t="n">
        <v>13.99</v>
      </c>
      <c r="E218" s="30" t="inlineStr">
        <is>
          <t>Carta di credito</t>
        </is>
      </c>
      <c r="F218" s="17" t="n"/>
      <c r="G218" s="31">
        <f>IF(C218="","",IFERROR(INDEX(Categorie!$B$6:$B$65,MATCH(C218,Categorie!$A$6:$A$65,0))&amp;"",""))</f>
        <v/>
      </c>
      <c r="H218" s="32">
        <f>IF(AND(A218="",C218="",D218=""),"",IF(D218="","Manca l'importo",IF(NOT(ISNUMBER(D218)),"Importo non valido",IF(NOT(ISNUMBER(A218)),"Data mancante o non valida",IF(YEAR(A218)&lt;&gt;Impostazioni!$C$4,"Fuori dall'anno",IF(C218="","Manca la categoria",IF(ISNA(MATCH(C218,Categorie!$A$6:$A$65,0)),"Categoria non trovata",IF(G218="","Categoria senza tipo",""))))))))</f>
        <v/>
      </c>
    </row>
    <row r="219">
      <c r="A219" s="29" t="n">
        <v>46182</v>
      </c>
      <c r="B219" s="17" t="inlineStr">
        <is>
          <t>Assicurazione casa</t>
        </is>
      </c>
      <c r="C219" s="17" t="inlineStr">
        <is>
          <t>Assicurazioni</t>
        </is>
      </c>
      <c r="D219" s="16" t="n">
        <v>168</v>
      </c>
      <c r="E219" s="30" t="inlineStr">
        <is>
          <t>Conto corrente</t>
        </is>
      </c>
      <c r="F219" s="17" t="n"/>
      <c r="G219" s="31">
        <f>IF(C219="","",IFERROR(INDEX(Categorie!$B$6:$B$65,MATCH(C219,Categorie!$A$6:$A$65,0))&amp;"",""))</f>
        <v/>
      </c>
      <c r="H219" s="32">
        <f>IF(AND(A219="",C219="",D219=""),"",IF(D219="","Manca l'importo",IF(NOT(ISNUMBER(D219)),"Importo non valido",IF(NOT(ISNUMBER(A219)),"Data mancante o non valida",IF(YEAR(A219)&lt;&gt;Impostazioni!$C$4,"Fuori dall'anno",IF(C219="","Manca la categoria",IF(ISNA(MATCH(C219,Categorie!$A$6:$A$65,0)),"Categoria non trovata",IF(G219="","Categoria senza tipo",""))))))))</f>
        <v/>
      </c>
    </row>
    <row r="220">
      <c r="A220" s="29" t="n">
        <v>46183</v>
      </c>
      <c r="B220" s="17" t="inlineStr">
        <is>
          <t>Rifornimento</t>
        </is>
      </c>
      <c r="C220" s="17" t="inlineStr">
        <is>
          <t>Carburante</t>
        </is>
      </c>
      <c r="D220" s="16" t="n">
        <v>59.53</v>
      </c>
      <c r="E220" s="30" t="inlineStr">
        <is>
          <t>Carta di credito</t>
        </is>
      </c>
      <c r="F220" s="17" t="inlineStr">
        <is>
          <t>Giulia</t>
        </is>
      </c>
      <c r="G220" s="31">
        <f>IF(C220="","",IFERROR(INDEX(Categorie!$B$6:$B$65,MATCH(C220,Categorie!$A$6:$A$65,0))&amp;"",""))</f>
        <v/>
      </c>
      <c r="H220" s="32">
        <f>IF(AND(A220="",C220="",D220=""),"",IF(D220="","Manca l'importo",IF(NOT(ISNUMBER(D220)),"Importo non valido",IF(NOT(ISNUMBER(A220)),"Data mancante o non valida",IF(YEAR(A220)&lt;&gt;Impostazioni!$C$4,"Fuori dall'anno",IF(C220="","Manca la categoria",IF(ISNA(MATCH(C220,Categorie!$A$6:$A$65,0)),"Categoria non trovata",IF(G220="","Categoria senza tipo",""))))))))</f>
        <v/>
      </c>
    </row>
    <row r="221">
      <c r="A221" s="29" t="n">
        <v>46183</v>
      </c>
      <c r="B221" s="17" t="inlineStr">
        <is>
          <t>Spesa al mercato</t>
        </is>
      </c>
      <c r="C221" s="17" t="inlineStr">
        <is>
          <t>Spesa alimentare</t>
        </is>
      </c>
      <c r="D221" s="16" t="n">
        <v>37.74</v>
      </c>
      <c r="E221" s="30" t="inlineStr">
        <is>
          <t>Contanti</t>
        </is>
      </c>
      <c r="F221" s="17" t="n"/>
      <c r="G221" s="31">
        <f>IF(C221="","",IFERROR(INDEX(Categorie!$B$6:$B$65,MATCH(C221,Categorie!$A$6:$A$65,0))&amp;"",""))</f>
        <v/>
      </c>
      <c r="H221" s="32">
        <f>IF(AND(A221="",C221="",D221=""),"",IF(D221="","Manca l'importo",IF(NOT(ISNUMBER(D221)),"Importo non valido",IF(NOT(ISNUMBER(A221)),"Data mancante o non valida",IF(YEAR(A221)&lt;&gt;Impostazioni!$C$4,"Fuori dall'anno",IF(C221="","Manca la categoria",IF(ISNA(MATCH(C221,Categorie!$A$6:$A$65,0)),"Categoria non trovata",IF(G221="","Categoria senza tipo",""))))))))</f>
        <v/>
      </c>
    </row>
    <row r="222">
      <c r="A222" s="29" t="n">
        <v>46186</v>
      </c>
      <c r="B222" s="17" t="inlineStr">
        <is>
          <t>Spesa settimanale</t>
        </is>
      </c>
      <c r="C222" s="17" t="inlineStr">
        <is>
          <t>Spesa alimentare</t>
        </is>
      </c>
      <c r="D222" s="16" t="n">
        <v>125.73</v>
      </c>
      <c r="E222" s="30" t="inlineStr">
        <is>
          <t>Carta di debito</t>
        </is>
      </c>
      <c r="F222" s="17" t="n"/>
      <c r="G222" s="31">
        <f>IF(C222="","",IFERROR(INDEX(Categorie!$B$6:$B$65,MATCH(C222,Categorie!$A$6:$A$65,0))&amp;"",""))</f>
        <v/>
      </c>
      <c r="H222" s="32">
        <f>IF(AND(A222="",C222="",D222=""),"",IF(D222="","Manca l'importo",IF(NOT(ISNUMBER(D222)),"Importo non valido",IF(NOT(ISNUMBER(A222)),"Data mancante o non valida",IF(YEAR(A222)&lt;&gt;Impostazioni!$C$4,"Fuori dall'anno",IF(C222="","Manca la categoria",IF(ISNA(MATCH(C222,Categorie!$A$6:$A$65,0)),"Categoria non trovata",IF(G222="","Categoria senza tipo",""))))))))</f>
        <v/>
      </c>
    </row>
    <row r="223">
      <c r="A223" s="29" t="n">
        <v>46188</v>
      </c>
      <c r="B223" s="17" t="inlineStr">
        <is>
          <t>Rata carta revolving</t>
        </is>
      </c>
      <c r="C223" s="17" t="inlineStr">
        <is>
          <t>Rate di prestiti</t>
        </is>
      </c>
      <c r="D223" s="16" t="n">
        <v>60</v>
      </c>
      <c r="E223" s="30" t="inlineStr">
        <is>
          <t>Conto corrente</t>
        </is>
      </c>
      <c r="F223" s="17" t="n"/>
      <c r="G223" s="31">
        <f>IF(C223="","",IFERROR(INDEX(Categorie!$B$6:$B$65,MATCH(C223,Categorie!$A$6:$A$65,0))&amp;"",""))</f>
        <v/>
      </c>
      <c r="H223" s="32">
        <f>IF(AND(A223="",C223="",D223=""),"",IF(D223="","Manca l'importo",IF(NOT(ISNUMBER(D223)),"Importo non valido",IF(NOT(ISNUMBER(A223)),"Data mancante o non valida",IF(YEAR(A223)&lt;&gt;Impostazioni!$C$4,"Fuori dall'anno",IF(C223="","Manca la categoria",IF(ISNA(MATCH(C223,Categorie!$A$6:$A$65,0)),"Categoria non trovata",IF(G223="","Categoria senza tipo",""))))))))</f>
        <v/>
      </c>
    </row>
    <row r="224">
      <c r="A224" s="29" t="n">
        <v>46188</v>
      </c>
      <c r="B224" s="17" t="inlineStr">
        <is>
          <t>Rata lavatrice a tasso zero</t>
        </is>
      </c>
      <c r="C224" s="17" t="inlineStr">
        <is>
          <t>Rate di prestiti</t>
        </is>
      </c>
      <c r="D224" s="16" t="n">
        <v>40</v>
      </c>
      <c r="E224" s="30" t="inlineStr">
        <is>
          <t>Conto corrente</t>
        </is>
      </c>
      <c r="F224" s="17" t="n"/>
      <c r="G224" s="31">
        <f>IF(C224="","",IFERROR(INDEX(Categorie!$B$6:$B$65,MATCH(C224,Categorie!$A$6:$A$65,0))&amp;"",""))</f>
        <v/>
      </c>
      <c r="H224" s="32">
        <f>IF(AND(A224="",C224="",D224=""),"",IF(D224="","Manca l'importo",IF(NOT(ISNUMBER(D224)),"Importo non valido",IF(NOT(ISNUMBER(A224)),"Data mancante o non valida",IF(YEAR(A224)&lt;&gt;Impostazioni!$C$4,"Fuori dall'anno",IF(C224="","Manca la categoria",IF(ISNA(MATCH(C224,Categorie!$A$6:$A$65,0)),"Categoria non trovata",IF(G224="","Categoria senza tipo",""))))))))</f>
        <v/>
      </c>
    </row>
    <row r="225">
      <c r="A225" s="29" t="n">
        <v>46188</v>
      </c>
      <c r="B225" s="17" t="inlineStr">
        <is>
          <t>Rata prestito auto</t>
        </is>
      </c>
      <c r="C225" s="17" t="inlineStr">
        <is>
          <t>Rate di prestiti</t>
        </is>
      </c>
      <c r="D225" s="16" t="n">
        <v>210</v>
      </c>
      <c r="E225" s="30" t="inlineStr">
        <is>
          <t>Conto corrente</t>
        </is>
      </c>
      <c r="F225" s="17" t="n"/>
      <c r="G225" s="31">
        <f>IF(C225="","",IFERROR(INDEX(Categorie!$B$6:$B$65,MATCH(C225,Categorie!$A$6:$A$65,0))&amp;"",""))</f>
        <v/>
      </c>
      <c r="H225" s="32">
        <f>IF(AND(A225="",C225="",D225=""),"",IF(D225="","Manca l'importo",IF(NOT(ISNUMBER(D225)),"Importo non valido",IF(NOT(ISNUMBER(A225)),"Data mancante o non valida",IF(YEAR(A225)&lt;&gt;Impostazioni!$C$4,"Fuori dall'anno",IF(C225="","Manca la categoria",IF(ISNA(MATCH(C225,Categorie!$A$6:$A$65,0)),"Categoria non trovata",IF(G225="","Categoria senza tipo",""))))))))</f>
        <v/>
      </c>
    </row>
    <row r="226">
      <c r="A226" s="29" t="n">
        <v>46188</v>
      </c>
      <c r="B226" s="17" t="inlineStr">
        <is>
          <t>Libri</t>
        </is>
      </c>
      <c r="C226" s="17" t="inlineStr">
        <is>
          <t>Svago</t>
        </is>
      </c>
      <c r="D226" s="16" t="n">
        <v>14.34</v>
      </c>
      <c r="E226" s="30" t="inlineStr">
        <is>
          <t>Carta di debito</t>
        </is>
      </c>
      <c r="F226" s="17" t="n"/>
      <c r="G226" s="31">
        <f>IF(C226="","",IFERROR(INDEX(Categorie!$B$6:$B$65,MATCH(C226,Categorie!$A$6:$A$65,0))&amp;"",""))</f>
        <v/>
      </c>
      <c r="H226" s="32">
        <f>IF(AND(A226="",C226="",D226=""),"",IF(D226="","Manca l'importo",IF(NOT(ISNUMBER(D226)),"Importo non valido",IF(NOT(ISNUMBER(A226)),"Data mancante o non valida",IF(YEAR(A226)&lt;&gt;Impostazioni!$C$4,"Fuori dall'anno",IF(C226="","Manca la categoria",IF(ISNA(MATCH(C226,Categorie!$A$6:$A$65,0)),"Categoria non trovata",IF(G226="","Categoria senza tipo",""))))))))</f>
        <v/>
      </c>
    </row>
    <row r="227">
      <c r="A227" s="29" t="n">
        <v>46189</v>
      </c>
      <c r="B227" s="17" t="inlineStr">
        <is>
          <t>Parcheggio</t>
        </is>
      </c>
      <c r="C227" s="17" t="inlineStr">
        <is>
          <t>Trasporti</t>
        </is>
      </c>
      <c r="D227" s="16" t="n">
        <v>8.449999999999999</v>
      </c>
      <c r="E227" s="30" t="inlineStr">
        <is>
          <t>Contanti</t>
        </is>
      </c>
      <c r="F227" s="17" t="n"/>
      <c r="G227" s="31">
        <f>IF(C227="","",IFERROR(INDEX(Categorie!$B$6:$B$65,MATCH(C227,Categorie!$A$6:$A$65,0))&amp;"",""))</f>
        <v/>
      </c>
      <c r="H227" s="32">
        <f>IF(AND(A227="",C227="",D227=""),"",IF(D227="","Manca l'importo",IF(NOT(ISNUMBER(D227)),"Importo non valido",IF(NOT(ISNUMBER(A227)),"Data mancante o non valida",IF(YEAR(A227)&lt;&gt;Impostazioni!$C$4,"Fuori dall'anno",IF(C227="","Manca la categoria",IF(ISNA(MATCH(C227,Categorie!$A$6:$A$65,0)),"Categoria non trovata",IF(G227="","Categoria senza tipo",""))))))))</f>
        <v/>
      </c>
    </row>
    <row r="228">
      <c r="A228" s="29" t="n">
        <v>46190</v>
      </c>
      <c r="B228" s="17" t="inlineStr">
        <is>
          <t>Farmacia</t>
        </is>
      </c>
      <c r="C228" s="17" t="inlineStr">
        <is>
          <t>Farmacia e salute</t>
        </is>
      </c>
      <c r="D228" s="16" t="n">
        <v>36.08</v>
      </c>
      <c r="E228" s="30" t="inlineStr">
        <is>
          <t>Carta di debito</t>
        </is>
      </c>
      <c r="F228" s="17" t="n"/>
      <c r="G228" s="31">
        <f>IF(C228="","",IFERROR(INDEX(Categorie!$B$6:$B$65,MATCH(C228,Categorie!$A$6:$A$65,0))&amp;"",""))</f>
        <v/>
      </c>
      <c r="H228" s="32">
        <f>IF(AND(A228="",C228="",D228=""),"",IF(D228="","Manca l'importo",IF(NOT(ISNUMBER(D228)),"Importo non valido",IF(NOT(ISNUMBER(A228)),"Data mancante o non valida",IF(YEAR(A228)&lt;&gt;Impostazioni!$C$4,"Fuori dall'anno",IF(C228="","Manca la categoria",IF(ISNA(MATCH(C228,Categorie!$A$6:$A$65,0)),"Categoria non trovata",IF(G228="","Categoria senza tipo",""))))))))</f>
        <v/>
      </c>
    </row>
    <row r="229">
      <c r="A229" s="29" t="n">
        <v>46190</v>
      </c>
      <c r="B229" s="17" t="inlineStr">
        <is>
          <t>Farmacia</t>
        </is>
      </c>
      <c r="C229" s="17" t="inlineStr">
        <is>
          <t>Farmacia e salute</t>
        </is>
      </c>
      <c r="D229" s="16" t="n">
        <v>17.84</v>
      </c>
      <c r="E229" s="30" t="inlineStr">
        <is>
          <t>Carta di debito</t>
        </is>
      </c>
      <c r="F229" s="17" t="n"/>
      <c r="G229" s="31">
        <f>IF(C229="","",IFERROR(INDEX(Categorie!$B$6:$B$65,MATCH(C229,Categorie!$A$6:$A$65,0))&amp;"",""))</f>
        <v/>
      </c>
      <c r="H229" s="32">
        <f>IF(AND(A229="",C229="",D229=""),"",IF(D229="","Manca l'importo",IF(NOT(ISNUMBER(D229)),"Importo non valido",IF(NOT(ISNUMBER(A229)),"Data mancante o non valida",IF(YEAR(A229)&lt;&gt;Impostazioni!$C$4,"Fuori dall'anno",IF(C229="","Manca la categoria",IF(ISNA(MATCH(C229,Categorie!$A$6:$A$65,0)),"Categoria non trovata",IF(G229="","Categoria senza tipo",""))))))))</f>
        <v/>
      </c>
    </row>
    <row r="230">
      <c r="A230" s="29" t="n">
        <v>46191</v>
      </c>
      <c r="B230" s="17" t="inlineStr">
        <is>
          <t>Bolletta gas</t>
        </is>
      </c>
      <c r="C230" s="17" t="inlineStr">
        <is>
          <t>Gas</t>
        </is>
      </c>
      <c r="D230" s="16" t="n">
        <v>31.85</v>
      </c>
      <c r="E230" s="30" t="inlineStr">
        <is>
          <t>Conto corrente</t>
        </is>
      </c>
      <c r="F230" s="17" t="n"/>
      <c r="G230" s="31">
        <f>IF(C230="","",IFERROR(INDEX(Categorie!$B$6:$B$65,MATCH(C230,Categorie!$A$6:$A$65,0))&amp;"",""))</f>
        <v/>
      </c>
      <c r="H230" s="32">
        <f>IF(AND(A230="",C230="",D230=""),"",IF(D230="","Manca l'importo",IF(NOT(ISNUMBER(D230)),"Importo non valido",IF(NOT(ISNUMBER(A230)),"Data mancante o non valida",IF(YEAR(A230)&lt;&gt;Impostazioni!$C$4,"Fuori dall'anno",IF(C230="","Manca la categoria",IF(ISNA(MATCH(C230,Categorie!$A$6:$A$65,0)),"Categoria non trovata",IF(G230="","Categoria senza tipo",""))))))))</f>
        <v/>
      </c>
    </row>
    <row r="231">
      <c r="A231" s="29" t="n">
        <v>46191</v>
      </c>
      <c r="B231" s="17" t="inlineStr">
        <is>
          <t>Bolletta luce</t>
        </is>
      </c>
      <c r="C231" s="17" t="inlineStr">
        <is>
          <t>Luce</t>
        </is>
      </c>
      <c r="D231" s="16" t="n">
        <v>65.51000000000001</v>
      </c>
      <c r="E231" s="30" t="inlineStr">
        <is>
          <t>Conto corrente</t>
        </is>
      </c>
      <c r="F231" s="17" t="n"/>
      <c r="G231" s="31">
        <f>IF(C231="","",IFERROR(INDEX(Categorie!$B$6:$B$65,MATCH(C231,Categorie!$A$6:$A$65,0))&amp;"",""))</f>
        <v/>
      </c>
      <c r="H231" s="32">
        <f>IF(AND(A231="",C231="",D231=""),"",IF(D231="","Manca l'importo",IF(NOT(ISNUMBER(D231)),"Importo non valido",IF(NOT(ISNUMBER(A231)),"Data mancante o non valida",IF(YEAR(A231)&lt;&gt;Impostazioni!$C$4,"Fuori dall'anno",IF(C231="","Manca la categoria",IF(ISNA(MATCH(C231,Categorie!$A$6:$A$65,0)),"Categoria non trovata",IF(G231="","Categoria senza tipo",""))))))))</f>
        <v/>
      </c>
    </row>
    <row r="232">
      <c r="A232" s="29" t="n">
        <v>46192</v>
      </c>
      <c r="B232" s="17" t="inlineStr">
        <is>
          <t>Cena con amici</t>
        </is>
      </c>
      <c r="C232" s="17" t="inlineStr">
        <is>
          <t>Svago</t>
        </is>
      </c>
      <c r="D232" s="16" t="n">
        <v>77.63</v>
      </c>
      <c r="E232" s="30" t="inlineStr">
        <is>
          <t>Carta di debito</t>
        </is>
      </c>
      <c r="F232" s="17" t="n"/>
      <c r="G232" s="31">
        <f>IF(C232="","",IFERROR(INDEX(Categorie!$B$6:$B$65,MATCH(C232,Categorie!$A$6:$A$65,0))&amp;"",""))</f>
        <v/>
      </c>
      <c r="H232" s="32">
        <f>IF(AND(A232="",C232="",D232=""),"",IF(D232="","Manca l'importo",IF(NOT(ISNUMBER(D232)),"Importo non valido",IF(NOT(ISNUMBER(A232)),"Data mancante o non valida",IF(YEAR(A232)&lt;&gt;Impostazioni!$C$4,"Fuori dall'anno",IF(C232="","Manca la categoria",IF(ISNA(MATCH(C232,Categorie!$A$6:$A$65,0)),"Categoria non trovata",IF(G232="","Categoria senza tipo",""))))))))</f>
        <v/>
      </c>
    </row>
    <row r="233">
      <c r="A233" s="29" t="n">
        <v>46193</v>
      </c>
      <c r="B233" s="17" t="inlineStr">
        <is>
          <t>Assegno unico INPS</t>
        </is>
      </c>
      <c r="C233" s="17" t="inlineStr">
        <is>
          <t>Assegno unico figli</t>
        </is>
      </c>
      <c r="D233" s="16" t="n">
        <v>145.3</v>
      </c>
      <c r="E233" s="30" t="inlineStr">
        <is>
          <t>Conto corrente</t>
        </is>
      </c>
      <c r="F233" s="17" t="n"/>
      <c r="G233" s="31">
        <f>IF(C233="","",IFERROR(INDEX(Categorie!$B$6:$B$65,MATCH(C233,Categorie!$A$6:$A$65,0))&amp;"",""))</f>
        <v/>
      </c>
      <c r="H233" s="32">
        <f>IF(AND(A233="",C233="",D233=""),"",IF(D233="","Manca l'importo",IF(NOT(ISNUMBER(D233)),"Importo non valido",IF(NOT(ISNUMBER(A233)),"Data mancante o non valida",IF(YEAR(A233)&lt;&gt;Impostazioni!$C$4,"Fuori dall'anno",IF(C233="","Manca la categoria",IF(ISNA(MATCH(C233,Categorie!$A$6:$A$65,0)),"Categoria non trovata",IF(G233="","Categoria senza tipo",""))))))))</f>
        <v/>
      </c>
    </row>
    <row r="234">
      <c r="A234" s="29" t="n">
        <v>46193</v>
      </c>
      <c r="B234" s="17" t="inlineStr">
        <is>
          <t>Rifornimento</t>
        </is>
      </c>
      <c r="C234" s="17" t="inlineStr">
        <is>
          <t>Carburante</t>
        </is>
      </c>
      <c r="D234" s="16" t="n">
        <v>62.87</v>
      </c>
      <c r="E234" s="30" t="inlineStr">
        <is>
          <t>Carta di credito</t>
        </is>
      </c>
      <c r="F234" s="17" t="inlineStr">
        <is>
          <t>Marco</t>
        </is>
      </c>
      <c r="G234" s="31">
        <f>IF(C234="","",IFERROR(INDEX(Categorie!$B$6:$B$65,MATCH(C234,Categorie!$A$6:$A$65,0))&amp;"",""))</f>
        <v/>
      </c>
      <c r="H234" s="32">
        <f>IF(AND(A234="",C234="",D234=""),"",IF(D234="","Manca l'importo",IF(NOT(ISNUMBER(D234)),"Importo non valido",IF(NOT(ISNUMBER(A234)),"Data mancante o non valida",IF(YEAR(A234)&lt;&gt;Impostazioni!$C$4,"Fuori dall'anno",IF(C234="","Manca la categoria",IF(ISNA(MATCH(C234,Categorie!$A$6:$A$65,0)),"Categoria non trovata",IF(G234="","Categoria senza tipo",""))))))))</f>
        <v/>
      </c>
    </row>
    <row r="235">
      <c r="A235" s="29" t="n">
        <v>46193</v>
      </c>
      <c r="B235" s="17" t="inlineStr">
        <is>
          <t>Lavoro extra nel fine settimana</t>
        </is>
      </c>
      <c r="C235" s="17" t="inlineStr">
        <is>
          <t>Entrate extra</t>
        </is>
      </c>
      <c r="D235" s="16" t="n">
        <v>300</v>
      </c>
      <c r="E235" s="30" t="inlineStr">
        <is>
          <t>Conto corrente</t>
        </is>
      </c>
      <c r="F235" s="17" t="inlineStr">
        <is>
          <t>Giulia</t>
        </is>
      </c>
      <c r="G235" s="31">
        <f>IF(C235="","",IFERROR(INDEX(Categorie!$B$6:$B$65,MATCH(C235,Categorie!$A$6:$A$65,0))&amp;"",""))</f>
        <v/>
      </c>
      <c r="H235" s="32">
        <f>IF(AND(A235="",C235="",D235=""),"",IF(D235="","Manca l'importo",IF(NOT(ISNUMBER(D235)),"Importo non valido",IF(NOT(ISNUMBER(A235)),"Data mancante o non valida",IF(YEAR(A235)&lt;&gt;Impostazioni!$C$4,"Fuori dall'anno",IF(C235="","Manca la categoria",IF(ISNA(MATCH(C235,Categorie!$A$6:$A$65,0)),"Categoria non trovata",IF(G235="","Categoria senza tipo",""))))))))</f>
        <v/>
      </c>
    </row>
    <row r="236">
      <c r="A236" s="29" t="n">
        <v>46193</v>
      </c>
      <c r="B236" s="17" t="inlineStr">
        <is>
          <t>Spesa settimanale</t>
        </is>
      </c>
      <c r="C236" s="17" t="inlineStr">
        <is>
          <t>Spesa alimentare</t>
        </is>
      </c>
      <c r="D236" s="16" t="n">
        <v>101.86</v>
      </c>
      <c r="E236" s="30" t="inlineStr">
        <is>
          <t>Carta di debito</t>
        </is>
      </c>
      <c r="F236" s="17" t="n"/>
      <c r="G236" s="31">
        <f>IF(C236="","",IFERROR(INDEX(Categorie!$B$6:$B$65,MATCH(C236,Categorie!$A$6:$A$65,0))&amp;"",""))</f>
        <v/>
      </c>
      <c r="H236" s="32">
        <f>IF(AND(A236="",C236="",D236=""),"",IF(D236="","Manca l'importo",IF(NOT(ISNUMBER(D236)),"Importo non valido",IF(NOT(ISNUMBER(A236)),"Data mancante o non valida",IF(YEAR(A236)&lt;&gt;Impostazioni!$C$4,"Fuori dall'anno",IF(C236="","Manca la categoria",IF(ISNA(MATCH(C236,Categorie!$A$6:$A$65,0)),"Categoria non trovata",IF(G236="","Categoria senza tipo",""))))))))</f>
        <v/>
      </c>
    </row>
    <row r="237">
      <c r="A237" s="29" t="n">
        <v>46195</v>
      </c>
      <c r="B237" s="17" t="inlineStr">
        <is>
          <t>Farmacia</t>
        </is>
      </c>
      <c r="C237" s="17" t="inlineStr">
        <is>
          <t>Farmacia e salute</t>
        </is>
      </c>
      <c r="D237" s="16" t="n">
        <v>14.53</v>
      </c>
      <c r="E237" s="30" t="inlineStr">
        <is>
          <t>Carta di debito</t>
        </is>
      </c>
      <c r="F237" s="17" t="n"/>
      <c r="G237" s="31">
        <f>IF(C237="","",IFERROR(INDEX(Categorie!$B$6:$B$65,MATCH(C237,Categorie!$A$6:$A$65,0))&amp;"",""))</f>
        <v/>
      </c>
      <c r="H237" s="32">
        <f>IF(AND(A237="",C237="",D237=""),"",IF(D237="","Manca l'importo",IF(NOT(ISNUMBER(D237)),"Importo non valido",IF(NOT(ISNUMBER(A237)),"Data mancante o non valida",IF(YEAR(A237)&lt;&gt;Impostazioni!$C$4,"Fuori dall'anno",IF(C237="","Manca la categoria",IF(ISNA(MATCH(C237,Categorie!$A$6:$A$65,0)),"Categoria non trovata",IF(G237="","Categoria senza tipo",""))))))))</f>
        <v/>
      </c>
    </row>
    <row r="238">
      <c r="A238" s="29" t="n">
        <v>46197</v>
      </c>
      <c r="B238" s="17" t="inlineStr">
        <is>
          <t>Spesa al mercato</t>
        </is>
      </c>
      <c r="C238" s="17" t="inlineStr">
        <is>
          <t>Spesa alimentare</t>
        </is>
      </c>
      <c r="D238" s="16" t="n">
        <v>26.03</v>
      </c>
      <c r="E238" s="30" t="inlineStr">
        <is>
          <t>Contanti</t>
        </is>
      </c>
      <c r="F238" s="17" t="n"/>
      <c r="G238" s="31">
        <f>IF(C238="","",IFERROR(INDEX(Categorie!$B$6:$B$65,MATCH(C238,Categorie!$A$6:$A$65,0))&amp;"",""))</f>
        <v/>
      </c>
      <c r="H238" s="32">
        <f>IF(AND(A238="",C238="",D238=""),"",IF(D238="","Manca l'importo",IF(NOT(ISNUMBER(D238)),"Importo non valido",IF(NOT(ISNUMBER(A238)),"Data mancante o non valida",IF(YEAR(A238)&lt;&gt;Impostazioni!$C$4,"Fuori dall'anno",IF(C238="","Manca la categoria",IF(ISNA(MATCH(C238,Categorie!$A$6:$A$65,0)),"Categoria non trovata",IF(G238="","Categoria senza tipo",""))))))))</f>
        <v/>
      </c>
    </row>
    <row r="239">
      <c r="A239" s="29" t="n">
        <v>46200</v>
      </c>
      <c r="B239" s="17" t="inlineStr">
        <is>
          <t>Spesa settimanale</t>
        </is>
      </c>
      <c r="C239" s="17" t="inlineStr">
        <is>
          <t>Spesa alimentare</t>
        </is>
      </c>
      <c r="D239" s="16" t="n">
        <v>115.53</v>
      </c>
      <c r="E239" s="30" t="inlineStr">
        <is>
          <t>Carta di debito</t>
        </is>
      </c>
      <c r="F239" s="17" t="n"/>
      <c r="G239" s="31">
        <f>IF(C239="","",IFERROR(INDEX(Categorie!$B$6:$B$65,MATCH(C239,Categorie!$A$6:$A$65,0))&amp;"",""))</f>
        <v/>
      </c>
      <c r="H239" s="32">
        <f>IF(AND(A239="",C239="",D239=""),"",IF(D239="","Manca l'importo",IF(NOT(ISNUMBER(D239)),"Importo non valido",IF(NOT(ISNUMBER(A239)),"Data mancante o non valida",IF(YEAR(A239)&lt;&gt;Impostazioni!$C$4,"Fuori dall'anno",IF(C239="","Manca la categoria",IF(ISNA(MATCH(C239,Categorie!$A$6:$A$65,0)),"Categoria non trovata",IF(G239="","Categoria senza tipo",""))))))))</f>
        <v/>
      </c>
    </row>
    <row r="240">
      <c r="A240" s="29" t="n">
        <v>46200</v>
      </c>
      <c r="B240" s="17" t="inlineStr">
        <is>
          <t>Stipendio</t>
        </is>
      </c>
      <c r="C240" s="17" t="inlineStr">
        <is>
          <t>Stipendio Giulia</t>
        </is>
      </c>
      <c r="D240" s="16" t="n">
        <v>1480</v>
      </c>
      <c r="E240" s="30" t="inlineStr">
        <is>
          <t>Conto corrente</t>
        </is>
      </c>
      <c r="F240" s="17" t="inlineStr">
        <is>
          <t>Giulia</t>
        </is>
      </c>
      <c r="G240" s="31">
        <f>IF(C240="","",IFERROR(INDEX(Categorie!$B$6:$B$65,MATCH(C240,Categorie!$A$6:$A$65,0))&amp;"",""))</f>
        <v/>
      </c>
      <c r="H240" s="32">
        <f>IF(AND(A240="",C240="",D240=""),"",IF(D240="","Manca l'importo",IF(NOT(ISNUMBER(D240)),"Importo non valido",IF(NOT(ISNUMBER(A240)),"Data mancante o non valida",IF(YEAR(A240)&lt;&gt;Impostazioni!$C$4,"Fuori dall'anno",IF(C240="","Manca la categoria",IF(ISNA(MATCH(C240,Categorie!$A$6:$A$65,0)),"Categoria non trovata",IF(G240="","Categoria senza tipo",""))))))))</f>
        <v/>
      </c>
    </row>
    <row r="241">
      <c r="A241" s="29" t="n">
        <v>46200</v>
      </c>
      <c r="B241" s="17" t="inlineStr">
        <is>
          <t>Stipendio</t>
        </is>
      </c>
      <c r="C241" s="17" t="inlineStr">
        <is>
          <t>Stipendio Marco</t>
        </is>
      </c>
      <c r="D241" s="16" t="n">
        <v>1850</v>
      </c>
      <c r="E241" s="30" t="inlineStr">
        <is>
          <t>Conto corrente</t>
        </is>
      </c>
      <c r="F241" s="17" t="inlineStr">
        <is>
          <t>Marco</t>
        </is>
      </c>
      <c r="G241" s="31">
        <f>IF(C241="","",IFERROR(INDEX(Categorie!$B$6:$B$65,MATCH(C241,Categorie!$A$6:$A$65,0))&amp;"",""))</f>
        <v/>
      </c>
      <c r="H241" s="32">
        <f>IF(AND(A241="",C241="",D241=""),"",IF(D241="","Manca l'importo",IF(NOT(ISNUMBER(D241)),"Importo non valido",IF(NOT(ISNUMBER(A241)),"Data mancante o non valida",IF(YEAR(A241)&lt;&gt;Impostazioni!$C$4,"Fuori dall'anno",IF(C241="","Manca la categoria",IF(ISNA(MATCH(C241,Categorie!$A$6:$A$65,0)),"Categoria non trovata",IF(G241="","Categoria senza tipo",""))))))))</f>
        <v/>
      </c>
    </row>
    <row r="242">
      <c r="A242" s="29" t="n">
        <v>46201</v>
      </c>
      <c r="B242" s="17" t="inlineStr">
        <is>
          <t>Versamento fondo emergenze</t>
        </is>
      </c>
      <c r="C242" s="17" t="inlineStr">
        <is>
          <t>Fondo emergenze</t>
        </is>
      </c>
      <c r="D242" s="16" t="n">
        <v>150</v>
      </c>
      <c r="E242" s="30" t="inlineStr">
        <is>
          <t>Conto corrente</t>
        </is>
      </c>
      <c r="F242" s="17" t="n"/>
      <c r="G242" s="31">
        <f>IF(C242="","",IFERROR(INDEX(Categorie!$B$6:$B$65,MATCH(C242,Categorie!$A$6:$A$65,0))&amp;"",""))</f>
        <v/>
      </c>
      <c r="H242" s="32">
        <f>IF(AND(A242="",C242="",D242=""),"",IF(D242="","Manca l'importo",IF(NOT(ISNUMBER(D242)),"Importo non valido",IF(NOT(ISNUMBER(A242)),"Data mancante o non valida",IF(YEAR(A242)&lt;&gt;Impostazioni!$C$4,"Fuori dall'anno",IF(C242="","Manca la categoria",IF(ISNA(MATCH(C242,Categorie!$A$6:$A$65,0)),"Categoria non trovata",IF(G242="","Categoria senza tipo",""))))))))</f>
        <v/>
      </c>
    </row>
    <row r="243">
      <c r="A243" s="29" t="n">
        <v>46201</v>
      </c>
      <c r="B243" s="17" t="inlineStr">
        <is>
          <t>Piano di accumulo mensile</t>
        </is>
      </c>
      <c r="C243" s="17" t="inlineStr">
        <is>
          <t>Investimenti</t>
        </is>
      </c>
      <c r="D243" s="16" t="n">
        <v>100</v>
      </c>
      <c r="E243" s="30" t="inlineStr">
        <is>
          <t>Conto corrente</t>
        </is>
      </c>
      <c r="F243" s="17" t="n"/>
      <c r="G243" s="31">
        <f>IF(C243="","",IFERROR(INDEX(Categorie!$B$6:$B$65,MATCH(C243,Categorie!$A$6:$A$65,0))&amp;"",""))</f>
        <v/>
      </c>
      <c r="H243" s="32">
        <f>IF(AND(A243="",C243="",D243=""),"",IF(D243="","Manca l'importo",IF(NOT(ISNUMBER(D243)),"Importo non valido",IF(NOT(ISNUMBER(A243)),"Data mancante o non valida",IF(YEAR(A243)&lt;&gt;Impostazioni!$C$4,"Fuori dall'anno",IF(C243="","Manca la categoria",IF(ISNA(MATCH(C243,Categorie!$A$6:$A$65,0)),"Categoria non trovata",IF(G243="","Categoria senza tipo",""))))))))</f>
        <v/>
      </c>
    </row>
    <row r="244">
      <c r="A244" s="29" t="n">
        <v>46201</v>
      </c>
      <c r="B244" s="17" t="inlineStr">
        <is>
          <t>Accantonamento obiettivi</t>
        </is>
      </c>
      <c r="C244" s="17" t="inlineStr">
        <is>
          <t>Obiettivi di risparmio</t>
        </is>
      </c>
      <c r="D244" s="16" t="n">
        <v>200</v>
      </c>
      <c r="E244" s="30" t="inlineStr">
        <is>
          <t>Conto corrente</t>
        </is>
      </c>
      <c r="F244" s="17" t="n"/>
      <c r="G244" s="31">
        <f>IF(C244="","",IFERROR(INDEX(Categorie!$B$6:$B$65,MATCH(C244,Categorie!$A$6:$A$65,0))&amp;"",""))</f>
        <v/>
      </c>
      <c r="H244" s="32">
        <f>IF(AND(A244="",C244="",D244=""),"",IF(D244="","Manca l'importo",IF(NOT(ISNUMBER(D244)),"Importo non valido",IF(NOT(ISNUMBER(A244)),"Data mancante o non valida",IF(YEAR(A244)&lt;&gt;Impostazioni!$C$4,"Fuori dall'anno",IF(C244="","Manca la categoria",IF(ISNA(MATCH(C244,Categorie!$A$6:$A$65,0)),"Categoria non trovata",IF(G244="","Categoria senza tipo",""))))))))</f>
        <v/>
      </c>
    </row>
    <row r="245">
      <c r="A245" s="29" t="n">
        <v>46203</v>
      </c>
      <c r="B245" s="17" t="inlineStr">
        <is>
          <t>Rifornimento</t>
        </is>
      </c>
      <c r="C245" s="17" t="inlineStr">
        <is>
          <t>Carburante</t>
        </is>
      </c>
      <c r="D245" s="16" t="n">
        <v>66.84</v>
      </c>
      <c r="E245" s="30" t="inlineStr">
        <is>
          <t>Carta di credito</t>
        </is>
      </c>
      <c r="F245" s="17" t="inlineStr">
        <is>
          <t>Giulia</t>
        </is>
      </c>
      <c r="G245" s="31">
        <f>IF(C245="","",IFERROR(INDEX(Categorie!$B$6:$B$65,MATCH(C245,Categorie!$A$6:$A$65,0))&amp;"",""))</f>
        <v/>
      </c>
      <c r="H245" s="32">
        <f>IF(AND(A245="",C245="",D245=""),"",IF(D245="","Manca l'importo",IF(NOT(ISNUMBER(D245)),"Importo non valido",IF(NOT(ISNUMBER(A245)),"Data mancante o non valida",IF(YEAR(A245)&lt;&gt;Impostazioni!$C$4,"Fuori dall'anno",IF(C245="","Manca la categoria",IF(ISNA(MATCH(C245,Categorie!$A$6:$A$65,0)),"Categoria non trovata",IF(G245="","Categoria senza tipo",""))))))))</f>
        <v/>
      </c>
    </row>
    <row r="246">
      <c r="A246" s="29" t="n">
        <v>46204</v>
      </c>
      <c r="B246" s="17" t="inlineStr">
        <is>
          <t>Rata mutuo</t>
        </is>
      </c>
      <c r="C246" s="17" t="inlineStr">
        <is>
          <t>Affitto o rata mutuo</t>
        </is>
      </c>
      <c r="D246" s="16" t="n">
        <v>680</v>
      </c>
      <c r="E246" s="30" t="inlineStr">
        <is>
          <t>Conto corrente</t>
        </is>
      </c>
      <c r="F246" s="17" t="n"/>
      <c r="G246" s="31">
        <f>IF(C246="","",IFERROR(INDEX(Categorie!$B$6:$B$65,MATCH(C246,Categorie!$A$6:$A$65,0))&amp;"",""))</f>
        <v/>
      </c>
      <c r="H246" s="32">
        <f>IF(AND(A246="",C246="",D246=""),"",IF(D246="","Manca l'importo",IF(NOT(ISNUMBER(D246)),"Importo non valido",IF(NOT(ISNUMBER(A246)),"Data mancante o non valida",IF(YEAR(A246)&lt;&gt;Impostazioni!$C$4,"Fuori dall'anno",IF(C246="","Manca la categoria",IF(ISNA(MATCH(C246,Categorie!$A$6:$A$65,0)),"Categoria non trovata",IF(G246="","Categoria senza tipo",""))))))))</f>
        <v/>
      </c>
    </row>
    <row r="247">
      <c r="A247" s="29" t="n">
        <v>46204</v>
      </c>
      <c r="B247" s="17" t="inlineStr">
        <is>
          <t>Centro estivo</t>
        </is>
      </c>
      <c r="C247" s="17" t="inlineStr">
        <is>
          <t>Scuola e figli</t>
        </is>
      </c>
      <c r="D247" s="16" t="n">
        <v>310</v>
      </c>
      <c r="E247" s="30" t="inlineStr">
        <is>
          <t>Conto corrente</t>
        </is>
      </c>
      <c r="F247" s="17" t="inlineStr">
        <is>
          <t>Sofia</t>
        </is>
      </c>
      <c r="G247" s="31">
        <f>IF(C247="","",IFERROR(INDEX(Categorie!$B$6:$B$65,MATCH(C247,Categorie!$A$6:$A$65,0))&amp;"",""))</f>
        <v/>
      </c>
      <c r="H247" s="32">
        <f>IF(AND(A247="",C247="",D247=""),"",IF(D247="","Manca l'importo",IF(NOT(ISNUMBER(D247)),"Importo non valido",IF(NOT(ISNUMBER(A247)),"Data mancante o non valida",IF(YEAR(A247)&lt;&gt;Impostazioni!$C$4,"Fuori dall'anno",IF(C247="","Manca la categoria",IF(ISNA(MATCH(C247,Categorie!$A$6:$A$65,0)),"Categoria non trovata",IF(G247="","Categoria senza tipo",""))))))))</f>
        <v/>
      </c>
    </row>
    <row r="248">
      <c r="A248" s="29" t="n">
        <v>46205</v>
      </c>
      <c r="B248" s="17" t="inlineStr">
        <is>
          <t>Farmacia</t>
        </is>
      </c>
      <c r="C248" s="17" t="inlineStr">
        <is>
          <t>Farmacia e salute</t>
        </is>
      </c>
      <c r="D248" s="16" t="n">
        <v>16.03</v>
      </c>
      <c r="E248" s="30" t="inlineStr">
        <is>
          <t>Carta di debito</t>
        </is>
      </c>
      <c r="F248" s="17" t="n"/>
      <c r="G248" s="31">
        <f>IF(C248="","",IFERROR(INDEX(Categorie!$B$6:$B$65,MATCH(C248,Categorie!$A$6:$A$65,0))&amp;"",""))</f>
        <v/>
      </c>
      <c r="H248" s="32">
        <f>IF(AND(A248="",C248="",D248=""),"",IF(D248="","Manca l'importo",IF(NOT(ISNUMBER(D248)),"Importo non valido",IF(NOT(ISNUMBER(A248)),"Data mancante o non valida",IF(YEAR(A248)&lt;&gt;Impostazioni!$C$4,"Fuori dall'anno",IF(C248="","Manca la categoria",IF(ISNA(MATCH(C248,Categorie!$A$6:$A$65,0)),"Categoria non trovata",IF(G248="","Categoria senza tipo",""))))))))</f>
        <v/>
      </c>
    </row>
    <row r="249">
      <c r="A249" s="29" t="n">
        <v>46207</v>
      </c>
      <c r="B249" s="17" t="inlineStr">
        <is>
          <t>Spesa settimanale</t>
        </is>
      </c>
      <c r="C249" s="17" t="inlineStr">
        <is>
          <t>Spesa alimentare</t>
        </is>
      </c>
      <c r="D249" s="16" t="n">
        <v>119.43</v>
      </c>
      <c r="E249" s="30" t="inlineStr">
        <is>
          <t>Carta di debito</t>
        </is>
      </c>
      <c r="F249" s="17" t="n"/>
      <c r="G249" s="31">
        <f>IF(C249="","",IFERROR(INDEX(Categorie!$B$6:$B$65,MATCH(C249,Categorie!$A$6:$A$65,0))&amp;"",""))</f>
        <v/>
      </c>
      <c r="H249" s="32">
        <f>IF(AND(A249="",C249="",D249=""),"",IF(D249="","Manca l'importo",IF(NOT(ISNUMBER(D249)),"Importo non valido",IF(NOT(ISNUMBER(A249)),"Data mancante o non valida",IF(YEAR(A249)&lt;&gt;Impostazioni!$C$4,"Fuori dall'anno",IF(C249="","Manca la categoria",IF(ISNA(MATCH(C249,Categorie!$A$6:$A$65,0)),"Categoria non trovata",IF(G249="","Categoria senza tipo",""))))))))</f>
        <v/>
      </c>
    </row>
    <row r="250">
      <c r="A250" s="29" t="n">
        <v>46208</v>
      </c>
      <c r="B250" s="17" t="inlineStr">
        <is>
          <t>Fibra casa</t>
        </is>
      </c>
      <c r="C250" s="17" t="inlineStr">
        <is>
          <t>Internet e telefono</t>
        </is>
      </c>
      <c r="D250" s="16" t="n">
        <v>27.9</v>
      </c>
      <c r="E250" s="30" t="inlineStr">
        <is>
          <t>Carta di credito</t>
        </is>
      </c>
      <c r="F250" s="17" t="n"/>
      <c r="G250" s="31">
        <f>IF(C250="","",IFERROR(INDEX(Categorie!$B$6:$B$65,MATCH(C250,Categorie!$A$6:$A$65,0))&amp;"",""))</f>
        <v/>
      </c>
      <c r="H250" s="32">
        <f>IF(AND(A250="",C250="",D250=""),"",IF(D250="","Manca l'importo",IF(NOT(ISNUMBER(D250)),"Importo non valido",IF(NOT(ISNUMBER(A250)),"Data mancante o non valida",IF(YEAR(A250)&lt;&gt;Impostazioni!$C$4,"Fuori dall'anno",IF(C250="","Manca la categoria",IF(ISNA(MATCH(C250,Categorie!$A$6:$A$65,0)),"Categoria non trovata",IF(G250="","Categoria senza tipo",""))))))))</f>
        <v/>
      </c>
    </row>
    <row r="251">
      <c r="A251" s="29" t="n">
        <v>46208</v>
      </c>
      <c r="B251" s="17" t="inlineStr">
        <is>
          <t>Telefono Giulia</t>
        </is>
      </c>
      <c r="C251" s="17" t="inlineStr">
        <is>
          <t>Internet e telefono</t>
        </is>
      </c>
      <c r="D251" s="16" t="n">
        <v>7.99</v>
      </c>
      <c r="E251" s="30" t="inlineStr">
        <is>
          <t>Carta di credito</t>
        </is>
      </c>
      <c r="F251" s="17" t="inlineStr">
        <is>
          <t>Giulia</t>
        </is>
      </c>
      <c r="G251" s="31">
        <f>IF(C251="","",IFERROR(INDEX(Categorie!$B$6:$B$65,MATCH(C251,Categorie!$A$6:$A$65,0))&amp;"",""))</f>
        <v/>
      </c>
      <c r="H251" s="32">
        <f>IF(AND(A251="",C251="",D251=""),"",IF(D251="","Manca l'importo",IF(NOT(ISNUMBER(D251)),"Importo non valido",IF(NOT(ISNUMBER(A251)),"Data mancante o non valida",IF(YEAR(A251)&lt;&gt;Impostazioni!$C$4,"Fuori dall'anno",IF(C251="","Manca la categoria",IF(ISNA(MATCH(C251,Categorie!$A$6:$A$65,0)),"Categoria non trovata",IF(G251="","Categoria senza tipo",""))))))))</f>
        <v/>
      </c>
    </row>
    <row r="252">
      <c r="A252" s="29" t="n">
        <v>46208</v>
      </c>
      <c r="B252" s="17" t="inlineStr">
        <is>
          <t>Telefono Marco</t>
        </is>
      </c>
      <c r="C252" s="17" t="inlineStr">
        <is>
          <t>Internet e telefono</t>
        </is>
      </c>
      <c r="D252" s="16" t="n">
        <v>9.99</v>
      </c>
      <c r="E252" s="30" t="inlineStr">
        <is>
          <t>Carta di credito</t>
        </is>
      </c>
      <c r="F252" s="17" t="inlineStr">
        <is>
          <t>Marco</t>
        </is>
      </c>
      <c r="G252" s="31">
        <f>IF(C252="","",IFERROR(INDEX(Categorie!$B$6:$B$65,MATCH(C252,Categorie!$A$6:$A$65,0))&amp;"",""))</f>
        <v/>
      </c>
      <c r="H252" s="32">
        <f>IF(AND(A252="",C252="",D252=""),"",IF(D252="","Manca l'importo",IF(NOT(ISNUMBER(D252)),"Importo non valido",IF(NOT(ISNUMBER(A252)),"Data mancante o non valida",IF(YEAR(A252)&lt;&gt;Impostazioni!$C$4,"Fuori dall'anno",IF(C252="","Manca la categoria",IF(ISNA(MATCH(C252,Categorie!$A$6:$A$65,0)),"Categoria non trovata",IF(G252="","Categoria senza tipo",""))))))))</f>
        <v/>
      </c>
    </row>
    <row r="253">
      <c r="A253" s="29" t="n">
        <v>46208</v>
      </c>
      <c r="B253" s="17" t="inlineStr">
        <is>
          <t>Parcheggio</t>
        </is>
      </c>
      <c r="C253" s="17" t="inlineStr">
        <is>
          <t>Trasporti</t>
        </is>
      </c>
      <c r="D253" s="16" t="n">
        <v>6.35</v>
      </c>
      <c r="E253" s="30" t="inlineStr">
        <is>
          <t>Contanti</t>
        </is>
      </c>
      <c r="F253" s="17" t="n"/>
      <c r="G253" s="31">
        <f>IF(C253="","",IFERROR(INDEX(Categorie!$B$6:$B$65,MATCH(C253,Categorie!$A$6:$A$65,0))&amp;"",""))</f>
        <v/>
      </c>
      <c r="H253" s="32">
        <f>IF(AND(A253="",C253="",D253=""),"",IF(D253="","Manca l'importo",IF(NOT(ISNUMBER(D253)),"Importo non valido",IF(NOT(ISNUMBER(A253)),"Data mancante o non valida",IF(YEAR(A253)&lt;&gt;Impostazioni!$C$4,"Fuori dall'anno",IF(C253="","Manca la categoria",IF(ISNA(MATCH(C253,Categorie!$A$6:$A$65,0)),"Categoria non trovata",IF(G253="","Categoria senza tipo",""))))))))</f>
        <v/>
      </c>
    </row>
    <row r="254">
      <c r="A254" s="29" t="n">
        <v>46211</v>
      </c>
      <c r="B254" s="17" t="inlineStr">
        <is>
          <t>Musica in streaming</t>
        </is>
      </c>
      <c r="C254" s="17" t="inlineStr">
        <is>
          <t>Abbonamenti</t>
        </is>
      </c>
      <c r="D254" s="16" t="n">
        <v>10.99</v>
      </c>
      <c r="E254" s="30" t="inlineStr">
        <is>
          <t>Carta di credito</t>
        </is>
      </c>
      <c r="F254" s="17" t="inlineStr">
        <is>
          <t>Giulia</t>
        </is>
      </c>
      <c r="G254" s="31">
        <f>IF(C254="","",IFERROR(INDEX(Categorie!$B$6:$B$65,MATCH(C254,Categorie!$A$6:$A$65,0))&amp;"",""))</f>
        <v/>
      </c>
      <c r="H254" s="32">
        <f>IF(AND(A254="",C254="",D254=""),"",IF(D254="","Manca l'importo",IF(NOT(ISNUMBER(D254)),"Importo non valido",IF(NOT(ISNUMBER(A254)),"Data mancante o non valida",IF(YEAR(A254)&lt;&gt;Impostazioni!$C$4,"Fuori dall'anno",IF(C254="","Manca la categoria",IF(ISNA(MATCH(C254,Categorie!$A$6:$A$65,0)),"Categoria non trovata",IF(G254="","Categoria senza tipo",""))))))))</f>
        <v/>
      </c>
    </row>
    <row r="255">
      <c r="A255" s="29" t="n">
        <v>46211</v>
      </c>
      <c r="B255" s="17" t="inlineStr">
        <is>
          <t>Streaming video</t>
        </is>
      </c>
      <c r="C255" s="17" t="inlineStr">
        <is>
          <t>Abbonamenti</t>
        </is>
      </c>
      <c r="D255" s="16" t="n">
        <v>13.99</v>
      </c>
      <c r="E255" s="30" t="inlineStr">
        <is>
          <t>Carta di credito</t>
        </is>
      </c>
      <c r="F255" s="17" t="n"/>
      <c r="G255" s="31">
        <f>IF(C255="","",IFERROR(INDEX(Categorie!$B$6:$B$65,MATCH(C255,Categorie!$A$6:$A$65,0))&amp;"",""))</f>
        <v/>
      </c>
      <c r="H255" s="32">
        <f>IF(AND(A255="",C255="",D255=""),"",IF(D255="","Manca l'importo",IF(NOT(ISNUMBER(D255)),"Importo non valido",IF(NOT(ISNUMBER(A255)),"Data mancante o non valida",IF(YEAR(A255)&lt;&gt;Impostazioni!$C$4,"Fuori dall'anno",IF(C255="","Manca la categoria",IF(ISNA(MATCH(C255,Categorie!$A$6:$A$65,0)),"Categoria non trovata",IF(G255="","Categoria senza tipo",""))))))))</f>
        <v/>
      </c>
    </row>
    <row r="256">
      <c r="A256" s="29" t="n">
        <v>46211</v>
      </c>
      <c r="B256" s="17" t="inlineStr">
        <is>
          <t>Spesa al mercato</t>
        </is>
      </c>
      <c r="C256" s="17" t="inlineStr">
        <is>
          <t>Spesa alimentare</t>
        </is>
      </c>
      <c r="D256" s="16" t="n">
        <v>16.84</v>
      </c>
      <c r="E256" s="30" t="inlineStr">
        <is>
          <t>Contanti</t>
        </is>
      </c>
      <c r="F256" s="17" t="n"/>
      <c r="G256" s="31">
        <f>IF(C256="","",IFERROR(INDEX(Categorie!$B$6:$B$65,MATCH(C256,Categorie!$A$6:$A$65,0))&amp;"",""))</f>
        <v/>
      </c>
      <c r="H256" s="32">
        <f>IF(AND(A256="",C256="",D256=""),"",IF(D256="","Manca l'importo",IF(NOT(ISNUMBER(D256)),"Importo non valido",IF(NOT(ISNUMBER(A256)),"Data mancante o non valida",IF(YEAR(A256)&lt;&gt;Impostazioni!$C$4,"Fuori dall'anno",IF(C256="","Manca la categoria",IF(ISNA(MATCH(C256,Categorie!$A$6:$A$65,0)),"Categoria non trovata",IF(G256="","Categoria senza tipo",""))))))))</f>
        <v/>
      </c>
    </row>
    <row r="257">
      <c r="A257" s="29" t="n">
        <v>46212</v>
      </c>
      <c r="B257" s="17" t="inlineStr">
        <is>
          <t>Cena con amici</t>
        </is>
      </c>
      <c r="C257" s="17" t="inlineStr">
        <is>
          <t>Svago</t>
        </is>
      </c>
      <c r="D257" s="16" t="n">
        <v>61.55</v>
      </c>
      <c r="E257" s="30" t="inlineStr">
        <is>
          <t>Carta di debito</t>
        </is>
      </c>
      <c r="F257" s="17" t="n"/>
      <c r="G257" s="31">
        <f>IF(C257="","",IFERROR(INDEX(Categorie!$B$6:$B$65,MATCH(C257,Categorie!$A$6:$A$65,0))&amp;"",""))</f>
        <v/>
      </c>
      <c r="H257" s="32">
        <f>IF(AND(A257="",C257="",D257=""),"",IF(D257="","Manca l'importo",IF(NOT(ISNUMBER(D257)),"Importo non valido",IF(NOT(ISNUMBER(A257)),"Data mancante o non valida",IF(YEAR(A257)&lt;&gt;Impostazioni!$C$4,"Fuori dall'anno",IF(C257="","Manca la categoria",IF(ISNA(MATCH(C257,Categorie!$A$6:$A$65,0)),"Categoria non trovata",IF(G257="","Categoria senza tipo",""))))))))</f>
        <v/>
      </c>
    </row>
    <row r="258">
      <c r="A258" s="29" t="n">
        <v>46213</v>
      </c>
      <c r="B258" s="17" t="inlineStr">
        <is>
          <t>Rata condominio trimestrale</t>
        </is>
      </c>
      <c r="C258" s="17" t="inlineStr">
        <is>
          <t>Condominio</t>
        </is>
      </c>
      <c r="D258" s="16" t="n">
        <v>270</v>
      </c>
      <c r="E258" s="30" t="inlineStr">
        <is>
          <t>Conto corrente</t>
        </is>
      </c>
      <c r="F258" s="17" t="n"/>
      <c r="G258" s="31">
        <f>IF(C258="","",IFERROR(INDEX(Categorie!$B$6:$B$65,MATCH(C258,Categorie!$A$6:$A$65,0))&amp;"",""))</f>
        <v/>
      </c>
      <c r="H258" s="32">
        <f>IF(AND(A258="",C258="",D258=""),"",IF(D258="","Manca l'importo",IF(NOT(ISNUMBER(D258)),"Importo non valido",IF(NOT(ISNUMBER(A258)),"Data mancante o non valida",IF(YEAR(A258)&lt;&gt;Impostazioni!$C$4,"Fuori dall'anno",IF(C258="","Manca la categoria",IF(ISNA(MATCH(C258,Categorie!$A$6:$A$65,0)),"Categoria non trovata",IF(G258="","Categoria senza tipo",""))))))))</f>
        <v/>
      </c>
    </row>
    <row r="259">
      <c r="A259" s="29" t="n">
        <v>46213</v>
      </c>
      <c r="B259" s="17" t="inlineStr">
        <is>
          <t>Farmacia</t>
        </is>
      </c>
      <c r="C259" s="17" t="inlineStr">
        <is>
          <t>Farmacia e salute</t>
        </is>
      </c>
      <c r="D259" s="16" t="n">
        <v>27.39</v>
      </c>
      <c r="E259" s="30" t="inlineStr">
        <is>
          <t>Carta di debito</t>
        </is>
      </c>
      <c r="F259" s="17" t="n"/>
      <c r="G259" s="31">
        <f>IF(C259="","",IFERROR(INDEX(Categorie!$B$6:$B$65,MATCH(C259,Categorie!$A$6:$A$65,0))&amp;"",""))</f>
        <v/>
      </c>
      <c r="H259" s="32">
        <f>IF(AND(A259="",C259="",D259=""),"",IF(D259="","Manca l'importo",IF(NOT(ISNUMBER(D259)),"Importo non valido",IF(NOT(ISNUMBER(A259)),"Data mancante o non valida",IF(YEAR(A259)&lt;&gt;Impostazioni!$C$4,"Fuori dall'anno",IF(C259="","Manca la categoria",IF(ISNA(MATCH(C259,Categorie!$A$6:$A$65,0)),"Categoria non trovata",IF(G259="","Categoria senza tipo",""))))))))</f>
        <v/>
      </c>
    </row>
    <row r="260">
      <c r="A260" s="29" t="n">
        <v>46213</v>
      </c>
      <c r="B260" s="17" t="inlineStr">
        <is>
          <t>Acconto casa vacanze</t>
        </is>
      </c>
      <c r="C260" s="17" t="inlineStr">
        <is>
          <t>Vacanze</t>
        </is>
      </c>
      <c r="D260" s="16" t="n">
        <v>400</v>
      </c>
      <c r="E260" s="30" t="inlineStr">
        <is>
          <t>Conto corrente</t>
        </is>
      </c>
      <c r="F260" s="17" t="n"/>
      <c r="G260" s="31">
        <f>IF(C260="","",IFERROR(INDEX(Categorie!$B$6:$B$65,MATCH(C260,Categorie!$A$6:$A$65,0))&amp;"",""))</f>
        <v/>
      </c>
      <c r="H260" s="32">
        <f>IF(AND(A260="",C260="",D260=""),"",IF(D260="","Manca l'importo",IF(NOT(ISNUMBER(D260)),"Importo non valido",IF(NOT(ISNUMBER(A260)),"Data mancante o non valida",IF(YEAR(A260)&lt;&gt;Impostazioni!$C$4,"Fuori dall'anno",IF(C260="","Manca la categoria",IF(ISNA(MATCH(C260,Categorie!$A$6:$A$65,0)),"Categoria non trovata",IF(G260="","Categoria senza tipo",""))))))))</f>
        <v/>
      </c>
    </row>
    <row r="261">
      <c r="A261" s="29" t="n">
        <v>46214</v>
      </c>
      <c r="B261" s="17" t="inlineStr">
        <is>
          <t>Spesa settimanale</t>
        </is>
      </c>
      <c r="C261" s="17" t="inlineStr">
        <is>
          <t>Spesa alimentare</t>
        </is>
      </c>
      <c r="D261" s="16" t="n">
        <v>105.78</v>
      </c>
      <c r="E261" s="30" t="inlineStr">
        <is>
          <t>Carta di debito</t>
        </is>
      </c>
      <c r="F261" s="17" t="n"/>
      <c r="G261" s="31">
        <f>IF(C261="","",IFERROR(INDEX(Categorie!$B$6:$B$65,MATCH(C261,Categorie!$A$6:$A$65,0))&amp;"",""))</f>
        <v/>
      </c>
      <c r="H261" s="32">
        <f>IF(AND(A261="",C261="",D261=""),"",IF(D261="","Manca l'importo",IF(NOT(ISNUMBER(D261)),"Importo non valido",IF(NOT(ISNUMBER(A261)),"Data mancante o non valida",IF(YEAR(A261)&lt;&gt;Impostazioni!$C$4,"Fuori dall'anno",IF(C261="","Manca la categoria",IF(ISNA(MATCH(C261,Categorie!$A$6:$A$65,0)),"Categoria non trovata",IF(G261="","Categoria senza tipo",""))))))))</f>
        <v/>
      </c>
    </row>
    <row r="262">
      <c r="A262" s="29" t="n">
        <v>46214</v>
      </c>
      <c r="B262" s="17" t="inlineStr">
        <is>
          <t>Cena con amici</t>
        </is>
      </c>
      <c r="C262" s="17" t="inlineStr">
        <is>
          <t>Svago</t>
        </is>
      </c>
      <c r="D262" s="16" t="n">
        <v>47.96</v>
      </c>
      <c r="E262" s="30" t="inlineStr">
        <is>
          <t>Carta di debito</t>
        </is>
      </c>
      <c r="F262" s="17" t="n"/>
      <c r="G262" s="31">
        <f>IF(C262="","",IFERROR(INDEX(Categorie!$B$6:$B$65,MATCH(C262,Categorie!$A$6:$A$65,0))&amp;"",""))</f>
        <v/>
      </c>
      <c r="H262" s="32">
        <f>IF(AND(A262="",C262="",D262=""),"",IF(D262="","Manca l'importo",IF(NOT(ISNUMBER(D262)),"Importo non valido",IF(NOT(ISNUMBER(A262)),"Data mancante o non valida",IF(YEAR(A262)&lt;&gt;Impostazioni!$C$4,"Fuori dall'anno",IF(C262="","Manca la categoria",IF(ISNA(MATCH(C262,Categorie!$A$6:$A$65,0)),"Categoria non trovata",IF(G262="","Categoria senza tipo",""))))))))</f>
        <v/>
      </c>
    </row>
    <row r="263">
      <c r="A263" s="29" t="n">
        <v>46215</v>
      </c>
      <c r="B263" s="17" t="inlineStr">
        <is>
          <t>Rifornimento</t>
        </is>
      </c>
      <c r="C263" s="17" t="inlineStr">
        <is>
          <t>Carburante</t>
        </is>
      </c>
      <c r="D263" s="16" t="n">
        <v>63.32</v>
      </c>
      <c r="E263" s="30" t="inlineStr">
        <is>
          <t>Carta di credito</t>
        </is>
      </c>
      <c r="F263" s="17" t="inlineStr">
        <is>
          <t>Marco</t>
        </is>
      </c>
      <c r="G263" s="31">
        <f>IF(C263="","",IFERROR(INDEX(Categorie!$B$6:$B$65,MATCH(C263,Categorie!$A$6:$A$65,0))&amp;"",""))</f>
        <v/>
      </c>
      <c r="H263" s="32">
        <f>IF(AND(A263="",C263="",D263=""),"",IF(D263="","Manca l'importo",IF(NOT(ISNUMBER(D263)),"Importo non valido",IF(NOT(ISNUMBER(A263)),"Data mancante o non valida",IF(YEAR(A263)&lt;&gt;Impostazioni!$C$4,"Fuori dall'anno",IF(C263="","Manca la categoria",IF(ISNA(MATCH(C263,Categorie!$A$6:$A$65,0)),"Categoria non trovata",IF(G263="","Categoria senza tipo",""))))))))</f>
        <v/>
      </c>
    </row>
    <row r="264">
      <c r="A264" s="29" t="n">
        <v>46218</v>
      </c>
      <c r="B264" s="17" t="inlineStr">
        <is>
          <t>Rata carta revolving</t>
        </is>
      </c>
      <c r="C264" s="17" t="inlineStr">
        <is>
          <t>Rate di prestiti</t>
        </is>
      </c>
      <c r="D264" s="16" t="n">
        <v>60</v>
      </c>
      <c r="E264" s="30" t="inlineStr">
        <is>
          <t>Conto corrente</t>
        </is>
      </c>
      <c r="F264" s="17" t="n"/>
      <c r="G264" s="31">
        <f>IF(C264="","",IFERROR(INDEX(Categorie!$B$6:$B$65,MATCH(C264,Categorie!$A$6:$A$65,0))&amp;"",""))</f>
        <v/>
      </c>
      <c r="H264" s="32">
        <f>IF(AND(A264="",C264="",D264=""),"",IF(D264="","Manca l'importo",IF(NOT(ISNUMBER(D264)),"Importo non valido",IF(NOT(ISNUMBER(A264)),"Data mancante o non valida",IF(YEAR(A264)&lt;&gt;Impostazioni!$C$4,"Fuori dall'anno",IF(C264="","Manca la categoria",IF(ISNA(MATCH(C264,Categorie!$A$6:$A$65,0)),"Categoria non trovata",IF(G264="","Categoria senza tipo",""))))))))</f>
        <v/>
      </c>
    </row>
    <row r="265">
      <c r="A265" s="29" t="n">
        <v>46218</v>
      </c>
      <c r="B265" s="17" t="inlineStr">
        <is>
          <t>Rata lavatrice a tasso zero</t>
        </is>
      </c>
      <c r="C265" s="17" t="inlineStr">
        <is>
          <t>Rate di prestiti</t>
        </is>
      </c>
      <c r="D265" s="16" t="n">
        <v>40</v>
      </c>
      <c r="E265" s="30" t="inlineStr">
        <is>
          <t>Conto corrente</t>
        </is>
      </c>
      <c r="F265" s="17" t="n"/>
      <c r="G265" s="31">
        <f>IF(C265="","",IFERROR(INDEX(Categorie!$B$6:$B$65,MATCH(C265,Categorie!$A$6:$A$65,0))&amp;"",""))</f>
        <v/>
      </c>
      <c r="H265" s="32">
        <f>IF(AND(A265="",C265="",D265=""),"",IF(D265="","Manca l'importo",IF(NOT(ISNUMBER(D265)),"Importo non valido",IF(NOT(ISNUMBER(A265)),"Data mancante o non valida",IF(YEAR(A265)&lt;&gt;Impostazioni!$C$4,"Fuori dall'anno",IF(C265="","Manca la categoria",IF(ISNA(MATCH(C265,Categorie!$A$6:$A$65,0)),"Categoria non trovata",IF(G265="","Categoria senza tipo",""))))))))</f>
        <v/>
      </c>
    </row>
    <row r="266">
      <c r="A266" s="29" t="n">
        <v>46218</v>
      </c>
      <c r="B266" s="17" t="inlineStr">
        <is>
          <t>Rata prestito auto</t>
        </is>
      </c>
      <c r="C266" s="17" t="inlineStr">
        <is>
          <t>Rate di prestiti</t>
        </is>
      </c>
      <c r="D266" s="16" t="n">
        <v>210</v>
      </c>
      <c r="E266" s="30" t="inlineStr">
        <is>
          <t>Conto corrente</t>
        </is>
      </c>
      <c r="F266" s="17" t="n"/>
      <c r="G266" s="31">
        <f>IF(C266="","",IFERROR(INDEX(Categorie!$B$6:$B$65,MATCH(C266,Categorie!$A$6:$A$65,0))&amp;"",""))</f>
        <v/>
      </c>
      <c r="H266" s="32">
        <f>IF(AND(A266="",C266="",D266=""),"",IF(D266="","Manca l'importo",IF(NOT(ISNUMBER(D266)),"Importo non valido",IF(NOT(ISNUMBER(A266)),"Data mancante o non valida",IF(YEAR(A266)&lt;&gt;Impostazioni!$C$4,"Fuori dall'anno",IF(C266="","Manca la categoria",IF(ISNA(MATCH(C266,Categorie!$A$6:$A$65,0)),"Categoria non trovata",IF(G266="","Categoria senza tipo",""))))))))</f>
        <v/>
      </c>
    </row>
    <row r="267">
      <c r="A267" s="29" t="n">
        <v>46219</v>
      </c>
      <c r="B267" s="17" t="inlineStr">
        <is>
          <t>TARI rata</t>
        </is>
      </c>
      <c r="C267" s="17" t="inlineStr">
        <is>
          <t>TARI</t>
        </is>
      </c>
      <c r="D267" s="16" t="n">
        <v>108.67</v>
      </c>
      <c r="E267" s="30" t="inlineStr">
        <is>
          <t>Conto corrente</t>
        </is>
      </c>
      <c r="F267" s="17" t="n"/>
      <c r="G267" s="31">
        <f>IF(C267="","",IFERROR(INDEX(Categorie!$B$6:$B$65,MATCH(C267,Categorie!$A$6:$A$65,0))&amp;"",""))</f>
        <v/>
      </c>
      <c r="H267" s="32">
        <f>IF(AND(A267="",C267="",D267=""),"",IF(D267="","Manca l'importo",IF(NOT(ISNUMBER(D267)),"Importo non valido",IF(NOT(ISNUMBER(A267)),"Data mancante o non valida",IF(YEAR(A267)&lt;&gt;Impostazioni!$C$4,"Fuori dall'anno",IF(C267="","Manca la categoria",IF(ISNA(MATCH(C267,Categorie!$A$6:$A$65,0)),"Categoria non trovata",IF(G267="","Categoria senza tipo",""))))))))</f>
        <v/>
      </c>
    </row>
    <row r="268">
      <c r="A268" s="29" t="n">
        <v>46221</v>
      </c>
      <c r="B268" s="17" t="inlineStr">
        <is>
          <t>Bolletta gas</t>
        </is>
      </c>
      <c r="C268" s="17" t="inlineStr">
        <is>
          <t>Gas</t>
        </is>
      </c>
      <c r="D268" s="16" t="n">
        <v>26.94</v>
      </c>
      <c r="E268" s="30" t="inlineStr">
        <is>
          <t>Conto corrente</t>
        </is>
      </c>
      <c r="F268" s="17" t="n"/>
      <c r="G268" s="31">
        <f>IF(C268="","",IFERROR(INDEX(Categorie!$B$6:$B$65,MATCH(C268,Categorie!$A$6:$A$65,0))&amp;"",""))</f>
        <v/>
      </c>
      <c r="H268" s="32">
        <f>IF(AND(A268="",C268="",D268=""),"",IF(D268="","Manca l'importo",IF(NOT(ISNUMBER(D268)),"Importo non valido",IF(NOT(ISNUMBER(A268)),"Data mancante o non valida",IF(YEAR(A268)&lt;&gt;Impostazioni!$C$4,"Fuori dall'anno",IF(C268="","Manca la categoria",IF(ISNA(MATCH(C268,Categorie!$A$6:$A$65,0)),"Categoria non trovata",IF(G268="","Categoria senza tipo",""))))))))</f>
        <v/>
      </c>
    </row>
    <row r="269">
      <c r="A269" s="29" t="n">
        <v>46221</v>
      </c>
      <c r="B269" s="17" t="inlineStr">
        <is>
          <t>Bolletta luce</t>
        </is>
      </c>
      <c r="C269" s="17" t="inlineStr">
        <is>
          <t>Luce</t>
        </is>
      </c>
      <c r="D269" s="16" t="n">
        <v>80.66</v>
      </c>
      <c r="E269" s="30" t="inlineStr">
        <is>
          <t>Conto corrente</t>
        </is>
      </c>
      <c r="F269" s="17" t="n"/>
      <c r="G269" s="31">
        <f>IF(C269="","",IFERROR(INDEX(Categorie!$B$6:$B$65,MATCH(C269,Categorie!$A$6:$A$65,0))&amp;"",""))</f>
        <v/>
      </c>
      <c r="H269" s="32">
        <f>IF(AND(A269="",C269="",D269=""),"",IF(D269="","Manca l'importo",IF(NOT(ISNUMBER(D269)),"Importo non valido",IF(NOT(ISNUMBER(A269)),"Data mancante o non valida",IF(YEAR(A269)&lt;&gt;Impostazioni!$C$4,"Fuori dall'anno",IF(C269="","Manca la categoria",IF(ISNA(MATCH(C269,Categorie!$A$6:$A$65,0)),"Categoria non trovata",IF(G269="","Categoria senza tipo",""))))))))</f>
        <v/>
      </c>
    </row>
    <row r="270">
      <c r="A270" s="29" t="n">
        <v>46221</v>
      </c>
      <c r="B270" s="17" t="inlineStr">
        <is>
          <t>Spesa settimanale</t>
        </is>
      </c>
      <c r="C270" s="17" t="inlineStr">
        <is>
          <t>Spesa alimentare</t>
        </is>
      </c>
      <c r="D270" s="16" t="n">
        <v>114.74</v>
      </c>
      <c r="E270" s="30" t="inlineStr">
        <is>
          <t>Carta di debito</t>
        </is>
      </c>
      <c r="F270" s="17" t="n"/>
      <c r="G270" s="31">
        <f>IF(C270="","",IFERROR(INDEX(Categorie!$B$6:$B$65,MATCH(C270,Categorie!$A$6:$A$65,0))&amp;"",""))</f>
        <v/>
      </c>
      <c r="H270" s="32">
        <f>IF(AND(A270="",C270="",D270=""),"",IF(D270="","Manca l'importo",IF(NOT(ISNUMBER(D270)),"Importo non valido",IF(NOT(ISNUMBER(A270)),"Data mancante o non valida",IF(YEAR(A270)&lt;&gt;Impostazioni!$C$4,"Fuori dall'anno",IF(C270="","Manca la categoria",IF(ISNA(MATCH(C270,Categorie!$A$6:$A$65,0)),"Categoria non trovata",IF(G270="","Categoria senza tipo",""))))))))</f>
        <v/>
      </c>
    </row>
    <row r="271">
      <c r="A271" s="29" t="n">
        <v>46223</v>
      </c>
      <c r="B271" s="17" t="inlineStr">
        <is>
          <t>Assegno unico INPS</t>
        </is>
      </c>
      <c r="C271" s="17" t="inlineStr">
        <is>
          <t>Assegno unico figli</t>
        </is>
      </c>
      <c r="D271" s="16" t="n">
        <v>145.3</v>
      </c>
      <c r="E271" s="30" t="inlineStr">
        <is>
          <t>Conto corrente</t>
        </is>
      </c>
      <c r="F271" s="17" t="n"/>
      <c r="G271" s="31">
        <f>IF(C271="","",IFERROR(INDEX(Categorie!$B$6:$B$65,MATCH(C271,Categorie!$A$6:$A$65,0))&amp;"",""))</f>
        <v/>
      </c>
      <c r="H271" s="32">
        <f>IF(AND(A271="",C271="",D271=""),"",IF(D271="","Manca l'importo",IF(NOT(ISNUMBER(D271)),"Importo non valido",IF(NOT(ISNUMBER(A271)),"Data mancante o non valida",IF(YEAR(A271)&lt;&gt;Impostazioni!$C$4,"Fuori dall'anno",IF(C271="","Manca la categoria",IF(ISNA(MATCH(C271,Categorie!$A$6:$A$65,0)),"Categoria non trovata",IF(G271="","Categoria senza tipo",""))))))))</f>
        <v/>
      </c>
    </row>
    <row r="272">
      <c r="A272" s="29" t="n">
        <v>46224</v>
      </c>
      <c r="B272" s="17" t="inlineStr">
        <is>
          <t>Cinema</t>
        </is>
      </c>
      <c r="C272" s="17" t="inlineStr">
        <is>
          <t>Svago</t>
        </is>
      </c>
      <c r="D272" s="16" t="n">
        <v>29.01</v>
      </c>
      <c r="E272" s="30" t="inlineStr">
        <is>
          <t>Carta di debito</t>
        </is>
      </c>
      <c r="F272" s="17" t="n"/>
      <c r="G272" s="31">
        <f>IF(C272="","",IFERROR(INDEX(Categorie!$B$6:$B$65,MATCH(C272,Categorie!$A$6:$A$65,0))&amp;"",""))</f>
        <v/>
      </c>
      <c r="H272" s="32">
        <f>IF(AND(A272="",C272="",D272=""),"",IF(D272="","Manca l'importo",IF(NOT(ISNUMBER(D272)),"Importo non valido",IF(NOT(ISNUMBER(A272)),"Data mancante o non valida",IF(YEAR(A272)&lt;&gt;Impostazioni!$C$4,"Fuori dall'anno",IF(C272="","Manca la categoria",IF(ISNA(MATCH(C272,Categorie!$A$6:$A$65,0)),"Categoria non trovata",IF(G272="","Categoria senza tipo",""))))))))</f>
        <v/>
      </c>
    </row>
    <row r="273">
      <c r="A273" s="29" t="n">
        <v>46225</v>
      </c>
      <c r="B273" s="17" t="inlineStr">
        <is>
          <t>Farmacia</t>
        </is>
      </c>
      <c r="C273" s="17" t="inlineStr">
        <is>
          <t>Farmacia e salute</t>
        </is>
      </c>
      <c r="D273" s="16" t="n">
        <v>17.43</v>
      </c>
      <c r="E273" s="30" t="inlineStr">
        <is>
          <t>Carta di debito</t>
        </is>
      </c>
      <c r="F273" s="17" t="n"/>
      <c r="G273" s="31">
        <f>IF(C273="","",IFERROR(INDEX(Categorie!$B$6:$B$65,MATCH(C273,Categorie!$A$6:$A$65,0))&amp;"",""))</f>
        <v/>
      </c>
      <c r="H273" s="32">
        <f>IF(AND(A273="",C273="",D273=""),"",IF(D273="","Manca l'importo",IF(NOT(ISNUMBER(D273)),"Importo non valido",IF(NOT(ISNUMBER(A273)),"Data mancante o non valida",IF(YEAR(A273)&lt;&gt;Impostazioni!$C$4,"Fuori dall'anno",IF(C273="","Manca la categoria",IF(ISNA(MATCH(C273,Categorie!$A$6:$A$65,0)),"Categoria non trovata",IF(G273="","Categoria senza tipo",""))))))))</f>
        <v/>
      </c>
    </row>
    <row r="274">
      <c r="A274" s="29" t="n">
        <v>46225</v>
      </c>
      <c r="B274" s="17" t="inlineStr">
        <is>
          <t>Spesa al mercato</t>
        </is>
      </c>
      <c r="C274" s="17" t="inlineStr">
        <is>
          <t>Spesa alimentare</t>
        </is>
      </c>
      <c r="D274" s="16" t="n">
        <v>29.07</v>
      </c>
      <c r="E274" s="30" t="inlineStr">
        <is>
          <t>Contanti</t>
        </is>
      </c>
      <c r="F274" s="17" t="n"/>
      <c r="G274" s="31">
        <f>IF(C274="","",IFERROR(INDEX(Categorie!$B$6:$B$65,MATCH(C274,Categorie!$A$6:$A$65,0))&amp;"",""))</f>
        <v/>
      </c>
      <c r="H274" s="32">
        <f>IF(AND(A274="",C274="",D274=""),"",IF(D274="","Manca l'importo",IF(NOT(ISNUMBER(D274)),"Importo non valido",IF(NOT(ISNUMBER(A274)),"Data mancante o non valida",IF(YEAR(A274)&lt;&gt;Impostazioni!$C$4,"Fuori dall'anno",IF(C274="","Manca la categoria",IF(ISNA(MATCH(C274,Categorie!$A$6:$A$65,0)),"Categoria non trovata",IF(G274="","Categoria senza tipo",""))))))))</f>
        <v/>
      </c>
    </row>
    <row r="275">
      <c r="A275" s="29" t="n">
        <v>46226</v>
      </c>
      <c r="B275" s="17" t="inlineStr">
        <is>
          <t>Rifornimento</t>
        </is>
      </c>
      <c r="C275" s="17" t="inlineStr">
        <is>
          <t>Carburante</t>
        </is>
      </c>
      <c r="D275" s="16" t="n">
        <v>67.22</v>
      </c>
      <c r="E275" s="30" t="inlineStr">
        <is>
          <t>Carta di credito</t>
        </is>
      </c>
      <c r="F275" s="17" t="inlineStr">
        <is>
          <t>Giulia</t>
        </is>
      </c>
      <c r="G275" s="31">
        <f>IF(C275="","",IFERROR(INDEX(Categorie!$B$6:$B$65,MATCH(C275,Categorie!$A$6:$A$65,0))&amp;"",""))</f>
        <v/>
      </c>
      <c r="H275" s="32">
        <f>IF(AND(A275="",C275="",D275=""),"",IF(D275="","Manca l'importo",IF(NOT(ISNUMBER(D275)),"Importo non valido",IF(NOT(ISNUMBER(A275)),"Data mancante o non valida",IF(YEAR(A275)&lt;&gt;Impostazioni!$C$4,"Fuori dall'anno",IF(C275="","Manca la categoria",IF(ISNA(MATCH(C275,Categorie!$A$6:$A$65,0)),"Categoria non trovata",IF(G275="","Categoria senza tipo",""))))))))</f>
        <v/>
      </c>
    </row>
    <row r="276">
      <c r="A276" s="29" t="n">
        <v>46228</v>
      </c>
      <c r="B276" s="17" t="inlineStr">
        <is>
          <t>Spesa settimanale</t>
        </is>
      </c>
      <c r="C276" s="17" t="inlineStr">
        <is>
          <t>Spesa alimentare</t>
        </is>
      </c>
      <c r="D276" s="16" t="n">
        <v>106.75</v>
      </c>
      <c r="E276" s="30" t="inlineStr">
        <is>
          <t>Carta di debito</t>
        </is>
      </c>
      <c r="F276" s="17" t="n"/>
      <c r="G276" s="31">
        <f>IF(C276="","",IFERROR(INDEX(Categorie!$B$6:$B$65,MATCH(C276,Categorie!$A$6:$A$65,0))&amp;"",""))</f>
        <v/>
      </c>
      <c r="H276" s="32">
        <f>IF(AND(A276="",C276="",D276=""),"",IF(D276="","Manca l'importo",IF(NOT(ISNUMBER(D276)),"Importo non valido",IF(NOT(ISNUMBER(A276)),"Data mancante o non valida",IF(YEAR(A276)&lt;&gt;Impostazioni!$C$4,"Fuori dall'anno",IF(C276="","Manca la categoria",IF(ISNA(MATCH(C276,Categorie!$A$6:$A$65,0)),"Categoria non trovata",IF(G276="","Categoria senza tipo",""))))))))</f>
        <v/>
      </c>
    </row>
    <row r="277">
      <c r="A277" s="29" t="n">
        <v>46228</v>
      </c>
      <c r="B277" s="17" t="inlineStr">
        <is>
          <t>Libri</t>
        </is>
      </c>
      <c r="C277" s="17" t="inlineStr">
        <is>
          <t>Svago</t>
        </is>
      </c>
      <c r="D277" s="16" t="n">
        <v>27</v>
      </c>
      <c r="E277" s="30" t="inlineStr">
        <is>
          <t>Carta di debito</t>
        </is>
      </c>
      <c r="F277" s="17" t="n"/>
      <c r="G277" s="31">
        <f>IF(C277="","",IFERROR(INDEX(Categorie!$B$6:$B$65,MATCH(C277,Categorie!$A$6:$A$65,0))&amp;"",""))</f>
        <v/>
      </c>
      <c r="H277" s="32">
        <f>IF(AND(A277="",C277="",D277=""),"",IF(D277="","Manca l'importo",IF(NOT(ISNUMBER(D277)),"Importo non valido",IF(NOT(ISNUMBER(A277)),"Data mancante o non valida",IF(YEAR(A277)&lt;&gt;Impostazioni!$C$4,"Fuori dall'anno",IF(C277="","Manca la categoria",IF(ISNA(MATCH(C277,Categorie!$A$6:$A$65,0)),"Categoria non trovata",IF(G277="","Categoria senza tipo",""))))))))</f>
        <v/>
      </c>
    </row>
    <row r="278">
      <c r="A278" s="29" t="n">
        <v>46230</v>
      </c>
      <c r="B278" s="17" t="inlineStr">
        <is>
          <t>Rimborso 730 in busta paga</t>
        </is>
      </c>
      <c r="C278" s="17" t="inlineStr">
        <is>
          <t>Rimborsi e altre entrate</t>
        </is>
      </c>
      <c r="D278" s="16" t="n">
        <v>412</v>
      </c>
      <c r="E278" s="30" t="inlineStr">
        <is>
          <t>Conto corrente</t>
        </is>
      </c>
      <c r="F278" s="17" t="inlineStr">
        <is>
          <t>Marco</t>
        </is>
      </c>
      <c r="G278" s="31">
        <f>IF(C278="","",IFERROR(INDEX(Categorie!$B$6:$B$65,MATCH(C278,Categorie!$A$6:$A$65,0))&amp;"",""))</f>
        <v/>
      </c>
      <c r="H278" s="32">
        <f>IF(AND(A278="",C278="",D278=""),"",IF(D278="","Manca l'importo",IF(NOT(ISNUMBER(D278)),"Importo non valido",IF(NOT(ISNUMBER(A278)),"Data mancante o non valida",IF(YEAR(A278)&lt;&gt;Impostazioni!$C$4,"Fuori dall'anno",IF(C278="","Manca la categoria",IF(ISNA(MATCH(C278,Categorie!$A$6:$A$65,0)),"Categoria non trovata",IF(G278="","Categoria senza tipo",""))))))))</f>
        <v/>
      </c>
    </row>
    <row r="279">
      <c r="A279" s="29" t="n">
        <v>46230</v>
      </c>
      <c r="B279" s="17" t="inlineStr">
        <is>
          <t>Stipendio</t>
        </is>
      </c>
      <c r="C279" s="17" t="inlineStr">
        <is>
          <t>Stipendio Giulia</t>
        </is>
      </c>
      <c r="D279" s="16" t="n">
        <v>1480</v>
      </c>
      <c r="E279" s="30" t="inlineStr">
        <is>
          <t>Conto corrente</t>
        </is>
      </c>
      <c r="F279" s="17" t="inlineStr">
        <is>
          <t>Giulia</t>
        </is>
      </c>
      <c r="G279" s="31">
        <f>IF(C279="","",IFERROR(INDEX(Categorie!$B$6:$B$65,MATCH(C279,Categorie!$A$6:$A$65,0))&amp;"",""))</f>
        <v/>
      </c>
      <c r="H279" s="32">
        <f>IF(AND(A279="",C279="",D279=""),"",IF(D279="","Manca l'importo",IF(NOT(ISNUMBER(D279)),"Importo non valido",IF(NOT(ISNUMBER(A279)),"Data mancante o non valida",IF(YEAR(A279)&lt;&gt;Impostazioni!$C$4,"Fuori dall'anno",IF(C279="","Manca la categoria",IF(ISNA(MATCH(C279,Categorie!$A$6:$A$65,0)),"Categoria non trovata",IF(G279="","Categoria senza tipo",""))))))))</f>
        <v/>
      </c>
    </row>
    <row r="280">
      <c r="A280" s="29" t="n">
        <v>46230</v>
      </c>
      <c r="B280" s="17" t="inlineStr">
        <is>
          <t>Stipendio</t>
        </is>
      </c>
      <c r="C280" s="17" t="inlineStr">
        <is>
          <t>Stipendio Marco</t>
        </is>
      </c>
      <c r="D280" s="16" t="n">
        <v>1850</v>
      </c>
      <c r="E280" s="30" t="inlineStr">
        <is>
          <t>Conto corrente</t>
        </is>
      </c>
      <c r="F280" s="17" t="inlineStr">
        <is>
          <t>Marco</t>
        </is>
      </c>
      <c r="G280" s="31">
        <f>IF(C280="","",IFERROR(INDEX(Categorie!$B$6:$B$65,MATCH(C280,Categorie!$A$6:$A$65,0))&amp;"",""))</f>
        <v/>
      </c>
      <c r="H280" s="32">
        <f>IF(AND(A280="",C280="",D280=""),"",IF(D280="","Manca l'importo",IF(NOT(ISNUMBER(D280)),"Importo non valido",IF(NOT(ISNUMBER(A280)),"Data mancante o non valida",IF(YEAR(A280)&lt;&gt;Impostazioni!$C$4,"Fuori dall'anno",IF(C280="","Manca la categoria",IF(ISNA(MATCH(C280,Categorie!$A$6:$A$65,0)),"Categoria non trovata",IF(G280="","Categoria senza tipo",""))))))))</f>
        <v/>
      </c>
    </row>
    <row r="281">
      <c r="A281" s="29" t="n">
        <v>46231</v>
      </c>
      <c r="B281" s="17" t="inlineStr">
        <is>
          <t>Versamento fondo emergenze</t>
        </is>
      </c>
      <c r="C281" s="17" t="inlineStr">
        <is>
          <t>Fondo emergenze</t>
        </is>
      </c>
      <c r="D281" s="16" t="n">
        <v>150</v>
      </c>
      <c r="E281" s="30" t="inlineStr">
        <is>
          <t>Conto corrente</t>
        </is>
      </c>
      <c r="F281" s="17" t="n"/>
      <c r="G281" s="31">
        <f>IF(C281="","",IFERROR(INDEX(Categorie!$B$6:$B$65,MATCH(C281,Categorie!$A$6:$A$65,0))&amp;"",""))</f>
        <v/>
      </c>
      <c r="H281" s="32">
        <f>IF(AND(A281="",C281="",D281=""),"",IF(D281="","Manca l'importo",IF(NOT(ISNUMBER(D281)),"Importo non valido",IF(NOT(ISNUMBER(A281)),"Data mancante o non valida",IF(YEAR(A281)&lt;&gt;Impostazioni!$C$4,"Fuori dall'anno",IF(C281="","Manca la categoria",IF(ISNA(MATCH(C281,Categorie!$A$6:$A$65,0)),"Categoria non trovata",IF(G281="","Categoria senza tipo",""))))))))</f>
        <v/>
      </c>
    </row>
    <row r="282">
      <c r="A282" s="29" t="n">
        <v>46231</v>
      </c>
      <c r="B282" s="17" t="inlineStr">
        <is>
          <t>Piano di accumulo mensile</t>
        </is>
      </c>
      <c r="C282" s="17" t="inlineStr">
        <is>
          <t>Investimenti</t>
        </is>
      </c>
      <c r="D282" s="16" t="n">
        <v>100</v>
      </c>
      <c r="E282" s="30" t="inlineStr">
        <is>
          <t>Conto corrente</t>
        </is>
      </c>
      <c r="F282" s="17" t="n"/>
      <c r="G282" s="31">
        <f>IF(C282="","",IFERROR(INDEX(Categorie!$B$6:$B$65,MATCH(C282,Categorie!$A$6:$A$65,0))&amp;"",""))</f>
        <v/>
      </c>
      <c r="H282" s="32">
        <f>IF(AND(A282="",C282="",D282=""),"",IF(D282="","Manca l'importo",IF(NOT(ISNUMBER(D282)),"Importo non valido",IF(NOT(ISNUMBER(A282)),"Data mancante o non valida",IF(YEAR(A282)&lt;&gt;Impostazioni!$C$4,"Fuori dall'anno",IF(C282="","Manca la categoria",IF(ISNA(MATCH(C282,Categorie!$A$6:$A$65,0)),"Categoria non trovata",IF(G282="","Categoria senza tipo",""))))))))</f>
        <v/>
      </c>
    </row>
    <row r="283">
      <c r="A283" s="29" t="n">
        <v>46231</v>
      </c>
      <c r="B283" s="17" t="inlineStr">
        <is>
          <t>Accantonamento obiettivi</t>
        </is>
      </c>
      <c r="C283" s="17" t="inlineStr">
        <is>
          <t>Obiettivi di risparmio</t>
        </is>
      </c>
      <c r="D283" s="16" t="n">
        <v>200</v>
      </c>
      <c r="E283" s="30" t="inlineStr">
        <is>
          <t>Conto corrente</t>
        </is>
      </c>
      <c r="F283" s="17" t="n"/>
      <c r="G283" s="31">
        <f>IF(C283="","",IFERROR(INDEX(Categorie!$B$6:$B$65,MATCH(C283,Categorie!$A$6:$A$65,0))&amp;"",""))</f>
        <v/>
      </c>
      <c r="H283" s="32">
        <f>IF(AND(A283="",C283="",D283=""),"",IF(D283="","Manca l'importo",IF(NOT(ISNUMBER(D283)),"Importo non valido",IF(NOT(ISNUMBER(A283)),"Data mancante o non valida",IF(YEAR(A283)&lt;&gt;Impostazioni!$C$4,"Fuori dall'anno",IF(C283="","Manca la categoria",IF(ISNA(MATCH(C283,Categorie!$A$6:$A$65,0)),"Categoria non trovata",IF(G283="","Categoria senza tipo",""))))))))</f>
        <v/>
      </c>
    </row>
    <row r="284">
      <c r="A284" s="29" t="n">
        <v>46235</v>
      </c>
      <c r="B284" s="17" t="inlineStr">
        <is>
          <t>Rata mutuo</t>
        </is>
      </c>
      <c r="C284" s="17" t="inlineStr">
        <is>
          <t>Affitto o rata mutuo</t>
        </is>
      </c>
      <c r="D284" s="16" t="n">
        <v>680</v>
      </c>
      <c r="E284" s="30" t="inlineStr">
        <is>
          <t>Conto corrente</t>
        </is>
      </c>
      <c r="F284" s="17" t="n"/>
      <c r="G284" s="31">
        <f>IF(C284="","",IFERROR(INDEX(Categorie!$B$6:$B$65,MATCH(C284,Categorie!$A$6:$A$65,0))&amp;"",""))</f>
        <v/>
      </c>
      <c r="H284" s="32">
        <f>IF(AND(A284="",C284="",D284=""),"",IF(D284="","Manca l'importo",IF(NOT(ISNUMBER(D284)),"Importo non valido",IF(NOT(ISNUMBER(A284)),"Data mancante o non valida",IF(YEAR(A284)&lt;&gt;Impostazioni!$C$4,"Fuori dall'anno",IF(C284="","Manca la categoria",IF(ISNA(MATCH(C284,Categorie!$A$6:$A$65,0)),"Categoria non trovata",IF(G284="","Categoria senza tipo",""))))))))</f>
        <v/>
      </c>
    </row>
    <row r="285">
      <c r="A285" s="29" t="n">
        <v>46235</v>
      </c>
      <c r="B285" s="17" t="inlineStr">
        <is>
          <t>Spesa settimanale</t>
        </is>
      </c>
      <c r="C285" s="17" t="inlineStr">
        <is>
          <t>Spesa alimentare</t>
        </is>
      </c>
      <c r="D285" s="16" t="n">
        <v>117.74</v>
      </c>
      <c r="E285" s="30" t="inlineStr">
        <is>
          <t>Carta di debito</t>
        </is>
      </c>
      <c r="F285" s="17" t="n"/>
      <c r="G285" s="31">
        <f>IF(C285="","",IFERROR(INDEX(Categorie!$B$6:$B$65,MATCH(C285,Categorie!$A$6:$A$65,0))&amp;"",""))</f>
        <v/>
      </c>
      <c r="H285" s="32">
        <f>IF(AND(A285="",C285="",D285=""),"",IF(D285="","Manca l'importo",IF(NOT(ISNUMBER(D285)),"Importo non valido",IF(NOT(ISNUMBER(A285)),"Data mancante o non valida",IF(YEAR(A285)&lt;&gt;Impostazioni!$C$4,"Fuori dall'anno",IF(C285="","Manca la categoria",IF(ISNA(MATCH(C285,Categorie!$A$6:$A$65,0)),"Categoria non trovata",IF(G285="","Categoria senza tipo",""))))))))</f>
        <v/>
      </c>
    </row>
    <row r="286">
      <c r="A286" s="29" t="n">
        <v>46236</v>
      </c>
      <c r="B286" s="17" t="inlineStr">
        <is>
          <t>Rifornimento</t>
        </is>
      </c>
      <c r="C286" s="17" t="inlineStr">
        <is>
          <t>Carburante</t>
        </is>
      </c>
      <c r="D286" s="16" t="n">
        <v>60.99</v>
      </c>
      <c r="E286" s="30" t="inlineStr">
        <is>
          <t>Carta di credito</t>
        </is>
      </c>
      <c r="F286" s="17" t="inlineStr">
        <is>
          <t>Marco</t>
        </is>
      </c>
      <c r="G286" s="31">
        <f>IF(C286="","",IFERROR(INDEX(Categorie!$B$6:$B$65,MATCH(C286,Categorie!$A$6:$A$65,0))&amp;"",""))</f>
        <v/>
      </c>
      <c r="H286" s="32">
        <f>IF(AND(A286="",C286="",D286=""),"",IF(D286="","Manca l'importo",IF(NOT(ISNUMBER(D286)),"Importo non valido",IF(NOT(ISNUMBER(A286)),"Data mancante o non valida",IF(YEAR(A286)&lt;&gt;Impostazioni!$C$4,"Fuori dall'anno",IF(C286="","Manca la categoria",IF(ISNA(MATCH(C286,Categorie!$A$6:$A$65,0)),"Categoria non trovata",IF(G286="","Categoria senza tipo",""))))))))</f>
        <v/>
      </c>
    </row>
    <row r="287">
      <c r="A287" s="29" t="n">
        <v>46236</v>
      </c>
      <c r="B287" s="17" t="inlineStr">
        <is>
          <t>Pizzeria</t>
        </is>
      </c>
      <c r="C287" s="17" t="inlineStr">
        <is>
          <t>Svago</t>
        </is>
      </c>
      <c r="D287" s="16" t="n">
        <v>50.25</v>
      </c>
      <c r="E287" s="30" t="inlineStr">
        <is>
          <t>Carta di debito</t>
        </is>
      </c>
      <c r="F287" s="17" t="n"/>
      <c r="G287" s="31">
        <f>IF(C287="","",IFERROR(INDEX(Categorie!$B$6:$B$65,MATCH(C287,Categorie!$A$6:$A$65,0))&amp;"",""))</f>
        <v/>
      </c>
      <c r="H287" s="32">
        <f>IF(AND(A287="",C287="",D287=""),"",IF(D287="","Manca l'importo",IF(NOT(ISNUMBER(D287)),"Importo non valido",IF(NOT(ISNUMBER(A287)),"Data mancante o non valida",IF(YEAR(A287)&lt;&gt;Impostazioni!$C$4,"Fuori dall'anno",IF(C287="","Manca la categoria",IF(ISNA(MATCH(C287,Categorie!$A$6:$A$65,0)),"Categoria non trovata",IF(G287="","Categoria senza tipo",""))))))))</f>
        <v/>
      </c>
    </row>
    <row r="288">
      <c r="A288" s="29" t="n">
        <v>46238</v>
      </c>
      <c r="B288" s="17" t="inlineStr">
        <is>
          <t>Bar</t>
        </is>
      </c>
      <c r="C288" s="17" t="inlineStr">
        <is>
          <t>Svago</t>
        </is>
      </c>
      <c r="D288" s="16" t="n">
        <v>6.41</v>
      </c>
      <c r="E288" s="30" t="inlineStr">
        <is>
          <t>Carta di debito</t>
        </is>
      </c>
      <c r="F288" s="17" t="n"/>
      <c r="G288" s="31">
        <f>IF(C288="","",IFERROR(INDEX(Categorie!$B$6:$B$65,MATCH(C288,Categorie!$A$6:$A$65,0))&amp;"",""))</f>
        <v/>
      </c>
      <c r="H288" s="32">
        <f>IF(AND(A288="",C288="",D288=""),"",IF(D288="","Manca l'importo",IF(NOT(ISNUMBER(D288)),"Importo non valido",IF(NOT(ISNUMBER(A288)),"Data mancante o non valida",IF(YEAR(A288)&lt;&gt;Impostazioni!$C$4,"Fuori dall'anno",IF(C288="","Manca la categoria",IF(ISNA(MATCH(C288,Categorie!$A$6:$A$65,0)),"Categoria non trovata",IF(G288="","Categoria senza tipo",""))))))))</f>
        <v/>
      </c>
    </row>
    <row r="289">
      <c r="A289" s="29" t="n">
        <v>46239</v>
      </c>
      <c r="B289" s="17" t="inlineStr">
        <is>
          <t>Fibra casa</t>
        </is>
      </c>
      <c r="C289" s="17" t="inlineStr">
        <is>
          <t>Internet e telefono</t>
        </is>
      </c>
      <c r="D289" s="16" t="n">
        <v>27.9</v>
      </c>
      <c r="E289" s="30" t="inlineStr">
        <is>
          <t>Carta di credito</t>
        </is>
      </c>
      <c r="F289" s="17" t="n"/>
      <c r="G289" s="31">
        <f>IF(C289="","",IFERROR(INDEX(Categorie!$B$6:$B$65,MATCH(C289,Categorie!$A$6:$A$65,0))&amp;"",""))</f>
        <v/>
      </c>
      <c r="H289" s="32">
        <f>IF(AND(A289="",C289="",D289=""),"",IF(D289="","Manca l'importo",IF(NOT(ISNUMBER(D289)),"Importo non valido",IF(NOT(ISNUMBER(A289)),"Data mancante o non valida",IF(YEAR(A289)&lt;&gt;Impostazioni!$C$4,"Fuori dall'anno",IF(C289="","Manca la categoria",IF(ISNA(MATCH(C289,Categorie!$A$6:$A$65,0)),"Categoria non trovata",IF(G289="","Categoria senza tipo",""))))))))</f>
        <v/>
      </c>
    </row>
    <row r="290">
      <c r="A290" s="29" t="n">
        <v>46239</v>
      </c>
      <c r="B290" s="17" t="inlineStr">
        <is>
          <t>Telefono Giulia</t>
        </is>
      </c>
      <c r="C290" s="17" t="inlineStr">
        <is>
          <t>Internet e telefono</t>
        </is>
      </c>
      <c r="D290" s="16" t="n">
        <v>7.99</v>
      </c>
      <c r="E290" s="30" t="inlineStr">
        <is>
          <t>Carta di credito</t>
        </is>
      </c>
      <c r="F290" s="17" t="inlineStr">
        <is>
          <t>Giulia</t>
        </is>
      </c>
      <c r="G290" s="31">
        <f>IF(C290="","",IFERROR(INDEX(Categorie!$B$6:$B$65,MATCH(C290,Categorie!$A$6:$A$65,0))&amp;"",""))</f>
        <v/>
      </c>
      <c r="H290" s="32">
        <f>IF(AND(A290="",C290="",D290=""),"",IF(D290="","Manca l'importo",IF(NOT(ISNUMBER(D290)),"Importo non valido",IF(NOT(ISNUMBER(A290)),"Data mancante o non valida",IF(YEAR(A290)&lt;&gt;Impostazioni!$C$4,"Fuori dall'anno",IF(C290="","Manca la categoria",IF(ISNA(MATCH(C290,Categorie!$A$6:$A$65,0)),"Categoria non trovata",IF(G290="","Categoria senza tipo",""))))))))</f>
        <v/>
      </c>
    </row>
    <row r="291">
      <c r="A291" s="29" t="n">
        <v>46239</v>
      </c>
      <c r="B291" s="17" t="inlineStr">
        <is>
          <t>Telefono Marco</t>
        </is>
      </c>
      <c r="C291" s="17" t="inlineStr">
        <is>
          <t>Internet e telefono</t>
        </is>
      </c>
      <c r="D291" s="16" t="n">
        <v>9.99</v>
      </c>
      <c r="E291" s="30" t="inlineStr">
        <is>
          <t>Carta di credito</t>
        </is>
      </c>
      <c r="F291" s="17" t="inlineStr">
        <is>
          <t>Marco</t>
        </is>
      </c>
      <c r="G291" s="31">
        <f>IF(C291="","",IFERROR(INDEX(Categorie!$B$6:$B$65,MATCH(C291,Categorie!$A$6:$A$65,0))&amp;"",""))</f>
        <v/>
      </c>
      <c r="H291" s="32">
        <f>IF(AND(A291="",C291="",D291=""),"",IF(D291="","Manca l'importo",IF(NOT(ISNUMBER(D291)),"Importo non valido",IF(NOT(ISNUMBER(A291)),"Data mancante o non valida",IF(YEAR(A291)&lt;&gt;Impostazioni!$C$4,"Fuori dall'anno",IF(C291="","Manca la categoria",IF(ISNA(MATCH(C291,Categorie!$A$6:$A$65,0)),"Categoria non trovata",IF(G291="","Categoria senza tipo",""))))))))</f>
        <v/>
      </c>
    </row>
    <row r="292">
      <c r="A292" s="29" t="n">
        <v>46239</v>
      </c>
      <c r="B292" s="17" t="inlineStr">
        <is>
          <t>Spesa al mercato</t>
        </is>
      </c>
      <c r="C292" s="17" t="inlineStr">
        <is>
          <t>Spesa alimentare</t>
        </is>
      </c>
      <c r="D292" s="16" t="n">
        <v>18.63</v>
      </c>
      <c r="E292" s="30" t="inlineStr">
        <is>
          <t>Contanti</t>
        </is>
      </c>
      <c r="F292" s="17" t="n"/>
      <c r="G292" s="31">
        <f>IF(C292="","",IFERROR(INDEX(Categorie!$B$6:$B$65,MATCH(C292,Categorie!$A$6:$A$65,0))&amp;"",""))</f>
        <v/>
      </c>
      <c r="H292" s="32">
        <f>IF(AND(A292="",C292="",D292=""),"",IF(D292="","Manca l'importo",IF(NOT(ISNUMBER(D292)),"Importo non valido",IF(NOT(ISNUMBER(A292)),"Data mancante o non valida",IF(YEAR(A292)&lt;&gt;Impostazioni!$C$4,"Fuori dall'anno",IF(C292="","Manca la categoria",IF(ISNA(MATCH(C292,Categorie!$A$6:$A$65,0)),"Categoria non trovata",IF(G292="","Categoria senza tipo",""))))))))</f>
        <v/>
      </c>
    </row>
    <row r="293">
      <c r="A293" s="29" t="n">
        <v>46242</v>
      </c>
      <c r="B293" s="17" t="inlineStr">
        <is>
          <t>Musica in streaming</t>
        </is>
      </c>
      <c r="C293" s="17" t="inlineStr">
        <is>
          <t>Abbonamenti</t>
        </is>
      </c>
      <c r="D293" s="16" t="n">
        <v>10.99</v>
      </c>
      <c r="E293" s="30" t="inlineStr">
        <is>
          <t>Carta di credito</t>
        </is>
      </c>
      <c r="F293" s="17" t="inlineStr">
        <is>
          <t>Giulia</t>
        </is>
      </c>
      <c r="G293" s="31">
        <f>IF(C293="","",IFERROR(INDEX(Categorie!$B$6:$B$65,MATCH(C293,Categorie!$A$6:$A$65,0))&amp;"",""))</f>
        <v/>
      </c>
      <c r="H293" s="32">
        <f>IF(AND(A293="",C293="",D293=""),"",IF(D293="","Manca l'importo",IF(NOT(ISNUMBER(D293)),"Importo non valido",IF(NOT(ISNUMBER(A293)),"Data mancante o non valida",IF(YEAR(A293)&lt;&gt;Impostazioni!$C$4,"Fuori dall'anno",IF(C293="","Manca la categoria",IF(ISNA(MATCH(C293,Categorie!$A$6:$A$65,0)),"Categoria non trovata",IF(G293="","Categoria senza tipo",""))))))))</f>
        <v/>
      </c>
    </row>
    <row r="294">
      <c r="A294" s="29" t="n">
        <v>46242</v>
      </c>
      <c r="B294" s="17" t="inlineStr">
        <is>
          <t>Streaming video</t>
        </is>
      </c>
      <c r="C294" s="17" t="inlineStr">
        <is>
          <t>Abbonamenti</t>
        </is>
      </c>
      <c r="D294" s="16" t="n">
        <v>13.99</v>
      </c>
      <c r="E294" s="30" t="inlineStr">
        <is>
          <t>Carta di credito</t>
        </is>
      </c>
      <c r="F294" s="17" t="n"/>
      <c r="G294" s="31">
        <f>IF(C294="","",IFERROR(INDEX(Categorie!$B$6:$B$65,MATCH(C294,Categorie!$A$6:$A$65,0))&amp;"",""))</f>
        <v/>
      </c>
      <c r="H294" s="32">
        <f>IF(AND(A294="",C294="",D294=""),"",IF(D294="","Manca l'importo",IF(NOT(ISNUMBER(D294)),"Importo non valido",IF(NOT(ISNUMBER(A294)),"Data mancante o non valida",IF(YEAR(A294)&lt;&gt;Impostazioni!$C$4,"Fuori dall'anno",IF(C294="","Manca la categoria",IF(ISNA(MATCH(C294,Categorie!$A$6:$A$65,0)),"Categoria non trovata",IF(G294="","Categoria senza tipo",""))))))))</f>
        <v/>
      </c>
    </row>
    <row r="295">
      <c r="A295" s="29" t="n">
        <v>46242</v>
      </c>
      <c r="B295" s="17" t="inlineStr">
        <is>
          <t>Spesa settimanale</t>
        </is>
      </c>
      <c r="C295" s="17" t="inlineStr">
        <is>
          <t>Spesa alimentare</t>
        </is>
      </c>
      <c r="D295" s="16" t="n">
        <v>104.46</v>
      </c>
      <c r="E295" s="30" t="inlineStr">
        <is>
          <t>Carta di debito</t>
        </is>
      </c>
      <c r="F295" s="17" t="n"/>
      <c r="G295" s="31">
        <f>IF(C295="","",IFERROR(INDEX(Categorie!$B$6:$B$65,MATCH(C295,Categorie!$A$6:$A$65,0))&amp;"",""))</f>
        <v/>
      </c>
      <c r="H295" s="32">
        <f>IF(AND(A295="",C295="",D295=""),"",IF(D295="","Manca l'importo",IF(NOT(ISNUMBER(D295)),"Importo non valido",IF(NOT(ISNUMBER(A295)),"Data mancante o non valida",IF(YEAR(A295)&lt;&gt;Impostazioni!$C$4,"Fuori dall'anno",IF(C295="","Manca la categoria",IF(ISNA(MATCH(C295,Categorie!$A$6:$A$65,0)),"Categoria non trovata",IF(G295="","Categoria senza tipo",""))))))))</f>
        <v/>
      </c>
    </row>
    <row r="296">
      <c r="A296" s="29" t="n">
        <v>46242</v>
      </c>
      <c r="B296" s="17" t="inlineStr">
        <is>
          <t>Saldo casa vacanze</t>
        </is>
      </c>
      <c r="C296" s="17" t="inlineStr">
        <is>
          <t>Vacanze</t>
        </is>
      </c>
      <c r="D296" s="16" t="n">
        <v>850</v>
      </c>
      <c r="E296" s="30" t="inlineStr">
        <is>
          <t>Conto corrente</t>
        </is>
      </c>
      <c r="F296" s="17" t="n"/>
      <c r="G296" s="31">
        <f>IF(C296="","",IFERROR(INDEX(Categorie!$B$6:$B$65,MATCH(C296,Categorie!$A$6:$A$65,0))&amp;"",""))</f>
        <v/>
      </c>
      <c r="H296" s="32">
        <f>IF(AND(A296="",C296="",D296=""),"",IF(D296="","Manca l'importo",IF(NOT(ISNUMBER(D296)),"Importo non valido",IF(NOT(ISNUMBER(A296)),"Data mancante o non valida",IF(YEAR(A296)&lt;&gt;Impostazioni!$C$4,"Fuori dall'anno",IF(C296="","Manca la categoria",IF(ISNA(MATCH(C296,Categorie!$A$6:$A$65,0)),"Categoria non trovata",IF(G296="","Categoria senza tipo",""))))))))</f>
        <v/>
      </c>
    </row>
    <row r="297">
      <c r="A297" s="29" t="n">
        <v>46244</v>
      </c>
      <c r="B297" s="17" t="inlineStr">
        <is>
          <t>Rifornimento</t>
        </is>
      </c>
      <c r="C297" s="17" t="inlineStr">
        <is>
          <t>Carburante</t>
        </is>
      </c>
      <c r="D297" s="16" t="n">
        <v>57.5</v>
      </c>
      <c r="E297" s="30" t="inlineStr">
        <is>
          <t>Carta di credito</t>
        </is>
      </c>
      <c r="F297" s="17" t="inlineStr">
        <is>
          <t>Giulia</t>
        </is>
      </c>
      <c r="G297" s="31">
        <f>IF(C297="","",IFERROR(INDEX(Categorie!$B$6:$B$65,MATCH(C297,Categorie!$A$6:$A$65,0))&amp;"",""))</f>
        <v/>
      </c>
      <c r="H297" s="32">
        <f>IF(AND(A297="",C297="",D297=""),"",IF(D297="","Manca l'importo",IF(NOT(ISNUMBER(D297)),"Importo non valido",IF(NOT(ISNUMBER(A297)),"Data mancante o non valida",IF(YEAR(A297)&lt;&gt;Impostazioni!$C$4,"Fuori dall'anno",IF(C297="","Manca la categoria",IF(ISNA(MATCH(C297,Categorie!$A$6:$A$65,0)),"Categoria non trovata",IF(G297="","Categoria senza tipo",""))))))))</f>
        <v/>
      </c>
    </row>
    <row r="298">
      <c r="A298" s="29" t="n">
        <v>46248</v>
      </c>
      <c r="B298" s="17" t="inlineStr">
        <is>
          <t>Farmacia</t>
        </is>
      </c>
      <c r="C298" s="17" t="inlineStr">
        <is>
          <t>Farmacia e salute</t>
        </is>
      </c>
      <c r="D298" s="16" t="n">
        <v>6.45</v>
      </c>
      <c r="E298" s="30" t="inlineStr">
        <is>
          <t>Carta di debito</t>
        </is>
      </c>
      <c r="F298" s="17" t="n"/>
      <c r="G298" s="31">
        <f>IF(C298="","",IFERROR(INDEX(Categorie!$B$6:$B$65,MATCH(C298,Categorie!$A$6:$A$65,0))&amp;"",""))</f>
        <v/>
      </c>
      <c r="H298" s="32">
        <f>IF(AND(A298="",C298="",D298=""),"",IF(D298="","Manca l'importo",IF(NOT(ISNUMBER(D298)),"Importo non valido",IF(NOT(ISNUMBER(A298)),"Data mancante o non valida",IF(YEAR(A298)&lt;&gt;Impostazioni!$C$4,"Fuori dall'anno",IF(C298="","Manca la categoria",IF(ISNA(MATCH(C298,Categorie!$A$6:$A$65,0)),"Categoria non trovata",IF(G298="","Categoria senza tipo",""))))))))</f>
        <v/>
      </c>
    </row>
    <row r="299">
      <c r="A299" s="29" t="n">
        <v>46249</v>
      </c>
      <c r="B299" s="17" t="inlineStr">
        <is>
          <t>Rata carta revolving</t>
        </is>
      </c>
      <c r="C299" s="17" t="inlineStr">
        <is>
          <t>Rate di prestiti</t>
        </is>
      </c>
      <c r="D299" s="16" t="n">
        <v>60</v>
      </c>
      <c r="E299" s="30" t="inlineStr">
        <is>
          <t>Conto corrente</t>
        </is>
      </c>
      <c r="F299" s="17" t="n"/>
      <c r="G299" s="31">
        <f>IF(C299="","",IFERROR(INDEX(Categorie!$B$6:$B$65,MATCH(C299,Categorie!$A$6:$A$65,0))&amp;"",""))</f>
        <v/>
      </c>
      <c r="H299" s="32">
        <f>IF(AND(A299="",C299="",D299=""),"",IF(D299="","Manca l'importo",IF(NOT(ISNUMBER(D299)),"Importo non valido",IF(NOT(ISNUMBER(A299)),"Data mancante o non valida",IF(YEAR(A299)&lt;&gt;Impostazioni!$C$4,"Fuori dall'anno",IF(C299="","Manca la categoria",IF(ISNA(MATCH(C299,Categorie!$A$6:$A$65,0)),"Categoria non trovata",IF(G299="","Categoria senza tipo",""))))))))</f>
        <v/>
      </c>
    </row>
    <row r="300">
      <c r="A300" s="29" t="n">
        <v>46249</v>
      </c>
      <c r="B300" s="17" t="inlineStr">
        <is>
          <t>Rata lavatrice a tasso zero</t>
        </is>
      </c>
      <c r="C300" s="17" t="inlineStr">
        <is>
          <t>Rate di prestiti</t>
        </is>
      </c>
      <c r="D300" s="16" t="n">
        <v>40</v>
      </c>
      <c r="E300" s="30" t="inlineStr">
        <is>
          <t>Conto corrente</t>
        </is>
      </c>
      <c r="F300" s="17" t="n"/>
      <c r="G300" s="31">
        <f>IF(C300="","",IFERROR(INDEX(Categorie!$B$6:$B$65,MATCH(C300,Categorie!$A$6:$A$65,0))&amp;"",""))</f>
        <v/>
      </c>
      <c r="H300" s="32">
        <f>IF(AND(A300="",C300="",D300=""),"",IF(D300="","Manca l'importo",IF(NOT(ISNUMBER(D300)),"Importo non valido",IF(NOT(ISNUMBER(A300)),"Data mancante o non valida",IF(YEAR(A300)&lt;&gt;Impostazioni!$C$4,"Fuori dall'anno",IF(C300="","Manca la categoria",IF(ISNA(MATCH(C300,Categorie!$A$6:$A$65,0)),"Categoria non trovata",IF(G300="","Categoria senza tipo",""))))))))</f>
        <v/>
      </c>
    </row>
    <row r="301">
      <c r="A301" s="29" t="n">
        <v>46249</v>
      </c>
      <c r="B301" s="17" t="inlineStr">
        <is>
          <t>Rata prestito auto</t>
        </is>
      </c>
      <c r="C301" s="17" t="inlineStr">
        <is>
          <t>Rate di prestiti</t>
        </is>
      </c>
      <c r="D301" s="16" t="n">
        <v>210</v>
      </c>
      <c r="E301" s="30" t="inlineStr">
        <is>
          <t>Conto corrente</t>
        </is>
      </c>
      <c r="F301" s="17" t="n"/>
      <c r="G301" s="31">
        <f>IF(C301="","",IFERROR(INDEX(Categorie!$B$6:$B$65,MATCH(C301,Categorie!$A$6:$A$65,0))&amp;"",""))</f>
        <v/>
      </c>
      <c r="H301" s="32">
        <f>IF(AND(A301="",C301="",D301=""),"",IF(D301="","Manca l'importo",IF(NOT(ISNUMBER(D301)),"Importo non valido",IF(NOT(ISNUMBER(A301)),"Data mancante o non valida",IF(YEAR(A301)&lt;&gt;Impostazioni!$C$4,"Fuori dall'anno",IF(C301="","Manca la categoria",IF(ISNA(MATCH(C301,Categorie!$A$6:$A$65,0)),"Categoria non trovata",IF(G301="","Categoria senza tipo",""))))))))</f>
        <v/>
      </c>
    </row>
    <row r="302">
      <c r="A302" s="29" t="n">
        <v>46249</v>
      </c>
      <c r="B302" s="17" t="inlineStr">
        <is>
          <t>Spesa settimanale</t>
        </is>
      </c>
      <c r="C302" s="17" t="inlineStr">
        <is>
          <t>Spesa alimentare</t>
        </is>
      </c>
      <c r="D302" s="16" t="n">
        <v>110.06</v>
      </c>
      <c r="E302" s="30" t="inlineStr">
        <is>
          <t>Carta di debito</t>
        </is>
      </c>
      <c r="F302" s="17" t="n"/>
      <c r="G302" s="31">
        <f>IF(C302="","",IFERROR(INDEX(Categorie!$B$6:$B$65,MATCH(C302,Categorie!$A$6:$A$65,0))&amp;"",""))</f>
        <v/>
      </c>
      <c r="H302" s="32">
        <f>IF(AND(A302="",C302="",D302=""),"",IF(D302="","Manca l'importo",IF(NOT(ISNUMBER(D302)),"Importo non valido",IF(NOT(ISNUMBER(A302)),"Data mancante o non valida",IF(YEAR(A302)&lt;&gt;Impostazioni!$C$4,"Fuori dall'anno",IF(C302="","Manca la categoria",IF(ISNA(MATCH(C302,Categorie!$A$6:$A$65,0)),"Categoria non trovata",IF(G302="","Categoria senza tipo",""))))))))</f>
        <v/>
      </c>
    </row>
    <row r="303">
      <c r="A303" s="29" t="n">
        <v>46250</v>
      </c>
      <c r="B303" s="17" t="inlineStr">
        <is>
          <t>Ristoranti in vacanza</t>
        </is>
      </c>
      <c r="C303" s="17" t="inlineStr">
        <is>
          <t>Vacanze</t>
        </is>
      </c>
      <c r="D303" s="16" t="n">
        <v>186.5</v>
      </c>
      <c r="E303" s="30" t="inlineStr">
        <is>
          <t>Carta di credito</t>
        </is>
      </c>
      <c r="F303" s="17" t="n"/>
      <c r="G303" s="31">
        <f>IF(C303="","",IFERROR(INDEX(Categorie!$B$6:$B$65,MATCH(C303,Categorie!$A$6:$A$65,0))&amp;"",""))</f>
        <v/>
      </c>
      <c r="H303" s="32">
        <f>IF(AND(A303="",C303="",D303=""),"",IF(D303="","Manca l'importo",IF(NOT(ISNUMBER(D303)),"Importo non valido",IF(NOT(ISNUMBER(A303)),"Data mancante o non valida",IF(YEAR(A303)&lt;&gt;Impostazioni!$C$4,"Fuori dall'anno",IF(C303="","Manca la categoria",IF(ISNA(MATCH(C303,Categorie!$A$6:$A$65,0)),"Categoria non trovata",IF(G303="","Categoria senza tipo",""))))))))</f>
        <v/>
      </c>
    </row>
    <row r="304">
      <c r="A304" s="29" t="n">
        <v>46251</v>
      </c>
      <c r="B304" s="17" t="inlineStr">
        <is>
          <t>Rifornimento</t>
        </is>
      </c>
      <c r="C304" s="17" t="inlineStr">
        <is>
          <t>Carburante</t>
        </is>
      </c>
      <c r="D304" s="16" t="n">
        <v>58</v>
      </c>
      <c r="E304" s="30" t="inlineStr">
        <is>
          <t>Carta di credito</t>
        </is>
      </c>
      <c r="F304" s="17" t="inlineStr">
        <is>
          <t>Marco</t>
        </is>
      </c>
      <c r="G304" s="31">
        <f>IF(C304="","",IFERROR(INDEX(Categorie!$B$6:$B$65,MATCH(C304,Categorie!$A$6:$A$65,0))&amp;"",""))</f>
        <v/>
      </c>
      <c r="H304" s="32">
        <f>IF(AND(A304="",C304="",D304=""),"",IF(D304="","Manca l'importo",IF(NOT(ISNUMBER(D304)),"Importo non valido",IF(NOT(ISNUMBER(A304)),"Data mancante o non valida",IF(YEAR(A304)&lt;&gt;Impostazioni!$C$4,"Fuori dall'anno",IF(C304="","Manca la categoria",IF(ISNA(MATCH(C304,Categorie!$A$6:$A$65,0)),"Categoria non trovata",IF(G304="","Categoria senza tipo",""))))))))</f>
        <v/>
      </c>
    </row>
    <row r="305">
      <c r="A305" s="29" t="n">
        <v>46252</v>
      </c>
      <c r="B305" s="17" t="inlineStr">
        <is>
          <t>Bolletta gas</t>
        </is>
      </c>
      <c r="C305" s="17" t="inlineStr">
        <is>
          <t>Gas</t>
        </is>
      </c>
      <c r="D305" s="16" t="n">
        <v>27.35</v>
      </c>
      <c r="E305" s="30" t="inlineStr">
        <is>
          <t>Conto corrente</t>
        </is>
      </c>
      <c r="F305" s="17" t="n"/>
      <c r="G305" s="31">
        <f>IF(C305="","",IFERROR(INDEX(Categorie!$B$6:$B$65,MATCH(C305,Categorie!$A$6:$A$65,0))&amp;"",""))</f>
        <v/>
      </c>
      <c r="H305" s="32">
        <f>IF(AND(A305="",C305="",D305=""),"",IF(D305="","Manca l'importo",IF(NOT(ISNUMBER(D305)),"Importo non valido",IF(NOT(ISNUMBER(A305)),"Data mancante o non valida",IF(YEAR(A305)&lt;&gt;Impostazioni!$C$4,"Fuori dall'anno",IF(C305="","Manca la categoria",IF(ISNA(MATCH(C305,Categorie!$A$6:$A$65,0)),"Categoria non trovata",IF(G305="","Categoria senza tipo",""))))))))</f>
        <v/>
      </c>
    </row>
    <row r="306">
      <c r="A306" s="29" t="n">
        <v>46252</v>
      </c>
      <c r="B306" s="17" t="inlineStr">
        <is>
          <t>Bolletta luce</t>
        </is>
      </c>
      <c r="C306" s="17" t="inlineStr">
        <is>
          <t>Luce</t>
        </is>
      </c>
      <c r="D306" s="16" t="n">
        <v>89.34999999999999</v>
      </c>
      <c r="E306" s="30" t="inlineStr">
        <is>
          <t>Conto corrente</t>
        </is>
      </c>
      <c r="F306" s="17" t="n"/>
      <c r="G306" s="31">
        <f>IF(C306="","",IFERROR(INDEX(Categorie!$B$6:$B$65,MATCH(C306,Categorie!$A$6:$A$65,0))&amp;"",""))</f>
        <v/>
      </c>
      <c r="H306" s="32">
        <f>IF(AND(A306="",C306="",D306=""),"",IF(D306="","Manca l'importo",IF(NOT(ISNUMBER(D306)),"Importo non valido",IF(NOT(ISNUMBER(A306)),"Data mancante o non valida",IF(YEAR(A306)&lt;&gt;Impostazioni!$C$4,"Fuori dall'anno",IF(C306="","Manca la categoria",IF(ISNA(MATCH(C306,Categorie!$A$6:$A$65,0)),"Categoria non trovata",IF(G306="","Categoria senza tipo",""))))))))</f>
        <v/>
      </c>
    </row>
    <row r="307">
      <c r="A307" s="29" t="n">
        <v>46252</v>
      </c>
      <c r="B307" s="17" t="inlineStr">
        <is>
          <t>Parcheggio</t>
        </is>
      </c>
      <c r="C307" s="17" t="inlineStr">
        <is>
          <t>Trasporti</t>
        </is>
      </c>
      <c r="D307" s="16" t="n">
        <v>4.88</v>
      </c>
      <c r="E307" s="30" t="inlineStr">
        <is>
          <t>Contanti</t>
        </is>
      </c>
      <c r="F307" s="17" t="n"/>
      <c r="G307" s="31">
        <f>IF(C307="","",IFERROR(INDEX(Categorie!$B$6:$B$65,MATCH(C307,Categorie!$A$6:$A$65,0))&amp;"",""))</f>
        <v/>
      </c>
      <c r="H307" s="32">
        <f>IF(AND(A307="",C307="",D307=""),"",IF(D307="","Manca l'importo",IF(NOT(ISNUMBER(D307)),"Importo non valido",IF(NOT(ISNUMBER(A307)),"Data mancante o non valida",IF(YEAR(A307)&lt;&gt;Impostazioni!$C$4,"Fuori dall'anno",IF(C307="","Manca la categoria",IF(ISNA(MATCH(C307,Categorie!$A$6:$A$65,0)),"Categoria non trovata",IF(G307="","Categoria senza tipo",""))))))))</f>
        <v/>
      </c>
    </row>
    <row r="308">
      <c r="A308" s="29" t="n">
        <v>46253</v>
      </c>
      <c r="B308" s="17" t="inlineStr">
        <is>
          <t>Spesa al mercato</t>
        </is>
      </c>
      <c r="C308" s="17" t="inlineStr">
        <is>
          <t>Spesa alimentare</t>
        </is>
      </c>
      <c r="D308" s="16" t="n">
        <v>37.43</v>
      </c>
      <c r="E308" s="30" t="inlineStr">
        <is>
          <t>Contanti</t>
        </is>
      </c>
      <c r="F308" s="17" t="n"/>
      <c r="G308" s="31">
        <f>IF(C308="","",IFERROR(INDEX(Categorie!$B$6:$B$65,MATCH(C308,Categorie!$A$6:$A$65,0))&amp;"",""))</f>
        <v/>
      </c>
      <c r="H308" s="32">
        <f>IF(AND(A308="",C308="",D308=""),"",IF(D308="","Manca l'importo",IF(NOT(ISNUMBER(D308)),"Importo non valido",IF(NOT(ISNUMBER(A308)),"Data mancante o non valida",IF(YEAR(A308)&lt;&gt;Impostazioni!$C$4,"Fuori dall'anno",IF(C308="","Manca la categoria",IF(ISNA(MATCH(C308,Categorie!$A$6:$A$65,0)),"Categoria non trovata",IF(G308="","Categoria senza tipo",""))))))))</f>
        <v/>
      </c>
    </row>
    <row r="309">
      <c r="A309" s="29" t="n">
        <v>46254</v>
      </c>
      <c r="B309" s="17" t="inlineStr">
        <is>
          <t>Assegno unico INPS</t>
        </is>
      </c>
      <c r="C309" s="17" t="inlineStr">
        <is>
          <t>Assegno unico figli</t>
        </is>
      </c>
      <c r="D309" s="16" t="n">
        <v>145.3</v>
      </c>
      <c r="E309" s="30" t="inlineStr">
        <is>
          <t>Conto corrente</t>
        </is>
      </c>
      <c r="F309" s="17" t="n"/>
      <c r="G309" s="31">
        <f>IF(C309="","",IFERROR(INDEX(Categorie!$B$6:$B$65,MATCH(C309,Categorie!$A$6:$A$65,0))&amp;"",""))</f>
        <v/>
      </c>
      <c r="H309" s="32">
        <f>IF(AND(A309="",C309="",D309=""),"",IF(D309="","Manca l'importo",IF(NOT(ISNUMBER(D309)),"Importo non valido",IF(NOT(ISNUMBER(A309)),"Data mancante o non valida",IF(YEAR(A309)&lt;&gt;Impostazioni!$C$4,"Fuori dall'anno",IF(C309="","Manca la categoria",IF(ISNA(MATCH(C309,Categorie!$A$6:$A$65,0)),"Categoria non trovata",IF(G309="","Categoria senza tipo",""))))))))</f>
        <v/>
      </c>
    </row>
    <row r="310">
      <c r="A310" s="29" t="n">
        <v>46256</v>
      </c>
      <c r="B310" s="17" t="inlineStr">
        <is>
          <t>Bolletta acqua</t>
        </is>
      </c>
      <c r="C310" s="17" t="inlineStr">
        <is>
          <t>Acqua</t>
        </is>
      </c>
      <c r="D310" s="16" t="n">
        <v>104.6</v>
      </c>
      <c r="E310" s="30" t="inlineStr">
        <is>
          <t>Conto corrente</t>
        </is>
      </c>
      <c r="F310" s="17" t="n"/>
      <c r="G310" s="31">
        <f>IF(C310="","",IFERROR(INDEX(Categorie!$B$6:$B$65,MATCH(C310,Categorie!$A$6:$A$65,0))&amp;"",""))</f>
        <v/>
      </c>
      <c r="H310" s="32">
        <f>IF(AND(A310="",C310="",D310=""),"",IF(D310="","Manca l'importo",IF(NOT(ISNUMBER(D310)),"Importo non valido",IF(NOT(ISNUMBER(A310)),"Data mancante o non valida",IF(YEAR(A310)&lt;&gt;Impostazioni!$C$4,"Fuori dall'anno",IF(C310="","Manca la categoria",IF(ISNA(MATCH(C310,Categorie!$A$6:$A$65,0)),"Categoria non trovata",IF(G310="","Categoria senza tipo",""))))))))</f>
        <v/>
      </c>
    </row>
    <row r="311">
      <c r="A311" s="29" t="n">
        <v>46256</v>
      </c>
      <c r="B311" s="17" t="inlineStr">
        <is>
          <t>Spesa settimanale</t>
        </is>
      </c>
      <c r="C311" s="17" t="inlineStr">
        <is>
          <t>Spesa alimentare</t>
        </is>
      </c>
      <c r="D311" s="16" t="n">
        <v>99.06999999999999</v>
      </c>
      <c r="E311" s="30" t="inlineStr">
        <is>
          <t>Carta di debito</t>
        </is>
      </c>
      <c r="F311" s="17" t="n"/>
      <c r="G311" s="31">
        <f>IF(C311="","",IFERROR(INDEX(Categorie!$B$6:$B$65,MATCH(C311,Categorie!$A$6:$A$65,0))&amp;"",""))</f>
        <v/>
      </c>
      <c r="H311" s="32">
        <f>IF(AND(A311="",C311="",D311=""),"",IF(D311="","Manca l'importo",IF(NOT(ISNUMBER(D311)),"Importo non valido",IF(NOT(ISNUMBER(A311)),"Data mancante o non valida",IF(YEAR(A311)&lt;&gt;Impostazioni!$C$4,"Fuori dall'anno",IF(C311="","Manca la categoria",IF(ISNA(MATCH(C311,Categorie!$A$6:$A$65,0)),"Categoria non trovata",IF(G311="","Categoria senza tipo",""))))))))</f>
        <v/>
      </c>
    </row>
    <row r="312">
      <c r="A312" s="29" t="n">
        <v>46256</v>
      </c>
      <c r="B312" s="17" t="inlineStr">
        <is>
          <t>Gelateria</t>
        </is>
      </c>
      <c r="C312" s="17" t="inlineStr">
        <is>
          <t>Svago</t>
        </is>
      </c>
      <c r="D312" s="16" t="n">
        <v>11.47</v>
      </c>
      <c r="E312" s="30" t="inlineStr">
        <is>
          <t>Carta di debito</t>
        </is>
      </c>
      <c r="F312" s="17" t="n"/>
      <c r="G312" s="31">
        <f>IF(C312="","",IFERROR(INDEX(Categorie!$B$6:$B$65,MATCH(C312,Categorie!$A$6:$A$65,0))&amp;"",""))</f>
        <v/>
      </c>
      <c r="H312" s="32">
        <f>IF(AND(A312="",C312="",D312=""),"",IF(D312="","Manca l'importo",IF(NOT(ISNUMBER(D312)),"Importo non valido",IF(NOT(ISNUMBER(A312)),"Data mancante o non valida",IF(YEAR(A312)&lt;&gt;Impostazioni!$C$4,"Fuori dall'anno",IF(C312="","Manca la categoria",IF(ISNA(MATCH(C312,Categorie!$A$6:$A$65,0)),"Categoria non trovata",IF(G312="","Categoria senza tipo",""))))))))</f>
        <v/>
      </c>
    </row>
    <row r="313">
      <c r="A313" s="29" t="n">
        <v>46260</v>
      </c>
      <c r="B313" s="17" t="inlineStr">
        <is>
          <t>Rifornimento</t>
        </is>
      </c>
      <c r="C313" s="17" t="inlineStr">
        <is>
          <t>Carburante</t>
        </is>
      </c>
      <c r="D313" s="16" t="n">
        <v>62.19</v>
      </c>
      <c r="E313" s="30" t="inlineStr">
        <is>
          <t>Carta di credito</t>
        </is>
      </c>
      <c r="F313" s="17" t="inlineStr">
        <is>
          <t>Giulia</t>
        </is>
      </c>
      <c r="G313" s="31">
        <f>IF(C313="","",IFERROR(INDEX(Categorie!$B$6:$B$65,MATCH(C313,Categorie!$A$6:$A$65,0))&amp;"",""))</f>
        <v/>
      </c>
      <c r="H313" s="32">
        <f>IF(AND(A313="",C313="",D313=""),"",IF(D313="","Manca l'importo",IF(NOT(ISNUMBER(D313)),"Importo non valido",IF(NOT(ISNUMBER(A313)),"Data mancante o non valida",IF(YEAR(A313)&lt;&gt;Impostazioni!$C$4,"Fuori dall'anno",IF(C313="","Manca la categoria",IF(ISNA(MATCH(C313,Categorie!$A$6:$A$65,0)),"Categoria non trovata",IF(G313="","Categoria senza tipo",""))))))))</f>
        <v/>
      </c>
    </row>
    <row r="314">
      <c r="A314" s="29" t="n">
        <v>46261</v>
      </c>
      <c r="B314" s="17" t="inlineStr">
        <is>
          <t>Stipendio</t>
        </is>
      </c>
      <c r="C314" s="17" t="inlineStr">
        <is>
          <t>Stipendio Giulia</t>
        </is>
      </c>
      <c r="D314" s="16" t="n">
        <v>1480</v>
      </c>
      <c r="E314" s="30" t="inlineStr">
        <is>
          <t>Conto corrente</t>
        </is>
      </c>
      <c r="F314" s="17" t="inlineStr">
        <is>
          <t>Giulia</t>
        </is>
      </c>
      <c r="G314" s="31">
        <f>IF(C314="","",IFERROR(INDEX(Categorie!$B$6:$B$65,MATCH(C314,Categorie!$A$6:$A$65,0))&amp;"",""))</f>
        <v/>
      </c>
      <c r="H314" s="32">
        <f>IF(AND(A314="",C314="",D314=""),"",IF(D314="","Manca l'importo",IF(NOT(ISNUMBER(D314)),"Importo non valido",IF(NOT(ISNUMBER(A314)),"Data mancante o non valida",IF(YEAR(A314)&lt;&gt;Impostazioni!$C$4,"Fuori dall'anno",IF(C314="","Manca la categoria",IF(ISNA(MATCH(C314,Categorie!$A$6:$A$65,0)),"Categoria non trovata",IF(G314="","Categoria senza tipo",""))))))))</f>
        <v/>
      </c>
    </row>
    <row r="315">
      <c r="A315" s="29" t="n">
        <v>46261</v>
      </c>
      <c r="B315" s="17" t="inlineStr">
        <is>
          <t>Stipendio</t>
        </is>
      </c>
      <c r="C315" s="17" t="inlineStr">
        <is>
          <t>Stipendio Marco</t>
        </is>
      </c>
      <c r="D315" s="16" t="n">
        <v>1850</v>
      </c>
      <c r="E315" s="30" t="inlineStr">
        <is>
          <t>Conto corrente</t>
        </is>
      </c>
      <c r="F315" s="17" t="inlineStr">
        <is>
          <t>Marco</t>
        </is>
      </c>
      <c r="G315" s="31">
        <f>IF(C315="","",IFERROR(INDEX(Categorie!$B$6:$B$65,MATCH(C315,Categorie!$A$6:$A$65,0))&amp;"",""))</f>
        <v/>
      </c>
      <c r="H315" s="32">
        <f>IF(AND(A315="",C315="",D315=""),"",IF(D315="","Manca l'importo",IF(NOT(ISNUMBER(D315)),"Importo non valido",IF(NOT(ISNUMBER(A315)),"Data mancante o non valida",IF(YEAR(A315)&lt;&gt;Impostazioni!$C$4,"Fuori dall'anno",IF(C315="","Manca la categoria",IF(ISNA(MATCH(C315,Categorie!$A$6:$A$65,0)),"Categoria non trovata",IF(G315="","Categoria senza tipo",""))))))))</f>
        <v/>
      </c>
    </row>
    <row r="316">
      <c r="A316" s="29" t="n">
        <v>46261</v>
      </c>
      <c r="B316" s="17" t="inlineStr">
        <is>
          <t>Parcheggio</t>
        </is>
      </c>
      <c r="C316" s="17" t="inlineStr">
        <is>
          <t>Trasporti</t>
        </is>
      </c>
      <c r="D316" s="16" t="n">
        <v>3.04</v>
      </c>
      <c r="E316" s="30" t="inlineStr">
        <is>
          <t>Contanti</t>
        </is>
      </c>
      <c r="F316" s="17" t="n"/>
      <c r="G316" s="31">
        <f>IF(C316="","",IFERROR(INDEX(Categorie!$B$6:$B$65,MATCH(C316,Categorie!$A$6:$A$65,0))&amp;"",""))</f>
        <v/>
      </c>
      <c r="H316" s="32">
        <f>IF(AND(A316="",C316="",D316=""),"",IF(D316="","Manca l'importo",IF(NOT(ISNUMBER(D316)),"Importo non valido",IF(NOT(ISNUMBER(A316)),"Data mancante o non valida",IF(YEAR(A316)&lt;&gt;Impostazioni!$C$4,"Fuori dall'anno",IF(C316="","Manca la categoria",IF(ISNA(MATCH(C316,Categorie!$A$6:$A$65,0)),"Categoria non trovata",IF(G316="","Categoria senza tipo",""))))))))</f>
        <v/>
      </c>
    </row>
    <row r="317">
      <c r="A317" s="29" t="n">
        <v>46262</v>
      </c>
      <c r="B317" s="17" t="inlineStr">
        <is>
          <t>Versamento fondo emergenze</t>
        </is>
      </c>
      <c r="C317" s="17" t="inlineStr">
        <is>
          <t>Fondo emergenze</t>
        </is>
      </c>
      <c r="D317" s="16" t="n">
        <v>150</v>
      </c>
      <c r="E317" s="30" t="inlineStr">
        <is>
          <t>Conto corrente</t>
        </is>
      </c>
      <c r="F317" s="17" t="n"/>
      <c r="G317" s="31">
        <f>IF(C317="","",IFERROR(INDEX(Categorie!$B$6:$B$65,MATCH(C317,Categorie!$A$6:$A$65,0))&amp;"",""))</f>
        <v/>
      </c>
      <c r="H317" s="32">
        <f>IF(AND(A317="",C317="",D317=""),"",IF(D317="","Manca l'importo",IF(NOT(ISNUMBER(D317)),"Importo non valido",IF(NOT(ISNUMBER(A317)),"Data mancante o non valida",IF(YEAR(A317)&lt;&gt;Impostazioni!$C$4,"Fuori dall'anno",IF(C317="","Manca la categoria",IF(ISNA(MATCH(C317,Categorie!$A$6:$A$65,0)),"Categoria non trovata",IF(G317="","Categoria senza tipo",""))))))))</f>
        <v/>
      </c>
    </row>
    <row r="318">
      <c r="A318" s="29" t="n">
        <v>46262</v>
      </c>
      <c r="B318" s="17" t="inlineStr">
        <is>
          <t>Piano di accumulo mensile</t>
        </is>
      </c>
      <c r="C318" s="17" t="inlineStr">
        <is>
          <t>Investimenti</t>
        </is>
      </c>
      <c r="D318" s="16" t="n">
        <v>100</v>
      </c>
      <c r="E318" s="30" t="inlineStr">
        <is>
          <t>Conto corrente</t>
        </is>
      </c>
      <c r="F318" s="17" t="n"/>
      <c r="G318" s="31">
        <f>IF(C318="","",IFERROR(INDEX(Categorie!$B$6:$B$65,MATCH(C318,Categorie!$A$6:$A$65,0))&amp;"",""))</f>
        <v/>
      </c>
      <c r="H318" s="32">
        <f>IF(AND(A318="",C318="",D318=""),"",IF(D318="","Manca l'importo",IF(NOT(ISNUMBER(D318)),"Importo non valido",IF(NOT(ISNUMBER(A318)),"Data mancante o non valida",IF(YEAR(A318)&lt;&gt;Impostazioni!$C$4,"Fuori dall'anno",IF(C318="","Manca la categoria",IF(ISNA(MATCH(C318,Categorie!$A$6:$A$65,0)),"Categoria non trovata",IF(G318="","Categoria senza tipo",""))))))))</f>
        <v/>
      </c>
    </row>
    <row r="319">
      <c r="A319" s="29" t="n">
        <v>46262</v>
      </c>
      <c r="B319" s="17" t="inlineStr">
        <is>
          <t>Accantonamento obiettivi</t>
        </is>
      </c>
      <c r="C319" s="17" t="inlineStr">
        <is>
          <t>Obiettivi di risparmio</t>
        </is>
      </c>
      <c r="D319" s="16" t="n">
        <v>200</v>
      </c>
      <c r="E319" s="30" t="inlineStr">
        <is>
          <t>Conto corrente</t>
        </is>
      </c>
      <c r="F319" s="17" t="n"/>
      <c r="G319" s="31">
        <f>IF(C319="","",IFERROR(INDEX(Categorie!$B$6:$B$65,MATCH(C319,Categorie!$A$6:$A$65,0))&amp;"",""))</f>
        <v/>
      </c>
      <c r="H319" s="32">
        <f>IF(AND(A319="",C319="",D319=""),"",IF(D319="","Manca l'importo",IF(NOT(ISNUMBER(D319)),"Importo non valido",IF(NOT(ISNUMBER(A319)),"Data mancante o non valida",IF(YEAR(A319)&lt;&gt;Impostazioni!$C$4,"Fuori dall'anno",IF(C319="","Manca la categoria",IF(ISNA(MATCH(C319,Categorie!$A$6:$A$65,0)),"Categoria non trovata",IF(G319="","Categoria senza tipo",""))))))))</f>
        <v/>
      </c>
    </row>
    <row r="320">
      <c r="A320" s="29" t="n">
        <v>46263</v>
      </c>
      <c r="B320" s="17" t="inlineStr">
        <is>
          <t>Spesa settimanale</t>
        </is>
      </c>
      <c r="C320" s="17" t="inlineStr">
        <is>
          <t>Spesa alimentare</t>
        </is>
      </c>
      <c r="D320" s="16" t="n">
        <v>100.84</v>
      </c>
      <c r="E320" s="30" t="inlineStr">
        <is>
          <t>Carta di debito</t>
        </is>
      </c>
      <c r="F320" s="17" t="n"/>
      <c r="G320" s="31">
        <f>IF(C320="","",IFERROR(INDEX(Categorie!$B$6:$B$65,MATCH(C320,Categorie!$A$6:$A$65,0))&amp;"",""))</f>
        <v/>
      </c>
      <c r="H320" s="32">
        <f>IF(AND(A320="",C320="",D320=""),"",IF(D320="","Manca l'importo",IF(NOT(ISNUMBER(D320)),"Importo non valido",IF(NOT(ISNUMBER(A320)),"Data mancante o non valida",IF(YEAR(A320)&lt;&gt;Impostazioni!$C$4,"Fuori dall'anno",IF(C320="","Manca la categoria",IF(ISNA(MATCH(C320,Categorie!$A$6:$A$65,0)),"Categoria non trovata",IF(G320="","Categoria senza tipo",""))))))))</f>
        <v/>
      </c>
    </row>
    <row r="321">
      <c r="A321" s="29" t="n">
        <v>46266</v>
      </c>
      <c r="B321" s="17" t="inlineStr">
        <is>
          <t>Rata mutuo</t>
        </is>
      </c>
      <c r="C321" s="17" t="inlineStr">
        <is>
          <t>Affitto o rata mutuo</t>
        </is>
      </c>
      <c r="D321" s="16" t="n">
        <v>680</v>
      </c>
      <c r="E321" s="30" t="inlineStr">
        <is>
          <t>Conto corrente</t>
        </is>
      </c>
      <c r="F321" s="17" t="n"/>
      <c r="G321" s="31">
        <f>IF(C321="","",IFERROR(INDEX(Categorie!$B$6:$B$65,MATCH(C321,Categorie!$A$6:$A$65,0))&amp;"",""))</f>
        <v/>
      </c>
      <c r="H321" s="32">
        <f>IF(AND(A321="",C321="",D321=""),"",IF(D321="","Manca l'importo",IF(NOT(ISNUMBER(D321)),"Importo non valido",IF(NOT(ISNUMBER(A321)),"Data mancante o non valida",IF(YEAR(A321)&lt;&gt;Impostazioni!$C$4,"Fuori dall'anno",IF(C321="","Manca la categoria",IF(ISNA(MATCH(C321,Categorie!$A$6:$A$65,0)),"Categoria non trovata",IF(G321="","Categoria senza tipo",""))))))))</f>
        <v/>
      </c>
    </row>
    <row r="322">
      <c r="A322" s="29" t="n">
        <v>46267</v>
      </c>
      <c r="B322" s="17" t="inlineStr">
        <is>
          <t>Spesa al mercato</t>
        </is>
      </c>
      <c r="C322" s="17" t="inlineStr">
        <is>
          <t>Spesa alimentare</t>
        </is>
      </c>
      <c r="D322" s="16" t="n">
        <v>33.97</v>
      </c>
      <c r="E322" s="30" t="inlineStr">
        <is>
          <t>Contanti</t>
        </is>
      </c>
      <c r="F322" s="17" t="n"/>
      <c r="G322" s="31">
        <f>IF(C322="","",IFERROR(INDEX(Categorie!$B$6:$B$65,MATCH(C322,Categorie!$A$6:$A$65,0))&amp;"",""))</f>
        <v/>
      </c>
      <c r="H322" s="32">
        <f>IF(AND(A322="",C322="",D322=""),"",IF(D322="","Manca l'importo",IF(NOT(ISNUMBER(D322)),"Importo non valido",IF(NOT(ISNUMBER(A322)),"Data mancante o non valida",IF(YEAR(A322)&lt;&gt;Impostazioni!$C$4,"Fuori dall'anno",IF(C322="","Manca la categoria",IF(ISNA(MATCH(C322,Categorie!$A$6:$A$65,0)),"Categoria non trovata",IF(G322="","Categoria senza tipo",""))))))))</f>
        <v/>
      </c>
    </row>
    <row r="323">
      <c r="A323" s="29" t="n">
        <v>46268</v>
      </c>
      <c r="B323" s="17" t="inlineStr">
        <is>
          <t>Abbonamento bus Sofia</t>
        </is>
      </c>
      <c r="C323" s="17" t="inlineStr">
        <is>
          <t>Trasporti</t>
        </is>
      </c>
      <c r="D323" s="16" t="n">
        <v>25</v>
      </c>
      <c r="E323" s="30" t="inlineStr">
        <is>
          <t>Carta di debito</t>
        </is>
      </c>
      <c r="F323" s="17" t="inlineStr">
        <is>
          <t>Sofia</t>
        </is>
      </c>
      <c r="G323" s="31">
        <f>IF(C323="","",IFERROR(INDEX(Categorie!$B$6:$B$65,MATCH(C323,Categorie!$A$6:$A$65,0))&amp;"",""))</f>
        <v/>
      </c>
      <c r="H323" s="32">
        <f>IF(AND(A323="",C323="",D323=""),"",IF(D323="","Manca l'importo",IF(NOT(ISNUMBER(D323)),"Importo non valido",IF(NOT(ISNUMBER(A323)),"Data mancante o non valida",IF(YEAR(A323)&lt;&gt;Impostazioni!$C$4,"Fuori dall'anno",IF(C323="","Manca la categoria",IF(ISNA(MATCH(C323,Categorie!$A$6:$A$65,0)),"Categoria non trovata",IF(G323="","Categoria senza tipo",""))))))))</f>
        <v/>
      </c>
    </row>
    <row r="324">
      <c r="A324" s="29" t="n">
        <v>46269</v>
      </c>
      <c r="B324" s="17" t="inlineStr">
        <is>
          <t>Rifornimento</t>
        </is>
      </c>
      <c r="C324" s="17" t="inlineStr">
        <is>
          <t>Carburante</t>
        </is>
      </c>
      <c r="D324" s="16" t="n">
        <v>66.34999999999999</v>
      </c>
      <c r="E324" s="30" t="inlineStr">
        <is>
          <t>Carta di credito</t>
        </is>
      </c>
      <c r="F324" s="17" t="inlineStr">
        <is>
          <t>Marco</t>
        </is>
      </c>
      <c r="G324" s="31">
        <f>IF(C324="","",IFERROR(INDEX(Categorie!$B$6:$B$65,MATCH(C324,Categorie!$A$6:$A$65,0))&amp;"",""))</f>
        <v/>
      </c>
      <c r="H324" s="32">
        <f>IF(AND(A324="",C324="",D324=""),"",IF(D324="","Manca l'importo",IF(NOT(ISNUMBER(D324)),"Importo non valido",IF(NOT(ISNUMBER(A324)),"Data mancante o non valida",IF(YEAR(A324)&lt;&gt;Impostazioni!$C$4,"Fuori dall'anno",IF(C324="","Manca la categoria",IF(ISNA(MATCH(C324,Categorie!$A$6:$A$65,0)),"Categoria non trovata",IF(G324="","Categoria senza tipo",""))))))))</f>
        <v/>
      </c>
    </row>
    <row r="325">
      <c r="A325" s="29" t="n">
        <v>46270</v>
      </c>
      <c r="B325" s="17" t="inlineStr">
        <is>
          <t>Fibra casa</t>
        </is>
      </c>
      <c r="C325" s="17" t="inlineStr">
        <is>
          <t>Internet e telefono</t>
        </is>
      </c>
      <c r="D325" s="16" t="n">
        <v>27.9</v>
      </c>
      <c r="E325" s="30" t="inlineStr">
        <is>
          <t>Carta di credito</t>
        </is>
      </c>
      <c r="F325" s="17" t="n"/>
      <c r="G325" s="31">
        <f>IF(C325="","",IFERROR(INDEX(Categorie!$B$6:$B$65,MATCH(C325,Categorie!$A$6:$A$65,0))&amp;"",""))</f>
        <v/>
      </c>
      <c r="H325" s="32">
        <f>IF(AND(A325="",C325="",D325=""),"",IF(D325="","Manca l'importo",IF(NOT(ISNUMBER(D325)),"Importo non valido",IF(NOT(ISNUMBER(A325)),"Data mancante o non valida",IF(YEAR(A325)&lt;&gt;Impostazioni!$C$4,"Fuori dall'anno",IF(C325="","Manca la categoria",IF(ISNA(MATCH(C325,Categorie!$A$6:$A$65,0)),"Categoria non trovata",IF(G325="","Categoria senza tipo",""))))))))</f>
        <v/>
      </c>
    </row>
    <row r="326">
      <c r="A326" s="29" t="n">
        <v>46270</v>
      </c>
      <c r="B326" s="17" t="inlineStr">
        <is>
          <t>Telefono Giulia</t>
        </is>
      </c>
      <c r="C326" s="17" t="inlineStr">
        <is>
          <t>Internet e telefono</t>
        </is>
      </c>
      <c r="D326" s="16" t="n">
        <v>7.99</v>
      </c>
      <c r="E326" s="30" t="inlineStr">
        <is>
          <t>Carta di credito</t>
        </is>
      </c>
      <c r="F326" s="17" t="inlineStr">
        <is>
          <t>Giulia</t>
        </is>
      </c>
      <c r="G326" s="31">
        <f>IF(C326="","",IFERROR(INDEX(Categorie!$B$6:$B$65,MATCH(C326,Categorie!$A$6:$A$65,0))&amp;"",""))</f>
        <v/>
      </c>
      <c r="H326" s="32">
        <f>IF(AND(A326="",C326="",D326=""),"",IF(D326="","Manca l'importo",IF(NOT(ISNUMBER(D326)),"Importo non valido",IF(NOT(ISNUMBER(A326)),"Data mancante o non valida",IF(YEAR(A326)&lt;&gt;Impostazioni!$C$4,"Fuori dall'anno",IF(C326="","Manca la categoria",IF(ISNA(MATCH(C326,Categorie!$A$6:$A$65,0)),"Categoria non trovata",IF(G326="","Categoria senza tipo",""))))))))</f>
        <v/>
      </c>
    </row>
    <row r="327">
      <c r="A327" s="29" t="n">
        <v>46270</v>
      </c>
      <c r="B327" s="17" t="inlineStr">
        <is>
          <t>Telefono Marco</t>
        </is>
      </c>
      <c r="C327" s="17" t="inlineStr">
        <is>
          <t>Internet e telefono</t>
        </is>
      </c>
      <c r="D327" s="16" t="n">
        <v>9.99</v>
      </c>
      <c r="E327" s="30" t="inlineStr">
        <is>
          <t>Carta di credito</t>
        </is>
      </c>
      <c r="F327" s="17" t="inlineStr">
        <is>
          <t>Marco</t>
        </is>
      </c>
      <c r="G327" s="31">
        <f>IF(C327="","",IFERROR(INDEX(Categorie!$B$6:$B$65,MATCH(C327,Categorie!$A$6:$A$65,0))&amp;"",""))</f>
        <v/>
      </c>
      <c r="H327" s="32">
        <f>IF(AND(A327="",C327="",D327=""),"",IF(D327="","Manca l'importo",IF(NOT(ISNUMBER(D327)),"Importo non valido",IF(NOT(ISNUMBER(A327)),"Data mancante o non valida",IF(YEAR(A327)&lt;&gt;Impostazioni!$C$4,"Fuori dall'anno",IF(C327="","Manca la categoria",IF(ISNA(MATCH(C327,Categorie!$A$6:$A$65,0)),"Categoria non trovata",IF(G327="","Categoria senza tipo",""))))))))</f>
        <v/>
      </c>
    </row>
    <row r="328">
      <c r="A328" s="29" t="n">
        <v>46270</v>
      </c>
      <c r="B328" s="17" t="inlineStr">
        <is>
          <t>Libri e materiale scolastico</t>
        </is>
      </c>
      <c r="C328" s="17" t="inlineStr">
        <is>
          <t>Scuola e figli</t>
        </is>
      </c>
      <c r="D328" s="16" t="n">
        <v>238.4</v>
      </c>
      <c r="E328" s="30" t="inlineStr">
        <is>
          <t>Carta di debito</t>
        </is>
      </c>
      <c r="F328" s="17" t="inlineStr">
        <is>
          <t>Sofia</t>
        </is>
      </c>
      <c r="G328" s="31">
        <f>IF(C328="","",IFERROR(INDEX(Categorie!$B$6:$B$65,MATCH(C328,Categorie!$A$6:$A$65,0))&amp;"",""))</f>
        <v/>
      </c>
      <c r="H328" s="32">
        <f>IF(AND(A328="",C328="",D328=""),"",IF(D328="","Manca l'importo",IF(NOT(ISNUMBER(D328)),"Importo non valido",IF(NOT(ISNUMBER(A328)),"Data mancante o non valida",IF(YEAR(A328)&lt;&gt;Impostazioni!$C$4,"Fuori dall'anno",IF(C328="","Manca la categoria",IF(ISNA(MATCH(C328,Categorie!$A$6:$A$65,0)),"Categoria non trovata",IF(G328="","Categoria senza tipo",""))))))))</f>
        <v/>
      </c>
    </row>
    <row r="329">
      <c r="A329" s="29" t="n">
        <v>46270</v>
      </c>
      <c r="B329" s="17" t="inlineStr">
        <is>
          <t>Spesa settimanale</t>
        </is>
      </c>
      <c r="C329" s="17" t="inlineStr">
        <is>
          <t>Spesa alimentare</t>
        </is>
      </c>
      <c r="D329" s="16" t="n">
        <v>90.54000000000001</v>
      </c>
      <c r="E329" s="30" t="inlineStr">
        <is>
          <t>Carta di debito</t>
        </is>
      </c>
      <c r="F329" s="17" t="n"/>
      <c r="G329" s="31">
        <f>IF(C329="","",IFERROR(INDEX(Categorie!$B$6:$B$65,MATCH(C329,Categorie!$A$6:$A$65,0))&amp;"",""))</f>
        <v/>
      </c>
      <c r="H329" s="32">
        <f>IF(AND(A329="",C329="",D329=""),"",IF(D329="","Manca l'importo",IF(NOT(ISNUMBER(D329)),"Importo non valido",IF(NOT(ISNUMBER(A329)),"Data mancante o non valida",IF(YEAR(A329)&lt;&gt;Impostazioni!$C$4,"Fuori dall'anno",IF(C329="","Manca la categoria",IF(ISNA(MATCH(C329,Categorie!$A$6:$A$65,0)),"Categoria non trovata",IF(G329="","Categoria senza tipo",""))))))))</f>
        <v/>
      </c>
    </row>
    <row r="330">
      <c r="A330" s="29" t="n">
        <v>46270</v>
      </c>
      <c r="B330" s="17" t="inlineStr">
        <is>
          <t>Parcheggio</t>
        </is>
      </c>
      <c r="C330" s="17" t="inlineStr">
        <is>
          <t>Trasporti</t>
        </is>
      </c>
      <c r="D330" s="16" t="n">
        <v>5.48</v>
      </c>
      <c r="E330" s="30" t="inlineStr">
        <is>
          <t>Contanti</t>
        </is>
      </c>
      <c r="F330" s="17" t="n"/>
      <c r="G330" s="31">
        <f>IF(C330="","",IFERROR(INDEX(Categorie!$B$6:$B$65,MATCH(C330,Categorie!$A$6:$A$65,0))&amp;"",""))</f>
        <v/>
      </c>
      <c r="H330" s="32">
        <f>IF(AND(A330="",C330="",D330=""),"",IF(D330="","Manca l'importo",IF(NOT(ISNUMBER(D330)),"Importo non valido",IF(NOT(ISNUMBER(A330)),"Data mancante o non valida",IF(YEAR(A330)&lt;&gt;Impostazioni!$C$4,"Fuori dall'anno",IF(C330="","Manca la categoria",IF(ISNA(MATCH(C330,Categorie!$A$6:$A$65,0)),"Categoria non trovata",IF(G330="","Categoria senza tipo",""))))))))</f>
        <v/>
      </c>
    </row>
    <row r="331">
      <c r="A331" s="29" t="n">
        <v>46271</v>
      </c>
      <c r="B331" s="17" t="inlineStr">
        <is>
          <t>Farmacia</t>
        </is>
      </c>
      <c r="C331" s="17" t="inlineStr">
        <is>
          <t>Farmacia e salute</t>
        </is>
      </c>
      <c r="D331" s="16" t="n">
        <v>24.92</v>
      </c>
      <c r="E331" s="30" t="inlineStr">
        <is>
          <t>Carta di debito</t>
        </is>
      </c>
      <c r="F331" s="17" t="n"/>
      <c r="G331" s="31">
        <f>IF(C331="","",IFERROR(INDEX(Categorie!$B$6:$B$65,MATCH(C331,Categorie!$A$6:$A$65,0))&amp;"",""))</f>
        <v/>
      </c>
      <c r="H331" s="32">
        <f>IF(AND(A331="",C331="",D331=""),"",IF(D331="","Manca l'importo",IF(NOT(ISNUMBER(D331)),"Importo non valido",IF(NOT(ISNUMBER(A331)),"Data mancante o non valida",IF(YEAR(A331)&lt;&gt;Impostazioni!$C$4,"Fuori dall'anno",IF(C331="","Manca la categoria",IF(ISNA(MATCH(C331,Categorie!$A$6:$A$65,0)),"Categoria non trovata",IF(G331="","Categoria senza tipo",""))))))))</f>
        <v/>
      </c>
    </row>
    <row r="332">
      <c r="A332" s="29" t="n">
        <v>46272</v>
      </c>
      <c r="B332" s="17" t="inlineStr">
        <is>
          <t>Palestra Giulia (annuale)</t>
        </is>
      </c>
      <c r="C332" s="17" t="inlineStr">
        <is>
          <t>Abbonamenti</t>
        </is>
      </c>
      <c r="D332" s="16" t="n">
        <v>290</v>
      </c>
      <c r="E332" s="30" t="inlineStr">
        <is>
          <t>Carta di debito</t>
        </is>
      </c>
      <c r="F332" s="17" t="inlineStr">
        <is>
          <t>Giulia</t>
        </is>
      </c>
      <c r="G332" s="31">
        <f>IF(C332="","",IFERROR(INDEX(Categorie!$B$6:$B$65,MATCH(C332,Categorie!$A$6:$A$65,0))&amp;"",""))</f>
        <v/>
      </c>
      <c r="H332" s="32">
        <f>IF(AND(A332="",C332="",D332=""),"",IF(D332="","Manca l'importo",IF(NOT(ISNUMBER(D332)),"Importo non valido",IF(NOT(ISNUMBER(A332)),"Data mancante o non valida",IF(YEAR(A332)&lt;&gt;Impostazioni!$C$4,"Fuori dall'anno",IF(C332="","Manca la categoria",IF(ISNA(MATCH(C332,Categorie!$A$6:$A$65,0)),"Categoria non trovata",IF(G332="","Categoria senza tipo",""))))))))</f>
        <v/>
      </c>
    </row>
    <row r="333">
      <c r="A333" s="29" t="n">
        <v>46273</v>
      </c>
      <c r="B333" s="17" t="inlineStr">
        <is>
          <t>Musica in streaming</t>
        </is>
      </c>
      <c r="C333" s="17" t="inlineStr">
        <is>
          <t>Abbonamenti</t>
        </is>
      </c>
      <c r="D333" s="16" t="n">
        <v>10.99</v>
      </c>
      <c r="E333" s="30" t="inlineStr">
        <is>
          <t>Carta di credito</t>
        </is>
      </c>
      <c r="F333" s="17" t="inlineStr">
        <is>
          <t>Giulia</t>
        </is>
      </c>
      <c r="G333" s="31">
        <f>IF(C333="","",IFERROR(INDEX(Categorie!$B$6:$B$65,MATCH(C333,Categorie!$A$6:$A$65,0))&amp;"",""))</f>
        <v/>
      </c>
      <c r="H333" s="32">
        <f>IF(AND(A333="",C333="",D333=""),"",IF(D333="","Manca l'importo",IF(NOT(ISNUMBER(D333)),"Importo non valido",IF(NOT(ISNUMBER(A333)),"Data mancante o non valida",IF(YEAR(A333)&lt;&gt;Impostazioni!$C$4,"Fuori dall'anno",IF(C333="","Manca la categoria",IF(ISNA(MATCH(C333,Categorie!$A$6:$A$65,0)),"Categoria non trovata",IF(G333="","Categoria senza tipo",""))))))))</f>
        <v/>
      </c>
    </row>
    <row r="334">
      <c r="A334" s="29" t="n">
        <v>46273</v>
      </c>
      <c r="B334" s="17" t="inlineStr">
        <is>
          <t>Streaming video</t>
        </is>
      </c>
      <c r="C334" s="17" t="inlineStr">
        <is>
          <t>Abbonamenti</t>
        </is>
      </c>
      <c r="D334" s="16" t="n">
        <v>13.99</v>
      </c>
      <c r="E334" s="30" t="inlineStr">
        <is>
          <t>Carta di credito</t>
        </is>
      </c>
      <c r="F334" s="17" t="n"/>
      <c r="G334" s="31">
        <f>IF(C334="","",IFERROR(INDEX(Categorie!$B$6:$B$65,MATCH(C334,Categorie!$A$6:$A$65,0))&amp;"",""))</f>
        <v/>
      </c>
      <c r="H334" s="32">
        <f>IF(AND(A334="",C334="",D334=""),"",IF(D334="","Manca l'importo",IF(NOT(ISNUMBER(D334)),"Importo non valido",IF(NOT(ISNUMBER(A334)),"Data mancante o non valida",IF(YEAR(A334)&lt;&gt;Impostazioni!$C$4,"Fuori dall'anno",IF(C334="","Manca la categoria",IF(ISNA(MATCH(C334,Categorie!$A$6:$A$65,0)),"Categoria non trovata",IF(G334="","Categoria senza tipo",""))))))))</f>
        <v/>
      </c>
    </row>
    <row r="335">
      <c r="A335" s="29" t="n">
        <v>46274</v>
      </c>
      <c r="B335" s="17" t="inlineStr">
        <is>
          <t>Cena con amici</t>
        </is>
      </c>
      <c r="C335" s="17" t="inlineStr">
        <is>
          <t>Svago</t>
        </is>
      </c>
      <c r="D335" s="16" t="n">
        <v>68.75</v>
      </c>
      <c r="E335" s="30" t="inlineStr">
        <is>
          <t>Carta di debito</t>
        </is>
      </c>
      <c r="F335" s="17" t="n"/>
      <c r="G335" s="31">
        <f>IF(C335="","",IFERROR(INDEX(Categorie!$B$6:$B$65,MATCH(C335,Categorie!$A$6:$A$65,0))&amp;"",""))</f>
        <v/>
      </c>
      <c r="H335" s="32">
        <f>IF(AND(A335="",C335="",D335=""),"",IF(D335="","Manca l'importo",IF(NOT(ISNUMBER(D335)),"Importo non valido",IF(NOT(ISNUMBER(A335)),"Data mancante o non valida",IF(YEAR(A335)&lt;&gt;Impostazioni!$C$4,"Fuori dall'anno",IF(C335="","Manca la categoria",IF(ISNA(MATCH(C335,Categorie!$A$6:$A$65,0)),"Categoria non trovata",IF(G335="","Categoria senza tipo",""))))))))</f>
        <v/>
      </c>
    </row>
    <row r="336">
      <c r="A336" s="29" t="n">
        <v>46277</v>
      </c>
      <c r="B336" s="17" t="inlineStr">
        <is>
          <t>Abbigliamento per la scuola</t>
        </is>
      </c>
      <c r="C336" s="17" t="inlineStr">
        <is>
          <t>Abbigliamento</t>
        </is>
      </c>
      <c r="D336" s="16" t="n">
        <v>128.5</v>
      </c>
      <c r="E336" s="30" t="inlineStr">
        <is>
          <t>Carta di debito</t>
        </is>
      </c>
      <c r="F336" s="17" t="inlineStr">
        <is>
          <t>Sofia</t>
        </is>
      </c>
      <c r="G336" s="31">
        <f>IF(C336="","",IFERROR(INDEX(Categorie!$B$6:$B$65,MATCH(C336,Categorie!$A$6:$A$65,0))&amp;"",""))</f>
        <v/>
      </c>
      <c r="H336" s="32">
        <f>IF(AND(A336="",C336="",D336=""),"",IF(D336="","Manca l'importo",IF(NOT(ISNUMBER(D336)),"Importo non valido",IF(NOT(ISNUMBER(A336)),"Data mancante o non valida",IF(YEAR(A336)&lt;&gt;Impostazioni!$C$4,"Fuori dall'anno",IF(C336="","Manca la categoria",IF(ISNA(MATCH(C336,Categorie!$A$6:$A$65,0)),"Categoria non trovata",IF(G336="","Categoria senza tipo",""))))))))</f>
        <v/>
      </c>
    </row>
    <row r="337">
      <c r="A337" s="29" t="n">
        <v>46277</v>
      </c>
      <c r="B337" s="17" t="inlineStr">
        <is>
          <t>Spesa settimanale</t>
        </is>
      </c>
      <c r="C337" s="17" t="inlineStr">
        <is>
          <t>Spesa alimentare</t>
        </is>
      </c>
      <c r="D337" s="16" t="n">
        <v>119.47</v>
      </c>
      <c r="E337" s="30" t="inlineStr">
        <is>
          <t>Carta di debito</t>
        </is>
      </c>
      <c r="F337" s="17" t="n"/>
      <c r="G337" s="31">
        <f>IF(C337="","",IFERROR(INDEX(Categorie!$B$6:$B$65,MATCH(C337,Categorie!$A$6:$A$65,0))&amp;"",""))</f>
        <v/>
      </c>
      <c r="H337" s="32">
        <f>IF(AND(A337="",C337="",D337=""),"",IF(D337="","Manca l'importo",IF(NOT(ISNUMBER(D337)),"Importo non valido",IF(NOT(ISNUMBER(A337)),"Data mancante o non valida",IF(YEAR(A337)&lt;&gt;Impostazioni!$C$4,"Fuori dall'anno",IF(C337="","Manca la categoria",IF(ISNA(MATCH(C337,Categorie!$A$6:$A$65,0)),"Categoria non trovata",IF(G337="","Categoria senza tipo",""))))))))</f>
        <v/>
      </c>
    </row>
    <row r="338">
      <c r="A338" s="29" t="n">
        <v>46279</v>
      </c>
      <c r="B338" s="17" t="inlineStr">
        <is>
          <t>Corso di nuoto Sofia</t>
        </is>
      </c>
      <c r="C338" s="17" t="inlineStr">
        <is>
          <t>Scuola e figli</t>
        </is>
      </c>
      <c r="D338" s="16" t="n">
        <v>165</v>
      </c>
      <c r="E338" s="30" t="inlineStr">
        <is>
          <t>Carta di debito</t>
        </is>
      </c>
      <c r="F338" s="17" t="inlineStr">
        <is>
          <t>Sofia</t>
        </is>
      </c>
      <c r="G338" s="31">
        <f>IF(C338="","",IFERROR(INDEX(Categorie!$B$6:$B$65,MATCH(C338,Categorie!$A$6:$A$65,0))&amp;"",""))</f>
        <v/>
      </c>
      <c r="H338" s="32">
        <f>IF(AND(A338="",C338="",D338=""),"",IF(D338="","Manca l'importo",IF(NOT(ISNUMBER(D338)),"Importo non valido",IF(NOT(ISNUMBER(A338)),"Data mancante o non valida",IF(YEAR(A338)&lt;&gt;Impostazioni!$C$4,"Fuori dall'anno",IF(C338="","Manca la categoria",IF(ISNA(MATCH(C338,Categorie!$A$6:$A$65,0)),"Categoria non trovata",IF(G338="","Categoria senza tipo",""))))))))</f>
        <v/>
      </c>
    </row>
    <row r="339">
      <c r="A339" s="29" t="n">
        <v>46280</v>
      </c>
      <c r="B339" s="17" t="inlineStr">
        <is>
          <t>Rifornimento</t>
        </is>
      </c>
      <c r="C339" s="17" t="inlineStr">
        <is>
          <t>Carburante</t>
        </is>
      </c>
      <c r="D339" s="16" t="n">
        <v>55.01</v>
      </c>
      <c r="E339" s="30" t="inlineStr">
        <is>
          <t>Carta di credito</t>
        </is>
      </c>
      <c r="F339" s="17" t="inlineStr">
        <is>
          <t>Giulia</t>
        </is>
      </c>
      <c r="G339" s="31">
        <f>IF(C339="","",IFERROR(INDEX(Categorie!$B$6:$B$65,MATCH(C339,Categorie!$A$6:$A$65,0))&amp;"",""))</f>
        <v/>
      </c>
      <c r="H339" s="32">
        <f>IF(AND(A339="",C339="",D339=""),"",IF(D339="","Manca l'importo",IF(NOT(ISNUMBER(D339)),"Importo non valido",IF(NOT(ISNUMBER(A339)),"Data mancante o non valida",IF(YEAR(A339)&lt;&gt;Impostazioni!$C$4,"Fuori dall'anno",IF(C339="","Manca la categoria",IF(ISNA(MATCH(C339,Categorie!$A$6:$A$65,0)),"Categoria non trovata",IF(G339="","Categoria senza tipo",""))))))))</f>
        <v/>
      </c>
    </row>
    <row r="340">
      <c r="A340" s="29" t="n">
        <v>46280</v>
      </c>
      <c r="B340" s="17" t="inlineStr">
        <is>
          <t>Rata carta revolving</t>
        </is>
      </c>
      <c r="C340" s="17" t="inlineStr">
        <is>
          <t>Rate di prestiti</t>
        </is>
      </c>
      <c r="D340" s="16" t="n">
        <v>60</v>
      </c>
      <c r="E340" s="30" t="inlineStr">
        <is>
          <t>Conto corrente</t>
        </is>
      </c>
      <c r="F340" s="17" t="n"/>
      <c r="G340" s="31">
        <f>IF(C340="","",IFERROR(INDEX(Categorie!$B$6:$B$65,MATCH(C340,Categorie!$A$6:$A$65,0))&amp;"",""))</f>
        <v/>
      </c>
      <c r="H340" s="32">
        <f>IF(AND(A340="",C340="",D340=""),"",IF(D340="","Manca l'importo",IF(NOT(ISNUMBER(D340)),"Importo non valido",IF(NOT(ISNUMBER(A340)),"Data mancante o non valida",IF(YEAR(A340)&lt;&gt;Impostazioni!$C$4,"Fuori dall'anno",IF(C340="","Manca la categoria",IF(ISNA(MATCH(C340,Categorie!$A$6:$A$65,0)),"Categoria non trovata",IF(G340="","Categoria senza tipo",""))))))))</f>
        <v/>
      </c>
    </row>
    <row r="341">
      <c r="A341" s="29" t="n">
        <v>46280</v>
      </c>
      <c r="B341" s="17" t="inlineStr">
        <is>
          <t>Rata lavatrice a tasso zero</t>
        </is>
      </c>
      <c r="C341" s="17" t="inlineStr">
        <is>
          <t>Rate di prestiti</t>
        </is>
      </c>
      <c r="D341" s="16" t="n">
        <v>40</v>
      </c>
      <c r="E341" s="30" t="inlineStr">
        <is>
          <t>Conto corrente</t>
        </is>
      </c>
      <c r="F341" s="17" t="n"/>
      <c r="G341" s="31">
        <f>IF(C341="","",IFERROR(INDEX(Categorie!$B$6:$B$65,MATCH(C341,Categorie!$A$6:$A$65,0))&amp;"",""))</f>
        <v/>
      </c>
      <c r="H341" s="32">
        <f>IF(AND(A341="",C341="",D341=""),"",IF(D341="","Manca l'importo",IF(NOT(ISNUMBER(D341)),"Importo non valido",IF(NOT(ISNUMBER(A341)),"Data mancante o non valida",IF(YEAR(A341)&lt;&gt;Impostazioni!$C$4,"Fuori dall'anno",IF(C341="","Manca la categoria",IF(ISNA(MATCH(C341,Categorie!$A$6:$A$65,0)),"Categoria non trovata",IF(G341="","Categoria senza tipo",""))))))))</f>
        <v/>
      </c>
    </row>
    <row r="342">
      <c r="A342" s="29" t="n">
        <v>46280</v>
      </c>
      <c r="B342" s="17" t="inlineStr">
        <is>
          <t>Rata prestito auto</t>
        </is>
      </c>
      <c r="C342" s="17" t="inlineStr">
        <is>
          <t>Rate di prestiti</t>
        </is>
      </c>
      <c r="D342" s="16" t="n">
        <v>210</v>
      </c>
      <c r="E342" s="30" t="inlineStr">
        <is>
          <t>Conto corrente</t>
        </is>
      </c>
      <c r="F342" s="17" t="n"/>
      <c r="G342" s="31">
        <f>IF(C342="","",IFERROR(INDEX(Categorie!$B$6:$B$65,MATCH(C342,Categorie!$A$6:$A$65,0))&amp;"",""))</f>
        <v/>
      </c>
      <c r="H342" s="32">
        <f>IF(AND(A342="",C342="",D342=""),"",IF(D342="","Manca l'importo",IF(NOT(ISNUMBER(D342)),"Importo non valido",IF(NOT(ISNUMBER(A342)),"Data mancante o non valida",IF(YEAR(A342)&lt;&gt;Impostazioni!$C$4,"Fuori dall'anno",IF(C342="","Manca la categoria",IF(ISNA(MATCH(C342,Categorie!$A$6:$A$65,0)),"Categoria non trovata",IF(G342="","Categoria senza tipo",""))))))))</f>
        <v/>
      </c>
    </row>
    <row r="343">
      <c r="A343" s="29" t="n">
        <v>46281</v>
      </c>
      <c r="B343" s="17" t="inlineStr">
        <is>
          <t>Spesa al mercato</t>
        </is>
      </c>
      <c r="C343" s="17" t="inlineStr">
        <is>
          <t>Spesa alimentare</t>
        </is>
      </c>
      <c r="D343" s="16" t="n">
        <v>35.33</v>
      </c>
      <c r="E343" s="30" t="inlineStr">
        <is>
          <t>Contanti</t>
        </is>
      </c>
      <c r="F343" s="17" t="n"/>
      <c r="G343" s="31">
        <f>IF(C343="","",IFERROR(INDEX(Categorie!$B$6:$B$65,MATCH(C343,Categorie!$A$6:$A$65,0))&amp;"",""))</f>
        <v/>
      </c>
      <c r="H343" s="32">
        <f>IF(AND(A343="",C343="",D343=""),"",IF(D343="","Manca l'importo",IF(NOT(ISNUMBER(D343)),"Importo non valido",IF(NOT(ISNUMBER(A343)),"Data mancante o non valida",IF(YEAR(A343)&lt;&gt;Impostazioni!$C$4,"Fuori dall'anno",IF(C343="","Manca la categoria",IF(ISNA(MATCH(C343,Categorie!$A$6:$A$65,0)),"Categoria non trovata",IF(G343="","Categoria senza tipo",""))))))))</f>
        <v/>
      </c>
    </row>
    <row r="344">
      <c r="A344" s="29" t="n">
        <v>46281</v>
      </c>
      <c r="B344" s="17" t="inlineStr">
        <is>
          <t>Parcheggio</t>
        </is>
      </c>
      <c r="C344" s="17" t="inlineStr">
        <is>
          <t>Trasporti</t>
        </is>
      </c>
      <c r="D344" s="16" t="n">
        <v>6</v>
      </c>
      <c r="E344" s="30" t="inlineStr">
        <is>
          <t>Contanti</t>
        </is>
      </c>
      <c r="F344" s="17" t="n"/>
      <c r="G344" s="31">
        <f>IF(C344="","",IFERROR(INDEX(Categorie!$B$6:$B$65,MATCH(C344,Categorie!$A$6:$A$65,0))&amp;"",""))</f>
        <v/>
      </c>
      <c r="H344" s="32">
        <f>IF(AND(A344="",C344="",D344=""),"",IF(D344="","Manca l'importo",IF(NOT(ISNUMBER(D344)),"Importo non valido",IF(NOT(ISNUMBER(A344)),"Data mancante o non valida",IF(YEAR(A344)&lt;&gt;Impostazioni!$C$4,"Fuori dall'anno",IF(C344="","Manca la categoria",IF(ISNA(MATCH(C344,Categorie!$A$6:$A$65,0)),"Categoria non trovata",IF(G344="","Categoria senza tipo",""))))))))</f>
        <v/>
      </c>
    </row>
    <row r="345">
      <c r="A345" s="29" t="n">
        <v>46283</v>
      </c>
      <c r="B345" s="17" t="inlineStr">
        <is>
          <t>Bolletta gas</t>
        </is>
      </c>
      <c r="C345" s="17" t="inlineStr">
        <is>
          <t>Gas</t>
        </is>
      </c>
      <c r="D345" s="16" t="n">
        <v>29.04</v>
      </c>
      <c r="E345" s="30" t="inlineStr">
        <is>
          <t>Conto corrente</t>
        </is>
      </c>
      <c r="F345" s="17" t="n"/>
      <c r="G345" s="31">
        <f>IF(C345="","",IFERROR(INDEX(Categorie!$B$6:$B$65,MATCH(C345,Categorie!$A$6:$A$65,0))&amp;"",""))</f>
        <v/>
      </c>
      <c r="H345" s="32">
        <f>IF(AND(A345="",C345="",D345=""),"",IF(D345="","Manca l'importo",IF(NOT(ISNUMBER(D345)),"Importo non valido",IF(NOT(ISNUMBER(A345)),"Data mancante o non valida",IF(YEAR(A345)&lt;&gt;Impostazioni!$C$4,"Fuori dall'anno",IF(C345="","Manca la categoria",IF(ISNA(MATCH(C345,Categorie!$A$6:$A$65,0)),"Categoria non trovata",IF(G345="","Categoria senza tipo",""))))))))</f>
        <v/>
      </c>
    </row>
    <row r="346">
      <c r="A346" s="29" t="n">
        <v>46283</v>
      </c>
      <c r="B346" s="17" t="inlineStr">
        <is>
          <t>Bolletta luce</t>
        </is>
      </c>
      <c r="C346" s="17" t="inlineStr">
        <is>
          <t>Luce</t>
        </is>
      </c>
      <c r="D346" s="16" t="n">
        <v>69.62</v>
      </c>
      <c r="E346" s="30" t="inlineStr">
        <is>
          <t>Conto corrente</t>
        </is>
      </c>
      <c r="F346" s="17" t="n"/>
      <c r="G346" s="31">
        <f>IF(C346="","",IFERROR(INDEX(Categorie!$B$6:$B$65,MATCH(C346,Categorie!$A$6:$A$65,0))&amp;"",""))</f>
        <v/>
      </c>
      <c r="H346" s="32">
        <f>IF(AND(A346="",C346="",D346=""),"",IF(D346="","Manca l'importo",IF(NOT(ISNUMBER(D346)),"Importo non valido",IF(NOT(ISNUMBER(A346)),"Data mancante o non valida",IF(YEAR(A346)&lt;&gt;Impostazioni!$C$4,"Fuori dall'anno",IF(C346="","Manca la categoria",IF(ISNA(MATCH(C346,Categorie!$A$6:$A$65,0)),"Categoria non trovata",IF(G346="","Categoria senza tipo",""))))))))</f>
        <v/>
      </c>
    </row>
    <row r="347">
      <c r="A347" s="29" t="n">
        <v>46284</v>
      </c>
      <c r="B347" s="17" t="inlineStr">
        <is>
          <t>Spesa settimanale</t>
        </is>
      </c>
      <c r="C347" s="17" t="inlineStr">
        <is>
          <t>Spesa alimentare</t>
        </is>
      </c>
      <c r="D347" s="16" t="n">
        <v>100.38</v>
      </c>
      <c r="E347" s="30" t="inlineStr">
        <is>
          <t>Carta di debito</t>
        </is>
      </c>
      <c r="F347" s="17" t="n"/>
      <c r="G347" s="31">
        <f>IF(C347="","",IFERROR(INDEX(Categorie!$B$6:$B$65,MATCH(C347,Categorie!$A$6:$A$65,0))&amp;"",""))</f>
        <v/>
      </c>
      <c r="H347" s="32">
        <f>IF(AND(A347="",C347="",D347=""),"",IF(D347="","Manca l'importo",IF(NOT(ISNUMBER(D347)),"Importo non valido",IF(NOT(ISNUMBER(A347)),"Data mancante o non valida",IF(YEAR(A347)&lt;&gt;Impostazioni!$C$4,"Fuori dall'anno",IF(C347="","Manca la categoria",IF(ISNA(MATCH(C347,Categorie!$A$6:$A$65,0)),"Categoria non trovata",IF(G347="","Categoria senza tipo",""))))))))</f>
        <v/>
      </c>
    </row>
    <row r="348">
      <c r="A348" s="29" t="n">
        <v>46284</v>
      </c>
      <c r="B348" s="17" t="inlineStr">
        <is>
          <t>Pizzeria</t>
        </is>
      </c>
      <c r="C348" s="17" t="inlineStr">
        <is>
          <t>Svago</t>
        </is>
      </c>
      <c r="D348" s="16" t="n">
        <v>47.58</v>
      </c>
      <c r="E348" s="30" t="inlineStr">
        <is>
          <t>Carta di debito</t>
        </is>
      </c>
      <c r="F348" s="17" t="n"/>
      <c r="G348" s="31">
        <f>IF(C348="","",IFERROR(INDEX(Categorie!$B$6:$B$65,MATCH(C348,Categorie!$A$6:$A$65,0))&amp;"",""))</f>
        <v/>
      </c>
      <c r="H348" s="32">
        <f>IF(AND(A348="",C348="",D348=""),"",IF(D348="","Manca l'importo",IF(NOT(ISNUMBER(D348)),"Importo non valido",IF(NOT(ISNUMBER(A348)),"Data mancante o non valida",IF(YEAR(A348)&lt;&gt;Impostazioni!$C$4,"Fuori dall'anno",IF(C348="","Manca la categoria",IF(ISNA(MATCH(C348,Categorie!$A$6:$A$65,0)),"Categoria non trovata",IF(G348="","Categoria senza tipo",""))))))))</f>
        <v/>
      </c>
    </row>
    <row r="349">
      <c r="A349" s="29" t="n">
        <v>46285</v>
      </c>
      <c r="B349" s="17" t="inlineStr">
        <is>
          <t>Assegno unico INPS</t>
        </is>
      </c>
      <c r="C349" s="17" t="inlineStr">
        <is>
          <t>Assegno unico figli</t>
        </is>
      </c>
      <c r="D349" s="16" t="n">
        <v>145.3</v>
      </c>
      <c r="E349" s="30" t="inlineStr">
        <is>
          <t>Conto corrente</t>
        </is>
      </c>
      <c r="F349" s="17" t="n"/>
      <c r="G349" s="31">
        <f>IF(C349="","",IFERROR(INDEX(Categorie!$B$6:$B$65,MATCH(C349,Categorie!$A$6:$A$65,0))&amp;"",""))</f>
        <v/>
      </c>
      <c r="H349" s="32">
        <f>IF(AND(A349="",C349="",D349=""),"",IF(D349="","Manca l'importo",IF(NOT(ISNUMBER(D349)),"Importo non valido",IF(NOT(ISNUMBER(A349)),"Data mancante o non valida",IF(YEAR(A349)&lt;&gt;Impostazioni!$C$4,"Fuori dall'anno",IF(C349="","Manca la categoria",IF(ISNA(MATCH(C349,Categorie!$A$6:$A$65,0)),"Categoria non trovata",IF(G349="","Categoria senza tipo",""))))))))</f>
        <v/>
      </c>
    </row>
    <row r="350">
      <c r="A350" s="29" t="n">
        <v>46286</v>
      </c>
      <c r="B350" s="17" t="inlineStr">
        <is>
          <t>Bar</t>
        </is>
      </c>
      <c r="C350" s="17" t="inlineStr">
        <is>
          <t>Svago</t>
        </is>
      </c>
      <c r="D350" s="16" t="n">
        <v>8.69</v>
      </c>
      <c r="E350" s="30" t="inlineStr">
        <is>
          <t>Carta di debito</t>
        </is>
      </c>
      <c r="F350" s="17" t="n"/>
      <c r="G350" s="31">
        <f>IF(C350="","",IFERROR(INDEX(Categorie!$B$6:$B$65,MATCH(C350,Categorie!$A$6:$A$65,0))&amp;"",""))</f>
        <v/>
      </c>
      <c r="H350" s="32">
        <f>IF(AND(A350="",C350="",D350=""),"",IF(D350="","Manca l'importo",IF(NOT(ISNUMBER(D350)),"Importo non valido",IF(NOT(ISNUMBER(A350)),"Data mancante o non valida",IF(YEAR(A350)&lt;&gt;Impostazioni!$C$4,"Fuori dall'anno",IF(C350="","Manca la categoria",IF(ISNA(MATCH(C350,Categorie!$A$6:$A$65,0)),"Categoria non trovata",IF(G350="","Categoria senza tipo",""))))))))</f>
        <v/>
      </c>
    </row>
    <row r="351">
      <c r="A351" s="29" t="n">
        <v>46287</v>
      </c>
      <c r="B351" s="17" t="inlineStr">
        <is>
          <t>Mensa scolastica (mezzo mese)</t>
        </is>
      </c>
      <c r="C351" s="17" t="inlineStr">
        <is>
          <t>Scuola e figli</t>
        </is>
      </c>
      <c r="D351" s="16" t="n">
        <v>39</v>
      </c>
      <c r="E351" s="30" t="inlineStr">
        <is>
          <t>Conto corrente</t>
        </is>
      </c>
      <c r="F351" s="17" t="inlineStr">
        <is>
          <t>Sofia</t>
        </is>
      </c>
      <c r="G351" s="31">
        <f>IF(C351="","",IFERROR(INDEX(Categorie!$B$6:$B$65,MATCH(C351,Categorie!$A$6:$A$65,0))&amp;"",""))</f>
        <v/>
      </c>
      <c r="H351" s="32">
        <f>IF(AND(A351="",C351="",D351=""),"",IF(D351="","Manca l'importo",IF(NOT(ISNUMBER(D351)),"Importo non valido",IF(NOT(ISNUMBER(A351)),"Data mancante o non valida",IF(YEAR(A351)&lt;&gt;Impostazioni!$C$4,"Fuori dall'anno",IF(C351="","Manca la categoria",IF(ISNA(MATCH(C351,Categorie!$A$6:$A$65,0)),"Categoria non trovata",IF(G351="","Categoria senza tipo",""))))))))</f>
        <v/>
      </c>
    </row>
    <row r="352">
      <c r="A352" s="29" t="n">
        <v>46289</v>
      </c>
      <c r="B352" s="17" t="inlineStr">
        <is>
          <t>Occhiali Sofia</t>
        </is>
      </c>
      <c r="C352" s="17" t="inlineStr">
        <is>
          <t>Farmacia e salute</t>
        </is>
      </c>
      <c r="D352" s="16" t="n">
        <v>160</v>
      </c>
      <c r="E352" s="30" t="inlineStr">
        <is>
          <t>Carta di debito</t>
        </is>
      </c>
      <c r="F352" s="17" t="inlineStr">
        <is>
          <t>Sofia</t>
        </is>
      </c>
      <c r="G352" s="31">
        <f>IF(C352="","",IFERROR(INDEX(Categorie!$B$6:$B$65,MATCH(C352,Categorie!$A$6:$A$65,0))&amp;"",""))</f>
        <v/>
      </c>
      <c r="H352" s="32">
        <f>IF(AND(A352="",C352="",D352=""),"",IF(D352="","Manca l'importo",IF(NOT(ISNUMBER(D352)),"Importo non valido",IF(NOT(ISNUMBER(A352)),"Data mancante o non valida",IF(YEAR(A352)&lt;&gt;Impostazioni!$C$4,"Fuori dall'anno",IF(C352="","Manca la categoria",IF(ISNA(MATCH(C352,Categorie!$A$6:$A$65,0)),"Categoria non trovata",IF(G352="","Categoria senza tipo",""))))))))</f>
        <v/>
      </c>
    </row>
    <row r="353">
      <c r="A353" s="29" t="n">
        <v>46291</v>
      </c>
      <c r="B353" s="17" t="inlineStr">
        <is>
          <t>Spesa settimanale</t>
        </is>
      </c>
      <c r="C353" s="17" t="inlineStr">
        <is>
          <t>Spesa alimentare</t>
        </is>
      </c>
      <c r="D353" s="16" t="n">
        <v>102.54</v>
      </c>
      <c r="E353" s="30" t="inlineStr">
        <is>
          <t>Carta di debito</t>
        </is>
      </c>
      <c r="F353" s="17" t="n"/>
      <c r="G353" s="31">
        <f>IF(C353="","",IFERROR(INDEX(Categorie!$B$6:$B$65,MATCH(C353,Categorie!$A$6:$A$65,0))&amp;"",""))</f>
        <v/>
      </c>
      <c r="H353" s="32">
        <f>IF(AND(A353="",C353="",D353=""),"",IF(D353="","Manca l'importo",IF(NOT(ISNUMBER(D353)),"Importo non valido",IF(NOT(ISNUMBER(A353)),"Data mancante o non valida",IF(YEAR(A353)&lt;&gt;Impostazioni!$C$4,"Fuori dall'anno",IF(C353="","Manca la categoria",IF(ISNA(MATCH(C353,Categorie!$A$6:$A$65,0)),"Categoria non trovata",IF(G353="","Categoria senza tipo",""))))))))</f>
        <v/>
      </c>
    </row>
    <row r="354">
      <c r="A354" s="29" t="n">
        <v>46292</v>
      </c>
      <c r="B354" s="17" t="inlineStr">
        <is>
          <t>Rifornimento</t>
        </is>
      </c>
      <c r="C354" s="17" t="inlineStr">
        <is>
          <t>Carburante</t>
        </is>
      </c>
      <c r="D354" s="16" t="n">
        <v>54.46</v>
      </c>
      <c r="E354" s="30" t="inlineStr">
        <is>
          <t>Carta di credito</t>
        </is>
      </c>
      <c r="F354" s="17" t="inlineStr">
        <is>
          <t>Marco</t>
        </is>
      </c>
      <c r="G354" s="31">
        <f>IF(C354="","",IFERROR(INDEX(Categorie!$B$6:$B$65,MATCH(C354,Categorie!$A$6:$A$65,0))&amp;"",""))</f>
        <v/>
      </c>
      <c r="H354" s="32">
        <f>IF(AND(A354="",C354="",D354=""),"",IF(D354="","Manca l'importo",IF(NOT(ISNUMBER(D354)),"Importo non valido",IF(NOT(ISNUMBER(A354)),"Data mancante o non valida",IF(YEAR(A354)&lt;&gt;Impostazioni!$C$4,"Fuori dall'anno",IF(C354="","Manca la categoria",IF(ISNA(MATCH(C354,Categorie!$A$6:$A$65,0)),"Categoria non trovata",IF(G354="","Categoria senza tipo",""))))))))</f>
        <v/>
      </c>
    </row>
    <row r="355">
      <c r="A355" s="29" t="n">
        <v>46292</v>
      </c>
      <c r="B355" s="17" t="inlineStr">
        <is>
          <t>Stipendio</t>
        </is>
      </c>
      <c r="C355" s="17" t="inlineStr">
        <is>
          <t>Stipendio Giulia</t>
        </is>
      </c>
      <c r="D355" s="16" t="n">
        <v>1480</v>
      </c>
      <c r="E355" s="30" t="inlineStr">
        <is>
          <t>Conto corrente</t>
        </is>
      </c>
      <c r="F355" s="17" t="inlineStr">
        <is>
          <t>Giulia</t>
        </is>
      </c>
      <c r="G355" s="31">
        <f>IF(C355="","",IFERROR(INDEX(Categorie!$B$6:$B$65,MATCH(C355,Categorie!$A$6:$A$65,0))&amp;"",""))</f>
        <v/>
      </c>
      <c r="H355" s="32">
        <f>IF(AND(A355="",C355="",D355=""),"",IF(D355="","Manca l'importo",IF(NOT(ISNUMBER(D355)),"Importo non valido",IF(NOT(ISNUMBER(A355)),"Data mancante o non valida",IF(YEAR(A355)&lt;&gt;Impostazioni!$C$4,"Fuori dall'anno",IF(C355="","Manca la categoria",IF(ISNA(MATCH(C355,Categorie!$A$6:$A$65,0)),"Categoria non trovata",IF(G355="","Categoria senza tipo",""))))))))</f>
        <v/>
      </c>
    </row>
    <row r="356">
      <c r="A356" s="29" t="n">
        <v>46292</v>
      </c>
      <c r="B356" s="17" t="inlineStr">
        <is>
          <t>Stipendio</t>
        </is>
      </c>
      <c r="C356" s="17" t="inlineStr">
        <is>
          <t>Stipendio Marco</t>
        </is>
      </c>
      <c r="D356" s="16" t="n">
        <v>1850</v>
      </c>
      <c r="E356" s="30" t="inlineStr">
        <is>
          <t>Conto corrente</t>
        </is>
      </c>
      <c r="F356" s="17" t="inlineStr">
        <is>
          <t>Marco</t>
        </is>
      </c>
      <c r="G356" s="31">
        <f>IF(C356="","",IFERROR(INDEX(Categorie!$B$6:$B$65,MATCH(C356,Categorie!$A$6:$A$65,0))&amp;"",""))</f>
        <v/>
      </c>
      <c r="H356" s="32">
        <f>IF(AND(A356="",C356="",D356=""),"",IF(D356="","Manca l'importo",IF(NOT(ISNUMBER(D356)),"Importo non valido",IF(NOT(ISNUMBER(A356)),"Data mancante o non valida",IF(YEAR(A356)&lt;&gt;Impostazioni!$C$4,"Fuori dall'anno",IF(C356="","Manca la categoria",IF(ISNA(MATCH(C356,Categorie!$A$6:$A$65,0)),"Categoria non trovata",IF(G356="","Categoria senza tipo",""))))))))</f>
        <v/>
      </c>
    </row>
    <row r="357">
      <c r="A357" s="29" t="n">
        <v>46293</v>
      </c>
      <c r="B357" s="17" t="inlineStr">
        <is>
          <t>Versamento fondo emergenze</t>
        </is>
      </c>
      <c r="C357" s="17" t="inlineStr">
        <is>
          <t>Fondo emergenze</t>
        </is>
      </c>
      <c r="D357" s="16" t="n">
        <v>150</v>
      </c>
      <c r="E357" s="30" t="inlineStr">
        <is>
          <t>Conto corrente</t>
        </is>
      </c>
      <c r="F357" s="17" t="n"/>
      <c r="G357" s="31">
        <f>IF(C357="","",IFERROR(INDEX(Categorie!$B$6:$B$65,MATCH(C357,Categorie!$A$6:$A$65,0))&amp;"",""))</f>
        <v/>
      </c>
      <c r="H357" s="32">
        <f>IF(AND(A357="",C357="",D357=""),"",IF(D357="","Manca l'importo",IF(NOT(ISNUMBER(D357)),"Importo non valido",IF(NOT(ISNUMBER(A357)),"Data mancante o non valida",IF(YEAR(A357)&lt;&gt;Impostazioni!$C$4,"Fuori dall'anno",IF(C357="","Manca la categoria",IF(ISNA(MATCH(C357,Categorie!$A$6:$A$65,0)),"Categoria non trovata",IF(G357="","Categoria senza tipo",""))))))))</f>
        <v/>
      </c>
    </row>
    <row r="358">
      <c r="A358" s="29" t="n">
        <v>46293</v>
      </c>
      <c r="B358" s="17" t="inlineStr">
        <is>
          <t>Piano di accumulo mensile</t>
        </is>
      </c>
      <c r="C358" s="17" t="inlineStr">
        <is>
          <t>Investimenti</t>
        </is>
      </c>
      <c r="D358" s="16" t="n">
        <v>100</v>
      </c>
      <c r="E358" s="30" t="inlineStr">
        <is>
          <t>Conto corrente</t>
        </is>
      </c>
      <c r="F358" s="17" t="n"/>
      <c r="G358" s="31">
        <f>IF(C358="","",IFERROR(INDEX(Categorie!$B$6:$B$65,MATCH(C358,Categorie!$A$6:$A$65,0))&amp;"",""))</f>
        <v/>
      </c>
      <c r="H358" s="32">
        <f>IF(AND(A358="",C358="",D358=""),"",IF(D358="","Manca l'importo",IF(NOT(ISNUMBER(D358)),"Importo non valido",IF(NOT(ISNUMBER(A358)),"Data mancante o non valida",IF(YEAR(A358)&lt;&gt;Impostazioni!$C$4,"Fuori dall'anno",IF(C358="","Manca la categoria",IF(ISNA(MATCH(C358,Categorie!$A$6:$A$65,0)),"Categoria non trovata",IF(G358="","Categoria senza tipo",""))))))))</f>
        <v/>
      </c>
    </row>
    <row r="359">
      <c r="A359" s="29" t="n">
        <v>46293</v>
      </c>
      <c r="B359" s="17" t="inlineStr">
        <is>
          <t>Accantonamento obiettivi</t>
        </is>
      </c>
      <c r="C359" s="17" t="inlineStr">
        <is>
          <t>Obiettivi di risparmio</t>
        </is>
      </c>
      <c r="D359" s="16" t="n">
        <v>200</v>
      </c>
      <c r="E359" s="30" t="inlineStr">
        <is>
          <t>Conto corrente</t>
        </is>
      </c>
      <c r="F359" s="17" t="n"/>
      <c r="G359" s="31">
        <f>IF(C359="","",IFERROR(INDEX(Categorie!$B$6:$B$65,MATCH(C359,Categorie!$A$6:$A$65,0))&amp;"",""))</f>
        <v/>
      </c>
      <c r="H359" s="32">
        <f>IF(AND(A359="",C359="",D359=""),"",IF(D359="","Manca l'importo",IF(NOT(ISNUMBER(D359)),"Importo non valido",IF(NOT(ISNUMBER(A359)),"Data mancante o non valida",IF(YEAR(A359)&lt;&gt;Impostazioni!$C$4,"Fuori dall'anno",IF(C359="","Manca la categoria",IF(ISNA(MATCH(C359,Categorie!$A$6:$A$65,0)),"Categoria non trovata",IF(G359="","Categoria senza tipo",""))))))))</f>
        <v/>
      </c>
    </row>
    <row r="360">
      <c r="A360" s="29" t="n">
        <v>46295</v>
      </c>
      <c r="B360" s="17" t="inlineStr">
        <is>
          <t>Spesa al mercato</t>
        </is>
      </c>
      <c r="C360" s="17" t="inlineStr">
        <is>
          <t>Spesa alimentare</t>
        </is>
      </c>
      <c r="D360" s="16" t="n">
        <v>32</v>
      </c>
      <c r="E360" s="30" t="inlineStr">
        <is>
          <t>Contanti</t>
        </is>
      </c>
      <c r="F360" s="17" t="n"/>
      <c r="G360" s="31">
        <f>IF(C360="","",IFERROR(INDEX(Categorie!$B$6:$B$65,MATCH(C360,Categorie!$A$6:$A$65,0))&amp;"",""))</f>
        <v/>
      </c>
      <c r="H360" s="32">
        <f>IF(AND(A360="",C360="",D360=""),"",IF(D360="","Manca l'importo",IF(NOT(ISNUMBER(D360)),"Importo non valido",IF(NOT(ISNUMBER(A360)),"Data mancante o non valida",IF(YEAR(A360)&lt;&gt;Impostazioni!$C$4,"Fuori dall'anno",IF(C360="","Manca la categoria",IF(ISNA(MATCH(C360,Categorie!$A$6:$A$65,0)),"Categoria non trovata",IF(G360="","Categoria senza tipo",""))))))))</f>
        <v/>
      </c>
    </row>
    <row r="361">
      <c r="A361" s="29" t="n">
        <v>46296</v>
      </c>
      <c r="B361" s="17" t="inlineStr">
        <is>
          <t>Rata mutuo</t>
        </is>
      </c>
      <c r="C361" s="17" t="inlineStr">
        <is>
          <t>Affitto o rata mutuo</t>
        </is>
      </c>
      <c r="D361" s="16" t="n">
        <v>680</v>
      </c>
      <c r="E361" s="30" t="inlineStr">
        <is>
          <t>Conto corrente</t>
        </is>
      </c>
      <c r="F361" s="17" t="n"/>
      <c r="G361" s="31">
        <f>IF(C361="","",IFERROR(INDEX(Categorie!$B$6:$B$65,MATCH(C361,Categorie!$A$6:$A$65,0))&amp;"",""))</f>
        <v/>
      </c>
      <c r="H361" s="32">
        <f>IF(AND(A361="",C361="",D361=""),"",IF(D361="","Manca l'importo",IF(NOT(ISNUMBER(D361)),"Importo non valido",IF(NOT(ISNUMBER(A361)),"Data mancante o non valida",IF(YEAR(A361)&lt;&gt;Impostazioni!$C$4,"Fuori dall'anno",IF(C361="","Manca la categoria",IF(ISNA(MATCH(C361,Categorie!$A$6:$A$65,0)),"Categoria non trovata",IF(G361="","Categoria senza tipo",""))))))))</f>
        <v/>
      </c>
    </row>
    <row r="362">
      <c r="A362" s="29" t="n">
        <v>46298</v>
      </c>
      <c r="B362" s="17" t="inlineStr">
        <is>
          <t>Regalo di nozze amici</t>
        </is>
      </c>
      <c r="C362" s="17" t="inlineStr">
        <is>
          <t>Regali</t>
        </is>
      </c>
      <c r="D362" s="16" t="n">
        <v>150</v>
      </c>
      <c r="E362" s="30" t="inlineStr">
        <is>
          <t>Conto corrente</t>
        </is>
      </c>
      <c r="F362" s="17" t="n"/>
      <c r="G362" s="31">
        <f>IF(C362="","",IFERROR(INDEX(Categorie!$B$6:$B$65,MATCH(C362,Categorie!$A$6:$A$65,0))&amp;"",""))</f>
        <v/>
      </c>
      <c r="H362" s="32">
        <f>IF(AND(A362="",C362="",D362=""),"",IF(D362="","Manca l'importo",IF(NOT(ISNUMBER(D362)),"Importo non valido",IF(NOT(ISNUMBER(A362)),"Data mancante o non valida",IF(YEAR(A362)&lt;&gt;Impostazioni!$C$4,"Fuori dall'anno",IF(C362="","Manca la categoria",IF(ISNA(MATCH(C362,Categorie!$A$6:$A$65,0)),"Categoria non trovata",IF(G362="","Categoria senza tipo",""))))))))</f>
        <v/>
      </c>
    </row>
    <row r="363">
      <c r="A363" s="29" t="n">
        <v>46298</v>
      </c>
      <c r="B363" s="17" t="inlineStr">
        <is>
          <t>Spesa settimanale</t>
        </is>
      </c>
      <c r="C363" s="17" t="inlineStr">
        <is>
          <t>Spesa alimentare</t>
        </is>
      </c>
      <c r="D363" s="16" t="n">
        <v>121.84</v>
      </c>
      <c r="E363" s="30" t="inlineStr">
        <is>
          <t>Carta di debito</t>
        </is>
      </c>
      <c r="F363" s="17" t="n"/>
      <c r="G363" s="31">
        <f>IF(C363="","",IFERROR(INDEX(Categorie!$B$6:$B$65,MATCH(C363,Categorie!$A$6:$A$65,0))&amp;"",""))</f>
        <v/>
      </c>
      <c r="H363" s="32">
        <f>IF(AND(A363="",C363="",D363=""),"",IF(D363="","Manca l'importo",IF(NOT(ISNUMBER(D363)),"Importo non valido",IF(NOT(ISNUMBER(A363)),"Data mancante o non valida",IF(YEAR(A363)&lt;&gt;Impostazioni!$C$4,"Fuori dall'anno",IF(C363="","Manca la categoria",IF(ISNA(MATCH(C363,Categorie!$A$6:$A$65,0)),"Categoria non trovata",IF(G363="","Categoria senza tipo",""))))))))</f>
        <v/>
      </c>
    </row>
    <row r="364">
      <c r="A364" s="29" t="n">
        <v>46298</v>
      </c>
      <c r="B364" s="17" t="inlineStr">
        <is>
          <t>Abbonamento bus Sofia</t>
        </is>
      </c>
      <c r="C364" s="17" t="inlineStr">
        <is>
          <t>Trasporti</t>
        </is>
      </c>
      <c r="D364" s="16" t="n">
        <v>25</v>
      </c>
      <c r="E364" s="30" t="inlineStr">
        <is>
          <t>Carta di debito</t>
        </is>
      </c>
      <c r="F364" s="17" t="inlineStr">
        <is>
          <t>Sofia</t>
        </is>
      </c>
      <c r="G364" s="31">
        <f>IF(C364="","",IFERROR(INDEX(Categorie!$B$6:$B$65,MATCH(C364,Categorie!$A$6:$A$65,0))&amp;"",""))</f>
        <v/>
      </c>
      <c r="H364" s="32">
        <f>IF(AND(A364="",C364="",D364=""),"",IF(D364="","Manca l'importo",IF(NOT(ISNUMBER(D364)),"Importo non valido",IF(NOT(ISNUMBER(A364)),"Data mancante o non valida",IF(YEAR(A364)&lt;&gt;Impostazioni!$C$4,"Fuori dall'anno",IF(C364="","Manca la categoria",IF(ISNA(MATCH(C364,Categorie!$A$6:$A$65,0)),"Categoria non trovata",IF(G364="","Categoria senza tipo",""))))))))</f>
        <v/>
      </c>
    </row>
    <row r="365">
      <c r="A365" s="29" t="n">
        <v>46299</v>
      </c>
      <c r="B365" s="17" t="inlineStr">
        <is>
          <t>Mensa scolastica</t>
        </is>
      </c>
      <c r="C365" s="17" t="inlineStr">
        <is>
          <t>Scuola e figli</t>
        </is>
      </c>
      <c r="D365" s="16" t="n">
        <v>78</v>
      </c>
      <c r="E365" s="30" t="inlineStr">
        <is>
          <t>Conto corrente</t>
        </is>
      </c>
      <c r="F365" s="17" t="inlineStr">
        <is>
          <t>Sofia</t>
        </is>
      </c>
      <c r="G365" s="31">
        <f>IF(C365="","",IFERROR(INDEX(Categorie!$B$6:$B$65,MATCH(C365,Categorie!$A$6:$A$65,0))&amp;"",""))</f>
        <v/>
      </c>
      <c r="H365" s="32">
        <f>IF(AND(A365="",C365="",D365=""),"",IF(D365="","Manca l'importo",IF(NOT(ISNUMBER(D365)),"Importo non valido",IF(NOT(ISNUMBER(A365)),"Data mancante o non valida",IF(YEAR(A365)&lt;&gt;Impostazioni!$C$4,"Fuori dall'anno",IF(C365="","Manca la categoria",IF(ISNA(MATCH(C365,Categorie!$A$6:$A$65,0)),"Categoria non trovata",IF(G365="","Categoria senza tipo",""))))))))</f>
        <v/>
      </c>
    </row>
    <row r="366">
      <c r="A366" s="29" t="n">
        <v>46300</v>
      </c>
      <c r="B366" s="17" t="inlineStr">
        <is>
          <t>Fibra casa</t>
        </is>
      </c>
      <c r="C366" s="17" t="inlineStr">
        <is>
          <t>Internet e telefono</t>
        </is>
      </c>
      <c r="D366" s="16" t="n">
        <v>27.9</v>
      </c>
      <c r="E366" s="30" t="inlineStr">
        <is>
          <t>Carta di credito</t>
        </is>
      </c>
      <c r="F366" s="17" t="n"/>
      <c r="G366" s="31">
        <f>IF(C366="","",IFERROR(INDEX(Categorie!$B$6:$B$65,MATCH(C366,Categorie!$A$6:$A$65,0))&amp;"",""))</f>
        <v/>
      </c>
      <c r="H366" s="32">
        <f>IF(AND(A366="",C366="",D366=""),"",IF(D366="","Manca l'importo",IF(NOT(ISNUMBER(D366)),"Importo non valido",IF(NOT(ISNUMBER(A366)),"Data mancante o non valida",IF(YEAR(A366)&lt;&gt;Impostazioni!$C$4,"Fuori dall'anno",IF(C366="","Manca la categoria",IF(ISNA(MATCH(C366,Categorie!$A$6:$A$65,0)),"Categoria non trovata",IF(G366="","Categoria senza tipo",""))))))))</f>
        <v/>
      </c>
    </row>
    <row r="367">
      <c r="A367" s="29" t="n">
        <v>46300</v>
      </c>
      <c r="B367" s="17" t="inlineStr">
        <is>
          <t>Telefono Giulia</t>
        </is>
      </c>
      <c r="C367" s="17" t="inlineStr">
        <is>
          <t>Internet e telefono</t>
        </is>
      </c>
      <c r="D367" s="16" t="n">
        <v>7.99</v>
      </c>
      <c r="E367" s="30" t="inlineStr">
        <is>
          <t>Carta di credito</t>
        </is>
      </c>
      <c r="F367" s="17" t="inlineStr">
        <is>
          <t>Giulia</t>
        </is>
      </c>
      <c r="G367" s="31">
        <f>IF(C367="","",IFERROR(INDEX(Categorie!$B$6:$B$65,MATCH(C367,Categorie!$A$6:$A$65,0))&amp;"",""))</f>
        <v/>
      </c>
      <c r="H367" s="32">
        <f>IF(AND(A367="",C367="",D367=""),"",IF(D367="","Manca l'importo",IF(NOT(ISNUMBER(D367)),"Importo non valido",IF(NOT(ISNUMBER(A367)),"Data mancante o non valida",IF(YEAR(A367)&lt;&gt;Impostazioni!$C$4,"Fuori dall'anno",IF(C367="","Manca la categoria",IF(ISNA(MATCH(C367,Categorie!$A$6:$A$65,0)),"Categoria non trovata",IF(G367="","Categoria senza tipo",""))))))))</f>
        <v/>
      </c>
    </row>
    <row r="368">
      <c r="A368" s="29" t="n">
        <v>46300</v>
      </c>
      <c r="B368" s="17" t="inlineStr">
        <is>
          <t>Telefono Marco</t>
        </is>
      </c>
      <c r="C368" s="17" t="inlineStr">
        <is>
          <t>Internet e telefono</t>
        </is>
      </c>
      <c r="D368" s="16" t="n">
        <v>9.99</v>
      </c>
      <c r="E368" s="30" t="inlineStr">
        <is>
          <t>Carta di credito</t>
        </is>
      </c>
      <c r="F368" s="17" t="inlineStr">
        <is>
          <t>Marco</t>
        </is>
      </c>
      <c r="G368" s="31">
        <f>IF(C368="","",IFERROR(INDEX(Categorie!$B$6:$B$65,MATCH(C368,Categorie!$A$6:$A$65,0))&amp;"",""))</f>
        <v/>
      </c>
      <c r="H368" s="32">
        <f>IF(AND(A368="",C368="",D368=""),"",IF(D368="","Manca l'importo",IF(NOT(ISNUMBER(D368)),"Importo non valido",IF(NOT(ISNUMBER(A368)),"Data mancante o non valida",IF(YEAR(A368)&lt;&gt;Impostazioni!$C$4,"Fuori dall'anno",IF(C368="","Manca la categoria",IF(ISNA(MATCH(C368,Categorie!$A$6:$A$65,0)),"Categoria non trovata",IF(G368="","Categoria senza tipo",""))))))))</f>
        <v/>
      </c>
    </row>
    <row r="369">
      <c r="A369" s="29" t="n">
        <v>46301</v>
      </c>
      <c r="B369" s="17" t="inlineStr">
        <is>
          <t>Rifornimento</t>
        </is>
      </c>
      <c r="C369" s="17" t="inlineStr">
        <is>
          <t>Carburante</t>
        </is>
      </c>
      <c r="D369" s="16" t="n">
        <v>67.20999999999999</v>
      </c>
      <c r="E369" s="30" t="inlineStr">
        <is>
          <t>Carta di credito</t>
        </is>
      </c>
      <c r="F369" s="17" t="inlineStr">
        <is>
          <t>Giulia</t>
        </is>
      </c>
      <c r="G369" s="31">
        <f>IF(C369="","",IFERROR(INDEX(Categorie!$B$6:$B$65,MATCH(C369,Categorie!$A$6:$A$65,0))&amp;"",""))</f>
        <v/>
      </c>
      <c r="H369" s="32">
        <f>IF(AND(A369="",C369="",D369=""),"",IF(D369="","Manca l'importo",IF(NOT(ISNUMBER(D369)),"Importo non valido",IF(NOT(ISNUMBER(A369)),"Data mancante o non valida",IF(YEAR(A369)&lt;&gt;Impostazioni!$C$4,"Fuori dall'anno",IF(C369="","Manca la categoria",IF(ISNA(MATCH(C369,Categorie!$A$6:$A$65,0)),"Categoria non trovata",IF(G369="","Categoria senza tipo",""))))))))</f>
        <v/>
      </c>
    </row>
    <row r="370">
      <c r="A370" s="29" t="n">
        <v>46301</v>
      </c>
      <c r="B370" s="17" t="inlineStr">
        <is>
          <t>Pizzeria</t>
        </is>
      </c>
      <c r="C370" s="17" t="inlineStr">
        <is>
          <t>Svago</t>
        </is>
      </c>
      <c r="D370" s="16" t="n">
        <v>53.5</v>
      </c>
      <c r="E370" s="30" t="inlineStr">
        <is>
          <t>Carta di debito</t>
        </is>
      </c>
      <c r="F370" s="17" t="n"/>
      <c r="G370" s="31">
        <f>IF(C370="","",IFERROR(INDEX(Categorie!$B$6:$B$65,MATCH(C370,Categorie!$A$6:$A$65,0))&amp;"",""))</f>
        <v/>
      </c>
      <c r="H370" s="32">
        <f>IF(AND(A370="",C370="",D370=""),"",IF(D370="","Manca l'importo",IF(NOT(ISNUMBER(D370)),"Importo non valido",IF(NOT(ISNUMBER(A370)),"Data mancante o non valida",IF(YEAR(A370)&lt;&gt;Impostazioni!$C$4,"Fuori dall'anno",IF(C370="","Manca la categoria",IF(ISNA(MATCH(C370,Categorie!$A$6:$A$65,0)),"Categoria non trovata",IF(G370="","Categoria senza tipo",""))))))))</f>
        <v/>
      </c>
    </row>
    <row r="371">
      <c r="A371" s="29" t="n">
        <v>46303</v>
      </c>
      <c r="B371" s="17" t="inlineStr">
        <is>
          <t>Musica in streaming</t>
        </is>
      </c>
      <c r="C371" s="17" t="inlineStr">
        <is>
          <t>Abbonamenti</t>
        </is>
      </c>
      <c r="D371" s="16" t="n">
        <v>10.99</v>
      </c>
      <c r="E371" s="30" t="inlineStr">
        <is>
          <t>Carta di credito</t>
        </is>
      </c>
      <c r="F371" s="17" t="inlineStr">
        <is>
          <t>Giulia</t>
        </is>
      </c>
      <c r="G371" s="31">
        <f>IF(C371="","",IFERROR(INDEX(Categorie!$B$6:$B$65,MATCH(C371,Categorie!$A$6:$A$65,0))&amp;"",""))</f>
        <v/>
      </c>
      <c r="H371" s="32">
        <f>IF(AND(A371="",C371="",D371=""),"",IF(D371="","Manca l'importo",IF(NOT(ISNUMBER(D371)),"Importo non valido",IF(NOT(ISNUMBER(A371)),"Data mancante o non valida",IF(YEAR(A371)&lt;&gt;Impostazioni!$C$4,"Fuori dall'anno",IF(C371="","Manca la categoria",IF(ISNA(MATCH(C371,Categorie!$A$6:$A$65,0)),"Categoria non trovata",IF(G371="","Categoria senza tipo",""))))))))</f>
        <v/>
      </c>
    </row>
    <row r="372">
      <c r="A372" s="29" t="n">
        <v>46303</v>
      </c>
      <c r="B372" s="17" t="inlineStr">
        <is>
          <t>Streaming video</t>
        </is>
      </c>
      <c r="C372" s="17" t="inlineStr">
        <is>
          <t>Abbonamenti</t>
        </is>
      </c>
      <c r="D372" s="16" t="n">
        <v>13.99</v>
      </c>
      <c r="E372" s="30" t="inlineStr">
        <is>
          <t>Carta di credito</t>
        </is>
      </c>
      <c r="F372" s="17" t="n"/>
      <c r="G372" s="31">
        <f>IF(C372="","",IFERROR(INDEX(Categorie!$B$6:$B$65,MATCH(C372,Categorie!$A$6:$A$65,0))&amp;"",""))</f>
        <v/>
      </c>
      <c r="H372" s="32">
        <f>IF(AND(A372="",C372="",D372=""),"",IF(D372="","Manca l'importo",IF(NOT(ISNUMBER(D372)),"Importo non valido",IF(NOT(ISNUMBER(A372)),"Data mancante o non valida",IF(YEAR(A372)&lt;&gt;Impostazioni!$C$4,"Fuori dall'anno",IF(C372="","Manca la categoria",IF(ISNA(MATCH(C372,Categorie!$A$6:$A$65,0)),"Categoria non trovata",IF(G372="","Categoria senza tipo",""))))))))</f>
        <v/>
      </c>
    </row>
    <row r="373">
      <c r="A373" s="29" t="n">
        <v>46305</v>
      </c>
      <c r="B373" s="17" t="inlineStr">
        <is>
          <t>Rata condominio trimestrale</t>
        </is>
      </c>
      <c r="C373" s="17" t="inlineStr">
        <is>
          <t>Condominio</t>
        </is>
      </c>
      <c r="D373" s="16" t="n">
        <v>270</v>
      </c>
      <c r="E373" s="30" t="inlineStr">
        <is>
          <t>Conto corrente</t>
        </is>
      </c>
      <c r="F373" s="17" t="n"/>
      <c r="G373" s="31">
        <f>IF(C373="","",IFERROR(INDEX(Categorie!$B$6:$B$65,MATCH(C373,Categorie!$A$6:$A$65,0))&amp;"",""))</f>
        <v/>
      </c>
      <c r="H373" s="32">
        <f>IF(AND(A373="",C373="",D373=""),"",IF(D373="","Manca l'importo",IF(NOT(ISNUMBER(D373)),"Importo non valido",IF(NOT(ISNUMBER(A373)),"Data mancante o non valida",IF(YEAR(A373)&lt;&gt;Impostazioni!$C$4,"Fuori dall'anno",IF(C373="","Manca la categoria",IF(ISNA(MATCH(C373,Categorie!$A$6:$A$65,0)),"Categoria non trovata",IF(G373="","Categoria senza tipo",""))))))))</f>
        <v/>
      </c>
    </row>
    <row r="374">
      <c r="A374" s="29" t="n">
        <v>46305</v>
      </c>
      <c r="B374" s="17" t="inlineStr">
        <is>
          <t>Spesa settimanale</t>
        </is>
      </c>
      <c r="C374" s="17" t="inlineStr">
        <is>
          <t>Spesa alimentare</t>
        </is>
      </c>
      <c r="D374" s="16" t="n">
        <v>128.3</v>
      </c>
      <c r="E374" s="30" t="inlineStr">
        <is>
          <t>Carta di debito</t>
        </is>
      </c>
      <c r="F374" s="17" t="n"/>
      <c r="G374" s="31">
        <f>IF(C374="","",IFERROR(INDEX(Categorie!$B$6:$B$65,MATCH(C374,Categorie!$A$6:$A$65,0))&amp;"",""))</f>
        <v/>
      </c>
      <c r="H374" s="32">
        <f>IF(AND(A374="",C374="",D374=""),"",IF(D374="","Manca l'importo",IF(NOT(ISNUMBER(D374)),"Importo non valido",IF(NOT(ISNUMBER(A374)),"Data mancante o non valida",IF(YEAR(A374)&lt;&gt;Impostazioni!$C$4,"Fuori dall'anno",IF(C374="","Manca la categoria",IF(ISNA(MATCH(C374,Categorie!$A$6:$A$65,0)),"Categoria non trovata",IF(G374="","Categoria senza tipo",""))))))))</f>
        <v/>
      </c>
    </row>
    <row r="375">
      <c r="A375" s="29" t="n">
        <v>46309</v>
      </c>
      <c r="B375" s="17" t="inlineStr">
        <is>
          <t>Spesa al mercato</t>
        </is>
      </c>
      <c r="C375" s="17" t="inlineStr">
        <is>
          <t>Spesa alimentare</t>
        </is>
      </c>
      <c r="D375" s="16" t="n">
        <v>22.53</v>
      </c>
      <c r="E375" s="30" t="inlineStr">
        <is>
          <t>Contanti</t>
        </is>
      </c>
      <c r="F375" s="17" t="n"/>
      <c r="G375" s="31">
        <f>IF(C375="","",IFERROR(INDEX(Categorie!$B$6:$B$65,MATCH(C375,Categorie!$A$6:$A$65,0))&amp;"",""))</f>
        <v/>
      </c>
      <c r="H375" s="32">
        <f>IF(AND(A375="",C375="",D375=""),"",IF(D375="","Manca l'importo",IF(NOT(ISNUMBER(D375)),"Importo non valido",IF(NOT(ISNUMBER(A375)),"Data mancante o non valida",IF(YEAR(A375)&lt;&gt;Impostazioni!$C$4,"Fuori dall'anno",IF(C375="","Manca la categoria",IF(ISNA(MATCH(C375,Categorie!$A$6:$A$65,0)),"Categoria non trovata",IF(G375="","Categoria senza tipo",""))))))))</f>
        <v/>
      </c>
    </row>
    <row r="376">
      <c r="A376" s="29" t="n">
        <v>46310</v>
      </c>
      <c r="B376" s="17" t="inlineStr">
        <is>
          <t>Rata carta revolving</t>
        </is>
      </c>
      <c r="C376" s="17" t="inlineStr">
        <is>
          <t>Rate di prestiti</t>
        </is>
      </c>
      <c r="D376" s="16" t="n">
        <v>60</v>
      </c>
      <c r="E376" s="30" t="inlineStr">
        <is>
          <t>Conto corrente</t>
        </is>
      </c>
      <c r="F376" s="17" t="n"/>
      <c r="G376" s="31">
        <f>IF(C376="","",IFERROR(INDEX(Categorie!$B$6:$B$65,MATCH(C376,Categorie!$A$6:$A$65,0))&amp;"",""))</f>
        <v/>
      </c>
      <c r="H376" s="32">
        <f>IF(AND(A376="",C376="",D376=""),"",IF(D376="","Manca l'importo",IF(NOT(ISNUMBER(D376)),"Importo non valido",IF(NOT(ISNUMBER(A376)),"Data mancante o non valida",IF(YEAR(A376)&lt;&gt;Impostazioni!$C$4,"Fuori dall'anno",IF(C376="","Manca la categoria",IF(ISNA(MATCH(C376,Categorie!$A$6:$A$65,0)),"Categoria non trovata",IF(G376="","Categoria senza tipo",""))))))))</f>
        <v/>
      </c>
    </row>
    <row r="377">
      <c r="A377" s="29" t="n">
        <v>46310</v>
      </c>
      <c r="B377" s="17" t="inlineStr">
        <is>
          <t>Rata lavatrice a tasso zero</t>
        </is>
      </c>
      <c r="C377" s="17" t="inlineStr">
        <is>
          <t>Rate di prestiti</t>
        </is>
      </c>
      <c r="D377" s="16" t="n">
        <v>40</v>
      </c>
      <c r="E377" s="30" t="inlineStr">
        <is>
          <t>Conto corrente</t>
        </is>
      </c>
      <c r="F377" s="17" t="n"/>
      <c r="G377" s="31">
        <f>IF(C377="","",IFERROR(INDEX(Categorie!$B$6:$B$65,MATCH(C377,Categorie!$A$6:$A$65,0))&amp;"",""))</f>
        <v/>
      </c>
      <c r="H377" s="32">
        <f>IF(AND(A377="",C377="",D377=""),"",IF(D377="","Manca l'importo",IF(NOT(ISNUMBER(D377)),"Importo non valido",IF(NOT(ISNUMBER(A377)),"Data mancante o non valida",IF(YEAR(A377)&lt;&gt;Impostazioni!$C$4,"Fuori dall'anno",IF(C377="","Manca la categoria",IF(ISNA(MATCH(C377,Categorie!$A$6:$A$65,0)),"Categoria non trovata",IF(G377="","Categoria senza tipo",""))))))))</f>
        <v/>
      </c>
    </row>
    <row r="378">
      <c r="A378" s="29" t="n">
        <v>46310</v>
      </c>
      <c r="B378" s="17" t="inlineStr">
        <is>
          <t>Rata prestito auto</t>
        </is>
      </c>
      <c r="C378" s="17" t="inlineStr">
        <is>
          <t>Rate di prestiti</t>
        </is>
      </c>
      <c r="D378" s="16" t="n">
        <v>210</v>
      </c>
      <c r="E378" s="30" t="inlineStr">
        <is>
          <t>Conto corrente</t>
        </is>
      </c>
      <c r="F378" s="17" t="n"/>
      <c r="G378" s="31">
        <f>IF(C378="","",IFERROR(INDEX(Categorie!$B$6:$B$65,MATCH(C378,Categorie!$A$6:$A$65,0))&amp;"",""))</f>
        <v/>
      </c>
      <c r="H378" s="32">
        <f>IF(AND(A378="",C378="",D378=""),"",IF(D378="","Manca l'importo",IF(NOT(ISNUMBER(D378)),"Importo non valido",IF(NOT(ISNUMBER(A378)),"Data mancante o non valida",IF(YEAR(A378)&lt;&gt;Impostazioni!$C$4,"Fuori dall'anno",IF(C378="","Manca la categoria",IF(ISNA(MATCH(C378,Categorie!$A$6:$A$65,0)),"Categoria non trovata",IF(G378="","Categoria senza tipo",""))))))))</f>
        <v/>
      </c>
    </row>
    <row r="379">
      <c r="A379" s="29" t="n">
        <v>46311</v>
      </c>
      <c r="B379" s="17" t="inlineStr">
        <is>
          <t>Farmacia</t>
        </is>
      </c>
      <c r="C379" s="17" t="inlineStr">
        <is>
          <t>Farmacia e salute</t>
        </is>
      </c>
      <c r="D379" s="16" t="n">
        <v>33.78</v>
      </c>
      <c r="E379" s="30" t="inlineStr">
        <is>
          <t>Carta di debito</t>
        </is>
      </c>
      <c r="F379" s="17" t="n"/>
      <c r="G379" s="31">
        <f>IF(C379="","",IFERROR(INDEX(Categorie!$B$6:$B$65,MATCH(C379,Categorie!$A$6:$A$65,0))&amp;"",""))</f>
        <v/>
      </c>
      <c r="H379" s="32">
        <f>IF(AND(A379="",C379="",D379=""),"",IF(D379="","Manca l'importo",IF(NOT(ISNUMBER(D379)),"Importo non valido",IF(NOT(ISNUMBER(A379)),"Data mancante o non valida",IF(YEAR(A379)&lt;&gt;Impostazioni!$C$4,"Fuori dall'anno",IF(C379="","Manca la categoria",IF(ISNA(MATCH(C379,Categorie!$A$6:$A$65,0)),"Categoria non trovata",IF(G379="","Categoria senza tipo",""))))))))</f>
        <v/>
      </c>
    </row>
    <row r="380">
      <c r="A380" s="29" t="n">
        <v>46312</v>
      </c>
      <c r="B380" s="17" t="inlineStr">
        <is>
          <t>Tende soggiorno</t>
        </is>
      </c>
      <c r="C380" s="17" t="inlineStr">
        <is>
          <t>Casa e manutenzione</t>
        </is>
      </c>
      <c r="D380" s="16" t="n">
        <v>89</v>
      </c>
      <c r="E380" s="30" t="inlineStr">
        <is>
          <t>Carta di credito</t>
        </is>
      </c>
      <c r="F380" s="17" t="n"/>
      <c r="G380" s="31">
        <f>IF(C380="","",IFERROR(INDEX(Categorie!$B$6:$B$65,MATCH(C380,Categorie!$A$6:$A$65,0))&amp;"",""))</f>
        <v/>
      </c>
      <c r="H380" s="32">
        <f>IF(AND(A380="",C380="",D380=""),"",IF(D380="","Manca l'importo",IF(NOT(ISNUMBER(D380)),"Importo non valido",IF(NOT(ISNUMBER(A380)),"Data mancante o non valida",IF(YEAR(A380)&lt;&gt;Impostazioni!$C$4,"Fuori dall'anno",IF(C380="","Manca la categoria",IF(ISNA(MATCH(C380,Categorie!$A$6:$A$65,0)),"Categoria non trovata",IF(G380="","Categoria senza tipo",""))))))))</f>
        <v/>
      </c>
    </row>
    <row r="381">
      <c r="A381" s="29" t="n">
        <v>46312</v>
      </c>
      <c r="B381" s="17" t="inlineStr">
        <is>
          <t>Spesa settimanale</t>
        </is>
      </c>
      <c r="C381" s="17" t="inlineStr">
        <is>
          <t>Spesa alimentare</t>
        </is>
      </c>
      <c r="D381" s="16" t="n">
        <v>106.33</v>
      </c>
      <c r="E381" s="30" t="inlineStr">
        <is>
          <t>Carta di debito</t>
        </is>
      </c>
      <c r="F381" s="17" t="n"/>
      <c r="G381" s="31">
        <f>IF(C381="","",IFERROR(INDEX(Categorie!$B$6:$B$65,MATCH(C381,Categorie!$A$6:$A$65,0))&amp;"",""))</f>
        <v/>
      </c>
      <c r="H381" s="32">
        <f>IF(AND(A381="",C381="",D381=""),"",IF(D381="","Manca l'importo",IF(NOT(ISNUMBER(D381)),"Importo non valido",IF(NOT(ISNUMBER(A381)),"Data mancante o non valida",IF(YEAR(A381)&lt;&gt;Impostazioni!$C$4,"Fuori dall'anno",IF(C381="","Manca la categoria",IF(ISNA(MATCH(C381,Categorie!$A$6:$A$65,0)),"Categoria non trovata",IF(G381="","Categoria senza tipo",""))))))))</f>
        <v/>
      </c>
    </row>
    <row r="382">
      <c r="A382" s="29" t="n">
        <v>46313</v>
      </c>
      <c r="B382" s="17" t="inlineStr">
        <is>
          <t>Rifornimento</t>
        </is>
      </c>
      <c r="C382" s="17" t="inlineStr">
        <is>
          <t>Carburante</t>
        </is>
      </c>
      <c r="D382" s="16" t="n">
        <v>64.73</v>
      </c>
      <c r="E382" s="30" t="inlineStr">
        <is>
          <t>Carta di credito</t>
        </is>
      </c>
      <c r="F382" s="17" t="inlineStr">
        <is>
          <t>Marco</t>
        </is>
      </c>
      <c r="G382" s="31">
        <f>IF(C382="","",IFERROR(INDEX(Categorie!$B$6:$B$65,MATCH(C382,Categorie!$A$6:$A$65,0))&amp;"",""))</f>
        <v/>
      </c>
      <c r="H382" s="32">
        <f>IF(AND(A382="",C382="",D382=""),"",IF(D382="","Manca l'importo",IF(NOT(ISNUMBER(D382)),"Importo non valido",IF(NOT(ISNUMBER(A382)),"Data mancante o non valida",IF(YEAR(A382)&lt;&gt;Impostazioni!$C$4,"Fuori dall'anno",IF(C382="","Manca la categoria",IF(ISNA(MATCH(C382,Categorie!$A$6:$A$65,0)),"Categoria non trovata",IF(G382="","Categoria senza tipo",""))))))))</f>
        <v/>
      </c>
    </row>
    <row r="383">
      <c r="A383" s="29" t="n">
        <v>46313</v>
      </c>
      <c r="B383" s="17" t="inlineStr">
        <is>
          <t>Bolletta gas</t>
        </is>
      </c>
      <c r="C383" s="17" t="inlineStr">
        <is>
          <t>Gas</t>
        </is>
      </c>
      <c r="D383" s="16" t="n">
        <v>66.20999999999999</v>
      </c>
      <c r="E383" s="30" t="inlineStr">
        <is>
          <t>Conto corrente</t>
        </is>
      </c>
      <c r="F383" s="17" t="n"/>
      <c r="G383" s="31">
        <f>IF(C383="","",IFERROR(INDEX(Categorie!$B$6:$B$65,MATCH(C383,Categorie!$A$6:$A$65,0))&amp;"",""))</f>
        <v/>
      </c>
      <c r="H383" s="32">
        <f>IF(AND(A383="",C383="",D383=""),"",IF(D383="","Manca l'importo",IF(NOT(ISNUMBER(D383)),"Importo non valido",IF(NOT(ISNUMBER(A383)),"Data mancante o non valida",IF(YEAR(A383)&lt;&gt;Impostazioni!$C$4,"Fuori dall'anno",IF(C383="","Manca la categoria",IF(ISNA(MATCH(C383,Categorie!$A$6:$A$65,0)),"Categoria non trovata",IF(G383="","Categoria senza tipo",""))))))))</f>
        <v/>
      </c>
    </row>
    <row r="384">
      <c r="A384" s="29" t="n">
        <v>46313</v>
      </c>
      <c r="B384" s="17" t="inlineStr">
        <is>
          <t>Bolletta luce</t>
        </is>
      </c>
      <c r="C384" s="17" t="inlineStr">
        <is>
          <t>Luce</t>
        </is>
      </c>
      <c r="D384" s="16" t="n">
        <v>60.56</v>
      </c>
      <c r="E384" s="30" t="inlineStr">
        <is>
          <t>Conto corrente</t>
        </is>
      </c>
      <c r="F384" s="17" t="n"/>
      <c r="G384" s="31">
        <f>IF(C384="","",IFERROR(INDEX(Categorie!$B$6:$B$65,MATCH(C384,Categorie!$A$6:$A$65,0))&amp;"",""))</f>
        <v/>
      </c>
      <c r="H384" s="32">
        <f>IF(AND(A384="",C384="",D384=""),"",IF(D384="","Manca l'importo",IF(NOT(ISNUMBER(D384)),"Importo non valido",IF(NOT(ISNUMBER(A384)),"Data mancante o non valida",IF(YEAR(A384)&lt;&gt;Impostazioni!$C$4,"Fuori dall'anno",IF(C384="","Manca la categoria",IF(ISNA(MATCH(C384,Categorie!$A$6:$A$65,0)),"Categoria non trovata",IF(G384="","Categoria senza tipo",""))))))))</f>
        <v/>
      </c>
    </row>
    <row r="385">
      <c r="A385" s="29" t="n">
        <v>46315</v>
      </c>
      <c r="B385" s="17" t="inlineStr">
        <is>
          <t>Assegno unico INPS</t>
        </is>
      </c>
      <c r="C385" s="17" t="inlineStr">
        <is>
          <t>Assegno unico figli</t>
        </is>
      </c>
      <c r="D385" s="16" t="n">
        <v>145.3</v>
      </c>
      <c r="E385" s="30" t="inlineStr">
        <is>
          <t>Conto corrente</t>
        </is>
      </c>
      <c r="F385" s="17" t="n"/>
      <c r="G385" s="31">
        <f>IF(C385="","",IFERROR(INDEX(Categorie!$B$6:$B$65,MATCH(C385,Categorie!$A$6:$A$65,0))&amp;"",""))</f>
        <v/>
      </c>
      <c r="H385" s="32">
        <f>IF(AND(A385="",C385="",D385=""),"",IF(D385="","Manca l'importo",IF(NOT(ISNUMBER(D385)),"Importo non valido",IF(NOT(ISNUMBER(A385)),"Data mancante o non valida",IF(YEAR(A385)&lt;&gt;Impostazioni!$C$4,"Fuori dall'anno",IF(C385="","Manca la categoria",IF(ISNA(MATCH(C385,Categorie!$A$6:$A$65,0)),"Categoria non trovata",IF(G385="","Categoria senza tipo",""))))))))</f>
        <v/>
      </c>
    </row>
    <row r="386">
      <c r="A386" s="29" t="n">
        <v>46317</v>
      </c>
      <c r="B386" s="17" t="inlineStr">
        <is>
          <t>Riparazione caldaia</t>
        </is>
      </c>
      <c r="C386" s="17" t="inlineStr">
        <is>
          <t>Imprevisti</t>
        </is>
      </c>
      <c r="D386" s="16" t="n">
        <v>165</v>
      </c>
      <c r="E386" s="30" t="inlineStr">
        <is>
          <t>Conto corrente</t>
        </is>
      </c>
      <c r="F386" s="17" t="n"/>
      <c r="G386" s="31">
        <f>IF(C386="","",IFERROR(INDEX(Categorie!$B$6:$B$65,MATCH(C386,Categorie!$A$6:$A$65,0))&amp;"",""))</f>
        <v/>
      </c>
      <c r="H386" s="32">
        <f>IF(AND(A386="",C386="",D386=""),"",IF(D386="","Manca l'importo",IF(NOT(ISNUMBER(D386)),"Importo non valido",IF(NOT(ISNUMBER(A386)),"Data mancante o non valida",IF(YEAR(A386)&lt;&gt;Impostazioni!$C$4,"Fuori dall'anno",IF(C386="","Manca la categoria",IF(ISNA(MATCH(C386,Categorie!$A$6:$A$65,0)),"Categoria non trovata",IF(G386="","Categoria senza tipo",""))))))))</f>
        <v/>
      </c>
    </row>
    <row r="387">
      <c r="A387" s="29" t="n">
        <v>46317</v>
      </c>
      <c r="B387" s="17" t="inlineStr">
        <is>
          <t>Parcheggio</t>
        </is>
      </c>
      <c r="C387" s="17" t="inlineStr">
        <is>
          <t>Trasporti</t>
        </is>
      </c>
      <c r="D387" s="16" t="n">
        <v>5.81</v>
      </c>
      <c r="E387" s="30" t="inlineStr">
        <is>
          <t>Contanti</t>
        </is>
      </c>
      <c r="F387" s="17" t="n"/>
      <c r="G387" s="31">
        <f>IF(C387="","",IFERROR(INDEX(Categorie!$B$6:$B$65,MATCH(C387,Categorie!$A$6:$A$65,0))&amp;"",""))</f>
        <v/>
      </c>
      <c r="H387" s="32">
        <f>IF(AND(A387="",C387="",D387=""),"",IF(D387="","Manca l'importo",IF(NOT(ISNUMBER(D387)),"Importo non valido",IF(NOT(ISNUMBER(A387)),"Data mancante o non valida",IF(YEAR(A387)&lt;&gt;Impostazioni!$C$4,"Fuori dall'anno",IF(C387="","Manca la categoria",IF(ISNA(MATCH(C387,Categorie!$A$6:$A$65,0)),"Categoria non trovata",IF(G387="","Categoria senza tipo",""))))))))</f>
        <v/>
      </c>
    </row>
    <row r="388">
      <c r="A388" s="29" t="n">
        <v>46319</v>
      </c>
      <c r="B388" s="17" t="inlineStr">
        <is>
          <t>Spesa settimanale</t>
        </is>
      </c>
      <c r="C388" s="17" t="inlineStr">
        <is>
          <t>Spesa alimentare</t>
        </is>
      </c>
      <c r="D388" s="16" t="n">
        <v>113.77</v>
      </c>
      <c r="E388" s="30" t="inlineStr">
        <is>
          <t>Carta di debito</t>
        </is>
      </c>
      <c r="F388" s="17" t="n"/>
      <c r="G388" s="31">
        <f>IF(C388="","",IFERROR(INDEX(Categorie!$B$6:$B$65,MATCH(C388,Categorie!$A$6:$A$65,0))&amp;"",""))</f>
        <v/>
      </c>
      <c r="H388" s="32">
        <f>IF(AND(A388="",C388="",D388=""),"",IF(D388="","Manca l'importo",IF(NOT(ISNUMBER(D388)),"Importo non valido",IF(NOT(ISNUMBER(A388)),"Data mancante o non valida",IF(YEAR(A388)&lt;&gt;Impostazioni!$C$4,"Fuori dall'anno",IF(C388="","Manca la categoria",IF(ISNA(MATCH(C388,Categorie!$A$6:$A$65,0)),"Categoria non trovata",IF(G388="","Categoria senza tipo",""))))))))</f>
        <v/>
      </c>
    </row>
    <row r="389">
      <c r="A389" s="29" t="n">
        <v>46319</v>
      </c>
      <c r="B389" s="17" t="inlineStr">
        <is>
          <t>Bar</t>
        </is>
      </c>
      <c r="C389" s="17" t="inlineStr">
        <is>
          <t>Svago</t>
        </is>
      </c>
      <c r="D389" s="16" t="n">
        <v>11.43</v>
      </c>
      <c r="E389" s="30" t="inlineStr">
        <is>
          <t>Carta di debito</t>
        </is>
      </c>
      <c r="F389" s="17" t="n"/>
      <c r="G389" s="31">
        <f>IF(C389="","",IFERROR(INDEX(Categorie!$B$6:$B$65,MATCH(C389,Categorie!$A$6:$A$65,0))&amp;"",""))</f>
        <v/>
      </c>
      <c r="H389" s="32">
        <f>IF(AND(A389="",C389="",D389=""),"",IF(D389="","Manca l'importo",IF(NOT(ISNUMBER(D389)),"Importo non valido",IF(NOT(ISNUMBER(A389)),"Data mancante o non valida",IF(YEAR(A389)&lt;&gt;Impostazioni!$C$4,"Fuori dall'anno",IF(C389="","Manca la categoria",IF(ISNA(MATCH(C389,Categorie!$A$6:$A$65,0)),"Categoria non trovata",IF(G389="","Categoria senza tipo",""))))))))</f>
        <v/>
      </c>
    </row>
    <row r="390">
      <c r="A390" s="29" t="n">
        <v>46322</v>
      </c>
      <c r="B390" s="17" t="inlineStr">
        <is>
          <t>Stipendio</t>
        </is>
      </c>
      <c r="C390" s="17" t="inlineStr">
        <is>
          <t>Stipendio Giulia</t>
        </is>
      </c>
      <c r="D390" s="16" t="n">
        <v>1480</v>
      </c>
      <c r="E390" s="30" t="inlineStr">
        <is>
          <t>Conto corrente</t>
        </is>
      </c>
      <c r="F390" s="17" t="inlineStr">
        <is>
          <t>Giulia</t>
        </is>
      </c>
      <c r="G390" s="31">
        <f>IF(C390="","",IFERROR(INDEX(Categorie!$B$6:$B$65,MATCH(C390,Categorie!$A$6:$A$65,0))&amp;"",""))</f>
        <v/>
      </c>
      <c r="H390" s="32">
        <f>IF(AND(A390="",C390="",D390=""),"",IF(D390="","Manca l'importo",IF(NOT(ISNUMBER(D390)),"Importo non valido",IF(NOT(ISNUMBER(A390)),"Data mancante o non valida",IF(YEAR(A390)&lt;&gt;Impostazioni!$C$4,"Fuori dall'anno",IF(C390="","Manca la categoria",IF(ISNA(MATCH(C390,Categorie!$A$6:$A$65,0)),"Categoria non trovata",IF(G390="","Categoria senza tipo",""))))))))</f>
        <v/>
      </c>
    </row>
    <row r="391">
      <c r="A391" s="29" t="n">
        <v>46322</v>
      </c>
      <c r="B391" s="17" t="inlineStr">
        <is>
          <t>Stipendio</t>
        </is>
      </c>
      <c r="C391" s="17" t="inlineStr">
        <is>
          <t>Stipendio Marco</t>
        </is>
      </c>
      <c r="D391" s="16" t="n">
        <v>1850</v>
      </c>
      <c r="E391" s="30" t="inlineStr">
        <is>
          <t>Conto corrente</t>
        </is>
      </c>
      <c r="F391" s="17" t="inlineStr">
        <is>
          <t>Marco</t>
        </is>
      </c>
      <c r="G391" s="31">
        <f>IF(C391="","",IFERROR(INDEX(Categorie!$B$6:$B$65,MATCH(C391,Categorie!$A$6:$A$65,0))&amp;"",""))</f>
        <v/>
      </c>
      <c r="H391" s="32">
        <f>IF(AND(A391="",C391="",D391=""),"",IF(D391="","Manca l'importo",IF(NOT(ISNUMBER(D391)),"Importo non valido",IF(NOT(ISNUMBER(A391)),"Data mancante o non valida",IF(YEAR(A391)&lt;&gt;Impostazioni!$C$4,"Fuori dall'anno",IF(C391="","Manca la categoria",IF(ISNA(MATCH(C391,Categorie!$A$6:$A$65,0)),"Categoria non trovata",IF(G391="","Categoria senza tipo",""))))))))</f>
        <v/>
      </c>
    </row>
    <row r="392">
      <c r="A392" s="29" t="n">
        <v>46322</v>
      </c>
      <c r="B392" s="17" t="inlineStr">
        <is>
          <t>Cinema</t>
        </is>
      </c>
      <c r="C392" s="17" t="inlineStr">
        <is>
          <t>Svago</t>
        </is>
      </c>
      <c r="D392" s="16" t="n">
        <v>29.06</v>
      </c>
      <c r="E392" s="30" t="inlineStr">
        <is>
          <t>Carta di debito</t>
        </is>
      </c>
      <c r="F392" s="17" t="n"/>
      <c r="G392" s="31">
        <f>IF(C392="","",IFERROR(INDEX(Categorie!$B$6:$B$65,MATCH(C392,Categorie!$A$6:$A$65,0))&amp;"",""))</f>
        <v/>
      </c>
      <c r="H392" s="32">
        <f>IF(AND(A392="",C392="",D392=""),"",IF(D392="","Manca l'importo",IF(NOT(ISNUMBER(D392)),"Importo non valido",IF(NOT(ISNUMBER(A392)),"Data mancante o non valida",IF(YEAR(A392)&lt;&gt;Impostazioni!$C$4,"Fuori dall'anno",IF(C392="","Manca la categoria",IF(ISNA(MATCH(C392,Categorie!$A$6:$A$65,0)),"Categoria non trovata",IF(G392="","Categoria senza tipo",""))))))))</f>
        <v/>
      </c>
    </row>
    <row r="393">
      <c r="A393" s="29" t="n">
        <v>46323</v>
      </c>
      <c r="B393" s="17" t="inlineStr">
        <is>
          <t>Rifornimento</t>
        </is>
      </c>
      <c r="C393" s="17" t="inlineStr">
        <is>
          <t>Carburante</t>
        </is>
      </c>
      <c r="D393" s="16" t="n">
        <v>53.35</v>
      </c>
      <c r="E393" s="30" t="inlineStr">
        <is>
          <t>Carta di credito</t>
        </is>
      </c>
      <c r="F393" s="17" t="inlineStr">
        <is>
          <t>Giulia</t>
        </is>
      </c>
      <c r="G393" s="31">
        <f>IF(C393="","",IFERROR(INDEX(Categorie!$B$6:$B$65,MATCH(C393,Categorie!$A$6:$A$65,0))&amp;"",""))</f>
        <v/>
      </c>
      <c r="H393" s="32">
        <f>IF(AND(A393="",C393="",D393=""),"",IF(D393="","Manca l'importo",IF(NOT(ISNUMBER(D393)),"Importo non valido",IF(NOT(ISNUMBER(A393)),"Data mancante o non valida",IF(YEAR(A393)&lt;&gt;Impostazioni!$C$4,"Fuori dall'anno",IF(C393="","Manca la categoria",IF(ISNA(MATCH(C393,Categorie!$A$6:$A$65,0)),"Categoria non trovata",IF(G393="","Categoria senza tipo",""))))))))</f>
        <v/>
      </c>
    </row>
    <row r="394">
      <c r="A394" s="29" t="n">
        <v>46323</v>
      </c>
      <c r="B394" s="17" t="inlineStr">
        <is>
          <t>Versamento fondo emergenze</t>
        </is>
      </c>
      <c r="C394" s="17" t="inlineStr">
        <is>
          <t>Fondo emergenze</t>
        </is>
      </c>
      <c r="D394" s="16" t="n">
        <v>150</v>
      </c>
      <c r="E394" s="30" t="inlineStr">
        <is>
          <t>Conto corrente</t>
        </is>
      </c>
      <c r="F394" s="17" t="n"/>
      <c r="G394" s="31">
        <f>IF(C394="","",IFERROR(INDEX(Categorie!$B$6:$B$65,MATCH(C394,Categorie!$A$6:$A$65,0))&amp;"",""))</f>
        <v/>
      </c>
      <c r="H394" s="32">
        <f>IF(AND(A394="",C394="",D394=""),"",IF(D394="","Manca l'importo",IF(NOT(ISNUMBER(D394)),"Importo non valido",IF(NOT(ISNUMBER(A394)),"Data mancante o non valida",IF(YEAR(A394)&lt;&gt;Impostazioni!$C$4,"Fuori dall'anno",IF(C394="","Manca la categoria",IF(ISNA(MATCH(C394,Categorie!$A$6:$A$65,0)),"Categoria non trovata",IF(G394="","Categoria senza tipo",""))))))))</f>
        <v/>
      </c>
    </row>
    <row r="395">
      <c r="A395" s="29" t="n">
        <v>46323</v>
      </c>
      <c r="B395" s="17" t="inlineStr">
        <is>
          <t>Piano di accumulo mensile</t>
        </is>
      </c>
      <c r="C395" s="17" t="inlineStr">
        <is>
          <t>Investimenti</t>
        </is>
      </c>
      <c r="D395" s="16" t="n">
        <v>100</v>
      </c>
      <c r="E395" s="30" t="inlineStr">
        <is>
          <t>Conto corrente</t>
        </is>
      </c>
      <c r="F395" s="17" t="n"/>
      <c r="G395" s="31">
        <f>IF(C395="","",IFERROR(INDEX(Categorie!$B$6:$B$65,MATCH(C395,Categorie!$A$6:$A$65,0))&amp;"",""))</f>
        <v/>
      </c>
      <c r="H395" s="32">
        <f>IF(AND(A395="",C395="",D395=""),"",IF(D395="","Manca l'importo",IF(NOT(ISNUMBER(D395)),"Importo non valido",IF(NOT(ISNUMBER(A395)),"Data mancante o non valida",IF(YEAR(A395)&lt;&gt;Impostazioni!$C$4,"Fuori dall'anno",IF(C395="","Manca la categoria",IF(ISNA(MATCH(C395,Categorie!$A$6:$A$65,0)),"Categoria non trovata",IF(G395="","Categoria senza tipo",""))))))))</f>
        <v/>
      </c>
    </row>
    <row r="396">
      <c r="A396" s="29" t="n">
        <v>46323</v>
      </c>
      <c r="B396" s="17" t="inlineStr">
        <is>
          <t>Accantonamento obiettivi</t>
        </is>
      </c>
      <c r="C396" s="17" t="inlineStr">
        <is>
          <t>Obiettivi di risparmio</t>
        </is>
      </c>
      <c r="D396" s="16" t="n">
        <v>200</v>
      </c>
      <c r="E396" s="30" t="inlineStr">
        <is>
          <t>Conto corrente</t>
        </is>
      </c>
      <c r="F396" s="17" t="n"/>
      <c r="G396" s="31">
        <f>IF(C396="","",IFERROR(INDEX(Categorie!$B$6:$B$65,MATCH(C396,Categorie!$A$6:$A$65,0))&amp;"",""))</f>
        <v/>
      </c>
      <c r="H396" s="32">
        <f>IF(AND(A396="",C396="",D396=""),"",IF(D396="","Manca l'importo",IF(NOT(ISNUMBER(D396)),"Importo non valido",IF(NOT(ISNUMBER(A396)),"Data mancante o non valida",IF(YEAR(A396)&lt;&gt;Impostazioni!$C$4,"Fuori dall'anno",IF(C396="","Manca la categoria",IF(ISNA(MATCH(C396,Categorie!$A$6:$A$65,0)),"Categoria non trovata",IF(G396="","Categoria senza tipo",""))))))))</f>
        <v/>
      </c>
    </row>
    <row r="397">
      <c r="A397" s="29" t="n">
        <v>46323</v>
      </c>
      <c r="B397" s="17" t="inlineStr">
        <is>
          <t>Spesa al mercato</t>
        </is>
      </c>
      <c r="C397" s="17" t="inlineStr">
        <is>
          <t>Spesa alimentare</t>
        </is>
      </c>
      <c r="D397" s="16" t="n">
        <v>16.45</v>
      </c>
      <c r="E397" s="30" t="inlineStr">
        <is>
          <t>Contanti</t>
        </is>
      </c>
      <c r="F397" s="17" t="n"/>
      <c r="G397" s="31">
        <f>IF(C397="","",IFERROR(INDEX(Categorie!$B$6:$B$65,MATCH(C397,Categorie!$A$6:$A$65,0))&amp;"",""))</f>
        <v/>
      </c>
      <c r="H397" s="32">
        <f>IF(AND(A397="",C397="",D397=""),"",IF(D397="","Manca l'importo",IF(NOT(ISNUMBER(D397)),"Importo non valido",IF(NOT(ISNUMBER(A397)),"Data mancante o non valida",IF(YEAR(A397)&lt;&gt;Impostazioni!$C$4,"Fuori dall'anno",IF(C397="","Manca la categoria",IF(ISNA(MATCH(C397,Categorie!$A$6:$A$65,0)),"Categoria non trovata",IF(G397="","Categoria senza tipo",""))))))))</f>
        <v/>
      </c>
    </row>
    <row r="398">
      <c r="A398" s="29" t="n">
        <v>46326</v>
      </c>
      <c r="B398" s="17" t="inlineStr">
        <is>
          <t>Spesa settimanale</t>
        </is>
      </c>
      <c r="C398" s="17" t="inlineStr">
        <is>
          <t>Spesa alimentare</t>
        </is>
      </c>
      <c r="D398" s="16" t="n">
        <v>130.1</v>
      </c>
      <c r="E398" s="30" t="inlineStr">
        <is>
          <t>Carta di debito</t>
        </is>
      </c>
      <c r="F398" s="17" t="n"/>
      <c r="G398" s="31">
        <f>IF(C398="","",IFERROR(INDEX(Categorie!$B$6:$B$65,MATCH(C398,Categorie!$A$6:$A$65,0))&amp;"",""))</f>
        <v/>
      </c>
      <c r="H398" s="32">
        <f>IF(AND(A398="",C398="",D398=""),"",IF(D398="","Manca l'importo",IF(NOT(ISNUMBER(D398)),"Importo non valido",IF(NOT(ISNUMBER(A398)),"Data mancante o non valida",IF(YEAR(A398)&lt;&gt;Impostazioni!$C$4,"Fuori dall'anno",IF(C398="","Manca la categoria",IF(ISNA(MATCH(C398,Categorie!$A$6:$A$65,0)),"Categoria non trovata",IF(G398="","Categoria senza tipo",""))))))))</f>
        <v/>
      </c>
    </row>
    <row r="399">
      <c r="A399" s="29" t="n">
        <v>46327</v>
      </c>
      <c r="B399" s="17" t="inlineStr">
        <is>
          <t>Rata mutuo</t>
        </is>
      </c>
      <c r="C399" s="17" t="inlineStr">
        <is>
          <t>Affitto o rata mutuo</t>
        </is>
      </c>
      <c r="D399" s="16" t="n">
        <v>680</v>
      </c>
      <c r="E399" s="30" t="inlineStr">
        <is>
          <t>Conto corrente</t>
        </is>
      </c>
      <c r="F399" s="17" t="n"/>
      <c r="G399" s="31">
        <f>IF(C399="","",IFERROR(INDEX(Categorie!$B$6:$B$65,MATCH(C399,Categorie!$A$6:$A$65,0))&amp;"",""))</f>
        <v/>
      </c>
      <c r="H399" s="32">
        <f>IF(AND(A399="",C399="",D399=""),"",IF(D399="","Manca l'importo",IF(NOT(ISNUMBER(D399)),"Importo non valido",IF(NOT(ISNUMBER(A399)),"Data mancante o non valida",IF(YEAR(A399)&lt;&gt;Impostazioni!$C$4,"Fuori dall'anno",IF(C399="","Manca la categoria",IF(ISNA(MATCH(C399,Categorie!$A$6:$A$65,0)),"Categoria non trovata",IF(G399="","Categoria senza tipo",""))))))))</f>
        <v/>
      </c>
    </row>
    <row r="400">
      <c r="A400" s="29" t="n">
        <v>46329</v>
      </c>
      <c r="B400" s="17" t="inlineStr">
        <is>
          <t>Abbonamento bus Sofia</t>
        </is>
      </c>
      <c r="C400" s="17" t="inlineStr">
        <is>
          <t>Trasporti</t>
        </is>
      </c>
      <c r="D400" s="16" t="n">
        <v>25</v>
      </c>
      <c r="E400" s="30" t="inlineStr">
        <is>
          <t>Carta di debito</t>
        </is>
      </c>
      <c r="F400" s="17" t="inlineStr">
        <is>
          <t>Sofia</t>
        </is>
      </c>
      <c r="G400" s="31">
        <f>IF(C400="","",IFERROR(INDEX(Categorie!$B$6:$B$65,MATCH(C400,Categorie!$A$6:$A$65,0))&amp;"",""))</f>
        <v/>
      </c>
      <c r="H400" s="32">
        <f>IF(AND(A400="",C400="",D400=""),"",IF(D400="","Manca l'importo",IF(NOT(ISNUMBER(D400)),"Importo non valido",IF(NOT(ISNUMBER(A400)),"Data mancante o non valida",IF(YEAR(A400)&lt;&gt;Impostazioni!$C$4,"Fuori dall'anno",IF(C400="","Manca la categoria",IF(ISNA(MATCH(C400,Categorie!$A$6:$A$65,0)),"Categoria non trovata",IF(G400="","Categoria senza tipo",""))))))))</f>
        <v/>
      </c>
    </row>
    <row r="401">
      <c r="A401" s="29" t="n">
        <v>46330</v>
      </c>
      <c r="B401" s="17" t="inlineStr">
        <is>
          <t>Mensa scolastica</t>
        </is>
      </c>
      <c r="C401" s="17" t="inlineStr">
        <is>
          <t>Scuola e figli</t>
        </is>
      </c>
      <c r="D401" s="16" t="n">
        <v>78</v>
      </c>
      <c r="E401" s="30" t="inlineStr">
        <is>
          <t>Conto corrente</t>
        </is>
      </c>
      <c r="F401" s="17" t="inlineStr">
        <is>
          <t>Sofia</t>
        </is>
      </c>
      <c r="G401" s="31">
        <f>IF(C401="","",IFERROR(INDEX(Categorie!$B$6:$B$65,MATCH(C401,Categorie!$A$6:$A$65,0))&amp;"",""))</f>
        <v/>
      </c>
      <c r="H401" s="32">
        <f>IF(AND(A401="",C401="",D401=""),"",IF(D401="","Manca l'importo",IF(NOT(ISNUMBER(D401)),"Importo non valido",IF(NOT(ISNUMBER(A401)),"Data mancante o non valida",IF(YEAR(A401)&lt;&gt;Impostazioni!$C$4,"Fuori dall'anno",IF(C401="","Manca la categoria",IF(ISNA(MATCH(C401,Categorie!$A$6:$A$65,0)),"Categoria non trovata",IF(G401="","Categoria senza tipo",""))))))))</f>
        <v/>
      </c>
    </row>
    <row r="402">
      <c r="A402" s="29" t="n">
        <v>46331</v>
      </c>
      <c r="B402" s="17" t="inlineStr">
        <is>
          <t>Fibra casa</t>
        </is>
      </c>
      <c r="C402" s="17" t="inlineStr">
        <is>
          <t>Internet e telefono</t>
        </is>
      </c>
      <c r="D402" s="16" t="n">
        <v>27.9</v>
      </c>
      <c r="E402" s="30" t="inlineStr">
        <is>
          <t>Carta di credito</t>
        </is>
      </c>
      <c r="F402" s="17" t="n"/>
      <c r="G402" s="31">
        <f>IF(C402="","",IFERROR(INDEX(Categorie!$B$6:$B$65,MATCH(C402,Categorie!$A$6:$A$65,0))&amp;"",""))</f>
        <v/>
      </c>
      <c r="H402" s="32">
        <f>IF(AND(A402="",C402="",D402=""),"",IF(D402="","Manca l'importo",IF(NOT(ISNUMBER(D402)),"Importo non valido",IF(NOT(ISNUMBER(A402)),"Data mancante o non valida",IF(YEAR(A402)&lt;&gt;Impostazioni!$C$4,"Fuori dall'anno",IF(C402="","Manca la categoria",IF(ISNA(MATCH(C402,Categorie!$A$6:$A$65,0)),"Categoria non trovata",IF(G402="","Categoria senza tipo",""))))))))</f>
        <v/>
      </c>
    </row>
    <row r="403">
      <c r="A403" s="29" t="n">
        <v>46331</v>
      </c>
      <c r="B403" s="17" t="inlineStr">
        <is>
          <t>Telefono Giulia</t>
        </is>
      </c>
      <c r="C403" s="17" t="inlineStr">
        <is>
          <t>Internet e telefono</t>
        </is>
      </c>
      <c r="D403" s="16" t="n">
        <v>7.99</v>
      </c>
      <c r="E403" s="30" t="inlineStr">
        <is>
          <t>Carta di credito</t>
        </is>
      </c>
      <c r="F403" s="17" t="inlineStr">
        <is>
          <t>Giulia</t>
        </is>
      </c>
      <c r="G403" s="31">
        <f>IF(C403="","",IFERROR(INDEX(Categorie!$B$6:$B$65,MATCH(C403,Categorie!$A$6:$A$65,0))&amp;"",""))</f>
        <v/>
      </c>
      <c r="H403" s="32">
        <f>IF(AND(A403="",C403="",D403=""),"",IF(D403="","Manca l'importo",IF(NOT(ISNUMBER(D403)),"Importo non valido",IF(NOT(ISNUMBER(A403)),"Data mancante o non valida",IF(YEAR(A403)&lt;&gt;Impostazioni!$C$4,"Fuori dall'anno",IF(C403="","Manca la categoria",IF(ISNA(MATCH(C403,Categorie!$A$6:$A$65,0)),"Categoria non trovata",IF(G403="","Categoria senza tipo",""))))))))</f>
        <v/>
      </c>
    </row>
    <row r="404">
      <c r="A404" s="29" t="n">
        <v>46331</v>
      </c>
      <c r="B404" s="17" t="inlineStr">
        <is>
          <t>Telefono Marco</t>
        </is>
      </c>
      <c r="C404" s="17" t="inlineStr">
        <is>
          <t>Internet e telefono</t>
        </is>
      </c>
      <c r="D404" s="16" t="n">
        <v>9.99</v>
      </c>
      <c r="E404" s="30" t="inlineStr">
        <is>
          <t>Carta di credito</t>
        </is>
      </c>
      <c r="F404" s="17" t="inlineStr">
        <is>
          <t>Marco</t>
        </is>
      </c>
      <c r="G404" s="31">
        <f>IF(C404="","",IFERROR(INDEX(Categorie!$B$6:$B$65,MATCH(C404,Categorie!$A$6:$A$65,0))&amp;"",""))</f>
        <v/>
      </c>
      <c r="H404" s="32">
        <f>IF(AND(A404="",C404="",D404=""),"",IF(D404="","Manca l'importo",IF(NOT(ISNUMBER(D404)),"Importo non valido",IF(NOT(ISNUMBER(A404)),"Data mancante o non valida",IF(YEAR(A404)&lt;&gt;Impostazioni!$C$4,"Fuori dall'anno",IF(C404="","Manca la categoria",IF(ISNA(MATCH(C404,Categorie!$A$6:$A$65,0)),"Categoria non trovata",IF(G404="","Categoria senza tipo",""))))))))</f>
        <v/>
      </c>
    </row>
    <row r="405">
      <c r="A405" s="29" t="n">
        <v>46333</v>
      </c>
      <c r="B405" s="17" t="inlineStr">
        <is>
          <t>Spesa settimanale</t>
        </is>
      </c>
      <c r="C405" s="17" t="inlineStr">
        <is>
          <t>Spesa alimentare</t>
        </is>
      </c>
      <c r="D405" s="16" t="n">
        <v>96.69</v>
      </c>
      <c r="E405" s="30" t="inlineStr">
        <is>
          <t>Carta di debito</t>
        </is>
      </c>
      <c r="F405" s="17" t="n"/>
      <c r="G405" s="31">
        <f>IF(C405="","",IFERROR(INDEX(Categorie!$B$6:$B$65,MATCH(C405,Categorie!$A$6:$A$65,0))&amp;"",""))</f>
        <v/>
      </c>
      <c r="H405" s="32">
        <f>IF(AND(A405="",C405="",D405=""),"",IF(D405="","Manca l'importo",IF(NOT(ISNUMBER(D405)),"Importo non valido",IF(NOT(ISNUMBER(A405)),"Data mancante o non valida",IF(YEAR(A405)&lt;&gt;Impostazioni!$C$4,"Fuori dall'anno",IF(C405="","Manca la categoria",IF(ISNA(MATCH(C405,Categorie!$A$6:$A$65,0)),"Categoria non trovata",IF(G405="","Categoria senza tipo",""))))))))</f>
        <v/>
      </c>
    </row>
    <row r="406">
      <c r="A406" s="29" t="n">
        <v>46334</v>
      </c>
      <c r="B406" s="17" t="inlineStr">
        <is>
          <t>Musica in streaming</t>
        </is>
      </c>
      <c r="C406" s="17" t="inlineStr">
        <is>
          <t>Abbonamenti</t>
        </is>
      </c>
      <c r="D406" s="16" t="n">
        <v>10.99</v>
      </c>
      <c r="E406" s="30" t="inlineStr">
        <is>
          <t>Carta di credito</t>
        </is>
      </c>
      <c r="F406" s="17" t="inlineStr">
        <is>
          <t>Giulia</t>
        </is>
      </c>
      <c r="G406" s="31">
        <f>IF(C406="","",IFERROR(INDEX(Categorie!$B$6:$B$65,MATCH(C406,Categorie!$A$6:$A$65,0))&amp;"",""))</f>
        <v/>
      </c>
      <c r="H406" s="32">
        <f>IF(AND(A406="",C406="",D406=""),"",IF(D406="","Manca l'importo",IF(NOT(ISNUMBER(D406)),"Importo non valido",IF(NOT(ISNUMBER(A406)),"Data mancante o non valida",IF(YEAR(A406)&lt;&gt;Impostazioni!$C$4,"Fuori dall'anno",IF(C406="","Manca la categoria",IF(ISNA(MATCH(C406,Categorie!$A$6:$A$65,0)),"Categoria non trovata",IF(G406="","Categoria senza tipo",""))))))))</f>
        <v/>
      </c>
    </row>
    <row r="407">
      <c r="A407" s="29" t="n">
        <v>46334</v>
      </c>
      <c r="B407" s="17" t="inlineStr">
        <is>
          <t>Streaming video</t>
        </is>
      </c>
      <c r="C407" s="17" t="inlineStr">
        <is>
          <t>Abbonamenti</t>
        </is>
      </c>
      <c r="D407" s="16" t="n">
        <v>13.99</v>
      </c>
      <c r="E407" s="30" t="inlineStr">
        <is>
          <t>Carta di credito</t>
        </is>
      </c>
      <c r="F407" s="17" t="n"/>
      <c r="G407" s="31">
        <f>IF(C407="","",IFERROR(INDEX(Categorie!$B$6:$B$65,MATCH(C407,Categorie!$A$6:$A$65,0))&amp;"",""))</f>
        <v/>
      </c>
      <c r="H407" s="32">
        <f>IF(AND(A407="",C407="",D407=""),"",IF(D407="","Manca l'importo",IF(NOT(ISNUMBER(D407)),"Importo non valido",IF(NOT(ISNUMBER(A407)),"Data mancante o non valida",IF(YEAR(A407)&lt;&gt;Impostazioni!$C$4,"Fuori dall'anno",IF(C407="","Manca la categoria",IF(ISNA(MATCH(C407,Categorie!$A$6:$A$65,0)),"Categoria non trovata",IF(G407="","Categoria senza tipo",""))))))))</f>
        <v/>
      </c>
    </row>
    <row r="408">
      <c r="A408" s="29" t="n">
        <v>46334</v>
      </c>
      <c r="B408" s="17" t="inlineStr">
        <is>
          <t>Rifornimento</t>
        </is>
      </c>
      <c r="C408" s="17" t="inlineStr">
        <is>
          <t>Carburante</t>
        </is>
      </c>
      <c r="D408" s="16" t="n">
        <v>60.75</v>
      </c>
      <c r="E408" s="30" t="inlineStr">
        <is>
          <t>Carta di credito</t>
        </is>
      </c>
      <c r="F408" s="17" t="inlineStr">
        <is>
          <t>Marco</t>
        </is>
      </c>
      <c r="G408" s="31">
        <f>IF(C408="","",IFERROR(INDEX(Categorie!$B$6:$B$65,MATCH(C408,Categorie!$A$6:$A$65,0))&amp;"",""))</f>
        <v/>
      </c>
      <c r="H408" s="32">
        <f>IF(AND(A408="",C408="",D408=""),"",IF(D408="","Manca l'importo",IF(NOT(ISNUMBER(D408)),"Importo non valido",IF(NOT(ISNUMBER(A408)),"Data mancante o non valida",IF(YEAR(A408)&lt;&gt;Impostazioni!$C$4,"Fuori dall'anno",IF(C408="","Manca la categoria",IF(ISNA(MATCH(C408,Categorie!$A$6:$A$65,0)),"Categoria non trovata",IF(G408="","Categoria senza tipo",""))))))))</f>
        <v/>
      </c>
    </row>
    <row r="409">
      <c r="A409" s="29" t="n">
        <v>46337</v>
      </c>
      <c r="B409" s="17" t="inlineStr">
        <is>
          <t>Spesa al mercato</t>
        </is>
      </c>
      <c r="C409" s="17" t="inlineStr">
        <is>
          <t>Spesa alimentare</t>
        </is>
      </c>
      <c r="D409" s="16" t="n">
        <v>17.24</v>
      </c>
      <c r="E409" s="30" t="inlineStr">
        <is>
          <t>Contanti</t>
        </is>
      </c>
      <c r="F409" s="17" t="n"/>
      <c r="G409" s="31">
        <f>IF(C409="","",IFERROR(INDEX(Categorie!$B$6:$B$65,MATCH(C409,Categorie!$A$6:$A$65,0))&amp;"",""))</f>
        <v/>
      </c>
      <c r="H409" s="32">
        <f>IF(AND(A409="",C409="",D409=""),"",IF(D409="","Manca l'importo",IF(NOT(ISNUMBER(D409)),"Importo non valido",IF(NOT(ISNUMBER(A409)),"Data mancante o non valida",IF(YEAR(A409)&lt;&gt;Impostazioni!$C$4,"Fuori dall'anno",IF(C409="","Manca la categoria",IF(ISNA(MATCH(C409,Categorie!$A$6:$A$65,0)),"Categoria non trovata",IF(G409="","Categoria senza tipo",""))))))))</f>
        <v/>
      </c>
    </row>
    <row r="410">
      <c r="A410" s="29" t="n">
        <v>46338</v>
      </c>
      <c r="B410" s="17" t="inlineStr">
        <is>
          <t>Rimborso spese mediche</t>
        </is>
      </c>
      <c r="C410" s="17" t="inlineStr">
        <is>
          <t>Rimborsi e altre entrate</t>
        </is>
      </c>
      <c r="D410" s="16" t="n">
        <v>64</v>
      </c>
      <c r="E410" s="30" t="inlineStr">
        <is>
          <t>Conto corrente</t>
        </is>
      </c>
      <c r="F410" s="17" t="n"/>
      <c r="G410" s="31">
        <f>IF(C410="","",IFERROR(INDEX(Categorie!$B$6:$B$65,MATCH(C410,Categorie!$A$6:$A$65,0))&amp;"",""))</f>
        <v/>
      </c>
      <c r="H410" s="32">
        <f>IF(AND(A410="",C410="",D410=""),"",IF(D410="","Manca l'importo",IF(NOT(ISNUMBER(D410)),"Importo non valido",IF(NOT(ISNUMBER(A410)),"Data mancante o non valida",IF(YEAR(A410)&lt;&gt;Impostazioni!$C$4,"Fuori dall'anno",IF(C410="","Manca la categoria",IF(ISNA(MATCH(C410,Categorie!$A$6:$A$65,0)),"Categoria non trovata",IF(G410="","Categoria senza tipo",""))))))))</f>
        <v/>
      </c>
    </row>
    <row r="411">
      <c r="A411" s="29" t="n">
        <v>46339</v>
      </c>
      <c r="B411" s="17" t="inlineStr">
        <is>
          <t>Farmacia</t>
        </is>
      </c>
      <c r="C411" s="17" t="inlineStr">
        <is>
          <t>Farmacia e salute</t>
        </is>
      </c>
      <c r="D411" s="16" t="n">
        <v>11.59</v>
      </c>
      <c r="E411" s="30" t="inlineStr">
        <is>
          <t>Carta di debito</t>
        </is>
      </c>
      <c r="F411" s="17" t="n"/>
      <c r="G411" s="31">
        <f>IF(C411="","",IFERROR(INDEX(Categorie!$B$6:$B$65,MATCH(C411,Categorie!$A$6:$A$65,0))&amp;"",""))</f>
        <v/>
      </c>
      <c r="H411" s="32">
        <f>IF(AND(A411="",C411="",D411=""),"",IF(D411="","Manca l'importo",IF(NOT(ISNUMBER(D411)),"Importo non valido",IF(NOT(ISNUMBER(A411)),"Data mancante o non valida",IF(YEAR(A411)&lt;&gt;Impostazioni!$C$4,"Fuori dall'anno",IF(C411="","Manca la categoria",IF(ISNA(MATCH(C411,Categorie!$A$6:$A$65,0)),"Categoria non trovata",IF(G411="","Categoria senza tipo",""))))))))</f>
        <v/>
      </c>
    </row>
    <row r="412">
      <c r="A412" s="29" t="n">
        <v>46340</v>
      </c>
      <c r="B412" s="17" t="inlineStr">
        <is>
          <t>Giaccone</t>
        </is>
      </c>
      <c r="C412" s="17" t="inlineStr">
        <is>
          <t>Abbigliamento</t>
        </is>
      </c>
      <c r="D412" s="16" t="n">
        <v>109</v>
      </c>
      <c r="E412" s="30" t="inlineStr">
        <is>
          <t>Carta di credito</t>
        </is>
      </c>
      <c r="F412" s="17" t="inlineStr">
        <is>
          <t>Marco</t>
        </is>
      </c>
      <c r="G412" s="31">
        <f>IF(C412="","",IFERROR(INDEX(Categorie!$B$6:$B$65,MATCH(C412,Categorie!$A$6:$A$65,0))&amp;"",""))</f>
        <v/>
      </c>
      <c r="H412" s="32">
        <f>IF(AND(A412="",C412="",D412=""),"",IF(D412="","Manca l'importo",IF(NOT(ISNUMBER(D412)),"Importo non valido",IF(NOT(ISNUMBER(A412)),"Data mancante o non valida",IF(YEAR(A412)&lt;&gt;Impostazioni!$C$4,"Fuori dall'anno",IF(C412="","Manca la categoria",IF(ISNA(MATCH(C412,Categorie!$A$6:$A$65,0)),"Categoria non trovata",IF(G412="","Categoria senza tipo",""))))))))</f>
        <v/>
      </c>
    </row>
    <row r="413">
      <c r="A413" s="29" t="n">
        <v>46340</v>
      </c>
      <c r="B413" s="17" t="inlineStr">
        <is>
          <t>Farmacia</t>
        </is>
      </c>
      <c r="C413" s="17" t="inlineStr">
        <is>
          <t>Farmacia e salute</t>
        </is>
      </c>
      <c r="D413" s="16" t="n">
        <v>15.76</v>
      </c>
      <c r="E413" s="30" t="inlineStr">
        <is>
          <t>Carta di debito</t>
        </is>
      </c>
      <c r="F413" s="17" t="n"/>
      <c r="G413" s="31">
        <f>IF(C413="","",IFERROR(INDEX(Categorie!$B$6:$B$65,MATCH(C413,Categorie!$A$6:$A$65,0))&amp;"",""))</f>
        <v/>
      </c>
      <c r="H413" s="32">
        <f>IF(AND(A413="",C413="",D413=""),"",IF(D413="","Manca l'importo",IF(NOT(ISNUMBER(D413)),"Importo non valido",IF(NOT(ISNUMBER(A413)),"Data mancante o non valida",IF(YEAR(A413)&lt;&gt;Impostazioni!$C$4,"Fuori dall'anno",IF(C413="","Manca la categoria",IF(ISNA(MATCH(C413,Categorie!$A$6:$A$65,0)),"Categoria non trovata",IF(G413="","Categoria senza tipo",""))))))))</f>
        <v/>
      </c>
    </row>
    <row r="414">
      <c r="A414" s="29" t="n">
        <v>46340</v>
      </c>
      <c r="B414" s="17" t="inlineStr">
        <is>
          <t>Spesa settimanale</t>
        </is>
      </c>
      <c r="C414" s="17" t="inlineStr">
        <is>
          <t>Spesa alimentare</t>
        </is>
      </c>
      <c r="D414" s="16" t="n">
        <v>131.87</v>
      </c>
      <c r="E414" s="30" t="inlineStr">
        <is>
          <t>Carta di debito</t>
        </is>
      </c>
      <c r="F414" s="17" t="n"/>
      <c r="G414" s="31">
        <f>IF(C414="","",IFERROR(INDEX(Categorie!$B$6:$B$65,MATCH(C414,Categorie!$A$6:$A$65,0))&amp;"",""))</f>
        <v/>
      </c>
      <c r="H414" s="32">
        <f>IF(AND(A414="",C414="",D414=""),"",IF(D414="","Manca l'importo",IF(NOT(ISNUMBER(D414)),"Importo non valido",IF(NOT(ISNUMBER(A414)),"Data mancante o non valida",IF(YEAR(A414)&lt;&gt;Impostazioni!$C$4,"Fuori dall'anno",IF(C414="","Manca la categoria",IF(ISNA(MATCH(C414,Categorie!$A$6:$A$65,0)),"Categoria non trovata",IF(G414="","Categoria senza tipo",""))))))))</f>
        <v/>
      </c>
    </row>
    <row r="415">
      <c r="A415" s="29" t="n">
        <v>46340</v>
      </c>
      <c r="B415" s="17" t="inlineStr">
        <is>
          <t>Parcheggio</t>
        </is>
      </c>
      <c r="C415" s="17" t="inlineStr">
        <is>
          <t>Trasporti</t>
        </is>
      </c>
      <c r="D415" s="16" t="n">
        <v>3.91</v>
      </c>
      <c r="E415" s="30" t="inlineStr">
        <is>
          <t>Contanti</t>
        </is>
      </c>
      <c r="F415" s="17" t="n"/>
      <c r="G415" s="31">
        <f>IF(C415="","",IFERROR(INDEX(Categorie!$B$6:$B$65,MATCH(C415,Categorie!$A$6:$A$65,0))&amp;"",""))</f>
        <v/>
      </c>
      <c r="H415" s="32">
        <f>IF(AND(A415="",C415="",D415=""),"",IF(D415="","Manca l'importo",IF(NOT(ISNUMBER(D415)),"Importo non valido",IF(NOT(ISNUMBER(A415)),"Data mancante o non valida",IF(YEAR(A415)&lt;&gt;Impostazioni!$C$4,"Fuori dall'anno",IF(C415="","Manca la categoria",IF(ISNA(MATCH(C415,Categorie!$A$6:$A$65,0)),"Categoria non trovata",IF(G415="","Categoria senza tipo",""))))))))</f>
        <v/>
      </c>
    </row>
    <row r="416">
      <c r="A416" s="29" t="n">
        <v>46341</v>
      </c>
      <c r="B416" s="17" t="inlineStr">
        <is>
          <t>Farmacia</t>
        </is>
      </c>
      <c r="C416" s="17" t="inlineStr">
        <is>
          <t>Farmacia e salute</t>
        </is>
      </c>
      <c r="D416" s="16" t="n">
        <v>33.78</v>
      </c>
      <c r="E416" s="30" t="inlineStr">
        <is>
          <t>Carta di debito</t>
        </is>
      </c>
      <c r="F416" s="17" t="n"/>
      <c r="G416" s="31">
        <f>IF(C416="","",IFERROR(INDEX(Categorie!$B$6:$B$65,MATCH(C416,Categorie!$A$6:$A$65,0))&amp;"",""))</f>
        <v/>
      </c>
      <c r="H416" s="32">
        <f>IF(AND(A416="",C416="",D416=""),"",IF(D416="","Manca l'importo",IF(NOT(ISNUMBER(D416)),"Importo non valido",IF(NOT(ISNUMBER(A416)),"Data mancante o non valida",IF(YEAR(A416)&lt;&gt;Impostazioni!$C$4,"Fuori dall'anno",IF(C416="","Manca la categoria",IF(ISNA(MATCH(C416,Categorie!$A$6:$A$65,0)),"Categoria non trovata",IF(G416="","Categoria senza tipo",""))))))))</f>
        <v/>
      </c>
    </row>
    <row r="417">
      <c r="A417" s="29" t="n">
        <v>46341</v>
      </c>
      <c r="B417" s="17" t="inlineStr">
        <is>
          <t>Rata carta revolving</t>
        </is>
      </c>
      <c r="C417" s="17" t="inlineStr">
        <is>
          <t>Rate di prestiti</t>
        </is>
      </c>
      <c r="D417" s="16" t="n">
        <v>60</v>
      </c>
      <c r="E417" s="30" t="inlineStr">
        <is>
          <t>Conto corrente</t>
        </is>
      </c>
      <c r="F417" s="17" t="n"/>
      <c r="G417" s="31">
        <f>IF(C417="","",IFERROR(INDEX(Categorie!$B$6:$B$65,MATCH(C417,Categorie!$A$6:$A$65,0))&amp;"",""))</f>
        <v/>
      </c>
      <c r="H417" s="32">
        <f>IF(AND(A417="",C417="",D417=""),"",IF(D417="","Manca l'importo",IF(NOT(ISNUMBER(D417)),"Importo non valido",IF(NOT(ISNUMBER(A417)),"Data mancante o non valida",IF(YEAR(A417)&lt;&gt;Impostazioni!$C$4,"Fuori dall'anno",IF(C417="","Manca la categoria",IF(ISNA(MATCH(C417,Categorie!$A$6:$A$65,0)),"Categoria non trovata",IF(G417="","Categoria senza tipo",""))))))))</f>
        <v/>
      </c>
    </row>
    <row r="418">
      <c r="A418" s="29" t="n">
        <v>46341</v>
      </c>
      <c r="B418" s="17" t="inlineStr">
        <is>
          <t>Rata lavatrice a tasso zero</t>
        </is>
      </c>
      <c r="C418" s="17" t="inlineStr">
        <is>
          <t>Rate di prestiti</t>
        </is>
      </c>
      <c r="D418" s="16" t="n">
        <v>40</v>
      </c>
      <c r="E418" s="30" t="inlineStr">
        <is>
          <t>Conto corrente</t>
        </is>
      </c>
      <c r="F418" s="17" t="n"/>
      <c r="G418" s="31">
        <f>IF(C418="","",IFERROR(INDEX(Categorie!$B$6:$B$65,MATCH(C418,Categorie!$A$6:$A$65,0))&amp;"",""))</f>
        <v/>
      </c>
      <c r="H418" s="32">
        <f>IF(AND(A418="",C418="",D418=""),"",IF(D418="","Manca l'importo",IF(NOT(ISNUMBER(D418)),"Importo non valido",IF(NOT(ISNUMBER(A418)),"Data mancante o non valida",IF(YEAR(A418)&lt;&gt;Impostazioni!$C$4,"Fuori dall'anno",IF(C418="","Manca la categoria",IF(ISNA(MATCH(C418,Categorie!$A$6:$A$65,0)),"Categoria non trovata",IF(G418="","Categoria senza tipo",""))))))))</f>
        <v/>
      </c>
    </row>
    <row r="419">
      <c r="A419" s="29" t="n">
        <v>46341</v>
      </c>
      <c r="B419" s="17" t="inlineStr">
        <is>
          <t>Rata prestito auto</t>
        </is>
      </c>
      <c r="C419" s="17" t="inlineStr">
        <is>
          <t>Rate di prestiti</t>
        </is>
      </c>
      <c r="D419" s="16" t="n">
        <v>210</v>
      </c>
      <c r="E419" s="30" t="inlineStr">
        <is>
          <t>Conto corrente</t>
        </is>
      </c>
      <c r="F419" s="17" t="n"/>
      <c r="G419" s="31">
        <f>IF(C419="","",IFERROR(INDEX(Categorie!$B$6:$B$65,MATCH(C419,Categorie!$A$6:$A$65,0))&amp;"",""))</f>
        <v/>
      </c>
      <c r="H419" s="32">
        <f>IF(AND(A419="",C419="",D419=""),"",IF(D419="","Manca l'importo",IF(NOT(ISNUMBER(D419)),"Importo non valido",IF(NOT(ISNUMBER(A419)),"Data mancante o non valida",IF(YEAR(A419)&lt;&gt;Impostazioni!$C$4,"Fuori dall'anno",IF(C419="","Manca la categoria",IF(ISNA(MATCH(C419,Categorie!$A$6:$A$65,0)),"Categoria non trovata",IF(G419="","Categoria senza tipo",""))))))))</f>
        <v/>
      </c>
    </row>
    <row r="420">
      <c r="A420" s="29" t="n">
        <v>46342</v>
      </c>
      <c r="B420" s="17" t="inlineStr">
        <is>
          <t>Gelateria</t>
        </is>
      </c>
      <c r="C420" s="17" t="inlineStr">
        <is>
          <t>Svago</t>
        </is>
      </c>
      <c r="D420" s="16" t="n">
        <v>10.24</v>
      </c>
      <c r="E420" s="30" t="inlineStr">
        <is>
          <t>Carta di debito</t>
        </is>
      </c>
      <c r="F420" s="17" t="n"/>
      <c r="G420" s="31">
        <f>IF(C420="","",IFERROR(INDEX(Categorie!$B$6:$B$65,MATCH(C420,Categorie!$A$6:$A$65,0))&amp;"",""))</f>
        <v/>
      </c>
      <c r="H420" s="32">
        <f>IF(AND(A420="",C420="",D420=""),"",IF(D420="","Manca l'importo",IF(NOT(ISNUMBER(D420)),"Importo non valido",IF(NOT(ISNUMBER(A420)),"Data mancante o non valida",IF(YEAR(A420)&lt;&gt;Impostazioni!$C$4,"Fuori dall'anno",IF(C420="","Manca la categoria",IF(ISNA(MATCH(C420,Categorie!$A$6:$A$65,0)),"Categoria non trovata",IF(G420="","Categoria senza tipo",""))))))))</f>
        <v/>
      </c>
    </row>
    <row r="421">
      <c r="A421" s="29" t="n">
        <v>46342</v>
      </c>
      <c r="B421" s="17" t="inlineStr">
        <is>
          <t>TARI rata</t>
        </is>
      </c>
      <c r="C421" s="17" t="inlineStr">
        <is>
          <t>TARI</t>
        </is>
      </c>
      <c r="D421" s="16" t="n">
        <v>108.67</v>
      </c>
      <c r="E421" s="30" t="inlineStr">
        <is>
          <t>Conto corrente</t>
        </is>
      </c>
      <c r="F421" s="17" t="n"/>
      <c r="G421" s="31">
        <f>IF(C421="","",IFERROR(INDEX(Categorie!$B$6:$B$65,MATCH(C421,Categorie!$A$6:$A$65,0))&amp;"",""))</f>
        <v/>
      </c>
      <c r="H421" s="32">
        <f>IF(AND(A421="",C421="",D421=""),"",IF(D421="","Manca l'importo",IF(NOT(ISNUMBER(D421)),"Importo non valido",IF(NOT(ISNUMBER(A421)),"Data mancante o non valida",IF(YEAR(A421)&lt;&gt;Impostazioni!$C$4,"Fuori dall'anno",IF(C421="","Manca la categoria",IF(ISNA(MATCH(C421,Categorie!$A$6:$A$65,0)),"Categoria non trovata",IF(G421="","Categoria senza tipo",""))))))))</f>
        <v/>
      </c>
    </row>
    <row r="422">
      <c r="A422" s="29" t="n">
        <v>46343</v>
      </c>
      <c r="B422" s="17" t="inlineStr">
        <is>
          <t>Cena con amici</t>
        </is>
      </c>
      <c r="C422" s="17" t="inlineStr">
        <is>
          <t>Svago</t>
        </is>
      </c>
      <c r="D422" s="16" t="n">
        <v>60.56</v>
      </c>
      <c r="E422" s="30" t="inlineStr">
        <is>
          <t>Carta di debito</t>
        </is>
      </c>
      <c r="F422" s="17" t="n"/>
      <c r="G422" s="31">
        <f>IF(C422="","",IFERROR(INDEX(Categorie!$B$6:$B$65,MATCH(C422,Categorie!$A$6:$A$65,0))&amp;"",""))</f>
        <v/>
      </c>
      <c r="H422" s="32">
        <f>IF(AND(A422="",C422="",D422=""),"",IF(D422="","Manca l'importo",IF(NOT(ISNUMBER(D422)),"Importo non valido",IF(NOT(ISNUMBER(A422)),"Data mancante o non valida",IF(YEAR(A422)&lt;&gt;Impostazioni!$C$4,"Fuori dall'anno",IF(C422="","Manca la categoria",IF(ISNA(MATCH(C422,Categorie!$A$6:$A$65,0)),"Categoria non trovata",IF(G422="","Categoria senza tipo",""))))))))</f>
        <v/>
      </c>
    </row>
    <row r="423">
      <c r="A423" s="29" t="n">
        <v>46344</v>
      </c>
      <c r="B423" s="17" t="inlineStr">
        <is>
          <t>Bolletta gas</t>
        </is>
      </c>
      <c r="C423" s="17" t="inlineStr">
        <is>
          <t>Gas</t>
        </is>
      </c>
      <c r="D423" s="16" t="n">
        <v>111.38</v>
      </c>
      <c r="E423" s="30" t="inlineStr">
        <is>
          <t>Conto corrente</t>
        </is>
      </c>
      <c r="F423" s="17" t="n"/>
      <c r="G423" s="31">
        <f>IF(C423="","",IFERROR(INDEX(Categorie!$B$6:$B$65,MATCH(C423,Categorie!$A$6:$A$65,0))&amp;"",""))</f>
        <v/>
      </c>
      <c r="H423" s="32">
        <f>IF(AND(A423="",C423="",D423=""),"",IF(D423="","Manca l'importo",IF(NOT(ISNUMBER(D423)),"Importo non valido",IF(NOT(ISNUMBER(A423)),"Data mancante o non valida",IF(YEAR(A423)&lt;&gt;Impostazioni!$C$4,"Fuori dall'anno",IF(C423="","Manca la categoria",IF(ISNA(MATCH(C423,Categorie!$A$6:$A$65,0)),"Categoria non trovata",IF(G423="","Categoria senza tipo",""))))))))</f>
        <v/>
      </c>
    </row>
    <row r="424">
      <c r="A424" s="29" t="n">
        <v>46344</v>
      </c>
      <c r="B424" s="17" t="inlineStr">
        <is>
          <t>Bolletta luce</t>
        </is>
      </c>
      <c r="C424" s="17" t="inlineStr">
        <is>
          <t>Luce</t>
        </is>
      </c>
      <c r="D424" s="16" t="n">
        <v>72.16</v>
      </c>
      <c r="E424" s="30" t="inlineStr">
        <is>
          <t>Conto corrente</t>
        </is>
      </c>
      <c r="F424" s="17" t="n"/>
      <c r="G424" s="31">
        <f>IF(C424="","",IFERROR(INDEX(Categorie!$B$6:$B$65,MATCH(C424,Categorie!$A$6:$A$65,0))&amp;"",""))</f>
        <v/>
      </c>
      <c r="H424" s="32">
        <f>IF(AND(A424="",C424="",D424=""),"",IF(D424="","Manca l'importo",IF(NOT(ISNUMBER(D424)),"Importo non valido",IF(NOT(ISNUMBER(A424)),"Data mancante o non valida",IF(YEAR(A424)&lt;&gt;Impostazioni!$C$4,"Fuori dall'anno",IF(C424="","Manca la categoria",IF(ISNA(MATCH(C424,Categorie!$A$6:$A$65,0)),"Categoria non trovata",IF(G424="","Categoria senza tipo",""))))))))</f>
        <v/>
      </c>
    </row>
    <row r="425">
      <c r="A425" s="29" t="n">
        <v>46345</v>
      </c>
      <c r="B425" s="17" t="inlineStr">
        <is>
          <t>Rifornimento</t>
        </is>
      </c>
      <c r="C425" s="17" t="inlineStr">
        <is>
          <t>Carburante</t>
        </is>
      </c>
      <c r="D425" s="16" t="n">
        <v>54.21</v>
      </c>
      <c r="E425" s="30" t="inlineStr">
        <is>
          <t>Carta di credito</t>
        </is>
      </c>
      <c r="F425" s="17" t="inlineStr">
        <is>
          <t>Giulia</t>
        </is>
      </c>
      <c r="G425" s="31">
        <f>IF(C425="","",IFERROR(INDEX(Categorie!$B$6:$B$65,MATCH(C425,Categorie!$A$6:$A$65,0))&amp;"",""))</f>
        <v/>
      </c>
      <c r="H425" s="32">
        <f>IF(AND(A425="",C425="",D425=""),"",IF(D425="","Manca l'importo",IF(NOT(ISNUMBER(D425)),"Importo non valido",IF(NOT(ISNUMBER(A425)),"Data mancante o non valida",IF(YEAR(A425)&lt;&gt;Impostazioni!$C$4,"Fuori dall'anno",IF(C425="","Manca la categoria",IF(ISNA(MATCH(C425,Categorie!$A$6:$A$65,0)),"Categoria non trovata",IF(G425="","Categoria senza tipo",""))))))))</f>
        <v/>
      </c>
    </row>
    <row r="426">
      <c r="A426" s="29" t="n">
        <v>46346</v>
      </c>
      <c r="B426" s="17" t="inlineStr">
        <is>
          <t>Assegno unico INPS</t>
        </is>
      </c>
      <c r="C426" s="17" t="inlineStr">
        <is>
          <t>Assegno unico figli</t>
        </is>
      </c>
      <c r="D426" s="16" t="n">
        <v>145.3</v>
      </c>
      <c r="E426" s="30" t="inlineStr">
        <is>
          <t>Conto corrente</t>
        </is>
      </c>
      <c r="F426" s="17" t="n"/>
      <c r="G426" s="31">
        <f>IF(C426="","",IFERROR(INDEX(Categorie!$B$6:$B$65,MATCH(C426,Categorie!$A$6:$A$65,0))&amp;"",""))</f>
        <v/>
      </c>
      <c r="H426" s="32">
        <f>IF(AND(A426="",C426="",D426=""),"",IF(D426="","Manca l'importo",IF(NOT(ISNUMBER(D426)),"Importo non valido",IF(NOT(ISNUMBER(A426)),"Data mancante o non valida",IF(YEAR(A426)&lt;&gt;Impostazioni!$C$4,"Fuori dall'anno",IF(C426="","Manca la categoria",IF(ISNA(MATCH(C426,Categorie!$A$6:$A$65,0)),"Categoria non trovata",IF(G426="","Categoria senza tipo",""))))))))</f>
        <v/>
      </c>
    </row>
    <row r="427">
      <c r="A427" s="29" t="n">
        <v>46347</v>
      </c>
      <c r="B427" s="17" t="inlineStr">
        <is>
          <t>Spesa settimanale</t>
        </is>
      </c>
      <c r="C427" s="17" t="inlineStr">
        <is>
          <t>Spesa alimentare</t>
        </is>
      </c>
      <c r="D427" s="16" t="n">
        <v>95.13</v>
      </c>
      <c r="E427" s="30" t="inlineStr">
        <is>
          <t>Carta di debito</t>
        </is>
      </c>
      <c r="F427" s="17" t="n"/>
      <c r="G427" s="31">
        <f>IF(C427="","",IFERROR(INDEX(Categorie!$B$6:$B$65,MATCH(C427,Categorie!$A$6:$A$65,0))&amp;"",""))</f>
        <v/>
      </c>
      <c r="H427" s="32">
        <f>IF(AND(A427="",C427="",D427=""),"",IF(D427="","Manca l'importo",IF(NOT(ISNUMBER(D427)),"Importo non valido",IF(NOT(ISNUMBER(A427)),"Data mancante o non valida",IF(YEAR(A427)&lt;&gt;Impostazioni!$C$4,"Fuori dall'anno",IF(C427="","Manca la categoria",IF(ISNA(MATCH(C427,Categorie!$A$6:$A$65,0)),"Categoria non trovata",IF(G427="","Categoria senza tipo",""))))))))</f>
        <v/>
      </c>
    </row>
    <row r="428">
      <c r="A428" s="29" t="n">
        <v>46348</v>
      </c>
      <c r="B428" s="17" t="inlineStr">
        <is>
          <t>Bolletta acqua</t>
        </is>
      </c>
      <c r="C428" s="17" t="inlineStr">
        <is>
          <t>Acqua</t>
        </is>
      </c>
      <c r="D428" s="16" t="n">
        <v>95.09999999999999</v>
      </c>
      <c r="E428" s="30" t="inlineStr">
        <is>
          <t>Conto corrente</t>
        </is>
      </c>
      <c r="F428" s="17" t="n"/>
      <c r="G428" s="31">
        <f>IF(C428="","",IFERROR(INDEX(Categorie!$B$6:$B$65,MATCH(C428,Categorie!$A$6:$A$65,0))&amp;"",""))</f>
        <v/>
      </c>
      <c r="H428" s="32">
        <f>IF(AND(A428="",C428="",D428=""),"",IF(D428="","Manca l'importo",IF(NOT(ISNUMBER(D428)),"Importo non valido",IF(NOT(ISNUMBER(A428)),"Data mancante o non valida",IF(YEAR(A428)&lt;&gt;Impostazioni!$C$4,"Fuori dall'anno",IF(C428="","Manca la categoria",IF(ISNA(MATCH(C428,Categorie!$A$6:$A$65,0)),"Categoria non trovata",IF(G428="","Categoria senza tipo",""))))))))</f>
        <v/>
      </c>
    </row>
    <row r="429">
      <c r="A429" s="29" t="n">
        <v>46351</v>
      </c>
      <c r="B429" s="17" t="inlineStr">
        <is>
          <t>Spesa al mercato</t>
        </is>
      </c>
      <c r="C429" s="17" t="inlineStr">
        <is>
          <t>Spesa alimentare</t>
        </is>
      </c>
      <c r="D429" s="16" t="n">
        <v>18.7</v>
      </c>
      <c r="E429" s="30" t="inlineStr">
        <is>
          <t>Contanti</t>
        </is>
      </c>
      <c r="F429" s="17" t="n"/>
      <c r="G429" s="31">
        <f>IF(C429="","",IFERROR(INDEX(Categorie!$B$6:$B$65,MATCH(C429,Categorie!$A$6:$A$65,0))&amp;"",""))</f>
        <v/>
      </c>
      <c r="H429" s="32">
        <f>IF(AND(A429="",C429="",D429=""),"",IF(D429="","Manca l'importo",IF(NOT(ISNUMBER(D429)),"Importo non valido",IF(NOT(ISNUMBER(A429)),"Data mancante o non valida",IF(YEAR(A429)&lt;&gt;Impostazioni!$C$4,"Fuori dall'anno",IF(C429="","Manca la categoria",IF(ISNA(MATCH(C429,Categorie!$A$6:$A$65,0)),"Categoria non trovata",IF(G429="","Categoria senza tipo",""))))))))</f>
        <v/>
      </c>
    </row>
    <row r="430">
      <c r="A430" s="29" t="n">
        <v>46352</v>
      </c>
      <c r="B430" s="17" t="inlineStr">
        <is>
          <t>Bar</t>
        </is>
      </c>
      <c r="C430" s="17" t="inlineStr">
        <is>
          <t>Svago</t>
        </is>
      </c>
      <c r="D430" s="16" t="n">
        <v>12.52</v>
      </c>
      <c r="E430" s="30" t="inlineStr">
        <is>
          <t>Carta di debito</t>
        </is>
      </c>
      <c r="F430" s="17" t="n"/>
      <c r="G430" s="31">
        <f>IF(C430="","",IFERROR(INDEX(Categorie!$B$6:$B$65,MATCH(C430,Categorie!$A$6:$A$65,0))&amp;"",""))</f>
        <v/>
      </c>
      <c r="H430" s="32">
        <f>IF(AND(A430="",C430="",D430=""),"",IF(D430="","Manca l'importo",IF(NOT(ISNUMBER(D430)),"Importo non valido",IF(NOT(ISNUMBER(A430)),"Data mancante o non valida",IF(YEAR(A430)&lt;&gt;Impostazioni!$C$4,"Fuori dall'anno",IF(C430="","Manca la categoria",IF(ISNA(MATCH(C430,Categorie!$A$6:$A$65,0)),"Categoria non trovata",IF(G430="","Categoria senza tipo",""))))))))</f>
        <v/>
      </c>
    </row>
    <row r="431">
      <c r="A431" s="29" t="n">
        <v>46353</v>
      </c>
      <c r="B431" s="17" t="inlineStr">
        <is>
          <t>Stipendio</t>
        </is>
      </c>
      <c r="C431" s="17" t="inlineStr">
        <is>
          <t>Stipendio Giulia</t>
        </is>
      </c>
      <c r="D431" s="16" t="n">
        <v>1480</v>
      </c>
      <c r="E431" s="30" t="inlineStr">
        <is>
          <t>Conto corrente</t>
        </is>
      </c>
      <c r="F431" s="17" t="inlineStr">
        <is>
          <t>Giulia</t>
        </is>
      </c>
      <c r="G431" s="31">
        <f>IF(C431="","",IFERROR(INDEX(Categorie!$B$6:$B$65,MATCH(C431,Categorie!$A$6:$A$65,0))&amp;"",""))</f>
        <v/>
      </c>
      <c r="H431" s="32">
        <f>IF(AND(A431="",C431="",D431=""),"",IF(D431="","Manca l'importo",IF(NOT(ISNUMBER(D431)),"Importo non valido",IF(NOT(ISNUMBER(A431)),"Data mancante o non valida",IF(YEAR(A431)&lt;&gt;Impostazioni!$C$4,"Fuori dall'anno",IF(C431="","Manca la categoria",IF(ISNA(MATCH(C431,Categorie!$A$6:$A$65,0)),"Categoria non trovata",IF(G431="","Categoria senza tipo",""))))))))</f>
        <v/>
      </c>
    </row>
    <row r="432">
      <c r="A432" s="29" t="n">
        <v>46353</v>
      </c>
      <c r="B432" s="17" t="inlineStr">
        <is>
          <t>Stipendio</t>
        </is>
      </c>
      <c r="C432" s="17" t="inlineStr">
        <is>
          <t>Stipendio Marco</t>
        </is>
      </c>
      <c r="D432" s="16" t="n">
        <v>1850</v>
      </c>
      <c r="E432" s="30" t="inlineStr">
        <is>
          <t>Conto corrente</t>
        </is>
      </c>
      <c r="F432" s="17" t="inlineStr">
        <is>
          <t>Marco</t>
        </is>
      </c>
      <c r="G432" s="31">
        <f>IF(C432="","",IFERROR(INDEX(Categorie!$B$6:$B$65,MATCH(C432,Categorie!$A$6:$A$65,0))&amp;"",""))</f>
        <v/>
      </c>
      <c r="H432" s="32">
        <f>IF(AND(A432="",C432="",D432=""),"",IF(D432="","Manca l'importo",IF(NOT(ISNUMBER(D432)),"Importo non valido",IF(NOT(ISNUMBER(A432)),"Data mancante o non valida",IF(YEAR(A432)&lt;&gt;Impostazioni!$C$4,"Fuori dall'anno",IF(C432="","Manca la categoria",IF(ISNA(MATCH(C432,Categorie!$A$6:$A$65,0)),"Categoria non trovata",IF(G432="","Categoria senza tipo",""))))))))</f>
        <v/>
      </c>
    </row>
    <row r="433">
      <c r="A433" s="29" t="n">
        <v>46353</v>
      </c>
      <c r="B433" s="17" t="inlineStr">
        <is>
          <t>Cena con amici</t>
        </is>
      </c>
      <c r="C433" s="17" t="inlineStr">
        <is>
          <t>Svago</t>
        </is>
      </c>
      <c r="D433" s="16" t="n">
        <v>63.36</v>
      </c>
      <c r="E433" s="30" t="inlineStr">
        <is>
          <t>Carta di debito</t>
        </is>
      </c>
      <c r="F433" s="17" t="n"/>
      <c r="G433" s="31">
        <f>IF(C433="","",IFERROR(INDEX(Categorie!$B$6:$B$65,MATCH(C433,Categorie!$A$6:$A$65,0))&amp;"",""))</f>
        <v/>
      </c>
      <c r="H433" s="32">
        <f>IF(AND(A433="",C433="",D433=""),"",IF(D433="","Manca l'importo",IF(NOT(ISNUMBER(D433)),"Importo non valido",IF(NOT(ISNUMBER(A433)),"Data mancante o non valida",IF(YEAR(A433)&lt;&gt;Impostazioni!$C$4,"Fuori dall'anno",IF(C433="","Manca la categoria",IF(ISNA(MATCH(C433,Categorie!$A$6:$A$65,0)),"Categoria non trovata",IF(G433="","Categoria senza tipo",""))))))))</f>
        <v/>
      </c>
    </row>
    <row r="434">
      <c r="A434" s="29" t="n">
        <v>46354</v>
      </c>
      <c r="B434" s="17" t="inlineStr">
        <is>
          <t>Rifornimento</t>
        </is>
      </c>
      <c r="C434" s="17" t="inlineStr">
        <is>
          <t>Carburante</t>
        </is>
      </c>
      <c r="D434" s="16" t="n">
        <v>67.98</v>
      </c>
      <c r="E434" s="30" t="inlineStr">
        <is>
          <t>Carta di credito</t>
        </is>
      </c>
      <c r="F434" s="17" t="inlineStr">
        <is>
          <t>Marco</t>
        </is>
      </c>
      <c r="G434" s="31">
        <f>IF(C434="","",IFERROR(INDEX(Categorie!$B$6:$B$65,MATCH(C434,Categorie!$A$6:$A$65,0))&amp;"",""))</f>
        <v/>
      </c>
      <c r="H434" s="32">
        <f>IF(AND(A434="",C434="",D434=""),"",IF(D434="","Manca l'importo",IF(NOT(ISNUMBER(D434)),"Importo non valido",IF(NOT(ISNUMBER(A434)),"Data mancante o non valida",IF(YEAR(A434)&lt;&gt;Impostazioni!$C$4,"Fuori dall'anno",IF(C434="","Manca la categoria",IF(ISNA(MATCH(C434,Categorie!$A$6:$A$65,0)),"Categoria non trovata",IF(G434="","Categoria senza tipo",""))))))))</f>
        <v/>
      </c>
    </row>
    <row r="435">
      <c r="A435" s="29" t="n">
        <v>46354</v>
      </c>
      <c r="B435" s="17" t="inlineStr">
        <is>
          <t>Versamento fondo emergenze</t>
        </is>
      </c>
      <c r="C435" s="17" t="inlineStr">
        <is>
          <t>Fondo emergenze</t>
        </is>
      </c>
      <c r="D435" s="16" t="n">
        <v>150</v>
      </c>
      <c r="E435" s="30" t="inlineStr">
        <is>
          <t>Conto corrente</t>
        </is>
      </c>
      <c r="F435" s="17" t="n"/>
      <c r="G435" s="31">
        <f>IF(C435="","",IFERROR(INDEX(Categorie!$B$6:$B$65,MATCH(C435,Categorie!$A$6:$A$65,0))&amp;"",""))</f>
        <v/>
      </c>
      <c r="H435" s="32">
        <f>IF(AND(A435="",C435="",D435=""),"",IF(D435="","Manca l'importo",IF(NOT(ISNUMBER(D435)),"Importo non valido",IF(NOT(ISNUMBER(A435)),"Data mancante o non valida",IF(YEAR(A435)&lt;&gt;Impostazioni!$C$4,"Fuori dall'anno",IF(C435="","Manca la categoria",IF(ISNA(MATCH(C435,Categorie!$A$6:$A$65,0)),"Categoria non trovata",IF(G435="","Categoria senza tipo",""))))))))</f>
        <v/>
      </c>
    </row>
    <row r="436">
      <c r="A436" s="29" t="n">
        <v>46354</v>
      </c>
      <c r="B436" s="17" t="inlineStr">
        <is>
          <t>Piano di accumulo mensile</t>
        </is>
      </c>
      <c r="C436" s="17" t="inlineStr">
        <is>
          <t>Investimenti</t>
        </is>
      </c>
      <c r="D436" s="16" t="n">
        <v>100</v>
      </c>
      <c r="E436" s="30" t="inlineStr">
        <is>
          <t>Conto corrente</t>
        </is>
      </c>
      <c r="F436" s="17" t="n"/>
      <c r="G436" s="31">
        <f>IF(C436="","",IFERROR(INDEX(Categorie!$B$6:$B$65,MATCH(C436,Categorie!$A$6:$A$65,0))&amp;"",""))</f>
        <v/>
      </c>
      <c r="H436" s="32">
        <f>IF(AND(A436="",C436="",D436=""),"",IF(D436="","Manca l'importo",IF(NOT(ISNUMBER(D436)),"Importo non valido",IF(NOT(ISNUMBER(A436)),"Data mancante o non valida",IF(YEAR(A436)&lt;&gt;Impostazioni!$C$4,"Fuori dall'anno",IF(C436="","Manca la categoria",IF(ISNA(MATCH(C436,Categorie!$A$6:$A$65,0)),"Categoria non trovata",IF(G436="","Categoria senza tipo",""))))))))</f>
        <v/>
      </c>
    </row>
    <row r="437">
      <c r="A437" s="29" t="n">
        <v>46354</v>
      </c>
      <c r="B437" s="17" t="inlineStr">
        <is>
          <t>Accantonamento obiettivi</t>
        </is>
      </c>
      <c r="C437" s="17" t="inlineStr">
        <is>
          <t>Obiettivi di risparmio</t>
        </is>
      </c>
      <c r="D437" s="16" t="n">
        <v>200</v>
      </c>
      <c r="E437" s="30" t="inlineStr">
        <is>
          <t>Conto corrente</t>
        </is>
      </c>
      <c r="F437" s="17" t="n"/>
      <c r="G437" s="31">
        <f>IF(C437="","",IFERROR(INDEX(Categorie!$B$6:$B$65,MATCH(C437,Categorie!$A$6:$A$65,0))&amp;"",""))</f>
        <v/>
      </c>
      <c r="H437" s="32">
        <f>IF(AND(A437="",C437="",D437=""),"",IF(D437="","Manca l'importo",IF(NOT(ISNUMBER(D437)),"Importo non valido",IF(NOT(ISNUMBER(A437)),"Data mancante o non valida",IF(YEAR(A437)&lt;&gt;Impostazioni!$C$4,"Fuori dall'anno",IF(C437="","Manca la categoria",IF(ISNA(MATCH(C437,Categorie!$A$6:$A$65,0)),"Categoria non trovata",IF(G437="","Categoria senza tipo",""))))))))</f>
        <v/>
      </c>
    </row>
    <row r="438">
      <c r="A438" s="29" t="n">
        <v>46354</v>
      </c>
      <c r="B438" s="17" t="inlineStr">
        <is>
          <t>Spesa settimanale</t>
        </is>
      </c>
      <c r="C438" s="17" t="inlineStr">
        <is>
          <t>Spesa alimentare</t>
        </is>
      </c>
      <c r="D438" s="16" t="n">
        <v>89.64</v>
      </c>
      <c r="E438" s="30" t="inlineStr">
        <is>
          <t>Carta di debito</t>
        </is>
      </c>
      <c r="F438" s="17" t="n"/>
      <c r="G438" s="31">
        <f>IF(C438="","",IFERROR(INDEX(Categorie!$B$6:$B$65,MATCH(C438,Categorie!$A$6:$A$65,0))&amp;"",""))</f>
        <v/>
      </c>
      <c r="H438" s="32">
        <f>IF(AND(A438="",C438="",D438=""),"",IF(D438="","Manca l'importo",IF(NOT(ISNUMBER(D438)),"Importo non valido",IF(NOT(ISNUMBER(A438)),"Data mancante o non valida",IF(YEAR(A438)&lt;&gt;Impostazioni!$C$4,"Fuori dall'anno",IF(C438="","Manca la categoria",IF(ISNA(MATCH(C438,Categorie!$A$6:$A$65,0)),"Categoria non trovata",IF(G438="","Categoria senza tipo",""))))))))</f>
        <v/>
      </c>
    </row>
    <row r="439">
      <c r="A439" s="29" t="n">
        <v>46357</v>
      </c>
      <c r="B439" s="17" t="inlineStr">
        <is>
          <t>Rata mutuo</t>
        </is>
      </c>
      <c r="C439" s="17" t="inlineStr">
        <is>
          <t>Affitto o rata mutuo</t>
        </is>
      </c>
      <c r="D439" s="16" t="n">
        <v>680</v>
      </c>
      <c r="E439" s="30" t="inlineStr">
        <is>
          <t>Conto corrente</t>
        </is>
      </c>
      <c r="F439" s="17" t="n"/>
      <c r="G439" s="31">
        <f>IF(C439="","",IFERROR(INDEX(Categorie!$B$6:$B$65,MATCH(C439,Categorie!$A$6:$A$65,0))&amp;"",""))</f>
        <v/>
      </c>
      <c r="H439" s="32">
        <f>IF(AND(A439="",C439="",D439=""),"",IF(D439="","Manca l'importo",IF(NOT(ISNUMBER(D439)),"Importo non valido",IF(NOT(ISNUMBER(A439)),"Data mancante o non valida",IF(YEAR(A439)&lt;&gt;Impostazioni!$C$4,"Fuori dall'anno",IF(C439="","Manca la categoria",IF(ISNA(MATCH(C439,Categorie!$A$6:$A$65,0)),"Categoria non trovata",IF(G439="","Categoria senza tipo",""))))))))</f>
        <v/>
      </c>
    </row>
    <row r="440">
      <c r="A440" s="29" t="n">
        <v>46359</v>
      </c>
      <c r="B440" s="17" t="inlineStr">
        <is>
          <t>Abbonamento bus Sofia</t>
        </is>
      </c>
      <c r="C440" s="17" t="inlineStr">
        <is>
          <t>Trasporti</t>
        </is>
      </c>
      <c r="D440" s="16" t="n">
        <v>25</v>
      </c>
      <c r="E440" s="30" t="inlineStr">
        <is>
          <t>Carta di debito</t>
        </is>
      </c>
      <c r="F440" s="17" t="inlineStr">
        <is>
          <t>Sofia</t>
        </is>
      </c>
      <c r="G440" s="31">
        <f>IF(C440="","",IFERROR(INDEX(Categorie!$B$6:$B$65,MATCH(C440,Categorie!$A$6:$A$65,0))&amp;"",""))</f>
        <v/>
      </c>
      <c r="H440" s="32">
        <f>IF(AND(A440="",C440="",D440=""),"",IF(D440="","Manca l'importo",IF(NOT(ISNUMBER(D440)),"Importo non valido",IF(NOT(ISNUMBER(A440)),"Data mancante o non valida",IF(YEAR(A440)&lt;&gt;Impostazioni!$C$4,"Fuori dall'anno",IF(C440="","Manca la categoria",IF(ISNA(MATCH(C440,Categorie!$A$6:$A$65,0)),"Categoria non trovata",IF(G440="","Categoria senza tipo",""))))))))</f>
        <v/>
      </c>
    </row>
    <row r="441">
      <c r="A441" s="29" t="n">
        <v>46360</v>
      </c>
      <c r="B441" s="17" t="inlineStr">
        <is>
          <t>Mensa scolastica</t>
        </is>
      </c>
      <c r="C441" s="17" t="inlineStr">
        <is>
          <t>Scuola e figli</t>
        </is>
      </c>
      <c r="D441" s="16" t="n">
        <v>78</v>
      </c>
      <c r="E441" s="30" t="inlineStr">
        <is>
          <t>Conto corrente</t>
        </is>
      </c>
      <c r="F441" s="17" t="inlineStr">
        <is>
          <t>Sofia</t>
        </is>
      </c>
      <c r="G441" s="31">
        <f>IF(C441="","",IFERROR(INDEX(Categorie!$B$6:$B$65,MATCH(C441,Categorie!$A$6:$A$65,0))&amp;"",""))</f>
        <v/>
      </c>
      <c r="H441" s="32">
        <f>IF(AND(A441="",C441="",D441=""),"",IF(D441="","Manca l'importo",IF(NOT(ISNUMBER(D441)),"Importo non valido",IF(NOT(ISNUMBER(A441)),"Data mancante o non valida",IF(YEAR(A441)&lt;&gt;Impostazioni!$C$4,"Fuori dall'anno",IF(C441="","Manca la categoria",IF(ISNA(MATCH(C441,Categorie!$A$6:$A$65,0)),"Categoria non trovata",IF(G441="","Categoria senza tipo",""))))))))</f>
        <v/>
      </c>
    </row>
    <row r="442">
      <c r="A442" s="29" t="n">
        <v>46361</v>
      </c>
      <c r="B442" s="17" t="inlineStr">
        <is>
          <t>Fibra casa</t>
        </is>
      </c>
      <c r="C442" s="17" t="inlineStr">
        <is>
          <t>Internet e telefono</t>
        </is>
      </c>
      <c r="D442" s="16" t="n">
        <v>27.9</v>
      </c>
      <c r="E442" s="30" t="inlineStr">
        <is>
          <t>Carta di credito</t>
        </is>
      </c>
      <c r="F442" s="17" t="n"/>
      <c r="G442" s="31">
        <f>IF(C442="","",IFERROR(INDEX(Categorie!$B$6:$B$65,MATCH(C442,Categorie!$A$6:$A$65,0))&amp;"",""))</f>
        <v/>
      </c>
      <c r="H442" s="32">
        <f>IF(AND(A442="",C442="",D442=""),"",IF(D442="","Manca l'importo",IF(NOT(ISNUMBER(D442)),"Importo non valido",IF(NOT(ISNUMBER(A442)),"Data mancante o non valida",IF(YEAR(A442)&lt;&gt;Impostazioni!$C$4,"Fuori dall'anno",IF(C442="","Manca la categoria",IF(ISNA(MATCH(C442,Categorie!$A$6:$A$65,0)),"Categoria non trovata",IF(G442="","Categoria senza tipo",""))))))))</f>
        <v/>
      </c>
    </row>
    <row r="443">
      <c r="A443" s="29" t="n">
        <v>46361</v>
      </c>
      <c r="B443" s="17" t="inlineStr">
        <is>
          <t>Telefono Giulia</t>
        </is>
      </c>
      <c r="C443" s="17" t="inlineStr">
        <is>
          <t>Internet e telefono</t>
        </is>
      </c>
      <c r="D443" s="16" t="n">
        <v>7.99</v>
      </c>
      <c r="E443" s="30" t="inlineStr">
        <is>
          <t>Carta di credito</t>
        </is>
      </c>
      <c r="F443" s="17" t="inlineStr">
        <is>
          <t>Giulia</t>
        </is>
      </c>
      <c r="G443" s="31">
        <f>IF(C443="","",IFERROR(INDEX(Categorie!$B$6:$B$65,MATCH(C443,Categorie!$A$6:$A$65,0))&amp;"",""))</f>
        <v/>
      </c>
      <c r="H443" s="32">
        <f>IF(AND(A443="",C443="",D443=""),"",IF(D443="","Manca l'importo",IF(NOT(ISNUMBER(D443)),"Importo non valido",IF(NOT(ISNUMBER(A443)),"Data mancante o non valida",IF(YEAR(A443)&lt;&gt;Impostazioni!$C$4,"Fuori dall'anno",IF(C443="","Manca la categoria",IF(ISNA(MATCH(C443,Categorie!$A$6:$A$65,0)),"Categoria non trovata",IF(G443="","Categoria senza tipo",""))))))))</f>
        <v/>
      </c>
    </row>
    <row r="444">
      <c r="A444" s="29" t="n">
        <v>46361</v>
      </c>
      <c r="B444" s="17" t="inlineStr">
        <is>
          <t>Telefono Marco</t>
        </is>
      </c>
      <c r="C444" s="17" t="inlineStr">
        <is>
          <t>Internet e telefono</t>
        </is>
      </c>
      <c r="D444" s="16" t="n">
        <v>9.99</v>
      </c>
      <c r="E444" s="30" t="inlineStr">
        <is>
          <t>Carta di credito</t>
        </is>
      </c>
      <c r="F444" s="17" t="inlineStr">
        <is>
          <t>Marco</t>
        </is>
      </c>
      <c r="G444" s="31">
        <f>IF(C444="","",IFERROR(INDEX(Categorie!$B$6:$B$65,MATCH(C444,Categorie!$A$6:$A$65,0))&amp;"",""))</f>
        <v/>
      </c>
      <c r="H444" s="32">
        <f>IF(AND(A444="",C444="",D444=""),"",IF(D444="","Manca l'importo",IF(NOT(ISNUMBER(D444)),"Importo non valido",IF(NOT(ISNUMBER(A444)),"Data mancante o non valida",IF(YEAR(A444)&lt;&gt;Impostazioni!$C$4,"Fuori dall'anno",IF(C444="","Manca la categoria",IF(ISNA(MATCH(C444,Categorie!$A$6:$A$65,0)),"Categoria non trovata",IF(G444="","Categoria senza tipo",""))))))))</f>
        <v/>
      </c>
    </row>
    <row r="445">
      <c r="A445" s="29" t="n">
        <v>46361</v>
      </c>
      <c r="B445" s="17" t="inlineStr">
        <is>
          <t>Spesa settimanale</t>
        </is>
      </c>
      <c r="C445" s="17" t="inlineStr">
        <is>
          <t>Spesa alimentare</t>
        </is>
      </c>
      <c r="D445" s="16" t="n">
        <v>138.74</v>
      </c>
      <c r="E445" s="30" t="inlineStr">
        <is>
          <t>Carta di debito</t>
        </is>
      </c>
      <c r="F445" s="17" t="n"/>
      <c r="G445" s="31">
        <f>IF(C445="","",IFERROR(INDEX(Categorie!$B$6:$B$65,MATCH(C445,Categorie!$A$6:$A$65,0))&amp;"",""))</f>
        <v/>
      </c>
      <c r="H445" s="32">
        <f>IF(AND(A445="",C445="",D445=""),"",IF(D445="","Manca l'importo",IF(NOT(ISNUMBER(D445)),"Importo non valido",IF(NOT(ISNUMBER(A445)),"Data mancante o non valida",IF(YEAR(A445)&lt;&gt;Impostazioni!$C$4,"Fuori dall'anno",IF(C445="","Manca la categoria",IF(ISNA(MATCH(C445,Categorie!$A$6:$A$65,0)),"Categoria non trovata",IF(G445="","Categoria senza tipo",""))))))))</f>
        <v/>
      </c>
    </row>
    <row r="446">
      <c r="A446" s="29" t="n">
        <v>46362</v>
      </c>
      <c r="B446" s="17" t="inlineStr">
        <is>
          <t>Addobbi di Natale</t>
        </is>
      </c>
      <c r="C446" s="17" t="inlineStr">
        <is>
          <t>Casa e manutenzione</t>
        </is>
      </c>
      <c r="D446" s="16" t="n">
        <v>28</v>
      </c>
      <c r="E446" s="30" t="inlineStr">
        <is>
          <t>Contanti</t>
        </is>
      </c>
      <c r="F446" s="17" t="n"/>
      <c r="G446" s="31">
        <f>IF(C446="","",IFERROR(INDEX(Categorie!$B$6:$B$65,MATCH(C446,Categorie!$A$6:$A$65,0))&amp;"",""))</f>
        <v/>
      </c>
      <c r="H446" s="32">
        <f>IF(AND(A446="",C446="",D446=""),"",IF(D446="","Manca l'importo",IF(NOT(ISNUMBER(D446)),"Importo non valido",IF(NOT(ISNUMBER(A446)),"Data mancante o non valida",IF(YEAR(A446)&lt;&gt;Impostazioni!$C$4,"Fuori dall'anno",IF(C446="","Manca la categoria",IF(ISNA(MATCH(C446,Categorie!$A$6:$A$65,0)),"Categoria non trovata",IF(G446="","Categoria senza tipo",""))))))))</f>
        <v/>
      </c>
    </row>
    <row r="447">
      <c r="A447" s="29" t="n">
        <v>46363</v>
      </c>
      <c r="B447" s="17" t="inlineStr">
        <is>
          <t>Rifornimento</t>
        </is>
      </c>
      <c r="C447" s="17" t="inlineStr">
        <is>
          <t>Carburante</t>
        </is>
      </c>
      <c r="D447" s="16" t="n">
        <v>60.53</v>
      </c>
      <c r="E447" s="30" t="inlineStr">
        <is>
          <t>Carta di credito</t>
        </is>
      </c>
      <c r="F447" s="17" t="inlineStr">
        <is>
          <t>Giulia</t>
        </is>
      </c>
      <c r="G447" s="31">
        <f>IF(C447="","",IFERROR(INDEX(Categorie!$B$6:$B$65,MATCH(C447,Categorie!$A$6:$A$65,0))&amp;"",""))</f>
        <v/>
      </c>
      <c r="H447" s="32">
        <f>IF(AND(A447="",C447="",D447=""),"",IF(D447="","Manca l'importo",IF(NOT(ISNUMBER(D447)),"Importo non valido",IF(NOT(ISNUMBER(A447)),"Data mancante o non valida",IF(YEAR(A447)&lt;&gt;Impostazioni!$C$4,"Fuori dall'anno",IF(C447="","Manca la categoria",IF(ISNA(MATCH(C447,Categorie!$A$6:$A$65,0)),"Categoria non trovata",IF(G447="","Categoria senza tipo",""))))))))</f>
        <v/>
      </c>
    </row>
    <row r="448">
      <c r="A448" s="29" t="n">
        <v>46363</v>
      </c>
      <c r="B448" s="17" t="inlineStr">
        <is>
          <t>Gelateria</t>
        </is>
      </c>
      <c r="C448" s="17" t="inlineStr">
        <is>
          <t>Svago</t>
        </is>
      </c>
      <c r="D448" s="16" t="n">
        <v>11.46</v>
      </c>
      <c r="E448" s="30" t="inlineStr">
        <is>
          <t>Carta di debito</t>
        </is>
      </c>
      <c r="F448" s="17" t="n"/>
      <c r="G448" s="31">
        <f>IF(C448="","",IFERROR(INDEX(Categorie!$B$6:$B$65,MATCH(C448,Categorie!$A$6:$A$65,0))&amp;"",""))</f>
        <v/>
      </c>
      <c r="H448" s="32">
        <f>IF(AND(A448="",C448="",D448=""),"",IF(D448="","Manca l'importo",IF(NOT(ISNUMBER(D448)),"Importo non valido",IF(NOT(ISNUMBER(A448)),"Data mancante o non valida",IF(YEAR(A448)&lt;&gt;Impostazioni!$C$4,"Fuori dall'anno",IF(C448="","Manca la categoria",IF(ISNA(MATCH(C448,Categorie!$A$6:$A$65,0)),"Categoria non trovata",IF(G448="","Categoria senza tipo",""))))))))</f>
        <v/>
      </c>
    </row>
    <row r="449">
      <c r="A449" s="29" t="n">
        <v>46363</v>
      </c>
      <c r="B449" s="17" t="inlineStr">
        <is>
          <t>Libri</t>
        </is>
      </c>
      <c r="C449" s="17" t="inlineStr">
        <is>
          <t>Svago</t>
        </is>
      </c>
      <c r="D449" s="16" t="n">
        <v>27.38</v>
      </c>
      <c r="E449" s="30" t="inlineStr">
        <is>
          <t>Carta di debito</t>
        </is>
      </c>
      <c r="F449" s="17" t="n"/>
      <c r="G449" s="31">
        <f>IF(C449="","",IFERROR(INDEX(Categorie!$B$6:$B$65,MATCH(C449,Categorie!$A$6:$A$65,0))&amp;"",""))</f>
        <v/>
      </c>
      <c r="H449" s="32">
        <f>IF(AND(A449="",C449="",D449=""),"",IF(D449="","Manca l'importo",IF(NOT(ISNUMBER(D449)),"Importo non valido",IF(NOT(ISNUMBER(A449)),"Data mancante o non valida",IF(YEAR(A449)&lt;&gt;Impostazioni!$C$4,"Fuori dall'anno",IF(C449="","Manca la categoria",IF(ISNA(MATCH(C449,Categorie!$A$6:$A$65,0)),"Categoria non trovata",IF(G449="","Categoria senza tipo",""))))))))</f>
        <v/>
      </c>
    </row>
    <row r="450">
      <c r="A450" s="29" t="n">
        <v>46364</v>
      </c>
      <c r="B450" s="17" t="inlineStr">
        <is>
          <t>Musica in streaming</t>
        </is>
      </c>
      <c r="C450" s="17" t="inlineStr">
        <is>
          <t>Abbonamenti</t>
        </is>
      </c>
      <c r="D450" s="16" t="n">
        <v>10.99</v>
      </c>
      <c r="E450" s="30" t="inlineStr">
        <is>
          <t>Carta di credito</t>
        </is>
      </c>
      <c r="F450" s="17" t="inlineStr">
        <is>
          <t>Giulia</t>
        </is>
      </c>
      <c r="G450" s="31">
        <f>IF(C450="","",IFERROR(INDEX(Categorie!$B$6:$B$65,MATCH(C450,Categorie!$A$6:$A$65,0))&amp;"",""))</f>
        <v/>
      </c>
      <c r="H450" s="32">
        <f>IF(AND(A450="",C450="",D450=""),"",IF(D450="","Manca l'importo",IF(NOT(ISNUMBER(D450)),"Importo non valido",IF(NOT(ISNUMBER(A450)),"Data mancante o non valida",IF(YEAR(A450)&lt;&gt;Impostazioni!$C$4,"Fuori dall'anno",IF(C450="","Manca la categoria",IF(ISNA(MATCH(C450,Categorie!$A$6:$A$65,0)),"Categoria non trovata",IF(G450="","Categoria senza tipo",""))))))))</f>
        <v/>
      </c>
    </row>
    <row r="451">
      <c r="A451" s="29" t="n">
        <v>46364</v>
      </c>
      <c r="B451" s="17" t="inlineStr">
        <is>
          <t>Streaming video</t>
        </is>
      </c>
      <c r="C451" s="17" t="inlineStr">
        <is>
          <t>Abbonamenti</t>
        </is>
      </c>
      <c r="D451" s="16" t="n">
        <v>13.99</v>
      </c>
      <c r="E451" s="30" t="inlineStr">
        <is>
          <t>Carta di credito</t>
        </is>
      </c>
      <c r="F451" s="17" t="n"/>
      <c r="G451" s="31">
        <f>IF(C451="","",IFERROR(INDEX(Categorie!$B$6:$B$65,MATCH(C451,Categorie!$A$6:$A$65,0))&amp;"",""))</f>
        <v/>
      </c>
      <c r="H451" s="32">
        <f>IF(AND(A451="",C451="",D451=""),"",IF(D451="","Manca l'importo",IF(NOT(ISNUMBER(D451)),"Importo non valido",IF(NOT(ISNUMBER(A451)),"Data mancante o non valida",IF(YEAR(A451)&lt;&gt;Impostazioni!$C$4,"Fuori dall'anno",IF(C451="","Manca la categoria",IF(ISNA(MATCH(C451,Categorie!$A$6:$A$65,0)),"Categoria non trovata",IF(G451="","Categoria senza tipo",""))))))))</f>
        <v/>
      </c>
    </row>
    <row r="452">
      <c r="A452" s="29" t="n">
        <v>46365</v>
      </c>
      <c r="B452" s="17" t="inlineStr">
        <is>
          <t>Spesa al mercato</t>
        </is>
      </c>
      <c r="C452" s="17" t="inlineStr">
        <is>
          <t>Spesa alimentare</t>
        </is>
      </c>
      <c r="D452" s="16" t="n">
        <v>29.13</v>
      </c>
      <c r="E452" s="30" t="inlineStr">
        <is>
          <t>Contanti</t>
        </is>
      </c>
      <c r="F452" s="17" t="n"/>
      <c r="G452" s="31">
        <f>IF(C452="","",IFERROR(INDEX(Categorie!$B$6:$B$65,MATCH(C452,Categorie!$A$6:$A$65,0))&amp;"",""))</f>
        <v/>
      </c>
      <c r="H452" s="32">
        <f>IF(AND(A452="",C452="",D452=""),"",IF(D452="","Manca l'importo",IF(NOT(ISNUMBER(D452)),"Importo non valido",IF(NOT(ISNUMBER(A452)),"Data mancante o non valida",IF(YEAR(A452)&lt;&gt;Impostazioni!$C$4,"Fuori dall'anno",IF(C452="","Manca la categoria",IF(ISNA(MATCH(C452,Categorie!$A$6:$A$65,0)),"Categoria non trovata",IF(G452="","Categoria senza tipo",""))))))))</f>
        <v/>
      </c>
    </row>
    <row r="453">
      <c r="A453" s="29" t="n">
        <v>46365</v>
      </c>
      <c r="B453" s="17" t="inlineStr">
        <is>
          <t>Parcheggio</t>
        </is>
      </c>
      <c r="C453" s="17" t="inlineStr">
        <is>
          <t>Trasporti</t>
        </is>
      </c>
      <c r="D453" s="16" t="n">
        <v>2.03</v>
      </c>
      <c r="E453" s="30" t="inlineStr">
        <is>
          <t>Contanti</t>
        </is>
      </c>
      <c r="F453" s="17" t="n"/>
      <c r="G453" s="31">
        <f>IF(C453="","",IFERROR(INDEX(Categorie!$B$6:$B$65,MATCH(C453,Categorie!$A$6:$A$65,0))&amp;"",""))</f>
        <v/>
      </c>
      <c r="H453" s="32">
        <f>IF(AND(A453="",C453="",D453=""),"",IF(D453="","Manca l'importo",IF(NOT(ISNUMBER(D453)),"Importo non valido",IF(NOT(ISNUMBER(A453)),"Data mancante o non valida",IF(YEAR(A453)&lt;&gt;Impostazioni!$C$4,"Fuori dall'anno",IF(C453="","Manca la categoria",IF(ISNA(MATCH(C453,Categorie!$A$6:$A$65,0)),"Categoria non trovata",IF(G453="","Categoria senza tipo",""))))))))</f>
        <v/>
      </c>
    </row>
    <row r="454">
      <c r="A454" s="29" t="n">
        <v>46368</v>
      </c>
      <c r="B454" s="17" t="inlineStr">
        <is>
          <t>Regali di Natale</t>
        </is>
      </c>
      <c r="C454" s="17" t="inlineStr">
        <is>
          <t>Regali</t>
        </is>
      </c>
      <c r="D454" s="16" t="n">
        <v>95.5</v>
      </c>
      <c r="E454" s="30" t="inlineStr">
        <is>
          <t>Carta di credito</t>
        </is>
      </c>
      <c r="F454" s="17" t="n"/>
      <c r="G454" s="31">
        <f>IF(C454="","",IFERROR(INDEX(Categorie!$B$6:$B$65,MATCH(C454,Categorie!$A$6:$A$65,0))&amp;"",""))</f>
        <v/>
      </c>
      <c r="H454" s="32">
        <f>IF(AND(A454="",C454="",D454=""),"",IF(D454="","Manca l'importo",IF(NOT(ISNUMBER(D454)),"Importo non valido",IF(NOT(ISNUMBER(A454)),"Data mancante o non valida",IF(YEAR(A454)&lt;&gt;Impostazioni!$C$4,"Fuori dall'anno",IF(C454="","Manca la categoria",IF(ISNA(MATCH(C454,Categorie!$A$6:$A$65,0)),"Categoria non trovata",IF(G454="","Categoria senza tipo",""))))))))</f>
        <v/>
      </c>
    </row>
    <row r="455">
      <c r="A455" s="29" t="n">
        <v>46368</v>
      </c>
      <c r="B455" s="17" t="inlineStr">
        <is>
          <t>Spesa settimanale</t>
        </is>
      </c>
      <c r="C455" s="17" t="inlineStr">
        <is>
          <t>Spesa alimentare</t>
        </is>
      </c>
      <c r="D455" s="16" t="n">
        <v>163.53</v>
      </c>
      <c r="E455" s="30" t="inlineStr">
        <is>
          <t>Carta di debito</t>
        </is>
      </c>
      <c r="F455" s="17" t="n"/>
      <c r="G455" s="31">
        <f>IF(C455="","",IFERROR(INDEX(Categorie!$B$6:$B$65,MATCH(C455,Categorie!$A$6:$A$65,0))&amp;"",""))</f>
        <v/>
      </c>
      <c r="H455" s="32">
        <f>IF(AND(A455="",C455="",D455=""),"",IF(D455="","Manca l'importo",IF(NOT(ISNUMBER(D455)),"Importo non valido",IF(NOT(ISNUMBER(A455)),"Data mancante o non valida",IF(YEAR(A455)&lt;&gt;Impostazioni!$C$4,"Fuori dall'anno",IF(C455="","Manca la categoria",IF(ISNA(MATCH(C455,Categorie!$A$6:$A$65,0)),"Categoria non trovata",IF(G455="","Categoria senza tipo",""))))))))</f>
        <v/>
      </c>
    </row>
    <row r="456">
      <c r="A456" s="29" t="n">
        <v>46371</v>
      </c>
      <c r="B456" s="17" t="inlineStr">
        <is>
          <t>Rata carta revolving</t>
        </is>
      </c>
      <c r="C456" s="17" t="inlineStr">
        <is>
          <t>Rate di prestiti</t>
        </is>
      </c>
      <c r="D456" s="16" t="n">
        <v>60</v>
      </c>
      <c r="E456" s="30" t="inlineStr">
        <is>
          <t>Conto corrente</t>
        </is>
      </c>
      <c r="F456" s="17" t="n"/>
      <c r="G456" s="31">
        <f>IF(C456="","",IFERROR(INDEX(Categorie!$B$6:$B$65,MATCH(C456,Categorie!$A$6:$A$65,0))&amp;"",""))</f>
        <v/>
      </c>
      <c r="H456" s="32">
        <f>IF(AND(A456="",C456="",D456=""),"",IF(D456="","Manca l'importo",IF(NOT(ISNUMBER(D456)),"Importo non valido",IF(NOT(ISNUMBER(A456)),"Data mancante o non valida",IF(YEAR(A456)&lt;&gt;Impostazioni!$C$4,"Fuori dall'anno",IF(C456="","Manca la categoria",IF(ISNA(MATCH(C456,Categorie!$A$6:$A$65,0)),"Categoria non trovata",IF(G456="","Categoria senza tipo",""))))))))</f>
        <v/>
      </c>
    </row>
    <row r="457">
      <c r="A457" s="29" t="n">
        <v>46371</v>
      </c>
      <c r="B457" s="17" t="inlineStr">
        <is>
          <t>Rata lavatrice a tasso zero</t>
        </is>
      </c>
      <c r="C457" s="17" t="inlineStr">
        <is>
          <t>Rate di prestiti</t>
        </is>
      </c>
      <c r="D457" s="16" t="n">
        <v>40</v>
      </c>
      <c r="E457" s="30" t="inlineStr">
        <is>
          <t>Conto corrente</t>
        </is>
      </c>
      <c r="F457" s="17" t="n"/>
      <c r="G457" s="31">
        <f>IF(C457="","",IFERROR(INDEX(Categorie!$B$6:$B$65,MATCH(C457,Categorie!$A$6:$A$65,0))&amp;"",""))</f>
        <v/>
      </c>
      <c r="H457" s="32">
        <f>IF(AND(A457="",C457="",D457=""),"",IF(D457="","Manca l'importo",IF(NOT(ISNUMBER(D457)),"Importo non valido",IF(NOT(ISNUMBER(A457)),"Data mancante o non valida",IF(YEAR(A457)&lt;&gt;Impostazioni!$C$4,"Fuori dall'anno",IF(C457="","Manca la categoria",IF(ISNA(MATCH(C457,Categorie!$A$6:$A$65,0)),"Categoria non trovata",IF(G457="","Categoria senza tipo",""))))))))</f>
        <v/>
      </c>
    </row>
    <row r="458">
      <c r="A458" s="29" t="n">
        <v>46371</v>
      </c>
      <c r="B458" s="17" t="inlineStr">
        <is>
          <t>Rata prestito auto</t>
        </is>
      </c>
      <c r="C458" s="17" t="inlineStr">
        <is>
          <t>Rate di prestiti</t>
        </is>
      </c>
      <c r="D458" s="16" t="n">
        <v>210</v>
      </c>
      <c r="E458" s="30" t="inlineStr">
        <is>
          <t>Conto corrente</t>
        </is>
      </c>
      <c r="F458" s="17" t="n"/>
      <c r="G458" s="31">
        <f>IF(C458="","",IFERROR(INDEX(Categorie!$B$6:$B$65,MATCH(C458,Categorie!$A$6:$A$65,0))&amp;"",""))</f>
        <v/>
      </c>
      <c r="H458" s="32">
        <f>IF(AND(A458="",C458="",D458=""),"",IF(D458="","Manca l'importo",IF(NOT(ISNUMBER(D458)),"Importo non valido",IF(NOT(ISNUMBER(A458)),"Data mancante o non valida",IF(YEAR(A458)&lt;&gt;Impostazioni!$C$4,"Fuori dall'anno",IF(C458="","Manca la categoria",IF(ISNA(MATCH(C458,Categorie!$A$6:$A$65,0)),"Categoria non trovata",IF(G458="","Categoria senza tipo",""))))))))</f>
        <v/>
      </c>
    </row>
    <row r="459">
      <c r="A459" s="29" t="n">
        <v>46372</v>
      </c>
      <c r="B459" s="17" t="inlineStr">
        <is>
          <t>Farmacia</t>
        </is>
      </c>
      <c r="C459" s="17" t="inlineStr">
        <is>
          <t>Farmacia e salute</t>
        </is>
      </c>
      <c r="D459" s="16" t="n">
        <v>26.66</v>
      </c>
      <c r="E459" s="30" t="inlineStr">
        <is>
          <t>Carta di debito</t>
        </is>
      </c>
      <c r="F459" s="17" t="n"/>
      <c r="G459" s="31">
        <f>IF(C459="","",IFERROR(INDEX(Categorie!$B$6:$B$65,MATCH(C459,Categorie!$A$6:$A$65,0))&amp;"",""))</f>
        <v/>
      </c>
      <c r="H459" s="32">
        <f>IF(AND(A459="",C459="",D459=""),"",IF(D459="","Manca l'importo",IF(NOT(ISNUMBER(D459)),"Importo non valido",IF(NOT(ISNUMBER(A459)),"Data mancante o non valida",IF(YEAR(A459)&lt;&gt;Impostazioni!$C$4,"Fuori dall'anno",IF(C459="","Manca la categoria",IF(ISNA(MATCH(C459,Categorie!$A$6:$A$65,0)),"Categoria non trovata",IF(G459="","Categoria senza tipo",""))))))))</f>
        <v/>
      </c>
    </row>
    <row r="460">
      <c r="A460" s="29" t="n">
        <v>46372</v>
      </c>
      <c r="B460" s="17" t="inlineStr">
        <is>
          <t>Regali di Natale</t>
        </is>
      </c>
      <c r="C460" s="17" t="inlineStr">
        <is>
          <t>Regali</t>
        </is>
      </c>
      <c r="D460" s="16" t="n">
        <v>120</v>
      </c>
      <c r="E460" s="30" t="inlineStr">
        <is>
          <t>Carta di credito</t>
        </is>
      </c>
      <c r="F460" s="17" t="n"/>
      <c r="G460" s="31">
        <f>IF(C460="","",IFERROR(INDEX(Categorie!$B$6:$B$65,MATCH(C460,Categorie!$A$6:$A$65,0))&amp;"",""))</f>
        <v/>
      </c>
      <c r="H460" s="32">
        <f>IF(AND(A460="",C460="",D460=""),"",IF(D460="","Manca l'importo",IF(NOT(ISNUMBER(D460)),"Importo non valido",IF(NOT(ISNUMBER(A460)),"Data mancante o non valida",IF(YEAR(A460)&lt;&gt;Impostazioni!$C$4,"Fuori dall'anno",IF(C460="","Manca la categoria",IF(ISNA(MATCH(C460,Categorie!$A$6:$A$65,0)),"Categoria non trovata",IF(G460="","Categoria senza tipo",""))))))))</f>
        <v/>
      </c>
    </row>
    <row r="461">
      <c r="A461" s="29" t="n">
        <v>46374</v>
      </c>
      <c r="B461" s="17" t="inlineStr">
        <is>
          <t>Rifornimento</t>
        </is>
      </c>
      <c r="C461" s="17" t="inlineStr">
        <is>
          <t>Carburante</t>
        </is>
      </c>
      <c r="D461" s="16" t="n">
        <v>61.16</v>
      </c>
      <c r="E461" s="30" t="inlineStr">
        <is>
          <t>Carta di credito</t>
        </is>
      </c>
      <c r="F461" s="17" t="inlineStr">
        <is>
          <t>Marco</t>
        </is>
      </c>
      <c r="G461" s="31">
        <f>IF(C461="","",IFERROR(INDEX(Categorie!$B$6:$B$65,MATCH(C461,Categorie!$A$6:$A$65,0))&amp;"",""))</f>
        <v/>
      </c>
      <c r="H461" s="32">
        <f>IF(AND(A461="",C461="",D461=""),"",IF(D461="","Manca l'importo",IF(NOT(ISNUMBER(D461)),"Importo non valido",IF(NOT(ISNUMBER(A461)),"Data mancante o non valida",IF(YEAR(A461)&lt;&gt;Impostazioni!$C$4,"Fuori dall'anno",IF(C461="","Manca la categoria",IF(ISNA(MATCH(C461,Categorie!$A$6:$A$65,0)),"Categoria non trovata",IF(G461="","Categoria senza tipo",""))))))))</f>
        <v/>
      </c>
    </row>
    <row r="462">
      <c r="A462" s="29" t="n">
        <v>46374</v>
      </c>
      <c r="B462" s="17" t="inlineStr">
        <is>
          <t>Bolletta gas</t>
        </is>
      </c>
      <c r="C462" s="17" t="inlineStr">
        <is>
          <t>Gas</t>
        </is>
      </c>
      <c r="D462" s="16" t="n">
        <v>155.95</v>
      </c>
      <c r="E462" s="30" t="inlineStr">
        <is>
          <t>Conto corrente</t>
        </is>
      </c>
      <c r="F462" s="17" t="n"/>
      <c r="G462" s="31">
        <f>IF(C462="","",IFERROR(INDEX(Categorie!$B$6:$B$65,MATCH(C462,Categorie!$A$6:$A$65,0))&amp;"",""))</f>
        <v/>
      </c>
      <c r="H462" s="32">
        <f>IF(AND(A462="",C462="",D462=""),"",IF(D462="","Manca l'importo",IF(NOT(ISNUMBER(D462)),"Importo non valido",IF(NOT(ISNUMBER(A462)),"Data mancante o non valida",IF(YEAR(A462)&lt;&gt;Impostazioni!$C$4,"Fuori dall'anno",IF(C462="","Manca la categoria",IF(ISNA(MATCH(C462,Categorie!$A$6:$A$65,0)),"Categoria non trovata",IF(G462="","Categoria senza tipo",""))))))))</f>
        <v/>
      </c>
    </row>
    <row r="463">
      <c r="A463" s="29" t="n">
        <v>46374</v>
      </c>
      <c r="B463" s="17" t="inlineStr">
        <is>
          <t>Bolletta luce</t>
        </is>
      </c>
      <c r="C463" s="17" t="inlineStr">
        <is>
          <t>Luce</t>
        </is>
      </c>
      <c r="D463" s="16" t="n">
        <v>78.19</v>
      </c>
      <c r="E463" s="30" t="inlineStr">
        <is>
          <t>Conto corrente</t>
        </is>
      </c>
      <c r="F463" s="17" t="n"/>
      <c r="G463" s="31">
        <f>IF(C463="","",IFERROR(INDEX(Categorie!$B$6:$B$65,MATCH(C463,Categorie!$A$6:$A$65,0))&amp;"",""))</f>
        <v/>
      </c>
      <c r="H463" s="32">
        <f>IF(AND(A463="",C463="",D463=""),"",IF(D463="","Manca l'importo",IF(NOT(ISNUMBER(D463)),"Importo non valido",IF(NOT(ISNUMBER(A463)),"Data mancante o non valida",IF(YEAR(A463)&lt;&gt;Impostazioni!$C$4,"Fuori dall'anno",IF(C463="","Manca la categoria",IF(ISNA(MATCH(C463,Categorie!$A$6:$A$65,0)),"Categoria non trovata",IF(G463="","Categoria senza tipo",""))))))))</f>
        <v/>
      </c>
    </row>
    <row r="464">
      <c r="A464" s="29" t="n">
        <v>46374</v>
      </c>
      <c r="B464" s="17" t="inlineStr">
        <is>
          <t>Tredicesima</t>
        </is>
      </c>
      <c r="C464" s="17" t="inlineStr">
        <is>
          <t>Tredicesima e quattordicesima</t>
        </is>
      </c>
      <c r="D464" s="16" t="n">
        <v>1790</v>
      </c>
      <c r="E464" s="30" t="inlineStr">
        <is>
          <t>Conto corrente</t>
        </is>
      </c>
      <c r="F464" s="17" t="inlineStr">
        <is>
          <t>Marco</t>
        </is>
      </c>
      <c r="G464" s="31">
        <f>IF(C464="","",IFERROR(INDEX(Categorie!$B$6:$B$65,MATCH(C464,Categorie!$A$6:$A$65,0))&amp;"",""))</f>
        <v/>
      </c>
      <c r="H464" s="32">
        <f>IF(AND(A464="",C464="",D464=""),"",IF(D464="","Manca l'importo",IF(NOT(ISNUMBER(D464)),"Importo non valido",IF(NOT(ISNUMBER(A464)),"Data mancante o non valida",IF(YEAR(A464)&lt;&gt;Impostazioni!$C$4,"Fuori dall'anno",IF(C464="","Manca la categoria",IF(ISNA(MATCH(C464,Categorie!$A$6:$A$65,0)),"Categoria non trovata",IF(G464="","Categoria senza tipo",""))))))))</f>
        <v/>
      </c>
    </row>
    <row r="465">
      <c r="A465" s="29" t="n">
        <v>46374</v>
      </c>
      <c r="B465" s="17" t="inlineStr">
        <is>
          <t>Tredicesima</t>
        </is>
      </c>
      <c r="C465" s="17" t="inlineStr">
        <is>
          <t>Tredicesima e quattordicesima</t>
        </is>
      </c>
      <c r="D465" s="16" t="n">
        <v>1430</v>
      </c>
      <c r="E465" s="30" t="inlineStr">
        <is>
          <t>Conto corrente</t>
        </is>
      </c>
      <c r="F465" s="17" t="inlineStr">
        <is>
          <t>Giulia</t>
        </is>
      </c>
      <c r="G465" s="31">
        <f>IF(C465="","",IFERROR(INDEX(Categorie!$B$6:$B$65,MATCH(C465,Categorie!$A$6:$A$65,0))&amp;"",""))</f>
        <v/>
      </c>
      <c r="H465" s="32">
        <f>IF(AND(A465="",C465="",D465=""),"",IF(D465="","Manca l'importo",IF(NOT(ISNUMBER(D465)),"Importo non valido",IF(NOT(ISNUMBER(A465)),"Data mancante o non valida",IF(YEAR(A465)&lt;&gt;Impostazioni!$C$4,"Fuori dall'anno",IF(C465="","Manca la categoria",IF(ISNA(MATCH(C465,Categorie!$A$6:$A$65,0)),"Categoria non trovata",IF(G465="","Categoria senza tipo",""))))))))</f>
        <v/>
      </c>
    </row>
    <row r="466">
      <c r="A466" s="29" t="n">
        <v>46375</v>
      </c>
      <c r="B466" s="17" t="inlineStr">
        <is>
          <t>Spesa settimanale</t>
        </is>
      </c>
      <c r="C466" s="17" t="inlineStr">
        <is>
          <t>Spesa alimentare</t>
        </is>
      </c>
      <c r="D466" s="16" t="n">
        <v>126.62</v>
      </c>
      <c r="E466" s="30" t="inlineStr">
        <is>
          <t>Carta di debito</t>
        </is>
      </c>
      <c r="F466" s="17" t="n"/>
      <c r="G466" s="31">
        <f>IF(C466="","",IFERROR(INDEX(Categorie!$B$6:$B$65,MATCH(C466,Categorie!$A$6:$A$65,0))&amp;"",""))</f>
        <v/>
      </c>
      <c r="H466" s="32">
        <f>IF(AND(A466="",C466="",D466=""),"",IF(D466="","Manca l'importo",IF(NOT(ISNUMBER(D466)),"Importo non valido",IF(NOT(ISNUMBER(A466)),"Data mancante o non valida",IF(YEAR(A466)&lt;&gt;Impostazioni!$C$4,"Fuori dall'anno",IF(C466="","Manca la categoria",IF(ISNA(MATCH(C466,Categorie!$A$6:$A$65,0)),"Categoria non trovata",IF(G466="","Categoria senza tipo",""))))))))</f>
        <v/>
      </c>
    </row>
    <row r="467">
      <c r="A467" s="29" t="n">
        <v>46375</v>
      </c>
      <c r="B467" s="17" t="inlineStr">
        <is>
          <t>Cena di Natale</t>
        </is>
      </c>
      <c r="C467" s="17" t="inlineStr">
        <is>
          <t>Svago</t>
        </is>
      </c>
      <c r="D467" s="16" t="n">
        <v>96</v>
      </c>
      <c r="E467" s="30" t="inlineStr">
        <is>
          <t>Carta di credito</t>
        </is>
      </c>
      <c r="F467" s="17" t="n"/>
      <c r="G467" s="31">
        <f>IF(C467="","",IFERROR(INDEX(Categorie!$B$6:$B$65,MATCH(C467,Categorie!$A$6:$A$65,0))&amp;"",""))</f>
        <v/>
      </c>
      <c r="H467" s="32">
        <f>IF(AND(A467="",C467="",D467=""),"",IF(D467="","Manca l'importo",IF(NOT(ISNUMBER(D467)),"Importo non valido",IF(NOT(ISNUMBER(A467)),"Data mancante o non valida",IF(YEAR(A467)&lt;&gt;Impostazioni!$C$4,"Fuori dall'anno",IF(C467="","Manca la categoria",IF(ISNA(MATCH(C467,Categorie!$A$6:$A$65,0)),"Categoria non trovata",IF(G467="","Categoria senza tipo",""))))))))</f>
        <v/>
      </c>
    </row>
    <row r="468">
      <c r="A468" s="29" t="n">
        <v>46376</v>
      </c>
      <c r="B468" s="17" t="inlineStr">
        <is>
          <t>Assegno unico INPS</t>
        </is>
      </c>
      <c r="C468" s="17" t="inlineStr">
        <is>
          <t>Assegno unico figli</t>
        </is>
      </c>
      <c r="D468" s="16" t="n">
        <v>145.3</v>
      </c>
      <c r="E468" s="30" t="inlineStr">
        <is>
          <t>Conto corrente</t>
        </is>
      </c>
      <c r="F468" s="17" t="n"/>
      <c r="G468" s="31">
        <f>IF(C468="","",IFERROR(INDEX(Categorie!$B$6:$B$65,MATCH(C468,Categorie!$A$6:$A$65,0))&amp;"",""))</f>
        <v/>
      </c>
      <c r="H468" s="32">
        <f>IF(AND(A468="",C468="",D468=""),"",IF(D468="","Manca l'importo",IF(NOT(ISNUMBER(D468)),"Importo non valido",IF(NOT(ISNUMBER(A468)),"Data mancante o non valida",IF(YEAR(A468)&lt;&gt;Impostazioni!$C$4,"Fuori dall'anno",IF(C468="","Manca la categoria",IF(ISNA(MATCH(C468,Categorie!$A$6:$A$65,0)),"Categoria non trovata",IF(G468="","Categoria senza tipo",""))))))))</f>
        <v/>
      </c>
    </row>
    <row r="469">
      <c r="A469" s="29" t="n">
        <v>46376</v>
      </c>
      <c r="B469" s="17" t="inlineStr">
        <is>
          <t>Libri</t>
        </is>
      </c>
      <c r="C469" s="17" t="inlineStr">
        <is>
          <t>Svago</t>
        </is>
      </c>
      <c r="D469" s="16" t="n">
        <v>24.67</v>
      </c>
      <c r="E469" s="30" t="inlineStr">
        <is>
          <t>Carta di debito</t>
        </is>
      </c>
      <c r="F469" s="17" t="n"/>
      <c r="G469" s="31">
        <f>IF(C469="","",IFERROR(INDEX(Categorie!$B$6:$B$65,MATCH(C469,Categorie!$A$6:$A$65,0))&amp;"",""))</f>
        <v/>
      </c>
      <c r="H469" s="32">
        <f>IF(AND(A469="",C469="",D469=""),"",IF(D469="","Manca l'importo",IF(NOT(ISNUMBER(D469)),"Importo non valido",IF(NOT(ISNUMBER(A469)),"Data mancante o non valida",IF(YEAR(A469)&lt;&gt;Impostazioni!$C$4,"Fuori dall'anno",IF(C469="","Manca la categoria",IF(ISNA(MATCH(C469,Categorie!$A$6:$A$65,0)),"Categoria non trovata",IF(G469="","Categoria senza tipo",""))))))))</f>
        <v/>
      </c>
    </row>
    <row r="470">
      <c r="A470" s="29" t="n">
        <v>46377</v>
      </c>
      <c r="B470" s="17" t="inlineStr">
        <is>
          <t>Regali di Natale</t>
        </is>
      </c>
      <c r="C470" s="17" t="inlineStr">
        <is>
          <t>Regali</t>
        </is>
      </c>
      <c r="D470" s="16" t="n">
        <v>64.90000000000001</v>
      </c>
      <c r="E470" s="30" t="inlineStr">
        <is>
          <t>Carta di debito</t>
        </is>
      </c>
      <c r="F470" s="17" t="n"/>
      <c r="G470" s="31">
        <f>IF(C470="","",IFERROR(INDEX(Categorie!$B$6:$B$65,MATCH(C470,Categorie!$A$6:$A$65,0))&amp;"",""))</f>
        <v/>
      </c>
      <c r="H470" s="32">
        <f>IF(AND(A470="",C470="",D470=""),"",IF(D470="","Manca l'importo",IF(NOT(ISNUMBER(D470)),"Importo non valido",IF(NOT(ISNUMBER(A470)),"Data mancante o non valida",IF(YEAR(A470)&lt;&gt;Impostazioni!$C$4,"Fuori dall'anno",IF(C470="","Manca la categoria",IF(ISNA(MATCH(C470,Categorie!$A$6:$A$65,0)),"Categoria non trovata",IF(G470="","Categoria senza tipo",""))))))))</f>
        <v/>
      </c>
    </row>
    <row r="471">
      <c r="A471" s="29" t="n">
        <v>46379</v>
      </c>
      <c r="B471" s="17" t="inlineStr">
        <is>
          <t>Spesa al mercato</t>
        </is>
      </c>
      <c r="C471" s="17" t="inlineStr">
        <is>
          <t>Spesa alimentare</t>
        </is>
      </c>
      <c r="D471" s="16" t="n">
        <v>25.34</v>
      </c>
      <c r="E471" s="30" t="inlineStr">
        <is>
          <t>Contanti</t>
        </is>
      </c>
      <c r="F471" s="17" t="n"/>
      <c r="G471" s="31">
        <f>IF(C471="","",IFERROR(INDEX(Categorie!$B$6:$B$65,MATCH(C471,Categorie!$A$6:$A$65,0))&amp;"",""))</f>
        <v/>
      </c>
      <c r="H471" s="32">
        <f>IF(AND(A471="",C471="",D471=""),"",IF(D471="","Manca l'importo",IF(NOT(ISNUMBER(D471)),"Importo non valido",IF(NOT(ISNUMBER(A471)),"Data mancante o non valida",IF(YEAR(A471)&lt;&gt;Impostazioni!$C$4,"Fuori dall'anno",IF(C471="","Manca la categoria",IF(ISNA(MATCH(C471,Categorie!$A$6:$A$65,0)),"Categoria non trovata",IF(G471="","Categoria senza tipo",""))))))))</f>
        <v/>
      </c>
    </row>
    <row r="472">
      <c r="A472" s="29" t="n">
        <v>46382</v>
      </c>
      <c r="B472" s="17" t="inlineStr">
        <is>
          <t>Spesa settimanale</t>
        </is>
      </c>
      <c r="C472" s="17" t="inlineStr">
        <is>
          <t>Spesa alimentare</t>
        </is>
      </c>
      <c r="D472" s="16" t="n">
        <v>116.95</v>
      </c>
      <c r="E472" s="30" t="inlineStr">
        <is>
          <t>Carta di debito</t>
        </is>
      </c>
      <c r="F472" s="17" t="n"/>
      <c r="G472" s="31">
        <f>IF(C472="","",IFERROR(INDEX(Categorie!$B$6:$B$65,MATCH(C472,Categorie!$A$6:$A$65,0))&amp;"",""))</f>
        <v/>
      </c>
      <c r="H472" s="32">
        <f>IF(AND(A472="",C472="",D472=""),"",IF(D472="","Manca l'importo",IF(NOT(ISNUMBER(D472)),"Importo non valido",IF(NOT(ISNUMBER(A472)),"Data mancante o non valida",IF(YEAR(A472)&lt;&gt;Impostazioni!$C$4,"Fuori dall'anno",IF(C472="","Manca la categoria",IF(ISNA(MATCH(C472,Categorie!$A$6:$A$65,0)),"Categoria non trovata",IF(G472="","Categoria senza tipo",""))))))))</f>
        <v/>
      </c>
    </row>
    <row r="473">
      <c r="A473" s="29" t="n">
        <v>46383</v>
      </c>
      <c r="B473" s="17" t="inlineStr">
        <is>
          <t>Saldi</t>
        </is>
      </c>
      <c r="C473" s="17" t="inlineStr">
        <is>
          <t>Abbigliamento</t>
        </is>
      </c>
      <c r="D473" s="16" t="n">
        <v>72</v>
      </c>
      <c r="E473" s="30" t="inlineStr">
        <is>
          <t>Carta di debito</t>
        </is>
      </c>
      <c r="F473" s="17" t="inlineStr">
        <is>
          <t>Giulia</t>
        </is>
      </c>
      <c r="G473" s="31">
        <f>IF(C473="","",IFERROR(INDEX(Categorie!$B$6:$B$65,MATCH(C473,Categorie!$A$6:$A$65,0))&amp;"",""))</f>
        <v/>
      </c>
      <c r="H473" s="32">
        <f>IF(AND(A473="",C473="",D473=""),"",IF(D473="","Manca l'importo",IF(NOT(ISNUMBER(D473)),"Importo non valido",IF(NOT(ISNUMBER(A473)),"Data mancante o non valida",IF(YEAR(A473)&lt;&gt;Impostazioni!$C$4,"Fuori dall'anno",IF(C473="","Manca la categoria",IF(ISNA(MATCH(C473,Categorie!$A$6:$A$65,0)),"Categoria non trovata",IF(G473="","Categoria senza tipo",""))))))))</f>
        <v/>
      </c>
    </row>
    <row r="474">
      <c r="A474" s="29" t="n">
        <v>46383</v>
      </c>
      <c r="B474" s="17" t="inlineStr">
        <is>
          <t>Stipendio</t>
        </is>
      </c>
      <c r="C474" s="17" t="inlineStr">
        <is>
          <t>Stipendio Giulia</t>
        </is>
      </c>
      <c r="D474" s="16" t="n">
        <v>1480</v>
      </c>
      <c r="E474" s="30" t="inlineStr">
        <is>
          <t>Conto corrente</t>
        </is>
      </c>
      <c r="F474" s="17" t="inlineStr">
        <is>
          <t>Giulia</t>
        </is>
      </c>
      <c r="G474" s="31">
        <f>IF(C474="","",IFERROR(INDEX(Categorie!$B$6:$B$65,MATCH(C474,Categorie!$A$6:$A$65,0))&amp;"",""))</f>
        <v/>
      </c>
      <c r="H474" s="32">
        <f>IF(AND(A474="",C474="",D474=""),"",IF(D474="","Manca l'importo",IF(NOT(ISNUMBER(D474)),"Importo non valido",IF(NOT(ISNUMBER(A474)),"Data mancante o non valida",IF(YEAR(A474)&lt;&gt;Impostazioni!$C$4,"Fuori dall'anno",IF(C474="","Manca la categoria",IF(ISNA(MATCH(C474,Categorie!$A$6:$A$65,0)),"Categoria non trovata",IF(G474="","Categoria senza tipo",""))))))))</f>
        <v/>
      </c>
    </row>
    <row r="475">
      <c r="A475" s="29" t="n">
        <v>46383</v>
      </c>
      <c r="B475" s="17" t="inlineStr">
        <is>
          <t>Stipendio</t>
        </is>
      </c>
      <c r="C475" s="17" t="inlineStr">
        <is>
          <t>Stipendio Marco</t>
        </is>
      </c>
      <c r="D475" s="16" t="n">
        <v>1850</v>
      </c>
      <c r="E475" s="30" t="inlineStr">
        <is>
          <t>Conto corrente</t>
        </is>
      </c>
      <c r="F475" s="17" t="inlineStr">
        <is>
          <t>Marco</t>
        </is>
      </c>
      <c r="G475" s="31">
        <f>IF(C475="","",IFERROR(INDEX(Categorie!$B$6:$B$65,MATCH(C475,Categorie!$A$6:$A$65,0))&amp;"",""))</f>
        <v/>
      </c>
      <c r="H475" s="32">
        <f>IF(AND(A475="",C475="",D475=""),"",IF(D475="","Manca l'importo",IF(NOT(ISNUMBER(D475)),"Importo non valido",IF(NOT(ISNUMBER(A475)),"Data mancante o non valida",IF(YEAR(A475)&lt;&gt;Impostazioni!$C$4,"Fuori dall'anno",IF(C475="","Manca la categoria",IF(ISNA(MATCH(C475,Categorie!$A$6:$A$65,0)),"Categoria non trovata",IF(G475="","Categoria senza tipo",""))))))))</f>
        <v/>
      </c>
    </row>
    <row r="476">
      <c r="A476" s="29" t="n">
        <v>46383</v>
      </c>
      <c r="B476" s="17" t="inlineStr">
        <is>
          <t>Cena con amici</t>
        </is>
      </c>
      <c r="C476" s="17" t="inlineStr">
        <is>
          <t>Svago</t>
        </is>
      </c>
      <c r="D476" s="16" t="n">
        <v>74.17</v>
      </c>
      <c r="E476" s="30" t="inlineStr">
        <is>
          <t>Carta di debito</t>
        </is>
      </c>
      <c r="F476" s="17" t="n"/>
      <c r="G476" s="31">
        <f>IF(C476="","",IFERROR(INDEX(Categorie!$B$6:$B$65,MATCH(C476,Categorie!$A$6:$A$65,0))&amp;"",""))</f>
        <v/>
      </c>
      <c r="H476" s="32">
        <f>IF(AND(A476="",C476="",D476=""),"",IF(D476="","Manca l'importo",IF(NOT(ISNUMBER(D476)),"Importo non valido",IF(NOT(ISNUMBER(A476)),"Data mancante o non valida",IF(YEAR(A476)&lt;&gt;Impostazioni!$C$4,"Fuori dall'anno",IF(C476="","Manca la categoria",IF(ISNA(MATCH(C476,Categorie!$A$6:$A$65,0)),"Categoria non trovata",IF(G476="","Categoria senza tipo",""))))))))</f>
        <v/>
      </c>
    </row>
    <row r="477">
      <c r="A477" s="29" t="n">
        <v>46384</v>
      </c>
      <c r="B477" s="17" t="inlineStr">
        <is>
          <t>Versamento fondo emergenze</t>
        </is>
      </c>
      <c r="C477" s="17" t="inlineStr">
        <is>
          <t>Fondo emergenze</t>
        </is>
      </c>
      <c r="D477" s="16" t="n">
        <v>150</v>
      </c>
      <c r="E477" s="30" t="inlineStr">
        <is>
          <t>Conto corrente</t>
        </is>
      </c>
      <c r="F477" s="17" t="n"/>
      <c r="G477" s="31">
        <f>IF(C477="","",IFERROR(INDEX(Categorie!$B$6:$B$65,MATCH(C477,Categorie!$A$6:$A$65,0))&amp;"",""))</f>
        <v/>
      </c>
      <c r="H477" s="32">
        <f>IF(AND(A477="",C477="",D477=""),"",IF(D477="","Manca l'importo",IF(NOT(ISNUMBER(D477)),"Importo non valido",IF(NOT(ISNUMBER(A477)),"Data mancante o non valida",IF(YEAR(A477)&lt;&gt;Impostazioni!$C$4,"Fuori dall'anno",IF(C477="","Manca la categoria",IF(ISNA(MATCH(C477,Categorie!$A$6:$A$65,0)),"Categoria non trovata",IF(G477="","Categoria senza tipo",""))))))))</f>
        <v/>
      </c>
    </row>
    <row r="478">
      <c r="A478" s="29" t="n">
        <v>46384</v>
      </c>
      <c r="B478" s="17" t="inlineStr">
        <is>
          <t>Piano di accumulo mensile</t>
        </is>
      </c>
      <c r="C478" s="17" t="inlineStr">
        <is>
          <t>Investimenti</t>
        </is>
      </c>
      <c r="D478" s="16" t="n">
        <v>100</v>
      </c>
      <c r="E478" s="30" t="inlineStr">
        <is>
          <t>Conto corrente</t>
        </is>
      </c>
      <c r="F478" s="17" t="n"/>
      <c r="G478" s="31">
        <f>IF(C478="","",IFERROR(INDEX(Categorie!$B$6:$B$65,MATCH(C478,Categorie!$A$6:$A$65,0))&amp;"",""))</f>
        <v/>
      </c>
      <c r="H478" s="32">
        <f>IF(AND(A478="",C478="",D478=""),"",IF(D478="","Manca l'importo",IF(NOT(ISNUMBER(D478)),"Importo non valido",IF(NOT(ISNUMBER(A478)),"Data mancante o non valida",IF(YEAR(A478)&lt;&gt;Impostazioni!$C$4,"Fuori dall'anno",IF(C478="","Manca la categoria",IF(ISNA(MATCH(C478,Categorie!$A$6:$A$65,0)),"Categoria non trovata",IF(G478="","Categoria senza tipo",""))))))))</f>
        <v/>
      </c>
    </row>
    <row r="479">
      <c r="A479" s="29" t="n">
        <v>46384</v>
      </c>
      <c r="B479" s="17" t="inlineStr">
        <is>
          <t>Accantonamento obiettivi</t>
        </is>
      </c>
      <c r="C479" s="17" t="inlineStr">
        <is>
          <t>Obiettivi di risparmio</t>
        </is>
      </c>
      <c r="D479" s="16" t="n">
        <v>200</v>
      </c>
      <c r="E479" s="30" t="inlineStr">
        <is>
          <t>Conto corrente</t>
        </is>
      </c>
      <c r="F479" s="17" t="n"/>
      <c r="G479" s="31">
        <f>IF(C479="","",IFERROR(INDEX(Categorie!$B$6:$B$65,MATCH(C479,Categorie!$A$6:$A$65,0))&amp;"",""))</f>
        <v/>
      </c>
      <c r="H479" s="32">
        <f>IF(AND(A479="",C479="",D479=""),"",IF(D479="","Manca l'importo",IF(NOT(ISNUMBER(D479)),"Importo non valido",IF(NOT(ISNUMBER(A479)),"Data mancante o non valida",IF(YEAR(A479)&lt;&gt;Impostazioni!$C$4,"Fuori dall'anno",IF(C479="","Manca la categoria",IF(ISNA(MATCH(C479,Categorie!$A$6:$A$65,0)),"Categoria non trovata",IF(G479="","Categoria senza tipo",""))))))))</f>
        <v/>
      </c>
    </row>
    <row r="480">
      <c r="A480" s="29" t="n">
        <v>46386</v>
      </c>
      <c r="B480" s="17" t="inlineStr">
        <is>
          <t>Rifornimento</t>
        </is>
      </c>
      <c r="C480" s="17" t="inlineStr">
        <is>
          <t>Carburante</t>
        </is>
      </c>
      <c r="D480" s="16" t="n">
        <v>58.09</v>
      </c>
      <c r="E480" s="30" t="inlineStr">
        <is>
          <t>Carta di credito</t>
        </is>
      </c>
      <c r="F480" s="17" t="inlineStr">
        <is>
          <t>Giulia</t>
        </is>
      </c>
      <c r="G480" s="31">
        <f>IF(C480="","",IFERROR(INDEX(Categorie!$B$6:$B$65,MATCH(C480,Categorie!$A$6:$A$65,0))&amp;"",""))</f>
        <v/>
      </c>
      <c r="H480" s="32">
        <f>IF(AND(A480="",C480="",D480=""),"",IF(D480="","Manca l'importo",IF(NOT(ISNUMBER(D480)),"Importo non valido",IF(NOT(ISNUMBER(A480)),"Data mancante o non valida",IF(YEAR(A480)&lt;&gt;Impostazioni!$C$4,"Fuori dall'anno",IF(C480="","Manca la categoria",IF(ISNA(MATCH(C480,Categorie!$A$6:$A$65,0)),"Categoria non trovata",IF(G480="","Categoria senza tipo",""))))))))</f>
        <v/>
      </c>
    </row>
    <row r="481">
      <c r="A481" s="29" t="n"/>
      <c r="B481" s="17" t="n"/>
      <c r="C481" s="17" t="n"/>
      <c r="D481" s="16" t="n"/>
      <c r="E481" s="30" t="n"/>
      <c r="F481" s="17" t="n"/>
      <c r="G481" s="31">
        <f>IF(C481="","",IFERROR(INDEX(Categorie!$B$6:$B$65,MATCH(C481,Categorie!$A$6:$A$65,0))&amp;"",""))</f>
        <v/>
      </c>
      <c r="H481" s="32">
        <f>IF(AND(A481="",C481="",D481=""),"",IF(D481="","Manca l'importo",IF(NOT(ISNUMBER(D481)),"Importo non valido",IF(NOT(ISNUMBER(A481)),"Data mancante o non valida",IF(YEAR(A481)&lt;&gt;Impostazioni!$C$4,"Fuori dall'anno",IF(C481="","Manca la categoria",IF(ISNA(MATCH(C481,Categorie!$A$6:$A$65,0)),"Categoria non trovata",IF(G481="","Categoria senza tipo",""))))))))</f>
        <v/>
      </c>
    </row>
    <row r="482">
      <c r="A482" s="29" t="n"/>
      <c r="B482" s="17" t="n"/>
      <c r="C482" s="17" t="n"/>
      <c r="D482" s="16" t="n"/>
      <c r="E482" s="30" t="n"/>
      <c r="F482" s="17" t="n"/>
      <c r="G482" s="31">
        <f>IF(C482="","",IFERROR(INDEX(Categorie!$B$6:$B$65,MATCH(C482,Categorie!$A$6:$A$65,0))&amp;"",""))</f>
        <v/>
      </c>
      <c r="H482" s="32">
        <f>IF(AND(A482="",C482="",D482=""),"",IF(D482="","Manca l'importo",IF(NOT(ISNUMBER(D482)),"Importo non valido",IF(NOT(ISNUMBER(A482)),"Data mancante o non valida",IF(YEAR(A482)&lt;&gt;Impostazioni!$C$4,"Fuori dall'anno",IF(C482="","Manca la categoria",IF(ISNA(MATCH(C482,Categorie!$A$6:$A$65,0)),"Categoria non trovata",IF(G482="","Categoria senza tipo",""))))))))</f>
        <v/>
      </c>
    </row>
    <row r="483">
      <c r="A483" s="29" t="n"/>
      <c r="B483" s="17" t="n"/>
      <c r="C483" s="17" t="n"/>
      <c r="D483" s="16" t="n"/>
      <c r="E483" s="30" t="n"/>
      <c r="F483" s="17" t="n"/>
      <c r="G483" s="31">
        <f>IF(C483="","",IFERROR(INDEX(Categorie!$B$6:$B$65,MATCH(C483,Categorie!$A$6:$A$65,0))&amp;"",""))</f>
        <v/>
      </c>
      <c r="H483" s="32">
        <f>IF(AND(A483="",C483="",D483=""),"",IF(D483="","Manca l'importo",IF(NOT(ISNUMBER(D483)),"Importo non valido",IF(NOT(ISNUMBER(A483)),"Data mancante o non valida",IF(YEAR(A483)&lt;&gt;Impostazioni!$C$4,"Fuori dall'anno",IF(C483="","Manca la categoria",IF(ISNA(MATCH(C483,Categorie!$A$6:$A$65,0)),"Categoria non trovata",IF(G483="","Categoria senza tipo",""))))))))</f>
        <v/>
      </c>
    </row>
    <row r="484">
      <c r="A484" s="29" t="n"/>
      <c r="B484" s="17" t="n"/>
      <c r="C484" s="17" t="n"/>
      <c r="D484" s="16" t="n"/>
      <c r="E484" s="30" t="n"/>
      <c r="F484" s="17" t="n"/>
      <c r="G484" s="31">
        <f>IF(C484="","",IFERROR(INDEX(Categorie!$B$6:$B$65,MATCH(C484,Categorie!$A$6:$A$65,0))&amp;"",""))</f>
        <v/>
      </c>
      <c r="H484" s="32">
        <f>IF(AND(A484="",C484="",D484=""),"",IF(D484="","Manca l'importo",IF(NOT(ISNUMBER(D484)),"Importo non valido",IF(NOT(ISNUMBER(A484)),"Data mancante o non valida",IF(YEAR(A484)&lt;&gt;Impostazioni!$C$4,"Fuori dall'anno",IF(C484="","Manca la categoria",IF(ISNA(MATCH(C484,Categorie!$A$6:$A$65,0)),"Categoria non trovata",IF(G484="","Categoria senza tipo",""))))))))</f>
        <v/>
      </c>
    </row>
    <row r="485">
      <c r="A485" s="29" t="n"/>
      <c r="B485" s="17" t="n"/>
      <c r="C485" s="17" t="n"/>
      <c r="D485" s="16" t="n"/>
      <c r="E485" s="30" t="n"/>
      <c r="F485" s="17" t="n"/>
      <c r="G485" s="31">
        <f>IF(C485="","",IFERROR(INDEX(Categorie!$B$6:$B$65,MATCH(C485,Categorie!$A$6:$A$65,0))&amp;"",""))</f>
        <v/>
      </c>
      <c r="H485" s="32">
        <f>IF(AND(A485="",C485="",D485=""),"",IF(D485="","Manca l'importo",IF(NOT(ISNUMBER(D485)),"Importo non valido",IF(NOT(ISNUMBER(A485)),"Data mancante o non valida",IF(YEAR(A485)&lt;&gt;Impostazioni!$C$4,"Fuori dall'anno",IF(C485="","Manca la categoria",IF(ISNA(MATCH(C485,Categorie!$A$6:$A$65,0)),"Categoria non trovata",IF(G485="","Categoria senza tipo",""))))))))</f>
        <v/>
      </c>
    </row>
    <row r="486">
      <c r="A486" s="29" t="n"/>
      <c r="B486" s="17" t="n"/>
      <c r="C486" s="17" t="n"/>
      <c r="D486" s="16" t="n"/>
      <c r="E486" s="30" t="n"/>
      <c r="F486" s="17" t="n"/>
      <c r="G486" s="31">
        <f>IF(C486="","",IFERROR(INDEX(Categorie!$B$6:$B$65,MATCH(C486,Categorie!$A$6:$A$65,0))&amp;"",""))</f>
        <v/>
      </c>
      <c r="H486" s="32">
        <f>IF(AND(A486="",C486="",D486=""),"",IF(D486="","Manca l'importo",IF(NOT(ISNUMBER(D486)),"Importo non valido",IF(NOT(ISNUMBER(A486)),"Data mancante o non valida",IF(YEAR(A486)&lt;&gt;Impostazioni!$C$4,"Fuori dall'anno",IF(C486="","Manca la categoria",IF(ISNA(MATCH(C486,Categorie!$A$6:$A$65,0)),"Categoria non trovata",IF(G486="","Categoria senza tipo",""))))))))</f>
        <v/>
      </c>
    </row>
    <row r="487">
      <c r="A487" s="29" t="n"/>
      <c r="B487" s="17" t="n"/>
      <c r="C487" s="17" t="n"/>
      <c r="D487" s="16" t="n"/>
      <c r="E487" s="30" t="n"/>
      <c r="F487" s="17" t="n"/>
      <c r="G487" s="31">
        <f>IF(C487="","",IFERROR(INDEX(Categorie!$B$6:$B$65,MATCH(C487,Categorie!$A$6:$A$65,0))&amp;"",""))</f>
        <v/>
      </c>
      <c r="H487" s="32">
        <f>IF(AND(A487="",C487="",D487=""),"",IF(D487="","Manca l'importo",IF(NOT(ISNUMBER(D487)),"Importo non valido",IF(NOT(ISNUMBER(A487)),"Data mancante o non valida",IF(YEAR(A487)&lt;&gt;Impostazioni!$C$4,"Fuori dall'anno",IF(C487="","Manca la categoria",IF(ISNA(MATCH(C487,Categorie!$A$6:$A$65,0)),"Categoria non trovata",IF(G487="","Categoria senza tipo",""))))))))</f>
        <v/>
      </c>
    </row>
    <row r="488">
      <c r="A488" s="29" t="n"/>
      <c r="B488" s="17" t="n"/>
      <c r="C488" s="17" t="n"/>
      <c r="D488" s="16" t="n"/>
      <c r="E488" s="30" t="n"/>
      <c r="F488" s="17" t="n"/>
      <c r="G488" s="31">
        <f>IF(C488="","",IFERROR(INDEX(Categorie!$B$6:$B$65,MATCH(C488,Categorie!$A$6:$A$65,0))&amp;"",""))</f>
        <v/>
      </c>
      <c r="H488" s="32">
        <f>IF(AND(A488="",C488="",D488=""),"",IF(D488="","Manca l'importo",IF(NOT(ISNUMBER(D488)),"Importo non valido",IF(NOT(ISNUMBER(A488)),"Data mancante o non valida",IF(YEAR(A488)&lt;&gt;Impostazioni!$C$4,"Fuori dall'anno",IF(C488="","Manca la categoria",IF(ISNA(MATCH(C488,Categorie!$A$6:$A$65,0)),"Categoria non trovata",IF(G488="","Categoria senza tipo",""))))))))</f>
        <v/>
      </c>
    </row>
    <row r="489">
      <c r="A489" s="29" t="n"/>
      <c r="B489" s="17" t="n"/>
      <c r="C489" s="17" t="n"/>
      <c r="D489" s="16" t="n"/>
      <c r="E489" s="30" t="n"/>
      <c r="F489" s="17" t="n"/>
      <c r="G489" s="31">
        <f>IF(C489="","",IFERROR(INDEX(Categorie!$B$6:$B$65,MATCH(C489,Categorie!$A$6:$A$65,0))&amp;"",""))</f>
        <v/>
      </c>
      <c r="H489" s="32">
        <f>IF(AND(A489="",C489="",D489=""),"",IF(D489="","Manca l'importo",IF(NOT(ISNUMBER(D489)),"Importo non valido",IF(NOT(ISNUMBER(A489)),"Data mancante o non valida",IF(YEAR(A489)&lt;&gt;Impostazioni!$C$4,"Fuori dall'anno",IF(C489="","Manca la categoria",IF(ISNA(MATCH(C489,Categorie!$A$6:$A$65,0)),"Categoria non trovata",IF(G489="","Categoria senza tipo",""))))))))</f>
        <v/>
      </c>
    </row>
    <row r="490">
      <c r="A490" s="29" t="n"/>
      <c r="B490" s="17" t="n"/>
      <c r="C490" s="17" t="n"/>
      <c r="D490" s="16" t="n"/>
      <c r="E490" s="30" t="n"/>
      <c r="F490" s="17" t="n"/>
      <c r="G490" s="31">
        <f>IF(C490="","",IFERROR(INDEX(Categorie!$B$6:$B$65,MATCH(C490,Categorie!$A$6:$A$65,0))&amp;"",""))</f>
        <v/>
      </c>
      <c r="H490" s="32">
        <f>IF(AND(A490="",C490="",D490=""),"",IF(D490="","Manca l'importo",IF(NOT(ISNUMBER(D490)),"Importo non valido",IF(NOT(ISNUMBER(A490)),"Data mancante o non valida",IF(YEAR(A490)&lt;&gt;Impostazioni!$C$4,"Fuori dall'anno",IF(C490="","Manca la categoria",IF(ISNA(MATCH(C490,Categorie!$A$6:$A$65,0)),"Categoria non trovata",IF(G490="","Categoria senza tipo",""))))))))</f>
        <v/>
      </c>
    </row>
    <row r="491">
      <c r="A491" s="29" t="n"/>
      <c r="B491" s="17" t="n"/>
      <c r="C491" s="17" t="n"/>
      <c r="D491" s="16" t="n"/>
      <c r="E491" s="30" t="n"/>
      <c r="F491" s="17" t="n"/>
      <c r="G491" s="31">
        <f>IF(C491="","",IFERROR(INDEX(Categorie!$B$6:$B$65,MATCH(C491,Categorie!$A$6:$A$65,0))&amp;"",""))</f>
        <v/>
      </c>
      <c r="H491" s="32">
        <f>IF(AND(A491="",C491="",D491=""),"",IF(D491="","Manca l'importo",IF(NOT(ISNUMBER(D491)),"Importo non valido",IF(NOT(ISNUMBER(A491)),"Data mancante o non valida",IF(YEAR(A491)&lt;&gt;Impostazioni!$C$4,"Fuori dall'anno",IF(C491="","Manca la categoria",IF(ISNA(MATCH(C491,Categorie!$A$6:$A$65,0)),"Categoria non trovata",IF(G491="","Categoria senza tipo",""))))))))</f>
        <v/>
      </c>
    </row>
    <row r="492">
      <c r="A492" s="29" t="n"/>
      <c r="B492" s="17" t="n"/>
      <c r="C492" s="17" t="n"/>
      <c r="D492" s="16" t="n"/>
      <c r="E492" s="30" t="n"/>
      <c r="F492" s="17" t="n"/>
      <c r="G492" s="31">
        <f>IF(C492="","",IFERROR(INDEX(Categorie!$B$6:$B$65,MATCH(C492,Categorie!$A$6:$A$65,0))&amp;"",""))</f>
        <v/>
      </c>
      <c r="H492" s="32">
        <f>IF(AND(A492="",C492="",D492=""),"",IF(D492="","Manca l'importo",IF(NOT(ISNUMBER(D492)),"Importo non valido",IF(NOT(ISNUMBER(A492)),"Data mancante o non valida",IF(YEAR(A492)&lt;&gt;Impostazioni!$C$4,"Fuori dall'anno",IF(C492="","Manca la categoria",IF(ISNA(MATCH(C492,Categorie!$A$6:$A$65,0)),"Categoria non trovata",IF(G492="","Categoria senza tipo",""))))))))</f>
        <v/>
      </c>
    </row>
    <row r="493">
      <c r="A493" s="29" t="n"/>
      <c r="B493" s="17" t="n"/>
      <c r="C493" s="17" t="n"/>
      <c r="D493" s="16" t="n"/>
      <c r="E493" s="30" t="n"/>
      <c r="F493" s="17" t="n"/>
      <c r="G493" s="31">
        <f>IF(C493="","",IFERROR(INDEX(Categorie!$B$6:$B$65,MATCH(C493,Categorie!$A$6:$A$65,0))&amp;"",""))</f>
        <v/>
      </c>
      <c r="H493" s="32">
        <f>IF(AND(A493="",C493="",D493=""),"",IF(D493="","Manca l'importo",IF(NOT(ISNUMBER(D493)),"Importo non valido",IF(NOT(ISNUMBER(A493)),"Data mancante o non valida",IF(YEAR(A493)&lt;&gt;Impostazioni!$C$4,"Fuori dall'anno",IF(C493="","Manca la categoria",IF(ISNA(MATCH(C493,Categorie!$A$6:$A$65,0)),"Categoria non trovata",IF(G493="","Categoria senza tipo",""))))))))</f>
        <v/>
      </c>
    </row>
    <row r="494">
      <c r="A494" s="29" t="n"/>
      <c r="B494" s="17" t="n"/>
      <c r="C494" s="17" t="n"/>
      <c r="D494" s="16" t="n"/>
      <c r="E494" s="30" t="n"/>
      <c r="F494" s="17" t="n"/>
      <c r="G494" s="31">
        <f>IF(C494="","",IFERROR(INDEX(Categorie!$B$6:$B$65,MATCH(C494,Categorie!$A$6:$A$65,0))&amp;"",""))</f>
        <v/>
      </c>
      <c r="H494" s="32">
        <f>IF(AND(A494="",C494="",D494=""),"",IF(D494="","Manca l'importo",IF(NOT(ISNUMBER(D494)),"Importo non valido",IF(NOT(ISNUMBER(A494)),"Data mancante o non valida",IF(YEAR(A494)&lt;&gt;Impostazioni!$C$4,"Fuori dall'anno",IF(C494="","Manca la categoria",IF(ISNA(MATCH(C494,Categorie!$A$6:$A$65,0)),"Categoria non trovata",IF(G494="","Categoria senza tipo",""))))))))</f>
        <v/>
      </c>
    </row>
    <row r="495">
      <c r="A495" s="29" t="n"/>
      <c r="B495" s="17" t="n"/>
      <c r="C495" s="17" t="n"/>
      <c r="D495" s="16" t="n"/>
      <c r="E495" s="30" t="n"/>
      <c r="F495" s="17" t="n"/>
      <c r="G495" s="31">
        <f>IF(C495="","",IFERROR(INDEX(Categorie!$B$6:$B$65,MATCH(C495,Categorie!$A$6:$A$65,0))&amp;"",""))</f>
        <v/>
      </c>
      <c r="H495" s="32">
        <f>IF(AND(A495="",C495="",D495=""),"",IF(D495="","Manca l'importo",IF(NOT(ISNUMBER(D495)),"Importo non valido",IF(NOT(ISNUMBER(A495)),"Data mancante o non valida",IF(YEAR(A495)&lt;&gt;Impostazioni!$C$4,"Fuori dall'anno",IF(C495="","Manca la categoria",IF(ISNA(MATCH(C495,Categorie!$A$6:$A$65,0)),"Categoria non trovata",IF(G495="","Categoria senza tipo",""))))))))</f>
        <v/>
      </c>
    </row>
    <row r="496">
      <c r="A496" s="29" t="n"/>
      <c r="B496" s="17" t="n"/>
      <c r="C496" s="17" t="n"/>
      <c r="D496" s="16" t="n"/>
      <c r="E496" s="30" t="n"/>
      <c r="F496" s="17" t="n"/>
      <c r="G496" s="31">
        <f>IF(C496="","",IFERROR(INDEX(Categorie!$B$6:$B$65,MATCH(C496,Categorie!$A$6:$A$65,0))&amp;"",""))</f>
        <v/>
      </c>
      <c r="H496" s="32">
        <f>IF(AND(A496="",C496="",D496=""),"",IF(D496="","Manca l'importo",IF(NOT(ISNUMBER(D496)),"Importo non valido",IF(NOT(ISNUMBER(A496)),"Data mancante o non valida",IF(YEAR(A496)&lt;&gt;Impostazioni!$C$4,"Fuori dall'anno",IF(C496="","Manca la categoria",IF(ISNA(MATCH(C496,Categorie!$A$6:$A$65,0)),"Categoria non trovata",IF(G496="","Categoria senza tipo",""))))))))</f>
        <v/>
      </c>
    </row>
    <row r="497">
      <c r="A497" s="29" t="n"/>
      <c r="B497" s="17" t="n"/>
      <c r="C497" s="17" t="n"/>
      <c r="D497" s="16" t="n"/>
      <c r="E497" s="30" t="n"/>
      <c r="F497" s="17" t="n"/>
      <c r="G497" s="31">
        <f>IF(C497="","",IFERROR(INDEX(Categorie!$B$6:$B$65,MATCH(C497,Categorie!$A$6:$A$65,0))&amp;"",""))</f>
        <v/>
      </c>
      <c r="H497" s="32">
        <f>IF(AND(A497="",C497="",D497=""),"",IF(D497="","Manca l'importo",IF(NOT(ISNUMBER(D497)),"Importo non valido",IF(NOT(ISNUMBER(A497)),"Data mancante o non valida",IF(YEAR(A497)&lt;&gt;Impostazioni!$C$4,"Fuori dall'anno",IF(C497="","Manca la categoria",IF(ISNA(MATCH(C497,Categorie!$A$6:$A$65,0)),"Categoria non trovata",IF(G497="","Categoria senza tipo",""))))))))</f>
        <v/>
      </c>
    </row>
    <row r="498">
      <c r="A498" s="29" t="n"/>
      <c r="B498" s="17" t="n"/>
      <c r="C498" s="17" t="n"/>
      <c r="D498" s="16" t="n"/>
      <c r="E498" s="30" t="n"/>
      <c r="F498" s="17" t="n"/>
      <c r="G498" s="31">
        <f>IF(C498="","",IFERROR(INDEX(Categorie!$B$6:$B$65,MATCH(C498,Categorie!$A$6:$A$65,0))&amp;"",""))</f>
        <v/>
      </c>
      <c r="H498" s="32">
        <f>IF(AND(A498="",C498="",D498=""),"",IF(D498="","Manca l'importo",IF(NOT(ISNUMBER(D498)),"Importo non valido",IF(NOT(ISNUMBER(A498)),"Data mancante o non valida",IF(YEAR(A498)&lt;&gt;Impostazioni!$C$4,"Fuori dall'anno",IF(C498="","Manca la categoria",IF(ISNA(MATCH(C498,Categorie!$A$6:$A$65,0)),"Categoria non trovata",IF(G498="","Categoria senza tipo",""))))))))</f>
        <v/>
      </c>
    </row>
    <row r="499">
      <c r="A499" s="29" t="n"/>
      <c r="B499" s="17" t="n"/>
      <c r="C499" s="17" t="n"/>
      <c r="D499" s="16" t="n"/>
      <c r="E499" s="30" t="n"/>
      <c r="F499" s="17" t="n"/>
      <c r="G499" s="31">
        <f>IF(C499="","",IFERROR(INDEX(Categorie!$B$6:$B$65,MATCH(C499,Categorie!$A$6:$A$65,0))&amp;"",""))</f>
        <v/>
      </c>
      <c r="H499" s="32">
        <f>IF(AND(A499="",C499="",D499=""),"",IF(D499="","Manca l'importo",IF(NOT(ISNUMBER(D499)),"Importo non valido",IF(NOT(ISNUMBER(A499)),"Data mancante o non valida",IF(YEAR(A499)&lt;&gt;Impostazioni!$C$4,"Fuori dall'anno",IF(C499="","Manca la categoria",IF(ISNA(MATCH(C499,Categorie!$A$6:$A$65,0)),"Categoria non trovata",IF(G499="","Categoria senza tipo",""))))))))</f>
        <v/>
      </c>
    </row>
    <row r="500">
      <c r="A500" s="29" t="n"/>
      <c r="B500" s="17" t="n"/>
      <c r="C500" s="17" t="n"/>
      <c r="D500" s="16" t="n"/>
      <c r="E500" s="30" t="n"/>
      <c r="F500" s="17" t="n"/>
      <c r="G500" s="31">
        <f>IF(C500="","",IFERROR(INDEX(Categorie!$B$6:$B$65,MATCH(C500,Categorie!$A$6:$A$65,0))&amp;"",""))</f>
        <v/>
      </c>
      <c r="H500" s="32">
        <f>IF(AND(A500="",C500="",D500=""),"",IF(D500="","Manca l'importo",IF(NOT(ISNUMBER(D500)),"Importo non valido",IF(NOT(ISNUMBER(A500)),"Data mancante o non valida",IF(YEAR(A500)&lt;&gt;Impostazioni!$C$4,"Fuori dall'anno",IF(C500="","Manca la categoria",IF(ISNA(MATCH(C500,Categorie!$A$6:$A$65,0)),"Categoria non trovata",IF(G500="","Categoria senza tipo",""))))))))</f>
        <v/>
      </c>
    </row>
    <row r="501">
      <c r="A501" s="29" t="n"/>
      <c r="B501" s="17" t="n"/>
      <c r="C501" s="17" t="n"/>
      <c r="D501" s="16" t="n"/>
      <c r="E501" s="30" t="n"/>
      <c r="F501" s="17" t="n"/>
      <c r="G501" s="31">
        <f>IF(C501="","",IFERROR(INDEX(Categorie!$B$6:$B$65,MATCH(C501,Categorie!$A$6:$A$65,0))&amp;"",""))</f>
        <v/>
      </c>
      <c r="H501" s="32">
        <f>IF(AND(A501="",C501="",D501=""),"",IF(D501="","Manca l'importo",IF(NOT(ISNUMBER(D501)),"Importo non valido",IF(NOT(ISNUMBER(A501)),"Data mancante o non valida",IF(YEAR(A501)&lt;&gt;Impostazioni!$C$4,"Fuori dall'anno",IF(C501="","Manca la categoria",IF(ISNA(MATCH(C501,Categorie!$A$6:$A$65,0)),"Categoria non trovata",IF(G501="","Categoria senza tipo",""))))))))</f>
        <v/>
      </c>
    </row>
    <row r="502">
      <c r="A502" s="29" t="n"/>
      <c r="B502" s="17" t="n"/>
      <c r="C502" s="17" t="n"/>
      <c r="D502" s="16" t="n"/>
      <c r="E502" s="30" t="n"/>
      <c r="F502" s="17" t="n"/>
      <c r="G502" s="31">
        <f>IF(C502="","",IFERROR(INDEX(Categorie!$B$6:$B$65,MATCH(C502,Categorie!$A$6:$A$65,0))&amp;"",""))</f>
        <v/>
      </c>
      <c r="H502" s="32">
        <f>IF(AND(A502="",C502="",D502=""),"",IF(D502="","Manca l'importo",IF(NOT(ISNUMBER(D502)),"Importo non valido",IF(NOT(ISNUMBER(A502)),"Data mancante o non valida",IF(YEAR(A502)&lt;&gt;Impostazioni!$C$4,"Fuori dall'anno",IF(C502="","Manca la categoria",IF(ISNA(MATCH(C502,Categorie!$A$6:$A$65,0)),"Categoria non trovata",IF(G502="","Categoria senza tipo",""))))))))</f>
        <v/>
      </c>
    </row>
    <row r="503">
      <c r="A503" s="29" t="n"/>
      <c r="B503" s="17" t="n"/>
      <c r="C503" s="17" t="n"/>
      <c r="D503" s="16" t="n"/>
      <c r="E503" s="30" t="n"/>
      <c r="F503" s="17" t="n"/>
      <c r="G503" s="31">
        <f>IF(C503="","",IFERROR(INDEX(Categorie!$B$6:$B$65,MATCH(C503,Categorie!$A$6:$A$65,0))&amp;"",""))</f>
        <v/>
      </c>
      <c r="H503" s="32">
        <f>IF(AND(A503="",C503="",D503=""),"",IF(D503="","Manca l'importo",IF(NOT(ISNUMBER(D503)),"Importo non valido",IF(NOT(ISNUMBER(A503)),"Data mancante o non valida",IF(YEAR(A503)&lt;&gt;Impostazioni!$C$4,"Fuori dall'anno",IF(C503="","Manca la categoria",IF(ISNA(MATCH(C503,Categorie!$A$6:$A$65,0)),"Categoria non trovata",IF(G503="","Categoria senza tipo",""))))))))</f>
        <v/>
      </c>
    </row>
    <row r="504">
      <c r="A504" s="29" t="n"/>
      <c r="B504" s="17" t="n"/>
      <c r="C504" s="17" t="n"/>
      <c r="D504" s="16" t="n"/>
      <c r="E504" s="30" t="n"/>
      <c r="F504" s="17" t="n"/>
      <c r="G504" s="31">
        <f>IF(C504="","",IFERROR(INDEX(Categorie!$B$6:$B$65,MATCH(C504,Categorie!$A$6:$A$65,0))&amp;"",""))</f>
        <v/>
      </c>
      <c r="H504" s="32">
        <f>IF(AND(A504="",C504="",D504=""),"",IF(D504="","Manca l'importo",IF(NOT(ISNUMBER(D504)),"Importo non valido",IF(NOT(ISNUMBER(A504)),"Data mancante o non valida",IF(YEAR(A504)&lt;&gt;Impostazioni!$C$4,"Fuori dall'anno",IF(C504="","Manca la categoria",IF(ISNA(MATCH(C504,Categorie!$A$6:$A$65,0)),"Categoria non trovata",IF(G504="","Categoria senza tipo",""))))))))</f>
        <v/>
      </c>
    </row>
    <row r="505">
      <c r="A505" s="29" t="n"/>
      <c r="B505" s="17" t="n"/>
      <c r="C505" s="17" t="n"/>
      <c r="D505" s="16" t="n"/>
      <c r="E505" s="30" t="n"/>
      <c r="F505" s="17" t="n"/>
      <c r="G505" s="31">
        <f>IF(C505="","",IFERROR(INDEX(Categorie!$B$6:$B$65,MATCH(C505,Categorie!$A$6:$A$65,0))&amp;"",""))</f>
        <v/>
      </c>
      <c r="H505" s="32">
        <f>IF(AND(A505="",C505="",D505=""),"",IF(D505="","Manca l'importo",IF(NOT(ISNUMBER(D505)),"Importo non valido",IF(NOT(ISNUMBER(A505)),"Data mancante o non valida",IF(YEAR(A505)&lt;&gt;Impostazioni!$C$4,"Fuori dall'anno",IF(C505="","Manca la categoria",IF(ISNA(MATCH(C505,Categorie!$A$6:$A$65,0)),"Categoria non trovata",IF(G505="","Categoria senza tipo",""))))))))</f>
        <v/>
      </c>
    </row>
    <row r="506">
      <c r="A506" s="29" t="n"/>
      <c r="B506" s="17" t="n"/>
      <c r="C506" s="17" t="n"/>
      <c r="D506" s="16" t="n"/>
      <c r="E506" s="30" t="n"/>
      <c r="F506" s="17" t="n"/>
      <c r="G506" s="31">
        <f>IF(C506="","",IFERROR(INDEX(Categorie!$B$6:$B$65,MATCH(C506,Categorie!$A$6:$A$65,0))&amp;"",""))</f>
        <v/>
      </c>
      <c r="H506" s="32">
        <f>IF(AND(A506="",C506="",D506=""),"",IF(D506="","Manca l'importo",IF(NOT(ISNUMBER(D506)),"Importo non valido",IF(NOT(ISNUMBER(A506)),"Data mancante o non valida",IF(YEAR(A506)&lt;&gt;Impostazioni!$C$4,"Fuori dall'anno",IF(C506="","Manca la categoria",IF(ISNA(MATCH(C506,Categorie!$A$6:$A$65,0)),"Categoria non trovata",IF(G506="","Categoria senza tipo",""))))))))</f>
        <v/>
      </c>
    </row>
    <row r="507">
      <c r="A507" s="29" t="n"/>
      <c r="B507" s="17" t="n"/>
      <c r="C507" s="17" t="n"/>
      <c r="D507" s="16" t="n"/>
      <c r="E507" s="30" t="n"/>
      <c r="F507" s="17" t="n"/>
      <c r="G507" s="31">
        <f>IF(C507="","",IFERROR(INDEX(Categorie!$B$6:$B$65,MATCH(C507,Categorie!$A$6:$A$65,0))&amp;"",""))</f>
        <v/>
      </c>
      <c r="H507" s="32">
        <f>IF(AND(A507="",C507="",D507=""),"",IF(D507="","Manca l'importo",IF(NOT(ISNUMBER(D507)),"Importo non valido",IF(NOT(ISNUMBER(A507)),"Data mancante o non valida",IF(YEAR(A507)&lt;&gt;Impostazioni!$C$4,"Fuori dall'anno",IF(C507="","Manca la categoria",IF(ISNA(MATCH(C507,Categorie!$A$6:$A$65,0)),"Categoria non trovata",IF(G507="","Categoria senza tipo",""))))))))</f>
        <v/>
      </c>
    </row>
    <row r="508">
      <c r="A508" s="29" t="n"/>
      <c r="B508" s="17" t="n"/>
      <c r="C508" s="17" t="n"/>
      <c r="D508" s="16" t="n"/>
      <c r="E508" s="30" t="n"/>
      <c r="F508" s="17" t="n"/>
      <c r="G508" s="31">
        <f>IF(C508="","",IFERROR(INDEX(Categorie!$B$6:$B$65,MATCH(C508,Categorie!$A$6:$A$65,0))&amp;"",""))</f>
        <v/>
      </c>
      <c r="H508" s="32">
        <f>IF(AND(A508="",C508="",D508=""),"",IF(D508="","Manca l'importo",IF(NOT(ISNUMBER(D508)),"Importo non valido",IF(NOT(ISNUMBER(A508)),"Data mancante o non valida",IF(YEAR(A508)&lt;&gt;Impostazioni!$C$4,"Fuori dall'anno",IF(C508="","Manca la categoria",IF(ISNA(MATCH(C508,Categorie!$A$6:$A$65,0)),"Categoria non trovata",IF(G508="","Categoria senza tipo",""))))))))</f>
        <v/>
      </c>
    </row>
    <row r="509">
      <c r="A509" s="29" t="n"/>
      <c r="B509" s="17" t="n"/>
      <c r="C509" s="17" t="n"/>
      <c r="D509" s="16" t="n"/>
      <c r="E509" s="30" t="n"/>
      <c r="F509" s="17" t="n"/>
      <c r="G509" s="31">
        <f>IF(C509="","",IFERROR(INDEX(Categorie!$B$6:$B$65,MATCH(C509,Categorie!$A$6:$A$65,0))&amp;"",""))</f>
        <v/>
      </c>
      <c r="H509" s="32">
        <f>IF(AND(A509="",C509="",D509=""),"",IF(D509="","Manca l'importo",IF(NOT(ISNUMBER(D509)),"Importo non valido",IF(NOT(ISNUMBER(A509)),"Data mancante o non valida",IF(YEAR(A509)&lt;&gt;Impostazioni!$C$4,"Fuori dall'anno",IF(C509="","Manca la categoria",IF(ISNA(MATCH(C509,Categorie!$A$6:$A$65,0)),"Categoria non trovata",IF(G509="","Categoria senza tipo",""))))))))</f>
        <v/>
      </c>
    </row>
    <row r="510">
      <c r="A510" s="29" t="n"/>
      <c r="B510" s="17" t="n"/>
      <c r="C510" s="17" t="n"/>
      <c r="D510" s="16" t="n"/>
      <c r="E510" s="30" t="n"/>
      <c r="F510" s="17" t="n"/>
      <c r="G510" s="31">
        <f>IF(C510="","",IFERROR(INDEX(Categorie!$B$6:$B$65,MATCH(C510,Categorie!$A$6:$A$65,0))&amp;"",""))</f>
        <v/>
      </c>
      <c r="H510" s="32">
        <f>IF(AND(A510="",C510="",D510=""),"",IF(D510="","Manca l'importo",IF(NOT(ISNUMBER(D510)),"Importo non valido",IF(NOT(ISNUMBER(A510)),"Data mancante o non valida",IF(YEAR(A510)&lt;&gt;Impostazioni!$C$4,"Fuori dall'anno",IF(C510="","Manca la categoria",IF(ISNA(MATCH(C510,Categorie!$A$6:$A$65,0)),"Categoria non trovata",IF(G510="","Categoria senza tipo",""))))))))</f>
        <v/>
      </c>
    </row>
    <row r="511">
      <c r="A511" s="29" t="n"/>
      <c r="B511" s="17" t="n"/>
      <c r="C511" s="17" t="n"/>
      <c r="D511" s="16" t="n"/>
      <c r="E511" s="30" t="n"/>
      <c r="F511" s="17" t="n"/>
      <c r="G511" s="31">
        <f>IF(C511="","",IFERROR(INDEX(Categorie!$B$6:$B$65,MATCH(C511,Categorie!$A$6:$A$65,0))&amp;"",""))</f>
        <v/>
      </c>
      <c r="H511" s="32">
        <f>IF(AND(A511="",C511="",D511=""),"",IF(D511="","Manca l'importo",IF(NOT(ISNUMBER(D511)),"Importo non valido",IF(NOT(ISNUMBER(A511)),"Data mancante o non valida",IF(YEAR(A511)&lt;&gt;Impostazioni!$C$4,"Fuori dall'anno",IF(C511="","Manca la categoria",IF(ISNA(MATCH(C511,Categorie!$A$6:$A$65,0)),"Categoria non trovata",IF(G511="","Categoria senza tipo",""))))))))</f>
        <v/>
      </c>
    </row>
    <row r="512">
      <c r="A512" s="29" t="n"/>
      <c r="B512" s="17" t="n"/>
      <c r="C512" s="17" t="n"/>
      <c r="D512" s="16" t="n"/>
      <c r="E512" s="30" t="n"/>
      <c r="F512" s="17" t="n"/>
      <c r="G512" s="31">
        <f>IF(C512="","",IFERROR(INDEX(Categorie!$B$6:$B$65,MATCH(C512,Categorie!$A$6:$A$65,0))&amp;"",""))</f>
        <v/>
      </c>
      <c r="H512" s="32">
        <f>IF(AND(A512="",C512="",D512=""),"",IF(D512="","Manca l'importo",IF(NOT(ISNUMBER(D512)),"Importo non valido",IF(NOT(ISNUMBER(A512)),"Data mancante o non valida",IF(YEAR(A512)&lt;&gt;Impostazioni!$C$4,"Fuori dall'anno",IF(C512="","Manca la categoria",IF(ISNA(MATCH(C512,Categorie!$A$6:$A$65,0)),"Categoria non trovata",IF(G512="","Categoria senza tipo",""))))))))</f>
        <v/>
      </c>
    </row>
    <row r="513">
      <c r="A513" s="29" t="n"/>
      <c r="B513" s="17" t="n"/>
      <c r="C513" s="17" t="n"/>
      <c r="D513" s="16" t="n"/>
      <c r="E513" s="30" t="n"/>
      <c r="F513" s="17" t="n"/>
      <c r="G513" s="31">
        <f>IF(C513="","",IFERROR(INDEX(Categorie!$B$6:$B$65,MATCH(C513,Categorie!$A$6:$A$65,0))&amp;"",""))</f>
        <v/>
      </c>
      <c r="H513" s="32">
        <f>IF(AND(A513="",C513="",D513=""),"",IF(D513="","Manca l'importo",IF(NOT(ISNUMBER(D513)),"Importo non valido",IF(NOT(ISNUMBER(A513)),"Data mancante o non valida",IF(YEAR(A513)&lt;&gt;Impostazioni!$C$4,"Fuori dall'anno",IF(C513="","Manca la categoria",IF(ISNA(MATCH(C513,Categorie!$A$6:$A$65,0)),"Categoria non trovata",IF(G513="","Categoria senza tipo",""))))))))</f>
        <v/>
      </c>
    </row>
    <row r="514">
      <c r="A514" s="29" t="n"/>
      <c r="B514" s="17" t="n"/>
      <c r="C514" s="17" t="n"/>
      <c r="D514" s="16" t="n"/>
      <c r="E514" s="30" t="n"/>
      <c r="F514" s="17" t="n"/>
      <c r="G514" s="31">
        <f>IF(C514="","",IFERROR(INDEX(Categorie!$B$6:$B$65,MATCH(C514,Categorie!$A$6:$A$65,0))&amp;"",""))</f>
        <v/>
      </c>
      <c r="H514" s="32">
        <f>IF(AND(A514="",C514="",D514=""),"",IF(D514="","Manca l'importo",IF(NOT(ISNUMBER(D514)),"Importo non valido",IF(NOT(ISNUMBER(A514)),"Data mancante o non valida",IF(YEAR(A514)&lt;&gt;Impostazioni!$C$4,"Fuori dall'anno",IF(C514="","Manca la categoria",IF(ISNA(MATCH(C514,Categorie!$A$6:$A$65,0)),"Categoria non trovata",IF(G514="","Categoria senza tipo",""))))))))</f>
        <v/>
      </c>
    </row>
    <row r="515">
      <c r="A515" s="29" t="n"/>
      <c r="B515" s="17" t="n"/>
      <c r="C515" s="17" t="n"/>
      <c r="D515" s="16" t="n"/>
      <c r="E515" s="30" t="n"/>
      <c r="F515" s="17" t="n"/>
      <c r="G515" s="31">
        <f>IF(C515="","",IFERROR(INDEX(Categorie!$B$6:$B$65,MATCH(C515,Categorie!$A$6:$A$65,0))&amp;"",""))</f>
        <v/>
      </c>
      <c r="H515" s="32">
        <f>IF(AND(A515="",C515="",D515=""),"",IF(D515="","Manca l'importo",IF(NOT(ISNUMBER(D515)),"Importo non valido",IF(NOT(ISNUMBER(A515)),"Data mancante o non valida",IF(YEAR(A515)&lt;&gt;Impostazioni!$C$4,"Fuori dall'anno",IF(C515="","Manca la categoria",IF(ISNA(MATCH(C515,Categorie!$A$6:$A$65,0)),"Categoria non trovata",IF(G515="","Categoria senza tipo",""))))))))</f>
        <v/>
      </c>
    </row>
    <row r="516">
      <c r="A516" s="29" t="n"/>
      <c r="B516" s="17" t="n"/>
      <c r="C516" s="17" t="n"/>
      <c r="D516" s="16" t="n"/>
      <c r="E516" s="30" t="n"/>
      <c r="F516" s="17" t="n"/>
      <c r="G516" s="31">
        <f>IF(C516="","",IFERROR(INDEX(Categorie!$B$6:$B$65,MATCH(C516,Categorie!$A$6:$A$65,0))&amp;"",""))</f>
        <v/>
      </c>
      <c r="H516" s="32">
        <f>IF(AND(A516="",C516="",D516=""),"",IF(D516="","Manca l'importo",IF(NOT(ISNUMBER(D516)),"Importo non valido",IF(NOT(ISNUMBER(A516)),"Data mancante o non valida",IF(YEAR(A516)&lt;&gt;Impostazioni!$C$4,"Fuori dall'anno",IF(C516="","Manca la categoria",IF(ISNA(MATCH(C516,Categorie!$A$6:$A$65,0)),"Categoria non trovata",IF(G516="","Categoria senza tipo",""))))))))</f>
        <v/>
      </c>
    </row>
    <row r="517">
      <c r="A517" s="29" t="n"/>
      <c r="B517" s="17" t="n"/>
      <c r="C517" s="17" t="n"/>
      <c r="D517" s="16" t="n"/>
      <c r="E517" s="30" t="n"/>
      <c r="F517" s="17" t="n"/>
      <c r="G517" s="31">
        <f>IF(C517="","",IFERROR(INDEX(Categorie!$B$6:$B$65,MATCH(C517,Categorie!$A$6:$A$65,0))&amp;"",""))</f>
        <v/>
      </c>
      <c r="H517" s="32">
        <f>IF(AND(A517="",C517="",D517=""),"",IF(D517="","Manca l'importo",IF(NOT(ISNUMBER(D517)),"Importo non valido",IF(NOT(ISNUMBER(A517)),"Data mancante o non valida",IF(YEAR(A517)&lt;&gt;Impostazioni!$C$4,"Fuori dall'anno",IF(C517="","Manca la categoria",IF(ISNA(MATCH(C517,Categorie!$A$6:$A$65,0)),"Categoria non trovata",IF(G517="","Categoria senza tipo",""))))))))</f>
        <v/>
      </c>
    </row>
    <row r="518">
      <c r="A518" s="29" t="n"/>
      <c r="B518" s="17" t="n"/>
      <c r="C518" s="17" t="n"/>
      <c r="D518" s="16" t="n"/>
      <c r="E518" s="30" t="n"/>
      <c r="F518" s="17" t="n"/>
      <c r="G518" s="31">
        <f>IF(C518="","",IFERROR(INDEX(Categorie!$B$6:$B$65,MATCH(C518,Categorie!$A$6:$A$65,0))&amp;"",""))</f>
        <v/>
      </c>
      <c r="H518" s="32">
        <f>IF(AND(A518="",C518="",D518=""),"",IF(D518="","Manca l'importo",IF(NOT(ISNUMBER(D518)),"Importo non valido",IF(NOT(ISNUMBER(A518)),"Data mancante o non valida",IF(YEAR(A518)&lt;&gt;Impostazioni!$C$4,"Fuori dall'anno",IF(C518="","Manca la categoria",IF(ISNA(MATCH(C518,Categorie!$A$6:$A$65,0)),"Categoria non trovata",IF(G518="","Categoria senza tipo",""))))))))</f>
        <v/>
      </c>
    </row>
    <row r="519">
      <c r="A519" s="29" t="n"/>
      <c r="B519" s="17" t="n"/>
      <c r="C519" s="17" t="n"/>
      <c r="D519" s="16" t="n"/>
      <c r="E519" s="30" t="n"/>
      <c r="F519" s="17" t="n"/>
      <c r="G519" s="31">
        <f>IF(C519="","",IFERROR(INDEX(Categorie!$B$6:$B$65,MATCH(C519,Categorie!$A$6:$A$65,0))&amp;"",""))</f>
        <v/>
      </c>
      <c r="H519" s="32">
        <f>IF(AND(A519="",C519="",D519=""),"",IF(D519="","Manca l'importo",IF(NOT(ISNUMBER(D519)),"Importo non valido",IF(NOT(ISNUMBER(A519)),"Data mancante o non valida",IF(YEAR(A519)&lt;&gt;Impostazioni!$C$4,"Fuori dall'anno",IF(C519="","Manca la categoria",IF(ISNA(MATCH(C519,Categorie!$A$6:$A$65,0)),"Categoria non trovata",IF(G519="","Categoria senza tipo",""))))))))</f>
        <v/>
      </c>
    </row>
    <row r="520">
      <c r="A520" s="29" t="n"/>
      <c r="B520" s="17" t="n"/>
      <c r="C520" s="17" t="n"/>
      <c r="D520" s="16" t="n"/>
      <c r="E520" s="30" t="n"/>
      <c r="F520" s="17" t="n"/>
      <c r="G520" s="31">
        <f>IF(C520="","",IFERROR(INDEX(Categorie!$B$6:$B$65,MATCH(C520,Categorie!$A$6:$A$65,0))&amp;"",""))</f>
        <v/>
      </c>
      <c r="H520" s="32">
        <f>IF(AND(A520="",C520="",D520=""),"",IF(D520="","Manca l'importo",IF(NOT(ISNUMBER(D520)),"Importo non valido",IF(NOT(ISNUMBER(A520)),"Data mancante o non valida",IF(YEAR(A520)&lt;&gt;Impostazioni!$C$4,"Fuori dall'anno",IF(C520="","Manca la categoria",IF(ISNA(MATCH(C520,Categorie!$A$6:$A$65,0)),"Categoria non trovata",IF(G520="","Categoria senza tipo",""))))))))</f>
        <v/>
      </c>
    </row>
    <row r="521">
      <c r="A521" s="29" t="n"/>
      <c r="B521" s="17" t="n"/>
      <c r="C521" s="17" t="n"/>
      <c r="D521" s="16" t="n"/>
      <c r="E521" s="30" t="n"/>
      <c r="F521" s="17" t="n"/>
      <c r="G521" s="31">
        <f>IF(C521="","",IFERROR(INDEX(Categorie!$B$6:$B$65,MATCH(C521,Categorie!$A$6:$A$65,0))&amp;"",""))</f>
        <v/>
      </c>
      <c r="H521" s="32">
        <f>IF(AND(A521="",C521="",D521=""),"",IF(D521="","Manca l'importo",IF(NOT(ISNUMBER(D521)),"Importo non valido",IF(NOT(ISNUMBER(A521)),"Data mancante o non valida",IF(YEAR(A521)&lt;&gt;Impostazioni!$C$4,"Fuori dall'anno",IF(C521="","Manca la categoria",IF(ISNA(MATCH(C521,Categorie!$A$6:$A$65,0)),"Categoria non trovata",IF(G521="","Categoria senza tipo",""))))))))</f>
        <v/>
      </c>
    </row>
    <row r="522">
      <c r="A522" s="29" t="n"/>
      <c r="B522" s="17" t="n"/>
      <c r="C522" s="17" t="n"/>
      <c r="D522" s="16" t="n"/>
      <c r="E522" s="30" t="n"/>
      <c r="F522" s="17" t="n"/>
      <c r="G522" s="31">
        <f>IF(C522="","",IFERROR(INDEX(Categorie!$B$6:$B$65,MATCH(C522,Categorie!$A$6:$A$65,0))&amp;"",""))</f>
        <v/>
      </c>
      <c r="H522" s="32">
        <f>IF(AND(A522="",C522="",D522=""),"",IF(D522="","Manca l'importo",IF(NOT(ISNUMBER(D522)),"Importo non valido",IF(NOT(ISNUMBER(A522)),"Data mancante o non valida",IF(YEAR(A522)&lt;&gt;Impostazioni!$C$4,"Fuori dall'anno",IF(C522="","Manca la categoria",IF(ISNA(MATCH(C522,Categorie!$A$6:$A$65,0)),"Categoria non trovata",IF(G522="","Categoria senza tipo",""))))))))</f>
        <v/>
      </c>
    </row>
    <row r="523">
      <c r="A523" s="29" t="n"/>
      <c r="B523" s="17" t="n"/>
      <c r="C523" s="17" t="n"/>
      <c r="D523" s="16" t="n"/>
      <c r="E523" s="30" t="n"/>
      <c r="F523" s="17" t="n"/>
      <c r="G523" s="31">
        <f>IF(C523="","",IFERROR(INDEX(Categorie!$B$6:$B$65,MATCH(C523,Categorie!$A$6:$A$65,0))&amp;"",""))</f>
        <v/>
      </c>
      <c r="H523" s="32">
        <f>IF(AND(A523="",C523="",D523=""),"",IF(D523="","Manca l'importo",IF(NOT(ISNUMBER(D523)),"Importo non valido",IF(NOT(ISNUMBER(A523)),"Data mancante o non valida",IF(YEAR(A523)&lt;&gt;Impostazioni!$C$4,"Fuori dall'anno",IF(C523="","Manca la categoria",IF(ISNA(MATCH(C523,Categorie!$A$6:$A$65,0)),"Categoria non trovata",IF(G523="","Categoria senza tipo",""))))))))</f>
        <v/>
      </c>
    </row>
    <row r="524">
      <c r="A524" s="29" t="n"/>
      <c r="B524" s="17" t="n"/>
      <c r="C524" s="17" t="n"/>
      <c r="D524" s="16" t="n"/>
      <c r="E524" s="30" t="n"/>
      <c r="F524" s="17" t="n"/>
      <c r="G524" s="31">
        <f>IF(C524="","",IFERROR(INDEX(Categorie!$B$6:$B$65,MATCH(C524,Categorie!$A$6:$A$65,0))&amp;"",""))</f>
        <v/>
      </c>
      <c r="H524" s="32">
        <f>IF(AND(A524="",C524="",D524=""),"",IF(D524="","Manca l'importo",IF(NOT(ISNUMBER(D524)),"Importo non valido",IF(NOT(ISNUMBER(A524)),"Data mancante o non valida",IF(YEAR(A524)&lt;&gt;Impostazioni!$C$4,"Fuori dall'anno",IF(C524="","Manca la categoria",IF(ISNA(MATCH(C524,Categorie!$A$6:$A$65,0)),"Categoria non trovata",IF(G524="","Categoria senza tipo",""))))))))</f>
        <v/>
      </c>
    </row>
    <row r="525">
      <c r="A525" s="29" t="n"/>
      <c r="B525" s="17" t="n"/>
      <c r="C525" s="17" t="n"/>
      <c r="D525" s="16" t="n"/>
      <c r="E525" s="30" t="n"/>
      <c r="F525" s="17" t="n"/>
      <c r="G525" s="31">
        <f>IF(C525="","",IFERROR(INDEX(Categorie!$B$6:$B$65,MATCH(C525,Categorie!$A$6:$A$65,0))&amp;"",""))</f>
        <v/>
      </c>
      <c r="H525" s="32">
        <f>IF(AND(A525="",C525="",D525=""),"",IF(D525="","Manca l'importo",IF(NOT(ISNUMBER(D525)),"Importo non valido",IF(NOT(ISNUMBER(A525)),"Data mancante o non valida",IF(YEAR(A525)&lt;&gt;Impostazioni!$C$4,"Fuori dall'anno",IF(C525="","Manca la categoria",IF(ISNA(MATCH(C525,Categorie!$A$6:$A$65,0)),"Categoria non trovata",IF(G525="","Categoria senza tipo",""))))))))</f>
        <v/>
      </c>
    </row>
    <row r="526">
      <c r="A526" s="29" t="n"/>
      <c r="B526" s="17" t="n"/>
      <c r="C526" s="17" t="n"/>
      <c r="D526" s="16" t="n"/>
      <c r="E526" s="30" t="n"/>
      <c r="F526" s="17" t="n"/>
      <c r="G526" s="31">
        <f>IF(C526="","",IFERROR(INDEX(Categorie!$B$6:$B$65,MATCH(C526,Categorie!$A$6:$A$65,0))&amp;"",""))</f>
        <v/>
      </c>
      <c r="H526" s="32">
        <f>IF(AND(A526="",C526="",D526=""),"",IF(D526="","Manca l'importo",IF(NOT(ISNUMBER(D526)),"Importo non valido",IF(NOT(ISNUMBER(A526)),"Data mancante o non valida",IF(YEAR(A526)&lt;&gt;Impostazioni!$C$4,"Fuori dall'anno",IF(C526="","Manca la categoria",IF(ISNA(MATCH(C526,Categorie!$A$6:$A$65,0)),"Categoria non trovata",IF(G526="","Categoria senza tipo",""))))))))</f>
        <v/>
      </c>
    </row>
    <row r="527">
      <c r="A527" s="29" t="n"/>
      <c r="B527" s="17" t="n"/>
      <c r="C527" s="17" t="n"/>
      <c r="D527" s="16" t="n"/>
      <c r="E527" s="30" t="n"/>
      <c r="F527" s="17" t="n"/>
      <c r="G527" s="31">
        <f>IF(C527="","",IFERROR(INDEX(Categorie!$B$6:$B$65,MATCH(C527,Categorie!$A$6:$A$65,0))&amp;"",""))</f>
        <v/>
      </c>
      <c r="H527" s="32">
        <f>IF(AND(A527="",C527="",D527=""),"",IF(D527="","Manca l'importo",IF(NOT(ISNUMBER(D527)),"Importo non valido",IF(NOT(ISNUMBER(A527)),"Data mancante o non valida",IF(YEAR(A527)&lt;&gt;Impostazioni!$C$4,"Fuori dall'anno",IF(C527="","Manca la categoria",IF(ISNA(MATCH(C527,Categorie!$A$6:$A$65,0)),"Categoria non trovata",IF(G527="","Categoria senza tipo",""))))))))</f>
        <v/>
      </c>
    </row>
    <row r="528">
      <c r="A528" s="29" t="n"/>
      <c r="B528" s="17" t="n"/>
      <c r="C528" s="17" t="n"/>
      <c r="D528" s="16" t="n"/>
      <c r="E528" s="30" t="n"/>
      <c r="F528" s="17" t="n"/>
      <c r="G528" s="31">
        <f>IF(C528="","",IFERROR(INDEX(Categorie!$B$6:$B$65,MATCH(C528,Categorie!$A$6:$A$65,0))&amp;"",""))</f>
        <v/>
      </c>
      <c r="H528" s="32">
        <f>IF(AND(A528="",C528="",D528=""),"",IF(D528="","Manca l'importo",IF(NOT(ISNUMBER(D528)),"Importo non valido",IF(NOT(ISNUMBER(A528)),"Data mancante o non valida",IF(YEAR(A528)&lt;&gt;Impostazioni!$C$4,"Fuori dall'anno",IF(C528="","Manca la categoria",IF(ISNA(MATCH(C528,Categorie!$A$6:$A$65,0)),"Categoria non trovata",IF(G528="","Categoria senza tipo",""))))))))</f>
        <v/>
      </c>
    </row>
    <row r="529">
      <c r="A529" s="29" t="n"/>
      <c r="B529" s="17" t="n"/>
      <c r="C529" s="17" t="n"/>
      <c r="D529" s="16" t="n"/>
      <c r="E529" s="30" t="n"/>
      <c r="F529" s="17" t="n"/>
      <c r="G529" s="31">
        <f>IF(C529="","",IFERROR(INDEX(Categorie!$B$6:$B$65,MATCH(C529,Categorie!$A$6:$A$65,0))&amp;"",""))</f>
        <v/>
      </c>
      <c r="H529" s="32">
        <f>IF(AND(A529="",C529="",D529=""),"",IF(D529="","Manca l'importo",IF(NOT(ISNUMBER(D529)),"Importo non valido",IF(NOT(ISNUMBER(A529)),"Data mancante o non valida",IF(YEAR(A529)&lt;&gt;Impostazioni!$C$4,"Fuori dall'anno",IF(C529="","Manca la categoria",IF(ISNA(MATCH(C529,Categorie!$A$6:$A$65,0)),"Categoria non trovata",IF(G529="","Categoria senza tipo",""))))))))</f>
        <v/>
      </c>
    </row>
    <row r="530">
      <c r="A530" s="29" t="n"/>
      <c r="B530" s="17" t="n"/>
      <c r="C530" s="17" t="n"/>
      <c r="D530" s="16" t="n"/>
      <c r="E530" s="30" t="n"/>
      <c r="F530" s="17" t="n"/>
      <c r="G530" s="31">
        <f>IF(C530="","",IFERROR(INDEX(Categorie!$B$6:$B$65,MATCH(C530,Categorie!$A$6:$A$65,0))&amp;"",""))</f>
        <v/>
      </c>
      <c r="H530" s="32">
        <f>IF(AND(A530="",C530="",D530=""),"",IF(D530="","Manca l'importo",IF(NOT(ISNUMBER(D530)),"Importo non valido",IF(NOT(ISNUMBER(A530)),"Data mancante o non valida",IF(YEAR(A530)&lt;&gt;Impostazioni!$C$4,"Fuori dall'anno",IF(C530="","Manca la categoria",IF(ISNA(MATCH(C530,Categorie!$A$6:$A$65,0)),"Categoria non trovata",IF(G530="","Categoria senza tipo",""))))))))</f>
        <v/>
      </c>
    </row>
    <row r="531">
      <c r="A531" s="29" t="n"/>
      <c r="B531" s="17" t="n"/>
      <c r="C531" s="17" t="n"/>
      <c r="D531" s="16" t="n"/>
      <c r="E531" s="30" t="n"/>
      <c r="F531" s="17" t="n"/>
      <c r="G531" s="31">
        <f>IF(C531="","",IFERROR(INDEX(Categorie!$B$6:$B$65,MATCH(C531,Categorie!$A$6:$A$65,0))&amp;"",""))</f>
        <v/>
      </c>
      <c r="H531" s="32">
        <f>IF(AND(A531="",C531="",D531=""),"",IF(D531="","Manca l'importo",IF(NOT(ISNUMBER(D531)),"Importo non valido",IF(NOT(ISNUMBER(A531)),"Data mancante o non valida",IF(YEAR(A531)&lt;&gt;Impostazioni!$C$4,"Fuori dall'anno",IF(C531="","Manca la categoria",IF(ISNA(MATCH(C531,Categorie!$A$6:$A$65,0)),"Categoria non trovata",IF(G531="","Categoria senza tipo",""))))))))</f>
        <v/>
      </c>
    </row>
    <row r="532">
      <c r="A532" s="29" t="n"/>
      <c r="B532" s="17" t="n"/>
      <c r="C532" s="17" t="n"/>
      <c r="D532" s="16" t="n"/>
      <c r="E532" s="30" t="n"/>
      <c r="F532" s="17" t="n"/>
      <c r="G532" s="31">
        <f>IF(C532="","",IFERROR(INDEX(Categorie!$B$6:$B$65,MATCH(C532,Categorie!$A$6:$A$65,0))&amp;"",""))</f>
        <v/>
      </c>
      <c r="H532" s="32">
        <f>IF(AND(A532="",C532="",D532=""),"",IF(D532="","Manca l'importo",IF(NOT(ISNUMBER(D532)),"Importo non valido",IF(NOT(ISNUMBER(A532)),"Data mancante o non valida",IF(YEAR(A532)&lt;&gt;Impostazioni!$C$4,"Fuori dall'anno",IF(C532="","Manca la categoria",IF(ISNA(MATCH(C532,Categorie!$A$6:$A$65,0)),"Categoria non trovata",IF(G532="","Categoria senza tipo",""))))))))</f>
        <v/>
      </c>
    </row>
    <row r="533">
      <c r="A533" s="29" t="n"/>
      <c r="B533" s="17" t="n"/>
      <c r="C533" s="17" t="n"/>
      <c r="D533" s="16" t="n"/>
      <c r="E533" s="30" t="n"/>
      <c r="F533" s="17" t="n"/>
      <c r="G533" s="31">
        <f>IF(C533="","",IFERROR(INDEX(Categorie!$B$6:$B$65,MATCH(C533,Categorie!$A$6:$A$65,0))&amp;"",""))</f>
        <v/>
      </c>
      <c r="H533" s="32">
        <f>IF(AND(A533="",C533="",D533=""),"",IF(D533="","Manca l'importo",IF(NOT(ISNUMBER(D533)),"Importo non valido",IF(NOT(ISNUMBER(A533)),"Data mancante o non valida",IF(YEAR(A533)&lt;&gt;Impostazioni!$C$4,"Fuori dall'anno",IF(C533="","Manca la categoria",IF(ISNA(MATCH(C533,Categorie!$A$6:$A$65,0)),"Categoria non trovata",IF(G533="","Categoria senza tipo",""))))))))</f>
        <v/>
      </c>
    </row>
    <row r="534">
      <c r="A534" s="29" t="n"/>
      <c r="B534" s="17" t="n"/>
      <c r="C534" s="17" t="n"/>
      <c r="D534" s="16" t="n"/>
      <c r="E534" s="30" t="n"/>
      <c r="F534" s="17" t="n"/>
      <c r="G534" s="31">
        <f>IF(C534="","",IFERROR(INDEX(Categorie!$B$6:$B$65,MATCH(C534,Categorie!$A$6:$A$65,0))&amp;"",""))</f>
        <v/>
      </c>
      <c r="H534" s="32">
        <f>IF(AND(A534="",C534="",D534=""),"",IF(D534="","Manca l'importo",IF(NOT(ISNUMBER(D534)),"Importo non valido",IF(NOT(ISNUMBER(A534)),"Data mancante o non valida",IF(YEAR(A534)&lt;&gt;Impostazioni!$C$4,"Fuori dall'anno",IF(C534="","Manca la categoria",IF(ISNA(MATCH(C534,Categorie!$A$6:$A$65,0)),"Categoria non trovata",IF(G534="","Categoria senza tipo",""))))))))</f>
        <v/>
      </c>
    </row>
    <row r="535">
      <c r="A535" s="29" t="n"/>
      <c r="B535" s="17" t="n"/>
      <c r="C535" s="17" t="n"/>
      <c r="D535" s="16" t="n"/>
      <c r="E535" s="30" t="n"/>
      <c r="F535" s="17" t="n"/>
      <c r="G535" s="31">
        <f>IF(C535="","",IFERROR(INDEX(Categorie!$B$6:$B$65,MATCH(C535,Categorie!$A$6:$A$65,0))&amp;"",""))</f>
        <v/>
      </c>
      <c r="H535" s="32">
        <f>IF(AND(A535="",C535="",D535=""),"",IF(D535="","Manca l'importo",IF(NOT(ISNUMBER(D535)),"Importo non valido",IF(NOT(ISNUMBER(A535)),"Data mancante o non valida",IF(YEAR(A535)&lt;&gt;Impostazioni!$C$4,"Fuori dall'anno",IF(C535="","Manca la categoria",IF(ISNA(MATCH(C535,Categorie!$A$6:$A$65,0)),"Categoria non trovata",IF(G535="","Categoria senza tipo",""))))))))</f>
        <v/>
      </c>
    </row>
    <row r="536">
      <c r="A536" s="29" t="n"/>
      <c r="B536" s="17" t="n"/>
      <c r="C536" s="17" t="n"/>
      <c r="D536" s="16" t="n"/>
      <c r="E536" s="30" t="n"/>
      <c r="F536" s="17" t="n"/>
      <c r="G536" s="31">
        <f>IF(C536="","",IFERROR(INDEX(Categorie!$B$6:$B$65,MATCH(C536,Categorie!$A$6:$A$65,0))&amp;"",""))</f>
        <v/>
      </c>
      <c r="H536" s="32">
        <f>IF(AND(A536="",C536="",D536=""),"",IF(D536="","Manca l'importo",IF(NOT(ISNUMBER(D536)),"Importo non valido",IF(NOT(ISNUMBER(A536)),"Data mancante o non valida",IF(YEAR(A536)&lt;&gt;Impostazioni!$C$4,"Fuori dall'anno",IF(C536="","Manca la categoria",IF(ISNA(MATCH(C536,Categorie!$A$6:$A$65,0)),"Categoria non trovata",IF(G536="","Categoria senza tipo",""))))))))</f>
        <v/>
      </c>
    </row>
    <row r="537">
      <c r="A537" s="29" t="n"/>
      <c r="B537" s="17" t="n"/>
      <c r="C537" s="17" t="n"/>
      <c r="D537" s="16" t="n"/>
      <c r="E537" s="30" t="n"/>
      <c r="F537" s="17" t="n"/>
      <c r="G537" s="31">
        <f>IF(C537="","",IFERROR(INDEX(Categorie!$B$6:$B$65,MATCH(C537,Categorie!$A$6:$A$65,0))&amp;"",""))</f>
        <v/>
      </c>
      <c r="H537" s="32">
        <f>IF(AND(A537="",C537="",D537=""),"",IF(D537="","Manca l'importo",IF(NOT(ISNUMBER(D537)),"Importo non valido",IF(NOT(ISNUMBER(A537)),"Data mancante o non valida",IF(YEAR(A537)&lt;&gt;Impostazioni!$C$4,"Fuori dall'anno",IF(C537="","Manca la categoria",IF(ISNA(MATCH(C537,Categorie!$A$6:$A$65,0)),"Categoria non trovata",IF(G537="","Categoria senza tipo",""))))))))</f>
        <v/>
      </c>
    </row>
    <row r="538">
      <c r="A538" s="29" t="n"/>
      <c r="B538" s="17" t="n"/>
      <c r="C538" s="17" t="n"/>
      <c r="D538" s="16" t="n"/>
      <c r="E538" s="30" t="n"/>
      <c r="F538" s="17" t="n"/>
      <c r="G538" s="31">
        <f>IF(C538="","",IFERROR(INDEX(Categorie!$B$6:$B$65,MATCH(C538,Categorie!$A$6:$A$65,0))&amp;"",""))</f>
        <v/>
      </c>
      <c r="H538" s="32">
        <f>IF(AND(A538="",C538="",D538=""),"",IF(D538="","Manca l'importo",IF(NOT(ISNUMBER(D538)),"Importo non valido",IF(NOT(ISNUMBER(A538)),"Data mancante o non valida",IF(YEAR(A538)&lt;&gt;Impostazioni!$C$4,"Fuori dall'anno",IF(C538="","Manca la categoria",IF(ISNA(MATCH(C538,Categorie!$A$6:$A$65,0)),"Categoria non trovata",IF(G538="","Categoria senza tipo",""))))))))</f>
        <v/>
      </c>
    </row>
    <row r="539">
      <c r="A539" s="29" t="n"/>
      <c r="B539" s="17" t="n"/>
      <c r="C539" s="17" t="n"/>
      <c r="D539" s="16" t="n"/>
      <c r="E539" s="30" t="n"/>
      <c r="F539" s="17" t="n"/>
      <c r="G539" s="31">
        <f>IF(C539="","",IFERROR(INDEX(Categorie!$B$6:$B$65,MATCH(C539,Categorie!$A$6:$A$65,0))&amp;"",""))</f>
        <v/>
      </c>
      <c r="H539" s="32">
        <f>IF(AND(A539="",C539="",D539=""),"",IF(D539="","Manca l'importo",IF(NOT(ISNUMBER(D539)),"Importo non valido",IF(NOT(ISNUMBER(A539)),"Data mancante o non valida",IF(YEAR(A539)&lt;&gt;Impostazioni!$C$4,"Fuori dall'anno",IF(C539="","Manca la categoria",IF(ISNA(MATCH(C539,Categorie!$A$6:$A$65,0)),"Categoria non trovata",IF(G539="","Categoria senza tipo",""))))))))</f>
        <v/>
      </c>
    </row>
    <row r="540">
      <c r="A540" s="29" t="n"/>
      <c r="B540" s="17" t="n"/>
      <c r="C540" s="17" t="n"/>
      <c r="D540" s="16" t="n"/>
      <c r="E540" s="30" t="n"/>
      <c r="F540" s="17" t="n"/>
      <c r="G540" s="31">
        <f>IF(C540="","",IFERROR(INDEX(Categorie!$B$6:$B$65,MATCH(C540,Categorie!$A$6:$A$65,0))&amp;"",""))</f>
        <v/>
      </c>
      <c r="H540" s="32">
        <f>IF(AND(A540="",C540="",D540=""),"",IF(D540="","Manca l'importo",IF(NOT(ISNUMBER(D540)),"Importo non valido",IF(NOT(ISNUMBER(A540)),"Data mancante o non valida",IF(YEAR(A540)&lt;&gt;Impostazioni!$C$4,"Fuori dall'anno",IF(C540="","Manca la categoria",IF(ISNA(MATCH(C540,Categorie!$A$6:$A$65,0)),"Categoria non trovata",IF(G540="","Categoria senza tipo",""))))))))</f>
        <v/>
      </c>
    </row>
    <row r="541">
      <c r="A541" s="29" t="n"/>
      <c r="B541" s="17" t="n"/>
      <c r="C541" s="17" t="n"/>
      <c r="D541" s="16" t="n"/>
      <c r="E541" s="30" t="n"/>
      <c r="F541" s="17" t="n"/>
      <c r="G541" s="31">
        <f>IF(C541="","",IFERROR(INDEX(Categorie!$B$6:$B$65,MATCH(C541,Categorie!$A$6:$A$65,0))&amp;"",""))</f>
        <v/>
      </c>
      <c r="H541" s="32">
        <f>IF(AND(A541="",C541="",D541=""),"",IF(D541="","Manca l'importo",IF(NOT(ISNUMBER(D541)),"Importo non valido",IF(NOT(ISNUMBER(A541)),"Data mancante o non valida",IF(YEAR(A541)&lt;&gt;Impostazioni!$C$4,"Fuori dall'anno",IF(C541="","Manca la categoria",IF(ISNA(MATCH(C541,Categorie!$A$6:$A$65,0)),"Categoria non trovata",IF(G541="","Categoria senza tipo",""))))))))</f>
        <v/>
      </c>
    </row>
    <row r="542">
      <c r="A542" s="29" t="n"/>
      <c r="B542" s="17" t="n"/>
      <c r="C542" s="17" t="n"/>
      <c r="D542" s="16" t="n"/>
      <c r="E542" s="30" t="n"/>
      <c r="F542" s="17" t="n"/>
      <c r="G542" s="31">
        <f>IF(C542="","",IFERROR(INDEX(Categorie!$B$6:$B$65,MATCH(C542,Categorie!$A$6:$A$65,0))&amp;"",""))</f>
        <v/>
      </c>
      <c r="H542" s="32">
        <f>IF(AND(A542="",C542="",D542=""),"",IF(D542="","Manca l'importo",IF(NOT(ISNUMBER(D542)),"Importo non valido",IF(NOT(ISNUMBER(A542)),"Data mancante o non valida",IF(YEAR(A542)&lt;&gt;Impostazioni!$C$4,"Fuori dall'anno",IF(C542="","Manca la categoria",IF(ISNA(MATCH(C542,Categorie!$A$6:$A$65,0)),"Categoria non trovata",IF(G542="","Categoria senza tipo",""))))))))</f>
        <v/>
      </c>
    </row>
    <row r="543">
      <c r="A543" s="29" t="n"/>
      <c r="B543" s="17" t="n"/>
      <c r="C543" s="17" t="n"/>
      <c r="D543" s="16" t="n"/>
      <c r="E543" s="30" t="n"/>
      <c r="F543" s="17" t="n"/>
      <c r="G543" s="31">
        <f>IF(C543="","",IFERROR(INDEX(Categorie!$B$6:$B$65,MATCH(C543,Categorie!$A$6:$A$65,0))&amp;"",""))</f>
        <v/>
      </c>
      <c r="H543" s="32">
        <f>IF(AND(A543="",C543="",D543=""),"",IF(D543="","Manca l'importo",IF(NOT(ISNUMBER(D543)),"Importo non valido",IF(NOT(ISNUMBER(A543)),"Data mancante o non valida",IF(YEAR(A543)&lt;&gt;Impostazioni!$C$4,"Fuori dall'anno",IF(C543="","Manca la categoria",IF(ISNA(MATCH(C543,Categorie!$A$6:$A$65,0)),"Categoria non trovata",IF(G543="","Categoria senza tipo",""))))))))</f>
        <v/>
      </c>
    </row>
    <row r="544">
      <c r="A544" s="29" t="n"/>
      <c r="B544" s="17" t="n"/>
      <c r="C544" s="17" t="n"/>
      <c r="D544" s="16" t="n"/>
      <c r="E544" s="30" t="n"/>
      <c r="F544" s="17" t="n"/>
      <c r="G544" s="31">
        <f>IF(C544="","",IFERROR(INDEX(Categorie!$B$6:$B$65,MATCH(C544,Categorie!$A$6:$A$65,0))&amp;"",""))</f>
        <v/>
      </c>
      <c r="H544" s="32">
        <f>IF(AND(A544="",C544="",D544=""),"",IF(D544="","Manca l'importo",IF(NOT(ISNUMBER(D544)),"Importo non valido",IF(NOT(ISNUMBER(A544)),"Data mancante o non valida",IF(YEAR(A544)&lt;&gt;Impostazioni!$C$4,"Fuori dall'anno",IF(C544="","Manca la categoria",IF(ISNA(MATCH(C544,Categorie!$A$6:$A$65,0)),"Categoria non trovata",IF(G544="","Categoria senza tipo",""))))))))</f>
        <v/>
      </c>
    </row>
    <row r="545">
      <c r="A545" s="29" t="n"/>
      <c r="B545" s="17" t="n"/>
      <c r="C545" s="17" t="n"/>
      <c r="D545" s="16" t="n"/>
      <c r="E545" s="30" t="n"/>
      <c r="F545" s="17" t="n"/>
      <c r="G545" s="31">
        <f>IF(C545="","",IFERROR(INDEX(Categorie!$B$6:$B$65,MATCH(C545,Categorie!$A$6:$A$65,0))&amp;"",""))</f>
        <v/>
      </c>
      <c r="H545" s="32">
        <f>IF(AND(A545="",C545="",D545=""),"",IF(D545="","Manca l'importo",IF(NOT(ISNUMBER(D545)),"Importo non valido",IF(NOT(ISNUMBER(A545)),"Data mancante o non valida",IF(YEAR(A545)&lt;&gt;Impostazioni!$C$4,"Fuori dall'anno",IF(C545="","Manca la categoria",IF(ISNA(MATCH(C545,Categorie!$A$6:$A$65,0)),"Categoria non trovata",IF(G545="","Categoria senza tipo",""))))))))</f>
        <v/>
      </c>
    </row>
    <row r="546">
      <c r="A546" s="29" t="n"/>
      <c r="B546" s="17" t="n"/>
      <c r="C546" s="17" t="n"/>
      <c r="D546" s="16" t="n"/>
      <c r="E546" s="30" t="n"/>
      <c r="F546" s="17" t="n"/>
      <c r="G546" s="31">
        <f>IF(C546="","",IFERROR(INDEX(Categorie!$B$6:$B$65,MATCH(C546,Categorie!$A$6:$A$65,0))&amp;"",""))</f>
        <v/>
      </c>
      <c r="H546" s="32">
        <f>IF(AND(A546="",C546="",D546=""),"",IF(D546="","Manca l'importo",IF(NOT(ISNUMBER(D546)),"Importo non valido",IF(NOT(ISNUMBER(A546)),"Data mancante o non valida",IF(YEAR(A546)&lt;&gt;Impostazioni!$C$4,"Fuori dall'anno",IF(C546="","Manca la categoria",IF(ISNA(MATCH(C546,Categorie!$A$6:$A$65,0)),"Categoria non trovata",IF(G546="","Categoria senza tipo",""))))))))</f>
        <v/>
      </c>
    </row>
    <row r="547">
      <c r="A547" s="29" t="n"/>
      <c r="B547" s="17" t="n"/>
      <c r="C547" s="17" t="n"/>
      <c r="D547" s="16" t="n"/>
      <c r="E547" s="30" t="n"/>
      <c r="F547" s="17" t="n"/>
      <c r="G547" s="31">
        <f>IF(C547="","",IFERROR(INDEX(Categorie!$B$6:$B$65,MATCH(C547,Categorie!$A$6:$A$65,0))&amp;"",""))</f>
        <v/>
      </c>
      <c r="H547" s="32">
        <f>IF(AND(A547="",C547="",D547=""),"",IF(D547="","Manca l'importo",IF(NOT(ISNUMBER(D547)),"Importo non valido",IF(NOT(ISNUMBER(A547)),"Data mancante o non valida",IF(YEAR(A547)&lt;&gt;Impostazioni!$C$4,"Fuori dall'anno",IF(C547="","Manca la categoria",IF(ISNA(MATCH(C547,Categorie!$A$6:$A$65,0)),"Categoria non trovata",IF(G547="","Categoria senza tipo",""))))))))</f>
        <v/>
      </c>
    </row>
    <row r="548">
      <c r="A548" s="29" t="n"/>
      <c r="B548" s="17" t="n"/>
      <c r="C548" s="17" t="n"/>
      <c r="D548" s="16" t="n"/>
      <c r="E548" s="30" t="n"/>
      <c r="F548" s="17" t="n"/>
      <c r="G548" s="31">
        <f>IF(C548="","",IFERROR(INDEX(Categorie!$B$6:$B$65,MATCH(C548,Categorie!$A$6:$A$65,0))&amp;"",""))</f>
        <v/>
      </c>
      <c r="H548" s="32">
        <f>IF(AND(A548="",C548="",D548=""),"",IF(D548="","Manca l'importo",IF(NOT(ISNUMBER(D548)),"Importo non valido",IF(NOT(ISNUMBER(A548)),"Data mancante o non valida",IF(YEAR(A548)&lt;&gt;Impostazioni!$C$4,"Fuori dall'anno",IF(C548="","Manca la categoria",IF(ISNA(MATCH(C548,Categorie!$A$6:$A$65,0)),"Categoria non trovata",IF(G548="","Categoria senza tipo",""))))))))</f>
        <v/>
      </c>
    </row>
    <row r="549">
      <c r="A549" s="29" t="n"/>
      <c r="B549" s="17" t="n"/>
      <c r="C549" s="17" t="n"/>
      <c r="D549" s="16" t="n"/>
      <c r="E549" s="30" t="n"/>
      <c r="F549" s="17" t="n"/>
      <c r="G549" s="31">
        <f>IF(C549="","",IFERROR(INDEX(Categorie!$B$6:$B$65,MATCH(C549,Categorie!$A$6:$A$65,0))&amp;"",""))</f>
        <v/>
      </c>
      <c r="H549" s="32">
        <f>IF(AND(A549="",C549="",D549=""),"",IF(D549="","Manca l'importo",IF(NOT(ISNUMBER(D549)),"Importo non valido",IF(NOT(ISNUMBER(A549)),"Data mancante o non valida",IF(YEAR(A549)&lt;&gt;Impostazioni!$C$4,"Fuori dall'anno",IF(C549="","Manca la categoria",IF(ISNA(MATCH(C549,Categorie!$A$6:$A$65,0)),"Categoria non trovata",IF(G549="","Categoria senza tipo",""))))))))</f>
        <v/>
      </c>
    </row>
    <row r="550">
      <c r="A550" s="29" t="n"/>
      <c r="B550" s="17" t="n"/>
      <c r="C550" s="17" t="n"/>
      <c r="D550" s="16" t="n"/>
      <c r="E550" s="30" t="n"/>
      <c r="F550" s="17" t="n"/>
      <c r="G550" s="31">
        <f>IF(C550="","",IFERROR(INDEX(Categorie!$B$6:$B$65,MATCH(C550,Categorie!$A$6:$A$65,0))&amp;"",""))</f>
        <v/>
      </c>
      <c r="H550" s="32">
        <f>IF(AND(A550="",C550="",D550=""),"",IF(D550="","Manca l'importo",IF(NOT(ISNUMBER(D550)),"Importo non valido",IF(NOT(ISNUMBER(A550)),"Data mancante o non valida",IF(YEAR(A550)&lt;&gt;Impostazioni!$C$4,"Fuori dall'anno",IF(C550="","Manca la categoria",IF(ISNA(MATCH(C550,Categorie!$A$6:$A$65,0)),"Categoria non trovata",IF(G550="","Categoria senza tipo",""))))))))</f>
        <v/>
      </c>
    </row>
    <row r="551">
      <c r="A551" s="29" t="n"/>
      <c r="B551" s="17" t="n"/>
      <c r="C551" s="17" t="n"/>
      <c r="D551" s="16" t="n"/>
      <c r="E551" s="30" t="n"/>
      <c r="F551" s="17" t="n"/>
      <c r="G551" s="31">
        <f>IF(C551="","",IFERROR(INDEX(Categorie!$B$6:$B$65,MATCH(C551,Categorie!$A$6:$A$65,0))&amp;"",""))</f>
        <v/>
      </c>
      <c r="H551" s="32">
        <f>IF(AND(A551="",C551="",D551=""),"",IF(D551="","Manca l'importo",IF(NOT(ISNUMBER(D551)),"Importo non valido",IF(NOT(ISNUMBER(A551)),"Data mancante o non valida",IF(YEAR(A551)&lt;&gt;Impostazioni!$C$4,"Fuori dall'anno",IF(C551="","Manca la categoria",IF(ISNA(MATCH(C551,Categorie!$A$6:$A$65,0)),"Categoria non trovata",IF(G551="","Categoria senza tipo",""))))))))</f>
        <v/>
      </c>
    </row>
    <row r="552">
      <c r="A552" s="29" t="n"/>
      <c r="B552" s="17" t="n"/>
      <c r="C552" s="17" t="n"/>
      <c r="D552" s="16" t="n"/>
      <c r="E552" s="30" t="n"/>
      <c r="F552" s="17" t="n"/>
      <c r="G552" s="31">
        <f>IF(C552="","",IFERROR(INDEX(Categorie!$B$6:$B$65,MATCH(C552,Categorie!$A$6:$A$65,0))&amp;"",""))</f>
        <v/>
      </c>
      <c r="H552" s="32">
        <f>IF(AND(A552="",C552="",D552=""),"",IF(D552="","Manca l'importo",IF(NOT(ISNUMBER(D552)),"Importo non valido",IF(NOT(ISNUMBER(A552)),"Data mancante o non valida",IF(YEAR(A552)&lt;&gt;Impostazioni!$C$4,"Fuori dall'anno",IF(C552="","Manca la categoria",IF(ISNA(MATCH(C552,Categorie!$A$6:$A$65,0)),"Categoria non trovata",IF(G552="","Categoria senza tipo",""))))))))</f>
        <v/>
      </c>
    </row>
    <row r="553">
      <c r="A553" s="29" t="n"/>
      <c r="B553" s="17" t="n"/>
      <c r="C553" s="17" t="n"/>
      <c r="D553" s="16" t="n"/>
      <c r="E553" s="30" t="n"/>
      <c r="F553" s="17" t="n"/>
      <c r="G553" s="31">
        <f>IF(C553="","",IFERROR(INDEX(Categorie!$B$6:$B$65,MATCH(C553,Categorie!$A$6:$A$65,0))&amp;"",""))</f>
        <v/>
      </c>
      <c r="H553" s="32">
        <f>IF(AND(A553="",C553="",D553=""),"",IF(D553="","Manca l'importo",IF(NOT(ISNUMBER(D553)),"Importo non valido",IF(NOT(ISNUMBER(A553)),"Data mancante o non valida",IF(YEAR(A553)&lt;&gt;Impostazioni!$C$4,"Fuori dall'anno",IF(C553="","Manca la categoria",IF(ISNA(MATCH(C553,Categorie!$A$6:$A$65,0)),"Categoria non trovata",IF(G553="","Categoria senza tipo",""))))))))</f>
        <v/>
      </c>
    </row>
    <row r="554">
      <c r="A554" s="29" t="n"/>
      <c r="B554" s="17" t="n"/>
      <c r="C554" s="17" t="n"/>
      <c r="D554" s="16" t="n"/>
      <c r="E554" s="30" t="n"/>
      <c r="F554" s="17" t="n"/>
      <c r="G554" s="31">
        <f>IF(C554="","",IFERROR(INDEX(Categorie!$B$6:$B$65,MATCH(C554,Categorie!$A$6:$A$65,0))&amp;"",""))</f>
        <v/>
      </c>
      <c r="H554" s="32">
        <f>IF(AND(A554="",C554="",D554=""),"",IF(D554="","Manca l'importo",IF(NOT(ISNUMBER(D554)),"Importo non valido",IF(NOT(ISNUMBER(A554)),"Data mancante o non valida",IF(YEAR(A554)&lt;&gt;Impostazioni!$C$4,"Fuori dall'anno",IF(C554="","Manca la categoria",IF(ISNA(MATCH(C554,Categorie!$A$6:$A$65,0)),"Categoria non trovata",IF(G554="","Categoria senza tipo",""))))))))</f>
        <v/>
      </c>
    </row>
    <row r="555">
      <c r="A555" s="29" t="n"/>
      <c r="B555" s="17" t="n"/>
      <c r="C555" s="17" t="n"/>
      <c r="D555" s="16" t="n"/>
      <c r="E555" s="30" t="n"/>
      <c r="F555" s="17" t="n"/>
      <c r="G555" s="31">
        <f>IF(C555="","",IFERROR(INDEX(Categorie!$B$6:$B$65,MATCH(C555,Categorie!$A$6:$A$65,0))&amp;"",""))</f>
        <v/>
      </c>
      <c r="H555" s="32">
        <f>IF(AND(A555="",C555="",D555=""),"",IF(D555="","Manca l'importo",IF(NOT(ISNUMBER(D555)),"Importo non valido",IF(NOT(ISNUMBER(A555)),"Data mancante o non valida",IF(YEAR(A555)&lt;&gt;Impostazioni!$C$4,"Fuori dall'anno",IF(C555="","Manca la categoria",IF(ISNA(MATCH(C555,Categorie!$A$6:$A$65,0)),"Categoria non trovata",IF(G555="","Categoria senza tipo",""))))))))</f>
        <v/>
      </c>
    </row>
    <row r="556">
      <c r="A556" s="29" t="n"/>
      <c r="B556" s="17" t="n"/>
      <c r="C556" s="17" t="n"/>
      <c r="D556" s="16" t="n"/>
      <c r="E556" s="30" t="n"/>
      <c r="F556" s="17" t="n"/>
      <c r="G556" s="31">
        <f>IF(C556="","",IFERROR(INDEX(Categorie!$B$6:$B$65,MATCH(C556,Categorie!$A$6:$A$65,0))&amp;"",""))</f>
        <v/>
      </c>
      <c r="H556" s="32">
        <f>IF(AND(A556="",C556="",D556=""),"",IF(D556="","Manca l'importo",IF(NOT(ISNUMBER(D556)),"Importo non valido",IF(NOT(ISNUMBER(A556)),"Data mancante o non valida",IF(YEAR(A556)&lt;&gt;Impostazioni!$C$4,"Fuori dall'anno",IF(C556="","Manca la categoria",IF(ISNA(MATCH(C556,Categorie!$A$6:$A$65,0)),"Categoria non trovata",IF(G556="","Categoria senza tipo",""))))))))</f>
        <v/>
      </c>
    </row>
    <row r="557">
      <c r="A557" s="29" t="n"/>
      <c r="B557" s="17" t="n"/>
      <c r="C557" s="17" t="n"/>
      <c r="D557" s="16" t="n"/>
      <c r="E557" s="30" t="n"/>
      <c r="F557" s="17" t="n"/>
      <c r="G557" s="31">
        <f>IF(C557="","",IFERROR(INDEX(Categorie!$B$6:$B$65,MATCH(C557,Categorie!$A$6:$A$65,0))&amp;"",""))</f>
        <v/>
      </c>
      <c r="H557" s="32">
        <f>IF(AND(A557="",C557="",D557=""),"",IF(D557="","Manca l'importo",IF(NOT(ISNUMBER(D557)),"Importo non valido",IF(NOT(ISNUMBER(A557)),"Data mancante o non valida",IF(YEAR(A557)&lt;&gt;Impostazioni!$C$4,"Fuori dall'anno",IF(C557="","Manca la categoria",IF(ISNA(MATCH(C557,Categorie!$A$6:$A$65,0)),"Categoria non trovata",IF(G557="","Categoria senza tipo",""))))))))</f>
        <v/>
      </c>
    </row>
    <row r="558">
      <c r="A558" s="29" t="n"/>
      <c r="B558" s="17" t="n"/>
      <c r="C558" s="17" t="n"/>
      <c r="D558" s="16" t="n"/>
      <c r="E558" s="30" t="n"/>
      <c r="F558" s="17" t="n"/>
      <c r="G558" s="31">
        <f>IF(C558="","",IFERROR(INDEX(Categorie!$B$6:$B$65,MATCH(C558,Categorie!$A$6:$A$65,0))&amp;"",""))</f>
        <v/>
      </c>
      <c r="H558" s="32">
        <f>IF(AND(A558="",C558="",D558=""),"",IF(D558="","Manca l'importo",IF(NOT(ISNUMBER(D558)),"Importo non valido",IF(NOT(ISNUMBER(A558)),"Data mancante o non valida",IF(YEAR(A558)&lt;&gt;Impostazioni!$C$4,"Fuori dall'anno",IF(C558="","Manca la categoria",IF(ISNA(MATCH(C558,Categorie!$A$6:$A$65,0)),"Categoria non trovata",IF(G558="","Categoria senza tipo",""))))))))</f>
        <v/>
      </c>
    </row>
    <row r="559">
      <c r="A559" s="29" t="n"/>
      <c r="B559" s="17" t="n"/>
      <c r="C559" s="17" t="n"/>
      <c r="D559" s="16" t="n"/>
      <c r="E559" s="30" t="n"/>
      <c r="F559" s="17" t="n"/>
      <c r="G559" s="31">
        <f>IF(C559="","",IFERROR(INDEX(Categorie!$B$6:$B$65,MATCH(C559,Categorie!$A$6:$A$65,0))&amp;"",""))</f>
        <v/>
      </c>
      <c r="H559" s="32">
        <f>IF(AND(A559="",C559="",D559=""),"",IF(D559="","Manca l'importo",IF(NOT(ISNUMBER(D559)),"Importo non valido",IF(NOT(ISNUMBER(A559)),"Data mancante o non valida",IF(YEAR(A559)&lt;&gt;Impostazioni!$C$4,"Fuori dall'anno",IF(C559="","Manca la categoria",IF(ISNA(MATCH(C559,Categorie!$A$6:$A$65,0)),"Categoria non trovata",IF(G559="","Categoria senza tipo",""))))))))</f>
        <v/>
      </c>
    </row>
    <row r="560">
      <c r="A560" s="29" t="n"/>
      <c r="B560" s="17" t="n"/>
      <c r="C560" s="17" t="n"/>
      <c r="D560" s="16" t="n"/>
      <c r="E560" s="30" t="n"/>
      <c r="F560" s="17" t="n"/>
      <c r="G560" s="31">
        <f>IF(C560="","",IFERROR(INDEX(Categorie!$B$6:$B$65,MATCH(C560,Categorie!$A$6:$A$65,0))&amp;"",""))</f>
        <v/>
      </c>
      <c r="H560" s="32">
        <f>IF(AND(A560="",C560="",D560=""),"",IF(D560="","Manca l'importo",IF(NOT(ISNUMBER(D560)),"Importo non valido",IF(NOT(ISNUMBER(A560)),"Data mancante o non valida",IF(YEAR(A560)&lt;&gt;Impostazioni!$C$4,"Fuori dall'anno",IF(C560="","Manca la categoria",IF(ISNA(MATCH(C560,Categorie!$A$6:$A$65,0)),"Categoria non trovata",IF(G560="","Categoria senza tipo",""))))))))</f>
        <v/>
      </c>
    </row>
    <row r="561">
      <c r="A561" s="29" t="n"/>
      <c r="B561" s="17" t="n"/>
      <c r="C561" s="17" t="n"/>
      <c r="D561" s="16" t="n"/>
      <c r="E561" s="30" t="n"/>
      <c r="F561" s="17" t="n"/>
      <c r="G561" s="31">
        <f>IF(C561="","",IFERROR(INDEX(Categorie!$B$6:$B$65,MATCH(C561,Categorie!$A$6:$A$65,0))&amp;"",""))</f>
        <v/>
      </c>
      <c r="H561" s="32">
        <f>IF(AND(A561="",C561="",D561=""),"",IF(D561="","Manca l'importo",IF(NOT(ISNUMBER(D561)),"Importo non valido",IF(NOT(ISNUMBER(A561)),"Data mancante o non valida",IF(YEAR(A561)&lt;&gt;Impostazioni!$C$4,"Fuori dall'anno",IF(C561="","Manca la categoria",IF(ISNA(MATCH(C561,Categorie!$A$6:$A$65,0)),"Categoria non trovata",IF(G561="","Categoria senza tipo",""))))))))</f>
        <v/>
      </c>
    </row>
    <row r="562">
      <c r="A562" s="29" t="n"/>
      <c r="B562" s="17" t="n"/>
      <c r="C562" s="17" t="n"/>
      <c r="D562" s="16" t="n"/>
      <c r="E562" s="30" t="n"/>
      <c r="F562" s="17" t="n"/>
      <c r="G562" s="31">
        <f>IF(C562="","",IFERROR(INDEX(Categorie!$B$6:$B$65,MATCH(C562,Categorie!$A$6:$A$65,0))&amp;"",""))</f>
        <v/>
      </c>
      <c r="H562" s="32">
        <f>IF(AND(A562="",C562="",D562=""),"",IF(D562="","Manca l'importo",IF(NOT(ISNUMBER(D562)),"Importo non valido",IF(NOT(ISNUMBER(A562)),"Data mancante o non valida",IF(YEAR(A562)&lt;&gt;Impostazioni!$C$4,"Fuori dall'anno",IF(C562="","Manca la categoria",IF(ISNA(MATCH(C562,Categorie!$A$6:$A$65,0)),"Categoria non trovata",IF(G562="","Categoria senza tipo",""))))))))</f>
        <v/>
      </c>
    </row>
    <row r="563">
      <c r="A563" s="29" t="n"/>
      <c r="B563" s="17" t="n"/>
      <c r="C563" s="17" t="n"/>
      <c r="D563" s="16" t="n"/>
      <c r="E563" s="30" t="n"/>
      <c r="F563" s="17" t="n"/>
      <c r="G563" s="31">
        <f>IF(C563="","",IFERROR(INDEX(Categorie!$B$6:$B$65,MATCH(C563,Categorie!$A$6:$A$65,0))&amp;"",""))</f>
        <v/>
      </c>
      <c r="H563" s="32">
        <f>IF(AND(A563="",C563="",D563=""),"",IF(D563="","Manca l'importo",IF(NOT(ISNUMBER(D563)),"Importo non valido",IF(NOT(ISNUMBER(A563)),"Data mancante o non valida",IF(YEAR(A563)&lt;&gt;Impostazioni!$C$4,"Fuori dall'anno",IF(C563="","Manca la categoria",IF(ISNA(MATCH(C563,Categorie!$A$6:$A$65,0)),"Categoria non trovata",IF(G563="","Categoria senza tipo",""))))))))</f>
        <v/>
      </c>
    </row>
    <row r="564">
      <c r="A564" s="29" t="n"/>
      <c r="B564" s="17" t="n"/>
      <c r="C564" s="17" t="n"/>
      <c r="D564" s="16" t="n"/>
      <c r="E564" s="30" t="n"/>
      <c r="F564" s="17" t="n"/>
      <c r="G564" s="31">
        <f>IF(C564="","",IFERROR(INDEX(Categorie!$B$6:$B$65,MATCH(C564,Categorie!$A$6:$A$65,0))&amp;"",""))</f>
        <v/>
      </c>
      <c r="H564" s="32">
        <f>IF(AND(A564="",C564="",D564=""),"",IF(D564="","Manca l'importo",IF(NOT(ISNUMBER(D564)),"Importo non valido",IF(NOT(ISNUMBER(A564)),"Data mancante o non valida",IF(YEAR(A564)&lt;&gt;Impostazioni!$C$4,"Fuori dall'anno",IF(C564="","Manca la categoria",IF(ISNA(MATCH(C564,Categorie!$A$6:$A$65,0)),"Categoria non trovata",IF(G564="","Categoria senza tipo",""))))))))</f>
        <v/>
      </c>
    </row>
    <row r="565">
      <c r="A565" s="29" t="n"/>
      <c r="B565" s="17" t="n"/>
      <c r="C565" s="17" t="n"/>
      <c r="D565" s="16" t="n"/>
      <c r="E565" s="30" t="n"/>
      <c r="F565" s="17" t="n"/>
      <c r="G565" s="31">
        <f>IF(C565="","",IFERROR(INDEX(Categorie!$B$6:$B$65,MATCH(C565,Categorie!$A$6:$A$65,0))&amp;"",""))</f>
        <v/>
      </c>
      <c r="H565" s="32">
        <f>IF(AND(A565="",C565="",D565=""),"",IF(D565="","Manca l'importo",IF(NOT(ISNUMBER(D565)),"Importo non valido",IF(NOT(ISNUMBER(A565)),"Data mancante o non valida",IF(YEAR(A565)&lt;&gt;Impostazioni!$C$4,"Fuori dall'anno",IF(C565="","Manca la categoria",IF(ISNA(MATCH(C565,Categorie!$A$6:$A$65,0)),"Categoria non trovata",IF(G565="","Categoria senza tipo",""))))))))</f>
        <v/>
      </c>
    </row>
    <row r="566">
      <c r="A566" s="29" t="n"/>
      <c r="B566" s="17" t="n"/>
      <c r="C566" s="17" t="n"/>
      <c r="D566" s="16" t="n"/>
      <c r="E566" s="30" t="n"/>
      <c r="F566" s="17" t="n"/>
      <c r="G566" s="31">
        <f>IF(C566="","",IFERROR(INDEX(Categorie!$B$6:$B$65,MATCH(C566,Categorie!$A$6:$A$65,0))&amp;"",""))</f>
        <v/>
      </c>
      <c r="H566" s="32">
        <f>IF(AND(A566="",C566="",D566=""),"",IF(D566="","Manca l'importo",IF(NOT(ISNUMBER(D566)),"Importo non valido",IF(NOT(ISNUMBER(A566)),"Data mancante o non valida",IF(YEAR(A566)&lt;&gt;Impostazioni!$C$4,"Fuori dall'anno",IF(C566="","Manca la categoria",IF(ISNA(MATCH(C566,Categorie!$A$6:$A$65,0)),"Categoria non trovata",IF(G566="","Categoria senza tipo",""))))))))</f>
        <v/>
      </c>
    </row>
    <row r="567">
      <c r="A567" s="29" t="n"/>
      <c r="B567" s="17" t="n"/>
      <c r="C567" s="17" t="n"/>
      <c r="D567" s="16" t="n"/>
      <c r="E567" s="30" t="n"/>
      <c r="F567" s="17" t="n"/>
      <c r="G567" s="31">
        <f>IF(C567="","",IFERROR(INDEX(Categorie!$B$6:$B$65,MATCH(C567,Categorie!$A$6:$A$65,0))&amp;"",""))</f>
        <v/>
      </c>
      <c r="H567" s="32">
        <f>IF(AND(A567="",C567="",D567=""),"",IF(D567="","Manca l'importo",IF(NOT(ISNUMBER(D567)),"Importo non valido",IF(NOT(ISNUMBER(A567)),"Data mancante o non valida",IF(YEAR(A567)&lt;&gt;Impostazioni!$C$4,"Fuori dall'anno",IF(C567="","Manca la categoria",IF(ISNA(MATCH(C567,Categorie!$A$6:$A$65,0)),"Categoria non trovata",IF(G567="","Categoria senza tipo",""))))))))</f>
        <v/>
      </c>
    </row>
    <row r="568">
      <c r="A568" s="29" t="n"/>
      <c r="B568" s="17" t="n"/>
      <c r="C568" s="17" t="n"/>
      <c r="D568" s="16" t="n"/>
      <c r="E568" s="30" t="n"/>
      <c r="F568" s="17" t="n"/>
      <c r="G568" s="31">
        <f>IF(C568="","",IFERROR(INDEX(Categorie!$B$6:$B$65,MATCH(C568,Categorie!$A$6:$A$65,0))&amp;"",""))</f>
        <v/>
      </c>
      <c r="H568" s="32">
        <f>IF(AND(A568="",C568="",D568=""),"",IF(D568="","Manca l'importo",IF(NOT(ISNUMBER(D568)),"Importo non valido",IF(NOT(ISNUMBER(A568)),"Data mancante o non valida",IF(YEAR(A568)&lt;&gt;Impostazioni!$C$4,"Fuori dall'anno",IF(C568="","Manca la categoria",IF(ISNA(MATCH(C568,Categorie!$A$6:$A$65,0)),"Categoria non trovata",IF(G568="","Categoria senza tipo",""))))))))</f>
        <v/>
      </c>
    </row>
    <row r="569">
      <c r="A569" s="29" t="n"/>
      <c r="B569" s="17" t="n"/>
      <c r="C569" s="17" t="n"/>
      <c r="D569" s="16" t="n"/>
      <c r="E569" s="30" t="n"/>
      <c r="F569" s="17" t="n"/>
      <c r="G569" s="31">
        <f>IF(C569="","",IFERROR(INDEX(Categorie!$B$6:$B$65,MATCH(C569,Categorie!$A$6:$A$65,0))&amp;"",""))</f>
        <v/>
      </c>
      <c r="H569" s="32">
        <f>IF(AND(A569="",C569="",D569=""),"",IF(D569="","Manca l'importo",IF(NOT(ISNUMBER(D569)),"Importo non valido",IF(NOT(ISNUMBER(A569)),"Data mancante o non valida",IF(YEAR(A569)&lt;&gt;Impostazioni!$C$4,"Fuori dall'anno",IF(C569="","Manca la categoria",IF(ISNA(MATCH(C569,Categorie!$A$6:$A$65,0)),"Categoria non trovata",IF(G569="","Categoria senza tipo",""))))))))</f>
        <v/>
      </c>
    </row>
    <row r="570">
      <c r="A570" s="29" t="n"/>
      <c r="B570" s="17" t="n"/>
      <c r="C570" s="17" t="n"/>
      <c r="D570" s="16" t="n"/>
      <c r="E570" s="30" t="n"/>
      <c r="F570" s="17" t="n"/>
      <c r="G570" s="31">
        <f>IF(C570="","",IFERROR(INDEX(Categorie!$B$6:$B$65,MATCH(C570,Categorie!$A$6:$A$65,0))&amp;"",""))</f>
        <v/>
      </c>
      <c r="H570" s="32">
        <f>IF(AND(A570="",C570="",D570=""),"",IF(D570="","Manca l'importo",IF(NOT(ISNUMBER(D570)),"Importo non valido",IF(NOT(ISNUMBER(A570)),"Data mancante o non valida",IF(YEAR(A570)&lt;&gt;Impostazioni!$C$4,"Fuori dall'anno",IF(C570="","Manca la categoria",IF(ISNA(MATCH(C570,Categorie!$A$6:$A$65,0)),"Categoria non trovata",IF(G570="","Categoria senza tipo",""))))))))</f>
        <v/>
      </c>
    </row>
    <row r="571">
      <c r="A571" s="29" t="n"/>
      <c r="B571" s="17" t="n"/>
      <c r="C571" s="17" t="n"/>
      <c r="D571" s="16" t="n"/>
      <c r="E571" s="30" t="n"/>
      <c r="F571" s="17" t="n"/>
      <c r="G571" s="31">
        <f>IF(C571="","",IFERROR(INDEX(Categorie!$B$6:$B$65,MATCH(C571,Categorie!$A$6:$A$65,0))&amp;"",""))</f>
        <v/>
      </c>
      <c r="H571" s="32">
        <f>IF(AND(A571="",C571="",D571=""),"",IF(D571="","Manca l'importo",IF(NOT(ISNUMBER(D571)),"Importo non valido",IF(NOT(ISNUMBER(A571)),"Data mancante o non valida",IF(YEAR(A571)&lt;&gt;Impostazioni!$C$4,"Fuori dall'anno",IF(C571="","Manca la categoria",IF(ISNA(MATCH(C571,Categorie!$A$6:$A$65,0)),"Categoria non trovata",IF(G571="","Categoria senza tipo",""))))))))</f>
        <v/>
      </c>
    </row>
    <row r="572">
      <c r="A572" s="29" t="n"/>
      <c r="B572" s="17" t="n"/>
      <c r="C572" s="17" t="n"/>
      <c r="D572" s="16" t="n"/>
      <c r="E572" s="30" t="n"/>
      <c r="F572" s="17" t="n"/>
      <c r="G572" s="31">
        <f>IF(C572="","",IFERROR(INDEX(Categorie!$B$6:$B$65,MATCH(C572,Categorie!$A$6:$A$65,0))&amp;"",""))</f>
        <v/>
      </c>
      <c r="H572" s="32">
        <f>IF(AND(A572="",C572="",D572=""),"",IF(D572="","Manca l'importo",IF(NOT(ISNUMBER(D572)),"Importo non valido",IF(NOT(ISNUMBER(A572)),"Data mancante o non valida",IF(YEAR(A572)&lt;&gt;Impostazioni!$C$4,"Fuori dall'anno",IF(C572="","Manca la categoria",IF(ISNA(MATCH(C572,Categorie!$A$6:$A$65,0)),"Categoria non trovata",IF(G572="","Categoria senza tipo",""))))))))</f>
        <v/>
      </c>
    </row>
    <row r="573">
      <c r="A573" s="29" t="n"/>
      <c r="B573" s="17" t="n"/>
      <c r="C573" s="17" t="n"/>
      <c r="D573" s="16" t="n"/>
      <c r="E573" s="30" t="n"/>
      <c r="F573" s="17" t="n"/>
      <c r="G573" s="31">
        <f>IF(C573="","",IFERROR(INDEX(Categorie!$B$6:$B$65,MATCH(C573,Categorie!$A$6:$A$65,0))&amp;"",""))</f>
        <v/>
      </c>
      <c r="H573" s="32">
        <f>IF(AND(A573="",C573="",D573=""),"",IF(D573="","Manca l'importo",IF(NOT(ISNUMBER(D573)),"Importo non valido",IF(NOT(ISNUMBER(A573)),"Data mancante o non valida",IF(YEAR(A573)&lt;&gt;Impostazioni!$C$4,"Fuori dall'anno",IF(C573="","Manca la categoria",IF(ISNA(MATCH(C573,Categorie!$A$6:$A$65,0)),"Categoria non trovata",IF(G573="","Categoria senza tipo",""))))))))</f>
        <v/>
      </c>
    </row>
    <row r="574">
      <c r="A574" s="29" t="n"/>
      <c r="B574" s="17" t="n"/>
      <c r="C574" s="17" t="n"/>
      <c r="D574" s="16" t="n"/>
      <c r="E574" s="30" t="n"/>
      <c r="F574" s="17" t="n"/>
      <c r="G574" s="31">
        <f>IF(C574="","",IFERROR(INDEX(Categorie!$B$6:$B$65,MATCH(C574,Categorie!$A$6:$A$65,0))&amp;"",""))</f>
        <v/>
      </c>
      <c r="H574" s="32">
        <f>IF(AND(A574="",C574="",D574=""),"",IF(D574="","Manca l'importo",IF(NOT(ISNUMBER(D574)),"Importo non valido",IF(NOT(ISNUMBER(A574)),"Data mancante o non valida",IF(YEAR(A574)&lt;&gt;Impostazioni!$C$4,"Fuori dall'anno",IF(C574="","Manca la categoria",IF(ISNA(MATCH(C574,Categorie!$A$6:$A$65,0)),"Categoria non trovata",IF(G574="","Categoria senza tipo",""))))))))</f>
        <v/>
      </c>
    </row>
    <row r="575">
      <c r="A575" s="29" t="n"/>
      <c r="B575" s="17" t="n"/>
      <c r="C575" s="17" t="n"/>
      <c r="D575" s="16" t="n"/>
      <c r="E575" s="30" t="n"/>
      <c r="F575" s="17" t="n"/>
      <c r="G575" s="31">
        <f>IF(C575="","",IFERROR(INDEX(Categorie!$B$6:$B$65,MATCH(C575,Categorie!$A$6:$A$65,0))&amp;"",""))</f>
        <v/>
      </c>
      <c r="H575" s="32">
        <f>IF(AND(A575="",C575="",D575=""),"",IF(D575="","Manca l'importo",IF(NOT(ISNUMBER(D575)),"Importo non valido",IF(NOT(ISNUMBER(A575)),"Data mancante o non valida",IF(YEAR(A575)&lt;&gt;Impostazioni!$C$4,"Fuori dall'anno",IF(C575="","Manca la categoria",IF(ISNA(MATCH(C575,Categorie!$A$6:$A$65,0)),"Categoria non trovata",IF(G575="","Categoria senza tipo",""))))))))</f>
        <v/>
      </c>
    </row>
    <row r="576">
      <c r="A576" s="29" t="n"/>
      <c r="B576" s="17" t="n"/>
      <c r="C576" s="17" t="n"/>
      <c r="D576" s="16" t="n"/>
      <c r="E576" s="30" t="n"/>
      <c r="F576" s="17" t="n"/>
      <c r="G576" s="31">
        <f>IF(C576="","",IFERROR(INDEX(Categorie!$B$6:$B$65,MATCH(C576,Categorie!$A$6:$A$65,0))&amp;"",""))</f>
        <v/>
      </c>
      <c r="H576" s="32">
        <f>IF(AND(A576="",C576="",D576=""),"",IF(D576="","Manca l'importo",IF(NOT(ISNUMBER(D576)),"Importo non valido",IF(NOT(ISNUMBER(A576)),"Data mancante o non valida",IF(YEAR(A576)&lt;&gt;Impostazioni!$C$4,"Fuori dall'anno",IF(C576="","Manca la categoria",IF(ISNA(MATCH(C576,Categorie!$A$6:$A$65,0)),"Categoria non trovata",IF(G576="","Categoria senza tipo",""))))))))</f>
        <v/>
      </c>
    </row>
    <row r="577">
      <c r="A577" s="29" t="n"/>
      <c r="B577" s="17" t="n"/>
      <c r="C577" s="17" t="n"/>
      <c r="D577" s="16" t="n"/>
      <c r="E577" s="30" t="n"/>
      <c r="F577" s="17" t="n"/>
      <c r="G577" s="31">
        <f>IF(C577="","",IFERROR(INDEX(Categorie!$B$6:$B$65,MATCH(C577,Categorie!$A$6:$A$65,0))&amp;"",""))</f>
        <v/>
      </c>
      <c r="H577" s="32">
        <f>IF(AND(A577="",C577="",D577=""),"",IF(D577="","Manca l'importo",IF(NOT(ISNUMBER(D577)),"Importo non valido",IF(NOT(ISNUMBER(A577)),"Data mancante o non valida",IF(YEAR(A577)&lt;&gt;Impostazioni!$C$4,"Fuori dall'anno",IF(C577="","Manca la categoria",IF(ISNA(MATCH(C577,Categorie!$A$6:$A$65,0)),"Categoria non trovata",IF(G577="","Categoria senza tipo",""))))))))</f>
        <v/>
      </c>
    </row>
    <row r="578">
      <c r="A578" s="29" t="n"/>
      <c r="B578" s="17" t="n"/>
      <c r="C578" s="17" t="n"/>
      <c r="D578" s="16" t="n"/>
      <c r="E578" s="30" t="n"/>
      <c r="F578" s="17" t="n"/>
      <c r="G578" s="31">
        <f>IF(C578="","",IFERROR(INDEX(Categorie!$B$6:$B$65,MATCH(C578,Categorie!$A$6:$A$65,0))&amp;"",""))</f>
        <v/>
      </c>
      <c r="H578" s="32">
        <f>IF(AND(A578="",C578="",D578=""),"",IF(D578="","Manca l'importo",IF(NOT(ISNUMBER(D578)),"Importo non valido",IF(NOT(ISNUMBER(A578)),"Data mancante o non valida",IF(YEAR(A578)&lt;&gt;Impostazioni!$C$4,"Fuori dall'anno",IF(C578="","Manca la categoria",IF(ISNA(MATCH(C578,Categorie!$A$6:$A$65,0)),"Categoria non trovata",IF(G578="","Categoria senza tipo",""))))))))</f>
        <v/>
      </c>
    </row>
    <row r="579">
      <c r="A579" s="29" t="n"/>
      <c r="B579" s="17" t="n"/>
      <c r="C579" s="17" t="n"/>
      <c r="D579" s="16" t="n"/>
      <c r="E579" s="30" t="n"/>
      <c r="F579" s="17" t="n"/>
      <c r="G579" s="31">
        <f>IF(C579="","",IFERROR(INDEX(Categorie!$B$6:$B$65,MATCH(C579,Categorie!$A$6:$A$65,0))&amp;"",""))</f>
        <v/>
      </c>
      <c r="H579" s="32">
        <f>IF(AND(A579="",C579="",D579=""),"",IF(D579="","Manca l'importo",IF(NOT(ISNUMBER(D579)),"Importo non valido",IF(NOT(ISNUMBER(A579)),"Data mancante o non valida",IF(YEAR(A579)&lt;&gt;Impostazioni!$C$4,"Fuori dall'anno",IF(C579="","Manca la categoria",IF(ISNA(MATCH(C579,Categorie!$A$6:$A$65,0)),"Categoria non trovata",IF(G579="","Categoria senza tipo",""))))))))</f>
        <v/>
      </c>
    </row>
    <row r="580">
      <c r="A580" s="29" t="n"/>
      <c r="B580" s="17" t="n"/>
      <c r="C580" s="17" t="n"/>
      <c r="D580" s="16" t="n"/>
      <c r="E580" s="30" t="n"/>
      <c r="F580" s="17" t="n"/>
      <c r="G580" s="31">
        <f>IF(C580="","",IFERROR(INDEX(Categorie!$B$6:$B$65,MATCH(C580,Categorie!$A$6:$A$65,0))&amp;"",""))</f>
        <v/>
      </c>
      <c r="H580" s="32">
        <f>IF(AND(A580="",C580="",D580=""),"",IF(D580="","Manca l'importo",IF(NOT(ISNUMBER(D580)),"Importo non valido",IF(NOT(ISNUMBER(A580)),"Data mancante o non valida",IF(YEAR(A580)&lt;&gt;Impostazioni!$C$4,"Fuori dall'anno",IF(C580="","Manca la categoria",IF(ISNA(MATCH(C580,Categorie!$A$6:$A$65,0)),"Categoria non trovata",IF(G580="","Categoria senza tipo",""))))))))</f>
        <v/>
      </c>
    </row>
    <row r="581">
      <c r="A581" s="29" t="n"/>
      <c r="B581" s="17" t="n"/>
      <c r="C581" s="17" t="n"/>
      <c r="D581" s="16" t="n"/>
      <c r="E581" s="30" t="n"/>
      <c r="F581" s="17" t="n"/>
      <c r="G581" s="31">
        <f>IF(C581="","",IFERROR(INDEX(Categorie!$B$6:$B$65,MATCH(C581,Categorie!$A$6:$A$65,0))&amp;"",""))</f>
        <v/>
      </c>
      <c r="H581" s="32">
        <f>IF(AND(A581="",C581="",D581=""),"",IF(D581="","Manca l'importo",IF(NOT(ISNUMBER(D581)),"Importo non valido",IF(NOT(ISNUMBER(A581)),"Data mancante o non valida",IF(YEAR(A581)&lt;&gt;Impostazioni!$C$4,"Fuori dall'anno",IF(C581="","Manca la categoria",IF(ISNA(MATCH(C581,Categorie!$A$6:$A$65,0)),"Categoria non trovata",IF(G581="","Categoria senza tipo",""))))))))</f>
        <v/>
      </c>
    </row>
    <row r="582">
      <c r="A582" s="29" t="n"/>
      <c r="B582" s="17" t="n"/>
      <c r="C582" s="17" t="n"/>
      <c r="D582" s="16" t="n"/>
      <c r="E582" s="30" t="n"/>
      <c r="F582" s="17" t="n"/>
      <c r="G582" s="31">
        <f>IF(C582="","",IFERROR(INDEX(Categorie!$B$6:$B$65,MATCH(C582,Categorie!$A$6:$A$65,0))&amp;"",""))</f>
        <v/>
      </c>
      <c r="H582" s="32">
        <f>IF(AND(A582="",C582="",D582=""),"",IF(D582="","Manca l'importo",IF(NOT(ISNUMBER(D582)),"Importo non valido",IF(NOT(ISNUMBER(A582)),"Data mancante o non valida",IF(YEAR(A582)&lt;&gt;Impostazioni!$C$4,"Fuori dall'anno",IF(C582="","Manca la categoria",IF(ISNA(MATCH(C582,Categorie!$A$6:$A$65,0)),"Categoria non trovata",IF(G582="","Categoria senza tipo",""))))))))</f>
        <v/>
      </c>
    </row>
    <row r="583">
      <c r="A583" s="29" t="n"/>
      <c r="B583" s="17" t="n"/>
      <c r="C583" s="17" t="n"/>
      <c r="D583" s="16" t="n"/>
      <c r="E583" s="30" t="n"/>
      <c r="F583" s="17" t="n"/>
      <c r="G583" s="31">
        <f>IF(C583="","",IFERROR(INDEX(Categorie!$B$6:$B$65,MATCH(C583,Categorie!$A$6:$A$65,0))&amp;"",""))</f>
        <v/>
      </c>
      <c r="H583" s="32">
        <f>IF(AND(A583="",C583="",D583=""),"",IF(D583="","Manca l'importo",IF(NOT(ISNUMBER(D583)),"Importo non valido",IF(NOT(ISNUMBER(A583)),"Data mancante o non valida",IF(YEAR(A583)&lt;&gt;Impostazioni!$C$4,"Fuori dall'anno",IF(C583="","Manca la categoria",IF(ISNA(MATCH(C583,Categorie!$A$6:$A$65,0)),"Categoria non trovata",IF(G583="","Categoria senza tipo",""))))))))</f>
        <v/>
      </c>
    </row>
    <row r="584">
      <c r="A584" s="29" t="n"/>
      <c r="B584" s="17" t="n"/>
      <c r="C584" s="17" t="n"/>
      <c r="D584" s="16" t="n"/>
      <c r="E584" s="30" t="n"/>
      <c r="F584" s="17" t="n"/>
      <c r="G584" s="31">
        <f>IF(C584="","",IFERROR(INDEX(Categorie!$B$6:$B$65,MATCH(C584,Categorie!$A$6:$A$65,0))&amp;"",""))</f>
        <v/>
      </c>
      <c r="H584" s="32">
        <f>IF(AND(A584="",C584="",D584=""),"",IF(D584="","Manca l'importo",IF(NOT(ISNUMBER(D584)),"Importo non valido",IF(NOT(ISNUMBER(A584)),"Data mancante o non valida",IF(YEAR(A584)&lt;&gt;Impostazioni!$C$4,"Fuori dall'anno",IF(C584="","Manca la categoria",IF(ISNA(MATCH(C584,Categorie!$A$6:$A$65,0)),"Categoria non trovata",IF(G584="","Categoria senza tipo",""))))))))</f>
        <v/>
      </c>
    </row>
    <row r="585">
      <c r="A585" s="29" t="n"/>
      <c r="B585" s="17" t="n"/>
      <c r="C585" s="17" t="n"/>
      <c r="D585" s="16" t="n"/>
      <c r="E585" s="30" t="n"/>
      <c r="F585" s="17" t="n"/>
      <c r="G585" s="31">
        <f>IF(C585="","",IFERROR(INDEX(Categorie!$B$6:$B$65,MATCH(C585,Categorie!$A$6:$A$65,0))&amp;"",""))</f>
        <v/>
      </c>
      <c r="H585" s="32">
        <f>IF(AND(A585="",C585="",D585=""),"",IF(D585="","Manca l'importo",IF(NOT(ISNUMBER(D585)),"Importo non valido",IF(NOT(ISNUMBER(A585)),"Data mancante o non valida",IF(YEAR(A585)&lt;&gt;Impostazioni!$C$4,"Fuori dall'anno",IF(C585="","Manca la categoria",IF(ISNA(MATCH(C585,Categorie!$A$6:$A$65,0)),"Categoria non trovata",IF(G585="","Categoria senza tipo",""))))))))</f>
        <v/>
      </c>
    </row>
    <row r="586">
      <c r="A586" s="29" t="n"/>
      <c r="B586" s="17" t="n"/>
      <c r="C586" s="17" t="n"/>
      <c r="D586" s="16" t="n"/>
      <c r="E586" s="30" t="n"/>
      <c r="F586" s="17" t="n"/>
      <c r="G586" s="31">
        <f>IF(C586="","",IFERROR(INDEX(Categorie!$B$6:$B$65,MATCH(C586,Categorie!$A$6:$A$65,0))&amp;"",""))</f>
        <v/>
      </c>
      <c r="H586" s="32">
        <f>IF(AND(A586="",C586="",D586=""),"",IF(D586="","Manca l'importo",IF(NOT(ISNUMBER(D586)),"Importo non valido",IF(NOT(ISNUMBER(A586)),"Data mancante o non valida",IF(YEAR(A586)&lt;&gt;Impostazioni!$C$4,"Fuori dall'anno",IF(C586="","Manca la categoria",IF(ISNA(MATCH(C586,Categorie!$A$6:$A$65,0)),"Categoria non trovata",IF(G586="","Categoria senza tipo",""))))))))</f>
        <v/>
      </c>
    </row>
    <row r="587">
      <c r="A587" s="29" t="n"/>
      <c r="B587" s="17" t="n"/>
      <c r="C587" s="17" t="n"/>
      <c r="D587" s="16" t="n"/>
      <c r="E587" s="30" t="n"/>
      <c r="F587" s="17" t="n"/>
      <c r="G587" s="31">
        <f>IF(C587="","",IFERROR(INDEX(Categorie!$B$6:$B$65,MATCH(C587,Categorie!$A$6:$A$65,0))&amp;"",""))</f>
        <v/>
      </c>
      <c r="H587" s="32">
        <f>IF(AND(A587="",C587="",D587=""),"",IF(D587="","Manca l'importo",IF(NOT(ISNUMBER(D587)),"Importo non valido",IF(NOT(ISNUMBER(A587)),"Data mancante o non valida",IF(YEAR(A587)&lt;&gt;Impostazioni!$C$4,"Fuori dall'anno",IF(C587="","Manca la categoria",IF(ISNA(MATCH(C587,Categorie!$A$6:$A$65,0)),"Categoria non trovata",IF(G587="","Categoria senza tipo",""))))))))</f>
        <v/>
      </c>
    </row>
    <row r="588">
      <c r="A588" s="29" t="n"/>
      <c r="B588" s="17" t="n"/>
      <c r="C588" s="17" t="n"/>
      <c r="D588" s="16" t="n"/>
      <c r="E588" s="30" t="n"/>
      <c r="F588" s="17" t="n"/>
      <c r="G588" s="31">
        <f>IF(C588="","",IFERROR(INDEX(Categorie!$B$6:$B$65,MATCH(C588,Categorie!$A$6:$A$65,0))&amp;"",""))</f>
        <v/>
      </c>
      <c r="H588" s="32">
        <f>IF(AND(A588="",C588="",D588=""),"",IF(D588="","Manca l'importo",IF(NOT(ISNUMBER(D588)),"Importo non valido",IF(NOT(ISNUMBER(A588)),"Data mancante o non valida",IF(YEAR(A588)&lt;&gt;Impostazioni!$C$4,"Fuori dall'anno",IF(C588="","Manca la categoria",IF(ISNA(MATCH(C588,Categorie!$A$6:$A$65,0)),"Categoria non trovata",IF(G588="","Categoria senza tipo",""))))))))</f>
        <v/>
      </c>
    </row>
    <row r="589">
      <c r="A589" s="29" t="n"/>
      <c r="B589" s="17" t="n"/>
      <c r="C589" s="17" t="n"/>
      <c r="D589" s="16" t="n"/>
      <c r="E589" s="30" t="n"/>
      <c r="F589" s="17" t="n"/>
      <c r="G589" s="31">
        <f>IF(C589="","",IFERROR(INDEX(Categorie!$B$6:$B$65,MATCH(C589,Categorie!$A$6:$A$65,0))&amp;"",""))</f>
        <v/>
      </c>
      <c r="H589" s="32">
        <f>IF(AND(A589="",C589="",D589=""),"",IF(D589="","Manca l'importo",IF(NOT(ISNUMBER(D589)),"Importo non valido",IF(NOT(ISNUMBER(A589)),"Data mancante o non valida",IF(YEAR(A589)&lt;&gt;Impostazioni!$C$4,"Fuori dall'anno",IF(C589="","Manca la categoria",IF(ISNA(MATCH(C589,Categorie!$A$6:$A$65,0)),"Categoria non trovata",IF(G589="","Categoria senza tipo",""))))))))</f>
        <v/>
      </c>
    </row>
    <row r="590">
      <c r="A590" s="29" t="n"/>
      <c r="B590" s="17" t="n"/>
      <c r="C590" s="17" t="n"/>
      <c r="D590" s="16" t="n"/>
      <c r="E590" s="30" t="n"/>
      <c r="F590" s="17" t="n"/>
      <c r="G590" s="31">
        <f>IF(C590="","",IFERROR(INDEX(Categorie!$B$6:$B$65,MATCH(C590,Categorie!$A$6:$A$65,0))&amp;"",""))</f>
        <v/>
      </c>
      <c r="H590" s="32">
        <f>IF(AND(A590="",C590="",D590=""),"",IF(D590="","Manca l'importo",IF(NOT(ISNUMBER(D590)),"Importo non valido",IF(NOT(ISNUMBER(A590)),"Data mancante o non valida",IF(YEAR(A590)&lt;&gt;Impostazioni!$C$4,"Fuori dall'anno",IF(C590="","Manca la categoria",IF(ISNA(MATCH(C590,Categorie!$A$6:$A$65,0)),"Categoria non trovata",IF(G590="","Categoria senza tipo",""))))))))</f>
        <v/>
      </c>
    </row>
    <row r="591">
      <c r="A591" s="29" t="n"/>
      <c r="B591" s="17" t="n"/>
      <c r="C591" s="17" t="n"/>
      <c r="D591" s="16" t="n"/>
      <c r="E591" s="30" t="n"/>
      <c r="F591" s="17" t="n"/>
      <c r="G591" s="31">
        <f>IF(C591="","",IFERROR(INDEX(Categorie!$B$6:$B$65,MATCH(C591,Categorie!$A$6:$A$65,0))&amp;"",""))</f>
        <v/>
      </c>
      <c r="H591" s="32">
        <f>IF(AND(A591="",C591="",D591=""),"",IF(D591="","Manca l'importo",IF(NOT(ISNUMBER(D591)),"Importo non valido",IF(NOT(ISNUMBER(A591)),"Data mancante o non valida",IF(YEAR(A591)&lt;&gt;Impostazioni!$C$4,"Fuori dall'anno",IF(C591="","Manca la categoria",IF(ISNA(MATCH(C591,Categorie!$A$6:$A$65,0)),"Categoria non trovata",IF(G591="","Categoria senza tipo",""))))))))</f>
        <v/>
      </c>
    </row>
    <row r="592">
      <c r="A592" s="29" t="n"/>
      <c r="B592" s="17" t="n"/>
      <c r="C592" s="17" t="n"/>
      <c r="D592" s="16" t="n"/>
      <c r="E592" s="30" t="n"/>
      <c r="F592" s="17" t="n"/>
      <c r="G592" s="31">
        <f>IF(C592="","",IFERROR(INDEX(Categorie!$B$6:$B$65,MATCH(C592,Categorie!$A$6:$A$65,0))&amp;"",""))</f>
        <v/>
      </c>
      <c r="H592" s="32">
        <f>IF(AND(A592="",C592="",D592=""),"",IF(D592="","Manca l'importo",IF(NOT(ISNUMBER(D592)),"Importo non valido",IF(NOT(ISNUMBER(A592)),"Data mancante o non valida",IF(YEAR(A592)&lt;&gt;Impostazioni!$C$4,"Fuori dall'anno",IF(C592="","Manca la categoria",IF(ISNA(MATCH(C592,Categorie!$A$6:$A$65,0)),"Categoria non trovata",IF(G592="","Categoria senza tipo",""))))))))</f>
        <v/>
      </c>
    </row>
    <row r="593">
      <c r="A593" s="29" t="n"/>
      <c r="B593" s="17" t="n"/>
      <c r="C593" s="17" t="n"/>
      <c r="D593" s="16" t="n"/>
      <c r="E593" s="30" t="n"/>
      <c r="F593" s="17" t="n"/>
      <c r="G593" s="31">
        <f>IF(C593="","",IFERROR(INDEX(Categorie!$B$6:$B$65,MATCH(C593,Categorie!$A$6:$A$65,0))&amp;"",""))</f>
        <v/>
      </c>
      <c r="H593" s="32">
        <f>IF(AND(A593="",C593="",D593=""),"",IF(D593="","Manca l'importo",IF(NOT(ISNUMBER(D593)),"Importo non valido",IF(NOT(ISNUMBER(A593)),"Data mancante o non valida",IF(YEAR(A593)&lt;&gt;Impostazioni!$C$4,"Fuori dall'anno",IF(C593="","Manca la categoria",IF(ISNA(MATCH(C593,Categorie!$A$6:$A$65,0)),"Categoria non trovata",IF(G593="","Categoria senza tipo",""))))))))</f>
        <v/>
      </c>
    </row>
    <row r="594">
      <c r="A594" s="29" t="n"/>
      <c r="B594" s="17" t="n"/>
      <c r="C594" s="17" t="n"/>
      <c r="D594" s="16" t="n"/>
      <c r="E594" s="30" t="n"/>
      <c r="F594" s="17" t="n"/>
      <c r="G594" s="31">
        <f>IF(C594="","",IFERROR(INDEX(Categorie!$B$6:$B$65,MATCH(C594,Categorie!$A$6:$A$65,0))&amp;"",""))</f>
        <v/>
      </c>
      <c r="H594" s="32">
        <f>IF(AND(A594="",C594="",D594=""),"",IF(D594="","Manca l'importo",IF(NOT(ISNUMBER(D594)),"Importo non valido",IF(NOT(ISNUMBER(A594)),"Data mancante o non valida",IF(YEAR(A594)&lt;&gt;Impostazioni!$C$4,"Fuori dall'anno",IF(C594="","Manca la categoria",IF(ISNA(MATCH(C594,Categorie!$A$6:$A$65,0)),"Categoria non trovata",IF(G594="","Categoria senza tipo",""))))))))</f>
        <v/>
      </c>
    </row>
    <row r="595">
      <c r="A595" s="29" t="n"/>
      <c r="B595" s="17" t="n"/>
      <c r="C595" s="17" t="n"/>
      <c r="D595" s="16" t="n"/>
      <c r="E595" s="30" t="n"/>
      <c r="F595" s="17" t="n"/>
      <c r="G595" s="31">
        <f>IF(C595="","",IFERROR(INDEX(Categorie!$B$6:$B$65,MATCH(C595,Categorie!$A$6:$A$65,0))&amp;"",""))</f>
        <v/>
      </c>
      <c r="H595" s="32">
        <f>IF(AND(A595="",C595="",D595=""),"",IF(D595="","Manca l'importo",IF(NOT(ISNUMBER(D595)),"Importo non valido",IF(NOT(ISNUMBER(A595)),"Data mancante o non valida",IF(YEAR(A595)&lt;&gt;Impostazioni!$C$4,"Fuori dall'anno",IF(C595="","Manca la categoria",IF(ISNA(MATCH(C595,Categorie!$A$6:$A$65,0)),"Categoria non trovata",IF(G595="","Categoria senza tipo",""))))))))</f>
        <v/>
      </c>
    </row>
    <row r="596">
      <c r="A596" s="29" t="n"/>
      <c r="B596" s="17" t="n"/>
      <c r="C596" s="17" t="n"/>
      <c r="D596" s="16" t="n"/>
      <c r="E596" s="30" t="n"/>
      <c r="F596" s="17" t="n"/>
      <c r="G596" s="31">
        <f>IF(C596="","",IFERROR(INDEX(Categorie!$B$6:$B$65,MATCH(C596,Categorie!$A$6:$A$65,0))&amp;"",""))</f>
        <v/>
      </c>
      <c r="H596" s="32">
        <f>IF(AND(A596="",C596="",D596=""),"",IF(D596="","Manca l'importo",IF(NOT(ISNUMBER(D596)),"Importo non valido",IF(NOT(ISNUMBER(A596)),"Data mancante o non valida",IF(YEAR(A596)&lt;&gt;Impostazioni!$C$4,"Fuori dall'anno",IF(C596="","Manca la categoria",IF(ISNA(MATCH(C596,Categorie!$A$6:$A$65,0)),"Categoria non trovata",IF(G596="","Categoria senza tipo",""))))))))</f>
        <v/>
      </c>
    </row>
    <row r="597">
      <c r="A597" s="29" t="n"/>
      <c r="B597" s="17" t="n"/>
      <c r="C597" s="17" t="n"/>
      <c r="D597" s="16" t="n"/>
      <c r="E597" s="30" t="n"/>
      <c r="F597" s="17" t="n"/>
      <c r="G597" s="31">
        <f>IF(C597="","",IFERROR(INDEX(Categorie!$B$6:$B$65,MATCH(C597,Categorie!$A$6:$A$65,0))&amp;"",""))</f>
        <v/>
      </c>
      <c r="H597" s="32">
        <f>IF(AND(A597="",C597="",D597=""),"",IF(D597="","Manca l'importo",IF(NOT(ISNUMBER(D597)),"Importo non valido",IF(NOT(ISNUMBER(A597)),"Data mancante o non valida",IF(YEAR(A597)&lt;&gt;Impostazioni!$C$4,"Fuori dall'anno",IF(C597="","Manca la categoria",IF(ISNA(MATCH(C597,Categorie!$A$6:$A$65,0)),"Categoria non trovata",IF(G597="","Categoria senza tipo",""))))))))</f>
        <v/>
      </c>
    </row>
    <row r="598">
      <c r="A598" s="29" t="n"/>
      <c r="B598" s="17" t="n"/>
      <c r="C598" s="17" t="n"/>
      <c r="D598" s="16" t="n"/>
      <c r="E598" s="30" t="n"/>
      <c r="F598" s="17" t="n"/>
      <c r="G598" s="31">
        <f>IF(C598="","",IFERROR(INDEX(Categorie!$B$6:$B$65,MATCH(C598,Categorie!$A$6:$A$65,0))&amp;"",""))</f>
        <v/>
      </c>
      <c r="H598" s="32">
        <f>IF(AND(A598="",C598="",D598=""),"",IF(D598="","Manca l'importo",IF(NOT(ISNUMBER(D598)),"Importo non valido",IF(NOT(ISNUMBER(A598)),"Data mancante o non valida",IF(YEAR(A598)&lt;&gt;Impostazioni!$C$4,"Fuori dall'anno",IF(C598="","Manca la categoria",IF(ISNA(MATCH(C598,Categorie!$A$6:$A$65,0)),"Categoria non trovata",IF(G598="","Categoria senza tipo",""))))))))</f>
        <v/>
      </c>
    </row>
    <row r="599">
      <c r="A599" s="29" t="n"/>
      <c r="B599" s="17" t="n"/>
      <c r="C599" s="17" t="n"/>
      <c r="D599" s="16" t="n"/>
      <c r="E599" s="30" t="n"/>
      <c r="F599" s="17" t="n"/>
      <c r="G599" s="31">
        <f>IF(C599="","",IFERROR(INDEX(Categorie!$B$6:$B$65,MATCH(C599,Categorie!$A$6:$A$65,0))&amp;"",""))</f>
        <v/>
      </c>
      <c r="H599" s="32">
        <f>IF(AND(A599="",C599="",D599=""),"",IF(D599="","Manca l'importo",IF(NOT(ISNUMBER(D599)),"Importo non valido",IF(NOT(ISNUMBER(A599)),"Data mancante o non valida",IF(YEAR(A599)&lt;&gt;Impostazioni!$C$4,"Fuori dall'anno",IF(C599="","Manca la categoria",IF(ISNA(MATCH(C599,Categorie!$A$6:$A$65,0)),"Categoria non trovata",IF(G599="","Categoria senza tipo",""))))))))</f>
        <v/>
      </c>
    </row>
    <row r="600">
      <c r="A600" s="29" t="n"/>
      <c r="B600" s="17" t="n"/>
      <c r="C600" s="17" t="n"/>
      <c r="D600" s="16" t="n"/>
      <c r="E600" s="30" t="n"/>
      <c r="F600" s="17" t="n"/>
      <c r="G600" s="31">
        <f>IF(C600="","",IFERROR(INDEX(Categorie!$B$6:$B$65,MATCH(C600,Categorie!$A$6:$A$65,0))&amp;"",""))</f>
        <v/>
      </c>
      <c r="H600" s="32">
        <f>IF(AND(A600="",C600="",D600=""),"",IF(D600="","Manca l'importo",IF(NOT(ISNUMBER(D600)),"Importo non valido",IF(NOT(ISNUMBER(A600)),"Data mancante o non valida",IF(YEAR(A600)&lt;&gt;Impostazioni!$C$4,"Fuori dall'anno",IF(C600="","Manca la categoria",IF(ISNA(MATCH(C600,Categorie!$A$6:$A$65,0)),"Categoria non trovata",IF(G600="","Categoria senza tipo",""))))))))</f>
        <v/>
      </c>
    </row>
    <row r="601">
      <c r="A601" s="29" t="n"/>
      <c r="B601" s="17" t="n"/>
      <c r="C601" s="17" t="n"/>
      <c r="D601" s="16" t="n"/>
      <c r="E601" s="30" t="n"/>
      <c r="F601" s="17" t="n"/>
      <c r="G601" s="31">
        <f>IF(C601="","",IFERROR(INDEX(Categorie!$B$6:$B$65,MATCH(C601,Categorie!$A$6:$A$65,0))&amp;"",""))</f>
        <v/>
      </c>
      <c r="H601" s="32">
        <f>IF(AND(A601="",C601="",D601=""),"",IF(D601="","Manca l'importo",IF(NOT(ISNUMBER(D601)),"Importo non valido",IF(NOT(ISNUMBER(A601)),"Data mancante o non valida",IF(YEAR(A601)&lt;&gt;Impostazioni!$C$4,"Fuori dall'anno",IF(C601="","Manca la categoria",IF(ISNA(MATCH(C601,Categorie!$A$6:$A$65,0)),"Categoria non trovata",IF(G601="","Categoria senza tipo",""))))))))</f>
        <v/>
      </c>
    </row>
    <row r="602">
      <c r="A602" s="29" t="n"/>
      <c r="B602" s="17" t="n"/>
      <c r="C602" s="17" t="n"/>
      <c r="D602" s="16" t="n"/>
      <c r="E602" s="30" t="n"/>
      <c r="F602" s="17" t="n"/>
      <c r="G602" s="31">
        <f>IF(C602="","",IFERROR(INDEX(Categorie!$B$6:$B$65,MATCH(C602,Categorie!$A$6:$A$65,0))&amp;"",""))</f>
        <v/>
      </c>
      <c r="H602" s="32">
        <f>IF(AND(A602="",C602="",D602=""),"",IF(D602="","Manca l'importo",IF(NOT(ISNUMBER(D602)),"Importo non valido",IF(NOT(ISNUMBER(A602)),"Data mancante o non valida",IF(YEAR(A602)&lt;&gt;Impostazioni!$C$4,"Fuori dall'anno",IF(C602="","Manca la categoria",IF(ISNA(MATCH(C602,Categorie!$A$6:$A$65,0)),"Categoria non trovata",IF(G602="","Categoria senza tipo",""))))))))</f>
        <v/>
      </c>
    </row>
    <row r="603">
      <c r="A603" s="29" t="n"/>
      <c r="B603" s="17" t="n"/>
      <c r="C603" s="17" t="n"/>
      <c r="D603" s="16" t="n"/>
      <c r="E603" s="30" t="n"/>
      <c r="F603" s="17" t="n"/>
      <c r="G603" s="31">
        <f>IF(C603="","",IFERROR(INDEX(Categorie!$B$6:$B$65,MATCH(C603,Categorie!$A$6:$A$65,0))&amp;"",""))</f>
        <v/>
      </c>
      <c r="H603" s="32">
        <f>IF(AND(A603="",C603="",D603=""),"",IF(D603="","Manca l'importo",IF(NOT(ISNUMBER(D603)),"Importo non valido",IF(NOT(ISNUMBER(A603)),"Data mancante o non valida",IF(YEAR(A603)&lt;&gt;Impostazioni!$C$4,"Fuori dall'anno",IF(C603="","Manca la categoria",IF(ISNA(MATCH(C603,Categorie!$A$6:$A$65,0)),"Categoria non trovata",IF(G603="","Categoria senza tipo",""))))))))</f>
        <v/>
      </c>
    </row>
    <row r="604">
      <c r="A604" s="29" t="n"/>
      <c r="B604" s="17" t="n"/>
      <c r="C604" s="17" t="n"/>
      <c r="D604" s="16" t="n"/>
      <c r="E604" s="30" t="n"/>
      <c r="F604" s="17" t="n"/>
      <c r="G604" s="31">
        <f>IF(C604="","",IFERROR(INDEX(Categorie!$B$6:$B$65,MATCH(C604,Categorie!$A$6:$A$65,0))&amp;"",""))</f>
        <v/>
      </c>
      <c r="H604" s="32">
        <f>IF(AND(A604="",C604="",D604=""),"",IF(D604="","Manca l'importo",IF(NOT(ISNUMBER(D604)),"Importo non valido",IF(NOT(ISNUMBER(A604)),"Data mancante o non valida",IF(YEAR(A604)&lt;&gt;Impostazioni!$C$4,"Fuori dall'anno",IF(C604="","Manca la categoria",IF(ISNA(MATCH(C604,Categorie!$A$6:$A$65,0)),"Categoria non trovata",IF(G604="","Categoria senza tipo",""))))))))</f>
        <v/>
      </c>
    </row>
    <row r="605">
      <c r="A605" s="29" t="n"/>
      <c r="B605" s="17" t="n"/>
      <c r="C605" s="17" t="n"/>
      <c r="D605" s="16" t="n"/>
      <c r="E605" s="30" t="n"/>
      <c r="F605" s="17" t="n"/>
      <c r="G605" s="31">
        <f>IF(C605="","",IFERROR(INDEX(Categorie!$B$6:$B$65,MATCH(C605,Categorie!$A$6:$A$65,0))&amp;"",""))</f>
        <v/>
      </c>
      <c r="H605" s="32">
        <f>IF(AND(A605="",C605="",D605=""),"",IF(D605="","Manca l'importo",IF(NOT(ISNUMBER(D605)),"Importo non valido",IF(NOT(ISNUMBER(A605)),"Data mancante o non valida",IF(YEAR(A605)&lt;&gt;Impostazioni!$C$4,"Fuori dall'anno",IF(C605="","Manca la categoria",IF(ISNA(MATCH(C605,Categorie!$A$6:$A$65,0)),"Categoria non trovata",IF(G605="","Categoria senza tipo",""))))))))</f>
        <v/>
      </c>
    </row>
    <row r="606">
      <c r="A606" s="29" t="n"/>
      <c r="B606" s="17" t="n"/>
      <c r="C606" s="17" t="n"/>
      <c r="D606" s="16" t="n"/>
      <c r="E606" s="30" t="n"/>
      <c r="F606" s="17" t="n"/>
      <c r="G606" s="31">
        <f>IF(C606="","",IFERROR(INDEX(Categorie!$B$6:$B$65,MATCH(C606,Categorie!$A$6:$A$65,0))&amp;"",""))</f>
        <v/>
      </c>
      <c r="H606" s="32">
        <f>IF(AND(A606="",C606="",D606=""),"",IF(D606="","Manca l'importo",IF(NOT(ISNUMBER(D606)),"Importo non valido",IF(NOT(ISNUMBER(A606)),"Data mancante o non valida",IF(YEAR(A606)&lt;&gt;Impostazioni!$C$4,"Fuori dall'anno",IF(C606="","Manca la categoria",IF(ISNA(MATCH(C606,Categorie!$A$6:$A$65,0)),"Categoria non trovata",IF(G606="","Categoria senza tipo",""))))))))</f>
        <v/>
      </c>
    </row>
    <row r="607">
      <c r="A607" s="29" t="n"/>
      <c r="B607" s="17" t="n"/>
      <c r="C607" s="17" t="n"/>
      <c r="D607" s="16" t="n"/>
      <c r="E607" s="30" t="n"/>
      <c r="F607" s="17" t="n"/>
      <c r="G607" s="31">
        <f>IF(C607="","",IFERROR(INDEX(Categorie!$B$6:$B$65,MATCH(C607,Categorie!$A$6:$A$65,0))&amp;"",""))</f>
        <v/>
      </c>
      <c r="H607" s="32">
        <f>IF(AND(A607="",C607="",D607=""),"",IF(D607="","Manca l'importo",IF(NOT(ISNUMBER(D607)),"Importo non valido",IF(NOT(ISNUMBER(A607)),"Data mancante o non valida",IF(YEAR(A607)&lt;&gt;Impostazioni!$C$4,"Fuori dall'anno",IF(C607="","Manca la categoria",IF(ISNA(MATCH(C607,Categorie!$A$6:$A$65,0)),"Categoria non trovata",IF(G607="","Categoria senza tipo",""))))))))</f>
        <v/>
      </c>
    </row>
    <row r="608">
      <c r="A608" s="29" t="n"/>
      <c r="B608" s="17" t="n"/>
      <c r="C608" s="17" t="n"/>
      <c r="D608" s="16" t="n"/>
      <c r="E608" s="30" t="n"/>
      <c r="F608" s="17" t="n"/>
      <c r="G608" s="31">
        <f>IF(C608="","",IFERROR(INDEX(Categorie!$B$6:$B$65,MATCH(C608,Categorie!$A$6:$A$65,0))&amp;"",""))</f>
        <v/>
      </c>
      <c r="H608" s="32">
        <f>IF(AND(A608="",C608="",D608=""),"",IF(D608="","Manca l'importo",IF(NOT(ISNUMBER(D608)),"Importo non valido",IF(NOT(ISNUMBER(A608)),"Data mancante o non valida",IF(YEAR(A608)&lt;&gt;Impostazioni!$C$4,"Fuori dall'anno",IF(C608="","Manca la categoria",IF(ISNA(MATCH(C608,Categorie!$A$6:$A$65,0)),"Categoria non trovata",IF(G608="","Categoria senza tipo",""))))))))</f>
        <v/>
      </c>
    </row>
    <row r="609">
      <c r="A609" s="29" t="n"/>
      <c r="B609" s="17" t="n"/>
      <c r="C609" s="17" t="n"/>
      <c r="D609" s="16" t="n"/>
      <c r="E609" s="30" t="n"/>
      <c r="F609" s="17" t="n"/>
      <c r="G609" s="31">
        <f>IF(C609="","",IFERROR(INDEX(Categorie!$B$6:$B$65,MATCH(C609,Categorie!$A$6:$A$65,0))&amp;"",""))</f>
        <v/>
      </c>
      <c r="H609" s="32">
        <f>IF(AND(A609="",C609="",D609=""),"",IF(D609="","Manca l'importo",IF(NOT(ISNUMBER(D609)),"Importo non valido",IF(NOT(ISNUMBER(A609)),"Data mancante o non valida",IF(YEAR(A609)&lt;&gt;Impostazioni!$C$4,"Fuori dall'anno",IF(C609="","Manca la categoria",IF(ISNA(MATCH(C609,Categorie!$A$6:$A$65,0)),"Categoria non trovata",IF(G609="","Categoria senza tipo",""))))))))</f>
        <v/>
      </c>
    </row>
    <row r="610">
      <c r="A610" s="29" t="n"/>
      <c r="B610" s="17" t="n"/>
      <c r="C610" s="17" t="n"/>
      <c r="D610" s="16" t="n"/>
      <c r="E610" s="30" t="n"/>
      <c r="F610" s="17" t="n"/>
      <c r="G610" s="31">
        <f>IF(C610="","",IFERROR(INDEX(Categorie!$B$6:$B$65,MATCH(C610,Categorie!$A$6:$A$65,0))&amp;"",""))</f>
        <v/>
      </c>
      <c r="H610" s="32">
        <f>IF(AND(A610="",C610="",D610=""),"",IF(D610="","Manca l'importo",IF(NOT(ISNUMBER(D610)),"Importo non valido",IF(NOT(ISNUMBER(A610)),"Data mancante o non valida",IF(YEAR(A610)&lt;&gt;Impostazioni!$C$4,"Fuori dall'anno",IF(C610="","Manca la categoria",IF(ISNA(MATCH(C610,Categorie!$A$6:$A$65,0)),"Categoria non trovata",IF(G610="","Categoria senza tipo",""))))))))</f>
        <v/>
      </c>
    </row>
    <row r="611">
      <c r="A611" s="29" t="n"/>
      <c r="B611" s="17" t="n"/>
      <c r="C611" s="17" t="n"/>
      <c r="D611" s="16" t="n"/>
      <c r="E611" s="30" t="n"/>
      <c r="F611" s="17" t="n"/>
      <c r="G611" s="31">
        <f>IF(C611="","",IFERROR(INDEX(Categorie!$B$6:$B$65,MATCH(C611,Categorie!$A$6:$A$65,0))&amp;"",""))</f>
        <v/>
      </c>
      <c r="H611" s="32">
        <f>IF(AND(A611="",C611="",D611=""),"",IF(D611="","Manca l'importo",IF(NOT(ISNUMBER(D611)),"Importo non valido",IF(NOT(ISNUMBER(A611)),"Data mancante o non valida",IF(YEAR(A611)&lt;&gt;Impostazioni!$C$4,"Fuori dall'anno",IF(C611="","Manca la categoria",IF(ISNA(MATCH(C611,Categorie!$A$6:$A$65,0)),"Categoria non trovata",IF(G611="","Categoria senza tipo",""))))))))</f>
        <v/>
      </c>
    </row>
    <row r="612">
      <c r="A612" s="29" t="n"/>
      <c r="B612" s="17" t="n"/>
      <c r="C612" s="17" t="n"/>
      <c r="D612" s="16" t="n"/>
      <c r="E612" s="30" t="n"/>
      <c r="F612" s="17" t="n"/>
      <c r="G612" s="31">
        <f>IF(C612="","",IFERROR(INDEX(Categorie!$B$6:$B$65,MATCH(C612,Categorie!$A$6:$A$65,0))&amp;"",""))</f>
        <v/>
      </c>
      <c r="H612" s="32">
        <f>IF(AND(A612="",C612="",D612=""),"",IF(D612="","Manca l'importo",IF(NOT(ISNUMBER(D612)),"Importo non valido",IF(NOT(ISNUMBER(A612)),"Data mancante o non valida",IF(YEAR(A612)&lt;&gt;Impostazioni!$C$4,"Fuori dall'anno",IF(C612="","Manca la categoria",IF(ISNA(MATCH(C612,Categorie!$A$6:$A$65,0)),"Categoria non trovata",IF(G612="","Categoria senza tipo",""))))))))</f>
        <v/>
      </c>
    </row>
    <row r="613">
      <c r="A613" s="29" t="n"/>
      <c r="B613" s="17" t="n"/>
      <c r="C613" s="17" t="n"/>
      <c r="D613" s="16" t="n"/>
      <c r="E613" s="30" t="n"/>
      <c r="F613" s="17" t="n"/>
      <c r="G613" s="31">
        <f>IF(C613="","",IFERROR(INDEX(Categorie!$B$6:$B$65,MATCH(C613,Categorie!$A$6:$A$65,0))&amp;"",""))</f>
        <v/>
      </c>
      <c r="H613" s="32">
        <f>IF(AND(A613="",C613="",D613=""),"",IF(D613="","Manca l'importo",IF(NOT(ISNUMBER(D613)),"Importo non valido",IF(NOT(ISNUMBER(A613)),"Data mancante o non valida",IF(YEAR(A613)&lt;&gt;Impostazioni!$C$4,"Fuori dall'anno",IF(C613="","Manca la categoria",IF(ISNA(MATCH(C613,Categorie!$A$6:$A$65,0)),"Categoria non trovata",IF(G613="","Categoria senza tipo",""))))))))</f>
        <v/>
      </c>
    </row>
    <row r="614">
      <c r="A614" s="29" t="n"/>
      <c r="B614" s="17" t="n"/>
      <c r="C614" s="17" t="n"/>
      <c r="D614" s="16" t="n"/>
      <c r="E614" s="30" t="n"/>
      <c r="F614" s="17" t="n"/>
      <c r="G614" s="31">
        <f>IF(C614="","",IFERROR(INDEX(Categorie!$B$6:$B$65,MATCH(C614,Categorie!$A$6:$A$65,0))&amp;"",""))</f>
        <v/>
      </c>
      <c r="H614" s="32">
        <f>IF(AND(A614="",C614="",D614=""),"",IF(D614="","Manca l'importo",IF(NOT(ISNUMBER(D614)),"Importo non valido",IF(NOT(ISNUMBER(A614)),"Data mancante o non valida",IF(YEAR(A614)&lt;&gt;Impostazioni!$C$4,"Fuori dall'anno",IF(C614="","Manca la categoria",IF(ISNA(MATCH(C614,Categorie!$A$6:$A$65,0)),"Categoria non trovata",IF(G614="","Categoria senza tipo",""))))))))</f>
        <v/>
      </c>
    </row>
    <row r="615">
      <c r="A615" s="29" t="n"/>
      <c r="B615" s="17" t="n"/>
      <c r="C615" s="17" t="n"/>
      <c r="D615" s="16" t="n"/>
      <c r="E615" s="30" t="n"/>
      <c r="F615" s="17" t="n"/>
      <c r="G615" s="31">
        <f>IF(C615="","",IFERROR(INDEX(Categorie!$B$6:$B$65,MATCH(C615,Categorie!$A$6:$A$65,0))&amp;"",""))</f>
        <v/>
      </c>
      <c r="H615" s="32">
        <f>IF(AND(A615="",C615="",D615=""),"",IF(D615="","Manca l'importo",IF(NOT(ISNUMBER(D615)),"Importo non valido",IF(NOT(ISNUMBER(A615)),"Data mancante o non valida",IF(YEAR(A615)&lt;&gt;Impostazioni!$C$4,"Fuori dall'anno",IF(C615="","Manca la categoria",IF(ISNA(MATCH(C615,Categorie!$A$6:$A$65,0)),"Categoria non trovata",IF(G615="","Categoria senza tipo",""))))))))</f>
        <v/>
      </c>
    </row>
    <row r="616">
      <c r="A616" s="29" t="n"/>
      <c r="B616" s="17" t="n"/>
      <c r="C616" s="17" t="n"/>
      <c r="D616" s="16" t="n"/>
      <c r="E616" s="30" t="n"/>
      <c r="F616" s="17" t="n"/>
      <c r="G616" s="31">
        <f>IF(C616="","",IFERROR(INDEX(Categorie!$B$6:$B$65,MATCH(C616,Categorie!$A$6:$A$65,0))&amp;"",""))</f>
        <v/>
      </c>
      <c r="H616" s="32">
        <f>IF(AND(A616="",C616="",D616=""),"",IF(D616="","Manca l'importo",IF(NOT(ISNUMBER(D616)),"Importo non valido",IF(NOT(ISNUMBER(A616)),"Data mancante o non valida",IF(YEAR(A616)&lt;&gt;Impostazioni!$C$4,"Fuori dall'anno",IF(C616="","Manca la categoria",IF(ISNA(MATCH(C616,Categorie!$A$6:$A$65,0)),"Categoria non trovata",IF(G616="","Categoria senza tipo",""))))))))</f>
        <v/>
      </c>
    </row>
    <row r="617">
      <c r="A617" s="29" t="n"/>
      <c r="B617" s="17" t="n"/>
      <c r="C617" s="17" t="n"/>
      <c r="D617" s="16" t="n"/>
      <c r="E617" s="30" t="n"/>
      <c r="F617" s="17" t="n"/>
      <c r="G617" s="31">
        <f>IF(C617="","",IFERROR(INDEX(Categorie!$B$6:$B$65,MATCH(C617,Categorie!$A$6:$A$65,0))&amp;"",""))</f>
        <v/>
      </c>
      <c r="H617" s="32">
        <f>IF(AND(A617="",C617="",D617=""),"",IF(D617="","Manca l'importo",IF(NOT(ISNUMBER(D617)),"Importo non valido",IF(NOT(ISNUMBER(A617)),"Data mancante o non valida",IF(YEAR(A617)&lt;&gt;Impostazioni!$C$4,"Fuori dall'anno",IF(C617="","Manca la categoria",IF(ISNA(MATCH(C617,Categorie!$A$6:$A$65,0)),"Categoria non trovata",IF(G617="","Categoria senza tipo",""))))))))</f>
        <v/>
      </c>
    </row>
    <row r="618">
      <c r="A618" s="29" t="n"/>
      <c r="B618" s="17" t="n"/>
      <c r="C618" s="17" t="n"/>
      <c r="D618" s="16" t="n"/>
      <c r="E618" s="30" t="n"/>
      <c r="F618" s="17" t="n"/>
      <c r="G618" s="31">
        <f>IF(C618="","",IFERROR(INDEX(Categorie!$B$6:$B$65,MATCH(C618,Categorie!$A$6:$A$65,0))&amp;"",""))</f>
        <v/>
      </c>
      <c r="H618" s="32">
        <f>IF(AND(A618="",C618="",D618=""),"",IF(D618="","Manca l'importo",IF(NOT(ISNUMBER(D618)),"Importo non valido",IF(NOT(ISNUMBER(A618)),"Data mancante o non valida",IF(YEAR(A618)&lt;&gt;Impostazioni!$C$4,"Fuori dall'anno",IF(C618="","Manca la categoria",IF(ISNA(MATCH(C618,Categorie!$A$6:$A$65,0)),"Categoria non trovata",IF(G618="","Categoria senza tipo",""))))))))</f>
        <v/>
      </c>
    </row>
    <row r="619">
      <c r="A619" s="29" t="n"/>
      <c r="B619" s="17" t="n"/>
      <c r="C619" s="17" t="n"/>
      <c r="D619" s="16" t="n"/>
      <c r="E619" s="30" t="n"/>
      <c r="F619" s="17" t="n"/>
      <c r="G619" s="31">
        <f>IF(C619="","",IFERROR(INDEX(Categorie!$B$6:$B$65,MATCH(C619,Categorie!$A$6:$A$65,0))&amp;"",""))</f>
        <v/>
      </c>
      <c r="H619" s="32">
        <f>IF(AND(A619="",C619="",D619=""),"",IF(D619="","Manca l'importo",IF(NOT(ISNUMBER(D619)),"Importo non valido",IF(NOT(ISNUMBER(A619)),"Data mancante o non valida",IF(YEAR(A619)&lt;&gt;Impostazioni!$C$4,"Fuori dall'anno",IF(C619="","Manca la categoria",IF(ISNA(MATCH(C619,Categorie!$A$6:$A$65,0)),"Categoria non trovata",IF(G619="","Categoria senza tipo",""))))))))</f>
        <v/>
      </c>
    </row>
    <row r="620">
      <c r="A620" s="29" t="n"/>
      <c r="B620" s="17" t="n"/>
      <c r="C620" s="17" t="n"/>
      <c r="D620" s="16" t="n"/>
      <c r="E620" s="30" t="n"/>
      <c r="F620" s="17" t="n"/>
      <c r="G620" s="31">
        <f>IF(C620="","",IFERROR(INDEX(Categorie!$B$6:$B$65,MATCH(C620,Categorie!$A$6:$A$65,0))&amp;"",""))</f>
        <v/>
      </c>
      <c r="H620" s="32">
        <f>IF(AND(A620="",C620="",D620=""),"",IF(D620="","Manca l'importo",IF(NOT(ISNUMBER(D620)),"Importo non valido",IF(NOT(ISNUMBER(A620)),"Data mancante o non valida",IF(YEAR(A620)&lt;&gt;Impostazioni!$C$4,"Fuori dall'anno",IF(C620="","Manca la categoria",IF(ISNA(MATCH(C620,Categorie!$A$6:$A$65,0)),"Categoria non trovata",IF(G620="","Categoria senza tipo",""))))))))</f>
        <v/>
      </c>
    </row>
    <row r="621">
      <c r="A621" s="29" t="n"/>
      <c r="B621" s="17" t="n"/>
      <c r="C621" s="17" t="n"/>
      <c r="D621" s="16" t="n"/>
      <c r="E621" s="30" t="n"/>
      <c r="F621" s="17" t="n"/>
      <c r="G621" s="31">
        <f>IF(C621="","",IFERROR(INDEX(Categorie!$B$6:$B$65,MATCH(C621,Categorie!$A$6:$A$65,0))&amp;"",""))</f>
        <v/>
      </c>
      <c r="H621" s="32">
        <f>IF(AND(A621="",C621="",D621=""),"",IF(D621="","Manca l'importo",IF(NOT(ISNUMBER(D621)),"Importo non valido",IF(NOT(ISNUMBER(A621)),"Data mancante o non valida",IF(YEAR(A621)&lt;&gt;Impostazioni!$C$4,"Fuori dall'anno",IF(C621="","Manca la categoria",IF(ISNA(MATCH(C621,Categorie!$A$6:$A$65,0)),"Categoria non trovata",IF(G621="","Categoria senza tipo",""))))))))</f>
        <v/>
      </c>
    </row>
    <row r="622">
      <c r="A622" s="29" t="n"/>
      <c r="B622" s="17" t="n"/>
      <c r="C622" s="17" t="n"/>
      <c r="D622" s="16" t="n"/>
      <c r="E622" s="30" t="n"/>
      <c r="F622" s="17" t="n"/>
      <c r="G622" s="31">
        <f>IF(C622="","",IFERROR(INDEX(Categorie!$B$6:$B$65,MATCH(C622,Categorie!$A$6:$A$65,0))&amp;"",""))</f>
        <v/>
      </c>
      <c r="H622" s="32">
        <f>IF(AND(A622="",C622="",D622=""),"",IF(D622="","Manca l'importo",IF(NOT(ISNUMBER(D622)),"Importo non valido",IF(NOT(ISNUMBER(A622)),"Data mancante o non valida",IF(YEAR(A622)&lt;&gt;Impostazioni!$C$4,"Fuori dall'anno",IF(C622="","Manca la categoria",IF(ISNA(MATCH(C622,Categorie!$A$6:$A$65,0)),"Categoria non trovata",IF(G622="","Categoria senza tipo",""))))))))</f>
        <v/>
      </c>
    </row>
    <row r="623">
      <c r="A623" s="29" t="n"/>
      <c r="B623" s="17" t="n"/>
      <c r="C623" s="17" t="n"/>
      <c r="D623" s="16" t="n"/>
      <c r="E623" s="30" t="n"/>
      <c r="F623" s="17" t="n"/>
      <c r="G623" s="31">
        <f>IF(C623="","",IFERROR(INDEX(Categorie!$B$6:$B$65,MATCH(C623,Categorie!$A$6:$A$65,0))&amp;"",""))</f>
        <v/>
      </c>
      <c r="H623" s="32">
        <f>IF(AND(A623="",C623="",D623=""),"",IF(D623="","Manca l'importo",IF(NOT(ISNUMBER(D623)),"Importo non valido",IF(NOT(ISNUMBER(A623)),"Data mancante o non valida",IF(YEAR(A623)&lt;&gt;Impostazioni!$C$4,"Fuori dall'anno",IF(C623="","Manca la categoria",IF(ISNA(MATCH(C623,Categorie!$A$6:$A$65,0)),"Categoria non trovata",IF(G623="","Categoria senza tipo",""))))))))</f>
        <v/>
      </c>
    </row>
    <row r="624">
      <c r="A624" s="29" t="n"/>
      <c r="B624" s="17" t="n"/>
      <c r="C624" s="17" t="n"/>
      <c r="D624" s="16" t="n"/>
      <c r="E624" s="30" t="n"/>
      <c r="F624" s="17" t="n"/>
      <c r="G624" s="31">
        <f>IF(C624="","",IFERROR(INDEX(Categorie!$B$6:$B$65,MATCH(C624,Categorie!$A$6:$A$65,0))&amp;"",""))</f>
        <v/>
      </c>
      <c r="H624" s="32">
        <f>IF(AND(A624="",C624="",D624=""),"",IF(D624="","Manca l'importo",IF(NOT(ISNUMBER(D624)),"Importo non valido",IF(NOT(ISNUMBER(A624)),"Data mancante o non valida",IF(YEAR(A624)&lt;&gt;Impostazioni!$C$4,"Fuori dall'anno",IF(C624="","Manca la categoria",IF(ISNA(MATCH(C624,Categorie!$A$6:$A$65,0)),"Categoria non trovata",IF(G624="","Categoria senza tipo",""))))))))</f>
        <v/>
      </c>
    </row>
    <row r="625">
      <c r="A625" s="29" t="n"/>
      <c r="B625" s="17" t="n"/>
      <c r="C625" s="17" t="n"/>
      <c r="D625" s="16" t="n"/>
      <c r="E625" s="30" t="n"/>
      <c r="F625" s="17" t="n"/>
      <c r="G625" s="31">
        <f>IF(C625="","",IFERROR(INDEX(Categorie!$B$6:$B$65,MATCH(C625,Categorie!$A$6:$A$65,0))&amp;"",""))</f>
        <v/>
      </c>
      <c r="H625" s="32">
        <f>IF(AND(A625="",C625="",D625=""),"",IF(D625="","Manca l'importo",IF(NOT(ISNUMBER(D625)),"Importo non valido",IF(NOT(ISNUMBER(A625)),"Data mancante o non valida",IF(YEAR(A625)&lt;&gt;Impostazioni!$C$4,"Fuori dall'anno",IF(C625="","Manca la categoria",IF(ISNA(MATCH(C625,Categorie!$A$6:$A$65,0)),"Categoria non trovata",IF(G625="","Categoria senza tipo",""))))))))</f>
        <v/>
      </c>
    </row>
    <row r="626">
      <c r="A626" s="29" t="n"/>
      <c r="B626" s="17" t="n"/>
      <c r="C626" s="17" t="n"/>
      <c r="D626" s="16" t="n"/>
      <c r="E626" s="30" t="n"/>
      <c r="F626" s="17" t="n"/>
      <c r="G626" s="31">
        <f>IF(C626="","",IFERROR(INDEX(Categorie!$B$6:$B$65,MATCH(C626,Categorie!$A$6:$A$65,0))&amp;"",""))</f>
        <v/>
      </c>
      <c r="H626" s="32">
        <f>IF(AND(A626="",C626="",D626=""),"",IF(D626="","Manca l'importo",IF(NOT(ISNUMBER(D626)),"Importo non valido",IF(NOT(ISNUMBER(A626)),"Data mancante o non valida",IF(YEAR(A626)&lt;&gt;Impostazioni!$C$4,"Fuori dall'anno",IF(C626="","Manca la categoria",IF(ISNA(MATCH(C626,Categorie!$A$6:$A$65,0)),"Categoria non trovata",IF(G626="","Categoria senza tipo",""))))))))</f>
        <v/>
      </c>
    </row>
    <row r="627">
      <c r="A627" s="29" t="n"/>
      <c r="B627" s="17" t="n"/>
      <c r="C627" s="17" t="n"/>
      <c r="D627" s="16" t="n"/>
      <c r="E627" s="30" t="n"/>
      <c r="F627" s="17" t="n"/>
      <c r="G627" s="31">
        <f>IF(C627="","",IFERROR(INDEX(Categorie!$B$6:$B$65,MATCH(C627,Categorie!$A$6:$A$65,0))&amp;"",""))</f>
        <v/>
      </c>
      <c r="H627" s="32">
        <f>IF(AND(A627="",C627="",D627=""),"",IF(D627="","Manca l'importo",IF(NOT(ISNUMBER(D627)),"Importo non valido",IF(NOT(ISNUMBER(A627)),"Data mancante o non valida",IF(YEAR(A627)&lt;&gt;Impostazioni!$C$4,"Fuori dall'anno",IF(C627="","Manca la categoria",IF(ISNA(MATCH(C627,Categorie!$A$6:$A$65,0)),"Categoria non trovata",IF(G627="","Categoria senza tipo",""))))))))</f>
        <v/>
      </c>
    </row>
    <row r="628">
      <c r="A628" s="29" t="n"/>
      <c r="B628" s="17" t="n"/>
      <c r="C628" s="17" t="n"/>
      <c r="D628" s="16" t="n"/>
      <c r="E628" s="30" t="n"/>
      <c r="F628" s="17" t="n"/>
      <c r="G628" s="31">
        <f>IF(C628="","",IFERROR(INDEX(Categorie!$B$6:$B$65,MATCH(C628,Categorie!$A$6:$A$65,0))&amp;"",""))</f>
        <v/>
      </c>
      <c r="H628" s="32">
        <f>IF(AND(A628="",C628="",D628=""),"",IF(D628="","Manca l'importo",IF(NOT(ISNUMBER(D628)),"Importo non valido",IF(NOT(ISNUMBER(A628)),"Data mancante o non valida",IF(YEAR(A628)&lt;&gt;Impostazioni!$C$4,"Fuori dall'anno",IF(C628="","Manca la categoria",IF(ISNA(MATCH(C628,Categorie!$A$6:$A$65,0)),"Categoria non trovata",IF(G628="","Categoria senza tipo",""))))))))</f>
        <v/>
      </c>
    </row>
    <row r="629">
      <c r="A629" s="29" t="n"/>
      <c r="B629" s="17" t="n"/>
      <c r="C629" s="17" t="n"/>
      <c r="D629" s="16" t="n"/>
      <c r="E629" s="30" t="n"/>
      <c r="F629" s="17" t="n"/>
      <c r="G629" s="31">
        <f>IF(C629="","",IFERROR(INDEX(Categorie!$B$6:$B$65,MATCH(C629,Categorie!$A$6:$A$65,0))&amp;"",""))</f>
        <v/>
      </c>
      <c r="H629" s="32">
        <f>IF(AND(A629="",C629="",D629=""),"",IF(D629="","Manca l'importo",IF(NOT(ISNUMBER(D629)),"Importo non valido",IF(NOT(ISNUMBER(A629)),"Data mancante o non valida",IF(YEAR(A629)&lt;&gt;Impostazioni!$C$4,"Fuori dall'anno",IF(C629="","Manca la categoria",IF(ISNA(MATCH(C629,Categorie!$A$6:$A$65,0)),"Categoria non trovata",IF(G629="","Categoria senza tipo",""))))))))</f>
        <v/>
      </c>
    </row>
    <row r="630">
      <c r="A630" s="29" t="n"/>
      <c r="B630" s="17" t="n"/>
      <c r="C630" s="17" t="n"/>
      <c r="D630" s="16" t="n"/>
      <c r="E630" s="30" t="n"/>
      <c r="F630" s="17" t="n"/>
      <c r="G630" s="31">
        <f>IF(C630="","",IFERROR(INDEX(Categorie!$B$6:$B$65,MATCH(C630,Categorie!$A$6:$A$65,0))&amp;"",""))</f>
        <v/>
      </c>
      <c r="H630" s="32">
        <f>IF(AND(A630="",C630="",D630=""),"",IF(D630="","Manca l'importo",IF(NOT(ISNUMBER(D630)),"Importo non valido",IF(NOT(ISNUMBER(A630)),"Data mancante o non valida",IF(YEAR(A630)&lt;&gt;Impostazioni!$C$4,"Fuori dall'anno",IF(C630="","Manca la categoria",IF(ISNA(MATCH(C630,Categorie!$A$6:$A$65,0)),"Categoria non trovata",IF(G630="","Categoria senza tipo",""))))))))</f>
        <v/>
      </c>
    </row>
    <row r="631">
      <c r="A631" s="29" t="n"/>
      <c r="B631" s="17" t="n"/>
      <c r="C631" s="17" t="n"/>
      <c r="D631" s="16" t="n"/>
      <c r="E631" s="30" t="n"/>
      <c r="F631" s="17" t="n"/>
      <c r="G631" s="31">
        <f>IF(C631="","",IFERROR(INDEX(Categorie!$B$6:$B$65,MATCH(C631,Categorie!$A$6:$A$65,0))&amp;"",""))</f>
        <v/>
      </c>
      <c r="H631" s="32">
        <f>IF(AND(A631="",C631="",D631=""),"",IF(D631="","Manca l'importo",IF(NOT(ISNUMBER(D631)),"Importo non valido",IF(NOT(ISNUMBER(A631)),"Data mancante o non valida",IF(YEAR(A631)&lt;&gt;Impostazioni!$C$4,"Fuori dall'anno",IF(C631="","Manca la categoria",IF(ISNA(MATCH(C631,Categorie!$A$6:$A$65,0)),"Categoria non trovata",IF(G631="","Categoria senza tipo",""))))))))</f>
        <v/>
      </c>
    </row>
    <row r="632">
      <c r="A632" s="29" t="n"/>
      <c r="B632" s="17" t="n"/>
      <c r="C632" s="17" t="n"/>
      <c r="D632" s="16" t="n"/>
      <c r="E632" s="30" t="n"/>
      <c r="F632" s="17" t="n"/>
      <c r="G632" s="31">
        <f>IF(C632="","",IFERROR(INDEX(Categorie!$B$6:$B$65,MATCH(C632,Categorie!$A$6:$A$65,0))&amp;"",""))</f>
        <v/>
      </c>
      <c r="H632" s="32">
        <f>IF(AND(A632="",C632="",D632=""),"",IF(D632="","Manca l'importo",IF(NOT(ISNUMBER(D632)),"Importo non valido",IF(NOT(ISNUMBER(A632)),"Data mancante o non valida",IF(YEAR(A632)&lt;&gt;Impostazioni!$C$4,"Fuori dall'anno",IF(C632="","Manca la categoria",IF(ISNA(MATCH(C632,Categorie!$A$6:$A$65,0)),"Categoria non trovata",IF(G632="","Categoria senza tipo",""))))))))</f>
        <v/>
      </c>
    </row>
    <row r="633">
      <c r="A633" s="29" t="n"/>
      <c r="B633" s="17" t="n"/>
      <c r="C633" s="17" t="n"/>
      <c r="D633" s="16" t="n"/>
      <c r="E633" s="30" t="n"/>
      <c r="F633" s="17" t="n"/>
      <c r="G633" s="31">
        <f>IF(C633="","",IFERROR(INDEX(Categorie!$B$6:$B$65,MATCH(C633,Categorie!$A$6:$A$65,0))&amp;"",""))</f>
        <v/>
      </c>
      <c r="H633" s="32">
        <f>IF(AND(A633="",C633="",D633=""),"",IF(D633="","Manca l'importo",IF(NOT(ISNUMBER(D633)),"Importo non valido",IF(NOT(ISNUMBER(A633)),"Data mancante o non valida",IF(YEAR(A633)&lt;&gt;Impostazioni!$C$4,"Fuori dall'anno",IF(C633="","Manca la categoria",IF(ISNA(MATCH(C633,Categorie!$A$6:$A$65,0)),"Categoria non trovata",IF(G633="","Categoria senza tipo",""))))))))</f>
        <v/>
      </c>
    </row>
    <row r="634">
      <c r="A634" s="29" t="n"/>
      <c r="B634" s="17" t="n"/>
      <c r="C634" s="17" t="n"/>
      <c r="D634" s="16" t="n"/>
      <c r="E634" s="30" t="n"/>
      <c r="F634" s="17" t="n"/>
      <c r="G634" s="31">
        <f>IF(C634="","",IFERROR(INDEX(Categorie!$B$6:$B$65,MATCH(C634,Categorie!$A$6:$A$65,0))&amp;"",""))</f>
        <v/>
      </c>
      <c r="H634" s="32">
        <f>IF(AND(A634="",C634="",D634=""),"",IF(D634="","Manca l'importo",IF(NOT(ISNUMBER(D634)),"Importo non valido",IF(NOT(ISNUMBER(A634)),"Data mancante o non valida",IF(YEAR(A634)&lt;&gt;Impostazioni!$C$4,"Fuori dall'anno",IF(C634="","Manca la categoria",IF(ISNA(MATCH(C634,Categorie!$A$6:$A$65,0)),"Categoria non trovata",IF(G634="","Categoria senza tipo",""))))))))</f>
        <v/>
      </c>
    </row>
    <row r="635">
      <c r="A635" s="29" t="n"/>
      <c r="B635" s="17" t="n"/>
      <c r="C635" s="17" t="n"/>
      <c r="D635" s="16" t="n"/>
      <c r="E635" s="30" t="n"/>
      <c r="F635" s="17" t="n"/>
      <c r="G635" s="31">
        <f>IF(C635="","",IFERROR(INDEX(Categorie!$B$6:$B$65,MATCH(C635,Categorie!$A$6:$A$65,0))&amp;"",""))</f>
        <v/>
      </c>
      <c r="H635" s="32">
        <f>IF(AND(A635="",C635="",D635=""),"",IF(D635="","Manca l'importo",IF(NOT(ISNUMBER(D635)),"Importo non valido",IF(NOT(ISNUMBER(A635)),"Data mancante o non valida",IF(YEAR(A635)&lt;&gt;Impostazioni!$C$4,"Fuori dall'anno",IF(C635="","Manca la categoria",IF(ISNA(MATCH(C635,Categorie!$A$6:$A$65,0)),"Categoria non trovata",IF(G635="","Categoria senza tipo",""))))))))</f>
        <v/>
      </c>
    </row>
    <row r="636">
      <c r="A636" s="29" t="n"/>
      <c r="B636" s="17" t="n"/>
      <c r="C636" s="17" t="n"/>
      <c r="D636" s="16" t="n"/>
      <c r="E636" s="30" t="n"/>
      <c r="F636" s="17" t="n"/>
      <c r="G636" s="31">
        <f>IF(C636="","",IFERROR(INDEX(Categorie!$B$6:$B$65,MATCH(C636,Categorie!$A$6:$A$65,0))&amp;"",""))</f>
        <v/>
      </c>
      <c r="H636" s="32">
        <f>IF(AND(A636="",C636="",D636=""),"",IF(D636="","Manca l'importo",IF(NOT(ISNUMBER(D636)),"Importo non valido",IF(NOT(ISNUMBER(A636)),"Data mancante o non valida",IF(YEAR(A636)&lt;&gt;Impostazioni!$C$4,"Fuori dall'anno",IF(C636="","Manca la categoria",IF(ISNA(MATCH(C636,Categorie!$A$6:$A$65,0)),"Categoria non trovata",IF(G636="","Categoria senza tipo",""))))))))</f>
        <v/>
      </c>
    </row>
    <row r="637">
      <c r="A637" s="29" t="n"/>
      <c r="B637" s="17" t="n"/>
      <c r="C637" s="17" t="n"/>
      <c r="D637" s="16" t="n"/>
      <c r="E637" s="30" t="n"/>
      <c r="F637" s="17" t="n"/>
      <c r="G637" s="31">
        <f>IF(C637="","",IFERROR(INDEX(Categorie!$B$6:$B$65,MATCH(C637,Categorie!$A$6:$A$65,0))&amp;"",""))</f>
        <v/>
      </c>
      <c r="H637" s="32">
        <f>IF(AND(A637="",C637="",D637=""),"",IF(D637="","Manca l'importo",IF(NOT(ISNUMBER(D637)),"Importo non valido",IF(NOT(ISNUMBER(A637)),"Data mancante o non valida",IF(YEAR(A637)&lt;&gt;Impostazioni!$C$4,"Fuori dall'anno",IF(C637="","Manca la categoria",IF(ISNA(MATCH(C637,Categorie!$A$6:$A$65,0)),"Categoria non trovata",IF(G637="","Categoria senza tipo",""))))))))</f>
        <v/>
      </c>
    </row>
    <row r="638">
      <c r="A638" s="29" t="n"/>
      <c r="B638" s="17" t="n"/>
      <c r="C638" s="17" t="n"/>
      <c r="D638" s="16" t="n"/>
      <c r="E638" s="30" t="n"/>
      <c r="F638" s="17" t="n"/>
      <c r="G638" s="31">
        <f>IF(C638="","",IFERROR(INDEX(Categorie!$B$6:$B$65,MATCH(C638,Categorie!$A$6:$A$65,0))&amp;"",""))</f>
        <v/>
      </c>
      <c r="H638" s="32">
        <f>IF(AND(A638="",C638="",D638=""),"",IF(D638="","Manca l'importo",IF(NOT(ISNUMBER(D638)),"Importo non valido",IF(NOT(ISNUMBER(A638)),"Data mancante o non valida",IF(YEAR(A638)&lt;&gt;Impostazioni!$C$4,"Fuori dall'anno",IF(C638="","Manca la categoria",IF(ISNA(MATCH(C638,Categorie!$A$6:$A$65,0)),"Categoria non trovata",IF(G638="","Categoria senza tipo",""))))))))</f>
        <v/>
      </c>
    </row>
    <row r="639">
      <c r="A639" s="29" t="n"/>
      <c r="B639" s="17" t="n"/>
      <c r="C639" s="17" t="n"/>
      <c r="D639" s="16" t="n"/>
      <c r="E639" s="30" t="n"/>
      <c r="F639" s="17" t="n"/>
      <c r="G639" s="31">
        <f>IF(C639="","",IFERROR(INDEX(Categorie!$B$6:$B$65,MATCH(C639,Categorie!$A$6:$A$65,0))&amp;"",""))</f>
        <v/>
      </c>
      <c r="H639" s="32">
        <f>IF(AND(A639="",C639="",D639=""),"",IF(D639="","Manca l'importo",IF(NOT(ISNUMBER(D639)),"Importo non valido",IF(NOT(ISNUMBER(A639)),"Data mancante o non valida",IF(YEAR(A639)&lt;&gt;Impostazioni!$C$4,"Fuori dall'anno",IF(C639="","Manca la categoria",IF(ISNA(MATCH(C639,Categorie!$A$6:$A$65,0)),"Categoria non trovata",IF(G639="","Categoria senza tipo",""))))))))</f>
        <v/>
      </c>
    </row>
    <row r="640">
      <c r="A640" s="29" t="n"/>
      <c r="B640" s="17" t="n"/>
      <c r="C640" s="17" t="n"/>
      <c r="D640" s="16" t="n"/>
      <c r="E640" s="30" t="n"/>
      <c r="F640" s="17" t="n"/>
      <c r="G640" s="31">
        <f>IF(C640="","",IFERROR(INDEX(Categorie!$B$6:$B$65,MATCH(C640,Categorie!$A$6:$A$65,0))&amp;"",""))</f>
        <v/>
      </c>
      <c r="H640" s="32">
        <f>IF(AND(A640="",C640="",D640=""),"",IF(D640="","Manca l'importo",IF(NOT(ISNUMBER(D640)),"Importo non valido",IF(NOT(ISNUMBER(A640)),"Data mancante o non valida",IF(YEAR(A640)&lt;&gt;Impostazioni!$C$4,"Fuori dall'anno",IF(C640="","Manca la categoria",IF(ISNA(MATCH(C640,Categorie!$A$6:$A$65,0)),"Categoria non trovata",IF(G640="","Categoria senza tipo",""))))))))</f>
        <v/>
      </c>
    </row>
    <row r="641">
      <c r="A641" s="29" t="n"/>
      <c r="B641" s="17" t="n"/>
      <c r="C641" s="17" t="n"/>
      <c r="D641" s="16" t="n"/>
      <c r="E641" s="30" t="n"/>
      <c r="F641" s="17" t="n"/>
      <c r="G641" s="31">
        <f>IF(C641="","",IFERROR(INDEX(Categorie!$B$6:$B$65,MATCH(C641,Categorie!$A$6:$A$65,0))&amp;"",""))</f>
        <v/>
      </c>
      <c r="H641" s="32">
        <f>IF(AND(A641="",C641="",D641=""),"",IF(D641="","Manca l'importo",IF(NOT(ISNUMBER(D641)),"Importo non valido",IF(NOT(ISNUMBER(A641)),"Data mancante o non valida",IF(YEAR(A641)&lt;&gt;Impostazioni!$C$4,"Fuori dall'anno",IF(C641="","Manca la categoria",IF(ISNA(MATCH(C641,Categorie!$A$6:$A$65,0)),"Categoria non trovata",IF(G641="","Categoria senza tipo",""))))))))</f>
        <v/>
      </c>
    </row>
    <row r="642">
      <c r="A642" s="29" t="n"/>
      <c r="B642" s="17" t="n"/>
      <c r="C642" s="17" t="n"/>
      <c r="D642" s="16" t="n"/>
      <c r="E642" s="30" t="n"/>
      <c r="F642" s="17" t="n"/>
      <c r="G642" s="31">
        <f>IF(C642="","",IFERROR(INDEX(Categorie!$B$6:$B$65,MATCH(C642,Categorie!$A$6:$A$65,0))&amp;"",""))</f>
        <v/>
      </c>
      <c r="H642" s="32">
        <f>IF(AND(A642="",C642="",D642=""),"",IF(D642="","Manca l'importo",IF(NOT(ISNUMBER(D642)),"Importo non valido",IF(NOT(ISNUMBER(A642)),"Data mancante o non valida",IF(YEAR(A642)&lt;&gt;Impostazioni!$C$4,"Fuori dall'anno",IF(C642="","Manca la categoria",IF(ISNA(MATCH(C642,Categorie!$A$6:$A$65,0)),"Categoria non trovata",IF(G642="","Categoria senza tipo",""))))))))</f>
        <v/>
      </c>
    </row>
    <row r="643">
      <c r="A643" s="29" t="n"/>
      <c r="B643" s="17" t="n"/>
      <c r="C643" s="17" t="n"/>
      <c r="D643" s="16" t="n"/>
      <c r="E643" s="30" t="n"/>
      <c r="F643" s="17" t="n"/>
      <c r="G643" s="31">
        <f>IF(C643="","",IFERROR(INDEX(Categorie!$B$6:$B$65,MATCH(C643,Categorie!$A$6:$A$65,0))&amp;"",""))</f>
        <v/>
      </c>
      <c r="H643" s="32">
        <f>IF(AND(A643="",C643="",D643=""),"",IF(D643="","Manca l'importo",IF(NOT(ISNUMBER(D643)),"Importo non valido",IF(NOT(ISNUMBER(A643)),"Data mancante o non valida",IF(YEAR(A643)&lt;&gt;Impostazioni!$C$4,"Fuori dall'anno",IF(C643="","Manca la categoria",IF(ISNA(MATCH(C643,Categorie!$A$6:$A$65,0)),"Categoria non trovata",IF(G643="","Categoria senza tipo",""))))))))</f>
        <v/>
      </c>
    </row>
    <row r="644">
      <c r="A644" s="29" t="n"/>
      <c r="B644" s="17" t="n"/>
      <c r="C644" s="17" t="n"/>
      <c r="D644" s="16" t="n"/>
      <c r="E644" s="30" t="n"/>
      <c r="F644" s="17" t="n"/>
      <c r="G644" s="31">
        <f>IF(C644="","",IFERROR(INDEX(Categorie!$B$6:$B$65,MATCH(C644,Categorie!$A$6:$A$65,0))&amp;"",""))</f>
        <v/>
      </c>
      <c r="H644" s="32">
        <f>IF(AND(A644="",C644="",D644=""),"",IF(D644="","Manca l'importo",IF(NOT(ISNUMBER(D644)),"Importo non valido",IF(NOT(ISNUMBER(A644)),"Data mancante o non valida",IF(YEAR(A644)&lt;&gt;Impostazioni!$C$4,"Fuori dall'anno",IF(C644="","Manca la categoria",IF(ISNA(MATCH(C644,Categorie!$A$6:$A$65,0)),"Categoria non trovata",IF(G644="","Categoria senza tipo",""))))))))</f>
        <v/>
      </c>
    </row>
    <row r="645">
      <c r="A645" s="29" t="n"/>
      <c r="B645" s="17" t="n"/>
      <c r="C645" s="17" t="n"/>
      <c r="D645" s="16" t="n"/>
      <c r="E645" s="30" t="n"/>
      <c r="F645" s="17" t="n"/>
      <c r="G645" s="31">
        <f>IF(C645="","",IFERROR(INDEX(Categorie!$B$6:$B$65,MATCH(C645,Categorie!$A$6:$A$65,0))&amp;"",""))</f>
        <v/>
      </c>
      <c r="H645" s="32">
        <f>IF(AND(A645="",C645="",D645=""),"",IF(D645="","Manca l'importo",IF(NOT(ISNUMBER(D645)),"Importo non valido",IF(NOT(ISNUMBER(A645)),"Data mancante o non valida",IF(YEAR(A645)&lt;&gt;Impostazioni!$C$4,"Fuori dall'anno",IF(C645="","Manca la categoria",IF(ISNA(MATCH(C645,Categorie!$A$6:$A$65,0)),"Categoria non trovata",IF(G645="","Categoria senza tipo",""))))))))</f>
        <v/>
      </c>
    </row>
    <row r="646">
      <c r="A646" s="29" t="n"/>
      <c r="B646" s="17" t="n"/>
      <c r="C646" s="17" t="n"/>
      <c r="D646" s="16" t="n"/>
      <c r="E646" s="30" t="n"/>
      <c r="F646" s="17" t="n"/>
      <c r="G646" s="31">
        <f>IF(C646="","",IFERROR(INDEX(Categorie!$B$6:$B$65,MATCH(C646,Categorie!$A$6:$A$65,0))&amp;"",""))</f>
        <v/>
      </c>
      <c r="H646" s="32">
        <f>IF(AND(A646="",C646="",D646=""),"",IF(D646="","Manca l'importo",IF(NOT(ISNUMBER(D646)),"Importo non valido",IF(NOT(ISNUMBER(A646)),"Data mancante o non valida",IF(YEAR(A646)&lt;&gt;Impostazioni!$C$4,"Fuori dall'anno",IF(C646="","Manca la categoria",IF(ISNA(MATCH(C646,Categorie!$A$6:$A$65,0)),"Categoria non trovata",IF(G646="","Categoria senza tipo",""))))))))</f>
        <v/>
      </c>
    </row>
    <row r="647">
      <c r="A647" s="29" t="n"/>
      <c r="B647" s="17" t="n"/>
      <c r="C647" s="17" t="n"/>
      <c r="D647" s="16" t="n"/>
      <c r="E647" s="30" t="n"/>
      <c r="F647" s="17" t="n"/>
      <c r="G647" s="31">
        <f>IF(C647="","",IFERROR(INDEX(Categorie!$B$6:$B$65,MATCH(C647,Categorie!$A$6:$A$65,0))&amp;"",""))</f>
        <v/>
      </c>
      <c r="H647" s="32">
        <f>IF(AND(A647="",C647="",D647=""),"",IF(D647="","Manca l'importo",IF(NOT(ISNUMBER(D647)),"Importo non valido",IF(NOT(ISNUMBER(A647)),"Data mancante o non valida",IF(YEAR(A647)&lt;&gt;Impostazioni!$C$4,"Fuori dall'anno",IF(C647="","Manca la categoria",IF(ISNA(MATCH(C647,Categorie!$A$6:$A$65,0)),"Categoria non trovata",IF(G647="","Categoria senza tipo",""))))))))</f>
        <v/>
      </c>
    </row>
    <row r="648">
      <c r="A648" s="29" t="n"/>
      <c r="B648" s="17" t="n"/>
      <c r="C648" s="17" t="n"/>
      <c r="D648" s="16" t="n"/>
      <c r="E648" s="30" t="n"/>
      <c r="F648" s="17" t="n"/>
      <c r="G648" s="31">
        <f>IF(C648="","",IFERROR(INDEX(Categorie!$B$6:$B$65,MATCH(C648,Categorie!$A$6:$A$65,0))&amp;"",""))</f>
        <v/>
      </c>
      <c r="H648" s="32">
        <f>IF(AND(A648="",C648="",D648=""),"",IF(D648="","Manca l'importo",IF(NOT(ISNUMBER(D648)),"Importo non valido",IF(NOT(ISNUMBER(A648)),"Data mancante o non valida",IF(YEAR(A648)&lt;&gt;Impostazioni!$C$4,"Fuori dall'anno",IF(C648="","Manca la categoria",IF(ISNA(MATCH(C648,Categorie!$A$6:$A$65,0)),"Categoria non trovata",IF(G648="","Categoria senza tipo",""))))))))</f>
        <v/>
      </c>
    </row>
    <row r="649">
      <c r="A649" s="29" t="n"/>
      <c r="B649" s="17" t="n"/>
      <c r="C649" s="17" t="n"/>
      <c r="D649" s="16" t="n"/>
      <c r="E649" s="30" t="n"/>
      <c r="F649" s="17" t="n"/>
      <c r="G649" s="31">
        <f>IF(C649="","",IFERROR(INDEX(Categorie!$B$6:$B$65,MATCH(C649,Categorie!$A$6:$A$65,0))&amp;"",""))</f>
        <v/>
      </c>
      <c r="H649" s="32">
        <f>IF(AND(A649="",C649="",D649=""),"",IF(D649="","Manca l'importo",IF(NOT(ISNUMBER(D649)),"Importo non valido",IF(NOT(ISNUMBER(A649)),"Data mancante o non valida",IF(YEAR(A649)&lt;&gt;Impostazioni!$C$4,"Fuori dall'anno",IF(C649="","Manca la categoria",IF(ISNA(MATCH(C649,Categorie!$A$6:$A$65,0)),"Categoria non trovata",IF(G649="","Categoria senza tipo",""))))))))</f>
        <v/>
      </c>
    </row>
    <row r="650">
      <c r="A650" s="29" t="n"/>
      <c r="B650" s="17" t="n"/>
      <c r="C650" s="17" t="n"/>
      <c r="D650" s="16" t="n"/>
      <c r="E650" s="30" t="n"/>
      <c r="F650" s="17" t="n"/>
      <c r="G650" s="31">
        <f>IF(C650="","",IFERROR(INDEX(Categorie!$B$6:$B$65,MATCH(C650,Categorie!$A$6:$A$65,0))&amp;"",""))</f>
        <v/>
      </c>
      <c r="H650" s="32">
        <f>IF(AND(A650="",C650="",D650=""),"",IF(D650="","Manca l'importo",IF(NOT(ISNUMBER(D650)),"Importo non valido",IF(NOT(ISNUMBER(A650)),"Data mancante o non valida",IF(YEAR(A650)&lt;&gt;Impostazioni!$C$4,"Fuori dall'anno",IF(C650="","Manca la categoria",IF(ISNA(MATCH(C650,Categorie!$A$6:$A$65,0)),"Categoria non trovata",IF(G650="","Categoria senza tipo",""))))))))</f>
        <v/>
      </c>
    </row>
    <row r="651">
      <c r="A651" s="29" t="n"/>
      <c r="B651" s="17" t="n"/>
      <c r="C651" s="17" t="n"/>
      <c r="D651" s="16" t="n"/>
      <c r="E651" s="30" t="n"/>
      <c r="F651" s="17" t="n"/>
      <c r="G651" s="31">
        <f>IF(C651="","",IFERROR(INDEX(Categorie!$B$6:$B$65,MATCH(C651,Categorie!$A$6:$A$65,0))&amp;"",""))</f>
        <v/>
      </c>
      <c r="H651" s="32">
        <f>IF(AND(A651="",C651="",D651=""),"",IF(D651="","Manca l'importo",IF(NOT(ISNUMBER(D651)),"Importo non valido",IF(NOT(ISNUMBER(A651)),"Data mancante o non valida",IF(YEAR(A651)&lt;&gt;Impostazioni!$C$4,"Fuori dall'anno",IF(C651="","Manca la categoria",IF(ISNA(MATCH(C651,Categorie!$A$6:$A$65,0)),"Categoria non trovata",IF(G651="","Categoria senza tipo",""))))))))</f>
        <v/>
      </c>
    </row>
    <row r="652">
      <c r="A652" s="29" t="n"/>
      <c r="B652" s="17" t="n"/>
      <c r="C652" s="17" t="n"/>
      <c r="D652" s="16" t="n"/>
      <c r="E652" s="30" t="n"/>
      <c r="F652" s="17" t="n"/>
      <c r="G652" s="31">
        <f>IF(C652="","",IFERROR(INDEX(Categorie!$B$6:$B$65,MATCH(C652,Categorie!$A$6:$A$65,0))&amp;"",""))</f>
        <v/>
      </c>
      <c r="H652" s="32">
        <f>IF(AND(A652="",C652="",D652=""),"",IF(D652="","Manca l'importo",IF(NOT(ISNUMBER(D652)),"Importo non valido",IF(NOT(ISNUMBER(A652)),"Data mancante o non valida",IF(YEAR(A652)&lt;&gt;Impostazioni!$C$4,"Fuori dall'anno",IF(C652="","Manca la categoria",IF(ISNA(MATCH(C652,Categorie!$A$6:$A$65,0)),"Categoria non trovata",IF(G652="","Categoria senza tipo",""))))))))</f>
        <v/>
      </c>
    </row>
    <row r="653">
      <c r="A653" s="29" t="n"/>
      <c r="B653" s="17" t="n"/>
      <c r="C653" s="17" t="n"/>
      <c r="D653" s="16" t="n"/>
      <c r="E653" s="30" t="n"/>
      <c r="F653" s="17" t="n"/>
      <c r="G653" s="31">
        <f>IF(C653="","",IFERROR(INDEX(Categorie!$B$6:$B$65,MATCH(C653,Categorie!$A$6:$A$65,0))&amp;"",""))</f>
        <v/>
      </c>
      <c r="H653" s="32">
        <f>IF(AND(A653="",C653="",D653=""),"",IF(D653="","Manca l'importo",IF(NOT(ISNUMBER(D653)),"Importo non valido",IF(NOT(ISNUMBER(A653)),"Data mancante o non valida",IF(YEAR(A653)&lt;&gt;Impostazioni!$C$4,"Fuori dall'anno",IF(C653="","Manca la categoria",IF(ISNA(MATCH(C653,Categorie!$A$6:$A$65,0)),"Categoria non trovata",IF(G653="","Categoria senza tipo",""))))))))</f>
        <v/>
      </c>
    </row>
    <row r="654">
      <c r="A654" s="29" t="n"/>
      <c r="B654" s="17" t="n"/>
      <c r="C654" s="17" t="n"/>
      <c r="D654" s="16" t="n"/>
      <c r="E654" s="30" t="n"/>
      <c r="F654" s="17" t="n"/>
      <c r="G654" s="31">
        <f>IF(C654="","",IFERROR(INDEX(Categorie!$B$6:$B$65,MATCH(C654,Categorie!$A$6:$A$65,0))&amp;"",""))</f>
        <v/>
      </c>
      <c r="H654" s="32">
        <f>IF(AND(A654="",C654="",D654=""),"",IF(D654="","Manca l'importo",IF(NOT(ISNUMBER(D654)),"Importo non valido",IF(NOT(ISNUMBER(A654)),"Data mancante o non valida",IF(YEAR(A654)&lt;&gt;Impostazioni!$C$4,"Fuori dall'anno",IF(C654="","Manca la categoria",IF(ISNA(MATCH(C654,Categorie!$A$6:$A$65,0)),"Categoria non trovata",IF(G654="","Categoria senza tipo",""))))))))</f>
        <v/>
      </c>
    </row>
    <row r="655">
      <c r="A655" s="29" t="n"/>
      <c r="B655" s="17" t="n"/>
      <c r="C655" s="17" t="n"/>
      <c r="D655" s="16" t="n"/>
      <c r="E655" s="30" t="n"/>
      <c r="F655" s="17" t="n"/>
      <c r="G655" s="31">
        <f>IF(C655="","",IFERROR(INDEX(Categorie!$B$6:$B$65,MATCH(C655,Categorie!$A$6:$A$65,0))&amp;"",""))</f>
        <v/>
      </c>
      <c r="H655" s="32">
        <f>IF(AND(A655="",C655="",D655=""),"",IF(D655="","Manca l'importo",IF(NOT(ISNUMBER(D655)),"Importo non valido",IF(NOT(ISNUMBER(A655)),"Data mancante o non valida",IF(YEAR(A655)&lt;&gt;Impostazioni!$C$4,"Fuori dall'anno",IF(C655="","Manca la categoria",IF(ISNA(MATCH(C655,Categorie!$A$6:$A$65,0)),"Categoria non trovata",IF(G655="","Categoria senza tipo",""))))))))</f>
        <v/>
      </c>
    </row>
    <row r="656">
      <c r="A656" s="29" t="n"/>
      <c r="B656" s="17" t="n"/>
      <c r="C656" s="17" t="n"/>
      <c r="D656" s="16" t="n"/>
      <c r="E656" s="30" t="n"/>
      <c r="F656" s="17" t="n"/>
      <c r="G656" s="31">
        <f>IF(C656="","",IFERROR(INDEX(Categorie!$B$6:$B$65,MATCH(C656,Categorie!$A$6:$A$65,0))&amp;"",""))</f>
        <v/>
      </c>
      <c r="H656" s="32">
        <f>IF(AND(A656="",C656="",D656=""),"",IF(D656="","Manca l'importo",IF(NOT(ISNUMBER(D656)),"Importo non valido",IF(NOT(ISNUMBER(A656)),"Data mancante o non valida",IF(YEAR(A656)&lt;&gt;Impostazioni!$C$4,"Fuori dall'anno",IF(C656="","Manca la categoria",IF(ISNA(MATCH(C656,Categorie!$A$6:$A$65,0)),"Categoria non trovata",IF(G656="","Categoria senza tipo",""))))))))</f>
        <v/>
      </c>
    </row>
    <row r="657">
      <c r="A657" s="29" t="n"/>
      <c r="B657" s="17" t="n"/>
      <c r="C657" s="17" t="n"/>
      <c r="D657" s="16" t="n"/>
      <c r="E657" s="30" t="n"/>
      <c r="F657" s="17" t="n"/>
      <c r="G657" s="31">
        <f>IF(C657="","",IFERROR(INDEX(Categorie!$B$6:$B$65,MATCH(C657,Categorie!$A$6:$A$65,0))&amp;"",""))</f>
        <v/>
      </c>
      <c r="H657" s="32">
        <f>IF(AND(A657="",C657="",D657=""),"",IF(D657="","Manca l'importo",IF(NOT(ISNUMBER(D657)),"Importo non valido",IF(NOT(ISNUMBER(A657)),"Data mancante o non valida",IF(YEAR(A657)&lt;&gt;Impostazioni!$C$4,"Fuori dall'anno",IF(C657="","Manca la categoria",IF(ISNA(MATCH(C657,Categorie!$A$6:$A$65,0)),"Categoria non trovata",IF(G657="","Categoria senza tipo",""))))))))</f>
        <v/>
      </c>
    </row>
    <row r="658">
      <c r="A658" s="29" t="n"/>
      <c r="B658" s="17" t="n"/>
      <c r="C658" s="17" t="n"/>
      <c r="D658" s="16" t="n"/>
      <c r="E658" s="30" t="n"/>
      <c r="F658" s="17" t="n"/>
      <c r="G658" s="31">
        <f>IF(C658="","",IFERROR(INDEX(Categorie!$B$6:$B$65,MATCH(C658,Categorie!$A$6:$A$65,0))&amp;"",""))</f>
        <v/>
      </c>
      <c r="H658" s="32">
        <f>IF(AND(A658="",C658="",D658=""),"",IF(D658="","Manca l'importo",IF(NOT(ISNUMBER(D658)),"Importo non valido",IF(NOT(ISNUMBER(A658)),"Data mancante o non valida",IF(YEAR(A658)&lt;&gt;Impostazioni!$C$4,"Fuori dall'anno",IF(C658="","Manca la categoria",IF(ISNA(MATCH(C658,Categorie!$A$6:$A$65,0)),"Categoria non trovata",IF(G658="","Categoria senza tipo",""))))))))</f>
        <v/>
      </c>
    </row>
    <row r="659">
      <c r="A659" s="29" t="n"/>
      <c r="B659" s="17" t="n"/>
      <c r="C659" s="17" t="n"/>
      <c r="D659" s="16" t="n"/>
      <c r="E659" s="30" t="n"/>
      <c r="F659" s="17" t="n"/>
      <c r="G659" s="31">
        <f>IF(C659="","",IFERROR(INDEX(Categorie!$B$6:$B$65,MATCH(C659,Categorie!$A$6:$A$65,0))&amp;"",""))</f>
        <v/>
      </c>
      <c r="H659" s="32">
        <f>IF(AND(A659="",C659="",D659=""),"",IF(D659="","Manca l'importo",IF(NOT(ISNUMBER(D659)),"Importo non valido",IF(NOT(ISNUMBER(A659)),"Data mancante o non valida",IF(YEAR(A659)&lt;&gt;Impostazioni!$C$4,"Fuori dall'anno",IF(C659="","Manca la categoria",IF(ISNA(MATCH(C659,Categorie!$A$6:$A$65,0)),"Categoria non trovata",IF(G659="","Categoria senza tipo",""))))))))</f>
        <v/>
      </c>
    </row>
    <row r="660">
      <c r="A660" s="29" t="n"/>
      <c r="B660" s="17" t="n"/>
      <c r="C660" s="17" t="n"/>
      <c r="D660" s="16" t="n"/>
      <c r="E660" s="30" t="n"/>
      <c r="F660" s="17" t="n"/>
      <c r="G660" s="31">
        <f>IF(C660="","",IFERROR(INDEX(Categorie!$B$6:$B$65,MATCH(C660,Categorie!$A$6:$A$65,0))&amp;"",""))</f>
        <v/>
      </c>
      <c r="H660" s="32">
        <f>IF(AND(A660="",C660="",D660=""),"",IF(D660="","Manca l'importo",IF(NOT(ISNUMBER(D660)),"Importo non valido",IF(NOT(ISNUMBER(A660)),"Data mancante o non valida",IF(YEAR(A660)&lt;&gt;Impostazioni!$C$4,"Fuori dall'anno",IF(C660="","Manca la categoria",IF(ISNA(MATCH(C660,Categorie!$A$6:$A$65,0)),"Categoria non trovata",IF(G660="","Categoria senza tipo",""))))))))</f>
        <v/>
      </c>
    </row>
    <row r="661">
      <c r="A661" s="29" t="n"/>
      <c r="B661" s="17" t="n"/>
      <c r="C661" s="17" t="n"/>
      <c r="D661" s="16" t="n"/>
      <c r="E661" s="30" t="n"/>
      <c r="F661" s="17" t="n"/>
      <c r="G661" s="31">
        <f>IF(C661="","",IFERROR(INDEX(Categorie!$B$6:$B$65,MATCH(C661,Categorie!$A$6:$A$65,0))&amp;"",""))</f>
        <v/>
      </c>
      <c r="H661" s="32">
        <f>IF(AND(A661="",C661="",D661=""),"",IF(D661="","Manca l'importo",IF(NOT(ISNUMBER(D661)),"Importo non valido",IF(NOT(ISNUMBER(A661)),"Data mancante o non valida",IF(YEAR(A661)&lt;&gt;Impostazioni!$C$4,"Fuori dall'anno",IF(C661="","Manca la categoria",IF(ISNA(MATCH(C661,Categorie!$A$6:$A$65,0)),"Categoria non trovata",IF(G661="","Categoria senza tipo",""))))))))</f>
        <v/>
      </c>
    </row>
    <row r="662">
      <c r="A662" s="29" t="n"/>
      <c r="B662" s="17" t="n"/>
      <c r="C662" s="17" t="n"/>
      <c r="D662" s="16" t="n"/>
      <c r="E662" s="30" t="n"/>
      <c r="F662" s="17" t="n"/>
      <c r="G662" s="31">
        <f>IF(C662="","",IFERROR(INDEX(Categorie!$B$6:$B$65,MATCH(C662,Categorie!$A$6:$A$65,0))&amp;"",""))</f>
        <v/>
      </c>
      <c r="H662" s="32">
        <f>IF(AND(A662="",C662="",D662=""),"",IF(D662="","Manca l'importo",IF(NOT(ISNUMBER(D662)),"Importo non valido",IF(NOT(ISNUMBER(A662)),"Data mancante o non valida",IF(YEAR(A662)&lt;&gt;Impostazioni!$C$4,"Fuori dall'anno",IF(C662="","Manca la categoria",IF(ISNA(MATCH(C662,Categorie!$A$6:$A$65,0)),"Categoria non trovata",IF(G662="","Categoria senza tipo",""))))))))</f>
        <v/>
      </c>
    </row>
    <row r="663">
      <c r="A663" s="29" t="n"/>
      <c r="B663" s="17" t="n"/>
      <c r="C663" s="17" t="n"/>
      <c r="D663" s="16" t="n"/>
      <c r="E663" s="30" t="n"/>
      <c r="F663" s="17" t="n"/>
      <c r="G663" s="31">
        <f>IF(C663="","",IFERROR(INDEX(Categorie!$B$6:$B$65,MATCH(C663,Categorie!$A$6:$A$65,0))&amp;"",""))</f>
        <v/>
      </c>
      <c r="H663" s="32">
        <f>IF(AND(A663="",C663="",D663=""),"",IF(D663="","Manca l'importo",IF(NOT(ISNUMBER(D663)),"Importo non valido",IF(NOT(ISNUMBER(A663)),"Data mancante o non valida",IF(YEAR(A663)&lt;&gt;Impostazioni!$C$4,"Fuori dall'anno",IF(C663="","Manca la categoria",IF(ISNA(MATCH(C663,Categorie!$A$6:$A$65,0)),"Categoria non trovata",IF(G663="","Categoria senza tipo",""))))))))</f>
        <v/>
      </c>
    </row>
    <row r="664">
      <c r="A664" s="29" t="n"/>
      <c r="B664" s="17" t="n"/>
      <c r="C664" s="17" t="n"/>
      <c r="D664" s="16" t="n"/>
      <c r="E664" s="30" t="n"/>
      <c r="F664" s="17" t="n"/>
      <c r="G664" s="31">
        <f>IF(C664="","",IFERROR(INDEX(Categorie!$B$6:$B$65,MATCH(C664,Categorie!$A$6:$A$65,0))&amp;"",""))</f>
        <v/>
      </c>
      <c r="H664" s="32">
        <f>IF(AND(A664="",C664="",D664=""),"",IF(D664="","Manca l'importo",IF(NOT(ISNUMBER(D664)),"Importo non valido",IF(NOT(ISNUMBER(A664)),"Data mancante o non valida",IF(YEAR(A664)&lt;&gt;Impostazioni!$C$4,"Fuori dall'anno",IF(C664="","Manca la categoria",IF(ISNA(MATCH(C664,Categorie!$A$6:$A$65,0)),"Categoria non trovata",IF(G664="","Categoria senza tipo",""))))))))</f>
        <v/>
      </c>
    </row>
    <row r="665">
      <c r="A665" s="29" t="n"/>
      <c r="B665" s="17" t="n"/>
      <c r="C665" s="17" t="n"/>
      <c r="D665" s="16" t="n"/>
      <c r="E665" s="30" t="n"/>
      <c r="F665" s="17" t="n"/>
      <c r="G665" s="31">
        <f>IF(C665="","",IFERROR(INDEX(Categorie!$B$6:$B$65,MATCH(C665,Categorie!$A$6:$A$65,0))&amp;"",""))</f>
        <v/>
      </c>
      <c r="H665" s="32">
        <f>IF(AND(A665="",C665="",D665=""),"",IF(D665="","Manca l'importo",IF(NOT(ISNUMBER(D665)),"Importo non valido",IF(NOT(ISNUMBER(A665)),"Data mancante o non valida",IF(YEAR(A665)&lt;&gt;Impostazioni!$C$4,"Fuori dall'anno",IF(C665="","Manca la categoria",IF(ISNA(MATCH(C665,Categorie!$A$6:$A$65,0)),"Categoria non trovata",IF(G665="","Categoria senza tipo",""))))))))</f>
        <v/>
      </c>
    </row>
    <row r="666">
      <c r="A666" s="29" t="n"/>
      <c r="B666" s="17" t="n"/>
      <c r="C666" s="17" t="n"/>
      <c r="D666" s="16" t="n"/>
      <c r="E666" s="30" t="n"/>
      <c r="F666" s="17" t="n"/>
      <c r="G666" s="31">
        <f>IF(C666="","",IFERROR(INDEX(Categorie!$B$6:$B$65,MATCH(C666,Categorie!$A$6:$A$65,0))&amp;"",""))</f>
        <v/>
      </c>
      <c r="H666" s="32">
        <f>IF(AND(A666="",C666="",D666=""),"",IF(D666="","Manca l'importo",IF(NOT(ISNUMBER(D666)),"Importo non valido",IF(NOT(ISNUMBER(A666)),"Data mancante o non valida",IF(YEAR(A666)&lt;&gt;Impostazioni!$C$4,"Fuori dall'anno",IF(C666="","Manca la categoria",IF(ISNA(MATCH(C666,Categorie!$A$6:$A$65,0)),"Categoria non trovata",IF(G666="","Categoria senza tipo",""))))))))</f>
        <v/>
      </c>
    </row>
    <row r="667">
      <c r="A667" s="29" t="n"/>
      <c r="B667" s="17" t="n"/>
      <c r="C667" s="17" t="n"/>
      <c r="D667" s="16" t="n"/>
      <c r="E667" s="30" t="n"/>
      <c r="F667" s="17" t="n"/>
      <c r="G667" s="31">
        <f>IF(C667="","",IFERROR(INDEX(Categorie!$B$6:$B$65,MATCH(C667,Categorie!$A$6:$A$65,0))&amp;"",""))</f>
        <v/>
      </c>
      <c r="H667" s="32">
        <f>IF(AND(A667="",C667="",D667=""),"",IF(D667="","Manca l'importo",IF(NOT(ISNUMBER(D667)),"Importo non valido",IF(NOT(ISNUMBER(A667)),"Data mancante o non valida",IF(YEAR(A667)&lt;&gt;Impostazioni!$C$4,"Fuori dall'anno",IF(C667="","Manca la categoria",IF(ISNA(MATCH(C667,Categorie!$A$6:$A$65,0)),"Categoria non trovata",IF(G667="","Categoria senza tipo",""))))))))</f>
        <v/>
      </c>
    </row>
    <row r="668">
      <c r="A668" s="29" t="n"/>
      <c r="B668" s="17" t="n"/>
      <c r="C668" s="17" t="n"/>
      <c r="D668" s="16" t="n"/>
      <c r="E668" s="30" t="n"/>
      <c r="F668" s="17" t="n"/>
      <c r="G668" s="31">
        <f>IF(C668="","",IFERROR(INDEX(Categorie!$B$6:$B$65,MATCH(C668,Categorie!$A$6:$A$65,0))&amp;"",""))</f>
        <v/>
      </c>
      <c r="H668" s="32">
        <f>IF(AND(A668="",C668="",D668=""),"",IF(D668="","Manca l'importo",IF(NOT(ISNUMBER(D668)),"Importo non valido",IF(NOT(ISNUMBER(A668)),"Data mancante o non valida",IF(YEAR(A668)&lt;&gt;Impostazioni!$C$4,"Fuori dall'anno",IF(C668="","Manca la categoria",IF(ISNA(MATCH(C668,Categorie!$A$6:$A$65,0)),"Categoria non trovata",IF(G668="","Categoria senza tipo",""))))))))</f>
        <v/>
      </c>
    </row>
    <row r="669">
      <c r="A669" s="29" t="n"/>
      <c r="B669" s="17" t="n"/>
      <c r="C669" s="17" t="n"/>
      <c r="D669" s="16" t="n"/>
      <c r="E669" s="30" t="n"/>
      <c r="F669" s="17" t="n"/>
      <c r="G669" s="31">
        <f>IF(C669="","",IFERROR(INDEX(Categorie!$B$6:$B$65,MATCH(C669,Categorie!$A$6:$A$65,0))&amp;"",""))</f>
        <v/>
      </c>
      <c r="H669" s="32">
        <f>IF(AND(A669="",C669="",D669=""),"",IF(D669="","Manca l'importo",IF(NOT(ISNUMBER(D669)),"Importo non valido",IF(NOT(ISNUMBER(A669)),"Data mancante o non valida",IF(YEAR(A669)&lt;&gt;Impostazioni!$C$4,"Fuori dall'anno",IF(C669="","Manca la categoria",IF(ISNA(MATCH(C669,Categorie!$A$6:$A$65,0)),"Categoria non trovata",IF(G669="","Categoria senza tipo",""))))))))</f>
        <v/>
      </c>
    </row>
    <row r="670">
      <c r="A670" s="29" t="n"/>
      <c r="B670" s="17" t="n"/>
      <c r="C670" s="17" t="n"/>
      <c r="D670" s="16" t="n"/>
      <c r="E670" s="30" t="n"/>
      <c r="F670" s="17" t="n"/>
      <c r="G670" s="31">
        <f>IF(C670="","",IFERROR(INDEX(Categorie!$B$6:$B$65,MATCH(C670,Categorie!$A$6:$A$65,0))&amp;"",""))</f>
        <v/>
      </c>
      <c r="H670" s="32">
        <f>IF(AND(A670="",C670="",D670=""),"",IF(D670="","Manca l'importo",IF(NOT(ISNUMBER(D670)),"Importo non valido",IF(NOT(ISNUMBER(A670)),"Data mancante o non valida",IF(YEAR(A670)&lt;&gt;Impostazioni!$C$4,"Fuori dall'anno",IF(C670="","Manca la categoria",IF(ISNA(MATCH(C670,Categorie!$A$6:$A$65,0)),"Categoria non trovata",IF(G670="","Categoria senza tipo",""))))))))</f>
        <v/>
      </c>
    </row>
    <row r="671">
      <c r="A671" s="29" t="n"/>
      <c r="B671" s="17" t="n"/>
      <c r="C671" s="17" t="n"/>
      <c r="D671" s="16" t="n"/>
      <c r="E671" s="30" t="n"/>
      <c r="F671" s="17" t="n"/>
      <c r="G671" s="31">
        <f>IF(C671="","",IFERROR(INDEX(Categorie!$B$6:$B$65,MATCH(C671,Categorie!$A$6:$A$65,0))&amp;"",""))</f>
        <v/>
      </c>
      <c r="H671" s="32">
        <f>IF(AND(A671="",C671="",D671=""),"",IF(D671="","Manca l'importo",IF(NOT(ISNUMBER(D671)),"Importo non valido",IF(NOT(ISNUMBER(A671)),"Data mancante o non valida",IF(YEAR(A671)&lt;&gt;Impostazioni!$C$4,"Fuori dall'anno",IF(C671="","Manca la categoria",IF(ISNA(MATCH(C671,Categorie!$A$6:$A$65,0)),"Categoria non trovata",IF(G671="","Categoria senza tipo",""))))))))</f>
        <v/>
      </c>
    </row>
    <row r="672">
      <c r="A672" s="29" t="n"/>
      <c r="B672" s="17" t="n"/>
      <c r="C672" s="17" t="n"/>
      <c r="D672" s="16" t="n"/>
      <c r="E672" s="30" t="n"/>
      <c r="F672" s="17" t="n"/>
      <c r="G672" s="31">
        <f>IF(C672="","",IFERROR(INDEX(Categorie!$B$6:$B$65,MATCH(C672,Categorie!$A$6:$A$65,0))&amp;"",""))</f>
        <v/>
      </c>
      <c r="H672" s="32">
        <f>IF(AND(A672="",C672="",D672=""),"",IF(D672="","Manca l'importo",IF(NOT(ISNUMBER(D672)),"Importo non valido",IF(NOT(ISNUMBER(A672)),"Data mancante o non valida",IF(YEAR(A672)&lt;&gt;Impostazioni!$C$4,"Fuori dall'anno",IF(C672="","Manca la categoria",IF(ISNA(MATCH(C672,Categorie!$A$6:$A$65,0)),"Categoria non trovata",IF(G672="","Categoria senza tipo",""))))))))</f>
        <v/>
      </c>
    </row>
    <row r="673">
      <c r="A673" s="29" t="n"/>
      <c r="B673" s="17" t="n"/>
      <c r="C673" s="17" t="n"/>
      <c r="D673" s="16" t="n"/>
      <c r="E673" s="30" t="n"/>
      <c r="F673" s="17" t="n"/>
      <c r="G673" s="31">
        <f>IF(C673="","",IFERROR(INDEX(Categorie!$B$6:$B$65,MATCH(C673,Categorie!$A$6:$A$65,0))&amp;"",""))</f>
        <v/>
      </c>
      <c r="H673" s="32">
        <f>IF(AND(A673="",C673="",D673=""),"",IF(D673="","Manca l'importo",IF(NOT(ISNUMBER(D673)),"Importo non valido",IF(NOT(ISNUMBER(A673)),"Data mancante o non valida",IF(YEAR(A673)&lt;&gt;Impostazioni!$C$4,"Fuori dall'anno",IF(C673="","Manca la categoria",IF(ISNA(MATCH(C673,Categorie!$A$6:$A$65,0)),"Categoria non trovata",IF(G673="","Categoria senza tipo",""))))))))</f>
        <v/>
      </c>
    </row>
    <row r="674">
      <c r="A674" s="29" t="n"/>
      <c r="B674" s="17" t="n"/>
      <c r="C674" s="17" t="n"/>
      <c r="D674" s="16" t="n"/>
      <c r="E674" s="30" t="n"/>
      <c r="F674" s="17" t="n"/>
      <c r="G674" s="31">
        <f>IF(C674="","",IFERROR(INDEX(Categorie!$B$6:$B$65,MATCH(C674,Categorie!$A$6:$A$65,0))&amp;"",""))</f>
        <v/>
      </c>
      <c r="H674" s="32">
        <f>IF(AND(A674="",C674="",D674=""),"",IF(D674="","Manca l'importo",IF(NOT(ISNUMBER(D674)),"Importo non valido",IF(NOT(ISNUMBER(A674)),"Data mancante o non valida",IF(YEAR(A674)&lt;&gt;Impostazioni!$C$4,"Fuori dall'anno",IF(C674="","Manca la categoria",IF(ISNA(MATCH(C674,Categorie!$A$6:$A$65,0)),"Categoria non trovata",IF(G674="","Categoria senza tipo",""))))))))</f>
        <v/>
      </c>
    </row>
    <row r="675">
      <c r="A675" s="29" t="n"/>
      <c r="B675" s="17" t="n"/>
      <c r="C675" s="17" t="n"/>
      <c r="D675" s="16" t="n"/>
      <c r="E675" s="30" t="n"/>
      <c r="F675" s="17" t="n"/>
      <c r="G675" s="31">
        <f>IF(C675="","",IFERROR(INDEX(Categorie!$B$6:$B$65,MATCH(C675,Categorie!$A$6:$A$65,0))&amp;"",""))</f>
        <v/>
      </c>
      <c r="H675" s="32">
        <f>IF(AND(A675="",C675="",D675=""),"",IF(D675="","Manca l'importo",IF(NOT(ISNUMBER(D675)),"Importo non valido",IF(NOT(ISNUMBER(A675)),"Data mancante o non valida",IF(YEAR(A675)&lt;&gt;Impostazioni!$C$4,"Fuori dall'anno",IF(C675="","Manca la categoria",IF(ISNA(MATCH(C675,Categorie!$A$6:$A$65,0)),"Categoria non trovata",IF(G675="","Categoria senza tipo",""))))))))</f>
        <v/>
      </c>
    </row>
    <row r="676">
      <c r="A676" s="29" t="n"/>
      <c r="B676" s="17" t="n"/>
      <c r="C676" s="17" t="n"/>
      <c r="D676" s="16" t="n"/>
      <c r="E676" s="30" t="n"/>
      <c r="F676" s="17" t="n"/>
      <c r="G676" s="31">
        <f>IF(C676="","",IFERROR(INDEX(Categorie!$B$6:$B$65,MATCH(C676,Categorie!$A$6:$A$65,0))&amp;"",""))</f>
        <v/>
      </c>
      <c r="H676" s="32">
        <f>IF(AND(A676="",C676="",D676=""),"",IF(D676="","Manca l'importo",IF(NOT(ISNUMBER(D676)),"Importo non valido",IF(NOT(ISNUMBER(A676)),"Data mancante o non valida",IF(YEAR(A676)&lt;&gt;Impostazioni!$C$4,"Fuori dall'anno",IF(C676="","Manca la categoria",IF(ISNA(MATCH(C676,Categorie!$A$6:$A$65,0)),"Categoria non trovata",IF(G676="","Categoria senza tipo",""))))))))</f>
        <v/>
      </c>
    </row>
    <row r="677">
      <c r="A677" s="29" t="n"/>
      <c r="B677" s="17" t="n"/>
      <c r="C677" s="17" t="n"/>
      <c r="D677" s="16" t="n"/>
      <c r="E677" s="30" t="n"/>
      <c r="F677" s="17" t="n"/>
      <c r="G677" s="31">
        <f>IF(C677="","",IFERROR(INDEX(Categorie!$B$6:$B$65,MATCH(C677,Categorie!$A$6:$A$65,0))&amp;"",""))</f>
        <v/>
      </c>
      <c r="H677" s="32">
        <f>IF(AND(A677="",C677="",D677=""),"",IF(D677="","Manca l'importo",IF(NOT(ISNUMBER(D677)),"Importo non valido",IF(NOT(ISNUMBER(A677)),"Data mancante o non valida",IF(YEAR(A677)&lt;&gt;Impostazioni!$C$4,"Fuori dall'anno",IF(C677="","Manca la categoria",IF(ISNA(MATCH(C677,Categorie!$A$6:$A$65,0)),"Categoria non trovata",IF(G677="","Categoria senza tipo",""))))))))</f>
        <v/>
      </c>
    </row>
    <row r="678">
      <c r="A678" s="29" t="n"/>
      <c r="B678" s="17" t="n"/>
      <c r="C678" s="17" t="n"/>
      <c r="D678" s="16" t="n"/>
      <c r="E678" s="30" t="n"/>
      <c r="F678" s="17" t="n"/>
      <c r="G678" s="31">
        <f>IF(C678="","",IFERROR(INDEX(Categorie!$B$6:$B$65,MATCH(C678,Categorie!$A$6:$A$65,0))&amp;"",""))</f>
        <v/>
      </c>
      <c r="H678" s="32">
        <f>IF(AND(A678="",C678="",D678=""),"",IF(D678="","Manca l'importo",IF(NOT(ISNUMBER(D678)),"Importo non valido",IF(NOT(ISNUMBER(A678)),"Data mancante o non valida",IF(YEAR(A678)&lt;&gt;Impostazioni!$C$4,"Fuori dall'anno",IF(C678="","Manca la categoria",IF(ISNA(MATCH(C678,Categorie!$A$6:$A$65,0)),"Categoria non trovata",IF(G678="","Categoria senza tipo",""))))))))</f>
        <v/>
      </c>
    </row>
    <row r="679">
      <c r="A679" s="29" t="n"/>
      <c r="B679" s="17" t="n"/>
      <c r="C679" s="17" t="n"/>
      <c r="D679" s="16" t="n"/>
      <c r="E679" s="30" t="n"/>
      <c r="F679" s="17" t="n"/>
      <c r="G679" s="31">
        <f>IF(C679="","",IFERROR(INDEX(Categorie!$B$6:$B$65,MATCH(C679,Categorie!$A$6:$A$65,0))&amp;"",""))</f>
        <v/>
      </c>
      <c r="H679" s="32">
        <f>IF(AND(A679="",C679="",D679=""),"",IF(D679="","Manca l'importo",IF(NOT(ISNUMBER(D679)),"Importo non valido",IF(NOT(ISNUMBER(A679)),"Data mancante o non valida",IF(YEAR(A679)&lt;&gt;Impostazioni!$C$4,"Fuori dall'anno",IF(C679="","Manca la categoria",IF(ISNA(MATCH(C679,Categorie!$A$6:$A$65,0)),"Categoria non trovata",IF(G679="","Categoria senza tipo",""))))))))</f>
        <v/>
      </c>
    </row>
    <row r="680">
      <c r="A680" s="29" t="n"/>
      <c r="B680" s="17" t="n"/>
      <c r="C680" s="17" t="n"/>
      <c r="D680" s="16" t="n"/>
      <c r="E680" s="30" t="n"/>
      <c r="F680" s="17" t="n"/>
      <c r="G680" s="31">
        <f>IF(C680="","",IFERROR(INDEX(Categorie!$B$6:$B$65,MATCH(C680,Categorie!$A$6:$A$65,0))&amp;"",""))</f>
        <v/>
      </c>
      <c r="H680" s="32">
        <f>IF(AND(A680="",C680="",D680=""),"",IF(D680="","Manca l'importo",IF(NOT(ISNUMBER(D680)),"Importo non valido",IF(NOT(ISNUMBER(A680)),"Data mancante o non valida",IF(YEAR(A680)&lt;&gt;Impostazioni!$C$4,"Fuori dall'anno",IF(C680="","Manca la categoria",IF(ISNA(MATCH(C680,Categorie!$A$6:$A$65,0)),"Categoria non trovata",IF(G680="","Categoria senza tipo",""))))))))</f>
        <v/>
      </c>
    </row>
    <row r="681">
      <c r="A681" s="29" t="n"/>
      <c r="B681" s="17" t="n"/>
      <c r="C681" s="17" t="n"/>
      <c r="D681" s="16" t="n"/>
      <c r="E681" s="30" t="n"/>
      <c r="F681" s="17" t="n"/>
      <c r="G681" s="31">
        <f>IF(C681="","",IFERROR(INDEX(Categorie!$B$6:$B$65,MATCH(C681,Categorie!$A$6:$A$65,0))&amp;"",""))</f>
        <v/>
      </c>
      <c r="H681" s="32">
        <f>IF(AND(A681="",C681="",D681=""),"",IF(D681="","Manca l'importo",IF(NOT(ISNUMBER(D681)),"Importo non valido",IF(NOT(ISNUMBER(A681)),"Data mancante o non valida",IF(YEAR(A681)&lt;&gt;Impostazioni!$C$4,"Fuori dall'anno",IF(C681="","Manca la categoria",IF(ISNA(MATCH(C681,Categorie!$A$6:$A$65,0)),"Categoria non trovata",IF(G681="","Categoria senza tipo",""))))))))</f>
        <v/>
      </c>
    </row>
    <row r="682">
      <c r="A682" s="29" t="n"/>
      <c r="B682" s="17" t="n"/>
      <c r="C682" s="17" t="n"/>
      <c r="D682" s="16" t="n"/>
      <c r="E682" s="30" t="n"/>
      <c r="F682" s="17" t="n"/>
      <c r="G682" s="31">
        <f>IF(C682="","",IFERROR(INDEX(Categorie!$B$6:$B$65,MATCH(C682,Categorie!$A$6:$A$65,0))&amp;"",""))</f>
        <v/>
      </c>
      <c r="H682" s="32">
        <f>IF(AND(A682="",C682="",D682=""),"",IF(D682="","Manca l'importo",IF(NOT(ISNUMBER(D682)),"Importo non valido",IF(NOT(ISNUMBER(A682)),"Data mancante o non valida",IF(YEAR(A682)&lt;&gt;Impostazioni!$C$4,"Fuori dall'anno",IF(C682="","Manca la categoria",IF(ISNA(MATCH(C682,Categorie!$A$6:$A$65,0)),"Categoria non trovata",IF(G682="","Categoria senza tipo",""))))))))</f>
        <v/>
      </c>
    </row>
    <row r="683">
      <c r="A683" s="29" t="n"/>
      <c r="B683" s="17" t="n"/>
      <c r="C683" s="17" t="n"/>
      <c r="D683" s="16" t="n"/>
      <c r="E683" s="30" t="n"/>
      <c r="F683" s="17" t="n"/>
      <c r="G683" s="31">
        <f>IF(C683="","",IFERROR(INDEX(Categorie!$B$6:$B$65,MATCH(C683,Categorie!$A$6:$A$65,0))&amp;"",""))</f>
        <v/>
      </c>
      <c r="H683" s="32">
        <f>IF(AND(A683="",C683="",D683=""),"",IF(D683="","Manca l'importo",IF(NOT(ISNUMBER(D683)),"Importo non valido",IF(NOT(ISNUMBER(A683)),"Data mancante o non valida",IF(YEAR(A683)&lt;&gt;Impostazioni!$C$4,"Fuori dall'anno",IF(C683="","Manca la categoria",IF(ISNA(MATCH(C683,Categorie!$A$6:$A$65,0)),"Categoria non trovata",IF(G683="","Categoria senza tipo",""))))))))</f>
        <v/>
      </c>
    </row>
    <row r="684">
      <c r="A684" s="29" t="n"/>
      <c r="B684" s="17" t="n"/>
      <c r="C684" s="17" t="n"/>
      <c r="D684" s="16" t="n"/>
      <c r="E684" s="30" t="n"/>
      <c r="F684" s="17" t="n"/>
      <c r="G684" s="31">
        <f>IF(C684="","",IFERROR(INDEX(Categorie!$B$6:$B$65,MATCH(C684,Categorie!$A$6:$A$65,0))&amp;"",""))</f>
        <v/>
      </c>
      <c r="H684" s="32">
        <f>IF(AND(A684="",C684="",D684=""),"",IF(D684="","Manca l'importo",IF(NOT(ISNUMBER(D684)),"Importo non valido",IF(NOT(ISNUMBER(A684)),"Data mancante o non valida",IF(YEAR(A684)&lt;&gt;Impostazioni!$C$4,"Fuori dall'anno",IF(C684="","Manca la categoria",IF(ISNA(MATCH(C684,Categorie!$A$6:$A$65,0)),"Categoria non trovata",IF(G684="","Categoria senza tipo",""))))))))</f>
        <v/>
      </c>
    </row>
    <row r="685">
      <c r="A685" s="29" t="n"/>
      <c r="B685" s="17" t="n"/>
      <c r="C685" s="17" t="n"/>
      <c r="D685" s="16" t="n"/>
      <c r="E685" s="30" t="n"/>
      <c r="F685" s="17" t="n"/>
      <c r="G685" s="31">
        <f>IF(C685="","",IFERROR(INDEX(Categorie!$B$6:$B$65,MATCH(C685,Categorie!$A$6:$A$65,0))&amp;"",""))</f>
        <v/>
      </c>
      <c r="H685" s="32">
        <f>IF(AND(A685="",C685="",D685=""),"",IF(D685="","Manca l'importo",IF(NOT(ISNUMBER(D685)),"Importo non valido",IF(NOT(ISNUMBER(A685)),"Data mancante o non valida",IF(YEAR(A685)&lt;&gt;Impostazioni!$C$4,"Fuori dall'anno",IF(C685="","Manca la categoria",IF(ISNA(MATCH(C685,Categorie!$A$6:$A$65,0)),"Categoria non trovata",IF(G685="","Categoria senza tipo",""))))))))</f>
        <v/>
      </c>
    </row>
    <row r="686">
      <c r="A686" s="29" t="n"/>
      <c r="B686" s="17" t="n"/>
      <c r="C686" s="17" t="n"/>
      <c r="D686" s="16" t="n"/>
      <c r="E686" s="30" t="n"/>
      <c r="F686" s="17" t="n"/>
      <c r="G686" s="31">
        <f>IF(C686="","",IFERROR(INDEX(Categorie!$B$6:$B$65,MATCH(C686,Categorie!$A$6:$A$65,0))&amp;"",""))</f>
        <v/>
      </c>
      <c r="H686" s="32">
        <f>IF(AND(A686="",C686="",D686=""),"",IF(D686="","Manca l'importo",IF(NOT(ISNUMBER(D686)),"Importo non valido",IF(NOT(ISNUMBER(A686)),"Data mancante o non valida",IF(YEAR(A686)&lt;&gt;Impostazioni!$C$4,"Fuori dall'anno",IF(C686="","Manca la categoria",IF(ISNA(MATCH(C686,Categorie!$A$6:$A$65,0)),"Categoria non trovata",IF(G686="","Categoria senza tipo",""))))))))</f>
        <v/>
      </c>
    </row>
    <row r="687">
      <c r="A687" s="29" t="n"/>
      <c r="B687" s="17" t="n"/>
      <c r="C687" s="17" t="n"/>
      <c r="D687" s="16" t="n"/>
      <c r="E687" s="30" t="n"/>
      <c r="F687" s="17" t="n"/>
      <c r="G687" s="31">
        <f>IF(C687="","",IFERROR(INDEX(Categorie!$B$6:$B$65,MATCH(C687,Categorie!$A$6:$A$65,0))&amp;"",""))</f>
        <v/>
      </c>
      <c r="H687" s="32">
        <f>IF(AND(A687="",C687="",D687=""),"",IF(D687="","Manca l'importo",IF(NOT(ISNUMBER(D687)),"Importo non valido",IF(NOT(ISNUMBER(A687)),"Data mancante o non valida",IF(YEAR(A687)&lt;&gt;Impostazioni!$C$4,"Fuori dall'anno",IF(C687="","Manca la categoria",IF(ISNA(MATCH(C687,Categorie!$A$6:$A$65,0)),"Categoria non trovata",IF(G687="","Categoria senza tipo",""))))))))</f>
        <v/>
      </c>
    </row>
    <row r="688">
      <c r="A688" s="29" t="n"/>
      <c r="B688" s="17" t="n"/>
      <c r="C688" s="17" t="n"/>
      <c r="D688" s="16" t="n"/>
      <c r="E688" s="30" t="n"/>
      <c r="F688" s="17" t="n"/>
      <c r="G688" s="31">
        <f>IF(C688="","",IFERROR(INDEX(Categorie!$B$6:$B$65,MATCH(C688,Categorie!$A$6:$A$65,0))&amp;"",""))</f>
        <v/>
      </c>
      <c r="H688" s="32">
        <f>IF(AND(A688="",C688="",D688=""),"",IF(D688="","Manca l'importo",IF(NOT(ISNUMBER(D688)),"Importo non valido",IF(NOT(ISNUMBER(A688)),"Data mancante o non valida",IF(YEAR(A688)&lt;&gt;Impostazioni!$C$4,"Fuori dall'anno",IF(C688="","Manca la categoria",IF(ISNA(MATCH(C688,Categorie!$A$6:$A$65,0)),"Categoria non trovata",IF(G688="","Categoria senza tipo",""))))))))</f>
        <v/>
      </c>
    </row>
    <row r="689">
      <c r="A689" s="29" t="n"/>
      <c r="B689" s="17" t="n"/>
      <c r="C689" s="17" t="n"/>
      <c r="D689" s="16" t="n"/>
      <c r="E689" s="30" t="n"/>
      <c r="F689" s="17" t="n"/>
      <c r="G689" s="31">
        <f>IF(C689="","",IFERROR(INDEX(Categorie!$B$6:$B$65,MATCH(C689,Categorie!$A$6:$A$65,0))&amp;"",""))</f>
        <v/>
      </c>
      <c r="H689" s="32">
        <f>IF(AND(A689="",C689="",D689=""),"",IF(D689="","Manca l'importo",IF(NOT(ISNUMBER(D689)),"Importo non valido",IF(NOT(ISNUMBER(A689)),"Data mancante o non valida",IF(YEAR(A689)&lt;&gt;Impostazioni!$C$4,"Fuori dall'anno",IF(C689="","Manca la categoria",IF(ISNA(MATCH(C689,Categorie!$A$6:$A$65,0)),"Categoria non trovata",IF(G689="","Categoria senza tipo",""))))))))</f>
        <v/>
      </c>
    </row>
    <row r="690">
      <c r="A690" s="29" t="n"/>
      <c r="B690" s="17" t="n"/>
      <c r="C690" s="17" t="n"/>
      <c r="D690" s="16" t="n"/>
      <c r="E690" s="30" t="n"/>
      <c r="F690" s="17" t="n"/>
      <c r="G690" s="31">
        <f>IF(C690="","",IFERROR(INDEX(Categorie!$B$6:$B$65,MATCH(C690,Categorie!$A$6:$A$65,0))&amp;"",""))</f>
        <v/>
      </c>
      <c r="H690" s="32">
        <f>IF(AND(A690="",C690="",D690=""),"",IF(D690="","Manca l'importo",IF(NOT(ISNUMBER(D690)),"Importo non valido",IF(NOT(ISNUMBER(A690)),"Data mancante o non valida",IF(YEAR(A690)&lt;&gt;Impostazioni!$C$4,"Fuori dall'anno",IF(C690="","Manca la categoria",IF(ISNA(MATCH(C690,Categorie!$A$6:$A$65,0)),"Categoria non trovata",IF(G690="","Categoria senza tipo",""))))))))</f>
        <v/>
      </c>
    </row>
    <row r="691">
      <c r="A691" s="29" t="n"/>
      <c r="B691" s="17" t="n"/>
      <c r="C691" s="17" t="n"/>
      <c r="D691" s="16" t="n"/>
      <c r="E691" s="30" t="n"/>
      <c r="F691" s="17" t="n"/>
      <c r="G691" s="31">
        <f>IF(C691="","",IFERROR(INDEX(Categorie!$B$6:$B$65,MATCH(C691,Categorie!$A$6:$A$65,0))&amp;"",""))</f>
        <v/>
      </c>
      <c r="H691" s="32">
        <f>IF(AND(A691="",C691="",D691=""),"",IF(D691="","Manca l'importo",IF(NOT(ISNUMBER(D691)),"Importo non valido",IF(NOT(ISNUMBER(A691)),"Data mancante o non valida",IF(YEAR(A691)&lt;&gt;Impostazioni!$C$4,"Fuori dall'anno",IF(C691="","Manca la categoria",IF(ISNA(MATCH(C691,Categorie!$A$6:$A$65,0)),"Categoria non trovata",IF(G691="","Categoria senza tipo",""))))))))</f>
        <v/>
      </c>
    </row>
    <row r="692">
      <c r="A692" s="29" t="n"/>
      <c r="B692" s="17" t="n"/>
      <c r="C692" s="17" t="n"/>
      <c r="D692" s="16" t="n"/>
      <c r="E692" s="30" t="n"/>
      <c r="F692" s="17" t="n"/>
      <c r="G692" s="31">
        <f>IF(C692="","",IFERROR(INDEX(Categorie!$B$6:$B$65,MATCH(C692,Categorie!$A$6:$A$65,0))&amp;"",""))</f>
        <v/>
      </c>
      <c r="H692" s="32">
        <f>IF(AND(A692="",C692="",D692=""),"",IF(D692="","Manca l'importo",IF(NOT(ISNUMBER(D692)),"Importo non valido",IF(NOT(ISNUMBER(A692)),"Data mancante o non valida",IF(YEAR(A692)&lt;&gt;Impostazioni!$C$4,"Fuori dall'anno",IF(C692="","Manca la categoria",IF(ISNA(MATCH(C692,Categorie!$A$6:$A$65,0)),"Categoria non trovata",IF(G692="","Categoria senza tipo",""))))))))</f>
        <v/>
      </c>
    </row>
    <row r="693">
      <c r="A693" s="29" t="n"/>
      <c r="B693" s="17" t="n"/>
      <c r="C693" s="17" t="n"/>
      <c r="D693" s="16" t="n"/>
      <c r="E693" s="30" t="n"/>
      <c r="F693" s="17" t="n"/>
      <c r="G693" s="31">
        <f>IF(C693="","",IFERROR(INDEX(Categorie!$B$6:$B$65,MATCH(C693,Categorie!$A$6:$A$65,0))&amp;"",""))</f>
        <v/>
      </c>
      <c r="H693" s="32">
        <f>IF(AND(A693="",C693="",D693=""),"",IF(D693="","Manca l'importo",IF(NOT(ISNUMBER(D693)),"Importo non valido",IF(NOT(ISNUMBER(A693)),"Data mancante o non valida",IF(YEAR(A693)&lt;&gt;Impostazioni!$C$4,"Fuori dall'anno",IF(C693="","Manca la categoria",IF(ISNA(MATCH(C693,Categorie!$A$6:$A$65,0)),"Categoria non trovata",IF(G693="","Categoria senza tipo",""))))))))</f>
        <v/>
      </c>
    </row>
    <row r="694">
      <c r="A694" s="29" t="n"/>
      <c r="B694" s="17" t="n"/>
      <c r="C694" s="17" t="n"/>
      <c r="D694" s="16" t="n"/>
      <c r="E694" s="30" t="n"/>
      <c r="F694" s="17" t="n"/>
      <c r="G694" s="31">
        <f>IF(C694="","",IFERROR(INDEX(Categorie!$B$6:$B$65,MATCH(C694,Categorie!$A$6:$A$65,0))&amp;"",""))</f>
        <v/>
      </c>
      <c r="H694" s="32">
        <f>IF(AND(A694="",C694="",D694=""),"",IF(D694="","Manca l'importo",IF(NOT(ISNUMBER(D694)),"Importo non valido",IF(NOT(ISNUMBER(A694)),"Data mancante o non valida",IF(YEAR(A694)&lt;&gt;Impostazioni!$C$4,"Fuori dall'anno",IF(C694="","Manca la categoria",IF(ISNA(MATCH(C694,Categorie!$A$6:$A$65,0)),"Categoria non trovata",IF(G694="","Categoria senza tipo",""))))))))</f>
        <v/>
      </c>
    </row>
    <row r="695">
      <c r="A695" s="29" t="n"/>
      <c r="B695" s="17" t="n"/>
      <c r="C695" s="17" t="n"/>
      <c r="D695" s="16" t="n"/>
      <c r="E695" s="30" t="n"/>
      <c r="F695" s="17" t="n"/>
      <c r="G695" s="31">
        <f>IF(C695="","",IFERROR(INDEX(Categorie!$B$6:$B$65,MATCH(C695,Categorie!$A$6:$A$65,0))&amp;"",""))</f>
        <v/>
      </c>
      <c r="H695" s="32">
        <f>IF(AND(A695="",C695="",D695=""),"",IF(D695="","Manca l'importo",IF(NOT(ISNUMBER(D695)),"Importo non valido",IF(NOT(ISNUMBER(A695)),"Data mancante o non valida",IF(YEAR(A695)&lt;&gt;Impostazioni!$C$4,"Fuori dall'anno",IF(C695="","Manca la categoria",IF(ISNA(MATCH(C695,Categorie!$A$6:$A$65,0)),"Categoria non trovata",IF(G695="","Categoria senza tipo",""))))))))</f>
        <v/>
      </c>
    </row>
    <row r="696">
      <c r="A696" s="29" t="n"/>
      <c r="B696" s="17" t="n"/>
      <c r="C696" s="17" t="n"/>
      <c r="D696" s="16" t="n"/>
      <c r="E696" s="30" t="n"/>
      <c r="F696" s="17" t="n"/>
      <c r="G696" s="31">
        <f>IF(C696="","",IFERROR(INDEX(Categorie!$B$6:$B$65,MATCH(C696,Categorie!$A$6:$A$65,0))&amp;"",""))</f>
        <v/>
      </c>
      <c r="H696" s="32">
        <f>IF(AND(A696="",C696="",D696=""),"",IF(D696="","Manca l'importo",IF(NOT(ISNUMBER(D696)),"Importo non valido",IF(NOT(ISNUMBER(A696)),"Data mancante o non valida",IF(YEAR(A696)&lt;&gt;Impostazioni!$C$4,"Fuori dall'anno",IF(C696="","Manca la categoria",IF(ISNA(MATCH(C696,Categorie!$A$6:$A$65,0)),"Categoria non trovata",IF(G696="","Categoria senza tipo",""))))))))</f>
        <v/>
      </c>
    </row>
    <row r="697">
      <c r="A697" s="29" t="n"/>
      <c r="B697" s="17" t="n"/>
      <c r="C697" s="17" t="n"/>
      <c r="D697" s="16" t="n"/>
      <c r="E697" s="30" t="n"/>
      <c r="F697" s="17" t="n"/>
      <c r="G697" s="31">
        <f>IF(C697="","",IFERROR(INDEX(Categorie!$B$6:$B$65,MATCH(C697,Categorie!$A$6:$A$65,0))&amp;"",""))</f>
        <v/>
      </c>
      <c r="H697" s="32">
        <f>IF(AND(A697="",C697="",D697=""),"",IF(D697="","Manca l'importo",IF(NOT(ISNUMBER(D697)),"Importo non valido",IF(NOT(ISNUMBER(A697)),"Data mancante o non valida",IF(YEAR(A697)&lt;&gt;Impostazioni!$C$4,"Fuori dall'anno",IF(C697="","Manca la categoria",IF(ISNA(MATCH(C697,Categorie!$A$6:$A$65,0)),"Categoria non trovata",IF(G697="","Categoria senza tipo",""))))))))</f>
        <v/>
      </c>
    </row>
    <row r="698">
      <c r="A698" s="29" t="n"/>
      <c r="B698" s="17" t="n"/>
      <c r="C698" s="17" t="n"/>
      <c r="D698" s="16" t="n"/>
      <c r="E698" s="30" t="n"/>
      <c r="F698" s="17" t="n"/>
      <c r="G698" s="31">
        <f>IF(C698="","",IFERROR(INDEX(Categorie!$B$6:$B$65,MATCH(C698,Categorie!$A$6:$A$65,0))&amp;"",""))</f>
        <v/>
      </c>
      <c r="H698" s="32">
        <f>IF(AND(A698="",C698="",D698=""),"",IF(D698="","Manca l'importo",IF(NOT(ISNUMBER(D698)),"Importo non valido",IF(NOT(ISNUMBER(A698)),"Data mancante o non valida",IF(YEAR(A698)&lt;&gt;Impostazioni!$C$4,"Fuori dall'anno",IF(C698="","Manca la categoria",IF(ISNA(MATCH(C698,Categorie!$A$6:$A$65,0)),"Categoria non trovata",IF(G698="","Categoria senza tipo",""))))))))</f>
        <v/>
      </c>
    </row>
    <row r="699">
      <c r="A699" s="29" t="n"/>
      <c r="B699" s="17" t="n"/>
      <c r="C699" s="17" t="n"/>
      <c r="D699" s="16" t="n"/>
      <c r="E699" s="30" t="n"/>
      <c r="F699" s="17" t="n"/>
      <c r="G699" s="31">
        <f>IF(C699="","",IFERROR(INDEX(Categorie!$B$6:$B$65,MATCH(C699,Categorie!$A$6:$A$65,0))&amp;"",""))</f>
        <v/>
      </c>
      <c r="H699" s="32">
        <f>IF(AND(A699="",C699="",D699=""),"",IF(D699="","Manca l'importo",IF(NOT(ISNUMBER(D699)),"Importo non valido",IF(NOT(ISNUMBER(A699)),"Data mancante o non valida",IF(YEAR(A699)&lt;&gt;Impostazioni!$C$4,"Fuori dall'anno",IF(C699="","Manca la categoria",IF(ISNA(MATCH(C699,Categorie!$A$6:$A$65,0)),"Categoria non trovata",IF(G699="","Categoria senza tipo",""))))))))</f>
        <v/>
      </c>
    </row>
    <row r="700">
      <c r="A700" s="29" t="n"/>
      <c r="B700" s="17" t="n"/>
      <c r="C700" s="17" t="n"/>
      <c r="D700" s="16" t="n"/>
      <c r="E700" s="30" t="n"/>
      <c r="F700" s="17" t="n"/>
      <c r="G700" s="31">
        <f>IF(C700="","",IFERROR(INDEX(Categorie!$B$6:$B$65,MATCH(C700,Categorie!$A$6:$A$65,0))&amp;"",""))</f>
        <v/>
      </c>
      <c r="H700" s="32">
        <f>IF(AND(A700="",C700="",D700=""),"",IF(D700="","Manca l'importo",IF(NOT(ISNUMBER(D700)),"Importo non valido",IF(NOT(ISNUMBER(A700)),"Data mancante o non valida",IF(YEAR(A700)&lt;&gt;Impostazioni!$C$4,"Fuori dall'anno",IF(C700="","Manca la categoria",IF(ISNA(MATCH(C700,Categorie!$A$6:$A$65,0)),"Categoria non trovata",IF(G700="","Categoria senza tipo",""))))))))</f>
        <v/>
      </c>
    </row>
    <row r="701">
      <c r="A701" s="29" t="n"/>
      <c r="B701" s="17" t="n"/>
      <c r="C701" s="17" t="n"/>
      <c r="D701" s="16" t="n"/>
      <c r="E701" s="30" t="n"/>
      <c r="F701" s="17" t="n"/>
      <c r="G701" s="31">
        <f>IF(C701="","",IFERROR(INDEX(Categorie!$B$6:$B$65,MATCH(C701,Categorie!$A$6:$A$65,0))&amp;"",""))</f>
        <v/>
      </c>
      <c r="H701" s="32">
        <f>IF(AND(A701="",C701="",D701=""),"",IF(D701="","Manca l'importo",IF(NOT(ISNUMBER(D701)),"Importo non valido",IF(NOT(ISNUMBER(A701)),"Data mancante o non valida",IF(YEAR(A701)&lt;&gt;Impostazioni!$C$4,"Fuori dall'anno",IF(C701="","Manca la categoria",IF(ISNA(MATCH(C701,Categorie!$A$6:$A$65,0)),"Categoria non trovata",IF(G701="","Categoria senza tipo",""))))))))</f>
        <v/>
      </c>
    </row>
    <row r="702">
      <c r="A702" s="29" t="n"/>
      <c r="B702" s="17" t="n"/>
      <c r="C702" s="17" t="n"/>
      <c r="D702" s="16" t="n"/>
      <c r="E702" s="30" t="n"/>
      <c r="F702" s="17" t="n"/>
      <c r="G702" s="31">
        <f>IF(C702="","",IFERROR(INDEX(Categorie!$B$6:$B$65,MATCH(C702,Categorie!$A$6:$A$65,0))&amp;"",""))</f>
        <v/>
      </c>
      <c r="H702" s="32">
        <f>IF(AND(A702="",C702="",D702=""),"",IF(D702="","Manca l'importo",IF(NOT(ISNUMBER(D702)),"Importo non valido",IF(NOT(ISNUMBER(A702)),"Data mancante o non valida",IF(YEAR(A702)&lt;&gt;Impostazioni!$C$4,"Fuori dall'anno",IF(C702="","Manca la categoria",IF(ISNA(MATCH(C702,Categorie!$A$6:$A$65,0)),"Categoria non trovata",IF(G702="","Categoria senza tipo",""))))))))</f>
        <v/>
      </c>
    </row>
    <row r="703">
      <c r="A703" s="29" t="n"/>
      <c r="B703" s="17" t="n"/>
      <c r="C703" s="17" t="n"/>
      <c r="D703" s="16" t="n"/>
      <c r="E703" s="30" t="n"/>
      <c r="F703" s="17" t="n"/>
      <c r="G703" s="31">
        <f>IF(C703="","",IFERROR(INDEX(Categorie!$B$6:$B$65,MATCH(C703,Categorie!$A$6:$A$65,0))&amp;"",""))</f>
        <v/>
      </c>
      <c r="H703" s="32">
        <f>IF(AND(A703="",C703="",D703=""),"",IF(D703="","Manca l'importo",IF(NOT(ISNUMBER(D703)),"Importo non valido",IF(NOT(ISNUMBER(A703)),"Data mancante o non valida",IF(YEAR(A703)&lt;&gt;Impostazioni!$C$4,"Fuori dall'anno",IF(C703="","Manca la categoria",IF(ISNA(MATCH(C703,Categorie!$A$6:$A$65,0)),"Categoria non trovata",IF(G703="","Categoria senza tipo",""))))))))</f>
        <v/>
      </c>
    </row>
    <row r="704">
      <c r="A704" s="29" t="n"/>
      <c r="B704" s="17" t="n"/>
      <c r="C704" s="17" t="n"/>
      <c r="D704" s="16" t="n"/>
      <c r="E704" s="30" t="n"/>
      <c r="F704" s="17" t="n"/>
      <c r="G704" s="31">
        <f>IF(C704="","",IFERROR(INDEX(Categorie!$B$6:$B$65,MATCH(C704,Categorie!$A$6:$A$65,0))&amp;"",""))</f>
        <v/>
      </c>
      <c r="H704" s="32">
        <f>IF(AND(A704="",C704="",D704=""),"",IF(D704="","Manca l'importo",IF(NOT(ISNUMBER(D704)),"Importo non valido",IF(NOT(ISNUMBER(A704)),"Data mancante o non valida",IF(YEAR(A704)&lt;&gt;Impostazioni!$C$4,"Fuori dall'anno",IF(C704="","Manca la categoria",IF(ISNA(MATCH(C704,Categorie!$A$6:$A$65,0)),"Categoria non trovata",IF(G704="","Categoria senza tipo",""))))))))</f>
        <v/>
      </c>
    </row>
    <row r="705">
      <c r="A705" s="29" t="n"/>
      <c r="B705" s="17" t="n"/>
      <c r="C705" s="17" t="n"/>
      <c r="D705" s="16" t="n"/>
      <c r="E705" s="30" t="n"/>
      <c r="F705" s="17" t="n"/>
      <c r="G705" s="31">
        <f>IF(C705="","",IFERROR(INDEX(Categorie!$B$6:$B$65,MATCH(C705,Categorie!$A$6:$A$65,0))&amp;"",""))</f>
        <v/>
      </c>
      <c r="H705" s="32">
        <f>IF(AND(A705="",C705="",D705=""),"",IF(D705="","Manca l'importo",IF(NOT(ISNUMBER(D705)),"Importo non valido",IF(NOT(ISNUMBER(A705)),"Data mancante o non valida",IF(YEAR(A705)&lt;&gt;Impostazioni!$C$4,"Fuori dall'anno",IF(C705="","Manca la categoria",IF(ISNA(MATCH(C705,Categorie!$A$6:$A$65,0)),"Categoria non trovata",IF(G705="","Categoria senza tipo",""))))))))</f>
        <v/>
      </c>
    </row>
    <row r="706">
      <c r="A706" s="29" t="n"/>
      <c r="B706" s="17" t="n"/>
      <c r="C706" s="17" t="n"/>
      <c r="D706" s="16" t="n"/>
      <c r="E706" s="30" t="n"/>
      <c r="F706" s="17" t="n"/>
      <c r="G706" s="31">
        <f>IF(C706="","",IFERROR(INDEX(Categorie!$B$6:$B$65,MATCH(C706,Categorie!$A$6:$A$65,0))&amp;"",""))</f>
        <v/>
      </c>
      <c r="H706" s="32">
        <f>IF(AND(A706="",C706="",D706=""),"",IF(D706="","Manca l'importo",IF(NOT(ISNUMBER(D706)),"Importo non valido",IF(NOT(ISNUMBER(A706)),"Data mancante o non valida",IF(YEAR(A706)&lt;&gt;Impostazioni!$C$4,"Fuori dall'anno",IF(C706="","Manca la categoria",IF(ISNA(MATCH(C706,Categorie!$A$6:$A$65,0)),"Categoria non trovata",IF(G706="","Categoria senza tipo",""))))))))</f>
        <v/>
      </c>
    </row>
    <row r="707">
      <c r="A707" s="29" t="n"/>
      <c r="B707" s="17" t="n"/>
      <c r="C707" s="17" t="n"/>
      <c r="D707" s="16" t="n"/>
      <c r="E707" s="30" t="n"/>
      <c r="F707" s="17" t="n"/>
      <c r="G707" s="31">
        <f>IF(C707="","",IFERROR(INDEX(Categorie!$B$6:$B$65,MATCH(C707,Categorie!$A$6:$A$65,0))&amp;"",""))</f>
        <v/>
      </c>
      <c r="H707" s="32">
        <f>IF(AND(A707="",C707="",D707=""),"",IF(D707="","Manca l'importo",IF(NOT(ISNUMBER(D707)),"Importo non valido",IF(NOT(ISNUMBER(A707)),"Data mancante o non valida",IF(YEAR(A707)&lt;&gt;Impostazioni!$C$4,"Fuori dall'anno",IF(C707="","Manca la categoria",IF(ISNA(MATCH(C707,Categorie!$A$6:$A$65,0)),"Categoria non trovata",IF(G707="","Categoria senza tipo",""))))))))</f>
        <v/>
      </c>
    </row>
    <row r="708">
      <c r="A708" s="29" t="n"/>
      <c r="B708" s="17" t="n"/>
      <c r="C708" s="17" t="n"/>
      <c r="D708" s="16" t="n"/>
      <c r="E708" s="30" t="n"/>
      <c r="F708" s="17" t="n"/>
      <c r="G708" s="31">
        <f>IF(C708="","",IFERROR(INDEX(Categorie!$B$6:$B$65,MATCH(C708,Categorie!$A$6:$A$65,0))&amp;"",""))</f>
        <v/>
      </c>
      <c r="H708" s="32">
        <f>IF(AND(A708="",C708="",D708=""),"",IF(D708="","Manca l'importo",IF(NOT(ISNUMBER(D708)),"Importo non valido",IF(NOT(ISNUMBER(A708)),"Data mancante o non valida",IF(YEAR(A708)&lt;&gt;Impostazioni!$C$4,"Fuori dall'anno",IF(C708="","Manca la categoria",IF(ISNA(MATCH(C708,Categorie!$A$6:$A$65,0)),"Categoria non trovata",IF(G708="","Categoria senza tipo",""))))))))</f>
        <v/>
      </c>
    </row>
    <row r="709">
      <c r="A709" s="29" t="n"/>
      <c r="B709" s="17" t="n"/>
      <c r="C709" s="17" t="n"/>
      <c r="D709" s="16" t="n"/>
      <c r="E709" s="30" t="n"/>
      <c r="F709" s="17" t="n"/>
      <c r="G709" s="31">
        <f>IF(C709="","",IFERROR(INDEX(Categorie!$B$6:$B$65,MATCH(C709,Categorie!$A$6:$A$65,0))&amp;"",""))</f>
        <v/>
      </c>
      <c r="H709" s="32">
        <f>IF(AND(A709="",C709="",D709=""),"",IF(D709="","Manca l'importo",IF(NOT(ISNUMBER(D709)),"Importo non valido",IF(NOT(ISNUMBER(A709)),"Data mancante o non valida",IF(YEAR(A709)&lt;&gt;Impostazioni!$C$4,"Fuori dall'anno",IF(C709="","Manca la categoria",IF(ISNA(MATCH(C709,Categorie!$A$6:$A$65,0)),"Categoria non trovata",IF(G709="","Categoria senza tipo",""))))))))</f>
        <v/>
      </c>
    </row>
    <row r="710">
      <c r="A710" s="29" t="n"/>
      <c r="B710" s="17" t="n"/>
      <c r="C710" s="17" t="n"/>
      <c r="D710" s="16" t="n"/>
      <c r="E710" s="30" t="n"/>
      <c r="F710" s="17" t="n"/>
      <c r="G710" s="31">
        <f>IF(C710="","",IFERROR(INDEX(Categorie!$B$6:$B$65,MATCH(C710,Categorie!$A$6:$A$65,0))&amp;"",""))</f>
        <v/>
      </c>
      <c r="H710" s="32">
        <f>IF(AND(A710="",C710="",D710=""),"",IF(D710="","Manca l'importo",IF(NOT(ISNUMBER(D710)),"Importo non valido",IF(NOT(ISNUMBER(A710)),"Data mancante o non valida",IF(YEAR(A710)&lt;&gt;Impostazioni!$C$4,"Fuori dall'anno",IF(C710="","Manca la categoria",IF(ISNA(MATCH(C710,Categorie!$A$6:$A$65,0)),"Categoria non trovata",IF(G710="","Categoria senza tipo",""))))))))</f>
        <v/>
      </c>
    </row>
    <row r="711">
      <c r="A711" s="29" t="n"/>
      <c r="B711" s="17" t="n"/>
      <c r="C711" s="17" t="n"/>
      <c r="D711" s="16" t="n"/>
      <c r="E711" s="30" t="n"/>
      <c r="F711" s="17" t="n"/>
      <c r="G711" s="31">
        <f>IF(C711="","",IFERROR(INDEX(Categorie!$B$6:$B$65,MATCH(C711,Categorie!$A$6:$A$65,0))&amp;"",""))</f>
        <v/>
      </c>
      <c r="H711" s="32">
        <f>IF(AND(A711="",C711="",D711=""),"",IF(D711="","Manca l'importo",IF(NOT(ISNUMBER(D711)),"Importo non valido",IF(NOT(ISNUMBER(A711)),"Data mancante o non valida",IF(YEAR(A711)&lt;&gt;Impostazioni!$C$4,"Fuori dall'anno",IF(C711="","Manca la categoria",IF(ISNA(MATCH(C711,Categorie!$A$6:$A$65,0)),"Categoria non trovata",IF(G711="","Categoria senza tipo",""))))))))</f>
        <v/>
      </c>
    </row>
    <row r="712">
      <c r="A712" s="29" t="n"/>
      <c r="B712" s="17" t="n"/>
      <c r="C712" s="17" t="n"/>
      <c r="D712" s="16" t="n"/>
      <c r="E712" s="30" t="n"/>
      <c r="F712" s="17" t="n"/>
      <c r="G712" s="31">
        <f>IF(C712="","",IFERROR(INDEX(Categorie!$B$6:$B$65,MATCH(C712,Categorie!$A$6:$A$65,0))&amp;"",""))</f>
        <v/>
      </c>
      <c r="H712" s="32">
        <f>IF(AND(A712="",C712="",D712=""),"",IF(D712="","Manca l'importo",IF(NOT(ISNUMBER(D712)),"Importo non valido",IF(NOT(ISNUMBER(A712)),"Data mancante o non valida",IF(YEAR(A712)&lt;&gt;Impostazioni!$C$4,"Fuori dall'anno",IF(C712="","Manca la categoria",IF(ISNA(MATCH(C712,Categorie!$A$6:$A$65,0)),"Categoria non trovata",IF(G712="","Categoria senza tipo",""))))))))</f>
        <v/>
      </c>
    </row>
    <row r="713">
      <c r="A713" s="29" t="n"/>
      <c r="B713" s="17" t="n"/>
      <c r="C713" s="17" t="n"/>
      <c r="D713" s="16" t="n"/>
      <c r="E713" s="30" t="n"/>
      <c r="F713" s="17" t="n"/>
      <c r="G713" s="31">
        <f>IF(C713="","",IFERROR(INDEX(Categorie!$B$6:$B$65,MATCH(C713,Categorie!$A$6:$A$65,0))&amp;"",""))</f>
        <v/>
      </c>
      <c r="H713" s="32">
        <f>IF(AND(A713="",C713="",D713=""),"",IF(D713="","Manca l'importo",IF(NOT(ISNUMBER(D713)),"Importo non valido",IF(NOT(ISNUMBER(A713)),"Data mancante o non valida",IF(YEAR(A713)&lt;&gt;Impostazioni!$C$4,"Fuori dall'anno",IF(C713="","Manca la categoria",IF(ISNA(MATCH(C713,Categorie!$A$6:$A$65,0)),"Categoria non trovata",IF(G713="","Categoria senza tipo",""))))))))</f>
        <v/>
      </c>
    </row>
    <row r="714">
      <c r="A714" s="29" t="n"/>
      <c r="B714" s="17" t="n"/>
      <c r="C714" s="17" t="n"/>
      <c r="D714" s="16" t="n"/>
      <c r="E714" s="30" t="n"/>
      <c r="F714" s="17" t="n"/>
      <c r="G714" s="31">
        <f>IF(C714="","",IFERROR(INDEX(Categorie!$B$6:$B$65,MATCH(C714,Categorie!$A$6:$A$65,0))&amp;"",""))</f>
        <v/>
      </c>
      <c r="H714" s="32">
        <f>IF(AND(A714="",C714="",D714=""),"",IF(D714="","Manca l'importo",IF(NOT(ISNUMBER(D714)),"Importo non valido",IF(NOT(ISNUMBER(A714)),"Data mancante o non valida",IF(YEAR(A714)&lt;&gt;Impostazioni!$C$4,"Fuori dall'anno",IF(C714="","Manca la categoria",IF(ISNA(MATCH(C714,Categorie!$A$6:$A$65,0)),"Categoria non trovata",IF(G714="","Categoria senza tipo",""))))))))</f>
        <v/>
      </c>
    </row>
    <row r="715">
      <c r="A715" s="29" t="n"/>
      <c r="B715" s="17" t="n"/>
      <c r="C715" s="17" t="n"/>
      <c r="D715" s="16" t="n"/>
      <c r="E715" s="30" t="n"/>
      <c r="F715" s="17" t="n"/>
      <c r="G715" s="31">
        <f>IF(C715="","",IFERROR(INDEX(Categorie!$B$6:$B$65,MATCH(C715,Categorie!$A$6:$A$65,0))&amp;"",""))</f>
        <v/>
      </c>
      <c r="H715" s="32">
        <f>IF(AND(A715="",C715="",D715=""),"",IF(D715="","Manca l'importo",IF(NOT(ISNUMBER(D715)),"Importo non valido",IF(NOT(ISNUMBER(A715)),"Data mancante o non valida",IF(YEAR(A715)&lt;&gt;Impostazioni!$C$4,"Fuori dall'anno",IF(C715="","Manca la categoria",IF(ISNA(MATCH(C715,Categorie!$A$6:$A$65,0)),"Categoria non trovata",IF(G715="","Categoria senza tipo",""))))))))</f>
        <v/>
      </c>
    </row>
    <row r="716">
      <c r="A716" s="29" t="n"/>
      <c r="B716" s="17" t="n"/>
      <c r="C716" s="17" t="n"/>
      <c r="D716" s="16" t="n"/>
      <c r="E716" s="30" t="n"/>
      <c r="F716" s="17" t="n"/>
      <c r="G716" s="31">
        <f>IF(C716="","",IFERROR(INDEX(Categorie!$B$6:$B$65,MATCH(C716,Categorie!$A$6:$A$65,0))&amp;"",""))</f>
        <v/>
      </c>
      <c r="H716" s="32">
        <f>IF(AND(A716="",C716="",D716=""),"",IF(D716="","Manca l'importo",IF(NOT(ISNUMBER(D716)),"Importo non valido",IF(NOT(ISNUMBER(A716)),"Data mancante o non valida",IF(YEAR(A716)&lt;&gt;Impostazioni!$C$4,"Fuori dall'anno",IF(C716="","Manca la categoria",IF(ISNA(MATCH(C716,Categorie!$A$6:$A$65,0)),"Categoria non trovata",IF(G716="","Categoria senza tipo",""))))))))</f>
        <v/>
      </c>
    </row>
    <row r="717">
      <c r="A717" s="29" t="n"/>
      <c r="B717" s="17" t="n"/>
      <c r="C717" s="17" t="n"/>
      <c r="D717" s="16" t="n"/>
      <c r="E717" s="30" t="n"/>
      <c r="F717" s="17" t="n"/>
      <c r="G717" s="31">
        <f>IF(C717="","",IFERROR(INDEX(Categorie!$B$6:$B$65,MATCH(C717,Categorie!$A$6:$A$65,0))&amp;"",""))</f>
        <v/>
      </c>
      <c r="H717" s="32">
        <f>IF(AND(A717="",C717="",D717=""),"",IF(D717="","Manca l'importo",IF(NOT(ISNUMBER(D717)),"Importo non valido",IF(NOT(ISNUMBER(A717)),"Data mancante o non valida",IF(YEAR(A717)&lt;&gt;Impostazioni!$C$4,"Fuori dall'anno",IF(C717="","Manca la categoria",IF(ISNA(MATCH(C717,Categorie!$A$6:$A$65,0)),"Categoria non trovata",IF(G717="","Categoria senza tipo",""))))))))</f>
        <v/>
      </c>
    </row>
    <row r="718">
      <c r="A718" s="29" t="n"/>
      <c r="B718" s="17" t="n"/>
      <c r="C718" s="17" t="n"/>
      <c r="D718" s="16" t="n"/>
      <c r="E718" s="30" t="n"/>
      <c r="F718" s="17" t="n"/>
      <c r="G718" s="31">
        <f>IF(C718="","",IFERROR(INDEX(Categorie!$B$6:$B$65,MATCH(C718,Categorie!$A$6:$A$65,0))&amp;"",""))</f>
        <v/>
      </c>
      <c r="H718" s="32">
        <f>IF(AND(A718="",C718="",D718=""),"",IF(D718="","Manca l'importo",IF(NOT(ISNUMBER(D718)),"Importo non valido",IF(NOT(ISNUMBER(A718)),"Data mancante o non valida",IF(YEAR(A718)&lt;&gt;Impostazioni!$C$4,"Fuori dall'anno",IF(C718="","Manca la categoria",IF(ISNA(MATCH(C718,Categorie!$A$6:$A$65,0)),"Categoria non trovata",IF(G718="","Categoria senza tipo",""))))))))</f>
        <v/>
      </c>
    </row>
    <row r="719">
      <c r="A719" s="29" t="n"/>
      <c r="B719" s="17" t="n"/>
      <c r="C719" s="17" t="n"/>
      <c r="D719" s="16" t="n"/>
      <c r="E719" s="30" t="n"/>
      <c r="F719" s="17" t="n"/>
      <c r="G719" s="31">
        <f>IF(C719="","",IFERROR(INDEX(Categorie!$B$6:$B$65,MATCH(C719,Categorie!$A$6:$A$65,0))&amp;"",""))</f>
        <v/>
      </c>
      <c r="H719" s="32">
        <f>IF(AND(A719="",C719="",D719=""),"",IF(D719="","Manca l'importo",IF(NOT(ISNUMBER(D719)),"Importo non valido",IF(NOT(ISNUMBER(A719)),"Data mancante o non valida",IF(YEAR(A719)&lt;&gt;Impostazioni!$C$4,"Fuori dall'anno",IF(C719="","Manca la categoria",IF(ISNA(MATCH(C719,Categorie!$A$6:$A$65,0)),"Categoria non trovata",IF(G719="","Categoria senza tipo",""))))))))</f>
        <v/>
      </c>
    </row>
    <row r="720">
      <c r="A720" s="29" t="n"/>
      <c r="B720" s="17" t="n"/>
      <c r="C720" s="17" t="n"/>
      <c r="D720" s="16" t="n"/>
      <c r="E720" s="30" t="n"/>
      <c r="F720" s="17" t="n"/>
      <c r="G720" s="31">
        <f>IF(C720="","",IFERROR(INDEX(Categorie!$B$6:$B$65,MATCH(C720,Categorie!$A$6:$A$65,0))&amp;"",""))</f>
        <v/>
      </c>
      <c r="H720" s="32">
        <f>IF(AND(A720="",C720="",D720=""),"",IF(D720="","Manca l'importo",IF(NOT(ISNUMBER(D720)),"Importo non valido",IF(NOT(ISNUMBER(A720)),"Data mancante o non valida",IF(YEAR(A720)&lt;&gt;Impostazioni!$C$4,"Fuori dall'anno",IF(C720="","Manca la categoria",IF(ISNA(MATCH(C720,Categorie!$A$6:$A$65,0)),"Categoria non trovata",IF(G720="","Categoria senza tipo",""))))))))</f>
        <v/>
      </c>
    </row>
    <row r="721">
      <c r="A721" s="29" t="n"/>
      <c r="B721" s="17" t="n"/>
      <c r="C721" s="17" t="n"/>
      <c r="D721" s="16" t="n"/>
      <c r="E721" s="30" t="n"/>
      <c r="F721" s="17" t="n"/>
      <c r="G721" s="31">
        <f>IF(C721="","",IFERROR(INDEX(Categorie!$B$6:$B$65,MATCH(C721,Categorie!$A$6:$A$65,0))&amp;"",""))</f>
        <v/>
      </c>
      <c r="H721" s="32">
        <f>IF(AND(A721="",C721="",D721=""),"",IF(D721="","Manca l'importo",IF(NOT(ISNUMBER(D721)),"Importo non valido",IF(NOT(ISNUMBER(A721)),"Data mancante o non valida",IF(YEAR(A721)&lt;&gt;Impostazioni!$C$4,"Fuori dall'anno",IF(C721="","Manca la categoria",IF(ISNA(MATCH(C721,Categorie!$A$6:$A$65,0)),"Categoria non trovata",IF(G721="","Categoria senza tipo",""))))))))</f>
        <v/>
      </c>
    </row>
    <row r="722">
      <c r="A722" s="29" t="n"/>
      <c r="B722" s="17" t="n"/>
      <c r="C722" s="17" t="n"/>
      <c r="D722" s="16" t="n"/>
      <c r="E722" s="30" t="n"/>
      <c r="F722" s="17" t="n"/>
      <c r="G722" s="31">
        <f>IF(C722="","",IFERROR(INDEX(Categorie!$B$6:$B$65,MATCH(C722,Categorie!$A$6:$A$65,0))&amp;"",""))</f>
        <v/>
      </c>
      <c r="H722" s="32">
        <f>IF(AND(A722="",C722="",D722=""),"",IF(D722="","Manca l'importo",IF(NOT(ISNUMBER(D722)),"Importo non valido",IF(NOT(ISNUMBER(A722)),"Data mancante o non valida",IF(YEAR(A722)&lt;&gt;Impostazioni!$C$4,"Fuori dall'anno",IF(C722="","Manca la categoria",IF(ISNA(MATCH(C722,Categorie!$A$6:$A$65,0)),"Categoria non trovata",IF(G722="","Categoria senza tipo",""))))))))</f>
        <v/>
      </c>
    </row>
    <row r="723">
      <c r="A723" s="29" t="n"/>
      <c r="B723" s="17" t="n"/>
      <c r="C723" s="17" t="n"/>
      <c r="D723" s="16" t="n"/>
      <c r="E723" s="30" t="n"/>
      <c r="F723" s="17" t="n"/>
      <c r="G723" s="31">
        <f>IF(C723="","",IFERROR(INDEX(Categorie!$B$6:$B$65,MATCH(C723,Categorie!$A$6:$A$65,0))&amp;"",""))</f>
        <v/>
      </c>
      <c r="H723" s="32">
        <f>IF(AND(A723="",C723="",D723=""),"",IF(D723="","Manca l'importo",IF(NOT(ISNUMBER(D723)),"Importo non valido",IF(NOT(ISNUMBER(A723)),"Data mancante o non valida",IF(YEAR(A723)&lt;&gt;Impostazioni!$C$4,"Fuori dall'anno",IF(C723="","Manca la categoria",IF(ISNA(MATCH(C723,Categorie!$A$6:$A$65,0)),"Categoria non trovata",IF(G723="","Categoria senza tipo",""))))))))</f>
        <v/>
      </c>
    </row>
    <row r="724">
      <c r="A724" s="29" t="n"/>
      <c r="B724" s="17" t="n"/>
      <c r="C724" s="17" t="n"/>
      <c r="D724" s="16" t="n"/>
      <c r="E724" s="30" t="n"/>
      <c r="F724" s="17" t="n"/>
      <c r="G724" s="31">
        <f>IF(C724="","",IFERROR(INDEX(Categorie!$B$6:$B$65,MATCH(C724,Categorie!$A$6:$A$65,0))&amp;"",""))</f>
        <v/>
      </c>
      <c r="H724" s="32">
        <f>IF(AND(A724="",C724="",D724=""),"",IF(D724="","Manca l'importo",IF(NOT(ISNUMBER(D724)),"Importo non valido",IF(NOT(ISNUMBER(A724)),"Data mancante o non valida",IF(YEAR(A724)&lt;&gt;Impostazioni!$C$4,"Fuori dall'anno",IF(C724="","Manca la categoria",IF(ISNA(MATCH(C724,Categorie!$A$6:$A$65,0)),"Categoria non trovata",IF(G724="","Categoria senza tipo",""))))))))</f>
        <v/>
      </c>
    </row>
    <row r="725">
      <c r="A725" s="29" t="n"/>
      <c r="B725" s="17" t="n"/>
      <c r="C725" s="17" t="n"/>
      <c r="D725" s="16" t="n"/>
      <c r="E725" s="30" t="n"/>
      <c r="F725" s="17" t="n"/>
      <c r="G725" s="31">
        <f>IF(C725="","",IFERROR(INDEX(Categorie!$B$6:$B$65,MATCH(C725,Categorie!$A$6:$A$65,0))&amp;"",""))</f>
        <v/>
      </c>
      <c r="H725" s="32">
        <f>IF(AND(A725="",C725="",D725=""),"",IF(D725="","Manca l'importo",IF(NOT(ISNUMBER(D725)),"Importo non valido",IF(NOT(ISNUMBER(A725)),"Data mancante o non valida",IF(YEAR(A725)&lt;&gt;Impostazioni!$C$4,"Fuori dall'anno",IF(C725="","Manca la categoria",IF(ISNA(MATCH(C725,Categorie!$A$6:$A$65,0)),"Categoria non trovata",IF(G725="","Categoria senza tipo",""))))))))</f>
        <v/>
      </c>
    </row>
    <row r="726">
      <c r="A726" s="29" t="n"/>
      <c r="B726" s="17" t="n"/>
      <c r="C726" s="17" t="n"/>
      <c r="D726" s="16" t="n"/>
      <c r="E726" s="30" t="n"/>
      <c r="F726" s="17" t="n"/>
      <c r="G726" s="31">
        <f>IF(C726="","",IFERROR(INDEX(Categorie!$B$6:$B$65,MATCH(C726,Categorie!$A$6:$A$65,0))&amp;"",""))</f>
        <v/>
      </c>
      <c r="H726" s="32">
        <f>IF(AND(A726="",C726="",D726=""),"",IF(D726="","Manca l'importo",IF(NOT(ISNUMBER(D726)),"Importo non valido",IF(NOT(ISNUMBER(A726)),"Data mancante o non valida",IF(YEAR(A726)&lt;&gt;Impostazioni!$C$4,"Fuori dall'anno",IF(C726="","Manca la categoria",IF(ISNA(MATCH(C726,Categorie!$A$6:$A$65,0)),"Categoria non trovata",IF(G726="","Categoria senza tipo",""))))))))</f>
        <v/>
      </c>
    </row>
    <row r="727">
      <c r="A727" s="29" t="n"/>
      <c r="B727" s="17" t="n"/>
      <c r="C727" s="17" t="n"/>
      <c r="D727" s="16" t="n"/>
      <c r="E727" s="30" t="n"/>
      <c r="F727" s="17" t="n"/>
      <c r="G727" s="31">
        <f>IF(C727="","",IFERROR(INDEX(Categorie!$B$6:$B$65,MATCH(C727,Categorie!$A$6:$A$65,0))&amp;"",""))</f>
        <v/>
      </c>
      <c r="H727" s="32">
        <f>IF(AND(A727="",C727="",D727=""),"",IF(D727="","Manca l'importo",IF(NOT(ISNUMBER(D727)),"Importo non valido",IF(NOT(ISNUMBER(A727)),"Data mancante o non valida",IF(YEAR(A727)&lt;&gt;Impostazioni!$C$4,"Fuori dall'anno",IF(C727="","Manca la categoria",IF(ISNA(MATCH(C727,Categorie!$A$6:$A$65,0)),"Categoria non trovata",IF(G727="","Categoria senza tipo",""))))))))</f>
        <v/>
      </c>
    </row>
    <row r="728">
      <c r="A728" s="29" t="n"/>
      <c r="B728" s="17" t="n"/>
      <c r="C728" s="17" t="n"/>
      <c r="D728" s="16" t="n"/>
      <c r="E728" s="30" t="n"/>
      <c r="F728" s="17" t="n"/>
      <c r="G728" s="31">
        <f>IF(C728="","",IFERROR(INDEX(Categorie!$B$6:$B$65,MATCH(C728,Categorie!$A$6:$A$65,0))&amp;"",""))</f>
        <v/>
      </c>
      <c r="H728" s="32">
        <f>IF(AND(A728="",C728="",D728=""),"",IF(D728="","Manca l'importo",IF(NOT(ISNUMBER(D728)),"Importo non valido",IF(NOT(ISNUMBER(A728)),"Data mancante o non valida",IF(YEAR(A728)&lt;&gt;Impostazioni!$C$4,"Fuori dall'anno",IF(C728="","Manca la categoria",IF(ISNA(MATCH(C728,Categorie!$A$6:$A$65,0)),"Categoria non trovata",IF(G728="","Categoria senza tipo",""))))))))</f>
        <v/>
      </c>
    </row>
    <row r="729">
      <c r="A729" s="29" t="n"/>
      <c r="B729" s="17" t="n"/>
      <c r="C729" s="17" t="n"/>
      <c r="D729" s="16" t="n"/>
      <c r="E729" s="30" t="n"/>
      <c r="F729" s="17" t="n"/>
      <c r="G729" s="31">
        <f>IF(C729="","",IFERROR(INDEX(Categorie!$B$6:$B$65,MATCH(C729,Categorie!$A$6:$A$65,0))&amp;"",""))</f>
        <v/>
      </c>
      <c r="H729" s="32">
        <f>IF(AND(A729="",C729="",D729=""),"",IF(D729="","Manca l'importo",IF(NOT(ISNUMBER(D729)),"Importo non valido",IF(NOT(ISNUMBER(A729)),"Data mancante o non valida",IF(YEAR(A729)&lt;&gt;Impostazioni!$C$4,"Fuori dall'anno",IF(C729="","Manca la categoria",IF(ISNA(MATCH(C729,Categorie!$A$6:$A$65,0)),"Categoria non trovata",IF(G729="","Categoria senza tipo",""))))))))</f>
        <v/>
      </c>
    </row>
    <row r="730">
      <c r="A730" s="29" t="n"/>
      <c r="B730" s="17" t="n"/>
      <c r="C730" s="17" t="n"/>
      <c r="D730" s="16" t="n"/>
      <c r="E730" s="30" t="n"/>
      <c r="F730" s="17" t="n"/>
      <c r="G730" s="31">
        <f>IF(C730="","",IFERROR(INDEX(Categorie!$B$6:$B$65,MATCH(C730,Categorie!$A$6:$A$65,0))&amp;"",""))</f>
        <v/>
      </c>
      <c r="H730" s="32">
        <f>IF(AND(A730="",C730="",D730=""),"",IF(D730="","Manca l'importo",IF(NOT(ISNUMBER(D730)),"Importo non valido",IF(NOT(ISNUMBER(A730)),"Data mancante o non valida",IF(YEAR(A730)&lt;&gt;Impostazioni!$C$4,"Fuori dall'anno",IF(C730="","Manca la categoria",IF(ISNA(MATCH(C730,Categorie!$A$6:$A$65,0)),"Categoria non trovata",IF(G730="","Categoria senza tipo",""))))))))</f>
        <v/>
      </c>
    </row>
    <row r="731">
      <c r="A731" s="29" t="n"/>
      <c r="B731" s="17" t="n"/>
      <c r="C731" s="17" t="n"/>
      <c r="D731" s="16" t="n"/>
      <c r="E731" s="30" t="n"/>
      <c r="F731" s="17" t="n"/>
      <c r="G731" s="31">
        <f>IF(C731="","",IFERROR(INDEX(Categorie!$B$6:$B$65,MATCH(C731,Categorie!$A$6:$A$65,0))&amp;"",""))</f>
        <v/>
      </c>
      <c r="H731" s="32">
        <f>IF(AND(A731="",C731="",D731=""),"",IF(D731="","Manca l'importo",IF(NOT(ISNUMBER(D731)),"Importo non valido",IF(NOT(ISNUMBER(A731)),"Data mancante o non valida",IF(YEAR(A731)&lt;&gt;Impostazioni!$C$4,"Fuori dall'anno",IF(C731="","Manca la categoria",IF(ISNA(MATCH(C731,Categorie!$A$6:$A$65,0)),"Categoria non trovata",IF(G731="","Categoria senza tipo",""))))))))</f>
        <v/>
      </c>
    </row>
    <row r="732">
      <c r="A732" s="29" t="n"/>
      <c r="B732" s="17" t="n"/>
      <c r="C732" s="17" t="n"/>
      <c r="D732" s="16" t="n"/>
      <c r="E732" s="30" t="n"/>
      <c r="F732" s="17" t="n"/>
      <c r="G732" s="31">
        <f>IF(C732="","",IFERROR(INDEX(Categorie!$B$6:$B$65,MATCH(C732,Categorie!$A$6:$A$65,0))&amp;"",""))</f>
        <v/>
      </c>
      <c r="H732" s="32">
        <f>IF(AND(A732="",C732="",D732=""),"",IF(D732="","Manca l'importo",IF(NOT(ISNUMBER(D732)),"Importo non valido",IF(NOT(ISNUMBER(A732)),"Data mancante o non valida",IF(YEAR(A732)&lt;&gt;Impostazioni!$C$4,"Fuori dall'anno",IF(C732="","Manca la categoria",IF(ISNA(MATCH(C732,Categorie!$A$6:$A$65,0)),"Categoria non trovata",IF(G732="","Categoria senza tipo",""))))))))</f>
        <v/>
      </c>
    </row>
    <row r="733">
      <c r="A733" s="29" t="n"/>
      <c r="B733" s="17" t="n"/>
      <c r="C733" s="17" t="n"/>
      <c r="D733" s="16" t="n"/>
      <c r="E733" s="30" t="n"/>
      <c r="F733" s="17" t="n"/>
      <c r="G733" s="31">
        <f>IF(C733="","",IFERROR(INDEX(Categorie!$B$6:$B$65,MATCH(C733,Categorie!$A$6:$A$65,0))&amp;"",""))</f>
        <v/>
      </c>
      <c r="H733" s="32">
        <f>IF(AND(A733="",C733="",D733=""),"",IF(D733="","Manca l'importo",IF(NOT(ISNUMBER(D733)),"Importo non valido",IF(NOT(ISNUMBER(A733)),"Data mancante o non valida",IF(YEAR(A733)&lt;&gt;Impostazioni!$C$4,"Fuori dall'anno",IF(C733="","Manca la categoria",IF(ISNA(MATCH(C733,Categorie!$A$6:$A$65,0)),"Categoria non trovata",IF(G733="","Categoria senza tipo",""))))))))</f>
        <v/>
      </c>
    </row>
    <row r="734">
      <c r="A734" s="29" t="n"/>
      <c r="B734" s="17" t="n"/>
      <c r="C734" s="17" t="n"/>
      <c r="D734" s="16" t="n"/>
      <c r="E734" s="30" t="n"/>
      <c r="F734" s="17" t="n"/>
      <c r="G734" s="31">
        <f>IF(C734="","",IFERROR(INDEX(Categorie!$B$6:$B$65,MATCH(C734,Categorie!$A$6:$A$65,0))&amp;"",""))</f>
        <v/>
      </c>
      <c r="H734" s="32">
        <f>IF(AND(A734="",C734="",D734=""),"",IF(D734="","Manca l'importo",IF(NOT(ISNUMBER(D734)),"Importo non valido",IF(NOT(ISNUMBER(A734)),"Data mancante o non valida",IF(YEAR(A734)&lt;&gt;Impostazioni!$C$4,"Fuori dall'anno",IF(C734="","Manca la categoria",IF(ISNA(MATCH(C734,Categorie!$A$6:$A$65,0)),"Categoria non trovata",IF(G734="","Categoria senza tipo",""))))))))</f>
        <v/>
      </c>
    </row>
    <row r="735">
      <c r="A735" s="29" t="n"/>
      <c r="B735" s="17" t="n"/>
      <c r="C735" s="17" t="n"/>
      <c r="D735" s="16" t="n"/>
      <c r="E735" s="30" t="n"/>
      <c r="F735" s="17" t="n"/>
      <c r="G735" s="31">
        <f>IF(C735="","",IFERROR(INDEX(Categorie!$B$6:$B$65,MATCH(C735,Categorie!$A$6:$A$65,0))&amp;"",""))</f>
        <v/>
      </c>
      <c r="H735" s="32">
        <f>IF(AND(A735="",C735="",D735=""),"",IF(D735="","Manca l'importo",IF(NOT(ISNUMBER(D735)),"Importo non valido",IF(NOT(ISNUMBER(A735)),"Data mancante o non valida",IF(YEAR(A735)&lt;&gt;Impostazioni!$C$4,"Fuori dall'anno",IF(C735="","Manca la categoria",IF(ISNA(MATCH(C735,Categorie!$A$6:$A$65,0)),"Categoria non trovata",IF(G735="","Categoria senza tipo",""))))))))</f>
        <v/>
      </c>
    </row>
    <row r="736">
      <c r="A736" s="29" t="n"/>
      <c r="B736" s="17" t="n"/>
      <c r="C736" s="17" t="n"/>
      <c r="D736" s="16" t="n"/>
      <c r="E736" s="30" t="n"/>
      <c r="F736" s="17" t="n"/>
      <c r="G736" s="31">
        <f>IF(C736="","",IFERROR(INDEX(Categorie!$B$6:$B$65,MATCH(C736,Categorie!$A$6:$A$65,0))&amp;"",""))</f>
        <v/>
      </c>
      <c r="H736" s="32">
        <f>IF(AND(A736="",C736="",D736=""),"",IF(D736="","Manca l'importo",IF(NOT(ISNUMBER(D736)),"Importo non valido",IF(NOT(ISNUMBER(A736)),"Data mancante o non valida",IF(YEAR(A736)&lt;&gt;Impostazioni!$C$4,"Fuori dall'anno",IF(C736="","Manca la categoria",IF(ISNA(MATCH(C736,Categorie!$A$6:$A$65,0)),"Categoria non trovata",IF(G736="","Categoria senza tipo",""))))))))</f>
        <v/>
      </c>
    </row>
    <row r="737">
      <c r="A737" s="29" t="n"/>
      <c r="B737" s="17" t="n"/>
      <c r="C737" s="17" t="n"/>
      <c r="D737" s="16" t="n"/>
      <c r="E737" s="30" t="n"/>
      <c r="F737" s="17" t="n"/>
      <c r="G737" s="31">
        <f>IF(C737="","",IFERROR(INDEX(Categorie!$B$6:$B$65,MATCH(C737,Categorie!$A$6:$A$65,0))&amp;"",""))</f>
        <v/>
      </c>
      <c r="H737" s="32">
        <f>IF(AND(A737="",C737="",D737=""),"",IF(D737="","Manca l'importo",IF(NOT(ISNUMBER(D737)),"Importo non valido",IF(NOT(ISNUMBER(A737)),"Data mancante o non valida",IF(YEAR(A737)&lt;&gt;Impostazioni!$C$4,"Fuori dall'anno",IF(C737="","Manca la categoria",IF(ISNA(MATCH(C737,Categorie!$A$6:$A$65,0)),"Categoria non trovata",IF(G737="","Categoria senza tipo",""))))))))</f>
        <v/>
      </c>
    </row>
    <row r="738">
      <c r="A738" s="29" t="n"/>
      <c r="B738" s="17" t="n"/>
      <c r="C738" s="17" t="n"/>
      <c r="D738" s="16" t="n"/>
      <c r="E738" s="30" t="n"/>
      <c r="F738" s="17" t="n"/>
      <c r="G738" s="31">
        <f>IF(C738="","",IFERROR(INDEX(Categorie!$B$6:$B$65,MATCH(C738,Categorie!$A$6:$A$65,0))&amp;"",""))</f>
        <v/>
      </c>
      <c r="H738" s="32">
        <f>IF(AND(A738="",C738="",D738=""),"",IF(D738="","Manca l'importo",IF(NOT(ISNUMBER(D738)),"Importo non valido",IF(NOT(ISNUMBER(A738)),"Data mancante o non valida",IF(YEAR(A738)&lt;&gt;Impostazioni!$C$4,"Fuori dall'anno",IF(C738="","Manca la categoria",IF(ISNA(MATCH(C738,Categorie!$A$6:$A$65,0)),"Categoria non trovata",IF(G738="","Categoria senza tipo",""))))))))</f>
        <v/>
      </c>
    </row>
    <row r="739">
      <c r="A739" s="29" t="n"/>
      <c r="B739" s="17" t="n"/>
      <c r="C739" s="17" t="n"/>
      <c r="D739" s="16" t="n"/>
      <c r="E739" s="30" t="n"/>
      <c r="F739" s="17" t="n"/>
      <c r="G739" s="31">
        <f>IF(C739="","",IFERROR(INDEX(Categorie!$B$6:$B$65,MATCH(C739,Categorie!$A$6:$A$65,0))&amp;"",""))</f>
        <v/>
      </c>
      <c r="H739" s="32">
        <f>IF(AND(A739="",C739="",D739=""),"",IF(D739="","Manca l'importo",IF(NOT(ISNUMBER(D739)),"Importo non valido",IF(NOT(ISNUMBER(A739)),"Data mancante o non valida",IF(YEAR(A739)&lt;&gt;Impostazioni!$C$4,"Fuori dall'anno",IF(C739="","Manca la categoria",IF(ISNA(MATCH(C739,Categorie!$A$6:$A$65,0)),"Categoria non trovata",IF(G739="","Categoria senza tipo",""))))))))</f>
        <v/>
      </c>
    </row>
    <row r="740">
      <c r="A740" s="29" t="n"/>
      <c r="B740" s="17" t="n"/>
      <c r="C740" s="17" t="n"/>
      <c r="D740" s="16" t="n"/>
      <c r="E740" s="30" t="n"/>
      <c r="F740" s="17" t="n"/>
      <c r="G740" s="31">
        <f>IF(C740="","",IFERROR(INDEX(Categorie!$B$6:$B$65,MATCH(C740,Categorie!$A$6:$A$65,0))&amp;"",""))</f>
        <v/>
      </c>
      <c r="H740" s="32">
        <f>IF(AND(A740="",C740="",D740=""),"",IF(D740="","Manca l'importo",IF(NOT(ISNUMBER(D740)),"Importo non valido",IF(NOT(ISNUMBER(A740)),"Data mancante o non valida",IF(YEAR(A740)&lt;&gt;Impostazioni!$C$4,"Fuori dall'anno",IF(C740="","Manca la categoria",IF(ISNA(MATCH(C740,Categorie!$A$6:$A$65,0)),"Categoria non trovata",IF(G740="","Categoria senza tipo",""))))))))</f>
        <v/>
      </c>
    </row>
    <row r="741">
      <c r="A741" s="29" t="n"/>
      <c r="B741" s="17" t="n"/>
      <c r="C741" s="17" t="n"/>
      <c r="D741" s="16" t="n"/>
      <c r="E741" s="30" t="n"/>
      <c r="F741" s="17" t="n"/>
      <c r="G741" s="31">
        <f>IF(C741="","",IFERROR(INDEX(Categorie!$B$6:$B$65,MATCH(C741,Categorie!$A$6:$A$65,0))&amp;"",""))</f>
        <v/>
      </c>
      <c r="H741" s="32">
        <f>IF(AND(A741="",C741="",D741=""),"",IF(D741="","Manca l'importo",IF(NOT(ISNUMBER(D741)),"Importo non valido",IF(NOT(ISNUMBER(A741)),"Data mancante o non valida",IF(YEAR(A741)&lt;&gt;Impostazioni!$C$4,"Fuori dall'anno",IF(C741="","Manca la categoria",IF(ISNA(MATCH(C741,Categorie!$A$6:$A$65,0)),"Categoria non trovata",IF(G741="","Categoria senza tipo",""))))))))</f>
        <v/>
      </c>
    </row>
    <row r="742">
      <c r="A742" s="29" t="n"/>
      <c r="B742" s="17" t="n"/>
      <c r="C742" s="17" t="n"/>
      <c r="D742" s="16" t="n"/>
      <c r="E742" s="30" t="n"/>
      <c r="F742" s="17" t="n"/>
      <c r="G742" s="31">
        <f>IF(C742="","",IFERROR(INDEX(Categorie!$B$6:$B$65,MATCH(C742,Categorie!$A$6:$A$65,0))&amp;"",""))</f>
        <v/>
      </c>
      <c r="H742" s="32">
        <f>IF(AND(A742="",C742="",D742=""),"",IF(D742="","Manca l'importo",IF(NOT(ISNUMBER(D742)),"Importo non valido",IF(NOT(ISNUMBER(A742)),"Data mancante o non valida",IF(YEAR(A742)&lt;&gt;Impostazioni!$C$4,"Fuori dall'anno",IF(C742="","Manca la categoria",IF(ISNA(MATCH(C742,Categorie!$A$6:$A$65,0)),"Categoria non trovata",IF(G742="","Categoria senza tipo",""))))))))</f>
        <v/>
      </c>
    </row>
    <row r="743">
      <c r="A743" s="29" t="n"/>
      <c r="B743" s="17" t="n"/>
      <c r="C743" s="17" t="n"/>
      <c r="D743" s="16" t="n"/>
      <c r="E743" s="30" t="n"/>
      <c r="F743" s="17" t="n"/>
      <c r="G743" s="31">
        <f>IF(C743="","",IFERROR(INDEX(Categorie!$B$6:$B$65,MATCH(C743,Categorie!$A$6:$A$65,0))&amp;"",""))</f>
        <v/>
      </c>
      <c r="H743" s="32">
        <f>IF(AND(A743="",C743="",D743=""),"",IF(D743="","Manca l'importo",IF(NOT(ISNUMBER(D743)),"Importo non valido",IF(NOT(ISNUMBER(A743)),"Data mancante o non valida",IF(YEAR(A743)&lt;&gt;Impostazioni!$C$4,"Fuori dall'anno",IF(C743="","Manca la categoria",IF(ISNA(MATCH(C743,Categorie!$A$6:$A$65,0)),"Categoria non trovata",IF(G743="","Categoria senza tipo",""))))))))</f>
        <v/>
      </c>
    </row>
    <row r="744">
      <c r="A744" s="29" t="n"/>
      <c r="B744" s="17" t="n"/>
      <c r="C744" s="17" t="n"/>
      <c r="D744" s="16" t="n"/>
      <c r="E744" s="30" t="n"/>
      <c r="F744" s="17" t="n"/>
      <c r="G744" s="31">
        <f>IF(C744="","",IFERROR(INDEX(Categorie!$B$6:$B$65,MATCH(C744,Categorie!$A$6:$A$65,0))&amp;"",""))</f>
        <v/>
      </c>
      <c r="H744" s="32">
        <f>IF(AND(A744="",C744="",D744=""),"",IF(D744="","Manca l'importo",IF(NOT(ISNUMBER(D744)),"Importo non valido",IF(NOT(ISNUMBER(A744)),"Data mancante o non valida",IF(YEAR(A744)&lt;&gt;Impostazioni!$C$4,"Fuori dall'anno",IF(C744="","Manca la categoria",IF(ISNA(MATCH(C744,Categorie!$A$6:$A$65,0)),"Categoria non trovata",IF(G744="","Categoria senza tipo",""))))))))</f>
        <v/>
      </c>
    </row>
    <row r="745">
      <c r="A745" s="29" t="n"/>
      <c r="B745" s="17" t="n"/>
      <c r="C745" s="17" t="n"/>
      <c r="D745" s="16" t="n"/>
      <c r="E745" s="30" t="n"/>
      <c r="F745" s="17" t="n"/>
      <c r="G745" s="31">
        <f>IF(C745="","",IFERROR(INDEX(Categorie!$B$6:$B$65,MATCH(C745,Categorie!$A$6:$A$65,0))&amp;"",""))</f>
        <v/>
      </c>
      <c r="H745" s="32">
        <f>IF(AND(A745="",C745="",D745=""),"",IF(D745="","Manca l'importo",IF(NOT(ISNUMBER(D745)),"Importo non valido",IF(NOT(ISNUMBER(A745)),"Data mancante o non valida",IF(YEAR(A745)&lt;&gt;Impostazioni!$C$4,"Fuori dall'anno",IF(C745="","Manca la categoria",IF(ISNA(MATCH(C745,Categorie!$A$6:$A$65,0)),"Categoria non trovata",IF(G745="","Categoria senza tipo",""))))))))</f>
        <v/>
      </c>
    </row>
    <row r="746">
      <c r="A746" s="29" t="n"/>
      <c r="B746" s="17" t="n"/>
      <c r="C746" s="17" t="n"/>
      <c r="D746" s="16" t="n"/>
      <c r="E746" s="30" t="n"/>
      <c r="F746" s="17" t="n"/>
      <c r="G746" s="31">
        <f>IF(C746="","",IFERROR(INDEX(Categorie!$B$6:$B$65,MATCH(C746,Categorie!$A$6:$A$65,0))&amp;"",""))</f>
        <v/>
      </c>
      <c r="H746" s="32">
        <f>IF(AND(A746="",C746="",D746=""),"",IF(D746="","Manca l'importo",IF(NOT(ISNUMBER(D746)),"Importo non valido",IF(NOT(ISNUMBER(A746)),"Data mancante o non valida",IF(YEAR(A746)&lt;&gt;Impostazioni!$C$4,"Fuori dall'anno",IF(C746="","Manca la categoria",IF(ISNA(MATCH(C746,Categorie!$A$6:$A$65,0)),"Categoria non trovata",IF(G746="","Categoria senza tipo",""))))))))</f>
        <v/>
      </c>
    </row>
    <row r="747">
      <c r="A747" s="29" t="n"/>
      <c r="B747" s="17" t="n"/>
      <c r="C747" s="17" t="n"/>
      <c r="D747" s="16" t="n"/>
      <c r="E747" s="30" t="n"/>
      <c r="F747" s="17" t="n"/>
      <c r="G747" s="31">
        <f>IF(C747="","",IFERROR(INDEX(Categorie!$B$6:$B$65,MATCH(C747,Categorie!$A$6:$A$65,0))&amp;"",""))</f>
        <v/>
      </c>
      <c r="H747" s="32">
        <f>IF(AND(A747="",C747="",D747=""),"",IF(D747="","Manca l'importo",IF(NOT(ISNUMBER(D747)),"Importo non valido",IF(NOT(ISNUMBER(A747)),"Data mancante o non valida",IF(YEAR(A747)&lt;&gt;Impostazioni!$C$4,"Fuori dall'anno",IF(C747="","Manca la categoria",IF(ISNA(MATCH(C747,Categorie!$A$6:$A$65,0)),"Categoria non trovata",IF(G747="","Categoria senza tipo",""))))))))</f>
        <v/>
      </c>
    </row>
    <row r="748">
      <c r="A748" s="29" t="n"/>
      <c r="B748" s="17" t="n"/>
      <c r="C748" s="17" t="n"/>
      <c r="D748" s="16" t="n"/>
      <c r="E748" s="30" t="n"/>
      <c r="F748" s="17" t="n"/>
      <c r="G748" s="31">
        <f>IF(C748="","",IFERROR(INDEX(Categorie!$B$6:$B$65,MATCH(C748,Categorie!$A$6:$A$65,0))&amp;"",""))</f>
        <v/>
      </c>
      <c r="H748" s="32">
        <f>IF(AND(A748="",C748="",D748=""),"",IF(D748="","Manca l'importo",IF(NOT(ISNUMBER(D748)),"Importo non valido",IF(NOT(ISNUMBER(A748)),"Data mancante o non valida",IF(YEAR(A748)&lt;&gt;Impostazioni!$C$4,"Fuori dall'anno",IF(C748="","Manca la categoria",IF(ISNA(MATCH(C748,Categorie!$A$6:$A$65,0)),"Categoria non trovata",IF(G748="","Categoria senza tipo",""))))))))</f>
        <v/>
      </c>
    </row>
    <row r="749">
      <c r="A749" s="29" t="n"/>
      <c r="B749" s="17" t="n"/>
      <c r="C749" s="17" t="n"/>
      <c r="D749" s="16" t="n"/>
      <c r="E749" s="30" t="n"/>
      <c r="F749" s="17" t="n"/>
      <c r="G749" s="31">
        <f>IF(C749="","",IFERROR(INDEX(Categorie!$B$6:$B$65,MATCH(C749,Categorie!$A$6:$A$65,0))&amp;"",""))</f>
        <v/>
      </c>
      <c r="H749" s="32">
        <f>IF(AND(A749="",C749="",D749=""),"",IF(D749="","Manca l'importo",IF(NOT(ISNUMBER(D749)),"Importo non valido",IF(NOT(ISNUMBER(A749)),"Data mancante o non valida",IF(YEAR(A749)&lt;&gt;Impostazioni!$C$4,"Fuori dall'anno",IF(C749="","Manca la categoria",IF(ISNA(MATCH(C749,Categorie!$A$6:$A$65,0)),"Categoria non trovata",IF(G749="","Categoria senza tipo",""))))))))</f>
        <v/>
      </c>
    </row>
    <row r="750">
      <c r="A750" s="29" t="n"/>
      <c r="B750" s="17" t="n"/>
      <c r="C750" s="17" t="n"/>
      <c r="D750" s="16" t="n"/>
      <c r="E750" s="30" t="n"/>
      <c r="F750" s="17" t="n"/>
      <c r="G750" s="31">
        <f>IF(C750="","",IFERROR(INDEX(Categorie!$B$6:$B$65,MATCH(C750,Categorie!$A$6:$A$65,0))&amp;"",""))</f>
        <v/>
      </c>
      <c r="H750" s="32">
        <f>IF(AND(A750="",C750="",D750=""),"",IF(D750="","Manca l'importo",IF(NOT(ISNUMBER(D750)),"Importo non valido",IF(NOT(ISNUMBER(A750)),"Data mancante o non valida",IF(YEAR(A750)&lt;&gt;Impostazioni!$C$4,"Fuori dall'anno",IF(C750="","Manca la categoria",IF(ISNA(MATCH(C750,Categorie!$A$6:$A$65,0)),"Categoria non trovata",IF(G750="","Categoria senza tipo",""))))))))</f>
        <v/>
      </c>
    </row>
    <row r="751">
      <c r="A751" s="29" t="n"/>
      <c r="B751" s="17" t="n"/>
      <c r="C751" s="17" t="n"/>
      <c r="D751" s="16" t="n"/>
      <c r="E751" s="30" t="n"/>
      <c r="F751" s="17" t="n"/>
      <c r="G751" s="31">
        <f>IF(C751="","",IFERROR(INDEX(Categorie!$B$6:$B$65,MATCH(C751,Categorie!$A$6:$A$65,0))&amp;"",""))</f>
        <v/>
      </c>
      <c r="H751" s="32">
        <f>IF(AND(A751="",C751="",D751=""),"",IF(D751="","Manca l'importo",IF(NOT(ISNUMBER(D751)),"Importo non valido",IF(NOT(ISNUMBER(A751)),"Data mancante o non valida",IF(YEAR(A751)&lt;&gt;Impostazioni!$C$4,"Fuori dall'anno",IF(C751="","Manca la categoria",IF(ISNA(MATCH(C751,Categorie!$A$6:$A$65,0)),"Categoria non trovata",IF(G751="","Categoria senza tipo",""))))))))</f>
        <v/>
      </c>
    </row>
    <row r="752">
      <c r="A752" s="29" t="n"/>
      <c r="B752" s="17" t="n"/>
      <c r="C752" s="17" t="n"/>
      <c r="D752" s="16" t="n"/>
      <c r="E752" s="30" t="n"/>
      <c r="F752" s="17" t="n"/>
      <c r="G752" s="31">
        <f>IF(C752="","",IFERROR(INDEX(Categorie!$B$6:$B$65,MATCH(C752,Categorie!$A$6:$A$65,0))&amp;"",""))</f>
        <v/>
      </c>
      <c r="H752" s="32">
        <f>IF(AND(A752="",C752="",D752=""),"",IF(D752="","Manca l'importo",IF(NOT(ISNUMBER(D752)),"Importo non valido",IF(NOT(ISNUMBER(A752)),"Data mancante o non valida",IF(YEAR(A752)&lt;&gt;Impostazioni!$C$4,"Fuori dall'anno",IF(C752="","Manca la categoria",IF(ISNA(MATCH(C752,Categorie!$A$6:$A$65,0)),"Categoria non trovata",IF(G752="","Categoria senza tipo",""))))))))</f>
        <v/>
      </c>
    </row>
    <row r="753">
      <c r="A753" s="29" t="n"/>
      <c r="B753" s="17" t="n"/>
      <c r="C753" s="17" t="n"/>
      <c r="D753" s="16" t="n"/>
      <c r="E753" s="30" t="n"/>
      <c r="F753" s="17" t="n"/>
      <c r="G753" s="31">
        <f>IF(C753="","",IFERROR(INDEX(Categorie!$B$6:$B$65,MATCH(C753,Categorie!$A$6:$A$65,0))&amp;"",""))</f>
        <v/>
      </c>
      <c r="H753" s="32">
        <f>IF(AND(A753="",C753="",D753=""),"",IF(D753="","Manca l'importo",IF(NOT(ISNUMBER(D753)),"Importo non valido",IF(NOT(ISNUMBER(A753)),"Data mancante o non valida",IF(YEAR(A753)&lt;&gt;Impostazioni!$C$4,"Fuori dall'anno",IF(C753="","Manca la categoria",IF(ISNA(MATCH(C753,Categorie!$A$6:$A$65,0)),"Categoria non trovata",IF(G753="","Categoria senza tipo",""))))))))</f>
        <v/>
      </c>
    </row>
    <row r="754">
      <c r="A754" s="29" t="n"/>
      <c r="B754" s="17" t="n"/>
      <c r="C754" s="17" t="n"/>
      <c r="D754" s="16" t="n"/>
      <c r="E754" s="30" t="n"/>
      <c r="F754" s="17" t="n"/>
      <c r="G754" s="31">
        <f>IF(C754="","",IFERROR(INDEX(Categorie!$B$6:$B$65,MATCH(C754,Categorie!$A$6:$A$65,0))&amp;"",""))</f>
        <v/>
      </c>
      <c r="H754" s="32">
        <f>IF(AND(A754="",C754="",D754=""),"",IF(D754="","Manca l'importo",IF(NOT(ISNUMBER(D754)),"Importo non valido",IF(NOT(ISNUMBER(A754)),"Data mancante o non valida",IF(YEAR(A754)&lt;&gt;Impostazioni!$C$4,"Fuori dall'anno",IF(C754="","Manca la categoria",IF(ISNA(MATCH(C754,Categorie!$A$6:$A$65,0)),"Categoria non trovata",IF(G754="","Categoria senza tipo",""))))))))</f>
        <v/>
      </c>
    </row>
    <row r="755">
      <c r="A755" s="29" t="n"/>
      <c r="B755" s="17" t="n"/>
      <c r="C755" s="17" t="n"/>
      <c r="D755" s="16" t="n"/>
      <c r="E755" s="30" t="n"/>
      <c r="F755" s="17" t="n"/>
      <c r="G755" s="31">
        <f>IF(C755="","",IFERROR(INDEX(Categorie!$B$6:$B$65,MATCH(C755,Categorie!$A$6:$A$65,0))&amp;"",""))</f>
        <v/>
      </c>
      <c r="H755" s="32">
        <f>IF(AND(A755="",C755="",D755=""),"",IF(D755="","Manca l'importo",IF(NOT(ISNUMBER(D755)),"Importo non valido",IF(NOT(ISNUMBER(A755)),"Data mancante o non valida",IF(YEAR(A755)&lt;&gt;Impostazioni!$C$4,"Fuori dall'anno",IF(C755="","Manca la categoria",IF(ISNA(MATCH(C755,Categorie!$A$6:$A$65,0)),"Categoria non trovata",IF(G755="","Categoria senza tipo",""))))))))</f>
        <v/>
      </c>
    </row>
    <row r="756">
      <c r="A756" s="29" t="n"/>
      <c r="B756" s="17" t="n"/>
      <c r="C756" s="17" t="n"/>
      <c r="D756" s="16" t="n"/>
      <c r="E756" s="30" t="n"/>
      <c r="F756" s="17" t="n"/>
      <c r="G756" s="31">
        <f>IF(C756="","",IFERROR(INDEX(Categorie!$B$6:$B$65,MATCH(C756,Categorie!$A$6:$A$65,0))&amp;"",""))</f>
        <v/>
      </c>
      <c r="H756" s="32">
        <f>IF(AND(A756="",C756="",D756=""),"",IF(D756="","Manca l'importo",IF(NOT(ISNUMBER(D756)),"Importo non valido",IF(NOT(ISNUMBER(A756)),"Data mancante o non valida",IF(YEAR(A756)&lt;&gt;Impostazioni!$C$4,"Fuori dall'anno",IF(C756="","Manca la categoria",IF(ISNA(MATCH(C756,Categorie!$A$6:$A$65,0)),"Categoria non trovata",IF(G756="","Categoria senza tipo",""))))))))</f>
        <v/>
      </c>
    </row>
    <row r="757">
      <c r="A757" s="29" t="n"/>
      <c r="B757" s="17" t="n"/>
      <c r="C757" s="17" t="n"/>
      <c r="D757" s="16" t="n"/>
      <c r="E757" s="30" t="n"/>
      <c r="F757" s="17" t="n"/>
      <c r="G757" s="31">
        <f>IF(C757="","",IFERROR(INDEX(Categorie!$B$6:$B$65,MATCH(C757,Categorie!$A$6:$A$65,0))&amp;"",""))</f>
        <v/>
      </c>
      <c r="H757" s="32">
        <f>IF(AND(A757="",C757="",D757=""),"",IF(D757="","Manca l'importo",IF(NOT(ISNUMBER(D757)),"Importo non valido",IF(NOT(ISNUMBER(A757)),"Data mancante o non valida",IF(YEAR(A757)&lt;&gt;Impostazioni!$C$4,"Fuori dall'anno",IF(C757="","Manca la categoria",IF(ISNA(MATCH(C757,Categorie!$A$6:$A$65,0)),"Categoria non trovata",IF(G757="","Categoria senza tipo",""))))))))</f>
        <v/>
      </c>
    </row>
    <row r="758">
      <c r="A758" s="29" t="n"/>
      <c r="B758" s="17" t="n"/>
      <c r="C758" s="17" t="n"/>
      <c r="D758" s="16" t="n"/>
      <c r="E758" s="30" t="n"/>
      <c r="F758" s="17" t="n"/>
      <c r="G758" s="31">
        <f>IF(C758="","",IFERROR(INDEX(Categorie!$B$6:$B$65,MATCH(C758,Categorie!$A$6:$A$65,0))&amp;"",""))</f>
        <v/>
      </c>
      <c r="H758" s="32">
        <f>IF(AND(A758="",C758="",D758=""),"",IF(D758="","Manca l'importo",IF(NOT(ISNUMBER(D758)),"Importo non valido",IF(NOT(ISNUMBER(A758)),"Data mancante o non valida",IF(YEAR(A758)&lt;&gt;Impostazioni!$C$4,"Fuori dall'anno",IF(C758="","Manca la categoria",IF(ISNA(MATCH(C758,Categorie!$A$6:$A$65,0)),"Categoria non trovata",IF(G758="","Categoria senza tipo",""))))))))</f>
        <v/>
      </c>
    </row>
    <row r="759">
      <c r="A759" s="29" t="n"/>
      <c r="B759" s="17" t="n"/>
      <c r="C759" s="17" t="n"/>
      <c r="D759" s="16" t="n"/>
      <c r="E759" s="30" t="n"/>
      <c r="F759" s="17" t="n"/>
      <c r="G759" s="31">
        <f>IF(C759="","",IFERROR(INDEX(Categorie!$B$6:$B$65,MATCH(C759,Categorie!$A$6:$A$65,0))&amp;"",""))</f>
        <v/>
      </c>
      <c r="H759" s="32">
        <f>IF(AND(A759="",C759="",D759=""),"",IF(D759="","Manca l'importo",IF(NOT(ISNUMBER(D759)),"Importo non valido",IF(NOT(ISNUMBER(A759)),"Data mancante o non valida",IF(YEAR(A759)&lt;&gt;Impostazioni!$C$4,"Fuori dall'anno",IF(C759="","Manca la categoria",IF(ISNA(MATCH(C759,Categorie!$A$6:$A$65,0)),"Categoria non trovata",IF(G759="","Categoria senza tipo",""))))))))</f>
        <v/>
      </c>
    </row>
    <row r="760">
      <c r="A760" s="29" t="n"/>
      <c r="B760" s="17" t="n"/>
      <c r="C760" s="17" t="n"/>
      <c r="D760" s="16" t="n"/>
      <c r="E760" s="30" t="n"/>
      <c r="F760" s="17" t="n"/>
      <c r="G760" s="31">
        <f>IF(C760="","",IFERROR(INDEX(Categorie!$B$6:$B$65,MATCH(C760,Categorie!$A$6:$A$65,0))&amp;"",""))</f>
        <v/>
      </c>
      <c r="H760" s="32">
        <f>IF(AND(A760="",C760="",D760=""),"",IF(D760="","Manca l'importo",IF(NOT(ISNUMBER(D760)),"Importo non valido",IF(NOT(ISNUMBER(A760)),"Data mancante o non valida",IF(YEAR(A760)&lt;&gt;Impostazioni!$C$4,"Fuori dall'anno",IF(C760="","Manca la categoria",IF(ISNA(MATCH(C760,Categorie!$A$6:$A$65,0)),"Categoria non trovata",IF(G760="","Categoria senza tipo",""))))))))</f>
        <v/>
      </c>
    </row>
    <row r="761">
      <c r="A761" s="29" t="n"/>
      <c r="B761" s="17" t="n"/>
      <c r="C761" s="17" t="n"/>
      <c r="D761" s="16" t="n"/>
      <c r="E761" s="30" t="n"/>
      <c r="F761" s="17" t="n"/>
      <c r="G761" s="31">
        <f>IF(C761="","",IFERROR(INDEX(Categorie!$B$6:$B$65,MATCH(C761,Categorie!$A$6:$A$65,0))&amp;"",""))</f>
        <v/>
      </c>
      <c r="H761" s="32">
        <f>IF(AND(A761="",C761="",D761=""),"",IF(D761="","Manca l'importo",IF(NOT(ISNUMBER(D761)),"Importo non valido",IF(NOT(ISNUMBER(A761)),"Data mancante o non valida",IF(YEAR(A761)&lt;&gt;Impostazioni!$C$4,"Fuori dall'anno",IF(C761="","Manca la categoria",IF(ISNA(MATCH(C761,Categorie!$A$6:$A$65,0)),"Categoria non trovata",IF(G761="","Categoria senza tipo",""))))))))</f>
        <v/>
      </c>
    </row>
    <row r="762">
      <c r="A762" s="29" t="n"/>
      <c r="B762" s="17" t="n"/>
      <c r="C762" s="17" t="n"/>
      <c r="D762" s="16" t="n"/>
      <c r="E762" s="30" t="n"/>
      <c r="F762" s="17" t="n"/>
      <c r="G762" s="31">
        <f>IF(C762="","",IFERROR(INDEX(Categorie!$B$6:$B$65,MATCH(C762,Categorie!$A$6:$A$65,0))&amp;"",""))</f>
        <v/>
      </c>
      <c r="H762" s="32">
        <f>IF(AND(A762="",C762="",D762=""),"",IF(D762="","Manca l'importo",IF(NOT(ISNUMBER(D762)),"Importo non valido",IF(NOT(ISNUMBER(A762)),"Data mancante o non valida",IF(YEAR(A762)&lt;&gt;Impostazioni!$C$4,"Fuori dall'anno",IF(C762="","Manca la categoria",IF(ISNA(MATCH(C762,Categorie!$A$6:$A$65,0)),"Categoria non trovata",IF(G762="","Categoria senza tipo",""))))))))</f>
        <v/>
      </c>
    </row>
    <row r="763">
      <c r="A763" s="29" t="n"/>
      <c r="B763" s="17" t="n"/>
      <c r="C763" s="17" t="n"/>
      <c r="D763" s="16" t="n"/>
      <c r="E763" s="30" t="n"/>
      <c r="F763" s="17" t="n"/>
      <c r="G763" s="31">
        <f>IF(C763="","",IFERROR(INDEX(Categorie!$B$6:$B$65,MATCH(C763,Categorie!$A$6:$A$65,0))&amp;"",""))</f>
        <v/>
      </c>
      <c r="H763" s="32">
        <f>IF(AND(A763="",C763="",D763=""),"",IF(D763="","Manca l'importo",IF(NOT(ISNUMBER(D763)),"Importo non valido",IF(NOT(ISNUMBER(A763)),"Data mancante o non valida",IF(YEAR(A763)&lt;&gt;Impostazioni!$C$4,"Fuori dall'anno",IF(C763="","Manca la categoria",IF(ISNA(MATCH(C763,Categorie!$A$6:$A$65,0)),"Categoria non trovata",IF(G763="","Categoria senza tipo",""))))))))</f>
        <v/>
      </c>
    </row>
    <row r="764">
      <c r="A764" s="29" t="n"/>
      <c r="B764" s="17" t="n"/>
      <c r="C764" s="17" t="n"/>
      <c r="D764" s="16" t="n"/>
      <c r="E764" s="30" t="n"/>
      <c r="F764" s="17" t="n"/>
      <c r="G764" s="31">
        <f>IF(C764="","",IFERROR(INDEX(Categorie!$B$6:$B$65,MATCH(C764,Categorie!$A$6:$A$65,0))&amp;"",""))</f>
        <v/>
      </c>
      <c r="H764" s="32">
        <f>IF(AND(A764="",C764="",D764=""),"",IF(D764="","Manca l'importo",IF(NOT(ISNUMBER(D764)),"Importo non valido",IF(NOT(ISNUMBER(A764)),"Data mancante o non valida",IF(YEAR(A764)&lt;&gt;Impostazioni!$C$4,"Fuori dall'anno",IF(C764="","Manca la categoria",IF(ISNA(MATCH(C764,Categorie!$A$6:$A$65,0)),"Categoria non trovata",IF(G764="","Categoria senza tipo",""))))))))</f>
        <v/>
      </c>
    </row>
    <row r="765">
      <c r="A765" s="29" t="n"/>
      <c r="B765" s="17" t="n"/>
      <c r="C765" s="17" t="n"/>
      <c r="D765" s="16" t="n"/>
      <c r="E765" s="30" t="n"/>
      <c r="F765" s="17" t="n"/>
      <c r="G765" s="31">
        <f>IF(C765="","",IFERROR(INDEX(Categorie!$B$6:$B$65,MATCH(C765,Categorie!$A$6:$A$65,0))&amp;"",""))</f>
        <v/>
      </c>
      <c r="H765" s="32">
        <f>IF(AND(A765="",C765="",D765=""),"",IF(D765="","Manca l'importo",IF(NOT(ISNUMBER(D765)),"Importo non valido",IF(NOT(ISNUMBER(A765)),"Data mancante o non valida",IF(YEAR(A765)&lt;&gt;Impostazioni!$C$4,"Fuori dall'anno",IF(C765="","Manca la categoria",IF(ISNA(MATCH(C765,Categorie!$A$6:$A$65,0)),"Categoria non trovata",IF(G765="","Categoria senza tipo",""))))))))</f>
        <v/>
      </c>
    </row>
    <row r="766">
      <c r="A766" s="29" t="n"/>
      <c r="B766" s="17" t="n"/>
      <c r="C766" s="17" t="n"/>
      <c r="D766" s="16" t="n"/>
      <c r="E766" s="30" t="n"/>
      <c r="F766" s="17" t="n"/>
      <c r="G766" s="31">
        <f>IF(C766="","",IFERROR(INDEX(Categorie!$B$6:$B$65,MATCH(C766,Categorie!$A$6:$A$65,0))&amp;"",""))</f>
        <v/>
      </c>
      <c r="H766" s="32">
        <f>IF(AND(A766="",C766="",D766=""),"",IF(D766="","Manca l'importo",IF(NOT(ISNUMBER(D766)),"Importo non valido",IF(NOT(ISNUMBER(A766)),"Data mancante o non valida",IF(YEAR(A766)&lt;&gt;Impostazioni!$C$4,"Fuori dall'anno",IF(C766="","Manca la categoria",IF(ISNA(MATCH(C766,Categorie!$A$6:$A$65,0)),"Categoria non trovata",IF(G766="","Categoria senza tipo",""))))))))</f>
        <v/>
      </c>
    </row>
    <row r="767">
      <c r="A767" s="29" t="n"/>
      <c r="B767" s="17" t="n"/>
      <c r="C767" s="17" t="n"/>
      <c r="D767" s="16" t="n"/>
      <c r="E767" s="30" t="n"/>
      <c r="F767" s="17" t="n"/>
      <c r="G767" s="31">
        <f>IF(C767="","",IFERROR(INDEX(Categorie!$B$6:$B$65,MATCH(C767,Categorie!$A$6:$A$65,0))&amp;"",""))</f>
        <v/>
      </c>
      <c r="H767" s="32">
        <f>IF(AND(A767="",C767="",D767=""),"",IF(D767="","Manca l'importo",IF(NOT(ISNUMBER(D767)),"Importo non valido",IF(NOT(ISNUMBER(A767)),"Data mancante o non valida",IF(YEAR(A767)&lt;&gt;Impostazioni!$C$4,"Fuori dall'anno",IF(C767="","Manca la categoria",IF(ISNA(MATCH(C767,Categorie!$A$6:$A$65,0)),"Categoria non trovata",IF(G767="","Categoria senza tipo",""))))))))</f>
        <v/>
      </c>
    </row>
    <row r="768">
      <c r="A768" s="29" t="n"/>
      <c r="B768" s="17" t="n"/>
      <c r="C768" s="17" t="n"/>
      <c r="D768" s="16" t="n"/>
      <c r="E768" s="30" t="n"/>
      <c r="F768" s="17" t="n"/>
      <c r="G768" s="31">
        <f>IF(C768="","",IFERROR(INDEX(Categorie!$B$6:$B$65,MATCH(C768,Categorie!$A$6:$A$65,0))&amp;"",""))</f>
        <v/>
      </c>
      <c r="H768" s="32">
        <f>IF(AND(A768="",C768="",D768=""),"",IF(D768="","Manca l'importo",IF(NOT(ISNUMBER(D768)),"Importo non valido",IF(NOT(ISNUMBER(A768)),"Data mancante o non valida",IF(YEAR(A768)&lt;&gt;Impostazioni!$C$4,"Fuori dall'anno",IF(C768="","Manca la categoria",IF(ISNA(MATCH(C768,Categorie!$A$6:$A$65,0)),"Categoria non trovata",IF(G768="","Categoria senza tipo",""))))))))</f>
        <v/>
      </c>
    </row>
    <row r="769">
      <c r="A769" s="29" t="n"/>
      <c r="B769" s="17" t="n"/>
      <c r="C769" s="17" t="n"/>
      <c r="D769" s="16" t="n"/>
      <c r="E769" s="30" t="n"/>
      <c r="F769" s="17" t="n"/>
      <c r="G769" s="31">
        <f>IF(C769="","",IFERROR(INDEX(Categorie!$B$6:$B$65,MATCH(C769,Categorie!$A$6:$A$65,0))&amp;"",""))</f>
        <v/>
      </c>
      <c r="H769" s="32">
        <f>IF(AND(A769="",C769="",D769=""),"",IF(D769="","Manca l'importo",IF(NOT(ISNUMBER(D769)),"Importo non valido",IF(NOT(ISNUMBER(A769)),"Data mancante o non valida",IF(YEAR(A769)&lt;&gt;Impostazioni!$C$4,"Fuori dall'anno",IF(C769="","Manca la categoria",IF(ISNA(MATCH(C769,Categorie!$A$6:$A$65,0)),"Categoria non trovata",IF(G769="","Categoria senza tipo",""))))))))</f>
        <v/>
      </c>
    </row>
    <row r="770">
      <c r="A770" s="29" t="n"/>
      <c r="B770" s="17" t="n"/>
      <c r="C770" s="17" t="n"/>
      <c r="D770" s="16" t="n"/>
      <c r="E770" s="30" t="n"/>
      <c r="F770" s="17" t="n"/>
      <c r="G770" s="31">
        <f>IF(C770="","",IFERROR(INDEX(Categorie!$B$6:$B$65,MATCH(C770,Categorie!$A$6:$A$65,0))&amp;"",""))</f>
        <v/>
      </c>
      <c r="H770" s="32">
        <f>IF(AND(A770="",C770="",D770=""),"",IF(D770="","Manca l'importo",IF(NOT(ISNUMBER(D770)),"Importo non valido",IF(NOT(ISNUMBER(A770)),"Data mancante o non valida",IF(YEAR(A770)&lt;&gt;Impostazioni!$C$4,"Fuori dall'anno",IF(C770="","Manca la categoria",IF(ISNA(MATCH(C770,Categorie!$A$6:$A$65,0)),"Categoria non trovata",IF(G770="","Categoria senza tipo",""))))))))</f>
        <v/>
      </c>
    </row>
    <row r="771">
      <c r="A771" s="29" t="n"/>
      <c r="B771" s="17" t="n"/>
      <c r="C771" s="17" t="n"/>
      <c r="D771" s="16" t="n"/>
      <c r="E771" s="30" t="n"/>
      <c r="F771" s="17" t="n"/>
      <c r="G771" s="31">
        <f>IF(C771="","",IFERROR(INDEX(Categorie!$B$6:$B$65,MATCH(C771,Categorie!$A$6:$A$65,0))&amp;"",""))</f>
        <v/>
      </c>
      <c r="H771" s="32">
        <f>IF(AND(A771="",C771="",D771=""),"",IF(D771="","Manca l'importo",IF(NOT(ISNUMBER(D771)),"Importo non valido",IF(NOT(ISNUMBER(A771)),"Data mancante o non valida",IF(YEAR(A771)&lt;&gt;Impostazioni!$C$4,"Fuori dall'anno",IF(C771="","Manca la categoria",IF(ISNA(MATCH(C771,Categorie!$A$6:$A$65,0)),"Categoria non trovata",IF(G771="","Categoria senza tipo",""))))))))</f>
        <v/>
      </c>
    </row>
    <row r="772">
      <c r="A772" s="29" t="n"/>
      <c r="B772" s="17" t="n"/>
      <c r="C772" s="17" t="n"/>
      <c r="D772" s="16" t="n"/>
      <c r="E772" s="30" t="n"/>
      <c r="F772" s="17" t="n"/>
      <c r="G772" s="31">
        <f>IF(C772="","",IFERROR(INDEX(Categorie!$B$6:$B$65,MATCH(C772,Categorie!$A$6:$A$65,0))&amp;"",""))</f>
        <v/>
      </c>
      <c r="H772" s="32">
        <f>IF(AND(A772="",C772="",D772=""),"",IF(D772="","Manca l'importo",IF(NOT(ISNUMBER(D772)),"Importo non valido",IF(NOT(ISNUMBER(A772)),"Data mancante o non valida",IF(YEAR(A772)&lt;&gt;Impostazioni!$C$4,"Fuori dall'anno",IF(C772="","Manca la categoria",IF(ISNA(MATCH(C772,Categorie!$A$6:$A$65,0)),"Categoria non trovata",IF(G772="","Categoria senza tipo",""))))))))</f>
        <v/>
      </c>
    </row>
    <row r="773">
      <c r="A773" s="29" t="n"/>
      <c r="B773" s="17" t="n"/>
      <c r="C773" s="17" t="n"/>
      <c r="D773" s="16" t="n"/>
      <c r="E773" s="30" t="n"/>
      <c r="F773" s="17" t="n"/>
      <c r="G773" s="31">
        <f>IF(C773="","",IFERROR(INDEX(Categorie!$B$6:$B$65,MATCH(C773,Categorie!$A$6:$A$65,0))&amp;"",""))</f>
        <v/>
      </c>
      <c r="H773" s="32">
        <f>IF(AND(A773="",C773="",D773=""),"",IF(D773="","Manca l'importo",IF(NOT(ISNUMBER(D773)),"Importo non valido",IF(NOT(ISNUMBER(A773)),"Data mancante o non valida",IF(YEAR(A773)&lt;&gt;Impostazioni!$C$4,"Fuori dall'anno",IF(C773="","Manca la categoria",IF(ISNA(MATCH(C773,Categorie!$A$6:$A$65,0)),"Categoria non trovata",IF(G773="","Categoria senza tipo",""))))))))</f>
        <v/>
      </c>
    </row>
    <row r="774">
      <c r="A774" s="29" t="n"/>
      <c r="B774" s="17" t="n"/>
      <c r="C774" s="17" t="n"/>
      <c r="D774" s="16" t="n"/>
      <c r="E774" s="30" t="n"/>
      <c r="F774" s="17" t="n"/>
      <c r="G774" s="31">
        <f>IF(C774="","",IFERROR(INDEX(Categorie!$B$6:$B$65,MATCH(C774,Categorie!$A$6:$A$65,0))&amp;"",""))</f>
        <v/>
      </c>
      <c r="H774" s="32">
        <f>IF(AND(A774="",C774="",D774=""),"",IF(D774="","Manca l'importo",IF(NOT(ISNUMBER(D774)),"Importo non valido",IF(NOT(ISNUMBER(A774)),"Data mancante o non valida",IF(YEAR(A774)&lt;&gt;Impostazioni!$C$4,"Fuori dall'anno",IF(C774="","Manca la categoria",IF(ISNA(MATCH(C774,Categorie!$A$6:$A$65,0)),"Categoria non trovata",IF(G774="","Categoria senza tipo",""))))))))</f>
        <v/>
      </c>
    </row>
    <row r="775">
      <c r="A775" s="29" t="n"/>
      <c r="B775" s="17" t="n"/>
      <c r="C775" s="17" t="n"/>
      <c r="D775" s="16" t="n"/>
      <c r="E775" s="30" t="n"/>
      <c r="F775" s="17" t="n"/>
      <c r="G775" s="31">
        <f>IF(C775="","",IFERROR(INDEX(Categorie!$B$6:$B$65,MATCH(C775,Categorie!$A$6:$A$65,0))&amp;"",""))</f>
        <v/>
      </c>
      <c r="H775" s="32">
        <f>IF(AND(A775="",C775="",D775=""),"",IF(D775="","Manca l'importo",IF(NOT(ISNUMBER(D775)),"Importo non valido",IF(NOT(ISNUMBER(A775)),"Data mancante o non valida",IF(YEAR(A775)&lt;&gt;Impostazioni!$C$4,"Fuori dall'anno",IF(C775="","Manca la categoria",IF(ISNA(MATCH(C775,Categorie!$A$6:$A$65,0)),"Categoria non trovata",IF(G775="","Categoria senza tipo",""))))))))</f>
        <v/>
      </c>
    </row>
    <row r="776">
      <c r="A776" s="29" t="n"/>
      <c r="B776" s="17" t="n"/>
      <c r="C776" s="17" t="n"/>
      <c r="D776" s="16" t="n"/>
      <c r="E776" s="30" t="n"/>
      <c r="F776" s="17" t="n"/>
      <c r="G776" s="31">
        <f>IF(C776="","",IFERROR(INDEX(Categorie!$B$6:$B$65,MATCH(C776,Categorie!$A$6:$A$65,0))&amp;"",""))</f>
        <v/>
      </c>
      <c r="H776" s="32">
        <f>IF(AND(A776="",C776="",D776=""),"",IF(D776="","Manca l'importo",IF(NOT(ISNUMBER(D776)),"Importo non valido",IF(NOT(ISNUMBER(A776)),"Data mancante o non valida",IF(YEAR(A776)&lt;&gt;Impostazioni!$C$4,"Fuori dall'anno",IF(C776="","Manca la categoria",IF(ISNA(MATCH(C776,Categorie!$A$6:$A$65,0)),"Categoria non trovata",IF(G776="","Categoria senza tipo",""))))))))</f>
        <v/>
      </c>
    </row>
    <row r="777">
      <c r="A777" s="29" t="n"/>
      <c r="B777" s="17" t="n"/>
      <c r="C777" s="17" t="n"/>
      <c r="D777" s="16" t="n"/>
      <c r="E777" s="30" t="n"/>
      <c r="F777" s="17" t="n"/>
      <c r="G777" s="31">
        <f>IF(C777="","",IFERROR(INDEX(Categorie!$B$6:$B$65,MATCH(C777,Categorie!$A$6:$A$65,0))&amp;"",""))</f>
        <v/>
      </c>
      <c r="H777" s="32">
        <f>IF(AND(A777="",C777="",D777=""),"",IF(D777="","Manca l'importo",IF(NOT(ISNUMBER(D777)),"Importo non valido",IF(NOT(ISNUMBER(A777)),"Data mancante o non valida",IF(YEAR(A777)&lt;&gt;Impostazioni!$C$4,"Fuori dall'anno",IF(C777="","Manca la categoria",IF(ISNA(MATCH(C777,Categorie!$A$6:$A$65,0)),"Categoria non trovata",IF(G777="","Categoria senza tipo",""))))))))</f>
        <v/>
      </c>
    </row>
    <row r="778">
      <c r="A778" s="29" t="n"/>
      <c r="B778" s="17" t="n"/>
      <c r="C778" s="17" t="n"/>
      <c r="D778" s="16" t="n"/>
      <c r="E778" s="30" t="n"/>
      <c r="F778" s="17" t="n"/>
      <c r="G778" s="31">
        <f>IF(C778="","",IFERROR(INDEX(Categorie!$B$6:$B$65,MATCH(C778,Categorie!$A$6:$A$65,0))&amp;"",""))</f>
        <v/>
      </c>
      <c r="H778" s="32">
        <f>IF(AND(A778="",C778="",D778=""),"",IF(D778="","Manca l'importo",IF(NOT(ISNUMBER(D778)),"Importo non valido",IF(NOT(ISNUMBER(A778)),"Data mancante o non valida",IF(YEAR(A778)&lt;&gt;Impostazioni!$C$4,"Fuori dall'anno",IF(C778="","Manca la categoria",IF(ISNA(MATCH(C778,Categorie!$A$6:$A$65,0)),"Categoria non trovata",IF(G778="","Categoria senza tipo",""))))))))</f>
        <v/>
      </c>
    </row>
    <row r="779">
      <c r="A779" s="29" t="n"/>
      <c r="B779" s="17" t="n"/>
      <c r="C779" s="17" t="n"/>
      <c r="D779" s="16" t="n"/>
      <c r="E779" s="30" t="n"/>
      <c r="F779" s="17" t="n"/>
      <c r="G779" s="31">
        <f>IF(C779="","",IFERROR(INDEX(Categorie!$B$6:$B$65,MATCH(C779,Categorie!$A$6:$A$65,0))&amp;"",""))</f>
        <v/>
      </c>
      <c r="H779" s="32">
        <f>IF(AND(A779="",C779="",D779=""),"",IF(D779="","Manca l'importo",IF(NOT(ISNUMBER(D779)),"Importo non valido",IF(NOT(ISNUMBER(A779)),"Data mancante o non valida",IF(YEAR(A779)&lt;&gt;Impostazioni!$C$4,"Fuori dall'anno",IF(C779="","Manca la categoria",IF(ISNA(MATCH(C779,Categorie!$A$6:$A$65,0)),"Categoria non trovata",IF(G779="","Categoria senza tipo",""))))))))</f>
        <v/>
      </c>
    </row>
    <row r="780">
      <c r="A780" s="29" t="n"/>
      <c r="B780" s="17" t="n"/>
      <c r="C780" s="17" t="n"/>
      <c r="D780" s="16" t="n"/>
      <c r="E780" s="30" t="n"/>
      <c r="F780" s="17" t="n"/>
      <c r="G780" s="31">
        <f>IF(C780="","",IFERROR(INDEX(Categorie!$B$6:$B$65,MATCH(C780,Categorie!$A$6:$A$65,0))&amp;"",""))</f>
        <v/>
      </c>
      <c r="H780" s="32">
        <f>IF(AND(A780="",C780="",D780=""),"",IF(D780="","Manca l'importo",IF(NOT(ISNUMBER(D780)),"Importo non valido",IF(NOT(ISNUMBER(A780)),"Data mancante o non valida",IF(YEAR(A780)&lt;&gt;Impostazioni!$C$4,"Fuori dall'anno",IF(C780="","Manca la categoria",IF(ISNA(MATCH(C780,Categorie!$A$6:$A$65,0)),"Categoria non trovata",IF(G780="","Categoria senza tipo",""))))))))</f>
        <v/>
      </c>
    </row>
    <row r="781">
      <c r="A781" s="29" t="n"/>
      <c r="B781" s="17" t="n"/>
      <c r="C781" s="17" t="n"/>
      <c r="D781" s="16" t="n"/>
      <c r="E781" s="30" t="n"/>
      <c r="F781" s="17" t="n"/>
      <c r="G781" s="31">
        <f>IF(C781="","",IFERROR(INDEX(Categorie!$B$6:$B$65,MATCH(C781,Categorie!$A$6:$A$65,0))&amp;"",""))</f>
        <v/>
      </c>
      <c r="H781" s="32">
        <f>IF(AND(A781="",C781="",D781=""),"",IF(D781="","Manca l'importo",IF(NOT(ISNUMBER(D781)),"Importo non valido",IF(NOT(ISNUMBER(A781)),"Data mancante o non valida",IF(YEAR(A781)&lt;&gt;Impostazioni!$C$4,"Fuori dall'anno",IF(C781="","Manca la categoria",IF(ISNA(MATCH(C781,Categorie!$A$6:$A$65,0)),"Categoria non trovata",IF(G781="","Categoria senza tipo",""))))))))</f>
        <v/>
      </c>
    </row>
    <row r="782">
      <c r="A782" s="29" t="n"/>
      <c r="B782" s="17" t="n"/>
      <c r="C782" s="17" t="n"/>
      <c r="D782" s="16" t="n"/>
      <c r="E782" s="30" t="n"/>
      <c r="F782" s="17" t="n"/>
      <c r="G782" s="31">
        <f>IF(C782="","",IFERROR(INDEX(Categorie!$B$6:$B$65,MATCH(C782,Categorie!$A$6:$A$65,0))&amp;"",""))</f>
        <v/>
      </c>
      <c r="H782" s="32">
        <f>IF(AND(A782="",C782="",D782=""),"",IF(D782="","Manca l'importo",IF(NOT(ISNUMBER(D782)),"Importo non valido",IF(NOT(ISNUMBER(A782)),"Data mancante o non valida",IF(YEAR(A782)&lt;&gt;Impostazioni!$C$4,"Fuori dall'anno",IF(C782="","Manca la categoria",IF(ISNA(MATCH(C782,Categorie!$A$6:$A$65,0)),"Categoria non trovata",IF(G782="","Categoria senza tipo",""))))))))</f>
        <v/>
      </c>
    </row>
    <row r="783">
      <c r="A783" s="29" t="n"/>
      <c r="B783" s="17" t="n"/>
      <c r="C783" s="17" t="n"/>
      <c r="D783" s="16" t="n"/>
      <c r="E783" s="30" t="n"/>
      <c r="F783" s="17" t="n"/>
      <c r="G783" s="31">
        <f>IF(C783="","",IFERROR(INDEX(Categorie!$B$6:$B$65,MATCH(C783,Categorie!$A$6:$A$65,0))&amp;"",""))</f>
        <v/>
      </c>
      <c r="H783" s="32">
        <f>IF(AND(A783="",C783="",D783=""),"",IF(D783="","Manca l'importo",IF(NOT(ISNUMBER(D783)),"Importo non valido",IF(NOT(ISNUMBER(A783)),"Data mancante o non valida",IF(YEAR(A783)&lt;&gt;Impostazioni!$C$4,"Fuori dall'anno",IF(C783="","Manca la categoria",IF(ISNA(MATCH(C783,Categorie!$A$6:$A$65,0)),"Categoria non trovata",IF(G783="","Categoria senza tipo",""))))))))</f>
        <v/>
      </c>
    </row>
    <row r="784">
      <c r="A784" s="29" t="n"/>
      <c r="B784" s="17" t="n"/>
      <c r="C784" s="17" t="n"/>
      <c r="D784" s="16" t="n"/>
      <c r="E784" s="30" t="n"/>
      <c r="F784" s="17" t="n"/>
      <c r="G784" s="31">
        <f>IF(C784="","",IFERROR(INDEX(Categorie!$B$6:$B$65,MATCH(C784,Categorie!$A$6:$A$65,0))&amp;"",""))</f>
        <v/>
      </c>
      <c r="H784" s="32">
        <f>IF(AND(A784="",C784="",D784=""),"",IF(D784="","Manca l'importo",IF(NOT(ISNUMBER(D784)),"Importo non valido",IF(NOT(ISNUMBER(A784)),"Data mancante o non valida",IF(YEAR(A784)&lt;&gt;Impostazioni!$C$4,"Fuori dall'anno",IF(C784="","Manca la categoria",IF(ISNA(MATCH(C784,Categorie!$A$6:$A$65,0)),"Categoria non trovata",IF(G784="","Categoria senza tipo",""))))))))</f>
        <v/>
      </c>
    </row>
    <row r="785">
      <c r="A785" s="29" t="n"/>
      <c r="B785" s="17" t="n"/>
      <c r="C785" s="17" t="n"/>
      <c r="D785" s="16" t="n"/>
      <c r="E785" s="30" t="n"/>
      <c r="F785" s="17" t="n"/>
      <c r="G785" s="31">
        <f>IF(C785="","",IFERROR(INDEX(Categorie!$B$6:$B$65,MATCH(C785,Categorie!$A$6:$A$65,0))&amp;"",""))</f>
        <v/>
      </c>
      <c r="H785" s="32">
        <f>IF(AND(A785="",C785="",D785=""),"",IF(D785="","Manca l'importo",IF(NOT(ISNUMBER(D785)),"Importo non valido",IF(NOT(ISNUMBER(A785)),"Data mancante o non valida",IF(YEAR(A785)&lt;&gt;Impostazioni!$C$4,"Fuori dall'anno",IF(C785="","Manca la categoria",IF(ISNA(MATCH(C785,Categorie!$A$6:$A$65,0)),"Categoria non trovata",IF(G785="","Categoria senza tipo",""))))))))</f>
        <v/>
      </c>
    </row>
    <row r="786">
      <c r="A786" s="29" t="n"/>
      <c r="B786" s="17" t="n"/>
      <c r="C786" s="17" t="n"/>
      <c r="D786" s="16" t="n"/>
      <c r="E786" s="30" t="n"/>
      <c r="F786" s="17" t="n"/>
      <c r="G786" s="31">
        <f>IF(C786="","",IFERROR(INDEX(Categorie!$B$6:$B$65,MATCH(C786,Categorie!$A$6:$A$65,0))&amp;"",""))</f>
        <v/>
      </c>
      <c r="H786" s="32">
        <f>IF(AND(A786="",C786="",D786=""),"",IF(D786="","Manca l'importo",IF(NOT(ISNUMBER(D786)),"Importo non valido",IF(NOT(ISNUMBER(A786)),"Data mancante o non valida",IF(YEAR(A786)&lt;&gt;Impostazioni!$C$4,"Fuori dall'anno",IF(C786="","Manca la categoria",IF(ISNA(MATCH(C786,Categorie!$A$6:$A$65,0)),"Categoria non trovata",IF(G786="","Categoria senza tipo",""))))))))</f>
        <v/>
      </c>
    </row>
    <row r="787">
      <c r="A787" s="29" t="n"/>
      <c r="B787" s="17" t="n"/>
      <c r="C787" s="17" t="n"/>
      <c r="D787" s="16" t="n"/>
      <c r="E787" s="30" t="n"/>
      <c r="F787" s="17" t="n"/>
      <c r="G787" s="31">
        <f>IF(C787="","",IFERROR(INDEX(Categorie!$B$6:$B$65,MATCH(C787,Categorie!$A$6:$A$65,0))&amp;"",""))</f>
        <v/>
      </c>
      <c r="H787" s="32">
        <f>IF(AND(A787="",C787="",D787=""),"",IF(D787="","Manca l'importo",IF(NOT(ISNUMBER(D787)),"Importo non valido",IF(NOT(ISNUMBER(A787)),"Data mancante o non valida",IF(YEAR(A787)&lt;&gt;Impostazioni!$C$4,"Fuori dall'anno",IF(C787="","Manca la categoria",IF(ISNA(MATCH(C787,Categorie!$A$6:$A$65,0)),"Categoria non trovata",IF(G787="","Categoria senza tipo",""))))))))</f>
        <v/>
      </c>
    </row>
    <row r="788">
      <c r="A788" s="29" t="n"/>
      <c r="B788" s="17" t="n"/>
      <c r="C788" s="17" t="n"/>
      <c r="D788" s="16" t="n"/>
      <c r="E788" s="30" t="n"/>
      <c r="F788" s="17" t="n"/>
      <c r="G788" s="31">
        <f>IF(C788="","",IFERROR(INDEX(Categorie!$B$6:$B$65,MATCH(C788,Categorie!$A$6:$A$65,0))&amp;"",""))</f>
        <v/>
      </c>
      <c r="H788" s="32">
        <f>IF(AND(A788="",C788="",D788=""),"",IF(D788="","Manca l'importo",IF(NOT(ISNUMBER(D788)),"Importo non valido",IF(NOT(ISNUMBER(A788)),"Data mancante o non valida",IF(YEAR(A788)&lt;&gt;Impostazioni!$C$4,"Fuori dall'anno",IF(C788="","Manca la categoria",IF(ISNA(MATCH(C788,Categorie!$A$6:$A$65,0)),"Categoria non trovata",IF(G788="","Categoria senza tipo",""))))))))</f>
        <v/>
      </c>
    </row>
    <row r="789">
      <c r="A789" s="29" t="n"/>
      <c r="B789" s="17" t="n"/>
      <c r="C789" s="17" t="n"/>
      <c r="D789" s="16" t="n"/>
      <c r="E789" s="30" t="n"/>
      <c r="F789" s="17" t="n"/>
      <c r="G789" s="31">
        <f>IF(C789="","",IFERROR(INDEX(Categorie!$B$6:$B$65,MATCH(C789,Categorie!$A$6:$A$65,0))&amp;"",""))</f>
        <v/>
      </c>
      <c r="H789" s="32">
        <f>IF(AND(A789="",C789="",D789=""),"",IF(D789="","Manca l'importo",IF(NOT(ISNUMBER(D789)),"Importo non valido",IF(NOT(ISNUMBER(A789)),"Data mancante o non valida",IF(YEAR(A789)&lt;&gt;Impostazioni!$C$4,"Fuori dall'anno",IF(C789="","Manca la categoria",IF(ISNA(MATCH(C789,Categorie!$A$6:$A$65,0)),"Categoria non trovata",IF(G789="","Categoria senza tipo",""))))))))</f>
        <v/>
      </c>
    </row>
    <row r="790">
      <c r="A790" s="29" t="n"/>
      <c r="B790" s="17" t="n"/>
      <c r="C790" s="17" t="n"/>
      <c r="D790" s="16" t="n"/>
      <c r="E790" s="30" t="n"/>
      <c r="F790" s="17" t="n"/>
      <c r="G790" s="31">
        <f>IF(C790="","",IFERROR(INDEX(Categorie!$B$6:$B$65,MATCH(C790,Categorie!$A$6:$A$65,0))&amp;"",""))</f>
        <v/>
      </c>
      <c r="H790" s="32">
        <f>IF(AND(A790="",C790="",D790=""),"",IF(D790="","Manca l'importo",IF(NOT(ISNUMBER(D790)),"Importo non valido",IF(NOT(ISNUMBER(A790)),"Data mancante o non valida",IF(YEAR(A790)&lt;&gt;Impostazioni!$C$4,"Fuori dall'anno",IF(C790="","Manca la categoria",IF(ISNA(MATCH(C790,Categorie!$A$6:$A$65,0)),"Categoria non trovata",IF(G790="","Categoria senza tipo",""))))))))</f>
        <v/>
      </c>
    </row>
    <row r="791">
      <c r="A791" s="29" t="n"/>
      <c r="B791" s="17" t="n"/>
      <c r="C791" s="17" t="n"/>
      <c r="D791" s="16" t="n"/>
      <c r="E791" s="30" t="n"/>
      <c r="F791" s="17" t="n"/>
      <c r="G791" s="31">
        <f>IF(C791="","",IFERROR(INDEX(Categorie!$B$6:$B$65,MATCH(C791,Categorie!$A$6:$A$65,0))&amp;"",""))</f>
        <v/>
      </c>
      <c r="H791" s="32">
        <f>IF(AND(A791="",C791="",D791=""),"",IF(D791="","Manca l'importo",IF(NOT(ISNUMBER(D791)),"Importo non valido",IF(NOT(ISNUMBER(A791)),"Data mancante o non valida",IF(YEAR(A791)&lt;&gt;Impostazioni!$C$4,"Fuori dall'anno",IF(C791="","Manca la categoria",IF(ISNA(MATCH(C791,Categorie!$A$6:$A$65,0)),"Categoria non trovata",IF(G791="","Categoria senza tipo",""))))))))</f>
        <v/>
      </c>
    </row>
    <row r="792">
      <c r="A792" s="29" t="n"/>
      <c r="B792" s="17" t="n"/>
      <c r="C792" s="17" t="n"/>
      <c r="D792" s="16" t="n"/>
      <c r="E792" s="30" t="n"/>
      <c r="F792" s="17" t="n"/>
      <c r="G792" s="31">
        <f>IF(C792="","",IFERROR(INDEX(Categorie!$B$6:$B$65,MATCH(C792,Categorie!$A$6:$A$65,0))&amp;"",""))</f>
        <v/>
      </c>
      <c r="H792" s="32">
        <f>IF(AND(A792="",C792="",D792=""),"",IF(D792="","Manca l'importo",IF(NOT(ISNUMBER(D792)),"Importo non valido",IF(NOT(ISNUMBER(A792)),"Data mancante o non valida",IF(YEAR(A792)&lt;&gt;Impostazioni!$C$4,"Fuori dall'anno",IF(C792="","Manca la categoria",IF(ISNA(MATCH(C792,Categorie!$A$6:$A$65,0)),"Categoria non trovata",IF(G792="","Categoria senza tipo",""))))))))</f>
        <v/>
      </c>
    </row>
    <row r="793">
      <c r="A793" s="29" t="n"/>
      <c r="B793" s="17" t="n"/>
      <c r="C793" s="17" t="n"/>
      <c r="D793" s="16" t="n"/>
      <c r="E793" s="30" t="n"/>
      <c r="F793" s="17" t="n"/>
      <c r="G793" s="31">
        <f>IF(C793="","",IFERROR(INDEX(Categorie!$B$6:$B$65,MATCH(C793,Categorie!$A$6:$A$65,0))&amp;"",""))</f>
        <v/>
      </c>
      <c r="H793" s="32">
        <f>IF(AND(A793="",C793="",D793=""),"",IF(D793="","Manca l'importo",IF(NOT(ISNUMBER(D793)),"Importo non valido",IF(NOT(ISNUMBER(A793)),"Data mancante o non valida",IF(YEAR(A793)&lt;&gt;Impostazioni!$C$4,"Fuori dall'anno",IF(C793="","Manca la categoria",IF(ISNA(MATCH(C793,Categorie!$A$6:$A$65,0)),"Categoria non trovata",IF(G793="","Categoria senza tipo",""))))))))</f>
        <v/>
      </c>
    </row>
    <row r="794">
      <c r="A794" s="29" t="n"/>
      <c r="B794" s="17" t="n"/>
      <c r="C794" s="17" t="n"/>
      <c r="D794" s="16" t="n"/>
      <c r="E794" s="30" t="n"/>
      <c r="F794" s="17" t="n"/>
      <c r="G794" s="31">
        <f>IF(C794="","",IFERROR(INDEX(Categorie!$B$6:$B$65,MATCH(C794,Categorie!$A$6:$A$65,0))&amp;"",""))</f>
        <v/>
      </c>
      <c r="H794" s="32">
        <f>IF(AND(A794="",C794="",D794=""),"",IF(D794="","Manca l'importo",IF(NOT(ISNUMBER(D794)),"Importo non valido",IF(NOT(ISNUMBER(A794)),"Data mancante o non valida",IF(YEAR(A794)&lt;&gt;Impostazioni!$C$4,"Fuori dall'anno",IF(C794="","Manca la categoria",IF(ISNA(MATCH(C794,Categorie!$A$6:$A$65,0)),"Categoria non trovata",IF(G794="","Categoria senza tipo",""))))))))</f>
        <v/>
      </c>
    </row>
    <row r="795">
      <c r="A795" s="29" t="n"/>
      <c r="B795" s="17" t="n"/>
      <c r="C795" s="17" t="n"/>
      <c r="D795" s="16" t="n"/>
      <c r="E795" s="30" t="n"/>
      <c r="F795" s="17" t="n"/>
      <c r="G795" s="31">
        <f>IF(C795="","",IFERROR(INDEX(Categorie!$B$6:$B$65,MATCH(C795,Categorie!$A$6:$A$65,0))&amp;"",""))</f>
        <v/>
      </c>
      <c r="H795" s="32">
        <f>IF(AND(A795="",C795="",D795=""),"",IF(D795="","Manca l'importo",IF(NOT(ISNUMBER(D795)),"Importo non valido",IF(NOT(ISNUMBER(A795)),"Data mancante o non valida",IF(YEAR(A795)&lt;&gt;Impostazioni!$C$4,"Fuori dall'anno",IF(C795="","Manca la categoria",IF(ISNA(MATCH(C795,Categorie!$A$6:$A$65,0)),"Categoria non trovata",IF(G795="","Categoria senza tipo",""))))))))</f>
        <v/>
      </c>
    </row>
    <row r="796">
      <c r="A796" s="29" t="n"/>
      <c r="B796" s="17" t="n"/>
      <c r="C796" s="17" t="n"/>
      <c r="D796" s="16" t="n"/>
      <c r="E796" s="30" t="n"/>
      <c r="F796" s="17" t="n"/>
      <c r="G796" s="31">
        <f>IF(C796="","",IFERROR(INDEX(Categorie!$B$6:$B$65,MATCH(C796,Categorie!$A$6:$A$65,0))&amp;"",""))</f>
        <v/>
      </c>
      <c r="H796" s="32">
        <f>IF(AND(A796="",C796="",D796=""),"",IF(D796="","Manca l'importo",IF(NOT(ISNUMBER(D796)),"Importo non valido",IF(NOT(ISNUMBER(A796)),"Data mancante o non valida",IF(YEAR(A796)&lt;&gt;Impostazioni!$C$4,"Fuori dall'anno",IF(C796="","Manca la categoria",IF(ISNA(MATCH(C796,Categorie!$A$6:$A$65,0)),"Categoria non trovata",IF(G796="","Categoria senza tipo",""))))))))</f>
        <v/>
      </c>
    </row>
    <row r="797">
      <c r="A797" s="29" t="n"/>
      <c r="B797" s="17" t="n"/>
      <c r="C797" s="17" t="n"/>
      <c r="D797" s="16" t="n"/>
      <c r="E797" s="30" t="n"/>
      <c r="F797" s="17" t="n"/>
      <c r="G797" s="31">
        <f>IF(C797="","",IFERROR(INDEX(Categorie!$B$6:$B$65,MATCH(C797,Categorie!$A$6:$A$65,0))&amp;"",""))</f>
        <v/>
      </c>
      <c r="H797" s="32">
        <f>IF(AND(A797="",C797="",D797=""),"",IF(D797="","Manca l'importo",IF(NOT(ISNUMBER(D797)),"Importo non valido",IF(NOT(ISNUMBER(A797)),"Data mancante o non valida",IF(YEAR(A797)&lt;&gt;Impostazioni!$C$4,"Fuori dall'anno",IF(C797="","Manca la categoria",IF(ISNA(MATCH(C797,Categorie!$A$6:$A$65,0)),"Categoria non trovata",IF(G797="","Categoria senza tipo",""))))))))</f>
        <v/>
      </c>
    </row>
    <row r="798">
      <c r="A798" s="29" t="n"/>
      <c r="B798" s="17" t="n"/>
      <c r="C798" s="17" t="n"/>
      <c r="D798" s="16" t="n"/>
      <c r="E798" s="30" t="n"/>
      <c r="F798" s="17" t="n"/>
      <c r="G798" s="31">
        <f>IF(C798="","",IFERROR(INDEX(Categorie!$B$6:$B$65,MATCH(C798,Categorie!$A$6:$A$65,0))&amp;"",""))</f>
        <v/>
      </c>
      <c r="H798" s="32">
        <f>IF(AND(A798="",C798="",D798=""),"",IF(D798="","Manca l'importo",IF(NOT(ISNUMBER(D798)),"Importo non valido",IF(NOT(ISNUMBER(A798)),"Data mancante o non valida",IF(YEAR(A798)&lt;&gt;Impostazioni!$C$4,"Fuori dall'anno",IF(C798="","Manca la categoria",IF(ISNA(MATCH(C798,Categorie!$A$6:$A$65,0)),"Categoria non trovata",IF(G798="","Categoria senza tipo",""))))))))</f>
        <v/>
      </c>
    </row>
    <row r="799">
      <c r="A799" s="29" t="n"/>
      <c r="B799" s="17" t="n"/>
      <c r="C799" s="17" t="n"/>
      <c r="D799" s="16" t="n"/>
      <c r="E799" s="30" t="n"/>
      <c r="F799" s="17" t="n"/>
      <c r="G799" s="31">
        <f>IF(C799="","",IFERROR(INDEX(Categorie!$B$6:$B$65,MATCH(C799,Categorie!$A$6:$A$65,0))&amp;"",""))</f>
        <v/>
      </c>
      <c r="H799" s="32">
        <f>IF(AND(A799="",C799="",D799=""),"",IF(D799="","Manca l'importo",IF(NOT(ISNUMBER(D799)),"Importo non valido",IF(NOT(ISNUMBER(A799)),"Data mancante o non valida",IF(YEAR(A799)&lt;&gt;Impostazioni!$C$4,"Fuori dall'anno",IF(C799="","Manca la categoria",IF(ISNA(MATCH(C799,Categorie!$A$6:$A$65,0)),"Categoria non trovata",IF(G799="","Categoria senza tipo",""))))))))</f>
        <v/>
      </c>
    </row>
    <row r="800">
      <c r="A800" s="29" t="n"/>
      <c r="B800" s="17" t="n"/>
      <c r="C800" s="17" t="n"/>
      <c r="D800" s="16" t="n"/>
      <c r="E800" s="30" t="n"/>
      <c r="F800" s="17" t="n"/>
      <c r="G800" s="31">
        <f>IF(C800="","",IFERROR(INDEX(Categorie!$B$6:$B$65,MATCH(C800,Categorie!$A$6:$A$65,0))&amp;"",""))</f>
        <v/>
      </c>
      <c r="H800" s="32">
        <f>IF(AND(A800="",C800="",D800=""),"",IF(D800="","Manca l'importo",IF(NOT(ISNUMBER(D800)),"Importo non valido",IF(NOT(ISNUMBER(A800)),"Data mancante o non valida",IF(YEAR(A800)&lt;&gt;Impostazioni!$C$4,"Fuori dall'anno",IF(C800="","Manca la categoria",IF(ISNA(MATCH(C800,Categorie!$A$6:$A$65,0)),"Categoria non trovata",IF(G800="","Categoria senza tipo",""))))))))</f>
        <v/>
      </c>
    </row>
    <row r="801">
      <c r="A801" s="29" t="n"/>
      <c r="B801" s="17" t="n"/>
      <c r="C801" s="17" t="n"/>
      <c r="D801" s="16" t="n"/>
      <c r="E801" s="30" t="n"/>
      <c r="F801" s="17" t="n"/>
      <c r="G801" s="31">
        <f>IF(C801="","",IFERROR(INDEX(Categorie!$B$6:$B$65,MATCH(C801,Categorie!$A$6:$A$65,0))&amp;"",""))</f>
        <v/>
      </c>
      <c r="H801" s="32">
        <f>IF(AND(A801="",C801="",D801=""),"",IF(D801="","Manca l'importo",IF(NOT(ISNUMBER(D801)),"Importo non valido",IF(NOT(ISNUMBER(A801)),"Data mancante o non valida",IF(YEAR(A801)&lt;&gt;Impostazioni!$C$4,"Fuori dall'anno",IF(C801="","Manca la categoria",IF(ISNA(MATCH(C801,Categorie!$A$6:$A$65,0)),"Categoria non trovata",IF(G801="","Categoria senza tipo",""))))))))</f>
        <v/>
      </c>
    </row>
    <row r="802">
      <c r="A802" s="29" t="n"/>
      <c r="B802" s="17" t="n"/>
      <c r="C802" s="17" t="n"/>
      <c r="D802" s="16" t="n"/>
      <c r="E802" s="30" t="n"/>
      <c r="F802" s="17" t="n"/>
      <c r="G802" s="31">
        <f>IF(C802="","",IFERROR(INDEX(Categorie!$B$6:$B$65,MATCH(C802,Categorie!$A$6:$A$65,0))&amp;"",""))</f>
        <v/>
      </c>
      <c r="H802" s="32">
        <f>IF(AND(A802="",C802="",D802=""),"",IF(D802="","Manca l'importo",IF(NOT(ISNUMBER(D802)),"Importo non valido",IF(NOT(ISNUMBER(A802)),"Data mancante o non valida",IF(YEAR(A802)&lt;&gt;Impostazioni!$C$4,"Fuori dall'anno",IF(C802="","Manca la categoria",IF(ISNA(MATCH(C802,Categorie!$A$6:$A$65,0)),"Categoria non trovata",IF(G802="","Categoria senza tipo",""))))))))</f>
        <v/>
      </c>
    </row>
    <row r="803">
      <c r="A803" s="29" t="n"/>
      <c r="B803" s="17" t="n"/>
      <c r="C803" s="17" t="n"/>
      <c r="D803" s="16" t="n"/>
      <c r="E803" s="30" t="n"/>
      <c r="F803" s="17" t="n"/>
      <c r="G803" s="31">
        <f>IF(C803="","",IFERROR(INDEX(Categorie!$B$6:$B$65,MATCH(C803,Categorie!$A$6:$A$65,0))&amp;"",""))</f>
        <v/>
      </c>
      <c r="H803" s="32">
        <f>IF(AND(A803="",C803="",D803=""),"",IF(D803="","Manca l'importo",IF(NOT(ISNUMBER(D803)),"Importo non valido",IF(NOT(ISNUMBER(A803)),"Data mancante o non valida",IF(YEAR(A803)&lt;&gt;Impostazioni!$C$4,"Fuori dall'anno",IF(C803="","Manca la categoria",IF(ISNA(MATCH(C803,Categorie!$A$6:$A$65,0)),"Categoria non trovata",IF(G803="","Categoria senza tipo",""))))))))</f>
        <v/>
      </c>
    </row>
    <row r="804">
      <c r="A804" s="29" t="n"/>
      <c r="B804" s="17" t="n"/>
      <c r="C804" s="17" t="n"/>
      <c r="D804" s="16" t="n"/>
      <c r="E804" s="30" t="n"/>
      <c r="F804" s="17" t="n"/>
      <c r="G804" s="31">
        <f>IF(C804="","",IFERROR(INDEX(Categorie!$B$6:$B$65,MATCH(C804,Categorie!$A$6:$A$65,0))&amp;"",""))</f>
        <v/>
      </c>
      <c r="H804" s="32">
        <f>IF(AND(A804="",C804="",D804=""),"",IF(D804="","Manca l'importo",IF(NOT(ISNUMBER(D804)),"Importo non valido",IF(NOT(ISNUMBER(A804)),"Data mancante o non valida",IF(YEAR(A804)&lt;&gt;Impostazioni!$C$4,"Fuori dall'anno",IF(C804="","Manca la categoria",IF(ISNA(MATCH(C804,Categorie!$A$6:$A$65,0)),"Categoria non trovata",IF(G804="","Categoria senza tipo",""))))))))</f>
        <v/>
      </c>
    </row>
    <row r="805">
      <c r="A805" s="29" t="n"/>
      <c r="B805" s="17" t="n"/>
      <c r="C805" s="17" t="n"/>
      <c r="D805" s="16" t="n"/>
      <c r="E805" s="30" t="n"/>
      <c r="F805" s="17" t="n"/>
      <c r="G805" s="31">
        <f>IF(C805="","",IFERROR(INDEX(Categorie!$B$6:$B$65,MATCH(C805,Categorie!$A$6:$A$65,0))&amp;"",""))</f>
        <v/>
      </c>
      <c r="H805" s="32">
        <f>IF(AND(A805="",C805="",D805=""),"",IF(D805="","Manca l'importo",IF(NOT(ISNUMBER(D805)),"Importo non valido",IF(NOT(ISNUMBER(A805)),"Data mancante o non valida",IF(YEAR(A805)&lt;&gt;Impostazioni!$C$4,"Fuori dall'anno",IF(C805="","Manca la categoria",IF(ISNA(MATCH(C805,Categorie!$A$6:$A$65,0)),"Categoria non trovata",IF(G805="","Categoria senza tipo",""))))))))</f>
        <v/>
      </c>
    </row>
    <row r="806">
      <c r="A806" s="29" t="n"/>
      <c r="B806" s="17" t="n"/>
      <c r="C806" s="17" t="n"/>
      <c r="D806" s="16" t="n"/>
      <c r="E806" s="30" t="n"/>
      <c r="F806" s="17" t="n"/>
      <c r="G806" s="31">
        <f>IF(C806="","",IFERROR(INDEX(Categorie!$B$6:$B$65,MATCH(C806,Categorie!$A$6:$A$65,0))&amp;"",""))</f>
        <v/>
      </c>
      <c r="H806" s="32">
        <f>IF(AND(A806="",C806="",D806=""),"",IF(D806="","Manca l'importo",IF(NOT(ISNUMBER(D806)),"Importo non valido",IF(NOT(ISNUMBER(A806)),"Data mancante o non valida",IF(YEAR(A806)&lt;&gt;Impostazioni!$C$4,"Fuori dall'anno",IF(C806="","Manca la categoria",IF(ISNA(MATCH(C806,Categorie!$A$6:$A$65,0)),"Categoria non trovata",IF(G806="","Categoria senza tipo",""))))))))</f>
        <v/>
      </c>
    </row>
    <row r="807">
      <c r="A807" s="29" t="n"/>
      <c r="B807" s="17" t="n"/>
      <c r="C807" s="17" t="n"/>
      <c r="D807" s="16" t="n"/>
      <c r="E807" s="30" t="n"/>
      <c r="F807" s="17" t="n"/>
      <c r="G807" s="31">
        <f>IF(C807="","",IFERROR(INDEX(Categorie!$B$6:$B$65,MATCH(C807,Categorie!$A$6:$A$65,0))&amp;"",""))</f>
        <v/>
      </c>
      <c r="H807" s="32">
        <f>IF(AND(A807="",C807="",D807=""),"",IF(D807="","Manca l'importo",IF(NOT(ISNUMBER(D807)),"Importo non valido",IF(NOT(ISNUMBER(A807)),"Data mancante o non valida",IF(YEAR(A807)&lt;&gt;Impostazioni!$C$4,"Fuori dall'anno",IF(C807="","Manca la categoria",IF(ISNA(MATCH(C807,Categorie!$A$6:$A$65,0)),"Categoria non trovata",IF(G807="","Categoria senza tipo",""))))))))</f>
        <v/>
      </c>
    </row>
    <row r="808">
      <c r="A808" s="29" t="n"/>
      <c r="B808" s="17" t="n"/>
      <c r="C808" s="17" t="n"/>
      <c r="D808" s="16" t="n"/>
      <c r="E808" s="30" t="n"/>
      <c r="F808" s="17" t="n"/>
      <c r="G808" s="31">
        <f>IF(C808="","",IFERROR(INDEX(Categorie!$B$6:$B$65,MATCH(C808,Categorie!$A$6:$A$65,0))&amp;"",""))</f>
        <v/>
      </c>
      <c r="H808" s="32">
        <f>IF(AND(A808="",C808="",D808=""),"",IF(D808="","Manca l'importo",IF(NOT(ISNUMBER(D808)),"Importo non valido",IF(NOT(ISNUMBER(A808)),"Data mancante o non valida",IF(YEAR(A808)&lt;&gt;Impostazioni!$C$4,"Fuori dall'anno",IF(C808="","Manca la categoria",IF(ISNA(MATCH(C808,Categorie!$A$6:$A$65,0)),"Categoria non trovata",IF(G808="","Categoria senza tipo",""))))))))</f>
        <v/>
      </c>
    </row>
    <row r="809">
      <c r="A809" s="29" t="n"/>
      <c r="B809" s="17" t="n"/>
      <c r="C809" s="17" t="n"/>
      <c r="D809" s="16" t="n"/>
      <c r="E809" s="30" t="n"/>
      <c r="F809" s="17" t="n"/>
      <c r="G809" s="31">
        <f>IF(C809="","",IFERROR(INDEX(Categorie!$B$6:$B$65,MATCH(C809,Categorie!$A$6:$A$65,0))&amp;"",""))</f>
        <v/>
      </c>
      <c r="H809" s="32">
        <f>IF(AND(A809="",C809="",D809=""),"",IF(D809="","Manca l'importo",IF(NOT(ISNUMBER(D809)),"Importo non valido",IF(NOT(ISNUMBER(A809)),"Data mancante o non valida",IF(YEAR(A809)&lt;&gt;Impostazioni!$C$4,"Fuori dall'anno",IF(C809="","Manca la categoria",IF(ISNA(MATCH(C809,Categorie!$A$6:$A$65,0)),"Categoria non trovata",IF(G809="","Categoria senza tipo",""))))))))</f>
        <v/>
      </c>
    </row>
    <row r="810">
      <c r="A810" s="29" t="n"/>
      <c r="B810" s="17" t="n"/>
      <c r="C810" s="17" t="n"/>
      <c r="D810" s="16" t="n"/>
      <c r="E810" s="30" t="n"/>
      <c r="F810" s="17" t="n"/>
      <c r="G810" s="31">
        <f>IF(C810="","",IFERROR(INDEX(Categorie!$B$6:$B$65,MATCH(C810,Categorie!$A$6:$A$65,0))&amp;"",""))</f>
        <v/>
      </c>
      <c r="H810" s="32">
        <f>IF(AND(A810="",C810="",D810=""),"",IF(D810="","Manca l'importo",IF(NOT(ISNUMBER(D810)),"Importo non valido",IF(NOT(ISNUMBER(A810)),"Data mancante o non valida",IF(YEAR(A810)&lt;&gt;Impostazioni!$C$4,"Fuori dall'anno",IF(C810="","Manca la categoria",IF(ISNA(MATCH(C810,Categorie!$A$6:$A$65,0)),"Categoria non trovata",IF(G810="","Categoria senza tipo",""))))))))</f>
        <v/>
      </c>
    </row>
    <row r="811">
      <c r="A811" s="29" t="n"/>
      <c r="B811" s="17" t="n"/>
      <c r="C811" s="17" t="n"/>
      <c r="D811" s="16" t="n"/>
      <c r="E811" s="30" t="n"/>
      <c r="F811" s="17" t="n"/>
      <c r="G811" s="31">
        <f>IF(C811="","",IFERROR(INDEX(Categorie!$B$6:$B$65,MATCH(C811,Categorie!$A$6:$A$65,0))&amp;"",""))</f>
        <v/>
      </c>
      <c r="H811" s="32">
        <f>IF(AND(A811="",C811="",D811=""),"",IF(D811="","Manca l'importo",IF(NOT(ISNUMBER(D811)),"Importo non valido",IF(NOT(ISNUMBER(A811)),"Data mancante o non valida",IF(YEAR(A811)&lt;&gt;Impostazioni!$C$4,"Fuori dall'anno",IF(C811="","Manca la categoria",IF(ISNA(MATCH(C811,Categorie!$A$6:$A$65,0)),"Categoria non trovata",IF(G811="","Categoria senza tipo",""))))))))</f>
        <v/>
      </c>
    </row>
    <row r="812">
      <c r="A812" s="29" t="n"/>
      <c r="B812" s="17" t="n"/>
      <c r="C812" s="17" t="n"/>
      <c r="D812" s="16" t="n"/>
      <c r="E812" s="30" t="n"/>
      <c r="F812" s="17" t="n"/>
      <c r="G812" s="31">
        <f>IF(C812="","",IFERROR(INDEX(Categorie!$B$6:$B$65,MATCH(C812,Categorie!$A$6:$A$65,0))&amp;"",""))</f>
        <v/>
      </c>
      <c r="H812" s="32">
        <f>IF(AND(A812="",C812="",D812=""),"",IF(D812="","Manca l'importo",IF(NOT(ISNUMBER(D812)),"Importo non valido",IF(NOT(ISNUMBER(A812)),"Data mancante o non valida",IF(YEAR(A812)&lt;&gt;Impostazioni!$C$4,"Fuori dall'anno",IF(C812="","Manca la categoria",IF(ISNA(MATCH(C812,Categorie!$A$6:$A$65,0)),"Categoria non trovata",IF(G812="","Categoria senza tipo",""))))))))</f>
        <v/>
      </c>
    </row>
    <row r="813">
      <c r="A813" s="29" t="n"/>
      <c r="B813" s="17" t="n"/>
      <c r="C813" s="17" t="n"/>
      <c r="D813" s="16" t="n"/>
      <c r="E813" s="30" t="n"/>
      <c r="F813" s="17" t="n"/>
      <c r="G813" s="31">
        <f>IF(C813="","",IFERROR(INDEX(Categorie!$B$6:$B$65,MATCH(C813,Categorie!$A$6:$A$65,0))&amp;"",""))</f>
        <v/>
      </c>
      <c r="H813" s="32">
        <f>IF(AND(A813="",C813="",D813=""),"",IF(D813="","Manca l'importo",IF(NOT(ISNUMBER(D813)),"Importo non valido",IF(NOT(ISNUMBER(A813)),"Data mancante o non valida",IF(YEAR(A813)&lt;&gt;Impostazioni!$C$4,"Fuori dall'anno",IF(C813="","Manca la categoria",IF(ISNA(MATCH(C813,Categorie!$A$6:$A$65,0)),"Categoria non trovata",IF(G813="","Categoria senza tipo",""))))))))</f>
        <v/>
      </c>
    </row>
    <row r="814">
      <c r="A814" s="29" t="n"/>
      <c r="B814" s="17" t="n"/>
      <c r="C814" s="17" t="n"/>
      <c r="D814" s="16" t="n"/>
      <c r="E814" s="30" t="n"/>
      <c r="F814" s="17" t="n"/>
      <c r="G814" s="31">
        <f>IF(C814="","",IFERROR(INDEX(Categorie!$B$6:$B$65,MATCH(C814,Categorie!$A$6:$A$65,0))&amp;"",""))</f>
        <v/>
      </c>
      <c r="H814" s="32">
        <f>IF(AND(A814="",C814="",D814=""),"",IF(D814="","Manca l'importo",IF(NOT(ISNUMBER(D814)),"Importo non valido",IF(NOT(ISNUMBER(A814)),"Data mancante o non valida",IF(YEAR(A814)&lt;&gt;Impostazioni!$C$4,"Fuori dall'anno",IF(C814="","Manca la categoria",IF(ISNA(MATCH(C814,Categorie!$A$6:$A$65,0)),"Categoria non trovata",IF(G814="","Categoria senza tipo",""))))))))</f>
        <v/>
      </c>
    </row>
    <row r="815">
      <c r="A815" s="29" t="n"/>
      <c r="B815" s="17" t="n"/>
      <c r="C815" s="17" t="n"/>
      <c r="D815" s="16" t="n"/>
      <c r="E815" s="30" t="n"/>
      <c r="F815" s="17" t="n"/>
      <c r="G815" s="31">
        <f>IF(C815="","",IFERROR(INDEX(Categorie!$B$6:$B$65,MATCH(C815,Categorie!$A$6:$A$65,0))&amp;"",""))</f>
        <v/>
      </c>
      <c r="H815" s="32">
        <f>IF(AND(A815="",C815="",D815=""),"",IF(D815="","Manca l'importo",IF(NOT(ISNUMBER(D815)),"Importo non valido",IF(NOT(ISNUMBER(A815)),"Data mancante o non valida",IF(YEAR(A815)&lt;&gt;Impostazioni!$C$4,"Fuori dall'anno",IF(C815="","Manca la categoria",IF(ISNA(MATCH(C815,Categorie!$A$6:$A$65,0)),"Categoria non trovata",IF(G815="","Categoria senza tipo",""))))))))</f>
        <v/>
      </c>
    </row>
    <row r="816">
      <c r="A816" s="29" t="n"/>
      <c r="B816" s="17" t="n"/>
      <c r="C816" s="17" t="n"/>
      <c r="D816" s="16" t="n"/>
      <c r="E816" s="30" t="n"/>
      <c r="F816" s="17" t="n"/>
      <c r="G816" s="31">
        <f>IF(C816="","",IFERROR(INDEX(Categorie!$B$6:$B$65,MATCH(C816,Categorie!$A$6:$A$65,0))&amp;"",""))</f>
        <v/>
      </c>
      <c r="H816" s="32">
        <f>IF(AND(A816="",C816="",D816=""),"",IF(D816="","Manca l'importo",IF(NOT(ISNUMBER(D816)),"Importo non valido",IF(NOT(ISNUMBER(A816)),"Data mancante o non valida",IF(YEAR(A816)&lt;&gt;Impostazioni!$C$4,"Fuori dall'anno",IF(C816="","Manca la categoria",IF(ISNA(MATCH(C816,Categorie!$A$6:$A$65,0)),"Categoria non trovata",IF(G816="","Categoria senza tipo",""))))))))</f>
        <v/>
      </c>
    </row>
    <row r="817">
      <c r="A817" s="29" t="n"/>
      <c r="B817" s="17" t="n"/>
      <c r="C817" s="17" t="n"/>
      <c r="D817" s="16" t="n"/>
      <c r="E817" s="30" t="n"/>
      <c r="F817" s="17" t="n"/>
      <c r="G817" s="31">
        <f>IF(C817="","",IFERROR(INDEX(Categorie!$B$6:$B$65,MATCH(C817,Categorie!$A$6:$A$65,0))&amp;"",""))</f>
        <v/>
      </c>
      <c r="H817" s="32">
        <f>IF(AND(A817="",C817="",D817=""),"",IF(D817="","Manca l'importo",IF(NOT(ISNUMBER(D817)),"Importo non valido",IF(NOT(ISNUMBER(A817)),"Data mancante o non valida",IF(YEAR(A817)&lt;&gt;Impostazioni!$C$4,"Fuori dall'anno",IF(C817="","Manca la categoria",IF(ISNA(MATCH(C817,Categorie!$A$6:$A$65,0)),"Categoria non trovata",IF(G817="","Categoria senza tipo",""))))))))</f>
        <v/>
      </c>
    </row>
    <row r="818">
      <c r="A818" s="29" t="n"/>
      <c r="B818" s="17" t="n"/>
      <c r="C818" s="17" t="n"/>
      <c r="D818" s="16" t="n"/>
      <c r="E818" s="30" t="n"/>
      <c r="F818" s="17" t="n"/>
      <c r="G818" s="31">
        <f>IF(C818="","",IFERROR(INDEX(Categorie!$B$6:$B$65,MATCH(C818,Categorie!$A$6:$A$65,0))&amp;"",""))</f>
        <v/>
      </c>
      <c r="H818" s="32">
        <f>IF(AND(A818="",C818="",D818=""),"",IF(D818="","Manca l'importo",IF(NOT(ISNUMBER(D818)),"Importo non valido",IF(NOT(ISNUMBER(A818)),"Data mancante o non valida",IF(YEAR(A818)&lt;&gt;Impostazioni!$C$4,"Fuori dall'anno",IF(C818="","Manca la categoria",IF(ISNA(MATCH(C818,Categorie!$A$6:$A$65,0)),"Categoria non trovata",IF(G818="","Categoria senza tipo",""))))))))</f>
        <v/>
      </c>
    </row>
    <row r="819">
      <c r="A819" s="29" t="n"/>
      <c r="B819" s="17" t="n"/>
      <c r="C819" s="17" t="n"/>
      <c r="D819" s="16" t="n"/>
      <c r="E819" s="30" t="n"/>
      <c r="F819" s="17" t="n"/>
      <c r="G819" s="31">
        <f>IF(C819="","",IFERROR(INDEX(Categorie!$B$6:$B$65,MATCH(C819,Categorie!$A$6:$A$65,0))&amp;"",""))</f>
        <v/>
      </c>
      <c r="H819" s="32">
        <f>IF(AND(A819="",C819="",D819=""),"",IF(D819="","Manca l'importo",IF(NOT(ISNUMBER(D819)),"Importo non valido",IF(NOT(ISNUMBER(A819)),"Data mancante o non valida",IF(YEAR(A819)&lt;&gt;Impostazioni!$C$4,"Fuori dall'anno",IF(C819="","Manca la categoria",IF(ISNA(MATCH(C819,Categorie!$A$6:$A$65,0)),"Categoria non trovata",IF(G819="","Categoria senza tipo",""))))))))</f>
        <v/>
      </c>
    </row>
    <row r="820">
      <c r="A820" s="29" t="n"/>
      <c r="B820" s="17" t="n"/>
      <c r="C820" s="17" t="n"/>
      <c r="D820" s="16" t="n"/>
      <c r="E820" s="30" t="n"/>
      <c r="F820" s="17" t="n"/>
      <c r="G820" s="31">
        <f>IF(C820="","",IFERROR(INDEX(Categorie!$B$6:$B$65,MATCH(C820,Categorie!$A$6:$A$65,0))&amp;"",""))</f>
        <v/>
      </c>
      <c r="H820" s="32">
        <f>IF(AND(A820="",C820="",D820=""),"",IF(D820="","Manca l'importo",IF(NOT(ISNUMBER(D820)),"Importo non valido",IF(NOT(ISNUMBER(A820)),"Data mancante o non valida",IF(YEAR(A820)&lt;&gt;Impostazioni!$C$4,"Fuori dall'anno",IF(C820="","Manca la categoria",IF(ISNA(MATCH(C820,Categorie!$A$6:$A$65,0)),"Categoria non trovata",IF(G820="","Categoria senza tipo",""))))))))</f>
        <v/>
      </c>
    </row>
    <row r="821">
      <c r="A821" s="29" t="n"/>
      <c r="B821" s="17" t="n"/>
      <c r="C821" s="17" t="n"/>
      <c r="D821" s="16" t="n"/>
      <c r="E821" s="30" t="n"/>
      <c r="F821" s="17" t="n"/>
      <c r="G821" s="31">
        <f>IF(C821="","",IFERROR(INDEX(Categorie!$B$6:$B$65,MATCH(C821,Categorie!$A$6:$A$65,0))&amp;"",""))</f>
        <v/>
      </c>
      <c r="H821" s="32">
        <f>IF(AND(A821="",C821="",D821=""),"",IF(D821="","Manca l'importo",IF(NOT(ISNUMBER(D821)),"Importo non valido",IF(NOT(ISNUMBER(A821)),"Data mancante o non valida",IF(YEAR(A821)&lt;&gt;Impostazioni!$C$4,"Fuori dall'anno",IF(C821="","Manca la categoria",IF(ISNA(MATCH(C821,Categorie!$A$6:$A$65,0)),"Categoria non trovata",IF(G821="","Categoria senza tipo",""))))))))</f>
        <v/>
      </c>
    </row>
    <row r="822">
      <c r="A822" s="29" t="n"/>
      <c r="B822" s="17" t="n"/>
      <c r="C822" s="17" t="n"/>
      <c r="D822" s="16" t="n"/>
      <c r="E822" s="30" t="n"/>
      <c r="F822" s="17" t="n"/>
      <c r="G822" s="31">
        <f>IF(C822="","",IFERROR(INDEX(Categorie!$B$6:$B$65,MATCH(C822,Categorie!$A$6:$A$65,0))&amp;"",""))</f>
        <v/>
      </c>
      <c r="H822" s="32">
        <f>IF(AND(A822="",C822="",D822=""),"",IF(D822="","Manca l'importo",IF(NOT(ISNUMBER(D822)),"Importo non valido",IF(NOT(ISNUMBER(A822)),"Data mancante o non valida",IF(YEAR(A822)&lt;&gt;Impostazioni!$C$4,"Fuori dall'anno",IF(C822="","Manca la categoria",IF(ISNA(MATCH(C822,Categorie!$A$6:$A$65,0)),"Categoria non trovata",IF(G822="","Categoria senza tipo",""))))))))</f>
        <v/>
      </c>
    </row>
    <row r="823">
      <c r="A823" s="29" t="n"/>
      <c r="B823" s="17" t="n"/>
      <c r="C823" s="17" t="n"/>
      <c r="D823" s="16" t="n"/>
      <c r="E823" s="30" t="n"/>
      <c r="F823" s="17" t="n"/>
      <c r="G823" s="31">
        <f>IF(C823="","",IFERROR(INDEX(Categorie!$B$6:$B$65,MATCH(C823,Categorie!$A$6:$A$65,0))&amp;"",""))</f>
        <v/>
      </c>
      <c r="H823" s="32">
        <f>IF(AND(A823="",C823="",D823=""),"",IF(D823="","Manca l'importo",IF(NOT(ISNUMBER(D823)),"Importo non valido",IF(NOT(ISNUMBER(A823)),"Data mancante o non valida",IF(YEAR(A823)&lt;&gt;Impostazioni!$C$4,"Fuori dall'anno",IF(C823="","Manca la categoria",IF(ISNA(MATCH(C823,Categorie!$A$6:$A$65,0)),"Categoria non trovata",IF(G823="","Categoria senza tipo",""))))))))</f>
        <v/>
      </c>
    </row>
    <row r="824">
      <c r="A824" s="29" t="n"/>
      <c r="B824" s="17" t="n"/>
      <c r="C824" s="17" t="n"/>
      <c r="D824" s="16" t="n"/>
      <c r="E824" s="30" t="n"/>
      <c r="F824" s="17" t="n"/>
      <c r="G824" s="31">
        <f>IF(C824="","",IFERROR(INDEX(Categorie!$B$6:$B$65,MATCH(C824,Categorie!$A$6:$A$65,0))&amp;"",""))</f>
        <v/>
      </c>
      <c r="H824" s="32">
        <f>IF(AND(A824="",C824="",D824=""),"",IF(D824="","Manca l'importo",IF(NOT(ISNUMBER(D824)),"Importo non valido",IF(NOT(ISNUMBER(A824)),"Data mancante o non valida",IF(YEAR(A824)&lt;&gt;Impostazioni!$C$4,"Fuori dall'anno",IF(C824="","Manca la categoria",IF(ISNA(MATCH(C824,Categorie!$A$6:$A$65,0)),"Categoria non trovata",IF(G824="","Categoria senza tipo",""))))))))</f>
        <v/>
      </c>
    </row>
    <row r="825">
      <c r="A825" s="29" t="n"/>
      <c r="B825" s="17" t="n"/>
      <c r="C825" s="17" t="n"/>
      <c r="D825" s="16" t="n"/>
      <c r="E825" s="30" t="n"/>
      <c r="F825" s="17" t="n"/>
      <c r="G825" s="31">
        <f>IF(C825="","",IFERROR(INDEX(Categorie!$B$6:$B$65,MATCH(C825,Categorie!$A$6:$A$65,0))&amp;"",""))</f>
        <v/>
      </c>
      <c r="H825" s="32">
        <f>IF(AND(A825="",C825="",D825=""),"",IF(D825="","Manca l'importo",IF(NOT(ISNUMBER(D825)),"Importo non valido",IF(NOT(ISNUMBER(A825)),"Data mancante o non valida",IF(YEAR(A825)&lt;&gt;Impostazioni!$C$4,"Fuori dall'anno",IF(C825="","Manca la categoria",IF(ISNA(MATCH(C825,Categorie!$A$6:$A$65,0)),"Categoria non trovata",IF(G825="","Categoria senza tipo",""))))))))</f>
        <v/>
      </c>
    </row>
    <row r="826">
      <c r="A826" s="29" t="n"/>
      <c r="B826" s="17" t="n"/>
      <c r="C826" s="17" t="n"/>
      <c r="D826" s="16" t="n"/>
      <c r="E826" s="30" t="n"/>
      <c r="F826" s="17" t="n"/>
      <c r="G826" s="31">
        <f>IF(C826="","",IFERROR(INDEX(Categorie!$B$6:$B$65,MATCH(C826,Categorie!$A$6:$A$65,0))&amp;"",""))</f>
        <v/>
      </c>
      <c r="H826" s="32">
        <f>IF(AND(A826="",C826="",D826=""),"",IF(D826="","Manca l'importo",IF(NOT(ISNUMBER(D826)),"Importo non valido",IF(NOT(ISNUMBER(A826)),"Data mancante o non valida",IF(YEAR(A826)&lt;&gt;Impostazioni!$C$4,"Fuori dall'anno",IF(C826="","Manca la categoria",IF(ISNA(MATCH(C826,Categorie!$A$6:$A$65,0)),"Categoria non trovata",IF(G826="","Categoria senza tipo",""))))))))</f>
        <v/>
      </c>
    </row>
    <row r="827">
      <c r="A827" s="29" t="n"/>
      <c r="B827" s="17" t="n"/>
      <c r="C827" s="17" t="n"/>
      <c r="D827" s="16" t="n"/>
      <c r="E827" s="30" t="n"/>
      <c r="F827" s="17" t="n"/>
      <c r="G827" s="31">
        <f>IF(C827="","",IFERROR(INDEX(Categorie!$B$6:$B$65,MATCH(C827,Categorie!$A$6:$A$65,0))&amp;"",""))</f>
        <v/>
      </c>
      <c r="H827" s="32">
        <f>IF(AND(A827="",C827="",D827=""),"",IF(D827="","Manca l'importo",IF(NOT(ISNUMBER(D827)),"Importo non valido",IF(NOT(ISNUMBER(A827)),"Data mancante o non valida",IF(YEAR(A827)&lt;&gt;Impostazioni!$C$4,"Fuori dall'anno",IF(C827="","Manca la categoria",IF(ISNA(MATCH(C827,Categorie!$A$6:$A$65,0)),"Categoria non trovata",IF(G827="","Categoria senza tipo",""))))))))</f>
        <v/>
      </c>
    </row>
    <row r="828">
      <c r="A828" s="29" t="n"/>
      <c r="B828" s="17" t="n"/>
      <c r="C828" s="17" t="n"/>
      <c r="D828" s="16" t="n"/>
      <c r="E828" s="30" t="n"/>
      <c r="F828" s="17" t="n"/>
      <c r="G828" s="31">
        <f>IF(C828="","",IFERROR(INDEX(Categorie!$B$6:$B$65,MATCH(C828,Categorie!$A$6:$A$65,0))&amp;"",""))</f>
        <v/>
      </c>
      <c r="H828" s="32">
        <f>IF(AND(A828="",C828="",D828=""),"",IF(D828="","Manca l'importo",IF(NOT(ISNUMBER(D828)),"Importo non valido",IF(NOT(ISNUMBER(A828)),"Data mancante o non valida",IF(YEAR(A828)&lt;&gt;Impostazioni!$C$4,"Fuori dall'anno",IF(C828="","Manca la categoria",IF(ISNA(MATCH(C828,Categorie!$A$6:$A$65,0)),"Categoria non trovata",IF(G828="","Categoria senza tipo",""))))))))</f>
        <v/>
      </c>
    </row>
    <row r="829">
      <c r="A829" s="29" t="n"/>
      <c r="B829" s="17" t="n"/>
      <c r="C829" s="17" t="n"/>
      <c r="D829" s="16" t="n"/>
      <c r="E829" s="30" t="n"/>
      <c r="F829" s="17" t="n"/>
      <c r="G829" s="31">
        <f>IF(C829="","",IFERROR(INDEX(Categorie!$B$6:$B$65,MATCH(C829,Categorie!$A$6:$A$65,0))&amp;"",""))</f>
        <v/>
      </c>
      <c r="H829" s="32">
        <f>IF(AND(A829="",C829="",D829=""),"",IF(D829="","Manca l'importo",IF(NOT(ISNUMBER(D829)),"Importo non valido",IF(NOT(ISNUMBER(A829)),"Data mancante o non valida",IF(YEAR(A829)&lt;&gt;Impostazioni!$C$4,"Fuori dall'anno",IF(C829="","Manca la categoria",IF(ISNA(MATCH(C829,Categorie!$A$6:$A$65,0)),"Categoria non trovata",IF(G829="","Categoria senza tipo",""))))))))</f>
        <v/>
      </c>
    </row>
    <row r="830">
      <c r="A830" s="29" t="n"/>
      <c r="B830" s="17" t="n"/>
      <c r="C830" s="17" t="n"/>
      <c r="D830" s="16" t="n"/>
      <c r="E830" s="30" t="n"/>
      <c r="F830" s="17" t="n"/>
      <c r="G830" s="31">
        <f>IF(C830="","",IFERROR(INDEX(Categorie!$B$6:$B$65,MATCH(C830,Categorie!$A$6:$A$65,0))&amp;"",""))</f>
        <v/>
      </c>
      <c r="H830" s="32">
        <f>IF(AND(A830="",C830="",D830=""),"",IF(D830="","Manca l'importo",IF(NOT(ISNUMBER(D830)),"Importo non valido",IF(NOT(ISNUMBER(A830)),"Data mancante o non valida",IF(YEAR(A830)&lt;&gt;Impostazioni!$C$4,"Fuori dall'anno",IF(C830="","Manca la categoria",IF(ISNA(MATCH(C830,Categorie!$A$6:$A$65,0)),"Categoria non trovata",IF(G830="","Categoria senza tipo",""))))))))</f>
        <v/>
      </c>
    </row>
    <row r="831">
      <c r="A831" s="29" t="n"/>
      <c r="B831" s="17" t="n"/>
      <c r="C831" s="17" t="n"/>
      <c r="D831" s="16" t="n"/>
      <c r="E831" s="30" t="n"/>
      <c r="F831" s="17" t="n"/>
      <c r="G831" s="31">
        <f>IF(C831="","",IFERROR(INDEX(Categorie!$B$6:$B$65,MATCH(C831,Categorie!$A$6:$A$65,0))&amp;"",""))</f>
        <v/>
      </c>
      <c r="H831" s="32">
        <f>IF(AND(A831="",C831="",D831=""),"",IF(D831="","Manca l'importo",IF(NOT(ISNUMBER(D831)),"Importo non valido",IF(NOT(ISNUMBER(A831)),"Data mancante o non valida",IF(YEAR(A831)&lt;&gt;Impostazioni!$C$4,"Fuori dall'anno",IF(C831="","Manca la categoria",IF(ISNA(MATCH(C831,Categorie!$A$6:$A$65,0)),"Categoria non trovata",IF(G831="","Categoria senza tipo",""))))))))</f>
        <v/>
      </c>
    </row>
    <row r="832">
      <c r="A832" s="29" t="n"/>
      <c r="B832" s="17" t="n"/>
      <c r="C832" s="17" t="n"/>
      <c r="D832" s="16" t="n"/>
      <c r="E832" s="30" t="n"/>
      <c r="F832" s="17" t="n"/>
      <c r="G832" s="31">
        <f>IF(C832="","",IFERROR(INDEX(Categorie!$B$6:$B$65,MATCH(C832,Categorie!$A$6:$A$65,0))&amp;"",""))</f>
        <v/>
      </c>
      <c r="H832" s="32">
        <f>IF(AND(A832="",C832="",D832=""),"",IF(D832="","Manca l'importo",IF(NOT(ISNUMBER(D832)),"Importo non valido",IF(NOT(ISNUMBER(A832)),"Data mancante o non valida",IF(YEAR(A832)&lt;&gt;Impostazioni!$C$4,"Fuori dall'anno",IF(C832="","Manca la categoria",IF(ISNA(MATCH(C832,Categorie!$A$6:$A$65,0)),"Categoria non trovata",IF(G832="","Categoria senza tipo",""))))))))</f>
        <v/>
      </c>
    </row>
    <row r="833">
      <c r="A833" s="29" t="n"/>
      <c r="B833" s="17" t="n"/>
      <c r="C833" s="17" t="n"/>
      <c r="D833" s="16" t="n"/>
      <c r="E833" s="30" t="n"/>
      <c r="F833" s="17" t="n"/>
      <c r="G833" s="31">
        <f>IF(C833="","",IFERROR(INDEX(Categorie!$B$6:$B$65,MATCH(C833,Categorie!$A$6:$A$65,0))&amp;"",""))</f>
        <v/>
      </c>
      <c r="H833" s="32">
        <f>IF(AND(A833="",C833="",D833=""),"",IF(D833="","Manca l'importo",IF(NOT(ISNUMBER(D833)),"Importo non valido",IF(NOT(ISNUMBER(A833)),"Data mancante o non valida",IF(YEAR(A833)&lt;&gt;Impostazioni!$C$4,"Fuori dall'anno",IF(C833="","Manca la categoria",IF(ISNA(MATCH(C833,Categorie!$A$6:$A$65,0)),"Categoria non trovata",IF(G833="","Categoria senza tipo",""))))))))</f>
        <v/>
      </c>
    </row>
    <row r="834">
      <c r="A834" s="29" t="n"/>
      <c r="B834" s="17" t="n"/>
      <c r="C834" s="17" t="n"/>
      <c r="D834" s="16" t="n"/>
      <c r="E834" s="30" t="n"/>
      <c r="F834" s="17" t="n"/>
      <c r="G834" s="31">
        <f>IF(C834="","",IFERROR(INDEX(Categorie!$B$6:$B$65,MATCH(C834,Categorie!$A$6:$A$65,0))&amp;"",""))</f>
        <v/>
      </c>
      <c r="H834" s="32">
        <f>IF(AND(A834="",C834="",D834=""),"",IF(D834="","Manca l'importo",IF(NOT(ISNUMBER(D834)),"Importo non valido",IF(NOT(ISNUMBER(A834)),"Data mancante o non valida",IF(YEAR(A834)&lt;&gt;Impostazioni!$C$4,"Fuori dall'anno",IF(C834="","Manca la categoria",IF(ISNA(MATCH(C834,Categorie!$A$6:$A$65,0)),"Categoria non trovata",IF(G834="","Categoria senza tipo",""))))))))</f>
        <v/>
      </c>
    </row>
    <row r="835">
      <c r="A835" s="29" t="n"/>
      <c r="B835" s="17" t="n"/>
      <c r="C835" s="17" t="n"/>
      <c r="D835" s="16" t="n"/>
      <c r="E835" s="30" t="n"/>
      <c r="F835" s="17" t="n"/>
      <c r="G835" s="31">
        <f>IF(C835="","",IFERROR(INDEX(Categorie!$B$6:$B$65,MATCH(C835,Categorie!$A$6:$A$65,0))&amp;"",""))</f>
        <v/>
      </c>
      <c r="H835" s="32">
        <f>IF(AND(A835="",C835="",D835=""),"",IF(D835="","Manca l'importo",IF(NOT(ISNUMBER(D835)),"Importo non valido",IF(NOT(ISNUMBER(A835)),"Data mancante o non valida",IF(YEAR(A835)&lt;&gt;Impostazioni!$C$4,"Fuori dall'anno",IF(C835="","Manca la categoria",IF(ISNA(MATCH(C835,Categorie!$A$6:$A$65,0)),"Categoria non trovata",IF(G835="","Categoria senza tipo",""))))))))</f>
        <v/>
      </c>
    </row>
    <row r="836">
      <c r="A836" s="29" t="n"/>
      <c r="B836" s="17" t="n"/>
      <c r="C836" s="17" t="n"/>
      <c r="D836" s="16" t="n"/>
      <c r="E836" s="30" t="n"/>
      <c r="F836" s="17" t="n"/>
      <c r="G836" s="31">
        <f>IF(C836="","",IFERROR(INDEX(Categorie!$B$6:$B$65,MATCH(C836,Categorie!$A$6:$A$65,0))&amp;"",""))</f>
        <v/>
      </c>
      <c r="H836" s="32">
        <f>IF(AND(A836="",C836="",D836=""),"",IF(D836="","Manca l'importo",IF(NOT(ISNUMBER(D836)),"Importo non valido",IF(NOT(ISNUMBER(A836)),"Data mancante o non valida",IF(YEAR(A836)&lt;&gt;Impostazioni!$C$4,"Fuori dall'anno",IF(C836="","Manca la categoria",IF(ISNA(MATCH(C836,Categorie!$A$6:$A$65,0)),"Categoria non trovata",IF(G836="","Categoria senza tipo",""))))))))</f>
        <v/>
      </c>
    </row>
    <row r="837">
      <c r="A837" s="29" t="n"/>
      <c r="B837" s="17" t="n"/>
      <c r="C837" s="17" t="n"/>
      <c r="D837" s="16" t="n"/>
      <c r="E837" s="30" t="n"/>
      <c r="F837" s="17" t="n"/>
      <c r="G837" s="31">
        <f>IF(C837="","",IFERROR(INDEX(Categorie!$B$6:$B$65,MATCH(C837,Categorie!$A$6:$A$65,0))&amp;"",""))</f>
        <v/>
      </c>
      <c r="H837" s="32">
        <f>IF(AND(A837="",C837="",D837=""),"",IF(D837="","Manca l'importo",IF(NOT(ISNUMBER(D837)),"Importo non valido",IF(NOT(ISNUMBER(A837)),"Data mancante o non valida",IF(YEAR(A837)&lt;&gt;Impostazioni!$C$4,"Fuori dall'anno",IF(C837="","Manca la categoria",IF(ISNA(MATCH(C837,Categorie!$A$6:$A$65,0)),"Categoria non trovata",IF(G837="","Categoria senza tipo",""))))))))</f>
        <v/>
      </c>
    </row>
    <row r="838">
      <c r="A838" s="29" t="n"/>
      <c r="B838" s="17" t="n"/>
      <c r="C838" s="17" t="n"/>
      <c r="D838" s="16" t="n"/>
      <c r="E838" s="30" t="n"/>
      <c r="F838" s="17" t="n"/>
      <c r="G838" s="31">
        <f>IF(C838="","",IFERROR(INDEX(Categorie!$B$6:$B$65,MATCH(C838,Categorie!$A$6:$A$65,0))&amp;"",""))</f>
        <v/>
      </c>
      <c r="H838" s="32">
        <f>IF(AND(A838="",C838="",D838=""),"",IF(D838="","Manca l'importo",IF(NOT(ISNUMBER(D838)),"Importo non valido",IF(NOT(ISNUMBER(A838)),"Data mancante o non valida",IF(YEAR(A838)&lt;&gt;Impostazioni!$C$4,"Fuori dall'anno",IF(C838="","Manca la categoria",IF(ISNA(MATCH(C838,Categorie!$A$6:$A$65,0)),"Categoria non trovata",IF(G838="","Categoria senza tipo",""))))))))</f>
        <v/>
      </c>
    </row>
    <row r="839">
      <c r="A839" s="29" t="n"/>
      <c r="B839" s="17" t="n"/>
      <c r="C839" s="17" t="n"/>
      <c r="D839" s="16" t="n"/>
      <c r="E839" s="30" t="n"/>
      <c r="F839" s="17" t="n"/>
      <c r="G839" s="31">
        <f>IF(C839="","",IFERROR(INDEX(Categorie!$B$6:$B$65,MATCH(C839,Categorie!$A$6:$A$65,0))&amp;"",""))</f>
        <v/>
      </c>
      <c r="H839" s="32">
        <f>IF(AND(A839="",C839="",D839=""),"",IF(D839="","Manca l'importo",IF(NOT(ISNUMBER(D839)),"Importo non valido",IF(NOT(ISNUMBER(A839)),"Data mancante o non valida",IF(YEAR(A839)&lt;&gt;Impostazioni!$C$4,"Fuori dall'anno",IF(C839="","Manca la categoria",IF(ISNA(MATCH(C839,Categorie!$A$6:$A$65,0)),"Categoria non trovata",IF(G839="","Categoria senza tipo",""))))))))</f>
        <v/>
      </c>
    </row>
    <row r="840">
      <c r="A840" s="29" t="n"/>
      <c r="B840" s="17" t="n"/>
      <c r="C840" s="17" t="n"/>
      <c r="D840" s="16" t="n"/>
      <c r="E840" s="30" t="n"/>
      <c r="F840" s="17" t="n"/>
      <c r="G840" s="31">
        <f>IF(C840="","",IFERROR(INDEX(Categorie!$B$6:$B$65,MATCH(C840,Categorie!$A$6:$A$65,0))&amp;"",""))</f>
        <v/>
      </c>
      <c r="H840" s="32">
        <f>IF(AND(A840="",C840="",D840=""),"",IF(D840="","Manca l'importo",IF(NOT(ISNUMBER(D840)),"Importo non valido",IF(NOT(ISNUMBER(A840)),"Data mancante o non valida",IF(YEAR(A840)&lt;&gt;Impostazioni!$C$4,"Fuori dall'anno",IF(C840="","Manca la categoria",IF(ISNA(MATCH(C840,Categorie!$A$6:$A$65,0)),"Categoria non trovata",IF(G840="","Categoria senza tipo",""))))))))</f>
        <v/>
      </c>
    </row>
    <row r="841">
      <c r="A841" s="29" t="n"/>
      <c r="B841" s="17" t="n"/>
      <c r="C841" s="17" t="n"/>
      <c r="D841" s="16" t="n"/>
      <c r="E841" s="30" t="n"/>
      <c r="F841" s="17" t="n"/>
      <c r="G841" s="31">
        <f>IF(C841="","",IFERROR(INDEX(Categorie!$B$6:$B$65,MATCH(C841,Categorie!$A$6:$A$65,0))&amp;"",""))</f>
        <v/>
      </c>
      <c r="H841" s="32">
        <f>IF(AND(A841="",C841="",D841=""),"",IF(D841="","Manca l'importo",IF(NOT(ISNUMBER(D841)),"Importo non valido",IF(NOT(ISNUMBER(A841)),"Data mancante o non valida",IF(YEAR(A841)&lt;&gt;Impostazioni!$C$4,"Fuori dall'anno",IF(C841="","Manca la categoria",IF(ISNA(MATCH(C841,Categorie!$A$6:$A$65,0)),"Categoria non trovata",IF(G841="","Categoria senza tipo",""))))))))</f>
        <v/>
      </c>
    </row>
    <row r="842">
      <c r="A842" s="29" t="n"/>
      <c r="B842" s="17" t="n"/>
      <c r="C842" s="17" t="n"/>
      <c r="D842" s="16" t="n"/>
      <c r="E842" s="30" t="n"/>
      <c r="F842" s="17" t="n"/>
      <c r="G842" s="31">
        <f>IF(C842="","",IFERROR(INDEX(Categorie!$B$6:$B$65,MATCH(C842,Categorie!$A$6:$A$65,0))&amp;"",""))</f>
        <v/>
      </c>
      <c r="H842" s="32">
        <f>IF(AND(A842="",C842="",D842=""),"",IF(D842="","Manca l'importo",IF(NOT(ISNUMBER(D842)),"Importo non valido",IF(NOT(ISNUMBER(A842)),"Data mancante o non valida",IF(YEAR(A842)&lt;&gt;Impostazioni!$C$4,"Fuori dall'anno",IF(C842="","Manca la categoria",IF(ISNA(MATCH(C842,Categorie!$A$6:$A$65,0)),"Categoria non trovata",IF(G842="","Categoria senza tipo",""))))))))</f>
        <v/>
      </c>
    </row>
    <row r="843">
      <c r="A843" s="29" t="n"/>
      <c r="B843" s="17" t="n"/>
      <c r="C843" s="17" t="n"/>
      <c r="D843" s="16" t="n"/>
      <c r="E843" s="30" t="n"/>
      <c r="F843" s="17" t="n"/>
      <c r="G843" s="31">
        <f>IF(C843="","",IFERROR(INDEX(Categorie!$B$6:$B$65,MATCH(C843,Categorie!$A$6:$A$65,0))&amp;"",""))</f>
        <v/>
      </c>
      <c r="H843" s="32">
        <f>IF(AND(A843="",C843="",D843=""),"",IF(D843="","Manca l'importo",IF(NOT(ISNUMBER(D843)),"Importo non valido",IF(NOT(ISNUMBER(A843)),"Data mancante o non valida",IF(YEAR(A843)&lt;&gt;Impostazioni!$C$4,"Fuori dall'anno",IF(C843="","Manca la categoria",IF(ISNA(MATCH(C843,Categorie!$A$6:$A$65,0)),"Categoria non trovata",IF(G843="","Categoria senza tipo",""))))))))</f>
        <v/>
      </c>
    </row>
    <row r="844">
      <c r="A844" s="29" t="n"/>
      <c r="B844" s="17" t="n"/>
      <c r="C844" s="17" t="n"/>
      <c r="D844" s="16" t="n"/>
      <c r="E844" s="30" t="n"/>
      <c r="F844" s="17" t="n"/>
      <c r="G844" s="31">
        <f>IF(C844="","",IFERROR(INDEX(Categorie!$B$6:$B$65,MATCH(C844,Categorie!$A$6:$A$65,0))&amp;"",""))</f>
        <v/>
      </c>
      <c r="H844" s="32">
        <f>IF(AND(A844="",C844="",D844=""),"",IF(D844="","Manca l'importo",IF(NOT(ISNUMBER(D844)),"Importo non valido",IF(NOT(ISNUMBER(A844)),"Data mancante o non valida",IF(YEAR(A844)&lt;&gt;Impostazioni!$C$4,"Fuori dall'anno",IF(C844="","Manca la categoria",IF(ISNA(MATCH(C844,Categorie!$A$6:$A$65,0)),"Categoria non trovata",IF(G844="","Categoria senza tipo",""))))))))</f>
        <v/>
      </c>
    </row>
    <row r="845">
      <c r="A845" s="29" t="n"/>
      <c r="B845" s="17" t="n"/>
      <c r="C845" s="17" t="n"/>
      <c r="D845" s="16" t="n"/>
      <c r="E845" s="30" t="n"/>
      <c r="F845" s="17" t="n"/>
      <c r="G845" s="31">
        <f>IF(C845="","",IFERROR(INDEX(Categorie!$B$6:$B$65,MATCH(C845,Categorie!$A$6:$A$65,0))&amp;"",""))</f>
        <v/>
      </c>
      <c r="H845" s="32">
        <f>IF(AND(A845="",C845="",D845=""),"",IF(D845="","Manca l'importo",IF(NOT(ISNUMBER(D845)),"Importo non valido",IF(NOT(ISNUMBER(A845)),"Data mancante o non valida",IF(YEAR(A845)&lt;&gt;Impostazioni!$C$4,"Fuori dall'anno",IF(C845="","Manca la categoria",IF(ISNA(MATCH(C845,Categorie!$A$6:$A$65,0)),"Categoria non trovata",IF(G845="","Categoria senza tipo",""))))))))</f>
        <v/>
      </c>
    </row>
    <row r="846">
      <c r="A846" s="29" t="n"/>
      <c r="B846" s="17" t="n"/>
      <c r="C846" s="17" t="n"/>
      <c r="D846" s="16" t="n"/>
      <c r="E846" s="30" t="n"/>
      <c r="F846" s="17" t="n"/>
      <c r="G846" s="31">
        <f>IF(C846="","",IFERROR(INDEX(Categorie!$B$6:$B$65,MATCH(C846,Categorie!$A$6:$A$65,0))&amp;"",""))</f>
        <v/>
      </c>
      <c r="H846" s="32">
        <f>IF(AND(A846="",C846="",D846=""),"",IF(D846="","Manca l'importo",IF(NOT(ISNUMBER(D846)),"Importo non valido",IF(NOT(ISNUMBER(A846)),"Data mancante o non valida",IF(YEAR(A846)&lt;&gt;Impostazioni!$C$4,"Fuori dall'anno",IF(C846="","Manca la categoria",IF(ISNA(MATCH(C846,Categorie!$A$6:$A$65,0)),"Categoria non trovata",IF(G846="","Categoria senza tipo",""))))))))</f>
        <v/>
      </c>
    </row>
    <row r="847">
      <c r="A847" s="29" t="n"/>
      <c r="B847" s="17" t="n"/>
      <c r="C847" s="17" t="n"/>
      <c r="D847" s="16" t="n"/>
      <c r="E847" s="30" t="n"/>
      <c r="F847" s="17" t="n"/>
      <c r="G847" s="31">
        <f>IF(C847="","",IFERROR(INDEX(Categorie!$B$6:$B$65,MATCH(C847,Categorie!$A$6:$A$65,0))&amp;"",""))</f>
        <v/>
      </c>
      <c r="H847" s="32">
        <f>IF(AND(A847="",C847="",D847=""),"",IF(D847="","Manca l'importo",IF(NOT(ISNUMBER(D847)),"Importo non valido",IF(NOT(ISNUMBER(A847)),"Data mancante o non valida",IF(YEAR(A847)&lt;&gt;Impostazioni!$C$4,"Fuori dall'anno",IF(C847="","Manca la categoria",IF(ISNA(MATCH(C847,Categorie!$A$6:$A$65,0)),"Categoria non trovata",IF(G847="","Categoria senza tipo",""))))))))</f>
        <v/>
      </c>
    </row>
    <row r="848">
      <c r="A848" s="29" t="n"/>
      <c r="B848" s="17" t="n"/>
      <c r="C848" s="17" t="n"/>
      <c r="D848" s="16" t="n"/>
      <c r="E848" s="30" t="n"/>
      <c r="F848" s="17" t="n"/>
      <c r="G848" s="31">
        <f>IF(C848="","",IFERROR(INDEX(Categorie!$B$6:$B$65,MATCH(C848,Categorie!$A$6:$A$65,0))&amp;"",""))</f>
        <v/>
      </c>
      <c r="H848" s="32">
        <f>IF(AND(A848="",C848="",D848=""),"",IF(D848="","Manca l'importo",IF(NOT(ISNUMBER(D848)),"Importo non valido",IF(NOT(ISNUMBER(A848)),"Data mancante o non valida",IF(YEAR(A848)&lt;&gt;Impostazioni!$C$4,"Fuori dall'anno",IF(C848="","Manca la categoria",IF(ISNA(MATCH(C848,Categorie!$A$6:$A$65,0)),"Categoria non trovata",IF(G848="","Categoria senza tipo",""))))))))</f>
        <v/>
      </c>
    </row>
    <row r="849">
      <c r="A849" s="29" t="n"/>
      <c r="B849" s="17" t="n"/>
      <c r="C849" s="17" t="n"/>
      <c r="D849" s="16" t="n"/>
      <c r="E849" s="30" t="n"/>
      <c r="F849" s="17" t="n"/>
      <c r="G849" s="31">
        <f>IF(C849="","",IFERROR(INDEX(Categorie!$B$6:$B$65,MATCH(C849,Categorie!$A$6:$A$65,0))&amp;"",""))</f>
        <v/>
      </c>
      <c r="H849" s="32">
        <f>IF(AND(A849="",C849="",D849=""),"",IF(D849="","Manca l'importo",IF(NOT(ISNUMBER(D849)),"Importo non valido",IF(NOT(ISNUMBER(A849)),"Data mancante o non valida",IF(YEAR(A849)&lt;&gt;Impostazioni!$C$4,"Fuori dall'anno",IF(C849="","Manca la categoria",IF(ISNA(MATCH(C849,Categorie!$A$6:$A$65,0)),"Categoria non trovata",IF(G849="","Categoria senza tipo",""))))))))</f>
        <v/>
      </c>
    </row>
    <row r="850">
      <c r="A850" s="29" t="n"/>
      <c r="B850" s="17" t="n"/>
      <c r="C850" s="17" t="n"/>
      <c r="D850" s="16" t="n"/>
      <c r="E850" s="30" t="n"/>
      <c r="F850" s="17" t="n"/>
      <c r="G850" s="31">
        <f>IF(C850="","",IFERROR(INDEX(Categorie!$B$6:$B$65,MATCH(C850,Categorie!$A$6:$A$65,0))&amp;"",""))</f>
        <v/>
      </c>
      <c r="H850" s="32">
        <f>IF(AND(A850="",C850="",D850=""),"",IF(D850="","Manca l'importo",IF(NOT(ISNUMBER(D850)),"Importo non valido",IF(NOT(ISNUMBER(A850)),"Data mancante o non valida",IF(YEAR(A850)&lt;&gt;Impostazioni!$C$4,"Fuori dall'anno",IF(C850="","Manca la categoria",IF(ISNA(MATCH(C850,Categorie!$A$6:$A$65,0)),"Categoria non trovata",IF(G850="","Categoria senza tipo",""))))))))</f>
        <v/>
      </c>
    </row>
    <row r="851">
      <c r="A851" s="29" t="n"/>
      <c r="B851" s="17" t="n"/>
      <c r="C851" s="17" t="n"/>
      <c r="D851" s="16" t="n"/>
      <c r="E851" s="30" t="n"/>
      <c r="F851" s="17" t="n"/>
      <c r="G851" s="31">
        <f>IF(C851="","",IFERROR(INDEX(Categorie!$B$6:$B$65,MATCH(C851,Categorie!$A$6:$A$65,0))&amp;"",""))</f>
        <v/>
      </c>
      <c r="H851" s="32">
        <f>IF(AND(A851="",C851="",D851=""),"",IF(D851="","Manca l'importo",IF(NOT(ISNUMBER(D851)),"Importo non valido",IF(NOT(ISNUMBER(A851)),"Data mancante o non valida",IF(YEAR(A851)&lt;&gt;Impostazioni!$C$4,"Fuori dall'anno",IF(C851="","Manca la categoria",IF(ISNA(MATCH(C851,Categorie!$A$6:$A$65,0)),"Categoria non trovata",IF(G851="","Categoria senza tipo",""))))))))</f>
        <v/>
      </c>
    </row>
    <row r="852">
      <c r="A852" s="29" t="n"/>
      <c r="B852" s="17" t="n"/>
      <c r="C852" s="17" t="n"/>
      <c r="D852" s="16" t="n"/>
      <c r="E852" s="30" t="n"/>
      <c r="F852" s="17" t="n"/>
      <c r="G852" s="31">
        <f>IF(C852="","",IFERROR(INDEX(Categorie!$B$6:$B$65,MATCH(C852,Categorie!$A$6:$A$65,0))&amp;"",""))</f>
        <v/>
      </c>
      <c r="H852" s="32">
        <f>IF(AND(A852="",C852="",D852=""),"",IF(D852="","Manca l'importo",IF(NOT(ISNUMBER(D852)),"Importo non valido",IF(NOT(ISNUMBER(A852)),"Data mancante o non valida",IF(YEAR(A852)&lt;&gt;Impostazioni!$C$4,"Fuori dall'anno",IF(C852="","Manca la categoria",IF(ISNA(MATCH(C852,Categorie!$A$6:$A$65,0)),"Categoria non trovata",IF(G852="","Categoria senza tipo",""))))))))</f>
        <v/>
      </c>
    </row>
    <row r="853">
      <c r="A853" s="29" t="n"/>
      <c r="B853" s="17" t="n"/>
      <c r="C853" s="17" t="n"/>
      <c r="D853" s="16" t="n"/>
      <c r="E853" s="30" t="n"/>
      <c r="F853" s="17" t="n"/>
      <c r="G853" s="31">
        <f>IF(C853="","",IFERROR(INDEX(Categorie!$B$6:$B$65,MATCH(C853,Categorie!$A$6:$A$65,0))&amp;"",""))</f>
        <v/>
      </c>
      <c r="H853" s="32">
        <f>IF(AND(A853="",C853="",D853=""),"",IF(D853="","Manca l'importo",IF(NOT(ISNUMBER(D853)),"Importo non valido",IF(NOT(ISNUMBER(A853)),"Data mancante o non valida",IF(YEAR(A853)&lt;&gt;Impostazioni!$C$4,"Fuori dall'anno",IF(C853="","Manca la categoria",IF(ISNA(MATCH(C853,Categorie!$A$6:$A$65,0)),"Categoria non trovata",IF(G853="","Categoria senza tipo",""))))))))</f>
        <v/>
      </c>
    </row>
    <row r="854">
      <c r="A854" s="29" t="n"/>
      <c r="B854" s="17" t="n"/>
      <c r="C854" s="17" t="n"/>
      <c r="D854" s="16" t="n"/>
      <c r="E854" s="30" t="n"/>
      <c r="F854" s="17" t="n"/>
      <c r="G854" s="31">
        <f>IF(C854="","",IFERROR(INDEX(Categorie!$B$6:$B$65,MATCH(C854,Categorie!$A$6:$A$65,0))&amp;"",""))</f>
        <v/>
      </c>
      <c r="H854" s="32">
        <f>IF(AND(A854="",C854="",D854=""),"",IF(D854="","Manca l'importo",IF(NOT(ISNUMBER(D854)),"Importo non valido",IF(NOT(ISNUMBER(A854)),"Data mancante o non valida",IF(YEAR(A854)&lt;&gt;Impostazioni!$C$4,"Fuori dall'anno",IF(C854="","Manca la categoria",IF(ISNA(MATCH(C854,Categorie!$A$6:$A$65,0)),"Categoria non trovata",IF(G854="","Categoria senza tipo",""))))))))</f>
        <v/>
      </c>
    </row>
    <row r="855">
      <c r="A855" s="29" t="n"/>
      <c r="B855" s="17" t="n"/>
      <c r="C855" s="17" t="n"/>
      <c r="D855" s="16" t="n"/>
      <c r="E855" s="30" t="n"/>
      <c r="F855" s="17" t="n"/>
      <c r="G855" s="31">
        <f>IF(C855="","",IFERROR(INDEX(Categorie!$B$6:$B$65,MATCH(C855,Categorie!$A$6:$A$65,0))&amp;"",""))</f>
        <v/>
      </c>
      <c r="H855" s="32">
        <f>IF(AND(A855="",C855="",D855=""),"",IF(D855="","Manca l'importo",IF(NOT(ISNUMBER(D855)),"Importo non valido",IF(NOT(ISNUMBER(A855)),"Data mancante o non valida",IF(YEAR(A855)&lt;&gt;Impostazioni!$C$4,"Fuori dall'anno",IF(C855="","Manca la categoria",IF(ISNA(MATCH(C855,Categorie!$A$6:$A$65,0)),"Categoria non trovata",IF(G855="","Categoria senza tipo",""))))))))</f>
        <v/>
      </c>
    </row>
    <row r="856">
      <c r="A856" s="29" t="n"/>
      <c r="B856" s="17" t="n"/>
      <c r="C856" s="17" t="n"/>
      <c r="D856" s="16" t="n"/>
      <c r="E856" s="30" t="n"/>
      <c r="F856" s="17" t="n"/>
      <c r="G856" s="31">
        <f>IF(C856="","",IFERROR(INDEX(Categorie!$B$6:$B$65,MATCH(C856,Categorie!$A$6:$A$65,0))&amp;"",""))</f>
        <v/>
      </c>
      <c r="H856" s="32">
        <f>IF(AND(A856="",C856="",D856=""),"",IF(D856="","Manca l'importo",IF(NOT(ISNUMBER(D856)),"Importo non valido",IF(NOT(ISNUMBER(A856)),"Data mancante o non valida",IF(YEAR(A856)&lt;&gt;Impostazioni!$C$4,"Fuori dall'anno",IF(C856="","Manca la categoria",IF(ISNA(MATCH(C856,Categorie!$A$6:$A$65,0)),"Categoria non trovata",IF(G856="","Categoria senza tipo",""))))))))</f>
        <v/>
      </c>
    </row>
    <row r="857">
      <c r="A857" s="29" t="n"/>
      <c r="B857" s="17" t="n"/>
      <c r="C857" s="17" t="n"/>
      <c r="D857" s="16" t="n"/>
      <c r="E857" s="30" t="n"/>
      <c r="F857" s="17" t="n"/>
      <c r="G857" s="31">
        <f>IF(C857="","",IFERROR(INDEX(Categorie!$B$6:$B$65,MATCH(C857,Categorie!$A$6:$A$65,0))&amp;"",""))</f>
        <v/>
      </c>
      <c r="H857" s="32">
        <f>IF(AND(A857="",C857="",D857=""),"",IF(D857="","Manca l'importo",IF(NOT(ISNUMBER(D857)),"Importo non valido",IF(NOT(ISNUMBER(A857)),"Data mancante o non valida",IF(YEAR(A857)&lt;&gt;Impostazioni!$C$4,"Fuori dall'anno",IF(C857="","Manca la categoria",IF(ISNA(MATCH(C857,Categorie!$A$6:$A$65,0)),"Categoria non trovata",IF(G857="","Categoria senza tipo",""))))))))</f>
        <v/>
      </c>
    </row>
    <row r="858">
      <c r="A858" s="29" t="n"/>
      <c r="B858" s="17" t="n"/>
      <c r="C858" s="17" t="n"/>
      <c r="D858" s="16" t="n"/>
      <c r="E858" s="30" t="n"/>
      <c r="F858" s="17" t="n"/>
      <c r="G858" s="31">
        <f>IF(C858="","",IFERROR(INDEX(Categorie!$B$6:$B$65,MATCH(C858,Categorie!$A$6:$A$65,0))&amp;"",""))</f>
        <v/>
      </c>
      <c r="H858" s="32">
        <f>IF(AND(A858="",C858="",D858=""),"",IF(D858="","Manca l'importo",IF(NOT(ISNUMBER(D858)),"Importo non valido",IF(NOT(ISNUMBER(A858)),"Data mancante o non valida",IF(YEAR(A858)&lt;&gt;Impostazioni!$C$4,"Fuori dall'anno",IF(C858="","Manca la categoria",IF(ISNA(MATCH(C858,Categorie!$A$6:$A$65,0)),"Categoria non trovata",IF(G858="","Categoria senza tipo",""))))))))</f>
        <v/>
      </c>
    </row>
    <row r="859">
      <c r="A859" s="29" t="n"/>
      <c r="B859" s="17" t="n"/>
      <c r="C859" s="17" t="n"/>
      <c r="D859" s="16" t="n"/>
      <c r="E859" s="30" t="n"/>
      <c r="F859" s="17" t="n"/>
      <c r="G859" s="31">
        <f>IF(C859="","",IFERROR(INDEX(Categorie!$B$6:$B$65,MATCH(C859,Categorie!$A$6:$A$65,0))&amp;"",""))</f>
        <v/>
      </c>
      <c r="H859" s="32">
        <f>IF(AND(A859="",C859="",D859=""),"",IF(D859="","Manca l'importo",IF(NOT(ISNUMBER(D859)),"Importo non valido",IF(NOT(ISNUMBER(A859)),"Data mancante o non valida",IF(YEAR(A859)&lt;&gt;Impostazioni!$C$4,"Fuori dall'anno",IF(C859="","Manca la categoria",IF(ISNA(MATCH(C859,Categorie!$A$6:$A$65,0)),"Categoria non trovata",IF(G859="","Categoria senza tipo",""))))))))</f>
        <v/>
      </c>
    </row>
    <row r="860">
      <c r="A860" s="29" t="n"/>
      <c r="B860" s="17" t="n"/>
      <c r="C860" s="17" t="n"/>
      <c r="D860" s="16" t="n"/>
      <c r="E860" s="30" t="n"/>
      <c r="F860" s="17" t="n"/>
      <c r="G860" s="31">
        <f>IF(C860="","",IFERROR(INDEX(Categorie!$B$6:$B$65,MATCH(C860,Categorie!$A$6:$A$65,0))&amp;"",""))</f>
        <v/>
      </c>
      <c r="H860" s="32">
        <f>IF(AND(A860="",C860="",D860=""),"",IF(D860="","Manca l'importo",IF(NOT(ISNUMBER(D860)),"Importo non valido",IF(NOT(ISNUMBER(A860)),"Data mancante o non valida",IF(YEAR(A860)&lt;&gt;Impostazioni!$C$4,"Fuori dall'anno",IF(C860="","Manca la categoria",IF(ISNA(MATCH(C860,Categorie!$A$6:$A$65,0)),"Categoria non trovata",IF(G860="","Categoria senza tipo",""))))))))</f>
        <v/>
      </c>
    </row>
    <row r="861">
      <c r="A861" s="29" t="n"/>
      <c r="B861" s="17" t="n"/>
      <c r="C861" s="17" t="n"/>
      <c r="D861" s="16" t="n"/>
      <c r="E861" s="30" t="n"/>
      <c r="F861" s="17" t="n"/>
      <c r="G861" s="31">
        <f>IF(C861="","",IFERROR(INDEX(Categorie!$B$6:$B$65,MATCH(C861,Categorie!$A$6:$A$65,0))&amp;"",""))</f>
        <v/>
      </c>
      <c r="H861" s="32">
        <f>IF(AND(A861="",C861="",D861=""),"",IF(D861="","Manca l'importo",IF(NOT(ISNUMBER(D861)),"Importo non valido",IF(NOT(ISNUMBER(A861)),"Data mancante o non valida",IF(YEAR(A861)&lt;&gt;Impostazioni!$C$4,"Fuori dall'anno",IF(C861="","Manca la categoria",IF(ISNA(MATCH(C861,Categorie!$A$6:$A$65,0)),"Categoria non trovata",IF(G861="","Categoria senza tipo",""))))))))</f>
        <v/>
      </c>
    </row>
    <row r="862">
      <c r="A862" s="29" t="n"/>
      <c r="B862" s="17" t="n"/>
      <c r="C862" s="17" t="n"/>
      <c r="D862" s="16" t="n"/>
      <c r="E862" s="30" t="n"/>
      <c r="F862" s="17" t="n"/>
      <c r="G862" s="31">
        <f>IF(C862="","",IFERROR(INDEX(Categorie!$B$6:$B$65,MATCH(C862,Categorie!$A$6:$A$65,0))&amp;"",""))</f>
        <v/>
      </c>
      <c r="H862" s="32">
        <f>IF(AND(A862="",C862="",D862=""),"",IF(D862="","Manca l'importo",IF(NOT(ISNUMBER(D862)),"Importo non valido",IF(NOT(ISNUMBER(A862)),"Data mancante o non valida",IF(YEAR(A862)&lt;&gt;Impostazioni!$C$4,"Fuori dall'anno",IF(C862="","Manca la categoria",IF(ISNA(MATCH(C862,Categorie!$A$6:$A$65,0)),"Categoria non trovata",IF(G862="","Categoria senza tipo",""))))))))</f>
        <v/>
      </c>
    </row>
    <row r="863">
      <c r="A863" s="29" t="n"/>
      <c r="B863" s="17" t="n"/>
      <c r="C863" s="17" t="n"/>
      <c r="D863" s="16" t="n"/>
      <c r="E863" s="30" t="n"/>
      <c r="F863" s="17" t="n"/>
      <c r="G863" s="31">
        <f>IF(C863="","",IFERROR(INDEX(Categorie!$B$6:$B$65,MATCH(C863,Categorie!$A$6:$A$65,0))&amp;"",""))</f>
        <v/>
      </c>
      <c r="H863" s="32">
        <f>IF(AND(A863="",C863="",D863=""),"",IF(D863="","Manca l'importo",IF(NOT(ISNUMBER(D863)),"Importo non valido",IF(NOT(ISNUMBER(A863)),"Data mancante o non valida",IF(YEAR(A863)&lt;&gt;Impostazioni!$C$4,"Fuori dall'anno",IF(C863="","Manca la categoria",IF(ISNA(MATCH(C863,Categorie!$A$6:$A$65,0)),"Categoria non trovata",IF(G863="","Categoria senza tipo",""))))))))</f>
        <v/>
      </c>
    </row>
    <row r="864">
      <c r="A864" s="29" t="n"/>
      <c r="B864" s="17" t="n"/>
      <c r="C864" s="17" t="n"/>
      <c r="D864" s="16" t="n"/>
      <c r="E864" s="30" t="n"/>
      <c r="F864" s="17" t="n"/>
      <c r="G864" s="31">
        <f>IF(C864="","",IFERROR(INDEX(Categorie!$B$6:$B$65,MATCH(C864,Categorie!$A$6:$A$65,0))&amp;"",""))</f>
        <v/>
      </c>
      <c r="H864" s="32">
        <f>IF(AND(A864="",C864="",D864=""),"",IF(D864="","Manca l'importo",IF(NOT(ISNUMBER(D864)),"Importo non valido",IF(NOT(ISNUMBER(A864)),"Data mancante o non valida",IF(YEAR(A864)&lt;&gt;Impostazioni!$C$4,"Fuori dall'anno",IF(C864="","Manca la categoria",IF(ISNA(MATCH(C864,Categorie!$A$6:$A$65,0)),"Categoria non trovata",IF(G864="","Categoria senza tipo",""))))))))</f>
        <v/>
      </c>
    </row>
    <row r="865">
      <c r="A865" s="29" t="n"/>
      <c r="B865" s="17" t="n"/>
      <c r="C865" s="17" t="n"/>
      <c r="D865" s="16" t="n"/>
      <c r="E865" s="30" t="n"/>
      <c r="F865" s="17" t="n"/>
      <c r="G865" s="31">
        <f>IF(C865="","",IFERROR(INDEX(Categorie!$B$6:$B$65,MATCH(C865,Categorie!$A$6:$A$65,0))&amp;"",""))</f>
        <v/>
      </c>
      <c r="H865" s="32">
        <f>IF(AND(A865="",C865="",D865=""),"",IF(D865="","Manca l'importo",IF(NOT(ISNUMBER(D865)),"Importo non valido",IF(NOT(ISNUMBER(A865)),"Data mancante o non valida",IF(YEAR(A865)&lt;&gt;Impostazioni!$C$4,"Fuori dall'anno",IF(C865="","Manca la categoria",IF(ISNA(MATCH(C865,Categorie!$A$6:$A$65,0)),"Categoria non trovata",IF(G865="","Categoria senza tipo",""))))))))</f>
        <v/>
      </c>
    </row>
    <row r="866">
      <c r="A866" s="29" t="n"/>
      <c r="B866" s="17" t="n"/>
      <c r="C866" s="17" t="n"/>
      <c r="D866" s="16" t="n"/>
      <c r="E866" s="30" t="n"/>
      <c r="F866" s="17" t="n"/>
      <c r="G866" s="31">
        <f>IF(C866="","",IFERROR(INDEX(Categorie!$B$6:$B$65,MATCH(C866,Categorie!$A$6:$A$65,0))&amp;"",""))</f>
        <v/>
      </c>
      <c r="H866" s="32">
        <f>IF(AND(A866="",C866="",D866=""),"",IF(D866="","Manca l'importo",IF(NOT(ISNUMBER(D866)),"Importo non valido",IF(NOT(ISNUMBER(A866)),"Data mancante o non valida",IF(YEAR(A866)&lt;&gt;Impostazioni!$C$4,"Fuori dall'anno",IF(C866="","Manca la categoria",IF(ISNA(MATCH(C866,Categorie!$A$6:$A$65,0)),"Categoria non trovata",IF(G866="","Categoria senza tipo",""))))))))</f>
        <v/>
      </c>
    </row>
    <row r="867">
      <c r="A867" s="29" t="n"/>
      <c r="B867" s="17" t="n"/>
      <c r="C867" s="17" t="n"/>
      <c r="D867" s="16" t="n"/>
      <c r="E867" s="30" t="n"/>
      <c r="F867" s="17" t="n"/>
      <c r="G867" s="31">
        <f>IF(C867="","",IFERROR(INDEX(Categorie!$B$6:$B$65,MATCH(C867,Categorie!$A$6:$A$65,0))&amp;"",""))</f>
        <v/>
      </c>
      <c r="H867" s="32">
        <f>IF(AND(A867="",C867="",D867=""),"",IF(D867="","Manca l'importo",IF(NOT(ISNUMBER(D867)),"Importo non valido",IF(NOT(ISNUMBER(A867)),"Data mancante o non valida",IF(YEAR(A867)&lt;&gt;Impostazioni!$C$4,"Fuori dall'anno",IF(C867="","Manca la categoria",IF(ISNA(MATCH(C867,Categorie!$A$6:$A$65,0)),"Categoria non trovata",IF(G867="","Categoria senza tipo",""))))))))</f>
        <v/>
      </c>
    </row>
    <row r="868">
      <c r="A868" s="29" t="n"/>
      <c r="B868" s="17" t="n"/>
      <c r="C868" s="17" t="n"/>
      <c r="D868" s="16" t="n"/>
      <c r="E868" s="30" t="n"/>
      <c r="F868" s="17" t="n"/>
      <c r="G868" s="31">
        <f>IF(C868="","",IFERROR(INDEX(Categorie!$B$6:$B$65,MATCH(C868,Categorie!$A$6:$A$65,0))&amp;"",""))</f>
        <v/>
      </c>
      <c r="H868" s="32">
        <f>IF(AND(A868="",C868="",D868=""),"",IF(D868="","Manca l'importo",IF(NOT(ISNUMBER(D868)),"Importo non valido",IF(NOT(ISNUMBER(A868)),"Data mancante o non valida",IF(YEAR(A868)&lt;&gt;Impostazioni!$C$4,"Fuori dall'anno",IF(C868="","Manca la categoria",IF(ISNA(MATCH(C868,Categorie!$A$6:$A$65,0)),"Categoria non trovata",IF(G868="","Categoria senza tipo",""))))))))</f>
        <v/>
      </c>
    </row>
    <row r="869">
      <c r="A869" s="29" t="n"/>
      <c r="B869" s="17" t="n"/>
      <c r="C869" s="17" t="n"/>
      <c r="D869" s="16" t="n"/>
      <c r="E869" s="30" t="n"/>
      <c r="F869" s="17" t="n"/>
      <c r="G869" s="31">
        <f>IF(C869="","",IFERROR(INDEX(Categorie!$B$6:$B$65,MATCH(C869,Categorie!$A$6:$A$65,0))&amp;"",""))</f>
        <v/>
      </c>
      <c r="H869" s="32">
        <f>IF(AND(A869="",C869="",D869=""),"",IF(D869="","Manca l'importo",IF(NOT(ISNUMBER(D869)),"Importo non valido",IF(NOT(ISNUMBER(A869)),"Data mancante o non valida",IF(YEAR(A869)&lt;&gt;Impostazioni!$C$4,"Fuori dall'anno",IF(C869="","Manca la categoria",IF(ISNA(MATCH(C869,Categorie!$A$6:$A$65,0)),"Categoria non trovata",IF(G869="","Categoria senza tipo",""))))))))</f>
        <v/>
      </c>
    </row>
    <row r="870">
      <c r="A870" s="29" t="n"/>
      <c r="B870" s="17" t="n"/>
      <c r="C870" s="17" t="n"/>
      <c r="D870" s="16" t="n"/>
      <c r="E870" s="30" t="n"/>
      <c r="F870" s="17" t="n"/>
      <c r="G870" s="31">
        <f>IF(C870="","",IFERROR(INDEX(Categorie!$B$6:$B$65,MATCH(C870,Categorie!$A$6:$A$65,0))&amp;"",""))</f>
        <v/>
      </c>
      <c r="H870" s="32">
        <f>IF(AND(A870="",C870="",D870=""),"",IF(D870="","Manca l'importo",IF(NOT(ISNUMBER(D870)),"Importo non valido",IF(NOT(ISNUMBER(A870)),"Data mancante o non valida",IF(YEAR(A870)&lt;&gt;Impostazioni!$C$4,"Fuori dall'anno",IF(C870="","Manca la categoria",IF(ISNA(MATCH(C870,Categorie!$A$6:$A$65,0)),"Categoria non trovata",IF(G870="","Categoria senza tipo",""))))))))</f>
        <v/>
      </c>
    </row>
    <row r="871">
      <c r="A871" s="29" t="n"/>
      <c r="B871" s="17" t="n"/>
      <c r="C871" s="17" t="n"/>
      <c r="D871" s="16" t="n"/>
      <c r="E871" s="30" t="n"/>
      <c r="F871" s="17" t="n"/>
      <c r="G871" s="31">
        <f>IF(C871="","",IFERROR(INDEX(Categorie!$B$6:$B$65,MATCH(C871,Categorie!$A$6:$A$65,0))&amp;"",""))</f>
        <v/>
      </c>
      <c r="H871" s="32">
        <f>IF(AND(A871="",C871="",D871=""),"",IF(D871="","Manca l'importo",IF(NOT(ISNUMBER(D871)),"Importo non valido",IF(NOT(ISNUMBER(A871)),"Data mancante o non valida",IF(YEAR(A871)&lt;&gt;Impostazioni!$C$4,"Fuori dall'anno",IF(C871="","Manca la categoria",IF(ISNA(MATCH(C871,Categorie!$A$6:$A$65,0)),"Categoria non trovata",IF(G871="","Categoria senza tipo",""))))))))</f>
        <v/>
      </c>
    </row>
    <row r="872">
      <c r="A872" s="29" t="n"/>
      <c r="B872" s="17" t="n"/>
      <c r="C872" s="17" t="n"/>
      <c r="D872" s="16" t="n"/>
      <c r="E872" s="30" t="n"/>
      <c r="F872" s="17" t="n"/>
      <c r="G872" s="31">
        <f>IF(C872="","",IFERROR(INDEX(Categorie!$B$6:$B$65,MATCH(C872,Categorie!$A$6:$A$65,0))&amp;"",""))</f>
        <v/>
      </c>
      <c r="H872" s="32">
        <f>IF(AND(A872="",C872="",D872=""),"",IF(D872="","Manca l'importo",IF(NOT(ISNUMBER(D872)),"Importo non valido",IF(NOT(ISNUMBER(A872)),"Data mancante o non valida",IF(YEAR(A872)&lt;&gt;Impostazioni!$C$4,"Fuori dall'anno",IF(C872="","Manca la categoria",IF(ISNA(MATCH(C872,Categorie!$A$6:$A$65,0)),"Categoria non trovata",IF(G872="","Categoria senza tipo",""))))))))</f>
        <v/>
      </c>
    </row>
    <row r="873">
      <c r="A873" s="29" t="n"/>
      <c r="B873" s="17" t="n"/>
      <c r="C873" s="17" t="n"/>
      <c r="D873" s="16" t="n"/>
      <c r="E873" s="30" t="n"/>
      <c r="F873" s="17" t="n"/>
      <c r="G873" s="31">
        <f>IF(C873="","",IFERROR(INDEX(Categorie!$B$6:$B$65,MATCH(C873,Categorie!$A$6:$A$65,0))&amp;"",""))</f>
        <v/>
      </c>
      <c r="H873" s="32">
        <f>IF(AND(A873="",C873="",D873=""),"",IF(D873="","Manca l'importo",IF(NOT(ISNUMBER(D873)),"Importo non valido",IF(NOT(ISNUMBER(A873)),"Data mancante o non valida",IF(YEAR(A873)&lt;&gt;Impostazioni!$C$4,"Fuori dall'anno",IF(C873="","Manca la categoria",IF(ISNA(MATCH(C873,Categorie!$A$6:$A$65,0)),"Categoria non trovata",IF(G873="","Categoria senza tipo",""))))))))</f>
        <v/>
      </c>
    </row>
    <row r="874">
      <c r="A874" s="29" t="n"/>
      <c r="B874" s="17" t="n"/>
      <c r="C874" s="17" t="n"/>
      <c r="D874" s="16" t="n"/>
      <c r="E874" s="30" t="n"/>
      <c r="F874" s="17" t="n"/>
      <c r="G874" s="31">
        <f>IF(C874="","",IFERROR(INDEX(Categorie!$B$6:$B$65,MATCH(C874,Categorie!$A$6:$A$65,0))&amp;"",""))</f>
        <v/>
      </c>
      <c r="H874" s="32">
        <f>IF(AND(A874="",C874="",D874=""),"",IF(D874="","Manca l'importo",IF(NOT(ISNUMBER(D874)),"Importo non valido",IF(NOT(ISNUMBER(A874)),"Data mancante o non valida",IF(YEAR(A874)&lt;&gt;Impostazioni!$C$4,"Fuori dall'anno",IF(C874="","Manca la categoria",IF(ISNA(MATCH(C874,Categorie!$A$6:$A$65,0)),"Categoria non trovata",IF(G874="","Categoria senza tipo",""))))))))</f>
        <v/>
      </c>
    </row>
    <row r="875">
      <c r="A875" s="29" t="n"/>
      <c r="B875" s="17" t="n"/>
      <c r="C875" s="17" t="n"/>
      <c r="D875" s="16" t="n"/>
      <c r="E875" s="30" t="n"/>
      <c r="F875" s="17" t="n"/>
      <c r="G875" s="31">
        <f>IF(C875="","",IFERROR(INDEX(Categorie!$B$6:$B$65,MATCH(C875,Categorie!$A$6:$A$65,0))&amp;"",""))</f>
        <v/>
      </c>
      <c r="H875" s="32">
        <f>IF(AND(A875="",C875="",D875=""),"",IF(D875="","Manca l'importo",IF(NOT(ISNUMBER(D875)),"Importo non valido",IF(NOT(ISNUMBER(A875)),"Data mancante o non valida",IF(YEAR(A875)&lt;&gt;Impostazioni!$C$4,"Fuori dall'anno",IF(C875="","Manca la categoria",IF(ISNA(MATCH(C875,Categorie!$A$6:$A$65,0)),"Categoria non trovata",IF(G875="","Categoria senza tipo",""))))))))</f>
        <v/>
      </c>
    </row>
    <row r="876">
      <c r="A876" s="29" t="n"/>
      <c r="B876" s="17" t="n"/>
      <c r="C876" s="17" t="n"/>
      <c r="D876" s="16" t="n"/>
      <c r="E876" s="30" t="n"/>
      <c r="F876" s="17" t="n"/>
      <c r="G876" s="31">
        <f>IF(C876="","",IFERROR(INDEX(Categorie!$B$6:$B$65,MATCH(C876,Categorie!$A$6:$A$65,0))&amp;"",""))</f>
        <v/>
      </c>
      <c r="H876" s="32">
        <f>IF(AND(A876="",C876="",D876=""),"",IF(D876="","Manca l'importo",IF(NOT(ISNUMBER(D876)),"Importo non valido",IF(NOT(ISNUMBER(A876)),"Data mancante o non valida",IF(YEAR(A876)&lt;&gt;Impostazioni!$C$4,"Fuori dall'anno",IF(C876="","Manca la categoria",IF(ISNA(MATCH(C876,Categorie!$A$6:$A$65,0)),"Categoria non trovata",IF(G876="","Categoria senza tipo",""))))))))</f>
        <v/>
      </c>
    </row>
    <row r="877">
      <c r="A877" s="29" t="n"/>
      <c r="B877" s="17" t="n"/>
      <c r="C877" s="17" t="n"/>
      <c r="D877" s="16" t="n"/>
      <c r="E877" s="30" t="n"/>
      <c r="F877" s="17" t="n"/>
      <c r="G877" s="31">
        <f>IF(C877="","",IFERROR(INDEX(Categorie!$B$6:$B$65,MATCH(C877,Categorie!$A$6:$A$65,0))&amp;"",""))</f>
        <v/>
      </c>
      <c r="H877" s="32">
        <f>IF(AND(A877="",C877="",D877=""),"",IF(D877="","Manca l'importo",IF(NOT(ISNUMBER(D877)),"Importo non valido",IF(NOT(ISNUMBER(A877)),"Data mancante o non valida",IF(YEAR(A877)&lt;&gt;Impostazioni!$C$4,"Fuori dall'anno",IF(C877="","Manca la categoria",IF(ISNA(MATCH(C877,Categorie!$A$6:$A$65,0)),"Categoria non trovata",IF(G877="","Categoria senza tipo",""))))))))</f>
        <v/>
      </c>
    </row>
    <row r="878">
      <c r="A878" s="29" t="n"/>
      <c r="B878" s="17" t="n"/>
      <c r="C878" s="17" t="n"/>
      <c r="D878" s="16" t="n"/>
      <c r="E878" s="30" t="n"/>
      <c r="F878" s="17" t="n"/>
      <c r="G878" s="31">
        <f>IF(C878="","",IFERROR(INDEX(Categorie!$B$6:$B$65,MATCH(C878,Categorie!$A$6:$A$65,0))&amp;"",""))</f>
        <v/>
      </c>
      <c r="H878" s="32">
        <f>IF(AND(A878="",C878="",D878=""),"",IF(D878="","Manca l'importo",IF(NOT(ISNUMBER(D878)),"Importo non valido",IF(NOT(ISNUMBER(A878)),"Data mancante o non valida",IF(YEAR(A878)&lt;&gt;Impostazioni!$C$4,"Fuori dall'anno",IF(C878="","Manca la categoria",IF(ISNA(MATCH(C878,Categorie!$A$6:$A$65,0)),"Categoria non trovata",IF(G878="","Categoria senza tipo",""))))))))</f>
        <v/>
      </c>
    </row>
    <row r="879">
      <c r="A879" s="29" t="n"/>
      <c r="B879" s="17" t="n"/>
      <c r="C879" s="17" t="n"/>
      <c r="D879" s="16" t="n"/>
      <c r="E879" s="30" t="n"/>
      <c r="F879" s="17" t="n"/>
      <c r="G879" s="31">
        <f>IF(C879="","",IFERROR(INDEX(Categorie!$B$6:$B$65,MATCH(C879,Categorie!$A$6:$A$65,0))&amp;"",""))</f>
        <v/>
      </c>
      <c r="H879" s="32">
        <f>IF(AND(A879="",C879="",D879=""),"",IF(D879="","Manca l'importo",IF(NOT(ISNUMBER(D879)),"Importo non valido",IF(NOT(ISNUMBER(A879)),"Data mancante o non valida",IF(YEAR(A879)&lt;&gt;Impostazioni!$C$4,"Fuori dall'anno",IF(C879="","Manca la categoria",IF(ISNA(MATCH(C879,Categorie!$A$6:$A$65,0)),"Categoria non trovata",IF(G879="","Categoria senza tipo",""))))))))</f>
        <v/>
      </c>
    </row>
    <row r="880">
      <c r="A880" s="29" t="n"/>
      <c r="B880" s="17" t="n"/>
      <c r="C880" s="17" t="n"/>
      <c r="D880" s="16" t="n"/>
      <c r="E880" s="30" t="n"/>
      <c r="F880" s="17" t="n"/>
      <c r="G880" s="31">
        <f>IF(C880="","",IFERROR(INDEX(Categorie!$B$6:$B$65,MATCH(C880,Categorie!$A$6:$A$65,0))&amp;"",""))</f>
        <v/>
      </c>
      <c r="H880" s="32">
        <f>IF(AND(A880="",C880="",D880=""),"",IF(D880="","Manca l'importo",IF(NOT(ISNUMBER(D880)),"Importo non valido",IF(NOT(ISNUMBER(A880)),"Data mancante o non valida",IF(YEAR(A880)&lt;&gt;Impostazioni!$C$4,"Fuori dall'anno",IF(C880="","Manca la categoria",IF(ISNA(MATCH(C880,Categorie!$A$6:$A$65,0)),"Categoria non trovata",IF(G880="","Categoria senza tipo",""))))))))</f>
        <v/>
      </c>
    </row>
    <row r="881">
      <c r="A881" s="29" t="n"/>
      <c r="B881" s="17" t="n"/>
      <c r="C881" s="17" t="n"/>
      <c r="D881" s="16" t="n"/>
      <c r="E881" s="30" t="n"/>
      <c r="F881" s="17" t="n"/>
      <c r="G881" s="31">
        <f>IF(C881="","",IFERROR(INDEX(Categorie!$B$6:$B$65,MATCH(C881,Categorie!$A$6:$A$65,0))&amp;"",""))</f>
        <v/>
      </c>
      <c r="H881" s="32">
        <f>IF(AND(A881="",C881="",D881=""),"",IF(D881="","Manca l'importo",IF(NOT(ISNUMBER(D881)),"Importo non valido",IF(NOT(ISNUMBER(A881)),"Data mancante o non valida",IF(YEAR(A881)&lt;&gt;Impostazioni!$C$4,"Fuori dall'anno",IF(C881="","Manca la categoria",IF(ISNA(MATCH(C881,Categorie!$A$6:$A$65,0)),"Categoria non trovata",IF(G881="","Categoria senza tipo",""))))))))</f>
        <v/>
      </c>
    </row>
    <row r="882">
      <c r="A882" s="29" t="n"/>
      <c r="B882" s="17" t="n"/>
      <c r="C882" s="17" t="n"/>
      <c r="D882" s="16" t="n"/>
      <c r="E882" s="30" t="n"/>
      <c r="F882" s="17" t="n"/>
      <c r="G882" s="31">
        <f>IF(C882="","",IFERROR(INDEX(Categorie!$B$6:$B$65,MATCH(C882,Categorie!$A$6:$A$65,0))&amp;"",""))</f>
        <v/>
      </c>
      <c r="H882" s="32">
        <f>IF(AND(A882="",C882="",D882=""),"",IF(D882="","Manca l'importo",IF(NOT(ISNUMBER(D882)),"Importo non valido",IF(NOT(ISNUMBER(A882)),"Data mancante o non valida",IF(YEAR(A882)&lt;&gt;Impostazioni!$C$4,"Fuori dall'anno",IF(C882="","Manca la categoria",IF(ISNA(MATCH(C882,Categorie!$A$6:$A$65,0)),"Categoria non trovata",IF(G882="","Categoria senza tipo",""))))))))</f>
        <v/>
      </c>
    </row>
    <row r="883">
      <c r="A883" s="29" t="n"/>
      <c r="B883" s="17" t="n"/>
      <c r="C883" s="17" t="n"/>
      <c r="D883" s="16" t="n"/>
      <c r="E883" s="30" t="n"/>
      <c r="F883" s="17" t="n"/>
      <c r="G883" s="31">
        <f>IF(C883="","",IFERROR(INDEX(Categorie!$B$6:$B$65,MATCH(C883,Categorie!$A$6:$A$65,0))&amp;"",""))</f>
        <v/>
      </c>
      <c r="H883" s="32">
        <f>IF(AND(A883="",C883="",D883=""),"",IF(D883="","Manca l'importo",IF(NOT(ISNUMBER(D883)),"Importo non valido",IF(NOT(ISNUMBER(A883)),"Data mancante o non valida",IF(YEAR(A883)&lt;&gt;Impostazioni!$C$4,"Fuori dall'anno",IF(C883="","Manca la categoria",IF(ISNA(MATCH(C883,Categorie!$A$6:$A$65,0)),"Categoria non trovata",IF(G883="","Categoria senza tipo",""))))))))</f>
        <v/>
      </c>
    </row>
    <row r="884">
      <c r="A884" s="29" t="n"/>
      <c r="B884" s="17" t="n"/>
      <c r="C884" s="17" t="n"/>
      <c r="D884" s="16" t="n"/>
      <c r="E884" s="30" t="n"/>
      <c r="F884" s="17" t="n"/>
      <c r="G884" s="31">
        <f>IF(C884="","",IFERROR(INDEX(Categorie!$B$6:$B$65,MATCH(C884,Categorie!$A$6:$A$65,0))&amp;"",""))</f>
        <v/>
      </c>
      <c r="H884" s="32">
        <f>IF(AND(A884="",C884="",D884=""),"",IF(D884="","Manca l'importo",IF(NOT(ISNUMBER(D884)),"Importo non valido",IF(NOT(ISNUMBER(A884)),"Data mancante o non valida",IF(YEAR(A884)&lt;&gt;Impostazioni!$C$4,"Fuori dall'anno",IF(C884="","Manca la categoria",IF(ISNA(MATCH(C884,Categorie!$A$6:$A$65,0)),"Categoria non trovata",IF(G884="","Categoria senza tipo",""))))))))</f>
        <v/>
      </c>
    </row>
    <row r="885">
      <c r="A885" s="29" t="n"/>
      <c r="B885" s="17" t="n"/>
      <c r="C885" s="17" t="n"/>
      <c r="D885" s="16" t="n"/>
      <c r="E885" s="30" t="n"/>
      <c r="F885" s="17" t="n"/>
      <c r="G885" s="31">
        <f>IF(C885="","",IFERROR(INDEX(Categorie!$B$6:$B$65,MATCH(C885,Categorie!$A$6:$A$65,0))&amp;"",""))</f>
        <v/>
      </c>
      <c r="H885" s="32">
        <f>IF(AND(A885="",C885="",D885=""),"",IF(D885="","Manca l'importo",IF(NOT(ISNUMBER(D885)),"Importo non valido",IF(NOT(ISNUMBER(A885)),"Data mancante o non valida",IF(YEAR(A885)&lt;&gt;Impostazioni!$C$4,"Fuori dall'anno",IF(C885="","Manca la categoria",IF(ISNA(MATCH(C885,Categorie!$A$6:$A$65,0)),"Categoria non trovata",IF(G885="","Categoria senza tipo",""))))))))</f>
        <v/>
      </c>
    </row>
    <row r="886">
      <c r="A886" s="29" t="n"/>
      <c r="B886" s="17" t="n"/>
      <c r="C886" s="17" t="n"/>
      <c r="D886" s="16" t="n"/>
      <c r="E886" s="30" t="n"/>
      <c r="F886" s="17" t="n"/>
      <c r="G886" s="31">
        <f>IF(C886="","",IFERROR(INDEX(Categorie!$B$6:$B$65,MATCH(C886,Categorie!$A$6:$A$65,0))&amp;"",""))</f>
        <v/>
      </c>
      <c r="H886" s="32">
        <f>IF(AND(A886="",C886="",D886=""),"",IF(D886="","Manca l'importo",IF(NOT(ISNUMBER(D886)),"Importo non valido",IF(NOT(ISNUMBER(A886)),"Data mancante o non valida",IF(YEAR(A886)&lt;&gt;Impostazioni!$C$4,"Fuori dall'anno",IF(C886="","Manca la categoria",IF(ISNA(MATCH(C886,Categorie!$A$6:$A$65,0)),"Categoria non trovata",IF(G886="","Categoria senza tipo",""))))))))</f>
        <v/>
      </c>
    </row>
    <row r="887">
      <c r="A887" s="29" t="n"/>
      <c r="B887" s="17" t="n"/>
      <c r="C887" s="17" t="n"/>
      <c r="D887" s="16" t="n"/>
      <c r="E887" s="30" t="n"/>
      <c r="F887" s="17" t="n"/>
      <c r="G887" s="31">
        <f>IF(C887="","",IFERROR(INDEX(Categorie!$B$6:$B$65,MATCH(C887,Categorie!$A$6:$A$65,0))&amp;"",""))</f>
        <v/>
      </c>
      <c r="H887" s="32">
        <f>IF(AND(A887="",C887="",D887=""),"",IF(D887="","Manca l'importo",IF(NOT(ISNUMBER(D887)),"Importo non valido",IF(NOT(ISNUMBER(A887)),"Data mancante o non valida",IF(YEAR(A887)&lt;&gt;Impostazioni!$C$4,"Fuori dall'anno",IF(C887="","Manca la categoria",IF(ISNA(MATCH(C887,Categorie!$A$6:$A$65,0)),"Categoria non trovata",IF(G887="","Categoria senza tipo",""))))))))</f>
        <v/>
      </c>
    </row>
    <row r="888">
      <c r="A888" s="29" t="n"/>
      <c r="B888" s="17" t="n"/>
      <c r="C888" s="17" t="n"/>
      <c r="D888" s="16" t="n"/>
      <c r="E888" s="30" t="n"/>
      <c r="F888" s="17" t="n"/>
      <c r="G888" s="31">
        <f>IF(C888="","",IFERROR(INDEX(Categorie!$B$6:$B$65,MATCH(C888,Categorie!$A$6:$A$65,0))&amp;"",""))</f>
        <v/>
      </c>
      <c r="H888" s="32">
        <f>IF(AND(A888="",C888="",D888=""),"",IF(D888="","Manca l'importo",IF(NOT(ISNUMBER(D888)),"Importo non valido",IF(NOT(ISNUMBER(A888)),"Data mancante o non valida",IF(YEAR(A888)&lt;&gt;Impostazioni!$C$4,"Fuori dall'anno",IF(C888="","Manca la categoria",IF(ISNA(MATCH(C888,Categorie!$A$6:$A$65,0)),"Categoria non trovata",IF(G888="","Categoria senza tipo",""))))))))</f>
        <v/>
      </c>
    </row>
    <row r="889">
      <c r="A889" s="29" t="n"/>
      <c r="B889" s="17" t="n"/>
      <c r="C889" s="17" t="n"/>
      <c r="D889" s="16" t="n"/>
      <c r="E889" s="30" t="n"/>
      <c r="F889" s="17" t="n"/>
      <c r="G889" s="31">
        <f>IF(C889="","",IFERROR(INDEX(Categorie!$B$6:$B$65,MATCH(C889,Categorie!$A$6:$A$65,0))&amp;"",""))</f>
        <v/>
      </c>
      <c r="H889" s="32">
        <f>IF(AND(A889="",C889="",D889=""),"",IF(D889="","Manca l'importo",IF(NOT(ISNUMBER(D889)),"Importo non valido",IF(NOT(ISNUMBER(A889)),"Data mancante o non valida",IF(YEAR(A889)&lt;&gt;Impostazioni!$C$4,"Fuori dall'anno",IF(C889="","Manca la categoria",IF(ISNA(MATCH(C889,Categorie!$A$6:$A$65,0)),"Categoria non trovata",IF(G889="","Categoria senza tipo",""))))))))</f>
        <v/>
      </c>
    </row>
    <row r="890">
      <c r="A890" s="29" t="n"/>
      <c r="B890" s="17" t="n"/>
      <c r="C890" s="17" t="n"/>
      <c r="D890" s="16" t="n"/>
      <c r="E890" s="30" t="n"/>
      <c r="F890" s="17" t="n"/>
      <c r="G890" s="31">
        <f>IF(C890="","",IFERROR(INDEX(Categorie!$B$6:$B$65,MATCH(C890,Categorie!$A$6:$A$65,0))&amp;"",""))</f>
        <v/>
      </c>
      <c r="H890" s="32">
        <f>IF(AND(A890="",C890="",D890=""),"",IF(D890="","Manca l'importo",IF(NOT(ISNUMBER(D890)),"Importo non valido",IF(NOT(ISNUMBER(A890)),"Data mancante o non valida",IF(YEAR(A890)&lt;&gt;Impostazioni!$C$4,"Fuori dall'anno",IF(C890="","Manca la categoria",IF(ISNA(MATCH(C890,Categorie!$A$6:$A$65,0)),"Categoria non trovata",IF(G890="","Categoria senza tipo",""))))))))</f>
        <v/>
      </c>
    </row>
    <row r="891">
      <c r="A891" s="29" t="n"/>
      <c r="B891" s="17" t="n"/>
      <c r="C891" s="17" t="n"/>
      <c r="D891" s="16" t="n"/>
      <c r="E891" s="30" t="n"/>
      <c r="F891" s="17" t="n"/>
      <c r="G891" s="31">
        <f>IF(C891="","",IFERROR(INDEX(Categorie!$B$6:$B$65,MATCH(C891,Categorie!$A$6:$A$65,0))&amp;"",""))</f>
        <v/>
      </c>
      <c r="H891" s="32">
        <f>IF(AND(A891="",C891="",D891=""),"",IF(D891="","Manca l'importo",IF(NOT(ISNUMBER(D891)),"Importo non valido",IF(NOT(ISNUMBER(A891)),"Data mancante o non valida",IF(YEAR(A891)&lt;&gt;Impostazioni!$C$4,"Fuori dall'anno",IF(C891="","Manca la categoria",IF(ISNA(MATCH(C891,Categorie!$A$6:$A$65,0)),"Categoria non trovata",IF(G891="","Categoria senza tipo",""))))))))</f>
        <v/>
      </c>
    </row>
    <row r="892">
      <c r="A892" s="29" t="n"/>
      <c r="B892" s="17" t="n"/>
      <c r="C892" s="17" t="n"/>
      <c r="D892" s="16" t="n"/>
      <c r="E892" s="30" t="n"/>
      <c r="F892" s="17" t="n"/>
      <c r="G892" s="31">
        <f>IF(C892="","",IFERROR(INDEX(Categorie!$B$6:$B$65,MATCH(C892,Categorie!$A$6:$A$65,0))&amp;"",""))</f>
        <v/>
      </c>
      <c r="H892" s="32">
        <f>IF(AND(A892="",C892="",D892=""),"",IF(D892="","Manca l'importo",IF(NOT(ISNUMBER(D892)),"Importo non valido",IF(NOT(ISNUMBER(A892)),"Data mancante o non valida",IF(YEAR(A892)&lt;&gt;Impostazioni!$C$4,"Fuori dall'anno",IF(C892="","Manca la categoria",IF(ISNA(MATCH(C892,Categorie!$A$6:$A$65,0)),"Categoria non trovata",IF(G892="","Categoria senza tipo",""))))))))</f>
        <v/>
      </c>
    </row>
    <row r="893">
      <c r="A893" s="29" t="n"/>
      <c r="B893" s="17" t="n"/>
      <c r="C893" s="17" t="n"/>
      <c r="D893" s="16" t="n"/>
      <c r="E893" s="30" t="n"/>
      <c r="F893" s="17" t="n"/>
      <c r="G893" s="31">
        <f>IF(C893="","",IFERROR(INDEX(Categorie!$B$6:$B$65,MATCH(C893,Categorie!$A$6:$A$65,0))&amp;"",""))</f>
        <v/>
      </c>
      <c r="H893" s="32">
        <f>IF(AND(A893="",C893="",D893=""),"",IF(D893="","Manca l'importo",IF(NOT(ISNUMBER(D893)),"Importo non valido",IF(NOT(ISNUMBER(A893)),"Data mancante o non valida",IF(YEAR(A893)&lt;&gt;Impostazioni!$C$4,"Fuori dall'anno",IF(C893="","Manca la categoria",IF(ISNA(MATCH(C893,Categorie!$A$6:$A$65,0)),"Categoria non trovata",IF(G893="","Categoria senza tipo",""))))))))</f>
        <v/>
      </c>
    </row>
    <row r="894">
      <c r="A894" s="29" t="n"/>
      <c r="B894" s="17" t="n"/>
      <c r="C894" s="17" t="n"/>
      <c r="D894" s="16" t="n"/>
      <c r="E894" s="30" t="n"/>
      <c r="F894" s="17" t="n"/>
      <c r="G894" s="31">
        <f>IF(C894="","",IFERROR(INDEX(Categorie!$B$6:$B$65,MATCH(C894,Categorie!$A$6:$A$65,0))&amp;"",""))</f>
        <v/>
      </c>
      <c r="H894" s="32">
        <f>IF(AND(A894="",C894="",D894=""),"",IF(D894="","Manca l'importo",IF(NOT(ISNUMBER(D894)),"Importo non valido",IF(NOT(ISNUMBER(A894)),"Data mancante o non valida",IF(YEAR(A894)&lt;&gt;Impostazioni!$C$4,"Fuori dall'anno",IF(C894="","Manca la categoria",IF(ISNA(MATCH(C894,Categorie!$A$6:$A$65,0)),"Categoria non trovata",IF(G894="","Categoria senza tipo",""))))))))</f>
        <v/>
      </c>
    </row>
    <row r="895">
      <c r="A895" s="29" t="n"/>
      <c r="B895" s="17" t="n"/>
      <c r="C895" s="17" t="n"/>
      <c r="D895" s="16" t="n"/>
      <c r="E895" s="30" t="n"/>
      <c r="F895" s="17" t="n"/>
      <c r="G895" s="31">
        <f>IF(C895="","",IFERROR(INDEX(Categorie!$B$6:$B$65,MATCH(C895,Categorie!$A$6:$A$65,0))&amp;"",""))</f>
        <v/>
      </c>
      <c r="H895" s="32">
        <f>IF(AND(A895="",C895="",D895=""),"",IF(D895="","Manca l'importo",IF(NOT(ISNUMBER(D895)),"Importo non valido",IF(NOT(ISNUMBER(A895)),"Data mancante o non valida",IF(YEAR(A895)&lt;&gt;Impostazioni!$C$4,"Fuori dall'anno",IF(C895="","Manca la categoria",IF(ISNA(MATCH(C895,Categorie!$A$6:$A$65,0)),"Categoria non trovata",IF(G895="","Categoria senza tipo",""))))))))</f>
        <v/>
      </c>
    </row>
    <row r="896">
      <c r="A896" s="29" t="n"/>
      <c r="B896" s="17" t="n"/>
      <c r="C896" s="17" t="n"/>
      <c r="D896" s="16" t="n"/>
      <c r="E896" s="30" t="n"/>
      <c r="F896" s="17" t="n"/>
      <c r="G896" s="31">
        <f>IF(C896="","",IFERROR(INDEX(Categorie!$B$6:$B$65,MATCH(C896,Categorie!$A$6:$A$65,0))&amp;"",""))</f>
        <v/>
      </c>
      <c r="H896" s="32">
        <f>IF(AND(A896="",C896="",D896=""),"",IF(D896="","Manca l'importo",IF(NOT(ISNUMBER(D896)),"Importo non valido",IF(NOT(ISNUMBER(A896)),"Data mancante o non valida",IF(YEAR(A896)&lt;&gt;Impostazioni!$C$4,"Fuori dall'anno",IF(C896="","Manca la categoria",IF(ISNA(MATCH(C896,Categorie!$A$6:$A$65,0)),"Categoria non trovata",IF(G896="","Categoria senza tipo",""))))))))</f>
        <v/>
      </c>
    </row>
    <row r="897">
      <c r="A897" s="29" t="n"/>
      <c r="B897" s="17" t="n"/>
      <c r="C897" s="17" t="n"/>
      <c r="D897" s="16" t="n"/>
      <c r="E897" s="30" t="n"/>
      <c r="F897" s="17" t="n"/>
      <c r="G897" s="31">
        <f>IF(C897="","",IFERROR(INDEX(Categorie!$B$6:$B$65,MATCH(C897,Categorie!$A$6:$A$65,0))&amp;"",""))</f>
        <v/>
      </c>
      <c r="H897" s="32">
        <f>IF(AND(A897="",C897="",D897=""),"",IF(D897="","Manca l'importo",IF(NOT(ISNUMBER(D897)),"Importo non valido",IF(NOT(ISNUMBER(A897)),"Data mancante o non valida",IF(YEAR(A897)&lt;&gt;Impostazioni!$C$4,"Fuori dall'anno",IF(C897="","Manca la categoria",IF(ISNA(MATCH(C897,Categorie!$A$6:$A$65,0)),"Categoria non trovata",IF(G897="","Categoria senza tipo",""))))))))</f>
        <v/>
      </c>
    </row>
    <row r="898">
      <c r="A898" s="29" t="n"/>
      <c r="B898" s="17" t="n"/>
      <c r="C898" s="17" t="n"/>
      <c r="D898" s="16" t="n"/>
      <c r="E898" s="30" t="n"/>
      <c r="F898" s="17" t="n"/>
      <c r="G898" s="31">
        <f>IF(C898="","",IFERROR(INDEX(Categorie!$B$6:$B$65,MATCH(C898,Categorie!$A$6:$A$65,0))&amp;"",""))</f>
        <v/>
      </c>
      <c r="H898" s="32">
        <f>IF(AND(A898="",C898="",D898=""),"",IF(D898="","Manca l'importo",IF(NOT(ISNUMBER(D898)),"Importo non valido",IF(NOT(ISNUMBER(A898)),"Data mancante o non valida",IF(YEAR(A898)&lt;&gt;Impostazioni!$C$4,"Fuori dall'anno",IF(C898="","Manca la categoria",IF(ISNA(MATCH(C898,Categorie!$A$6:$A$65,0)),"Categoria non trovata",IF(G898="","Categoria senza tipo",""))))))))</f>
        <v/>
      </c>
    </row>
    <row r="899">
      <c r="A899" s="29" t="n"/>
      <c r="B899" s="17" t="n"/>
      <c r="C899" s="17" t="n"/>
      <c r="D899" s="16" t="n"/>
      <c r="E899" s="30" t="n"/>
      <c r="F899" s="17" t="n"/>
      <c r="G899" s="31">
        <f>IF(C899="","",IFERROR(INDEX(Categorie!$B$6:$B$65,MATCH(C899,Categorie!$A$6:$A$65,0))&amp;"",""))</f>
        <v/>
      </c>
      <c r="H899" s="32">
        <f>IF(AND(A899="",C899="",D899=""),"",IF(D899="","Manca l'importo",IF(NOT(ISNUMBER(D899)),"Importo non valido",IF(NOT(ISNUMBER(A899)),"Data mancante o non valida",IF(YEAR(A899)&lt;&gt;Impostazioni!$C$4,"Fuori dall'anno",IF(C899="","Manca la categoria",IF(ISNA(MATCH(C899,Categorie!$A$6:$A$65,0)),"Categoria non trovata",IF(G899="","Categoria senza tipo",""))))))))</f>
        <v/>
      </c>
    </row>
    <row r="900">
      <c r="A900" s="29" t="n"/>
      <c r="B900" s="17" t="n"/>
      <c r="C900" s="17" t="n"/>
      <c r="D900" s="16" t="n"/>
      <c r="E900" s="30" t="n"/>
      <c r="F900" s="17" t="n"/>
      <c r="G900" s="31">
        <f>IF(C900="","",IFERROR(INDEX(Categorie!$B$6:$B$65,MATCH(C900,Categorie!$A$6:$A$65,0))&amp;"",""))</f>
        <v/>
      </c>
      <c r="H900" s="32">
        <f>IF(AND(A900="",C900="",D900=""),"",IF(D900="","Manca l'importo",IF(NOT(ISNUMBER(D900)),"Importo non valido",IF(NOT(ISNUMBER(A900)),"Data mancante o non valida",IF(YEAR(A900)&lt;&gt;Impostazioni!$C$4,"Fuori dall'anno",IF(C900="","Manca la categoria",IF(ISNA(MATCH(C900,Categorie!$A$6:$A$65,0)),"Categoria non trovata",IF(G900="","Categoria senza tipo",""))))))))</f>
        <v/>
      </c>
    </row>
    <row r="901">
      <c r="A901" s="29" t="n"/>
      <c r="B901" s="17" t="n"/>
      <c r="C901" s="17" t="n"/>
      <c r="D901" s="16" t="n"/>
      <c r="E901" s="30" t="n"/>
      <c r="F901" s="17" t="n"/>
      <c r="G901" s="31">
        <f>IF(C901="","",IFERROR(INDEX(Categorie!$B$6:$B$65,MATCH(C901,Categorie!$A$6:$A$65,0))&amp;"",""))</f>
        <v/>
      </c>
      <c r="H901" s="32">
        <f>IF(AND(A901="",C901="",D901=""),"",IF(D901="","Manca l'importo",IF(NOT(ISNUMBER(D901)),"Importo non valido",IF(NOT(ISNUMBER(A901)),"Data mancante o non valida",IF(YEAR(A901)&lt;&gt;Impostazioni!$C$4,"Fuori dall'anno",IF(C901="","Manca la categoria",IF(ISNA(MATCH(C901,Categorie!$A$6:$A$65,0)),"Categoria non trovata",IF(G901="","Categoria senza tipo",""))))))))</f>
        <v/>
      </c>
    </row>
    <row r="902">
      <c r="A902" s="29" t="n"/>
      <c r="B902" s="17" t="n"/>
      <c r="C902" s="17" t="n"/>
      <c r="D902" s="16" t="n"/>
      <c r="E902" s="30" t="n"/>
      <c r="F902" s="17" t="n"/>
      <c r="G902" s="31">
        <f>IF(C902="","",IFERROR(INDEX(Categorie!$B$6:$B$65,MATCH(C902,Categorie!$A$6:$A$65,0))&amp;"",""))</f>
        <v/>
      </c>
      <c r="H902" s="32">
        <f>IF(AND(A902="",C902="",D902=""),"",IF(D902="","Manca l'importo",IF(NOT(ISNUMBER(D902)),"Importo non valido",IF(NOT(ISNUMBER(A902)),"Data mancante o non valida",IF(YEAR(A902)&lt;&gt;Impostazioni!$C$4,"Fuori dall'anno",IF(C902="","Manca la categoria",IF(ISNA(MATCH(C902,Categorie!$A$6:$A$65,0)),"Categoria non trovata",IF(G902="","Categoria senza tipo",""))))))))</f>
        <v/>
      </c>
    </row>
    <row r="903">
      <c r="A903" s="29" t="n"/>
      <c r="B903" s="17" t="n"/>
      <c r="C903" s="17" t="n"/>
      <c r="D903" s="16" t="n"/>
      <c r="E903" s="30" t="n"/>
      <c r="F903" s="17" t="n"/>
      <c r="G903" s="31">
        <f>IF(C903="","",IFERROR(INDEX(Categorie!$B$6:$B$65,MATCH(C903,Categorie!$A$6:$A$65,0))&amp;"",""))</f>
        <v/>
      </c>
      <c r="H903" s="32">
        <f>IF(AND(A903="",C903="",D903=""),"",IF(D903="","Manca l'importo",IF(NOT(ISNUMBER(D903)),"Importo non valido",IF(NOT(ISNUMBER(A903)),"Data mancante o non valida",IF(YEAR(A903)&lt;&gt;Impostazioni!$C$4,"Fuori dall'anno",IF(C903="","Manca la categoria",IF(ISNA(MATCH(C903,Categorie!$A$6:$A$65,0)),"Categoria non trovata",IF(G903="","Categoria senza tipo",""))))))))</f>
        <v/>
      </c>
    </row>
    <row r="904">
      <c r="A904" s="29" t="n"/>
      <c r="B904" s="17" t="n"/>
      <c r="C904" s="17" t="n"/>
      <c r="D904" s="16" t="n"/>
      <c r="E904" s="30" t="n"/>
      <c r="F904" s="17" t="n"/>
      <c r="G904" s="31">
        <f>IF(C904="","",IFERROR(INDEX(Categorie!$B$6:$B$65,MATCH(C904,Categorie!$A$6:$A$65,0))&amp;"",""))</f>
        <v/>
      </c>
      <c r="H904" s="32">
        <f>IF(AND(A904="",C904="",D904=""),"",IF(D904="","Manca l'importo",IF(NOT(ISNUMBER(D904)),"Importo non valido",IF(NOT(ISNUMBER(A904)),"Data mancante o non valida",IF(YEAR(A904)&lt;&gt;Impostazioni!$C$4,"Fuori dall'anno",IF(C904="","Manca la categoria",IF(ISNA(MATCH(C904,Categorie!$A$6:$A$65,0)),"Categoria non trovata",IF(G904="","Categoria senza tipo",""))))))))</f>
        <v/>
      </c>
    </row>
    <row r="905">
      <c r="A905" s="29" t="n"/>
      <c r="B905" s="17" t="n"/>
      <c r="C905" s="17" t="n"/>
      <c r="D905" s="16" t="n"/>
      <c r="E905" s="30" t="n"/>
      <c r="F905" s="17" t="n"/>
      <c r="G905" s="31">
        <f>IF(C905="","",IFERROR(INDEX(Categorie!$B$6:$B$65,MATCH(C905,Categorie!$A$6:$A$65,0))&amp;"",""))</f>
        <v/>
      </c>
      <c r="H905" s="32">
        <f>IF(AND(A905="",C905="",D905=""),"",IF(D905="","Manca l'importo",IF(NOT(ISNUMBER(D905)),"Importo non valido",IF(NOT(ISNUMBER(A905)),"Data mancante o non valida",IF(YEAR(A905)&lt;&gt;Impostazioni!$C$4,"Fuori dall'anno",IF(C905="","Manca la categoria",IF(ISNA(MATCH(C905,Categorie!$A$6:$A$65,0)),"Categoria non trovata",IF(G905="","Categoria senza tipo",""))))))))</f>
        <v/>
      </c>
    </row>
    <row r="906">
      <c r="A906" s="29" t="n"/>
      <c r="B906" s="17" t="n"/>
      <c r="C906" s="17" t="n"/>
      <c r="D906" s="16" t="n"/>
      <c r="E906" s="30" t="n"/>
      <c r="F906" s="17" t="n"/>
      <c r="G906" s="31">
        <f>IF(C906="","",IFERROR(INDEX(Categorie!$B$6:$B$65,MATCH(C906,Categorie!$A$6:$A$65,0))&amp;"",""))</f>
        <v/>
      </c>
      <c r="H906" s="32">
        <f>IF(AND(A906="",C906="",D906=""),"",IF(D906="","Manca l'importo",IF(NOT(ISNUMBER(D906)),"Importo non valido",IF(NOT(ISNUMBER(A906)),"Data mancante o non valida",IF(YEAR(A906)&lt;&gt;Impostazioni!$C$4,"Fuori dall'anno",IF(C906="","Manca la categoria",IF(ISNA(MATCH(C906,Categorie!$A$6:$A$65,0)),"Categoria non trovata",IF(G906="","Categoria senza tipo",""))))))))</f>
        <v/>
      </c>
    </row>
    <row r="907">
      <c r="A907" s="29" t="n"/>
      <c r="B907" s="17" t="n"/>
      <c r="C907" s="17" t="n"/>
      <c r="D907" s="16" t="n"/>
      <c r="E907" s="30" t="n"/>
      <c r="F907" s="17" t="n"/>
      <c r="G907" s="31">
        <f>IF(C907="","",IFERROR(INDEX(Categorie!$B$6:$B$65,MATCH(C907,Categorie!$A$6:$A$65,0))&amp;"",""))</f>
        <v/>
      </c>
      <c r="H907" s="32">
        <f>IF(AND(A907="",C907="",D907=""),"",IF(D907="","Manca l'importo",IF(NOT(ISNUMBER(D907)),"Importo non valido",IF(NOT(ISNUMBER(A907)),"Data mancante o non valida",IF(YEAR(A907)&lt;&gt;Impostazioni!$C$4,"Fuori dall'anno",IF(C907="","Manca la categoria",IF(ISNA(MATCH(C907,Categorie!$A$6:$A$65,0)),"Categoria non trovata",IF(G907="","Categoria senza tipo",""))))))))</f>
        <v/>
      </c>
    </row>
    <row r="908">
      <c r="A908" s="29" t="n"/>
      <c r="B908" s="17" t="n"/>
      <c r="C908" s="17" t="n"/>
      <c r="D908" s="16" t="n"/>
      <c r="E908" s="30" t="n"/>
      <c r="F908" s="17" t="n"/>
      <c r="G908" s="31">
        <f>IF(C908="","",IFERROR(INDEX(Categorie!$B$6:$B$65,MATCH(C908,Categorie!$A$6:$A$65,0))&amp;"",""))</f>
        <v/>
      </c>
      <c r="H908" s="32">
        <f>IF(AND(A908="",C908="",D908=""),"",IF(D908="","Manca l'importo",IF(NOT(ISNUMBER(D908)),"Importo non valido",IF(NOT(ISNUMBER(A908)),"Data mancante o non valida",IF(YEAR(A908)&lt;&gt;Impostazioni!$C$4,"Fuori dall'anno",IF(C908="","Manca la categoria",IF(ISNA(MATCH(C908,Categorie!$A$6:$A$65,0)),"Categoria non trovata",IF(G908="","Categoria senza tipo",""))))))))</f>
        <v/>
      </c>
    </row>
    <row r="909">
      <c r="A909" s="29" t="n"/>
      <c r="B909" s="17" t="n"/>
      <c r="C909" s="17" t="n"/>
      <c r="D909" s="16" t="n"/>
      <c r="E909" s="30" t="n"/>
      <c r="F909" s="17" t="n"/>
      <c r="G909" s="31">
        <f>IF(C909="","",IFERROR(INDEX(Categorie!$B$6:$B$65,MATCH(C909,Categorie!$A$6:$A$65,0))&amp;"",""))</f>
        <v/>
      </c>
      <c r="H909" s="32">
        <f>IF(AND(A909="",C909="",D909=""),"",IF(D909="","Manca l'importo",IF(NOT(ISNUMBER(D909)),"Importo non valido",IF(NOT(ISNUMBER(A909)),"Data mancante o non valida",IF(YEAR(A909)&lt;&gt;Impostazioni!$C$4,"Fuori dall'anno",IF(C909="","Manca la categoria",IF(ISNA(MATCH(C909,Categorie!$A$6:$A$65,0)),"Categoria non trovata",IF(G909="","Categoria senza tipo",""))))))))</f>
        <v/>
      </c>
    </row>
    <row r="910">
      <c r="A910" s="29" t="n"/>
      <c r="B910" s="17" t="n"/>
      <c r="C910" s="17" t="n"/>
      <c r="D910" s="16" t="n"/>
      <c r="E910" s="30" t="n"/>
      <c r="F910" s="17" t="n"/>
      <c r="G910" s="31">
        <f>IF(C910="","",IFERROR(INDEX(Categorie!$B$6:$B$65,MATCH(C910,Categorie!$A$6:$A$65,0))&amp;"",""))</f>
        <v/>
      </c>
      <c r="H910" s="32">
        <f>IF(AND(A910="",C910="",D910=""),"",IF(D910="","Manca l'importo",IF(NOT(ISNUMBER(D910)),"Importo non valido",IF(NOT(ISNUMBER(A910)),"Data mancante o non valida",IF(YEAR(A910)&lt;&gt;Impostazioni!$C$4,"Fuori dall'anno",IF(C910="","Manca la categoria",IF(ISNA(MATCH(C910,Categorie!$A$6:$A$65,0)),"Categoria non trovata",IF(G910="","Categoria senza tipo",""))))))))</f>
        <v/>
      </c>
    </row>
    <row r="911">
      <c r="A911" s="29" t="n"/>
      <c r="B911" s="17" t="n"/>
      <c r="C911" s="17" t="n"/>
      <c r="D911" s="16" t="n"/>
      <c r="E911" s="30" t="n"/>
      <c r="F911" s="17" t="n"/>
      <c r="G911" s="31">
        <f>IF(C911="","",IFERROR(INDEX(Categorie!$B$6:$B$65,MATCH(C911,Categorie!$A$6:$A$65,0))&amp;"",""))</f>
        <v/>
      </c>
      <c r="H911" s="32">
        <f>IF(AND(A911="",C911="",D911=""),"",IF(D911="","Manca l'importo",IF(NOT(ISNUMBER(D911)),"Importo non valido",IF(NOT(ISNUMBER(A911)),"Data mancante o non valida",IF(YEAR(A911)&lt;&gt;Impostazioni!$C$4,"Fuori dall'anno",IF(C911="","Manca la categoria",IF(ISNA(MATCH(C911,Categorie!$A$6:$A$65,0)),"Categoria non trovata",IF(G911="","Categoria senza tipo",""))))))))</f>
        <v/>
      </c>
    </row>
    <row r="912">
      <c r="A912" s="29" t="n"/>
      <c r="B912" s="17" t="n"/>
      <c r="C912" s="17" t="n"/>
      <c r="D912" s="16" t="n"/>
      <c r="E912" s="30" t="n"/>
      <c r="F912" s="17" t="n"/>
      <c r="G912" s="31">
        <f>IF(C912="","",IFERROR(INDEX(Categorie!$B$6:$B$65,MATCH(C912,Categorie!$A$6:$A$65,0))&amp;"",""))</f>
        <v/>
      </c>
      <c r="H912" s="32">
        <f>IF(AND(A912="",C912="",D912=""),"",IF(D912="","Manca l'importo",IF(NOT(ISNUMBER(D912)),"Importo non valido",IF(NOT(ISNUMBER(A912)),"Data mancante o non valida",IF(YEAR(A912)&lt;&gt;Impostazioni!$C$4,"Fuori dall'anno",IF(C912="","Manca la categoria",IF(ISNA(MATCH(C912,Categorie!$A$6:$A$65,0)),"Categoria non trovata",IF(G912="","Categoria senza tipo",""))))))))</f>
        <v/>
      </c>
    </row>
    <row r="913">
      <c r="A913" s="29" t="n"/>
      <c r="B913" s="17" t="n"/>
      <c r="C913" s="17" t="n"/>
      <c r="D913" s="16" t="n"/>
      <c r="E913" s="30" t="n"/>
      <c r="F913" s="17" t="n"/>
      <c r="G913" s="31">
        <f>IF(C913="","",IFERROR(INDEX(Categorie!$B$6:$B$65,MATCH(C913,Categorie!$A$6:$A$65,0))&amp;"",""))</f>
        <v/>
      </c>
      <c r="H913" s="32">
        <f>IF(AND(A913="",C913="",D913=""),"",IF(D913="","Manca l'importo",IF(NOT(ISNUMBER(D913)),"Importo non valido",IF(NOT(ISNUMBER(A913)),"Data mancante o non valida",IF(YEAR(A913)&lt;&gt;Impostazioni!$C$4,"Fuori dall'anno",IF(C913="","Manca la categoria",IF(ISNA(MATCH(C913,Categorie!$A$6:$A$65,0)),"Categoria non trovata",IF(G913="","Categoria senza tipo",""))))))))</f>
        <v/>
      </c>
    </row>
    <row r="914">
      <c r="A914" s="29" t="n"/>
      <c r="B914" s="17" t="n"/>
      <c r="C914" s="17" t="n"/>
      <c r="D914" s="16" t="n"/>
      <c r="E914" s="30" t="n"/>
      <c r="F914" s="17" t="n"/>
      <c r="G914" s="31">
        <f>IF(C914="","",IFERROR(INDEX(Categorie!$B$6:$B$65,MATCH(C914,Categorie!$A$6:$A$65,0))&amp;"",""))</f>
        <v/>
      </c>
      <c r="H914" s="32">
        <f>IF(AND(A914="",C914="",D914=""),"",IF(D914="","Manca l'importo",IF(NOT(ISNUMBER(D914)),"Importo non valido",IF(NOT(ISNUMBER(A914)),"Data mancante o non valida",IF(YEAR(A914)&lt;&gt;Impostazioni!$C$4,"Fuori dall'anno",IF(C914="","Manca la categoria",IF(ISNA(MATCH(C914,Categorie!$A$6:$A$65,0)),"Categoria non trovata",IF(G914="","Categoria senza tipo",""))))))))</f>
        <v/>
      </c>
    </row>
    <row r="915">
      <c r="A915" s="29" t="n"/>
      <c r="B915" s="17" t="n"/>
      <c r="C915" s="17" t="n"/>
      <c r="D915" s="16" t="n"/>
      <c r="E915" s="30" t="n"/>
      <c r="F915" s="17" t="n"/>
      <c r="G915" s="31">
        <f>IF(C915="","",IFERROR(INDEX(Categorie!$B$6:$B$65,MATCH(C915,Categorie!$A$6:$A$65,0))&amp;"",""))</f>
        <v/>
      </c>
      <c r="H915" s="32">
        <f>IF(AND(A915="",C915="",D915=""),"",IF(D915="","Manca l'importo",IF(NOT(ISNUMBER(D915)),"Importo non valido",IF(NOT(ISNUMBER(A915)),"Data mancante o non valida",IF(YEAR(A915)&lt;&gt;Impostazioni!$C$4,"Fuori dall'anno",IF(C915="","Manca la categoria",IF(ISNA(MATCH(C915,Categorie!$A$6:$A$65,0)),"Categoria non trovata",IF(G915="","Categoria senza tipo",""))))))))</f>
        <v/>
      </c>
    </row>
    <row r="916">
      <c r="A916" s="29" t="n"/>
      <c r="B916" s="17" t="n"/>
      <c r="C916" s="17" t="n"/>
      <c r="D916" s="16" t="n"/>
      <c r="E916" s="30" t="n"/>
      <c r="F916" s="17" t="n"/>
      <c r="G916" s="31">
        <f>IF(C916="","",IFERROR(INDEX(Categorie!$B$6:$B$65,MATCH(C916,Categorie!$A$6:$A$65,0))&amp;"",""))</f>
        <v/>
      </c>
      <c r="H916" s="32">
        <f>IF(AND(A916="",C916="",D916=""),"",IF(D916="","Manca l'importo",IF(NOT(ISNUMBER(D916)),"Importo non valido",IF(NOT(ISNUMBER(A916)),"Data mancante o non valida",IF(YEAR(A916)&lt;&gt;Impostazioni!$C$4,"Fuori dall'anno",IF(C916="","Manca la categoria",IF(ISNA(MATCH(C916,Categorie!$A$6:$A$65,0)),"Categoria non trovata",IF(G916="","Categoria senza tipo",""))))))))</f>
        <v/>
      </c>
    </row>
    <row r="917">
      <c r="A917" s="29" t="n"/>
      <c r="B917" s="17" t="n"/>
      <c r="C917" s="17" t="n"/>
      <c r="D917" s="16" t="n"/>
      <c r="E917" s="30" t="n"/>
      <c r="F917" s="17" t="n"/>
      <c r="G917" s="31">
        <f>IF(C917="","",IFERROR(INDEX(Categorie!$B$6:$B$65,MATCH(C917,Categorie!$A$6:$A$65,0))&amp;"",""))</f>
        <v/>
      </c>
      <c r="H917" s="32">
        <f>IF(AND(A917="",C917="",D917=""),"",IF(D917="","Manca l'importo",IF(NOT(ISNUMBER(D917)),"Importo non valido",IF(NOT(ISNUMBER(A917)),"Data mancante o non valida",IF(YEAR(A917)&lt;&gt;Impostazioni!$C$4,"Fuori dall'anno",IF(C917="","Manca la categoria",IF(ISNA(MATCH(C917,Categorie!$A$6:$A$65,0)),"Categoria non trovata",IF(G917="","Categoria senza tipo",""))))))))</f>
        <v/>
      </c>
    </row>
    <row r="918">
      <c r="A918" s="29" t="n"/>
      <c r="B918" s="17" t="n"/>
      <c r="C918" s="17" t="n"/>
      <c r="D918" s="16" t="n"/>
      <c r="E918" s="30" t="n"/>
      <c r="F918" s="17" t="n"/>
      <c r="G918" s="31">
        <f>IF(C918="","",IFERROR(INDEX(Categorie!$B$6:$B$65,MATCH(C918,Categorie!$A$6:$A$65,0))&amp;"",""))</f>
        <v/>
      </c>
      <c r="H918" s="32">
        <f>IF(AND(A918="",C918="",D918=""),"",IF(D918="","Manca l'importo",IF(NOT(ISNUMBER(D918)),"Importo non valido",IF(NOT(ISNUMBER(A918)),"Data mancante o non valida",IF(YEAR(A918)&lt;&gt;Impostazioni!$C$4,"Fuori dall'anno",IF(C918="","Manca la categoria",IF(ISNA(MATCH(C918,Categorie!$A$6:$A$65,0)),"Categoria non trovata",IF(G918="","Categoria senza tipo",""))))))))</f>
        <v/>
      </c>
    </row>
    <row r="919">
      <c r="A919" s="29" t="n"/>
      <c r="B919" s="17" t="n"/>
      <c r="C919" s="17" t="n"/>
      <c r="D919" s="16" t="n"/>
      <c r="E919" s="30" t="n"/>
      <c r="F919" s="17" t="n"/>
      <c r="G919" s="31">
        <f>IF(C919="","",IFERROR(INDEX(Categorie!$B$6:$B$65,MATCH(C919,Categorie!$A$6:$A$65,0))&amp;"",""))</f>
        <v/>
      </c>
      <c r="H919" s="32">
        <f>IF(AND(A919="",C919="",D919=""),"",IF(D919="","Manca l'importo",IF(NOT(ISNUMBER(D919)),"Importo non valido",IF(NOT(ISNUMBER(A919)),"Data mancante o non valida",IF(YEAR(A919)&lt;&gt;Impostazioni!$C$4,"Fuori dall'anno",IF(C919="","Manca la categoria",IF(ISNA(MATCH(C919,Categorie!$A$6:$A$65,0)),"Categoria non trovata",IF(G919="","Categoria senza tipo",""))))))))</f>
        <v/>
      </c>
    </row>
    <row r="920">
      <c r="A920" s="29" t="n"/>
      <c r="B920" s="17" t="n"/>
      <c r="C920" s="17" t="n"/>
      <c r="D920" s="16" t="n"/>
      <c r="E920" s="30" t="n"/>
      <c r="F920" s="17" t="n"/>
      <c r="G920" s="31">
        <f>IF(C920="","",IFERROR(INDEX(Categorie!$B$6:$B$65,MATCH(C920,Categorie!$A$6:$A$65,0))&amp;"",""))</f>
        <v/>
      </c>
      <c r="H920" s="32">
        <f>IF(AND(A920="",C920="",D920=""),"",IF(D920="","Manca l'importo",IF(NOT(ISNUMBER(D920)),"Importo non valido",IF(NOT(ISNUMBER(A920)),"Data mancante o non valida",IF(YEAR(A920)&lt;&gt;Impostazioni!$C$4,"Fuori dall'anno",IF(C920="","Manca la categoria",IF(ISNA(MATCH(C920,Categorie!$A$6:$A$65,0)),"Categoria non trovata",IF(G920="","Categoria senza tipo",""))))))))</f>
        <v/>
      </c>
    </row>
    <row r="921">
      <c r="A921" s="29" t="n"/>
      <c r="B921" s="17" t="n"/>
      <c r="C921" s="17" t="n"/>
      <c r="D921" s="16" t="n"/>
      <c r="E921" s="30" t="n"/>
      <c r="F921" s="17" t="n"/>
      <c r="G921" s="31">
        <f>IF(C921="","",IFERROR(INDEX(Categorie!$B$6:$B$65,MATCH(C921,Categorie!$A$6:$A$65,0))&amp;"",""))</f>
        <v/>
      </c>
      <c r="H921" s="32">
        <f>IF(AND(A921="",C921="",D921=""),"",IF(D921="","Manca l'importo",IF(NOT(ISNUMBER(D921)),"Importo non valido",IF(NOT(ISNUMBER(A921)),"Data mancante o non valida",IF(YEAR(A921)&lt;&gt;Impostazioni!$C$4,"Fuori dall'anno",IF(C921="","Manca la categoria",IF(ISNA(MATCH(C921,Categorie!$A$6:$A$65,0)),"Categoria non trovata",IF(G921="","Categoria senza tipo",""))))))))</f>
        <v/>
      </c>
    </row>
    <row r="922">
      <c r="A922" s="29" t="n"/>
      <c r="B922" s="17" t="n"/>
      <c r="C922" s="17" t="n"/>
      <c r="D922" s="16" t="n"/>
      <c r="E922" s="30" t="n"/>
      <c r="F922" s="17" t="n"/>
      <c r="G922" s="31">
        <f>IF(C922="","",IFERROR(INDEX(Categorie!$B$6:$B$65,MATCH(C922,Categorie!$A$6:$A$65,0))&amp;"",""))</f>
        <v/>
      </c>
      <c r="H922" s="32">
        <f>IF(AND(A922="",C922="",D922=""),"",IF(D922="","Manca l'importo",IF(NOT(ISNUMBER(D922)),"Importo non valido",IF(NOT(ISNUMBER(A922)),"Data mancante o non valida",IF(YEAR(A922)&lt;&gt;Impostazioni!$C$4,"Fuori dall'anno",IF(C922="","Manca la categoria",IF(ISNA(MATCH(C922,Categorie!$A$6:$A$65,0)),"Categoria non trovata",IF(G922="","Categoria senza tipo",""))))))))</f>
        <v/>
      </c>
    </row>
    <row r="923">
      <c r="A923" s="29" t="n"/>
      <c r="B923" s="17" t="n"/>
      <c r="C923" s="17" t="n"/>
      <c r="D923" s="16" t="n"/>
      <c r="E923" s="30" t="n"/>
      <c r="F923" s="17" t="n"/>
      <c r="G923" s="31">
        <f>IF(C923="","",IFERROR(INDEX(Categorie!$B$6:$B$65,MATCH(C923,Categorie!$A$6:$A$65,0))&amp;"",""))</f>
        <v/>
      </c>
      <c r="H923" s="32">
        <f>IF(AND(A923="",C923="",D923=""),"",IF(D923="","Manca l'importo",IF(NOT(ISNUMBER(D923)),"Importo non valido",IF(NOT(ISNUMBER(A923)),"Data mancante o non valida",IF(YEAR(A923)&lt;&gt;Impostazioni!$C$4,"Fuori dall'anno",IF(C923="","Manca la categoria",IF(ISNA(MATCH(C923,Categorie!$A$6:$A$65,0)),"Categoria non trovata",IF(G923="","Categoria senza tipo",""))))))))</f>
        <v/>
      </c>
    </row>
    <row r="924">
      <c r="A924" s="29" t="n"/>
      <c r="B924" s="17" t="n"/>
      <c r="C924" s="17" t="n"/>
      <c r="D924" s="16" t="n"/>
      <c r="E924" s="30" t="n"/>
      <c r="F924" s="17" t="n"/>
      <c r="G924" s="31">
        <f>IF(C924="","",IFERROR(INDEX(Categorie!$B$6:$B$65,MATCH(C924,Categorie!$A$6:$A$65,0))&amp;"",""))</f>
        <v/>
      </c>
      <c r="H924" s="32">
        <f>IF(AND(A924="",C924="",D924=""),"",IF(D924="","Manca l'importo",IF(NOT(ISNUMBER(D924)),"Importo non valido",IF(NOT(ISNUMBER(A924)),"Data mancante o non valida",IF(YEAR(A924)&lt;&gt;Impostazioni!$C$4,"Fuori dall'anno",IF(C924="","Manca la categoria",IF(ISNA(MATCH(C924,Categorie!$A$6:$A$65,0)),"Categoria non trovata",IF(G924="","Categoria senza tipo",""))))))))</f>
        <v/>
      </c>
    </row>
    <row r="925">
      <c r="A925" s="29" t="n"/>
      <c r="B925" s="17" t="n"/>
      <c r="C925" s="17" t="n"/>
      <c r="D925" s="16" t="n"/>
      <c r="E925" s="30" t="n"/>
      <c r="F925" s="17" t="n"/>
      <c r="G925" s="31">
        <f>IF(C925="","",IFERROR(INDEX(Categorie!$B$6:$B$65,MATCH(C925,Categorie!$A$6:$A$65,0))&amp;"",""))</f>
        <v/>
      </c>
      <c r="H925" s="32">
        <f>IF(AND(A925="",C925="",D925=""),"",IF(D925="","Manca l'importo",IF(NOT(ISNUMBER(D925)),"Importo non valido",IF(NOT(ISNUMBER(A925)),"Data mancante o non valida",IF(YEAR(A925)&lt;&gt;Impostazioni!$C$4,"Fuori dall'anno",IF(C925="","Manca la categoria",IF(ISNA(MATCH(C925,Categorie!$A$6:$A$65,0)),"Categoria non trovata",IF(G925="","Categoria senza tipo",""))))))))</f>
        <v/>
      </c>
    </row>
    <row r="926">
      <c r="A926" s="29" t="n"/>
      <c r="B926" s="17" t="n"/>
      <c r="C926" s="17" t="n"/>
      <c r="D926" s="16" t="n"/>
      <c r="E926" s="30" t="n"/>
      <c r="F926" s="17" t="n"/>
      <c r="G926" s="31">
        <f>IF(C926="","",IFERROR(INDEX(Categorie!$B$6:$B$65,MATCH(C926,Categorie!$A$6:$A$65,0))&amp;"",""))</f>
        <v/>
      </c>
      <c r="H926" s="32">
        <f>IF(AND(A926="",C926="",D926=""),"",IF(D926="","Manca l'importo",IF(NOT(ISNUMBER(D926)),"Importo non valido",IF(NOT(ISNUMBER(A926)),"Data mancante o non valida",IF(YEAR(A926)&lt;&gt;Impostazioni!$C$4,"Fuori dall'anno",IF(C926="","Manca la categoria",IF(ISNA(MATCH(C926,Categorie!$A$6:$A$65,0)),"Categoria non trovata",IF(G926="","Categoria senza tipo",""))))))))</f>
        <v/>
      </c>
    </row>
    <row r="927">
      <c r="A927" s="29" t="n"/>
      <c r="B927" s="17" t="n"/>
      <c r="C927" s="17" t="n"/>
      <c r="D927" s="16" t="n"/>
      <c r="E927" s="30" t="n"/>
      <c r="F927" s="17" t="n"/>
      <c r="G927" s="31">
        <f>IF(C927="","",IFERROR(INDEX(Categorie!$B$6:$B$65,MATCH(C927,Categorie!$A$6:$A$65,0))&amp;"",""))</f>
        <v/>
      </c>
      <c r="H927" s="32">
        <f>IF(AND(A927="",C927="",D927=""),"",IF(D927="","Manca l'importo",IF(NOT(ISNUMBER(D927)),"Importo non valido",IF(NOT(ISNUMBER(A927)),"Data mancante o non valida",IF(YEAR(A927)&lt;&gt;Impostazioni!$C$4,"Fuori dall'anno",IF(C927="","Manca la categoria",IF(ISNA(MATCH(C927,Categorie!$A$6:$A$65,0)),"Categoria non trovata",IF(G927="","Categoria senza tipo",""))))))))</f>
        <v/>
      </c>
    </row>
    <row r="928">
      <c r="A928" s="29" t="n"/>
      <c r="B928" s="17" t="n"/>
      <c r="C928" s="17" t="n"/>
      <c r="D928" s="16" t="n"/>
      <c r="E928" s="30" t="n"/>
      <c r="F928" s="17" t="n"/>
      <c r="G928" s="31">
        <f>IF(C928="","",IFERROR(INDEX(Categorie!$B$6:$B$65,MATCH(C928,Categorie!$A$6:$A$65,0))&amp;"",""))</f>
        <v/>
      </c>
      <c r="H928" s="32">
        <f>IF(AND(A928="",C928="",D928=""),"",IF(D928="","Manca l'importo",IF(NOT(ISNUMBER(D928)),"Importo non valido",IF(NOT(ISNUMBER(A928)),"Data mancante o non valida",IF(YEAR(A928)&lt;&gt;Impostazioni!$C$4,"Fuori dall'anno",IF(C928="","Manca la categoria",IF(ISNA(MATCH(C928,Categorie!$A$6:$A$65,0)),"Categoria non trovata",IF(G928="","Categoria senza tipo",""))))))))</f>
        <v/>
      </c>
    </row>
    <row r="929">
      <c r="A929" s="29" t="n"/>
      <c r="B929" s="17" t="n"/>
      <c r="C929" s="17" t="n"/>
      <c r="D929" s="16" t="n"/>
      <c r="E929" s="30" t="n"/>
      <c r="F929" s="17" t="n"/>
      <c r="G929" s="31">
        <f>IF(C929="","",IFERROR(INDEX(Categorie!$B$6:$B$65,MATCH(C929,Categorie!$A$6:$A$65,0))&amp;"",""))</f>
        <v/>
      </c>
      <c r="H929" s="32">
        <f>IF(AND(A929="",C929="",D929=""),"",IF(D929="","Manca l'importo",IF(NOT(ISNUMBER(D929)),"Importo non valido",IF(NOT(ISNUMBER(A929)),"Data mancante o non valida",IF(YEAR(A929)&lt;&gt;Impostazioni!$C$4,"Fuori dall'anno",IF(C929="","Manca la categoria",IF(ISNA(MATCH(C929,Categorie!$A$6:$A$65,0)),"Categoria non trovata",IF(G929="","Categoria senza tipo",""))))))))</f>
        <v/>
      </c>
    </row>
    <row r="930">
      <c r="A930" s="29" t="n"/>
      <c r="B930" s="17" t="n"/>
      <c r="C930" s="17" t="n"/>
      <c r="D930" s="16" t="n"/>
      <c r="E930" s="30" t="n"/>
      <c r="F930" s="17" t="n"/>
      <c r="G930" s="31">
        <f>IF(C930="","",IFERROR(INDEX(Categorie!$B$6:$B$65,MATCH(C930,Categorie!$A$6:$A$65,0))&amp;"",""))</f>
        <v/>
      </c>
      <c r="H930" s="32">
        <f>IF(AND(A930="",C930="",D930=""),"",IF(D930="","Manca l'importo",IF(NOT(ISNUMBER(D930)),"Importo non valido",IF(NOT(ISNUMBER(A930)),"Data mancante o non valida",IF(YEAR(A930)&lt;&gt;Impostazioni!$C$4,"Fuori dall'anno",IF(C930="","Manca la categoria",IF(ISNA(MATCH(C930,Categorie!$A$6:$A$65,0)),"Categoria non trovata",IF(G930="","Categoria senza tipo",""))))))))</f>
        <v/>
      </c>
    </row>
    <row r="931">
      <c r="A931" s="29" t="n"/>
      <c r="B931" s="17" t="n"/>
      <c r="C931" s="17" t="n"/>
      <c r="D931" s="16" t="n"/>
      <c r="E931" s="30" t="n"/>
      <c r="F931" s="17" t="n"/>
      <c r="G931" s="31">
        <f>IF(C931="","",IFERROR(INDEX(Categorie!$B$6:$B$65,MATCH(C931,Categorie!$A$6:$A$65,0))&amp;"",""))</f>
        <v/>
      </c>
      <c r="H931" s="32">
        <f>IF(AND(A931="",C931="",D931=""),"",IF(D931="","Manca l'importo",IF(NOT(ISNUMBER(D931)),"Importo non valido",IF(NOT(ISNUMBER(A931)),"Data mancante o non valida",IF(YEAR(A931)&lt;&gt;Impostazioni!$C$4,"Fuori dall'anno",IF(C931="","Manca la categoria",IF(ISNA(MATCH(C931,Categorie!$A$6:$A$65,0)),"Categoria non trovata",IF(G931="","Categoria senza tipo",""))))))))</f>
        <v/>
      </c>
    </row>
    <row r="932">
      <c r="A932" s="29" t="n"/>
      <c r="B932" s="17" t="n"/>
      <c r="C932" s="17" t="n"/>
      <c r="D932" s="16" t="n"/>
      <c r="E932" s="30" t="n"/>
      <c r="F932" s="17" t="n"/>
      <c r="G932" s="31">
        <f>IF(C932="","",IFERROR(INDEX(Categorie!$B$6:$B$65,MATCH(C932,Categorie!$A$6:$A$65,0))&amp;"",""))</f>
        <v/>
      </c>
      <c r="H932" s="32">
        <f>IF(AND(A932="",C932="",D932=""),"",IF(D932="","Manca l'importo",IF(NOT(ISNUMBER(D932)),"Importo non valido",IF(NOT(ISNUMBER(A932)),"Data mancante o non valida",IF(YEAR(A932)&lt;&gt;Impostazioni!$C$4,"Fuori dall'anno",IF(C932="","Manca la categoria",IF(ISNA(MATCH(C932,Categorie!$A$6:$A$65,0)),"Categoria non trovata",IF(G932="","Categoria senza tipo",""))))))))</f>
        <v/>
      </c>
    </row>
    <row r="933">
      <c r="A933" s="29" t="n"/>
      <c r="B933" s="17" t="n"/>
      <c r="C933" s="17" t="n"/>
      <c r="D933" s="16" t="n"/>
      <c r="E933" s="30" t="n"/>
      <c r="F933" s="17" t="n"/>
      <c r="G933" s="31">
        <f>IF(C933="","",IFERROR(INDEX(Categorie!$B$6:$B$65,MATCH(C933,Categorie!$A$6:$A$65,0))&amp;"",""))</f>
        <v/>
      </c>
      <c r="H933" s="32">
        <f>IF(AND(A933="",C933="",D933=""),"",IF(D933="","Manca l'importo",IF(NOT(ISNUMBER(D933)),"Importo non valido",IF(NOT(ISNUMBER(A933)),"Data mancante o non valida",IF(YEAR(A933)&lt;&gt;Impostazioni!$C$4,"Fuori dall'anno",IF(C933="","Manca la categoria",IF(ISNA(MATCH(C933,Categorie!$A$6:$A$65,0)),"Categoria non trovata",IF(G933="","Categoria senza tipo",""))))))))</f>
        <v/>
      </c>
    </row>
    <row r="934">
      <c r="A934" s="29" t="n"/>
      <c r="B934" s="17" t="n"/>
      <c r="C934" s="17" t="n"/>
      <c r="D934" s="16" t="n"/>
      <c r="E934" s="30" t="n"/>
      <c r="F934" s="17" t="n"/>
      <c r="G934" s="31">
        <f>IF(C934="","",IFERROR(INDEX(Categorie!$B$6:$B$65,MATCH(C934,Categorie!$A$6:$A$65,0))&amp;"",""))</f>
        <v/>
      </c>
      <c r="H934" s="32">
        <f>IF(AND(A934="",C934="",D934=""),"",IF(D934="","Manca l'importo",IF(NOT(ISNUMBER(D934)),"Importo non valido",IF(NOT(ISNUMBER(A934)),"Data mancante o non valida",IF(YEAR(A934)&lt;&gt;Impostazioni!$C$4,"Fuori dall'anno",IF(C934="","Manca la categoria",IF(ISNA(MATCH(C934,Categorie!$A$6:$A$65,0)),"Categoria non trovata",IF(G934="","Categoria senza tipo",""))))))))</f>
        <v/>
      </c>
    </row>
    <row r="935">
      <c r="A935" s="29" t="n"/>
      <c r="B935" s="17" t="n"/>
      <c r="C935" s="17" t="n"/>
      <c r="D935" s="16" t="n"/>
      <c r="E935" s="30" t="n"/>
      <c r="F935" s="17" t="n"/>
      <c r="G935" s="31">
        <f>IF(C935="","",IFERROR(INDEX(Categorie!$B$6:$B$65,MATCH(C935,Categorie!$A$6:$A$65,0))&amp;"",""))</f>
        <v/>
      </c>
      <c r="H935" s="32">
        <f>IF(AND(A935="",C935="",D935=""),"",IF(D935="","Manca l'importo",IF(NOT(ISNUMBER(D935)),"Importo non valido",IF(NOT(ISNUMBER(A935)),"Data mancante o non valida",IF(YEAR(A935)&lt;&gt;Impostazioni!$C$4,"Fuori dall'anno",IF(C935="","Manca la categoria",IF(ISNA(MATCH(C935,Categorie!$A$6:$A$65,0)),"Categoria non trovata",IF(G935="","Categoria senza tipo",""))))))))</f>
        <v/>
      </c>
    </row>
    <row r="936">
      <c r="A936" s="29" t="n"/>
      <c r="B936" s="17" t="n"/>
      <c r="C936" s="17" t="n"/>
      <c r="D936" s="16" t="n"/>
      <c r="E936" s="30" t="n"/>
      <c r="F936" s="17" t="n"/>
      <c r="G936" s="31">
        <f>IF(C936="","",IFERROR(INDEX(Categorie!$B$6:$B$65,MATCH(C936,Categorie!$A$6:$A$65,0))&amp;"",""))</f>
        <v/>
      </c>
      <c r="H936" s="32">
        <f>IF(AND(A936="",C936="",D936=""),"",IF(D936="","Manca l'importo",IF(NOT(ISNUMBER(D936)),"Importo non valido",IF(NOT(ISNUMBER(A936)),"Data mancante o non valida",IF(YEAR(A936)&lt;&gt;Impostazioni!$C$4,"Fuori dall'anno",IF(C936="","Manca la categoria",IF(ISNA(MATCH(C936,Categorie!$A$6:$A$65,0)),"Categoria non trovata",IF(G936="","Categoria senza tipo",""))))))))</f>
        <v/>
      </c>
    </row>
    <row r="937">
      <c r="A937" s="29" t="n"/>
      <c r="B937" s="17" t="n"/>
      <c r="C937" s="17" t="n"/>
      <c r="D937" s="16" t="n"/>
      <c r="E937" s="30" t="n"/>
      <c r="F937" s="17" t="n"/>
      <c r="G937" s="31">
        <f>IF(C937="","",IFERROR(INDEX(Categorie!$B$6:$B$65,MATCH(C937,Categorie!$A$6:$A$65,0))&amp;"",""))</f>
        <v/>
      </c>
      <c r="H937" s="32">
        <f>IF(AND(A937="",C937="",D937=""),"",IF(D937="","Manca l'importo",IF(NOT(ISNUMBER(D937)),"Importo non valido",IF(NOT(ISNUMBER(A937)),"Data mancante o non valida",IF(YEAR(A937)&lt;&gt;Impostazioni!$C$4,"Fuori dall'anno",IF(C937="","Manca la categoria",IF(ISNA(MATCH(C937,Categorie!$A$6:$A$65,0)),"Categoria non trovata",IF(G937="","Categoria senza tipo",""))))))))</f>
        <v/>
      </c>
    </row>
    <row r="938">
      <c r="A938" s="29" t="n"/>
      <c r="B938" s="17" t="n"/>
      <c r="C938" s="17" t="n"/>
      <c r="D938" s="16" t="n"/>
      <c r="E938" s="30" t="n"/>
      <c r="F938" s="17" t="n"/>
      <c r="G938" s="31">
        <f>IF(C938="","",IFERROR(INDEX(Categorie!$B$6:$B$65,MATCH(C938,Categorie!$A$6:$A$65,0))&amp;"",""))</f>
        <v/>
      </c>
      <c r="H938" s="32">
        <f>IF(AND(A938="",C938="",D938=""),"",IF(D938="","Manca l'importo",IF(NOT(ISNUMBER(D938)),"Importo non valido",IF(NOT(ISNUMBER(A938)),"Data mancante o non valida",IF(YEAR(A938)&lt;&gt;Impostazioni!$C$4,"Fuori dall'anno",IF(C938="","Manca la categoria",IF(ISNA(MATCH(C938,Categorie!$A$6:$A$65,0)),"Categoria non trovata",IF(G938="","Categoria senza tipo",""))))))))</f>
        <v/>
      </c>
    </row>
    <row r="939">
      <c r="A939" s="29" t="n"/>
      <c r="B939" s="17" t="n"/>
      <c r="C939" s="17" t="n"/>
      <c r="D939" s="16" t="n"/>
      <c r="E939" s="30" t="n"/>
      <c r="F939" s="17" t="n"/>
      <c r="G939" s="31">
        <f>IF(C939="","",IFERROR(INDEX(Categorie!$B$6:$B$65,MATCH(C939,Categorie!$A$6:$A$65,0))&amp;"",""))</f>
        <v/>
      </c>
      <c r="H939" s="32">
        <f>IF(AND(A939="",C939="",D939=""),"",IF(D939="","Manca l'importo",IF(NOT(ISNUMBER(D939)),"Importo non valido",IF(NOT(ISNUMBER(A939)),"Data mancante o non valida",IF(YEAR(A939)&lt;&gt;Impostazioni!$C$4,"Fuori dall'anno",IF(C939="","Manca la categoria",IF(ISNA(MATCH(C939,Categorie!$A$6:$A$65,0)),"Categoria non trovata",IF(G939="","Categoria senza tipo",""))))))))</f>
        <v/>
      </c>
    </row>
    <row r="940">
      <c r="A940" s="29" t="n"/>
      <c r="B940" s="17" t="n"/>
      <c r="C940" s="17" t="n"/>
      <c r="D940" s="16" t="n"/>
      <c r="E940" s="30" t="n"/>
      <c r="F940" s="17" t="n"/>
      <c r="G940" s="31">
        <f>IF(C940="","",IFERROR(INDEX(Categorie!$B$6:$B$65,MATCH(C940,Categorie!$A$6:$A$65,0))&amp;"",""))</f>
        <v/>
      </c>
      <c r="H940" s="32">
        <f>IF(AND(A940="",C940="",D940=""),"",IF(D940="","Manca l'importo",IF(NOT(ISNUMBER(D940)),"Importo non valido",IF(NOT(ISNUMBER(A940)),"Data mancante o non valida",IF(YEAR(A940)&lt;&gt;Impostazioni!$C$4,"Fuori dall'anno",IF(C940="","Manca la categoria",IF(ISNA(MATCH(C940,Categorie!$A$6:$A$65,0)),"Categoria non trovata",IF(G940="","Categoria senza tipo",""))))))))</f>
        <v/>
      </c>
    </row>
    <row r="941">
      <c r="A941" s="29" t="n"/>
      <c r="B941" s="17" t="n"/>
      <c r="C941" s="17" t="n"/>
      <c r="D941" s="16" t="n"/>
      <c r="E941" s="30" t="n"/>
      <c r="F941" s="17" t="n"/>
      <c r="G941" s="31">
        <f>IF(C941="","",IFERROR(INDEX(Categorie!$B$6:$B$65,MATCH(C941,Categorie!$A$6:$A$65,0))&amp;"",""))</f>
        <v/>
      </c>
      <c r="H941" s="32">
        <f>IF(AND(A941="",C941="",D941=""),"",IF(D941="","Manca l'importo",IF(NOT(ISNUMBER(D941)),"Importo non valido",IF(NOT(ISNUMBER(A941)),"Data mancante o non valida",IF(YEAR(A941)&lt;&gt;Impostazioni!$C$4,"Fuori dall'anno",IF(C941="","Manca la categoria",IF(ISNA(MATCH(C941,Categorie!$A$6:$A$65,0)),"Categoria non trovata",IF(G941="","Categoria senza tipo",""))))))))</f>
        <v/>
      </c>
    </row>
    <row r="942">
      <c r="A942" s="29" t="n"/>
      <c r="B942" s="17" t="n"/>
      <c r="C942" s="17" t="n"/>
      <c r="D942" s="16" t="n"/>
      <c r="E942" s="30" t="n"/>
      <c r="F942" s="17" t="n"/>
      <c r="G942" s="31">
        <f>IF(C942="","",IFERROR(INDEX(Categorie!$B$6:$B$65,MATCH(C942,Categorie!$A$6:$A$65,0))&amp;"",""))</f>
        <v/>
      </c>
      <c r="H942" s="32">
        <f>IF(AND(A942="",C942="",D942=""),"",IF(D942="","Manca l'importo",IF(NOT(ISNUMBER(D942)),"Importo non valido",IF(NOT(ISNUMBER(A942)),"Data mancante o non valida",IF(YEAR(A942)&lt;&gt;Impostazioni!$C$4,"Fuori dall'anno",IF(C942="","Manca la categoria",IF(ISNA(MATCH(C942,Categorie!$A$6:$A$65,0)),"Categoria non trovata",IF(G942="","Categoria senza tipo",""))))))))</f>
        <v/>
      </c>
    </row>
    <row r="943">
      <c r="A943" s="29" t="n"/>
      <c r="B943" s="17" t="n"/>
      <c r="C943" s="17" t="n"/>
      <c r="D943" s="16" t="n"/>
      <c r="E943" s="30" t="n"/>
      <c r="F943" s="17" t="n"/>
      <c r="G943" s="31">
        <f>IF(C943="","",IFERROR(INDEX(Categorie!$B$6:$B$65,MATCH(C943,Categorie!$A$6:$A$65,0))&amp;"",""))</f>
        <v/>
      </c>
      <c r="H943" s="32">
        <f>IF(AND(A943="",C943="",D943=""),"",IF(D943="","Manca l'importo",IF(NOT(ISNUMBER(D943)),"Importo non valido",IF(NOT(ISNUMBER(A943)),"Data mancante o non valida",IF(YEAR(A943)&lt;&gt;Impostazioni!$C$4,"Fuori dall'anno",IF(C943="","Manca la categoria",IF(ISNA(MATCH(C943,Categorie!$A$6:$A$65,0)),"Categoria non trovata",IF(G943="","Categoria senza tipo",""))))))))</f>
        <v/>
      </c>
    </row>
    <row r="944">
      <c r="A944" s="29" t="n"/>
      <c r="B944" s="17" t="n"/>
      <c r="C944" s="17" t="n"/>
      <c r="D944" s="16" t="n"/>
      <c r="E944" s="30" t="n"/>
      <c r="F944" s="17" t="n"/>
      <c r="G944" s="31">
        <f>IF(C944="","",IFERROR(INDEX(Categorie!$B$6:$B$65,MATCH(C944,Categorie!$A$6:$A$65,0))&amp;"",""))</f>
        <v/>
      </c>
      <c r="H944" s="32">
        <f>IF(AND(A944="",C944="",D944=""),"",IF(D944="","Manca l'importo",IF(NOT(ISNUMBER(D944)),"Importo non valido",IF(NOT(ISNUMBER(A944)),"Data mancante o non valida",IF(YEAR(A944)&lt;&gt;Impostazioni!$C$4,"Fuori dall'anno",IF(C944="","Manca la categoria",IF(ISNA(MATCH(C944,Categorie!$A$6:$A$65,0)),"Categoria non trovata",IF(G944="","Categoria senza tipo",""))))))))</f>
        <v/>
      </c>
    </row>
    <row r="945">
      <c r="A945" s="29" t="n"/>
      <c r="B945" s="17" t="n"/>
      <c r="C945" s="17" t="n"/>
      <c r="D945" s="16" t="n"/>
      <c r="E945" s="30" t="n"/>
      <c r="F945" s="17" t="n"/>
      <c r="G945" s="31">
        <f>IF(C945="","",IFERROR(INDEX(Categorie!$B$6:$B$65,MATCH(C945,Categorie!$A$6:$A$65,0))&amp;"",""))</f>
        <v/>
      </c>
      <c r="H945" s="32">
        <f>IF(AND(A945="",C945="",D945=""),"",IF(D945="","Manca l'importo",IF(NOT(ISNUMBER(D945)),"Importo non valido",IF(NOT(ISNUMBER(A945)),"Data mancante o non valida",IF(YEAR(A945)&lt;&gt;Impostazioni!$C$4,"Fuori dall'anno",IF(C945="","Manca la categoria",IF(ISNA(MATCH(C945,Categorie!$A$6:$A$65,0)),"Categoria non trovata",IF(G945="","Categoria senza tipo",""))))))))</f>
        <v/>
      </c>
    </row>
    <row r="946">
      <c r="A946" s="29" t="n"/>
      <c r="B946" s="17" t="n"/>
      <c r="C946" s="17" t="n"/>
      <c r="D946" s="16" t="n"/>
      <c r="E946" s="30" t="n"/>
      <c r="F946" s="17" t="n"/>
      <c r="G946" s="31">
        <f>IF(C946="","",IFERROR(INDEX(Categorie!$B$6:$B$65,MATCH(C946,Categorie!$A$6:$A$65,0))&amp;"",""))</f>
        <v/>
      </c>
      <c r="H946" s="32">
        <f>IF(AND(A946="",C946="",D946=""),"",IF(D946="","Manca l'importo",IF(NOT(ISNUMBER(D946)),"Importo non valido",IF(NOT(ISNUMBER(A946)),"Data mancante o non valida",IF(YEAR(A946)&lt;&gt;Impostazioni!$C$4,"Fuori dall'anno",IF(C946="","Manca la categoria",IF(ISNA(MATCH(C946,Categorie!$A$6:$A$65,0)),"Categoria non trovata",IF(G946="","Categoria senza tipo",""))))))))</f>
        <v/>
      </c>
    </row>
    <row r="947">
      <c r="A947" s="29" t="n"/>
      <c r="B947" s="17" t="n"/>
      <c r="C947" s="17" t="n"/>
      <c r="D947" s="16" t="n"/>
      <c r="E947" s="30" t="n"/>
      <c r="F947" s="17" t="n"/>
      <c r="G947" s="31">
        <f>IF(C947="","",IFERROR(INDEX(Categorie!$B$6:$B$65,MATCH(C947,Categorie!$A$6:$A$65,0))&amp;"",""))</f>
        <v/>
      </c>
      <c r="H947" s="32">
        <f>IF(AND(A947="",C947="",D947=""),"",IF(D947="","Manca l'importo",IF(NOT(ISNUMBER(D947)),"Importo non valido",IF(NOT(ISNUMBER(A947)),"Data mancante o non valida",IF(YEAR(A947)&lt;&gt;Impostazioni!$C$4,"Fuori dall'anno",IF(C947="","Manca la categoria",IF(ISNA(MATCH(C947,Categorie!$A$6:$A$65,0)),"Categoria non trovata",IF(G947="","Categoria senza tipo",""))))))))</f>
        <v/>
      </c>
    </row>
    <row r="948">
      <c r="A948" s="29" t="n"/>
      <c r="B948" s="17" t="n"/>
      <c r="C948" s="17" t="n"/>
      <c r="D948" s="16" t="n"/>
      <c r="E948" s="30" t="n"/>
      <c r="F948" s="17" t="n"/>
      <c r="G948" s="31">
        <f>IF(C948="","",IFERROR(INDEX(Categorie!$B$6:$B$65,MATCH(C948,Categorie!$A$6:$A$65,0))&amp;"",""))</f>
        <v/>
      </c>
      <c r="H948" s="32">
        <f>IF(AND(A948="",C948="",D948=""),"",IF(D948="","Manca l'importo",IF(NOT(ISNUMBER(D948)),"Importo non valido",IF(NOT(ISNUMBER(A948)),"Data mancante o non valida",IF(YEAR(A948)&lt;&gt;Impostazioni!$C$4,"Fuori dall'anno",IF(C948="","Manca la categoria",IF(ISNA(MATCH(C948,Categorie!$A$6:$A$65,0)),"Categoria non trovata",IF(G948="","Categoria senza tipo",""))))))))</f>
        <v/>
      </c>
    </row>
    <row r="949">
      <c r="A949" s="29" t="n"/>
      <c r="B949" s="17" t="n"/>
      <c r="C949" s="17" t="n"/>
      <c r="D949" s="16" t="n"/>
      <c r="E949" s="30" t="n"/>
      <c r="F949" s="17" t="n"/>
      <c r="G949" s="31">
        <f>IF(C949="","",IFERROR(INDEX(Categorie!$B$6:$B$65,MATCH(C949,Categorie!$A$6:$A$65,0))&amp;"",""))</f>
        <v/>
      </c>
      <c r="H949" s="32">
        <f>IF(AND(A949="",C949="",D949=""),"",IF(D949="","Manca l'importo",IF(NOT(ISNUMBER(D949)),"Importo non valido",IF(NOT(ISNUMBER(A949)),"Data mancante o non valida",IF(YEAR(A949)&lt;&gt;Impostazioni!$C$4,"Fuori dall'anno",IF(C949="","Manca la categoria",IF(ISNA(MATCH(C949,Categorie!$A$6:$A$65,0)),"Categoria non trovata",IF(G949="","Categoria senza tipo",""))))))))</f>
        <v/>
      </c>
    </row>
    <row r="950">
      <c r="A950" s="29" t="n"/>
      <c r="B950" s="17" t="n"/>
      <c r="C950" s="17" t="n"/>
      <c r="D950" s="16" t="n"/>
      <c r="E950" s="30" t="n"/>
      <c r="F950" s="17" t="n"/>
      <c r="G950" s="31">
        <f>IF(C950="","",IFERROR(INDEX(Categorie!$B$6:$B$65,MATCH(C950,Categorie!$A$6:$A$65,0))&amp;"",""))</f>
        <v/>
      </c>
      <c r="H950" s="32">
        <f>IF(AND(A950="",C950="",D950=""),"",IF(D950="","Manca l'importo",IF(NOT(ISNUMBER(D950)),"Importo non valido",IF(NOT(ISNUMBER(A950)),"Data mancante o non valida",IF(YEAR(A950)&lt;&gt;Impostazioni!$C$4,"Fuori dall'anno",IF(C950="","Manca la categoria",IF(ISNA(MATCH(C950,Categorie!$A$6:$A$65,0)),"Categoria non trovata",IF(G950="","Categoria senza tipo",""))))))))</f>
        <v/>
      </c>
    </row>
    <row r="951">
      <c r="A951" s="29" t="n"/>
      <c r="B951" s="17" t="n"/>
      <c r="C951" s="17" t="n"/>
      <c r="D951" s="16" t="n"/>
      <c r="E951" s="30" t="n"/>
      <c r="F951" s="17" t="n"/>
      <c r="G951" s="31">
        <f>IF(C951="","",IFERROR(INDEX(Categorie!$B$6:$B$65,MATCH(C951,Categorie!$A$6:$A$65,0))&amp;"",""))</f>
        <v/>
      </c>
      <c r="H951" s="32">
        <f>IF(AND(A951="",C951="",D951=""),"",IF(D951="","Manca l'importo",IF(NOT(ISNUMBER(D951)),"Importo non valido",IF(NOT(ISNUMBER(A951)),"Data mancante o non valida",IF(YEAR(A951)&lt;&gt;Impostazioni!$C$4,"Fuori dall'anno",IF(C951="","Manca la categoria",IF(ISNA(MATCH(C951,Categorie!$A$6:$A$65,0)),"Categoria non trovata",IF(G951="","Categoria senza tipo",""))))))))</f>
        <v/>
      </c>
    </row>
    <row r="952">
      <c r="A952" s="29" t="n"/>
      <c r="B952" s="17" t="n"/>
      <c r="C952" s="17" t="n"/>
      <c r="D952" s="16" t="n"/>
      <c r="E952" s="30" t="n"/>
      <c r="F952" s="17" t="n"/>
      <c r="G952" s="31">
        <f>IF(C952="","",IFERROR(INDEX(Categorie!$B$6:$B$65,MATCH(C952,Categorie!$A$6:$A$65,0))&amp;"",""))</f>
        <v/>
      </c>
      <c r="H952" s="32">
        <f>IF(AND(A952="",C952="",D952=""),"",IF(D952="","Manca l'importo",IF(NOT(ISNUMBER(D952)),"Importo non valido",IF(NOT(ISNUMBER(A952)),"Data mancante o non valida",IF(YEAR(A952)&lt;&gt;Impostazioni!$C$4,"Fuori dall'anno",IF(C952="","Manca la categoria",IF(ISNA(MATCH(C952,Categorie!$A$6:$A$65,0)),"Categoria non trovata",IF(G952="","Categoria senza tipo",""))))))))</f>
        <v/>
      </c>
    </row>
    <row r="953">
      <c r="A953" s="29" t="n"/>
      <c r="B953" s="17" t="n"/>
      <c r="C953" s="17" t="n"/>
      <c r="D953" s="16" t="n"/>
      <c r="E953" s="30" t="n"/>
      <c r="F953" s="17" t="n"/>
      <c r="G953" s="31">
        <f>IF(C953="","",IFERROR(INDEX(Categorie!$B$6:$B$65,MATCH(C953,Categorie!$A$6:$A$65,0))&amp;"",""))</f>
        <v/>
      </c>
      <c r="H953" s="32">
        <f>IF(AND(A953="",C953="",D953=""),"",IF(D953="","Manca l'importo",IF(NOT(ISNUMBER(D953)),"Importo non valido",IF(NOT(ISNUMBER(A953)),"Data mancante o non valida",IF(YEAR(A953)&lt;&gt;Impostazioni!$C$4,"Fuori dall'anno",IF(C953="","Manca la categoria",IF(ISNA(MATCH(C953,Categorie!$A$6:$A$65,0)),"Categoria non trovata",IF(G953="","Categoria senza tipo",""))))))))</f>
        <v/>
      </c>
    </row>
    <row r="954">
      <c r="A954" s="29" t="n"/>
      <c r="B954" s="17" t="n"/>
      <c r="C954" s="17" t="n"/>
      <c r="D954" s="16" t="n"/>
      <c r="E954" s="30" t="n"/>
      <c r="F954" s="17" t="n"/>
      <c r="G954" s="31">
        <f>IF(C954="","",IFERROR(INDEX(Categorie!$B$6:$B$65,MATCH(C954,Categorie!$A$6:$A$65,0))&amp;"",""))</f>
        <v/>
      </c>
      <c r="H954" s="32">
        <f>IF(AND(A954="",C954="",D954=""),"",IF(D954="","Manca l'importo",IF(NOT(ISNUMBER(D954)),"Importo non valido",IF(NOT(ISNUMBER(A954)),"Data mancante o non valida",IF(YEAR(A954)&lt;&gt;Impostazioni!$C$4,"Fuori dall'anno",IF(C954="","Manca la categoria",IF(ISNA(MATCH(C954,Categorie!$A$6:$A$65,0)),"Categoria non trovata",IF(G954="","Categoria senza tipo",""))))))))</f>
        <v/>
      </c>
    </row>
    <row r="955">
      <c r="A955" s="29" t="n"/>
      <c r="B955" s="17" t="n"/>
      <c r="C955" s="17" t="n"/>
      <c r="D955" s="16" t="n"/>
      <c r="E955" s="30" t="n"/>
      <c r="F955" s="17" t="n"/>
      <c r="G955" s="31">
        <f>IF(C955="","",IFERROR(INDEX(Categorie!$B$6:$B$65,MATCH(C955,Categorie!$A$6:$A$65,0))&amp;"",""))</f>
        <v/>
      </c>
      <c r="H955" s="32">
        <f>IF(AND(A955="",C955="",D955=""),"",IF(D955="","Manca l'importo",IF(NOT(ISNUMBER(D955)),"Importo non valido",IF(NOT(ISNUMBER(A955)),"Data mancante o non valida",IF(YEAR(A955)&lt;&gt;Impostazioni!$C$4,"Fuori dall'anno",IF(C955="","Manca la categoria",IF(ISNA(MATCH(C955,Categorie!$A$6:$A$65,0)),"Categoria non trovata",IF(G955="","Categoria senza tipo",""))))))))</f>
        <v/>
      </c>
    </row>
    <row r="956">
      <c r="A956" s="29" t="n"/>
      <c r="B956" s="17" t="n"/>
      <c r="C956" s="17" t="n"/>
      <c r="D956" s="16" t="n"/>
      <c r="E956" s="30" t="n"/>
      <c r="F956" s="17" t="n"/>
      <c r="G956" s="31">
        <f>IF(C956="","",IFERROR(INDEX(Categorie!$B$6:$B$65,MATCH(C956,Categorie!$A$6:$A$65,0))&amp;"",""))</f>
        <v/>
      </c>
      <c r="H956" s="32">
        <f>IF(AND(A956="",C956="",D956=""),"",IF(D956="","Manca l'importo",IF(NOT(ISNUMBER(D956)),"Importo non valido",IF(NOT(ISNUMBER(A956)),"Data mancante o non valida",IF(YEAR(A956)&lt;&gt;Impostazioni!$C$4,"Fuori dall'anno",IF(C956="","Manca la categoria",IF(ISNA(MATCH(C956,Categorie!$A$6:$A$65,0)),"Categoria non trovata",IF(G956="","Categoria senza tipo",""))))))))</f>
        <v/>
      </c>
    </row>
    <row r="957">
      <c r="A957" s="29" t="n"/>
      <c r="B957" s="17" t="n"/>
      <c r="C957" s="17" t="n"/>
      <c r="D957" s="16" t="n"/>
      <c r="E957" s="30" t="n"/>
      <c r="F957" s="17" t="n"/>
      <c r="G957" s="31">
        <f>IF(C957="","",IFERROR(INDEX(Categorie!$B$6:$B$65,MATCH(C957,Categorie!$A$6:$A$65,0))&amp;"",""))</f>
        <v/>
      </c>
      <c r="H957" s="32">
        <f>IF(AND(A957="",C957="",D957=""),"",IF(D957="","Manca l'importo",IF(NOT(ISNUMBER(D957)),"Importo non valido",IF(NOT(ISNUMBER(A957)),"Data mancante o non valida",IF(YEAR(A957)&lt;&gt;Impostazioni!$C$4,"Fuori dall'anno",IF(C957="","Manca la categoria",IF(ISNA(MATCH(C957,Categorie!$A$6:$A$65,0)),"Categoria non trovata",IF(G957="","Categoria senza tipo",""))))))))</f>
        <v/>
      </c>
    </row>
    <row r="958">
      <c r="A958" s="29" t="n"/>
      <c r="B958" s="17" t="n"/>
      <c r="C958" s="17" t="n"/>
      <c r="D958" s="16" t="n"/>
      <c r="E958" s="30" t="n"/>
      <c r="F958" s="17" t="n"/>
      <c r="G958" s="31">
        <f>IF(C958="","",IFERROR(INDEX(Categorie!$B$6:$B$65,MATCH(C958,Categorie!$A$6:$A$65,0))&amp;"",""))</f>
        <v/>
      </c>
      <c r="H958" s="32">
        <f>IF(AND(A958="",C958="",D958=""),"",IF(D958="","Manca l'importo",IF(NOT(ISNUMBER(D958)),"Importo non valido",IF(NOT(ISNUMBER(A958)),"Data mancante o non valida",IF(YEAR(A958)&lt;&gt;Impostazioni!$C$4,"Fuori dall'anno",IF(C958="","Manca la categoria",IF(ISNA(MATCH(C958,Categorie!$A$6:$A$65,0)),"Categoria non trovata",IF(G958="","Categoria senza tipo",""))))))))</f>
        <v/>
      </c>
    </row>
    <row r="959">
      <c r="A959" s="29" t="n"/>
      <c r="B959" s="17" t="n"/>
      <c r="C959" s="17" t="n"/>
      <c r="D959" s="16" t="n"/>
      <c r="E959" s="30" t="n"/>
      <c r="F959" s="17" t="n"/>
      <c r="G959" s="31">
        <f>IF(C959="","",IFERROR(INDEX(Categorie!$B$6:$B$65,MATCH(C959,Categorie!$A$6:$A$65,0))&amp;"",""))</f>
        <v/>
      </c>
      <c r="H959" s="32">
        <f>IF(AND(A959="",C959="",D959=""),"",IF(D959="","Manca l'importo",IF(NOT(ISNUMBER(D959)),"Importo non valido",IF(NOT(ISNUMBER(A959)),"Data mancante o non valida",IF(YEAR(A959)&lt;&gt;Impostazioni!$C$4,"Fuori dall'anno",IF(C959="","Manca la categoria",IF(ISNA(MATCH(C959,Categorie!$A$6:$A$65,0)),"Categoria non trovata",IF(G959="","Categoria senza tipo",""))))))))</f>
        <v/>
      </c>
    </row>
    <row r="960">
      <c r="A960" s="29" t="n"/>
      <c r="B960" s="17" t="n"/>
      <c r="C960" s="17" t="n"/>
      <c r="D960" s="16" t="n"/>
      <c r="E960" s="30" t="n"/>
      <c r="F960" s="17" t="n"/>
      <c r="G960" s="31">
        <f>IF(C960="","",IFERROR(INDEX(Categorie!$B$6:$B$65,MATCH(C960,Categorie!$A$6:$A$65,0))&amp;"",""))</f>
        <v/>
      </c>
      <c r="H960" s="32">
        <f>IF(AND(A960="",C960="",D960=""),"",IF(D960="","Manca l'importo",IF(NOT(ISNUMBER(D960)),"Importo non valido",IF(NOT(ISNUMBER(A960)),"Data mancante o non valida",IF(YEAR(A960)&lt;&gt;Impostazioni!$C$4,"Fuori dall'anno",IF(C960="","Manca la categoria",IF(ISNA(MATCH(C960,Categorie!$A$6:$A$65,0)),"Categoria non trovata",IF(G960="","Categoria senza tipo",""))))))))</f>
        <v/>
      </c>
    </row>
    <row r="961">
      <c r="A961" s="29" t="n"/>
      <c r="B961" s="17" t="n"/>
      <c r="C961" s="17" t="n"/>
      <c r="D961" s="16" t="n"/>
      <c r="E961" s="30" t="n"/>
      <c r="F961" s="17" t="n"/>
      <c r="G961" s="31">
        <f>IF(C961="","",IFERROR(INDEX(Categorie!$B$6:$B$65,MATCH(C961,Categorie!$A$6:$A$65,0))&amp;"",""))</f>
        <v/>
      </c>
      <c r="H961" s="32">
        <f>IF(AND(A961="",C961="",D961=""),"",IF(D961="","Manca l'importo",IF(NOT(ISNUMBER(D961)),"Importo non valido",IF(NOT(ISNUMBER(A961)),"Data mancante o non valida",IF(YEAR(A961)&lt;&gt;Impostazioni!$C$4,"Fuori dall'anno",IF(C961="","Manca la categoria",IF(ISNA(MATCH(C961,Categorie!$A$6:$A$65,0)),"Categoria non trovata",IF(G961="","Categoria senza tipo",""))))))))</f>
        <v/>
      </c>
    </row>
    <row r="962">
      <c r="A962" s="29" t="n"/>
      <c r="B962" s="17" t="n"/>
      <c r="C962" s="17" t="n"/>
      <c r="D962" s="16" t="n"/>
      <c r="E962" s="30" t="n"/>
      <c r="F962" s="17" t="n"/>
      <c r="G962" s="31">
        <f>IF(C962="","",IFERROR(INDEX(Categorie!$B$6:$B$65,MATCH(C962,Categorie!$A$6:$A$65,0))&amp;"",""))</f>
        <v/>
      </c>
      <c r="H962" s="32">
        <f>IF(AND(A962="",C962="",D962=""),"",IF(D962="","Manca l'importo",IF(NOT(ISNUMBER(D962)),"Importo non valido",IF(NOT(ISNUMBER(A962)),"Data mancante o non valida",IF(YEAR(A962)&lt;&gt;Impostazioni!$C$4,"Fuori dall'anno",IF(C962="","Manca la categoria",IF(ISNA(MATCH(C962,Categorie!$A$6:$A$65,0)),"Categoria non trovata",IF(G962="","Categoria senza tipo",""))))))))</f>
        <v/>
      </c>
    </row>
    <row r="963">
      <c r="A963" s="29" t="n"/>
      <c r="B963" s="17" t="n"/>
      <c r="C963" s="17" t="n"/>
      <c r="D963" s="16" t="n"/>
      <c r="E963" s="30" t="n"/>
      <c r="F963" s="17" t="n"/>
      <c r="G963" s="31">
        <f>IF(C963="","",IFERROR(INDEX(Categorie!$B$6:$B$65,MATCH(C963,Categorie!$A$6:$A$65,0))&amp;"",""))</f>
        <v/>
      </c>
      <c r="H963" s="32">
        <f>IF(AND(A963="",C963="",D963=""),"",IF(D963="","Manca l'importo",IF(NOT(ISNUMBER(D963)),"Importo non valido",IF(NOT(ISNUMBER(A963)),"Data mancante o non valida",IF(YEAR(A963)&lt;&gt;Impostazioni!$C$4,"Fuori dall'anno",IF(C963="","Manca la categoria",IF(ISNA(MATCH(C963,Categorie!$A$6:$A$65,0)),"Categoria non trovata",IF(G963="","Categoria senza tipo",""))))))))</f>
        <v/>
      </c>
    </row>
    <row r="964">
      <c r="A964" s="29" t="n"/>
      <c r="B964" s="17" t="n"/>
      <c r="C964" s="17" t="n"/>
      <c r="D964" s="16" t="n"/>
      <c r="E964" s="30" t="n"/>
      <c r="F964" s="17" t="n"/>
      <c r="G964" s="31">
        <f>IF(C964="","",IFERROR(INDEX(Categorie!$B$6:$B$65,MATCH(C964,Categorie!$A$6:$A$65,0))&amp;"",""))</f>
        <v/>
      </c>
      <c r="H964" s="32">
        <f>IF(AND(A964="",C964="",D964=""),"",IF(D964="","Manca l'importo",IF(NOT(ISNUMBER(D964)),"Importo non valido",IF(NOT(ISNUMBER(A964)),"Data mancante o non valida",IF(YEAR(A964)&lt;&gt;Impostazioni!$C$4,"Fuori dall'anno",IF(C964="","Manca la categoria",IF(ISNA(MATCH(C964,Categorie!$A$6:$A$65,0)),"Categoria non trovata",IF(G964="","Categoria senza tipo",""))))))))</f>
        <v/>
      </c>
    </row>
    <row r="965">
      <c r="A965" s="29" t="n"/>
      <c r="B965" s="17" t="n"/>
      <c r="C965" s="17" t="n"/>
      <c r="D965" s="16" t="n"/>
      <c r="E965" s="30" t="n"/>
      <c r="F965" s="17" t="n"/>
      <c r="G965" s="31">
        <f>IF(C965="","",IFERROR(INDEX(Categorie!$B$6:$B$65,MATCH(C965,Categorie!$A$6:$A$65,0))&amp;"",""))</f>
        <v/>
      </c>
      <c r="H965" s="32">
        <f>IF(AND(A965="",C965="",D965=""),"",IF(D965="","Manca l'importo",IF(NOT(ISNUMBER(D965)),"Importo non valido",IF(NOT(ISNUMBER(A965)),"Data mancante o non valida",IF(YEAR(A965)&lt;&gt;Impostazioni!$C$4,"Fuori dall'anno",IF(C965="","Manca la categoria",IF(ISNA(MATCH(C965,Categorie!$A$6:$A$65,0)),"Categoria non trovata",IF(G965="","Categoria senza tipo",""))))))))</f>
        <v/>
      </c>
    </row>
    <row r="966">
      <c r="A966" s="29" t="n"/>
      <c r="B966" s="17" t="n"/>
      <c r="C966" s="17" t="n"/>
      <c r="D966" s="16" t="n"/>
      <c r="E966" s="30" t="n"/>
      <c r="F966" s="17" t="n"/>
      <c r="G966" s="31">
        <f>IF(C966="","",IFERROR(INDEX(Categorie!$B$6:$B$65,MATCH(C966,Categorie!$A$6:$A$65,0))&amp;"",""))</f>
        <v/>
      </c>
      <c r="H966" s="32">
        <f>IF(AND(A966="",C966="",D966=""),"",IF(D966="","Manca l'importo",IF(NOT(ISNUMBER(D966)),"Importo non valido",IF(NOT(ISNUMBER(A966)),"Data mancante o non valida",IF(YEAR(A966)&lt;&gt;Impostazioni!$C$4,"Fuori dall'anno",IF(C966="","Manca la categoria",IF(ISNA(MATCH(C966,Categorie!$A$6:$A$65,0)),"Categoria non trovata",IF(G966="","Categoria senza tipo",""))))))))</f>
        <v/>
      </c>
    </row>
    <row r="967">
      <c r="A967" s="29" t="n"/>
      <c r="B967" s="17" t="n"/>
      <c r="C967" s="17" t="n"/>
      <c r="D967" s="16" t="n"/>
      <c r="E967" s="30" t="n"/>
      <c r="F967" s="17" t="n"/>
      <c r="G967" s="31">
        <f>IF(C967="","",IFERROR(INDEX(Categorie!$B$6:$B$65,MATCH(C967,Categorie!$A$6:$A$65,0))&amp;"",""))</f>
        <v/>
      </c>
      <c r="H967" s="32">
        <f>IF(AND(A967="",C967="",D967=""),"",IF(D967="","Manca l'importo",IF(NOT(ISNUMBER(D967)),"Importo non valido",IF(NOT(ISNUMBER(A967)),"Data mancante o non valida",IF(YEAR(A967)&lt;&gt;Impostazioni!$C$4,"Fuori dall'anno",IF(C967="","Manca la categoria",IF(ISNA(MATCH(C967,Categorie!$A$6:$A$65,0)),"Categoria non trovata",IF(G967="","Categoria senza tipo",""))))))))</f>
        <v/>
      </c>
    </row>
    <row r="968">
      <c r="A968" s="29" t="n"/>
      <c r="B968" s="17" t="n"/>
      <c r="C968" s="17" t="n"/>
      <c r="D968" s="16" t="n"/>
      <c r="E968" s="30" t="n"/>
      <c r="F968" s="17" t="n"/>
      <c r="G968" s="31">
        <f>IF(C968="","",IFERROR(INDEX(Categorie!$B$6:$B$65,MATCH(C968,Categorie!$A$6:$A$65,0))&amp;"",""))</f>
        <v/>
      </c>
      <c r="H968" s="32">
        <f>IF(AND(A968="",C968="",D968=""),"",IF(D968="","Manca l'importo",IF(NOT(ISNUMBER(D968)),"Importo non valido",IF(NOT(ISNUMBER(A968)),"Data mancante o non valida",IF(YEAR(A968)&lt;&gt;Impostazioni!$C$4,"Fuori dall'anno",IF(C968="","Manca la categoria",IF(ISNA(MATCH(C968,Categorie!$A$6:$A$65,0)),"Categoria non trovata",IF(G968="","Categoria senza tipo",""))))))))</f>
        <v/>
      </c>
    </row>
    <row r="969">
      <c r="A969" s="29" t="n"/>
      <c r="B969" s="17" t="n"/>
      <c r="C969" s="17" t="n"/>
      <c r="D969" s="16" t="n"/>
      <c r="E969" s="30" t="n"/>
      <c r="F969" s="17" t="n"/>
      <c r="G969" s="31">
        <f>IF(C969="","",IFERROR(INDEX(Categorie!$B$6:$B$65,MATCH(C969,Categorie!$A$6:$A$65,0))&amp;"",""))</f>
        <v/>
      </c>
      <c r="H969" s="32">
        <f>IF(AND(A969="",C969="",D969=""),"",IF(D969="","Manca l'importo",IF(NOT(ISNUMBER(D969)),"Importo non valido",IF(NOT(ISNUMBER(A969)),"Data mancante o non valida",IF(YEAR(A969)&lt;&gt;Impostazioni!$C$4,"Fuori dall'anno",IF(C969="","Manca la categoria",IF(ISNA(MATCH(C969,Categorie!$A$6:$A$65,0)),"Categoria non trovata",IF(G969="","Categoria senza tipo",""))))))))</f>
        <v/>
      </c>
    </row>
    <row r="970">
      <c r="A970" s="29" t="n"/>
      <c r="B970" s="17" t="n"/>
      <c r="C970" s="17" t="n"/>
      <c r="D970" s="16" t="n"/>
      <c r="E970" s="30" t="n"/>
      <c r="F970" s="17" t="n"/>
      <c r="G970" s="31">
        <f>IF(C970="","",IFERROR(INDEX(Categorie!$B$6:$B$65,MATCH(C970,Categorie!$A$6:$A$65,0))&amp;"",""))</f>
        <v/>
      </c>
      <c r="H970" s="32">
        <f>IF(AND(A970="",C970="",D970=""),"",IF(D970="","Manca l'importo",IF(NOT(ISNUMBER(D970)),"Importo non valido",IF(NOT(ISNUMBER(A970)),"Data mancante o non valida",IF(YEAR(A970)&lt;&gt;Impostazioni!$C$4,"Fuori dall'anno",IF(C970="","Manca la categoria",IF(ISNA(MATCH(C970,Categorie!$A$6:$A$65,0)),"Categoria non trovata",IF(G970="","Categoria senza tipo",""))))))))</f>
        <v/>
      </c>
    </row>
    <row r="971">
      <c r="A971" s="29" t="n"/>
      <c r="B971" s="17" t="n"/>
      <c r="C971" s="17" t="n"/>
      <c r="D971" s="16" t="n"/>
      <c r="E971" s="30" t="n"/>
      <c r="F971" s="17" t="n"/>
      <c r="G971" s="31">
        <f>IF(C971="","",IFERROR(INDEX(Categorie!$B$6:$B$65,MATCH(C971,Categorie!$A$6:$A$65,0))&amp;"",""))</f>
        <v/>
      </c>
      <c r="H971" s="32">
        <f>IF(AND(A971="",C971="",D971=""),"",IF(D971="","Manca l'importo",IF(NOT(ISNUMBER(D971)),"Importo non valido",IF(NOT(ISNUMBER(A971)),"Data mancante o non valida",IF(YEAR(A971)&lt;&gt;Impostazioni!$C$4,"Fuori dall'anno",IF(C971="","Manca la categoria",IF(ISNA(MATCH(C971,Categorie!$A$6:$A$65,0)),"Categoria non trovata",IF(G971="","Categoria senza tipo",""))))))))</f>
        <v/>
      </c>
    </row>
    <row r="972">
      <c r="A972" s="29" t="n"/>
      <c r="B972" s="17" t="n"/>
      <c r="C972" s="17" t="n"/>
      <c r="D972" s="16" t="n"/>
      <c r="E972" s="30" t="n"/>
      <c r="F972" s="17" t="n"/>
      <c r="G972" s="31">
        <f>IF(C972="","",IFERROR(INDEX(Categorie!$B$6:$B$65,MATCH(C972,Categorie!$A$6:$A$65,0))&amp;"",""))</f>
        <v/>
      </c>
      <c r="H972" s="32">
        <f>IF(AND(A972="",C972="",D972=""),"",IF(D972="","Manca l'importo",IF(NOT(ISNUMBER(D972)),"Importo non valido",IF(NOT(ISNUMBER(A972)),"Data mancante o non valida",IF(YEAR(A972)&lt;&gt;Impostazioni!$C$4,"Fuori dall'anno",IF(C972="","Manca la categoria",IF(ISNA(MATCH(C972,Categorie!$A$6:$A$65,0)),"Categoria non trovata",IF(G972="","Categoria senza tipo",""))))))))</f>
        <v/>
      </c>
    </row>
    <row r="973">
      <c r="A973" s="29" t="n"/>
      <c r="B973" s="17" t="n"/>
      <c r="C973" s="17" t="n"/>
      <c r="D973" s="16" t="n"/>
      <c r="E973" s="30" t="n"/>
      <c r="F973" s="17" t="n"/>
      <c r="G973" s="31">
        <f>IF(C973="","",IFERROR(INDEX(Categorie!$B$6:$B$65,MATCH(C973,Categorie!$A$6:$A$65,0))&amp;"",""))</f>
        <v/>
      </c>
      <c r="H973" s="32">
        <f>IF(AND(A973="",C973="",D973=""),"",IF(D973="","Manca l'importo",IF(NOT(ISNUMBER(D973)),"Importo non valido",IF(NOT(ISNUMBER(A973)),"Data mancante o non valida",IF(YEAR(A973)&lt;&gt;Impostazioni!$C$4,"Fuori dall'anno",IF(C973="","Manca la categoria",IF(ISNA(MATCH(C973,Categorie!$A$6:$A$65,0)),"Categoria non trovata",IF(G973="","Categoria senza tipo",""))))))))</f>
        <v/>
      </c>
    </row>
    <row r="974">
      <c r="A974" s="29" t="n"/>
      <c r="B974" s="17" t="n"/>
      <c r="C974" s="17" t="n"/>
      <c r="D974" s="16" t="n"/>
      <c r="E974" s="30" t="n"/>
      <c r="F974" s="17" t="n"/>
      <c r="G974" s="31">
        <f>IF(C974="","",IFERROR(INDEX(Categorie!$B$6:$B$65,MATCH(C974,Categorie!$A$6:$A$65,0))&amp;"",""))</f>
        <v/>
      </c>
      <c r="H974" s="32">
        <f>IF(AND(A974="",C974="",D974=""),"",IF(D974="","Manca l'importo",IF(NOT(ISNUMBER(D974)),"Importo non valido",IF(NOT(ISNUMBER(A974)),"Data mancante o non valida",IF(YEAR(A974)&lt;&gt;Impostazioni!$C$4,"Fuori dall'anno",IF(C974="","Manca la categoria",IF(ISNA(MATCH(C974,Categorie!$A$6:$A$65,0)),"Categoria non trovata",IF(G974="","Categoria senza tipo",""))))))))</f>
        <v/>
      </c>
    </row>
    <row r="975">
      <c r="A975" s="29" t="n"/>
      <c r="B975" s="17" t="n"/>
      <c r="C975" s="17" t="n"/>
      <c r="D975" s="16" t="n"/>
      <c r="E975" s="30" t="n"/>
      <c r="F975" s="17" t="n"/>
      <c r="G975" s="31">
        <f>IF(C975="","",IFERROR(INDEX(Categorie!$B$6:$B$65,MATCH(C975,Categorie!$A$6:$A$65,0))&amp;"",""))</f>
        <v/>
      </c>
      <c r="H975" s="32">
        <f>IF(AND(A975="",C975="",D975=""),"",IF(D975="","Manca l'importo",IF(NOT(ISNUMBER(D975)),"Importo non valido",IF(NOT(ISNUMBER(A975)),"Data mancante o non valida",IF(YEAR(A975)&lt;&gt;Impostazioni!$C$4,"Fuori dall'anno",IF(C975="","Manca la categoria",IF(ISNA(MATCH(C975,Categorie!$A$6:$A$65,0)),"Categoria non trovata",IF(G975="","Categoria senza tipo",""))))))))</f>
        <v/>
      </c>
    </row>
    <row r="976">
      <c r="A976" s="29" t="n"/>
      <c r="B976" s="17" t="n"/>
      <c r="C976" s="17" t="n"/>
      <c r="D976" s="16" t="n"/>
      <c r="E976" s="30" t="n"/>
      <c r="F976" s="17" t="n"/>
      <c r="G976" s="31">
        <f>IF(C976="","",IFERROR(INDEX(Categorie!$B$6:$B$65,MATCH(C976,Categorie!$A$6:$A$65,0))&amp;"",""))</f>
        <v/>
      </c>
      <c r="H976" s="32">
        <f>IF(AND(A976="",C976="",D976=""),"",IF(D976="","Manca l'importo",IF(NOT(ISNUMBER(D976)),"Importo non valido",IF(NOT(ISNUMBER(A976)),"Data mancante o non valida",IF(YEAR(A976)&lt;&gt;Impostazioni!$C$4,"Fuori dall'anno",IF(C976="","Manca la categoria",IF(ISNA(MATCH(C976,Categorie!$A$6:$A$65,0)),"Categoria non trovata",IF(G976="","Categoria senza tipo",""))))))))</f>
        <v/>
      </c>
    </row>
    <row r="977">
      <c r="A977" s="29" t="n"/>
      <c r="B977" s="17" t="n"/>
      <c r="C977" s="17" t="n"/>
      <c r="D977" s="16" t="n"/>
      <c r="E977" s="30" t="n"/>
      <c r="F977" s="17" t="n"/>
      <c r="G977" s="31">
        <f>IF(C977="","",IFERROR(INDEX(Categorie!$B$6:$B$65,MATCH(C977,Categorie!$A$6:$A$65,0))&amp;"",""))</f>
        <v/>
      </c>
      <c r="H977" s="32">
        <f>IF(AND(A977="",C977="",D977=""),"",IF(D977="","Manca l'importo",IF(NOT(ISNUMBER(D977)),"Importo non valido",IF(NOT(ISNUMBER(A977)),"Data mancante o non valida",IF(YEAR(A977)&lt;&gt;Impostazioni!$C$4,"Fuori dall'anno",IF(C977="","Manca la categoria",IF(ISNA(MATCH(C977,Categorie!$A$6:$A$65,0)),"Categoria non trovata",IF(G977="","Categoria senza tipo",""))))))))</f>
        <v/>
      </c>
    </row>
    <row r="978">
      <c r="A978" s="29" t="n"/>
      <c r="B978" s="17" t="n"/>
      <c r="C978" s="17" t="n"/>
      <c r="D978" s="16" t="n"/>
      <c r="E978" s="30" t="n"/>
      <c r="F978" s="17" t="n"/>
      <c r="G978" s="31">
        <f>IF(C978="","",IFERROR(INDEX(Categorie!$B$6:$B$65,MATCH(C978,Categorie!$A$6:$A$65,0))&amp;"",""))</f>
        <v/>
      </c>
      <c r="H978" s="32">
        <f>IF(AND(A978="",C978="",D978=""),"",IF(D978="","Manca l'importo",IF(NOT(ISNUMBER(D978)),"Importo non valido",IF(NOT(ISNUMBER(A978)),"Data mancante o non valida",IF(YEAR(A978)&lt;&gt;Impostazioni!$C$4,"Fuori dall'anno",IF(C978="","Manca la categoria",IF(ISNA(MATCH(C978,Categorie!$A$6:$A$65,0)),"Categoria non trovata",IF(G978="","Categoria senza tipo",""))))))))</f>
        <v/>
      </c>
    </row>
    <row r="979">
      <c r="A979" s="29" t="n"/>
      <c r="B979" s="17" t="n"/>
      <c r="C979" s="17" t="n"/>
      <c r="D979" s="16" t="n"/>
      <c r="E979" s="30" t="n"/>
      <c r="F979" s="17" t="n"/>
      <c r="G979" s="31">
        <f>IF(C979="","",IFERROR(INDEX(Categorie!$B$6:$B$65,MATCH(C979,Categorie!$A$6:$A$65,0))&amp;"",""))</f>
        <v/>
      </c>
      <c r="H979" s="32">
        <f>IF(AND(A979="",C979="",D979=""),"",IF(D979="","Manca l'importo",IF(NOT(ISNUMBER(D979)),"Importo non valido",IF(NOT(ISNUMBER(A979)),"Data mancante o non valida",IF(YEAR(A979)&lt;&gt;Impostazioni!$C$4,"Fuori dall'anno",IF(C979="","Manca la categoria",IF(ISNA(MATCH(C979,Categorie!$A$6:$A$65,0)),"Categoria non trovata",IF(G979="","Categoria senza tipo",""))))))))</f>
        <v/>
      </c>
    </row>
    <row r="980">
      <c r="A980" s="29" t="n"/>
      <c r="B980" s="17" t="n"/>
      <c r="C980" s="17" t="n"/>
      <c r="D980" s="16" t="n"/>
      <c r="E980" s="30" t="n"/>
      <c r="F980" s="17" t="n"/>
      <c r="G980" s="31">
        <f>IF(C980="","",IFERROR(INDEX(Categorie!$B$6:$B$65,MATCH(C980,Categorie!$A$6:$A$65,0))&amp;"",""))</f>
        <v/>
      </c>
      <c r="H980" s="32">
        <f>IF(AND(A980="",C980="",D980=""),"",IF(D980="","Manca l'importo",IF(NOT(ISNUMBER(D980)),"Importo non valido",IF(NOT(ISNUMBER(A980)),"Data mancante o non valida",IF(YEAR(A980)&lt;&gt;Impostazioni!$C$4,"Fuori dall'anno",IF(C980="","Manca la categoria",IF(ISNA(MATCH(C980,Categorie!$A$6:$A$65,0)),"Categoria non trovata",IF(G980="","Categoria senza tipo",""))))))))</f>
        <v/>
      </c>
    </row>
    <row r="981">
      <c r="A981" s="29" t="n"/>
      <c r="B981" s="17" t="n"/>
      <c r="C981" s="17" t="n"/>
      <c r="D981" s="16" t="n"/>
      <c r="E981" s="30" t="n"/>
      <c r="F981" s="17" t="n"/>
      <c r="G981" s="31">
        <f>IF(C981="","",IFERROR(INDEX(Categorie!$B$6:$B$65,MATCH(C981,Categorie!$A$6:$A$65,0))&amp;"",""))</f>
        <v/>
      </c>
      <c r="H981" s="32">
        <f>IF(AND(A981="",C981="",D981=""),"",IF(D981="","Manca l'importo",IF(NOT(ISNUMBER(D981)),"Importo non valido",IF(NOT(ISNUMBER(A981)),"Data mancante o non valida",IF(YEAR(A981)&lt;&gt;Impostazioni!$C$4,"Fuori dall'anno",IF(C981="","Manca la categoria",IF(ISNA(MATCH(C981,Categorie!$A$6:$A$65,0)),"Categoria non trovata",IF(G981="","Categoria senza tipo",""))))))))</f>
        <v/>
      </c>
    </row>
    <row r="982">
      <c r="A982" s="29" t="n"/>
      <c r="B982" s="17" t="n"/>
      <c r="C982" s="17" t="n"/>
      <c r="D982" s="16" t="n"/>
      <c r="E982" s="30" t="n"/>
      <c r="F982" s="17" t="n"/>
      <c r="G982" s="31">
        <f>IF(C982="","",IFERROR(INDEX(Categorie!$B$6:$B$65,MATCH(C982,Categorie!$A$6:$A$65,0))&amp;"",""))</f>
        <v/>
      </c>
      <c r="H982" s="32">
        <f>IF(AND(A982="",C982="",D982=""),"",IF(D982="","Manca l'importo",IF(NOT(ISNUMBER(D982)),"Importo non valido",IF(NOT(ISNUMBER(A982)),"Data mancante o non valida",IF(YEAR(A982)&lt;&gt;Impostazioni!$C$4,"Fuori dall'anno",IF(C982="","Manca la categoria",IF(ISNA(MATCH(C982,Categorie!$A$6:$A$65,0)),"Categoria non trovata",IF(G982="","Categoria senza tipo",""))))))))</f>
        <v/>
      </c>
    </row>
    <row r="983">
      <c r="A983" s="29" t="n"/>
      <c r="B983" s="17" t="n"/>
      <c r="C983" s="17" t="n"/>
      <c r="D983" s="16" t="n"/>
      <c r="E983" s="30" t="n"/>
      <c r="F983" s="17" t="n"/>
      <c r="G983" s="31">
        <f>IF(C983="","",IFERROR(INDEX(Categorie!$B$6:$B$65,MATCH(C983,Categorie!$A$6:$A$65,0))&amp;"",""))</f>
        <v/>
      </c>
      <c r="H983" s="32">
        <f>IF(AND(A983="",C983="",D983=""),"",IF(D983="","Manca l'importo",IF(NOT(ISNUMBER(D983)),"Importo non valido",IF(NOT(ISNUMBER(A983)),"Data mancante o non valida",IF(YEAR(A983)&lt;&gt;Impostazioni!$C$4,"Fuori dall'anno",IF(C983="","Manca la categoria",IF(ISNA(MATCH(C983,Categorie!$A$6:$A$65,0)),"Categoria non trovata",IF(G983="","Categoria senza tipo",""))))))))</f>
        <v/>
      </c>
    </row>
    <row r="984">
      <c r="A984" s="29" t="n"/>
      <c r="B984" s="17" t="n"/>
      <c r="C984" s="17" t="n"/>
      <c r="D984" s="16" t="n"/>
      <c r="E984" s="30" t="n"/>
      <c r="F984" s="17" t="n"/>
      <c r="G984" s="31">
        <f>IF(C984="","",IFERROR(INDEX(Categorie!$B$6:$B$65,MATCH(C984,Categorie!$A$6:$A$65,0))&amp;"",""))</f>
        <v/>
      </c>
      <c r="H984" s="32">
        <f>IF(AND(A984="",C984="",D984=""),"",IF(D984="","Manca l'importo",IF(NOT(ISNUMBER(D984)),"Importo non valido",IF(NOT(ISNUMBER(A984)),"Data mancante o non valida",IF(YEAR(A984)&lt;&gt;Impostazioni!$C$4,"Fuori dall'anno",IF(C984="","Manca la categoria",IF(ISNA(MATCH(C984,Categorie!$A$6:$A$65,0)),"Categoria non trovata",IF(G984="","Categoria senza tipo",""))))))))</f>
        <v/>
      </c>
    </row>
    <row r="985">
      <c r="A985" s="29" t="n"/>
      <c r="B985" s="17" t="n"/>
      <c r="C985" s="17" t="n"/>
      <c r="D985" s="16" t="n"/>
      <c r="E985" s="30" t="n"/>
      <c r="F985" s="17" t="n"/>
      <c r="G985" s="31">
        <f>IF(C985="","",IFERROR(INDEX(Categorie!$B$6:$B$65,MATCH(C985,Categorie!$A$6:$A$65,0))&amp;"",""))</f>
        <v/>
      </c>
      <c r="H985" s="32">
        <f>IF(AND(A985="",C985="",D985=""),"",IF(D985="","Manca l'importo",IF(NOT(ISNUMBER(D985)),"Importo non valido",IF(NOT(ISNUMBER(A985)),"Data mancante o non valida",IF(YEAR(A985)&lt;&gt;Impostazioni!$C$4,"Fuori dall'anno",IF(C985="","Manca la categoria",IF(ISNA(MATCH(C985,Categorie!$A$6:$A$65,0)),"Categoria non trovata",IF(G985="","Categoria senza tipo",""))))))))</f>
        <v/>
      </c>
    </row>
    <row r="986">
      <c r="A986" s="29" t="n"/>
      <c r="B986" s="17" t="n"/>
      <c r="C986" s="17" t="n"/>
      <c r="D986" s="16" t="n"/>
      <c r="E986" s="30" t="n"/>
      <c r="F986" s="17" t="n"/>
      <c r="G986" s="31">
        <f>IF(C986="","",IFERROR(INDEX(Categorie!$B$6:$B$65,MATCH(C986,Categorie!$A$6:$A$65,0))&amp;"",""))</f>
        <v/>
      </c>
      <c r="H986" s="32">
        <f>IF(AND(A986="",C986="",D986=""),"",IF(D986="","Manca l'importo",IF(NOT(ISNUMBER(D986)),"Importo non valido",IF(NOT(ISNUMBER(A986)),"Data mancante o non valida",IF(YEAR(A986)&lt;&gt;Impostazioni!$C$4,"Fuori dall'anno",IF(C986="","Manca la categoria",IF(ISNA(MATCH(C986,Categorie!$A$6:$A$65,0)),"Categoria non trovata",IF(G986="","Categoria senza tipo",""))))))))</f>
        <v/>
      </c>
    </row>
    <row r="987">
      <c r="A987" s="29" t="n"/>
      <c r="B987" s="17" t="n"/>
      <c r="C987" s="17" t="n"/>
      <c r="D987" s="16" t="n"/>
      <c r="E987" s="30" t="n"/>
      <c r="F987" s="17" t="n"/>
      <c r="G987" s="31">
        <f>IF(C987="","",IFERROR(INDEX(Categorie!$B$6:$B$65,MATCH(C987,Categorie!$A$6:$A$65,0))&amp;"",""))</f>
        <v/>
      </c>
      <c r="H987" s="32">
        <f>IF(AND(A987="",C987="",D987=""),"",IF(D987="","Manca l'importo",IF(NOT(ISNUMBER(D987)),"Importo non valido",IF(NOT(ISNUMBER(A987)),"Data mancante o non valida",IF(YEAR(A987)&lt;&gt;Impostazioni!$C$4,"Fuori dall'anno",IF(C987="","Manca la categoria",IF(ISNA(MATCH(C987,Categorie!$A$6:$A$65,0)),"Categoria non trovata",IF(G987="","Categoria senza tipo",""))))))))</f>
        <v/>
      </c>
    </row>
    <row r="988">
      <c r="A988" s="29" t="n"/>
      <c r="B988" s="17" t="n"/>
      <c r="C988" s="17" t="n"/>
      <c r="D988" s="16" t="n"/>
      <c r="E988" s="30" t="n"/>
      <c r="F988" s="17" t="n"/>
      <c r="G988" s="31">
        <f>IF(C988="","",IFERROR(INDEX(Categorie!$B$6:$B$65,MATCH(C988,Categorie!$A$6:$A$65,0))&amp;"",""))</f>
        <v/>
      </c>
      <c r="H988" s="32">
        <f>IF(AND(A988="",C988="",D988=""),"",IF(D988="","Manca l'importo",IF(NOT(ISNUMBER(D988)),"Importo non valido",IF(NOT(ISNUMBER(A988)),"Data mancante o non valida",IF(YEAR(A988)&lt;&gt;Impostazioni!$C$4,"Fuori dall'anno",IF(C988="","Manca la categoria",IF(ISNA(MATCH(C988,Categorie!$A$6:$A$65,0)),"Categoria non trovata",IF(G988="","Categoria senza tipo",""))))))))</f>
        <v/>
      </c>
    </row>
    <row r="989">
      <c r="A989" s="29" t="n"/>
      <c r="B989" s="17" t="n"/>
      <c r="C989" s="17" t="n"/>
      <c r="D989" s="16" t="n"/>
      <c r="E989" s="30" t="n"/>
      <c r="F989" s="17" t="n"/>
      <c r="G989" s="31">
        <f>IF(C989="","",IFERROR(INDEX(Categorie!$B$6:$B$65,MATCH(C989,Categorie!$A$6:$A$65,0))&amp;"",""))</f>
        <v/>
      </c>
      <c r="H989" s="32">
        <f>IF(AND(A989="",C989="",D989=""),"",IF(D989="","Manca l'importo",IF(NOT(ISNUMBER(D989)),"Importo non valido",IF(NOT(ISNUMBER(A989)),"Data mancante o non valida",IF(YEAR(A989)&lt;&gt;Impostazioni!$C$4,"Fuori dall'anno",IF(C989="","Manca la categoria",IF(ISNA(MATCH(C989,Categorie!$A$6:$A$65,0)),"Categoria non trovata",IF(G989="","Categoria senza tipo",""))))))))</f>
        <v/>
      </c>
    </row>
    <row r="990">
      <c r="A990" s="29" t="n"/>
      <c r="B990" s="17" t="n"/>
      <c r="C990" s="17" t="n"/>
      <c r="D990" s="16" t="n"/>
      <c r="E990" s="30" t="n"/>
      <c r="F990" s="17" t="n"/>
      <c r="G990" s="31">
        <f>IF(C990="","",IFERROR(INDEX(Categorie!$B$6:$B$65,MATCH(C990,Categorie!$A$6:$A$65,0))&amp;"",""))</f>
        <v/>
      </c>
      <c r="H990" s="32">
        <f>IF(AND(A990="",C990="",D990=""),"",IF(D990="","Manca l'importo",IF(NOT(ISNUMBER(D990)),"Importo non valido",IF(NOT(ISNUMBER(A990)),"Data mancante o non valida",IF(YEAR(A990)&lt;&gt;Impostazioni!$C$4,"Fuori dall'anno",IF(C990="","Manca la categoria",IF(ISNA(MATCH(C990,Categorie!$A$6:$A$65,0)),"Categoria non trovata",IF(G990="","Categoria senza tipo",""))))))))</f>
        <v/>
      </c>
    </row>
    <row r="991">
      <c r="A991" s="29" t="n"/>
      <c r="B991" s="17" t="n"/>
      <c r="C991" s="17" t="n"/>
      <c r="D991" s="16" t="n"/>
      <c r="E991" s="30" t="n"/>
      <c r="F991" s="17" t="n"/>
      <c r="G991" s="31">
        <f>IF(C991="","",IFERROR(INDEX(Categorie!$B$6:$B$65,MATCH(C991,Categorie!$A$6:$A$65,0))&amp;"",""))</f>
        <v/>
      </c>
      <c r="H991" s="32">
        <f>IF(AND(A991="",C991="",D991=""),"",IF(D991="","Manca l'importo",IF(NOT(ISNUMBER(D991)),"Importo non valido",IF(NOT(ISNUMBER(A991)),"Data mancante o non valida",IF(YEAR(A991)&lt;&gt;Impostazioni!$C$4,"Fuori dall'anno",IF(C991="","Manca la categoria",IF(ISNA(MATCH(C991,Categorie!$A$6:$A$65,0)),"Categoria non trovata",IF(G991="","Categoria senza tipo",""))))))))</f>
        <v/>
      </c>
    </row>
    <row r="992">
      <c r="A992" s="29" t="n"/>
      <c r="B992" s="17" t="n"/>
      <c r="C992" s="17" t="n"/>
      <c r="D992" s="16" t="n"/>
      <c r="E992" s="30" t="n"/>
      <c r="F992" s="17" t="n"/>
      <c r="G992" s="31">
        <f>IF(C992="","",IFERROR(INDEX(Categorie!$B$6:$B$65,MATCH(C992,Categorie!$A$6:$A$65,0))&amp;"",""))</f>
        <v/>
      </c>
      <c r="H992" s="32">
        <f>IF(AND(A992="",C992="",D992=""),"",IF(D992="","Manca l'importo",IF(NOT(ISNUMBER(D992)),"Importo non valido",IF(NOT(ISNUMBER(A992)),"Data mancante o non valida",IF(YEAR(A992)&lt;&gt;Impostazioni!$C$4,"Fuori dall'anno",IF(C992="","Manca la categoria",IF(ISNA(MATCH(C992,Categorie!$A$6:$A$65,0)),"Categoria non trovata",IF(G992="","Categoria senza tipo",""))))))))</f>
        <v/>
      </c>
    </row>
    <row r="993">
      <c r="A993" s="29" t="n"/>
      <c r="B993" s="17" t="n"/>
      <c r="C993" s="17" t="n"/>
      <c r="D993" s="16" t="n"/>
      <c r="E993" s="30" t="n"/>
      <c r="F993" s="17" t="n"/>
      <c r="G993" s="31">
        <f>IF(C993="","",IFERROR(INDEX(Categorie!$B$6:$B$65,MATCH(C993,Categorie!$A$6:$A$65,0))&amp;"",""))</f>
        <v/>
      </c>
      <c r="H993" s="32">
        <f>IF(AND(A993="",C993="",D993=""),"",IF(D993="","Manca l'importo",IF(NOT(ISNUMBER(D993)),"Importo non valido",IF(NOT(ISNUMBER(A993)),"Data mancante o non valida",IF(YEAR(A993)&lt;&gt;Impostazioni!$C$4,"Fuori dall'anno",IF(C993="","Manca la categoria",IF(ISNA(MATCH(C993,Categorie!$A$6:$A$65,0)),"Categoria non trovata",IF(G993="","Categoria senza tipo",""))))))))</f>
        <v/>
      </c>
    </row>
    <row r="994">
      <c r="A994" s="29" t="n"/>
      <c r="B994" s="17" t="n"/>
      <c r="C994" s="17" t="n"/>
      <c r="D994" s="16" t="n"/>
      <c r="E994" s="30" t="n"/>
      <c r="F994" s="17" t="n"/>
      <c r="G994" s="31">
        <f>IF(C994="","",IFERROR(INDEX(Categorie!$B$6:$B$65,MATCH(C994,Categorie!$A$6:$A$65,0))&amp;"",""))</f>
        <v/>
      </c>
      <c r="H994" s="32">
        <f>IF(AND(A994="",C994="",D994=""),"",IF(D994="","Manca l'importo",IF(NOT(ISNUMBER(D994)),"Importo non valido",IF(NOT(ISNUMBER(A994)),"Data mancante o non valida",IF(YEAR(A994)&lt;&gt;Impostazioni!$C$4,"Fuori dall'anno",IF(C994="","Manca la categoria",IF(ISNA(MATCH(C994,Categorie!$A$6:$A$65,0)),"Categoria non trovata",IF(G994="","Categoria senza tipo",""))))))))</f>
        <v/>
      </c>
    </row>
    <row r="995">
      <c r="A995" s="29" t="n"/>
      <c r="B995" s="17" t="n"/>
      <c r="C995" s="17" t="n"/>
      <c r="D995" s="16" t="n"/>
      <c r="E995" s="30" t="n"/>
      <c r="F995" s="17" t="n"/>
      <c r="G995" s="31">
        <f>IF(C995="","",IFERROR(INDEX(Categorie!$B$6:$B$65,MATCH(C995,Categorie!$A$6:$A$65,0))&amp;"",""))</f>
        <v/>
      </c>
      <c r="H995" s="32">
        <f>IF(AND(A995="",C995="",D995=""),"",IF(D995="","Manca l'importo",IF(NOT(ISNUMBER(D995)),"Importo non valido",IF(NOT(ISNUMBER(A995)),"Data mancante o non valida",IF(YEAR(A995)&lt;&gt;Impostazioni!$C$4,"Fuori dall'anno",IF(C995="","Manca la categoria",IF(ISNA(MATCH(C995,Categorie!$A$6:$A$65,0)),"Categoria non trovata",IF(G995="","Categoria senza tipo",""))))))))</f>
        <v/>
      </c>
    </row>
    <row r="996">
      <c r="A996" s="29" t="n"/>
      <c r="B996" s="17" t="n"/>
      <c r="C996" s="17" t="n"/>
      <c r="D996" s="16" t="n"/>
      <c r="E996" s="30" t="n"/>
      <c r="F996" s="17" t="n"/>
      <c r="G996" s="31">
        <f>IF(C996="","",IFERROR(INDEX(Categorie!$B$6:$B$65,MATCH(C996,Categorie!$A$6:$A$65,0))&amp;"",""))</f>
        <v/>
      </c>
      <c r="H996" s="32">
        <f>IF(AND(A996="",C996="",D996=""),"",IF(D996="","Manca l'importo",IF(NOT(ISNUMBER(D996)),"Importo non valido",IF(NOT(ISNUMBER(A996)),"Data mancante o non valida",IF(YEAR(A996)&lt;&gt;Impostazioni!$C$4,"Fuori dall'anno",IF(C996="","Manca la categoria",IF(ISNA(MATCH(C996,Categorie!$A$6:$A$65,0)),"Categoria non trovata",IF(G996="","Categoria senza tipo",""))))))))</f>
        <v/>
      </c>
    </row>
    <row r="997">
      <c r="A997" s="29" t="n"/>
      <c r="B997" s="17" t="n"/>
      <c r="C997" s="17" t="n"/>
      <c r="D997" s="16" t="n"/>
      <c r="E997" s="30" t="n"/>
      <c r="F997" s="17" t="n"/>
      <c r="G997" s="31">
        <f>IF(C997="","",IFERROR(INDEX(Categorie!$B$6:$B$65,MATCH(C997,Categorie!$A$6:$A$65,0))&amp;"",""))</f>
        <v/>
      </c>
      <c r="H997" s="32">
        <f>IF(AND(A997="",C997="",D997=""),"",IF(D997="","Manca l'importo",IF(NOT(ISNUMBER(D997)),"Importo non valido",IF(NOT(ISNUMBER(A997)),"Data mancante o non valida",IF(YEAR(A997)&lt;&gt;Impostazioni!$C$4,"Fuori dall'anno",IF(C997="","Manca la categoria",IF(ISNA(MATCH(C997,Categorie!$A$6:$A$65,0)),"Categoria non trovata",IF(G997="","Categoria senza tipo",""))))))))</f>
        <v/>
      </c>
    </row>
    <row r="998">
      <c r="A998" s="29" t="n"/>
      <c r="B998" s="17" t="n"/>
      <c r="C998" s="17" t="n"/>
      <c r="D998" s="16" t="n"/>
      <c r="E998" s="30" t="n"/>
      <c r="F998" s="17" t="n"/>
      <c r="G998" s="31">
        <f>IF(C998="","",IFERROR(INDEX(Categorie!$B$6:$B$65,MATCH(C998,Categorie!$A$6:$A$65,0))&amp;"",""))</f>
        <v/>
      </c>
      <c r="H998" s="32">
        <f>IF(AND(A998="",C998="",D998=""),"",IF(D998="","Manca l'importo",IF(NOT(ISNUMBER(D998)),"Importo non valido",IF(NOT(ISNUMBER(A998)),"Data mancante o non valida",IF(YEAR(A998)&lt;&gt;Impostazioni!$C$4,"Fuori dall'anno",IF(C998="","Manca la categoria",IF(ISNA(MATCH(C998,Categorie!$A$6:$A$65,0)),"Categoria non trovata",IF(G998="","Categoria senza tipo",""))))))))</f>
        <v/>
      </c>
    </row>
    <row r="999">
      <c r="A999" s="29" t="n"/>
      <c r="B999" s="17" t="n"/>
      <c r="C999" s="17" t="n"/>
      <c r="D999" s="16" t="n"/>
      <c r="E999" s="30" t="n"/>
      <c r="F999" s="17" t="n"/>
      <c r="G999" s="31">
        <f>IF(C999="","",IFERROR(INDEX(Categorie!$B$6:$B$65,MATCH(C999,Categorie!$A$6:$A$65,0))&amp;"",""))</f>
        <v/>
      </c>
      <c r="H999" s="32">
        <f>IF(AND(A999="",C999="",D999=""),"",IF(D999="","Manca l'importo",IF(NOT(ISNUMBER(D999)),"Importo non valido",IF(NOT(ISNUMBER(A999)),"Data mancante o non valida",IF(YEAR(A999)&lt;&gt;Impostazioni!$C$4,"Fuori dall'anno",IF(C999="","Manca la categoria",IF(ISNA(MATCH(C999,Categorie!$A$6:$A$65,0)),"Categoria non trovata",IF(G999="","Categoria senza tipo",""))))))))</f>
        <v/>
      </c>
    </row>
    <row r="1000">
      <c r="A1000" s="29" t="n"/>
      <c r="B1000" s="17" t="n"/>
      <c r="C1000" s="17" t="n"/>
      <c r="D1000" s="16" t="n"/>
      <c r="E1000" s="30" t="n"/>
      <c r="F1000" s="17" t="n"/>
      <c r="G1000" s="31">
        <f>IF(C1000="","",IFERROR(INDEX(Categorie!$B$6:$B$65,MATCH(C1000,Categorie!$A$6:$A$65,0))&amp;"",""))</f>
        <v/>
      </c>
      <c r="H1000" s="32">
        <f>IF(AND(A1000="",C1000="",D1000=""),"",IF(D1000="","Manca l'importo",IF(NOT(ISNUMBER(D1000)),"Importo non valido",IF(NOT(ISNUMBER(A1000)),"Data mancante o non valida",IF(YEAR(A1000)&lt;&gt;Impostazioni!$C$4,"Fuori dall'anno",IF(C1000="","Manca la categoria",IF(ISNA(MATCH(C1000,Categorie!$A$6:$A$65,0)),"Categoria non trovata",IF(G1000="","Categoria senza tipo",""))))))))</f>
        <v/>
      </c>
    </row>
    <row r="1001">
      <c r="A1001" s="29" t="n"/>
      <c r="B1001" s="17" t="n"/>
      <c r="C1001" s="17" t="n"/>
      <c r="D1001" s="16" t="n"/>
      <c r="E1001" s="30" t="n"/>
      <c r="F1001" s="17" t="n"/>
      <c r="G1001" s="31">
        <f>IF(C1001="","",IFERROR(INDEX(Categorie!$B$6:$B$65,MATCH(C1001,Categorie!$A$6:$A$65,0))&amp;"",""))</f>
        <v/>
      </c>
      <c r="H1001" s="32">
        <f>IF(AND(A1001="",C1001="",D1001=""),"",IF(D1001="","Manca l'importo",IF(NOT(ISNUMBER(D1001)),"Importo non valido",IF(NOT(ISNUMBER(A1001)),"Data mancante o non valida",IF(YEAR(A1001)&lt;&gt;Impostazioni!$C$4,"Fuori dall'anno",IF(C1001="","Manca la categoria",IF(ISNA(MATCH(C1001,Categorie!$A$6:$A$65,0)),"Categoria non trovata",IF(G1001="","Categoria senza tipo",""))))))))</f>
        <v/>
      </c>
    </row>
    <row r="1002">
      <c r="A1002" s="29" t="n"/>
      <c r="B1002" s="17" t="n"/>
      <c r="C1002" s="17" t="n"/>
      <c r="D1002" s="16" t="n"/>
      <c r="E1002" s="30" t="n"/>
      <c r="F1002" s="17" t="n"/>
      <c r="G1002" s="31">
        <f>IF(C1002="","",IFERROR(INDEX(Categorie!$B$6:$B$65,MATCH(C1002,Categorie!$A$6:$A$65,0))&amp;"",""))</f>
        <v/>
      </c>
      <c r="H1002" s="32">
        <f>IF(AND(A1002="",C1002="",D1002=""),"",IF(D1002="","Manca l'importo",IF(NOT(ISNUMBER(D1002)),"Importo non valido",IF(NOT(ISNUMBER(A1002)),"Data mancante o non valida",IF(YEAR(A1002)&lt;&gt;Impostazioni!$C$4,"Fuori dall'anno",IF(C1002="","Manca la categoria",IF(ISNA(MATCH(C1002,Categorie!$A$6:$A$65,0)),"Categoria non trovata",IF(G1002="","Categoria senza tipo",""))))))))</f>
        <v/>
      </c>
    </row>
    <row r="1003">
      <c r="A1003" s="29" t="n"/>
      <c r="B1003" s="17" t="n"/>
      <c r="C1003" s="17" t="n"/>
      <c r="D1003" s="16" t="n"/>
      <c r="E1003" s="30" t="n"/>
      <c r="F1003" s="17" t="n"/>
      <c r="G1003" s="31">
        <f>IF(C1003="","",IFERROR(INDEX(Categorie!$B$6:$B$65,MATCH(C1003,Categorie!$A$6:$A$65,0))&amp;"",""))</f>
        <v/>
      </c>
      <c r="H1003" s="32">
        <f>IF(AND(A1003="",C1003="",D1003=""),"",IF(D1003="","Manca l'importo",IF(NOT(ISNUMBER(D1003)),"Importo non valido",IF(NOT(ISNUMBER(A1003)),"Data mancante o non valida",IF(YEAR(A1003)&lt;&gt;Impostazioni!$C$4,"Fuori dall'anno",IF(C1003="","Manca la categoria",IF(ISNA(MATCH(C1003,Categorie!$A$6:$A$65,0)),"Categoria non trovata",IF(G1003="","Categoria senza tipo",""))))))))</f>
        <v/>
      </c>
    </row>
    <row r="1004">
      <c r="A1004" s="29" t="n"/>
      <c r="B1004" s="17" t="n"/>
      <c r="C1004" s="17" t="n"/>
      <c r="D1004" s="16" t="n"/>
      <c r="E1004" s="30" t="n"/>
      <c r="F1004" s="17" t="n"/>
      <c r="G1004" s="31">
        <f>IF(C1004="","",IFERROR(INDEX(Categorie!$B$6:$B$65,MATCH(C1004,Categorie!$A$6:$A$65,0))&amp;"",""))</f>
        <v/>
      </c>
      <c r="H1004" s="32">
        <f>IF(AND(A1004="",C1004="",D1004=""),"",IF(D1004="","Manca l'importo",IF(NOT(ISNUMBER(D1004)),"Importo non valido",IF(NOT(ISNUMBER(A1004)),"Data mancante o non valida",IF(YEAR(A1004)&lt;&gt;Impostazioni!$C$4,"Fuori dall'anno",IF(C1004="","Manca la categoria",IF(ISNA(MATCH(C1004,Categorie!$A$6:$A$65,0)),"Categoria non trovata",IF(G1004="","Categoria senza tipo",""))))))))</f>
        <v/>
      </c>
    </row>
    <row r="1005">
      <c r="A1005" s="29" t="n"/>
      <c r="B1005" s="17" t="n"/>
      <c r="C1005" s="17" t="n"/>
      <c r="D1005" s="16" t="n"/>
      <c r="E1005" s="30" t="n"/>
      <c r="F1005" s="17" t="n"/>
      <c r="G1005" s="31">
        <f>IF(C1005="","",IFERROR(INDEX(Categorie!$B$6:$B$65,MATCH(C1005,Categorie!$A$6:$A$65,0))&amp;"",""))</f>
        <v/>
      </c>
      <c r="H1005" s="32">
        <f>IF(AND(A1005="",C1005="",D1005=""),"",IF(D1005="","Manca l'importo",IF(NOT(ISNUMBER(D1005)),"Importo non valido",IF(NOT(ISNUMBER(A1005)),"Data mancante o non valida",IF(YEAR(A1005)&lt;&gt;Impostazioni!$C$4,"Fuori dall'anno",IF(C1005="","Manca la categoria",IF(ISNA(MATCH(C1005,Categorie!$A$6:$A$65,0)),"Categoria non trovata",IF(G1005="","Categoria senza tipo",""))))))))</f>
        <v/>
      </c>
    </row>
    <row r="1006">
      <c r="A1006" s="29" t="n"/>
      <c r="B1006" s="17" t="n"/>
      <c r="C1006" s="17" t="n"/>
      <c r="D1006" s="16" t="n"/>
      <c r="E1006" s="30" t="n"/>
      <c r="F1006" s="17" t="n"/>
      <c r="G1006" s="31">
        <f>IF(C1006="","",IFERROR(INDEX(Categorie!$B$6:$B$65,MATCH(C1006,Categorie!$A$6:$A$65,0))&amp;"",""))</f>
        <v/>
      </c>
      <c r="H1006" s="32">
        <f>IF(AND(A1006="",C1006="",D1006=""),"",IF(D1006="","Manca l'importo",IF(NOT(ISNUMBER(D1006)),"Importo non valido",IF(NOT(ISNUMBER(A1006)),"Data mancante o non valida",IF(YEAR(A1006)&lt;&gt;Impostazioni!$C$4,"Fuori dall'anno",IF(C1006="","Manca la categoria",IF(ISNA(MATCH(C1006,Categorie!$A$6:$A$65,0)),"Categoria non trovata",IF(G1006="","Categoria senza tipo",""))))))))</f>
        <v/>
      </c>
    </row>
    <row r="1007">
      <c r="A1007" s="29" t="n"/>
      <c r="B1007" s="17" t="n"/>
      <c r="C1007" s="17" t="n"/>
      <c r="D1007" s="16" t="n"/>
      <c r="E1007" s="30" t="n"/>
      <c r="F1007" s="17" t="n"/>
      <c r="G1007" s="31">
        <f>IF(C1007="","",IFERROR(INDEX(Categorie!$B$6:$B$65,MATCH(C1007,Categorie!$A$6:$A$65,0))&amp;"",""))</f>
        <v/>
      </c>
      <c r="H1007" s="32">
        <f>IF(AND(A1007="",C1007="",D1007=""),"",IF(D1007="","Manca l'importo",IF(NOT(ISNUMBER(D1007)),"Importo non valido",IF(NOT(ISNUMBER(A1007)),"Data mancante o non valida",IF(YEAR(A1007)&lt;&gt;Impostazioni!$C$4,"Fuori dall'anno",IF(C1007="","Manca la categoria",IF(ISNA(MATCH(C1007,Categorie!$A$6:$A$65,0)),"Categoria non trovata",IF(G1007="","Categoria senza tipo",""))))))))</f>
        <v/>
      </c>
    </row>
    <row r="1008">
      <c r="A1008" s="29" t="n"/>
      <c r="B1008" s="17" t="n"/>
      <c r="C1008" s="17" t="n"/>
      <c r="D1008" s="16" t="n"/>
      <c r="E1008" s="30" t="n"/>
      <c r="F1008" s="17" t="n"/>
      <c r="G1008" s="31">
        <f>IF(C1008="","",IFERROR(INDEX(Categorie!$B$6:$B$65,MATCH(C1008,Categorie!$A$6:$A$65,0))&amp;"",""))</f>
        <v/>
      </c>
      <c r="H1008" s="32">
        <f>IF(AND(A1008="",C1008="",D1008=""),"",IF(D1008="","Manca l'importo",IF(NOT(ISNUMBER(D1008)),"Importo non valido",IF(NOT(ISNUMBER(A1008)),"Data mancante o non valida",IF(YEAR(A1008)&lt;&gt;Impostazioni!$C$4,"Fuori dall'anno",IF(C1008="","Manca la categoria",IF(ISNA(MATCH(C1008,Categorie!$A$6:$A$65,0)),"Categoria non trovata",IF(G1008="","Categoria senza tipo",""))))))))</f>
        <v/>
      </c>
    </row>
    <row r="1009">
      <c r="A1009" s="29" t="n"/>
      <c r="B1009" s="17" t="n"/>
      <c r="C1009" s="17" t="n"/>
      <c r="D1009" s="16" t="n"/>
      <c r="E1009" s="30" t="n"/>
      <c r="F1009" s="17" t="n"/>
      <c r="G1009" s="31">
        <f>IF(C1009="","",IFERROR(INDEX(Categorie!$B$6:$B$65,MATCH(C1009,Categorie!$A$6:$A$65,0))&amp;"",""))</f>
        <v/>
      </c>
      <c r="H1009" s="32">
        <f>IF(AND(A1009="",C1009="",D1009=""),"",IF(D1009="","Manca l'importo",IF(NOT(ISNUMBER(D1009)),"Importo non valido",IF(NOT(ISNUMBER(A1009)),"Data mancante o non valida",IF(YEAR(A1009)&lt;&gt;Impostazioni!$C$4,"Fuori dall'anno",IF(C1009="","Manca la categoria",IF(ISNA(MATCH(C1009,Categorie!$A$6:$A$65,0)),"Categoria non trovata",IF(G1009="","Categoria senza tipo",""))))))))</f>
        <v/>
      </c>
    </row>
    <row r="1010">
      <c r="A1010" s="29" t="n"/>
      <c r="B1010" s="17" t="n"/>
      <c r="C1010" s="17" t="n"/>
      <c r="D1010" s="16" t="n"/>
      <c r="E1010" s="30" t="n"/>
      <c r="F1010" s="17" t="n"/>
      <c r="G1010" s="31">
        <f>IF(C1010="","",IFERROR(INDEX(Categorie!$B$6:$B$65,MATCH(C1010,Categorie!$A$6:$A$65,0))&amp;"",""))</f>
        <v/>
      </c>
      <c r="H1010" s="32">
        <f>IF(AND(A1010="",C1010="",D1010=""),"",IF(D1010="","Manca l'importo",IF(NOT(ISNUMBER(D1010)),"Importo non valido",IF(NOT(ISNUMBER(A1010)),"Data mancante o non valida",IF(YEAR(A1010)&lt;&gt;Impostazioni!$C$4,"Fuori dall'anno",IF(C1010="","Manca la categoria",IF(ISNA(MATCH(C1010,Categorie!$A$6:$A$65,0)),"Categoria non trovata",IF(G1010="","Categoria senza tipo",""))))))))</f>
        <v/>
      </c>
    </row>
    <row r="1011">
      <c r="A1011" s="29" t="n"/>
      <c r="B1011" s="17" t="n"/>
      <c r="C1011" s="17" t="n"/>
      <c r="D1011" s="16" t="n"/>
      <c r="E1011" s="30" t="n"/>
      <c r="F1011" s="17" t="n"/>
      <c r="G1011" s="31">
        <f>IF(C1011="","",IFERROR(INDEX(Categorie!$B$6:$B$65,MATCH(C1011,Categorie!$A$6:$A$65,0))&amp;"",""))</f>
        <v/>
      </c>
      <c r="H1011" s="32">
        <f>IF(AND(A1011="",C1011="",D1011=""),"",IF(D1011="","Manca l'importo",IF(NOT(ISNUMBER(D1011)),"Importo non valido",IF(NOT(ISNUMBER(A1011)),"Data mancante o non valida",IF(YEAR(A1011)&lt;&gt;Impostazioni!$C$4,"Fuori dall'anno",IF(C1011="","Manca la categoria",IF(ISNA(MATCH(C1011,Categorie!$A$6:$A$65,0)),"Categoria non trovata",IF(G1011="","Categoria senza tipo",""))))))))</f>
        <v/>
      </c>
    </row>
    <row r="1012">
      <c r="A1012" s="29" t="n"/>
      <c r="B1012" s="17" t="n"/>
      <c r="C1012" s="17" t="n"/>
      <c r="D1012" s="16" t="n"/>
      <c r="E1012" s="30" t="n"/>
      <c r="F1012" s="17" t="n"/>
      <c r="G1012" s="31">
        <f>IF(C1012="","",IFERROR(INDEX(Categorie!$B$6:$B$65,MATCH(C1012,Categorie!$A$6:$A$65,0))&amp;"",""))</f>
        <v/>
      </c>
      <c r="H1012" s="32">
        <f>IF(AND(A1012="",C1012="",D1012=""),"",IF(D1012="","Manca l'importo",IF(NOT(ISNUMBER(D1012)),"Importo non valido",IF(NOT(ISNUMBER(A1012)),"Data mancante o non valida",IF(YEAR(A1012)&lt;&gt;Impostazioni!$C$4,"Fuori dall'anno",IF(C1012="","Manca la categoria",IF(ISNA(MATCH(C1012,Categorie!$A$6:$A$65,0)),"Categoria non trovata",IF(G1012="","Categoria senza tipo",""))))))))</f>
        <v/>
      </c>
    </row>
    <row r="1013">
      <c r="A1013" s="29" t="n"/>
      <c r="B1013" s="17" t="n"/>
      <c r="C1013" s="17" t="n"/>
      <c r="D1013" s="16" t="n"/>
      <c r="E1013" s="30" t="n"/>
      <c r="F1013" s="17" t="n"/>
      <c r="G1013" s="31">
        <f>IF(C1013="","",IFERROR(INDEX(Categorie!$B$6:$B$65,MATCH(C1013,Categorie!$A$6:$A$65,0))&amp;"",""))</f>
        <v/>
      </c>
      <c r="H1013" s="32">
        <f>IF(AND(A1013="",C1013="",D1013=""),"",IF(D1013="","Manca l'importo",IF(NOT(ISNUMBER(D1013)),"Importo non valido",IF(NOT(ISNUMBER(A1013)),"Data mancante o non valida",IF(YEAR(A1013)&lt;&gt;Impostazioni!$C$4,"Fuori dall'anno",IF(C1013="","Manca la categoria",IF(ISNA(MATCH(C1013,Categorie!$A$6:$A$65,0)),"Categoria non trovata",IF(G1013="","Categoria senza tipo",""))))))))</f>
        <v/>
      </c>
    </row>
    <row r="1014">
      <c r="A1014" s="29" t="n"/>
      <c r="B1014" s="17" t="n"/>
      <c r="C1014" s="17" t="n"/>
      <c r="D1014" s="16" t="n"/>
      <c r="E1014" s="30" t="n"/>
      <c r="F1014" s="17" t="n"/>
      <c r="G1014" s="31">
        <f>IF(C1014="","",IFERROR(INDEX(Categorie!$B$6:$B$65,MATCH(C1014,Categorie!$A$6:$A$65,0))&amp;"",""))</f>
        <v/>
      </c>
      <c r="H1014" s="32">
        <f>IF(AND(A1014="",C1014="",D1014=""),"",IF(D1014="","Manca l'importo",IF(NOT(ISNUMBER(D1014)),"Importo non valido",IF(NOT(ISNUMBER(A1014)),"Data mancante o non valida",IF(YEAR(A1014)&lt;&gt;Impostazioni!$C$4,"Fuori dall'anno",IF(C1014="","Manca la categoria",IF(ISNA(MATCH(C1014,Categorie!$A$6:$A$65,0)),"Categoria non trovata",IF(G1014="","Categoria senza tipo",""))))))))</f>
        <v/>
      </c>
    </row>
    <row r="1015">
      <c r="A1015" s="29" t="n"/>
      <c r="B1015" s="17" t="n"/>
      <c r="C1015" s="17" t="n"/>
      <c r="D1015" s="16" t="n"/>
      <c r="E1015" s="30" t="n"/>
      <c r="F1015" s="17" t="n"/>
      <c r="G1015" s="31">
        <f>IF(C1015="","",IFERROR(INDEX(Categorie!$B$6:$B$65,MATCH(C1015,Categorie!$A$6:$A$65,0))&amp;"",""))</f>
        <v/>
      </c>
      <c r="H1015" s="32">
        <f>IF(AND(A1015="",C1015="",D1015=""),"",IF(D1015="","Manca l'importo",IF(NOT(ISNUMBER(D1015)),"Importo non valido",IF(NOT(ISNUMBER(A1015)),"Data mancante o non valida",IF(YEAR(A1015)&lt;&gt;Impostazioni!$C$4,"Fuori dall'anno",IF(C1015="","Manca la categoria",IF(ISNA(MATCH(C1015,Categorie!$A$6:$A$65,0)),"Categoria non trovata",IF(G1015="","Categoria senza tipo",""))))))))</f>
        <v/>
      </c>
    </row>
    <row r="1016">
      <c r="A1016" s="29" t="n"/>
      <c r="B1016" s="17" t="n"/>
      <c r="C1016" s="17" t="n"/>
      <c r="D1016" s="16" t="n"/>
      <c r="E1016" s="30" t="n"/>
      <c r="F1016" s="17" t="n"/>
      <c r="G1016" s="31">
        <f>IF(C1016="","",IFERROR(INDEX(Categorie!$B$6:$B$65,MATCH(C1016,Categorie!$A$6:$A$65,0))&amp;"",""))</f>
        <v/>
      </c>
      <c r="H1016" s="32">
        <f>IF(AND(A1016="",C1016="",D1016=""),"",IF(D1016="","Manca l'importo",IF(NOT(ISNUMBER(D1016)),"Importo non valido",IF(NOT(ISNUMBER(A1016)),"Data mancante o non valida",IF(YEAR(A1016)&lt;&gt;Impostazioni!$C$4,"Fuori dall'anno",IF(C1016="","Manca la categoria",IF(ISNA(MATCH(C1016,Categorie!$A$6:$A$65,0)),"Categoria non trovata",IF(G1016="","Categoria senza tipo",""))))))))</f>
        <v/>
      </c>
    </row>
    <row r="1017">
      <c r="A1017" s="29" t="n"/>
      <c r="B1017" s="17" t="n"/>
      <c r="C1017" s="17" t="n"/>
      <c r="D1017" s="16" t="n"/>
      <c r="E1017" s="30" t="n"/>
      <c r="F1017" s="17" t="n"/>
      <c r="G1017" s="31">
        <f>IF(C1017="","",IFERROR(INDEX(Categorie!$B$6:$B$65,MATCH(C1017,Categorie!$A$6:$A$65,0))&amp;"",""))</f>
        <v/>
      </c>
      <c r="H1017" s="32">
        <f>IF(AND(A1017="",C1017="",D1017=""),"",IF(D1017="","Manca l'importo",IF(NOT(ISNUMBER(D1017)),"Importo non valido",IF(NOT(ISNUMBER(A1017)),"Data mancante o non valida",IF(YEAR(A1017)&lt;&gt;Impostazioni!$C$4,"Fuori dall'anno",IF(C1017="","Manca la categoria",IF(ISNA(MATCH(C1017,Categorie!$A$6:$A$65,0)),"Categoria non trovata",IF(G1017="","Categoria senza tipo",""))))))))</f>
        <v/>
      </c>
    </row>
    <row r="1018">
      <c r="A1018" s="29" t="n"/>
      <c r="B1018" s="17" t="n"/>
      <c r="C1018" s="17" t="n"/>
      <c r="D1018" s="16" t="n"/>
      <c r="E1018" s="30" t="n"/>
      <c r="F1018" s="17" t="n"/>
      <c r="G1018" s="31">
        <f>IF(C1018="","",IFERROR(INDEX(Categorie!$B$6:$B$65,MATCH(C1018,Categorie!$A$6:$A$65,0))&amp;"",""))</f>
        <v/>
      </c>
      <c r="H1018" s="32">
        <f>IF(AND(A1018="",C1018="",D1018=""),"",IF(D1018="","Manca l'importo",IF(NOT(ISNUMBER(D1018)),"Importo non valido",IF(NOT(ISNUMBER(A1018)),"Data mancante o non valida",IF(YEAR(A1018)&lt;&gt;Impostazioni!$C$4,"Fuori dall'anno",IF(C1018="","Manca la categoria",IF(ISNA(MATCH(C1018,Categorie!$A$6:$A$65,0)),"Categoria non trovata",IF(G1018="","Categoria senza tipo",""))))))))</f>
        <v/>
      </c>
    </row>
    <row r="1019">
      <c r="A1019" s="29" t="n"/>
      <c r="B1019" s="17" t="n"/>
      <c r="C1019" s="17" t="n"/>
      <c r="D1019" s="16" t="n"/>
      <c r="E1019" s="30" t="n"/>
      <c r="F1019" s="17" t="n"/>
      <c r="G1019" s="31">
        <f>IF(C1019="","",IFERROR(INDEX(Categorie!$B$6:$B$65,MATCH(C1019,Categorie!$A$6:$A$65,0))&amp;"",""))</f>
        <v/>
      </c>
      <c r="H1019" s="32">
        <f>IF(AND(A1019="",C1019="",D1019=""),"",IF(D1019="","Manca l'importo",IF(NOT(ISNUMBER(D1019)),"Importo non valido",IF(NOT(ISNUMBER(A1019)),"Data mancante o non valida",IF(YEAR(A1019)&lt;&gt;Impostazioni!$C$4,"Fuori dall'anno",IF(C1019="","Manca la categoria",IF(ISNA(MATCH(C1019,Categorie!$A$6:$A$65,0)),"Categoria non trovata",IF(G1019="","Categoria senza tipo",""))))))))</f>
        <v/>
      </c>
    </row>
    <row r="1020">
      <c r="A1020" s="29" t="n"/>
      <c r="B1020" s="17" t="n"/>
      <c r="C1020" s="17" t="n"/>
      <c r="D1020" s="16" t="n"/>
      <c r="E1020" s="30" t="n"/>
      <c r="F1020" s="17" t="n"/>
      <c r="G1020" s="31">
        <f>IF(C1020="","",IFERROR(INDEX(Categorie!$B$6:$B$65,MATCH(C1020,Categorie!$A$6:$A$65,0))&amp;"",""))</f>
        <v/>
      </c>
      <c r="H1020" s="32">
        <f>IF(AND(A1020="",C1020="",D1020=""),"",IF(D1020="","Manca l'importo",IF(NOT(ISNUMBER(D1020)),"Importo non valido",IF(NOT(ISNUMBER(A1020)),"Data mancante o non valida",IF(YEAR(A1020)&lt;&gt;Impostazioni!$C$4,"Fuori dall'anno",IF(C1020="","Manca la categoria",IF(ISNA(MATCH(C1020,Categorie!$A$6:$A$65,0)),"Categoria non trovata",IF(G1020="","Categoria senza tipo",""))))))))</f>
        <v/>
      </c>
    </row>
    <row r="1021">
      <c r="A1021" s="29" t="n"/>
      <c r="B1021" s="17" t="n"/>
      <c r="C1021" s="17" t="n"/>
      <c r="D1021" s="16" t="n"/>
      <c r="E1021" s="30" t="n"/>
      <c r="F1021" s="17" t="n"/>
      <c r="G1021" s="31">
        <f>IF(C1021="","",IFERROR(INDEX(Categorie!$B$6:$B$65,MATCH(C1021,Categorie!$A$6:$A$65,0))&amp;"",""))</f>
        <v/>
      </c>
      <c r="H1021" s="32">
        <f>IF(AND(A1021="",C1021="",D1021=""),"",IF(D1021="","Manca l'importo",IF(NOT(ISNUMBER(D1021)),"Importo non valido",IF(NOT(ISNUMBER(A1021)),"Data mancante o non valida",IF(YEAR(A1021)&lt;&gt;Impostazioni!$C$4,"Fuori dall'anno",IF(C1021="","Manca la categoria",IF(ISNA(MATCH(C1021,Categorie!$A$6:$A$65,0)),"Categoria non trovata",IF(G1021="","Categoria senza tipo",""))))))))</f>
        <v/>
      </c>
    </row>
    <row r="1022">
      <c r="A1022" s="29" t="n"/>
      <c r="B1022" s="17" t="n"/>
      <c r="C1022" s="17" t="n"/>
      <c r="D1022" s="16" t="n"/>
      <c r="E1022" s="30" t="n"/>
      <c r="F1022" s="17" t="n"/>
      <c r="G1022" s="31">
        <f>IF(C1022="","",IFERROR(INDEX(Categorie!$B$6:$B$65,MATCH(C1022,Categorie!$A$6:$A$65,0))&amp;"",""))</f>
        <v/>
      </c>
      <c r="H1022" s="32">
        <f>IF(AND(A1022="",C1022="",D1022=""),"",IF(D1022="","Manca l'importo",IF(NOT(ISNUMBER(D1022)),"Importo non valido",IF(NOT(ISNUMBER(A1022)),"Data mancante o non valida",IF(YEAR(A1022)&lt;&gt;Impostazioni!$C$4,"Fuori dall'anno",IF(C1022="","Manca la categoria",IF(ISNA(MATCH(C1022,Categorie!$A$6:$A$65,0)),"Categoria non trovata",IF(G1022="","Categoria senza tipo",""))))))))</f>
        <v/>
      </c>
    </row>
    <row r="1023">
      <c r="A1023" s="29" t="n"/>
      <c r="B1023" s="17" t="n"/>
      <c r="C1023" s="17" t="n"/>
      <c r="D1023" s="16" t="n"/>
      <c r="E1023" s="30" t="n"/>
      <c r="F1023" s="17" t="n"/>
      <c r="G1023" s="31">
        <f>IF(C1023="","",IFERROR(INDEX(Categorie!$B$6:$B$65,MATCH(C1023,Categorie!$A$6:$A$65,0))&amp;"",""))</f>
        <v/>
      </c>
      <c r="H1023" s="32">
        <f>IF(AND(A1023="",C1023="",D1023=""),"",IF(D1023="","Manca l'importo",IF(NOT(ISNUMBER(D1023)),"Importo non valido",IF(NOT(ISNUMBER(A1023)),"Data mancante o non valida",IF(YEAR(A1023)&lt;&gt;Impostazioni!$C$4,"Fuori dall'anno",IF(C1023="","Manca la categoria",IF(ISNA(MATCH(C1023,Categorie!$A$6:$A$65,0)),"Categoria non trovata",IF(G1023="","Categoria senza tipo",""))))))))</f>
        <v/>
      </c>
    </row>
    <row r="1024">
      <c r="A1024" s="29" t="n"/>
      <c r="B1024" s="17" t="n"/>
      <c r="C1024" s="17" t="n"/>
      <c r="D1024" s="16" t="n"/>
      <c r="E1024" s="30" t="n"/>
      <c r="F1024" s="17" t="n"/>
      <c r="G1024" s="31">
        <f>IF(C1024="","",IFERROR(INDEX(Categorie!$B$6:$B$65,MATCH(C1024,Categorie!$A$6:$A$65,0))&amp;"",""))</f>
        <v/>
      </c>
      <c r="H1024" s="32">
        <f>IF(AND(A1024="",C1024="",D1024=""),"",IF(D1024="","Manca l'importo",IF(NOT(ISNUMBER(D1024)),"Importo non valido",IF(NOT(ISNUMBER(A1024)),"Data mancante o non valida",IF(YEAR(A1024)&lt;&gt;Impostazioni!$C$4,"Fuori dall'anno",IF(C1024="","Manca la categoria",IF(ISNA(MATCH(C1024,Categorie!$A$6:$A$65,0)),"Categoria non trovata",IF(G1024="","Categoria senza tipo",""))))))))</f>
        <v/>
      </c>
    </row>
    <row r="1025">
      <c r="A1025" s="29" t="n"/>
      <c r="B1025" s="17" t="n"/>
      <c r="C1025" s="17" t="n"/>
      <c r="D1025" s="16" t="n"/>
      <c r="E1025" s="30" t="n"/>
      <c r="F1025" s="17" t="n"/>
      <c r="G1025" s="31">
        <f>IF(C1025="","",IFERROR(INDEX(Categorie!$B$6:$B$65,MATCH(C1025,Categorie!$A$6:$A$65,0))&amp;"",""))</f>
        <v/>
      </c>
      <c r="H1025" s="32">
        <f>IF(AND(A1025="",C1025="",D1025=""),"",IF(D1025="","Manca l'importo",IF(NOT(ISNUMBER(D1025)),"Importo non valido",IF(NOT(ISNUMBER(A1025)),"Data mancante o non valida",IF(YEAR(A1025)&lt;&gt;Impostazioni!$C$4,"Fuori dall'anno",IF(C1025="","Manca la categoria",IF(ISNA(MATCH(C1025,Categorie!$A$6:$A$65,0)),"Categoria non trovata",IF(G1025="","Categoria senza tipo",""))))))))</f>
        <v/>
      </c>
    </row>
    <row r="1026">
      <c r="A1026" s="29" t="n"/>
      <c r="B1026" s="17" t="n"/>
      <c r="C1026" s="17" t="n"/>
      <c r="D1026" s="16" t="n"/>
      <c r="E1026" s="30" t="n"/>
      <c r="F1026" s="17" t="n"/>
      <c r="G1026" s="31">
        <f>IF(C1026="","",IFERROR(INDEX(Categorie!$B$6:$B$65,MATCH(C1026,Categorie!$A$6:$A$65,0))&amp;"",""))</f>
        <v/>
      </c>
      <c r="H1026" s="32">
        <f>IF(AND(A1026="",C1026="",D1026=""),"",IF(D1026="","Manca l'importo",IF(NOT(ISNUMBER(D1026)),"Importo non valido",IF(NOT(ISNUMBER(A1026)),"Data mancante o non valida",IF(YEAR(A1026)&lt;&gt;Impostazioni!$C$4,"Fuori dall'anno",IF(C1026="","Manca la categoria",IF(ISNA(MATCH(C1026,Categorie!$A$6:$A$65,0)),"Categoria non trovata",IF(G1026="","Categoria senza tipo",""))))))))</f>
        <v/>
      </c>
    </row>
    <row r="1027">
      <c r="A1027" s="29" t="n"/>
      <c r="B1027" s="17" t="n"/>
      <c r="C1027" s="17" t="n"/>
      <c r="D1027" s="16" t="n"/>
      <c r="E1027" s="30" t="n"/>
      <c r="F1027" s="17" t="n"/>
      <c r="G1027" s="31">
        <f>IF(C1027="","",IFERROR(INDEX(Categorie!$B$6:$B$65,MATCH(C1027,Categorie!$A$6:$A$65,0))&amp;"",""))</f>
        <v/>
      </c>
      <c r="H1027" s="32">
        <f>IF(AND(A1027="",C1027="",D1027=""),"",IF(D1027="","Manca l'importo",IF(NOT(ISNUMBER(D1027)),"Importo non valido",IF(NOT(ISNUMBER(A1027)),"Data mancante o non valida",IF(YEAR(A1027)&lt;&gt;Impostazioni!$C$4,"Fuori dall'anno",IF(C1027="","Manca la categoria",IF(ISNA(MATCH(C1027,Categorie!$A$6:$A$65,0)),"Categoria non trovata",IF(G1027="","Categoria senza tipo",""))))))))</f>
        <v/>
      </c>
    </row>
    <row r="1028">
      <c r="A1028" s="29" t="n"/>
      <c r="B1028" s="17" t="n"/>
      <c r="C1028" s="17" t="n"/>
      <c r="D1028" s="16" t="n"/>
      <c r="E1028" s="30" t="n"/>
      <c r="F1028" s="17" t="n"/>
      <c r="G1028" s="31">
        <f>IF(C1028="","",IFERROR(INDEX(Categorie!$B$6:$B$65,MATCH(C1028,Categorie!$A$6:$A$65,0))&amp;"",""))</f>
        <v/>
      </c>
      <c r="H1028" s="32">
        <f>IF(AND(A1028="",C1028="",D1028=""),"",IF(D1028="","Manca l'importo",IF(NOT(ISNUMBER(D1028)),"Importo non valido",IF(NOT(ISNUMBER(A1028)),"Data mancante o non valida",IF(YEAR(A1028)&lt;&gt;Impostazioni!$C$4,"Fuori dall'anno",IF(C1028="","Manca la categoria",IF(ISNA(MATCH(C1028,Categorie!$A$6:$A$65,0)),"Categoria non trovata",IF(G1028="","Categoria senza tipo",""))))))))</f>
        <v/>
      </c>
    </row>
    <row r="1029">
      <c r="A1029" s="29" t="n"/>
      <c r="B1029" s="17" t="n"/>
      <c r="C1029" s="17" t="n"/>
      <c r="D1029" s="16" t="n"/>
      <c r="E1029" s="30" t="n"/>
      <c r="F1029" s="17" t="n"/>
      <c r="G1029" s="31">
        <f>IF(C1029="","",IFERROR(INDEX(Categorie!$B$6:$B$65,MATCH(C1029,Categorie!$A$6:$A$65,0))&amp;"",""))</f>
        <v/>
      </c>
      <c r="H1029" s="32">
        <f>IF(AND(A1029="",C1029="",D1029=""),"",IF(D1029="","Manca l'importo",IF(NOT(ISNUMBER(D1029)),"Importo non valido",IF(NOT(ISNUMBER(A1029)),"Data mancante o non valida",IF(YEAR(A1029)&lt;&gt;Impostazioni!$C$4,"Fuori dall'anno",IF(C1029="","Manca la categoria",IF(ISNA(MATCH(C1029,Categorie!$A$6:$A$65,0)),"Categoria non trovata",IF(G1029="","Categoria senza tipo",""))))))))</f>
        <v/>
      </c>
    </row>
    <row r="1030">
      <c r="A1030" s="29" t="n"/>
      <c r="B1030" s="17" t="n"/>
      <c r="C1030" s="17" t="n"/>
      <c r="D1030" s="16" t="n"/>
      <c r="E1030" s="30" t="n"/>
      <c r="F1030" s="17" t="n"/>
      <c r="G1030" s="31">
        <f>IF(C1030="","",IFERROR(INDEX(Categorie!$B$6:$B$65,MATCH(C1030,Categorie!$A$6:$A$65,0))&amp;"",""))</f>
        <v/>
      </c>
      <c r="H1030" s="32">
        <f>IF(AND(A1030="",C1030="",D1030=""),"",IF(D1030="","Manca l'importo",IF(NOT(ISNUMBER(D1030)),"Importo non valido",IF(NOT(ISNUMBER(A1030)),"Data mancante o non valida",IF(YEAR(A1030)&lt;&gt;Impostazioni!$C$4,"Fuori dall'anno",IF(C1030="","Manca la categoria",IF(ISNA(MATCH(C1030,Categorie!$A$6:$A$65,0)),"Categoria non trovata",IF(G1030="","Categoria senza tipo",""))))))))</f>
        <v/>
      </c>
    </row>
    <row r="1031">
      <c r="A1031" s="29" t="n"/>
      <c r="B1031" s="17" t="n"/>
      <c r="C1031" s="17" t="n"/>
      <c r="D1031" s="16" t="n"/>
      <c r="E1031" s="30" t="n"/>
      <c r="F1031" s="17" t="n"/>
      <c r="G1031" s="31">
        <f>IF(C1031="","",IFERROR(INDEX(Categorie!$B$6:$B$65,MATCH(C1031,Categorie!$A$6:$A$65,0))&amp;"",""))</f>
        <v/>
      </c>
      <c r="H1031" s="32">
        <f>IF(AND(A1031="",C1031="",D1031=""),"",IF(D1031="","Manca l'importo",IF(NOT(ISNUMBER(D1031)),"Importo non valido",IF(NOT(ISNUMBER(A1031)),"Data mancante o non valida",IF(YEAR(A1031)&lt;&gt;Impostazioni!$C$4,"Fuori dall'anno",IF(C1031="","Manca la categoria",IF(ISNA(MATCH(C1031,Categorie!$A$6:$A$65,0)),"Categoria non trovata",IF(G1031="","Categoria senza tipo",""))))))))</f>
        <v/>
      </c>
    </row>
    <row r="1032">
      <c r="A1032" s="29" t="n"/>
      <c r="B1032" s="17" t="n"/>
      <c r="C1032" s="17" t="n"/>
      <c r="D1032" s="16" t="n"/>
      <c r="E1032" s="30" t="n"/>
      <c r="F1032" s="17" t="n"/>
      <c r="G1032" s="31">
        <f>IF(C1032="","",IFERROR(INDEX(Categorie!$B$6:$B$65,MATCH(C1032,Categorie!$A$6:$A$65,0))&amp;"",""))</f>
        <v/>
      </c>
      <c r="H1032" s="32">
        <f>IF(AND(A1032="",C1032="",D1032=""),"",IF(D1032="","Manca l'importo",IF(NOT(ISNUMBER(D1032)),"Importo non valido",IF(NOT(ISNUMBER(A1032)),"Data mancante o non valida",IF(YEAR(A1032)&lt;&gt;Impostazioni!$C$4,"Fuori dall'anno",IF(C1032="","Manca la categoria",IF(ISNA(MATCH(C1032,Categorie!$A$6:$A$65,0)),"Categoria non trovata",IF(G1032="","Categoria senza tipo",""))))))))</f>
        <v/>
      </c>
    </row>
    <row r="1033">
      <c r="A1033" s="29" t="n"/>
      <c r="B1033" s="17" t="n"/>
      <c r="C1033" s="17" t="n"/>
      <c r="D1033" s="16" t="n"/>
      <c r="E1033" s="30" t="n"/>
      <c r="F1033" s="17" t="n"/>
      <c r="G1033" s="31">
        <f>IF(C1033="","",IFERROR(INDEX(Categorie!$B$6:$B$65,MATCH(C1033,Categorie!$A$6:$A$65,0))&amp;"",""))</f>
        <v/>
      </c>
      <c r="H1033" s="32">
        <f>IF(AND(A1033="",C1033="",D1033=""),"",IF(D1033="","Manca l'importo",IF(NOT(ISNUMBER(D1033)),"Importo non valido",IF(NOT(ISNUMBER(A1033)),"Data mancante o non valida",IF(YEAR(A1033)&lt;&gt;Impostazioni!$C$4,"Fuori dall'anno",IF(C1033="","Manca la categoria",IF(ISNA(MATCH(C1033,Categorie!$A$6:$A$65,0)),"Categoria non trovata",IF(G1033="","Categoria senza tipo",""))))))))</f>
        <v/>
      </c>
    </row>
    <row r="1034">
      <c r="A1034" s="29" t="n"/>
      <c r="B1034" s="17" t="n"/>
      <c r="C1034" s="17" t="n"/>
      <c r="D1034" s="16" t="n"/>
      <c r="E1034" s="30" t="n"/>
      <c r="F1034" s="17" t="n"/>
      <c r="G1034" s="31">
        <f>IF(C1034="","",IFERROR(INDEX(Categorie!$B$6:$B$65,MATCH(C1034,Categorie!$A$6:$A$65,0))&amp;"",""))</f>
        <v/>
      </c>
      <c r="H1034" s="32">
        <f>IF(AND(A1034="",C1034="",D1034=""),"",IF(D1034="","Manca l'importo",IF(NOT(ISNUMBER(D1034)),"Importo non valido",IF(NOT(ISNUMBER(A1034)),"Data mancante o non valida",IF(YEAR(A1034)&lt;&gt;Impostazioni!$C$4,"Fuori dall'anno",IF(C1034="","Manca la categoria",IF(ISNA(MATCH(C1034,Categorie!$A$6:$A$65,0)),"Categoria non trovata",IF(G1034="","Categoria senza tipo",""))))))))</f>
        <v/>
      </c>
    </row>
    <row r="1035">
      <c r="A1035" s="29" t="n"/>
      <c r="B1035" s="17" t="n"/>
      <c r="C1035" s="17" t="n"/>
      <c r="D1035" s="16" t="n"/>
      <c r="E1035" s="30" t="n"/>
      <c r="F1035" s="17" t="n"/>
      <c r="G1035" s="31">
        <f>IF(C1035="","",IFERROR(INDEX(Categorie!$B$6:$B$65,MATCH(C1035,Categorie!$A$6:$A$65,0))&amp;"",""))</f>
        <v/>
      </c>
      <c r="H1035" s="32">
        <f>IF(AND(A1035="",C1035="",D1035=""),"",IF(D1035="","Manca l'importo",IF(NOT(ISNUMBER(D1035)),"Importo non valido",IF(NOT(ISNUMBER(A1035)),"Data mancante o non valida",IF(YEAR(A1035)&lt;&gt;Impostazioni!$C$4,"Fuori dall'anno",IF(C1035="","Manca la categoria",IF(ISNA(MATCH(C1035,Categorie!$A$6:$A$65,0)),"Categoria non trovata",IF(G1035="","Categoria senza tipo",""))))))))</f>
        <v/>
      </c>
    </row>
    <row r="1036">
      <c r="A1036" s="29" t="n"/>
      <c r="B1036" s="17" t="n"/>
      <c r="C1036" s="17" t="n"/>
      <c r="D1036" s="16" t="n"/>
      <c r="E1036" s="30" t="n"/>
      <c r="F1036" s="17" t="n"/>
      <c r="G1036" s="31">
        <f>IF(C1036="","",IFERROR(INDEX(Categorie!$B$6:$B$65,MATCH(C1036,Categorie!$A$6:$A$65,0))&amp;"",""))</f>
        <v/>
      </c>
      <c r="H1036" s="32">
        <f>IF(AND(A1036="",C1036="",D1036=""),"",IF(D1036="","Manca l'importo",IF(NOT(ISNUMBER(D1036)),"Importo non valido",IF(NOT(ISNUMBER(A1036)),"Data mancante o non valida",IF(YEAR(A1036)&lt;&gt;Impostazioni!$C$4,"Fuori dall'anno",IF(C1036="","Manca la categoria",IF(ISNA(MATCH(C1036,Categorie!$A$6:$A$65,0)),"Categoria non trovata",IF(G1036="","Categoria senza tipo",""))))))))</f>
        <v/>
      </c>
    </row>
    <row r="1037">
      <c r="A1037" s="29" t="n"/>
      <c r="B1037" s="17" t="n"/>
      <c r="C1037" s="17" t="n"/>
      <c r="D1037" s="16" t="n"/>
      <c r="E1037" s="30" t="n"/>
      <c r="F1037" s="17" t="n"/>
      <c r="G1037" s="31">
        <f>IF(C1037="","",IFERROR(INDEX(Categorie!$B$6:$B$65,MATCH(C1037,Categorie!$A$6:$A$65,0))&amp;"",""))</f>
        <v/>
      </c>
      <c r="H1037" s="32">
        <f>IF(AND(A1037="",C1037="",D1037=""),"",IF(D1037="","Manca l'importo",IF(NOT(ISNUMBER(D1037)),"Importo non valido",IF(NOT(ISNUMBER(A1037)),"Data mancante o non valida",IF(YEAR(A1037)&lt;&gt;Impostazioni!$C$4,"Fuori dall'anno",IF(C1037="","Manca la categoria",IF(ISNA(MATCH(C1037,Categorie!$A$6:$A$65,0)),"Categoria non trovata",IF(G1037="","Categoria senza tipo",""))))))))</f>
        <v/>
      </c>
    </row>
    <row r="1038">
      <c r="A1038" s="29" t="n"/>
      <c r="B1038" s="17" t="n"/>
      <c r="C1038" s="17" t="n"/>
      <c r="D1038" s="16" t="n"/>
      <c r="E1038" s="30" t="n"/>
      <c r="F1038" s="17" t="n"/>
      <c r="G1038" s="31">
        <f>IF(C1038="","",IFERROR(INDEX(Categorie!$B$6:$B$65,MATCH(C1038,Categorie!$A$6:$A$65,0))&amp;"",""))</f>
        <v/>
      </c>
      <c r="H1038" s="32">
        <f>IF(AND(A1038="",C1038="",D1038=""),"",IF(D1038="","Manca l'importo",IF(NOT(ISNUMBER(D1038)),"Importo non valido",IF(NOT(ISNUMBER(A1038)),"Data mancante o non valida",IF(YEAR(A1038)&lt;&gt;Impostazioni!$C$4,"Fuori dall'anno",IF(C1038="","Manca la categoria",IF(ISNA(MATCH(C1038,Categorie!$A$6:$A$65,0)),"Categoria non trovata",IF(G1038="","Categoria senza tipo",""))))))))</f>
        <v/>
      </c>
    </row>
    <row r="1039">
      <c r="A1039" s="29" t="n"/>
      <c r="B1039" s="17" t="n"/>
      <c r="C1039" s="17" t="n"/>
      <c r="D1039" s="16" t="n"/>
      <c r="E1039" s="30" t="n"/>
      <c r="F1039" s="17" t="n"/>
      <c r="G1039" s="31">
        <f>IF(C1039="","",IFERROR(INDEX(Categorie!$B$6:$B$65,MATCH(C1039,Categorie!$A$6:$A$65,0))&amp;"",""))</f>
        <v/>
      </c>
      <c r="H1039" s="32">
        <f>IF(AND(A1039="",C1039="",D1039=""),"",IF(D1039="","Manca l'importo",IF(NOT(ISNUMBER(D1039)),"Importo non valido",IF(NOT(ISNUMBER(A1039)),"Data mancante o non valida",IF(YEAR(A1039)&lt;&gt;Impostazioni!$C$4,"Fuori dall'anno",IF(C1039="","Manca la categoria",IF(ISNA(MATCH(C1039,Categorie!$A$6:$A$65,0)),"Categoria non trovata",IF(G1039="","Categoria senza tipo",""))))))))</f>
        <v/>
      </c>
    </row>
    <row r="1040">
      <c r="A1040" s="29" t="n"/>
      <c r="B1040" s="17" t="n"/>
      <c r="C1040" s="17" t="n"/>
      <c r="D1040" s="16" t="n"/>
      <c r="E1040" s="30" t="n"/>
      <c r="F1040" s="17" t="n"/>
      <c r="G1040" s="31">
        <f>IF(C1040="","",IFERROR(INDEX(Categorie!$B$6:$B$65,MATCH(C1040,Categorie!$A$6:$A$65,0))&amp;"",""))</f>
        <v/>
      </c>
      <c r="H1040" s="32">
        <f>IF(AND(A1040="",C1040="",D1040=""),"",IF(D1040="","Manca l'importo",IF(NOT(ISNUMBER(D1040)),"Importo non valido",IF(NOT(ISNUMBER(A1040)),"Data mancante o non valida",IF(YEAR(A1040)&lt;&gt;Impostazioni!$C$4,"Fuori dall'anno",IF(C1040="","Manca la categoria",IF(ISNA(MATCH(C1040,Categorie!$A$6:$A$65,0)),"Categoria non trovata",IF(G1040="","Categoria senza tipo",""))))))))</f>
        <v/>
      </c>
    </row>
    <row r="1041">
      <c r="A1041" s="29" t="n"/>
      <c r="B1041" s="17" t="n"/>
      <c r="C1041" s="17" t="n"/>
      <c r="D1041" s="16" t="n"/>
      <c r="E1041" s="30" t="n"/>
      <c r="F1041" s="17" t="n"/>
      <c r="G1041" s="31">
        <f>IF(C1041="","",IFERROR(INDEX(Categorie!$B$6:$B$65,MATCH(C1041,Categorie!$A$6:$A$65,0))&amp;"",""))</f>
        <v/>
      </c>
      <c r="H1041" s="32">
        <f>IF(AND(A1041="",C1041="",D1041=""),"",IF(D1041="","Manca l'importo",IF(NOT(ISNUMBER(D1041)),"Importo non valido",IF(NOT(ISNUMBER(A1041)),"Data mancante o non valida",IF(YEAR(A1041)&lt;&gt;Impostazioni!$C$4,"Fuori dall'anno",IF(C1041="","Manca la categoria",IF(ISNA(MATCH(C1041,Categorie!$A$6:$A$65,0)),"Categoria non trovata",IF(G1041="","Categoria senza tipo",""))))))))</f>
        <v/>
      </c>
    </row>
    <row r="1042">
      <c r="A1042" s="29" t="n"/>
      <c r="B1042" s="17" t="n"/>
      <c r="C1042" s="17" t="n"/>
      <c r="D1042" s="16" t="n"/>
      <c r="E1042" s="30" t="n"/>
      <c r="F1042" s="17" t="n"/>
      <c r="G1042" s="31">
        <f>IF(C1042="","",IFERROR(INDEX(Categorie!$B$6:$B$65,MATCH(C1042,Categorie!$A$6:$A$65,0))&amp;"",""))</f>
        <v/>
      </c>
      <c r="H1042" s="32">
        <f>IF(AND(A1042="",C1042="",D1042=""),"",IF(D1042="","Manca l'importo",IF(NOT(ISNUMBER(D1042)),"Importo non valido",IF(NOT(ISNUMBER(A1042)),"Data mancante o non valida",IF(YEAR(A1042)&lt;&gt;Impostazioni!$C$4,"Fuori dall'anno",IF(C1042="","Manca la categoria",IF(ISNA(MATCH(C1042,Categorie!$A$6:$A$65,0)),"Categoria non trovata",IF(G1042="","Categoria senza tipo",""))))))))</f>
        <v/>
      </c>
    </row>
    <row r="1043">
      <c r="A1043" s="29" t="n"/>
      <c r="B1043" s="17" t="n"/>
      <c r="C1043" s="17" t="n"/>
      <c r="D1043" s="16" t="n"/>
      <c r="E1043" s="30" t="n"/>
      <c r="F1043" s="17" t="n"/>
      <c r="G1043" s="31">
        <f>IF(C1043="","",IFERROR(INDEX(Categorie!$B$6:$B$65,MATCH(C1043,Categorie!$A$6:$A$65,0))&amp;"",""))</f>
        <v/>
      </c>
      <c r="H1043" s="32">
        <f>IF(AND(A1043="",C1043="",D1043=""),"",IF(D1043="","Manca l'importo",IF(NOT(ISNUMBER(D1043)),"Importo non valido",IF(NOT(ISNUMBER(A1043)),"Data mancante o non valida",IF(YEAR(A1043)&lt;&gt;Impostazioni!$C$4,"Fuori dall'anno",IF(C1043="","Manca la categoria",IF(ISNA(MATCH(C1043,Categorie!$A$6:$A$65,0)),"Categoria non trovata",IF(G1043="","Categoria senza tipo",""))))))))</f>
        <v/>
      </c>
    </row>
    <row r="1044">
      <c r="A1044" s="29" t="n"/>
      <c r="B1044" s="17" t="n"/>
      <c r="C1044" s="17" t="n"/>
      <c r="D1044" s="16" t="n"/>
      <c r="E1044" s="30" t="n"/>
      <c r="F1044" s="17" t="n"/>
      <c r="G1044" s="31">
        <f>IF(C1044="","",IFERROR(INDEX(Categorie!$B$6:$B$65,MATCH(C1044,Categorie!$A$6:$A$65,0))&amp;"",""))</f>
        <v/>
      </c>
      <c r="H1044" s="32">
        <f>IF(AND(A1044="",C1044="",D1044=""),"",IF(D1044="","Manca l'importo",IF(NOT(ISNUMBER(D1044)),"Importo non valido",IF(NOT(ISNUMBER(A1044)),"Data mancante o non valida",IF(YEAR(A1044)&lt;&gt;Impostazioni!$C$4,"Fuori dall'anno",IF(C1044="","Manca la categoria",IF(ISNA(MATCH(C1044,Categorie!$A$6:$A$65,0)),"Categoria non trovata",IF(G1044="","Categoria senza tipo",""))))))))</f>
        <v/>
      </c>
    </row>
    <row r="1045">
      <c r="A1045" s="29" t="n"/>
      <c r="B1045" s="17" t="n"/>
      <c r="C1045" s="17" t="n"/>
      <c r="D1045" s="16" t="n"/>
      <c r="E1045" s="30" t="n"/>
      <c r="F1045" s="17" t="n"/>
      <c r="G1045" s="31">
        <f>IF(C1045="","",IFERROR(INDEX(Categorie!$B$6:$B$65,MATCH(C1045,Categorie!$A$6:$A$65,0))&amp;"",""))</f>
        <v/>
      </c>
      <c r="H1045" s="32">
        <f>IF(AND(A1045="",C1045="",D1045=""),"",IF(D1045="","Manca l'importo",IF(NOT(ISNUMBER(D1045)),"Importo non valido",IF(NOT(ISNUMBER(A1045)),"Data mancante o non valida",IF(YEAR(A1045)&lt;&gt;Impostazioni!$C$4,"Fuori dall'anno",IF(C1045="","Manca la categoria",IF(ISNA(MATCH(C1045,Categorie!$A$6:$A$65,0)),"Categoria non trovata",IF(G1045="","Categoria senza tipo",""))))))))</f>
        <v/>
      </c>
    </row>
    <row r="1046">
      <c r="A1046" s="29" t="n"/>
      <c r="B1046" s="17" t="n"/>
      <c r="C1046" s="17" t="n"/>
      <c r="D1046" s="16" t="n"/>
      <c r="E1046" s="30" t="n"/>
      <c r="F1046" s="17" t="n"/>
      <c r="G1046" s="31">
        <f>IF(C1046="","",IFERROR(INDEX(Categorie!$B$6:$B$65,MATCH(C1046,Categorie!$A$6:$A$65,0))&amp;"",""))</f>
        <v/>
      </c>
      <c r="H1046" s="32">
        <f>IF(AND(A1046="",C1046="",D1046=""),"",IF(D1046="","Manca l'importo",IF(NOT(ISNUMBER(D1046)),"Importo non valido",IF(NOT(ISNUMBER(A1046)),"Data mancante o non valida",IF(YEAR(A1046)&lt;&gt;Impostazioni!$C$4,"Fuori dall'anno",IF(C1046="","Manca la categoria",IF(ISNA(MATCH(C1046,Categorie!$A$6:$A$65,0)),"Categoria non trovata",IF(G1046="","Categoria senza tipo",""))))))))</f>
        <v/>
      </c>
    </row>
    <row r="1047">
      <c r="A1047" s="29" t="n"/>
      <c r="B1047" s="17" t="n"/>
      <c r="C1047" s="17" t="n"/>
      <c r="D1047" s="16" t="n"/>
      <c r="E1047" s="30" t="n"/>
      <c r="F1047" s="17" t="n"/>
      <c r="G1047" s="31">
        <f>IF(C1047="","",IFERROR(INDEX(Categorie!$B$6:$B$65,MATCH(C1047,Categorie!$A$6:$A$65,0))&amp;"",""))</f>
        <v/>
      </c>
      <c r="H1047" s="32">
        <f>IF(AND(A1047="",C1047="",D1047=""),"",IF(D1047="","Manca l'importo",IF(NOT(ISNUMBER(D1047)),"Importo non valido",IF(NOT(ISNUMBER(A1047)),"Data mancante o non valida",IF(YEAR(A1047)&lt;&gt;Impostazioni!$C$4,"Fuori dall'anno",IF(C1047="","Manca la categoria",IF(ISNA(MATCH(C1047,Categorie!$A$6:$A$65,0)),"Categoria non trovata",IF(G1047="","Categoria senza tipo",""))))))))</f>
        <v/>
      </c>
    </row>
    <row r="1048">
      <c r="A1048" s="29" t="n"/>
      <c r="B1048" s="17" t="n"/>
      <c r="C1048" s="17" t="n"/>
      <c r="D1048" s="16" t="n"/>
      <c r="E1048" s="30" t="n"/>
      <c r="F1048" s="17" t="n"/>
      <c r="G1048" s="31">
        <f>IF(C1048="","",IFERROR(INDEX(Categorie!$B$6:$B$65,MATCH(C1048,Categorie!$A$6:$A$65,0))&amp;"",""))</f>
        <v/>
      </c>
      <c r="H1048" s="32">
        <f>IF(AND(A1048="",C1048="",D1048=""),"",IF(D1048="","Manca l'importo",IF(NOT(ISNUMBER(D1048)),"Importo non valido",IF(NOT(ISNUMBER(A1048)),"Data mancante o non valida",IF(YEAR(A1048)&lt;&gt;Impostazioni!$C$4,"Fuori dall'anno",IF(C1048="","Manca la categoria",IF(ISNA(MATCH(C1048,Categorie!$A$6:$A$65,0)),"Categoria non trovata",IF(G1048="","Categoria senza tipo",""))))))))</f>
        <v/>
      </c>
    </row>
    <row r="1049">
      <c r="A1049" s="29" t="n"/>
      <c r="B1049" s="17" t="n"/>
      <c r="C1049" s="17" t="n"/>
      <c r="D1049" s="16" t="n"/>
      <c r="E1049" s="30" t="n"/>
      <c r="F1049" s="17" t="n"/>
      <c r="G1049" s="31">
        <f>IF(C1049="","",IFERROR(INDEX(Categorie!$B$6:$B$65,MATCH(C1049,Categorie!$A$6:$A$65,0))&amp;"",""))</f>
        <v/>
      </c>
      <c r="H1049" s="32">
        <f>IF(AND(A1049="",C1049="",D1049=""),"",IF(D1049="","Manca l'importo",IF(NOT(ISNUMBER(D1049)),"Importo non valido",IF(NOT(ISNUMBER(A1049)),"Data mancante o non valida",IF(YEAR(A1049)&lt;&gt;Impostazioni!$C$4,"Fuori dall'anno",IF(C1049="","Manca la categoria",IF(ISNA(MATCH(C1049,Categorie!$A$6:$A$65,0)),"Categoria non trovata",IF(G1049="","Categoria senza tipo",""))))))))</f>
        <v/>
      </c>
    </row>
    <row r="1050">
      <c r="A1050" s="29" t="n"/>
      <c r="B1050" s="17" t="n"/>
      <c r="C1050" s="17" t="n"/>
      <c r="D1050" s="16" t="n"/>
      <c r="E1050" s="30" t="n"/>
      <c r="F1050" s="17" t="n"/>
      <c r="G1050" s="31">
        <f>IF(C1050="","",IFERROR(INDEX(Categorie!$B$6:$B$65,MATCH(C1050,Categorie!$A$6:$A$65,0))&amp;"",""))</f>
        <v/>
      </c>
      <c r="H1050" s="32">
        <f>IF(AND(A1050="",C1050="",D1050=""),"",IF(D1050="","Manca l'importo",IF(NOT(ISNUMBER(D1050)),"Importo non valido",IF(NOT(ISNUMBER(A1050)),"Data mancante o non valida",IF(YEAR(A1050)&lt;&gt;Impostazioni!$C$4,"Fuori dall'anno",IF(C1050="","Manca la categoria",IF(ISNA(MATCH(C1050,Categorie!$A$6:$A$65,0)),"Categoria non trovata",IF(G1050="","Categoria senza tipo",""))))))))</f>
        <v/>
      </c>
    </row>
    <row r="1051">
      <c r="A1051" s="29" t="n"/>
      <c r="B1051" s="17" t="n"/>
      <c r="C1051" s="17" t="n"/>
      <c r="D1051" s="16" t="n"/>
      <c r="E1051" s="30" t="n"/>
      <c r="F1051" s="17" t="n"/>
      <c r="G1051" s="31">
        <f>IF(C1051="","",IFERROR(INDEX(Categorie!$B$6:$B$65,MATCH(C1051,Categorie!$A$6:$A$65,0))&amp;"",""))</f>
        <v/>
      </c>
      <c r="H1051" s="32">
        <f>IF(AND(A1051="",C1051="",D1051=""),"",IF(D1051="","Manca l'importo",IF(NOT(ISNUMBER(D1051)),"Importo non valido",IF(NOT(ISNUMBER(A1051)),"Data mancante o non valida",IF(YEAR(A1051)&lt;&gt;Impostazioni!$C$4,"Fuori dall'anno",IF(C1051="","Manca la categoria",IF(ISNA(MATCH(C1051,Categorie!$A$6:$A$65,0)),"Categoria non trovata",IF(G1051="","Categoria senza tipo",""))))))))</f>
        <v/>
      </c>
    </row>
    <row r="1052">
      <c r="A1052" s="29" t="n"/>
      <c r="B1052" s="17" t="n"/>
      <c r="C1052" s="17" t="n"/>
      <c r="D1052" s="16" t="n"/>
      <c r="E1052" s="30" t="n"/>
      <c r="F1052" s="17" t="n"/>
      <c r="G1052" s="31">
        <f>IF(C1052="","",IFERROR(INDEX(Categorie!$B$6:$B$65,MATCH(C1052,Categorie!$A$6:$A$65,0))&amp;"",""))</f>
        <v/>
      </c>
      <c r="H1052" s="32">
        <f>IF(AND(A1052="",C1052="",D1052=""),"",IF(D1052="","Manca l'importo",IF(NOT(ISNUMBER(D1052)),"Importo non valido",IF(NOT(ISNUMBER(A1052)),"Data mancante o non valida",IF(YEAR(A1052)&lt;&gt;Impostazioni!$C$4,"Fuori dall'anno",IF(C1052="","Manca la categoria",IF(ISNA(MATCH(C1052,Categorie!$A$6:$A$65,0)),"Categoria non trovata",IF(G1052="","Categoria senza tipo",""))))))))</f>
        <v/>
      </c>
    </row>
    <row r="1053">
      <c r="A1053" s="29" t="n"/>
      <c r="B1053" s="17" t="n"/>
      <c r="C1053" s="17" t="n"/>
      <c r="D1053" s="16" t="n"/>
      <c r="E1053" s="30" t="n"/>
      <c r="F1053" s="17" t="n"/>
      <c r="G1053" s="31">
        <f>IF(C1053="","",IFERROR(INDEX(Categorie!$B$6:$B$65,MATCH(C1053,Categorie!$A$6:$A$65,0))&amp;"",""))</f>
        <v/>
      </c>
      <c r="H1053" s="32">
        <f>IF(AND(A1053="",C1053="",D1053=""),"",IF(D1053="","Manca l'importo",IF(NOT(ISNUMBER(D1053)),"Importo non valido",IF(NOT(ISNUMBER(A1053)),"Data mancante o non valida",IF(YEAR(A1053)&lt;&gt;Impostazioni!$C$4,"Fuori dall'anno",IF(C1053="","Manca la categoria",IF(ISNA(MATCH(C1053,Categorie!$A$6:$A$65,0)),"Categoria non trovata",IF(G1053="","Categoria senza tipo",""))))))))</f>
        <v/>
      </c>
    </row>
    <row r="1054">
      <c r="A1054" s="29" t="n"/>
      <c r="B1054" s="17" t="n"/>
      <c r="C1054" s="17" t="n"/>
      <c r="D1054" s="16" t="n"/>
      <c r="E1054" s="30" t="n"/>
      <c r="F1054" s="17" t="n"/>
      <c r="G1054" s="31">
        <f>IF(C1054="","",IFERROR(INDEX(Categorie!$B$6:$B$65,MATCH(C1054,Categorie!$A$6:$A$65,0))&amp;"",""))</f>
        <v/>
      </c>
      <c r="H1054" s="32">
        <f>IF(AND(A1054="",C1054="",D1054=""),"",IF(D1054="","Manca l'importo",IF(NOT(ISNUMBER(D1054)),"Importo non valido",IF(NOT(ISNUMBER(A1054)),"Data mancante o non valida",IF(YEAR(A1054)&lt;&gt;Impostazioni!$C$4,"Fuori dall'anno",IF(C1054="","Manca la categoria",IF(ISNA(MATCH(C1054,Categorie!$A$6:$A$65,0)),"Categoria non trovata",IF(G1054="","Categoria senza tipo",""))))))))</f>
        <v/>
      </c>
    </row>
    <row r="1055">
      <c r="A1055" s="29" t="n"/>
      <c r="B1055" s="17" t="n"/>
      <c r="C1055" s="17" t="n"/>
      <c r="D1055" s="16" t="n"/>
      <c r="E1055" s="30" t="n"/>
      <c r="F1055" s="17" t="n"/>
      <c r="G1055" s="31">
        <f>IF(C1055="","",IFERROR(INDEX(Categorie!$B$6:$B$65,MATCH(C1055,Categorie!$A$6:$A$65,0))&amp;"",""))</f>
        <v/>
      </c>
      <c r="H1055" s="32">
        <f>IF(AND(A1055="",C1055="",D1055=""),"",IF(D1055="","Manca l'importo",IF(NOT(ISNUMBER(D1055)),"Importo non valido",IF(NOT(ISNUMBER(A1055)),"Data mancante o non valida",IF(YEAR(A1055)&lt;&gt;Impostazioni!$C$4,"Fuori dall'anno",IF(C1055="","Manca la categoria",IF(ISNA(MATCH(C1055,Categorie!$A$6:$A$65,0)),"Categoria non trovata",IF(G1055="","Categoria senza tipo",""))))))))</f>
        <v/>
      </c>
    </row>
    <row r="1056">
      <c r="A1056" s="29" t="n"/>
      <c r="B1056" s="17" t="n"/>
      <c r="C1056" s="17" t="n"/>
      <c r="D1056" s="16" t="n"/>
      <c r="E1056" s="30" t="n"/>
      <c r="F1056" s="17" t="n"/>
      <c r="G1056" s="31">
        <f>IF(C1056="","",IFERROR(INDEX(Categorie!$B$6:$B$65,MATCH(C1056,Categorie!$A$6:$A$65,0))&amp;"",""))</f>
        <v/>
      </c>
      <c r="H1056" s="32">
        <f>IF(AND(A1056="",C1056="",D1056=""),"",IF(D1056="","Manca l'importo",IF(NOT(ISNUMBER(D1056)),"Importo non valido",IF(NOT(ISNUMBER(A1056)),"Data mancante o non valida",IF(YEAR(A1056)&lt;&gt;Impostazioni!$C$4,"Fuori dall'anno",IF(C1056="","Manca la categoria",IF(ISNA(MATCH(C1056,Categorie!$A$6:$A$65,0)),"Categoria non trovata",IF(G1056="","Categoria senza tipo",""))))))))</f>
        <v/>
      </c>
    </row>
    <row r="1057">
      <c r="A1057" s="29" t="n"/>
      <c r="B1057" s="17" t="n"/>
      <c r="C1057" s="17" t="n"/>
      <c r="D1057" s="16" t="n"/>
      <c r="E1057" s="30" t="n"/>
      <c r="F1057" s="17" t="n"/>
      <c r="G1057" s="31">
        <f>IF(C1057="","",IFERROR(INDEX(Categorie!$B$6:$B$65,MATCH(C1057,Categorie!$A$6:$A$65,0))&amp;"",""))</f>
        <v/>
      </c>
      <c r="H1057" s="32">
        <f>IF(AND(A1057="",C1057="",D1057=""),"",IF(D1057="","Manca l'importo",IF(NOT(ISNUMBER(D1057)),"Importo non valido",IF(NOT(ISNUMBER(A1057)),"Data mancante o non valida",IF(YEAR(A1057)&lt;&gt;Impostazioni!$C$4,"Fuori dall'anno",IF(C1057="","Manca la categoria",IF(ISNA(MATCH(C1057,Categorie!$A$6:$A$65,0)),"Categoria non trovata",IF(G1057="","Categoria senza tipo",""))))))))</f>
        <v/>
      </c>
    </row>
    <row r="1058">
      <c r="A1058" s="29" t="n"/>
      <c r="B1058" s="17" t="n"/>
      <c r="C1058" s="17" t="n"/>
      <c r="D1058" s="16" t="n"/>
      <c r="E1058" s="30" t="n"/>
      <c r="F1058" s="17" t="n"/>
      <c r="G1058" s="31">
        <f>IF(C1058="","",IFERROR(INDEX(Categorie!$B$6:$B$65,MATCH(C1058,Categorie!$A$6:$A$65,0))&amp;"",""))</f>
        <v/>
      </c>
      <c r="H1058" s="32">
        <f>IF(AND(A1058="",C1058="",D1058=""),"",IF(D1058="","Manca l'importo",IF(NOT(ISNUMBER(D1058)),"Importo non valido",IF(NOT(ISNUMBER(A1058)),"Data mancante o non valida",IF(YEAR(A1058)&lt;&gt;Impostazioni!$C$4,"Fuori dall'anno",IF(C1058="","Manca la categoria",IF(ISNA(MATCH(C1058,Categorie!$A$6:$A$65,0)),"Categoria non trovata",IF(G1058="","Categoria senza tipo",""))))))))</f>
        <v/>
      </c>
    </row>
    <row r="1059">
      <c r="A1059" s="29" t="n"/>
      <c r="B1059" s="17" t="n"/>
      <c r="C1059" s="17" t="n"/>
      <c r="D1059" s="16" t="n"/>
      <c r="E1059" s="30" t="n"/>
      <c r="F1059" s="17" t="n"/>
      <c r="G1059" s="31">
        <f>IF(C1059="","",IFERROR(INDEX(Categorie!$B$6:$B$65,MATCH(C1059,Categorie!$A$6:$A$65,0))&amp;"",""))</f>
        <v/>
      </c>
      <c r="H1059" s="32">
        <f>IF(AND(A1059="",C1059="",D1059=""),"",IF(D1059="","Manca l'importo",IF(NOT(ISNUMBER(D1059)),"Importo non valido",IF(NOT(ISNUMBER(A1059)),"Data mancante o non valida",IF(YEAR(A1059)&lt;&gt;Impostazioni!$C$4,"Fuori dall'anno",IF(C1059="","Manca la categoria",IF(ISNA(MATCH(C1059,Categorie!$A$6:$A$65,0)),"Categoria non trovata",IF(G1059="","Categoria senza tipo",""))))))))</f>
        <v/>
      </c>
    </row>
    <row r="1060">
      <c r="A1060" s="29" t="n"/>
      <c r="B1060" s="17" t="n"/>
      <c r="C1060" s="17" t="n"/>
      <c r="D1060" s="16" t="n"/>
      <c r="E1060" s="30" t="n"/>
      <c r="F1060" s="17" t="n"/>
      <c r="G1060" s="31">
        <f>IF(C1060="","",IFERROR(INDEX(Categorie!$B$6:$B$65,MATCH(C1060,Categorie!$A$6:$A$65,0))&amp;"",""))</f>
        <v/>
      </c>
      <c r="H1060" s="32">
        <f>IF(AND(A1060="",C1060="",D1060=""),"",IF(D1060="","Manca l'importo",IF(NOT(ISNUMBER(D1060)),"Importo non valido",IF(NOT(ISNUMBER(A1060)),"Data mancante o non valida",IF(YEAR(A1060)&lt;&gt;Impostazioni!$C$4,"Fuori dall'anno",IF(C1060="","Manca la categoria",IF(ISNA(MATCH(C1060,Categorie!$A$6:$A$65,0)),"Categoria non trovata",IF(G1060="","Categoria senza tipo",""))))))))</f>
        <v/>
      </c>
    </row>
    <row r="1061">
      <c r="A1061" s="29" t="n"/>
      <c r="B1061" s="17" t="n"/>
      <c r="C1061" s="17" t="n"/>
      <c r="D1061" s="16" t="n"/>
      <c r="E1061" s="30" t="n"/>
      <c r="F1061" s="17" t="n"/>
      <c r="G1061" s="31">
        <f>IF(C1061="","",IFERROR(INDEX(Categorie!$B$6:$B$65,MATCH(C1061,Categorie!$A$6:$A$65,0))&amp;"",""))</f>
        <v/>
      </c>
      <c r="H1061" s="32">
        <f>IF(AND(A1061="",C1061="",D1061=""),"",IF(D1061="","Manca l'importo",IF(NOT(ISNUMBER(D1061)),"Importo non valido",IF(NOT(ISNUMBER(A1061)),"Data mancante o non valida",IF(YEAR(A1061)&lt;&gt;Impostazioni!$C$4,"Fuori dall'anno",IF(C1061="","Manca la categoria",IF(ISNA(MATCH(C1061,Categorie!$A$6:$A$65,0)),"Categoria non trovata",IF(G1061="","Categoria senza tipo",""))))))))</f>
        <v/>
      </c>
    </row>
    <row r="1062">
      <c r="A1062" s="29" t="n"/>
      <c r="B1062" s="17" t="n"/>
      <c r="C1062" s="17" t="n"/>
      <c r="D1062" s="16" t="n"/>
      <c r="E1062" s="30" t="n"/>
      <c r="F1062" s="17" t="n"/>
      <c r="G1062" s="31">
        <f>IF(C1062="","",IFERROR(INDEX(Categorie!$B$6:$B$65,MATCH(C1062,Categorie!$A$6:$A$65,0))&amp;"",""))</f>
        <v/>
      </c>
      <c r="H1062" s="32">
        <f>IF(AND(A1062="",C1062="",D1062=""),"",IF(D1062="","Manca l'importo",IF(NOT(ISNUMBER(D1062)),"Importo non valido",IF(NOT(ISNUMBER(A1062)),"Data mancante o non valida",IF(YEAR(A1062)&lt;&gt;Impostazioni!$C$4,"Fuori dall'anno",IF(C1062="","Manca la categoria",IF(ISNA(MATCH(C1062,Categorie!$A$6:$A$65,0)),"Categoria non trovata",IF(G1062="","Categoria senza tipo",""))))))))</f>
        <v/>
      </c>
    </row>
    <row r="1063">
      <c r="A1063" s="29" t="n"/>
      <c r="B1063" s="17" t="n"/>
      <c r="C1063" s="17" t="n"/>
      <c r="D1063" s="16" t="n"/>
      <c r="E1063" s="30" t="n"/>
      <c r="F1063" s="17" t="n"/>
      <c r="G1063" s="31">
        <f>IF(C1063="","",IFERROR(INDEX(Categorie!$B$6:$B$65,MATCH(C1063,Categorie!$A$6:$A$65,0))&amp;"",""))</f>
        <v/>
      </c>
      <c r="H1063" s="32">
        <f>IF(AND(A1063="",C1063="",D1063=""),"",IF(D1063="","Manca l'importo",IF(NOT(ISNUMBER(D1063)),"Importo non valido",IF(NOT(ISNUMBER(A1063)),"Data mancante o non valida",IF(YEAR(A1063)&lt;&gt;Impostazioni!$C$4,"Fuori dall'anno",IF(C1063="","Manca la categoria",IF(ISNA(MATCH(C1063,Categorie!$A$6:$A$65,0)),"Categoria non trovata",IF(G1063="","Categoria senza tipo",""))))))))</f>
        <v/>
      </c>
    </row>
    <row r="1064">
      <c r="A1064" s="29" t="n"/>
      <c r="B1064" s="17" t="n"/>
      <c r="C1064" s="17" t="n"/>
      <c r="D1064" s="16" t="n"/>
      <c r="E1064" s="30" t="n"/>
      <c r="F1064" s="17" t="n"/>
      <c r="G1064" s="31">
        <f>IF(C1064="","",IFERROR(INDEX(Categorie!$B$6:$B$65,MATCH(C1064,Categorie!$A$6:$A$65,0))&amp;"",""))</f>
        <v/>
      </c>
      <c r="H1064" s="32">
        <f>IF(AND(A1064="",C1064="",D1064=""),"",IF(D1064="","Manca l'importo",IF(NOT(ISNUMBER(D1064)),"Importo non valido",IF(NOT(ISNUMBER(A1064)),"Data mancante o non valida",IF(YEAR(A1064)&lt;&gt;Impostazioni!$C$4,"Fuori dall'anno",IF(C1064="","Manca la categoria",IF(ISNA(MATCH(C1064,Categorie!$A$6:$A$65,0)),"Categoria non trovata",IF(G1064="","Categoria senza tipo",""))))))))</f>
        <v/>
      </c>
    </row>
    <row r="1065">
      <c r="A1065" s="29" t="n"/>
      <c r="B1065" s="17" t="n"/>
      <c r="C1065" s="17" t="n"/>
      <c r="D1065" s="16" t="n"/>
      <c r="E1065" s="30" t="n"/>
      <c r="F1065" s="17" t="n"/>
      <c r="G1065" s="31">
        <f>IF(C1065="","",IFERROR(INDEX(Categorie!$B$6:$B$65,MATCH(C1065,Categorie!$A$6:$A$65,0))&amp;"",""))</f>
        <v/>
      </c>
      <c r="H1065" s="32">
        <f>IF(AND(A1065="",C1065="",D1065=""),"",IF(D1065="","Manca l'importo",IF(NOT(ISNUMBER(D1065)),"Importo non valido",IF(NOT(ISNUMBER(A1065)),"Data mancante o non valida",IF(YEAR(A1065)&lt;&gt;Impostazioni!$C$4,"Fuori dall'anno",IF(C1065="","Manca la categoria",IF(ISNA(MATCH(C1065,Categorie!$A$6:$A$65,0)),"Categoria non trovata",IF(G1065="","Categoria senza tipo",""))))))))</f>
        <v/>
      </c>
    </row>
    <row r="1066">
      <c r="A1066" s="29" t="n"/>
      <c r="B1066" s="17" t="n"/>
      <c r="C1066" s="17" t="n"/>
      <c r="D1066" s="16" t="n"/>
      <c r="E1066" s="30" t="n"/>
      <c r="F1066" s="17" t="n"/>
      <c r="G1066" s="31">
        <f>IF(C1066="","",IFERROR(INDEX(Categorie!$B$6:$B$65,MATCH(C1066,Categorie!$A$6:$A$65,0))&amp;"",""))</f>
        <v/>
      </c>
      <c r="H1066" s="32">
        <f>IF(AND(A1066="",C1066="",D1066=""),"",IF(D1066="","Manca l'importo",IF(NOT(ISNUMBER(D1066)),"Importo non valido",IF(NOT(ISNUMBER(A1066)),"Data mancante o non valida",IF(YEAR(A1066)&lt;&gt;Impostazioni!$C$4,"Fuori dall'anno",IF(C1066="","Manca la categoria",IF(ISNA(MATCH(C1066,Categorie!$A$6:$A$65,0)),"Categoria non trovata",IF(G1066="","Categoria senza tipo",""))))))))</f>
        <v/>
      </c>
    </row>
    <row r="1067">
      <c r="A1067" s="29" t="n"/>
      <c r="B1067" s="17" t="n"/>
      <c r="C1067" s="17" t="n"/>
      <c r="D1067" s="16" t="n"/>
      <c r="E1067" s="30" t="n"/>
      <c r="F1067" s="17" t="n"/>
      <c r="G1067" s="31">
        <f>IF(C1067="","",IFERROR(INDEX(Categorie!$B$6:$B$65,MATCH(C1067,Categorie!$A$6:$A$65,0))&amp;"",""))</f>
        <v/>
      </c>
      <c r="H1067" s="32">
        <f>IF(AND(A1067="",C1067="",D1067=""),"",IF(D1067="","Manca l'importo",IF(NOT(ISNUMBER(D1067)),"Importo non valido",IF(NOT(ISNUMBER(A1067)),"Data mancante o non valida",IF(YEAR(A1067)&lt;&gt;Impostazioni!$C$4,"Fuori dall'anno",IF(C1067="","Manca la categoria",IF(ISNA(MATCH(C1067,Categorie!$A$6:$A$65,0)),"Categoria non trovata",IF(G1067="","Categoria senza tipo",""))))))))</f>
        <v/>
      </c>
    </row>
    <row r="1068">
      <c r="A1068" s="29" t="n"/>
      <c r="B1068" s="17" t="n"/>
      <c r="C1068" s="17" t="n"/>
      <c r="D1068" s="16" t="n"/>
      <c r="E1068" s="30" t="n"/>
      <c r="F1068" s="17" t="n"/>
      <c r="G1068" s="31">
        <f>IF(C1068="","",IFERROR(INDEX(Categorie!$B$6:$B$65,MATCH(C1068,Categorie!$A$6:$A$65,0))&amp;"",""))</f>
        <v/>
      </c>
      <c r="H1068" s="32">
        <f>IF(AND(A1068="",C1068="",D1068=""),"",IF(D1068="","Manca l'importo",IF(NOT(ISNUMBER(D1068)),"Importo non valido",IF(NOT(ISNUMBER(A1068)),"Data mancante o non valida",IF(YEAR(A1068)&lt;&gt;Impostazioni!$C$4,"Fuori dall'anno",IF(C1068="","Manca la categoria",IF(ISNA(MATCH(C1068,Categorie!$A$6:$A$65,0)),"Categoria non trovata",IF(G1068="","Categoria senza tipo",""))))))))</f>
        <v/>
      </c>
    </row>
    <row r="1069">
      <c r="A1069" s="29" t="n"/>
      <c r="B1069" s="17" t="n"/>
      <c r="C1069" s="17" t="n"/>
      <c r="D1069" s="16" t="n"/>
      <c r="E1069" s="30" t="n"/>
      <c r="F1069" s="17" t="n"/>
      <c r="G1069" s="31">
        <f>IF(C1069="","",IFERROR(INDEX(Categorie!$B$6:$B$65,MATCH(C1069,Categorie!$A$6:$A$65,0))&amp;"",""))</f>
        <v/>
      </c>
      <c r="H1069" s="32">
        <f>IF(AND(A1069="",C1069="",D1069=""),"",IF(D1069="","Manca l'importo",IF(NOT(ISNUMBER(D1069)),"Importo non valido",IF(NOT(ISNUMBER(A1069)),"Data mancante o non valida",IF(YEAR(A1069)&lt;&gt;Impostazioni!$C$4,"Fuori dall'anno",IF(C1069="","Manca la categoria",IF(ISNA(MATCH(C1069,Categorie!$A$6:$A$65,0)),"Categoria non trovata",IF(G1069="","Categoria senza tipo",""))))))))</f>
        <v/>
      </c>
    </row>
    <row r="1070">
      <c r="A1070" s="29" t="n"/>
      <c r="B1070" s="17" t="n"/>
      <c r="C1070" s="17" t="n"/>
      <c r="D1070" s="16" t="n"/>
      <c r="E1070" s="30" t="n"/>
      <c r="F1070" s="17" t="n"/>
      <c r="G1070" s="31">
        <f>IF(C1070="","",IFERROR(INDEX(Categorie!$B$6:$B$65,MATCH(C1070,Categorie!$A$6:$A$65,0))&amp;"",""))</f>
        <v/>
      </c>
      <c r="H1070" s="32">
        <f>IF(AND(A1070="",C1070="",D1070=""),"",IF(D1070="","Manca l'importo",IF(NOT(ISNUMBER(D1070)),"Importo non valido",IF(NOT(ISNUMBER(A1070)),"Data mancante o non valida",IF(YEAR(A1070)&lt;&gt;Impostazioni!$C$4,"Fuori dall'anno",IF(C1070="","Manca la categoria",IF(ISNA(MATCH(C1070,Categorie!$A$6:$A$65,0)),"Categoria non trovata",IF(G1070="","Categoria senza tipo",""))))))))</f>
        <v/>
      </c>
    </row>
    <row r="1071">
      <c r="A1071" s="29" t="n"/>
      <c r="B1071" s="17" t="n"/>
      <c r="C1071" s="17" t="n"/>
      <c r="D1071" s="16" t="n"/>
      <c r="E1071" s="30" t="n"/>
      <c r="F1071" s="17" t="n"/>
      <c r="G1071" s="31">
        <f>IF(C1071="","",IFERROR(INDEX(Categorie!$B$6:$B$65,MATCH(C1071,Categorie!$A$6:$A$65,0))&amp;"",""))</f>
        <v/>
      </c>
      <c r="H1071" s="32">
        <f>IF(AND(A1071="",C1071="",D1071=""),"",IF(D1071="","Manca l'importo",IF(NOT(ISNUMBER(D1071)),"Importo non valido",IF(NOT(ISNUMBER(A1071)),"Data mancante o non valida",IF(YEAR(A1071)&lt;&gt;Impostazioni!$C$4,"Fuori dall'anno",IF(C1071="","Manca la categoria",IF(ISNA(MATCH(C1071,Categorie!$A$6:$A$65,0)),"Categoria non trovata",IF(G1071="","Categoria senza tipo",""))))))))</f>
        <v/>
      </c>
    </row>
    <row r="1072">
      <c r="A1072" s="29" t="n"/>
      <c r="B1072" s="17" t="n"/>
      <c r="C1072" s="17" t="n"/>
      <c r="D1072" s="16" t="n"/>
      <c r="E1072" s="30" t="n"/>
      <c r="F1072" s="17" t="n"/>
      <c r="G1072" s="31">
        <f>IF(C1072="","",IFERROR(INDEX(Categorie!$B$6:$B$65,MATCH(C1072,Categorie!$A$6:$A$65,0))&amp;"",""))</f>
        <v/>
      </c>
      <c r="H1072" s="32">
        <f>IF(AND(A1072="",C1072="",D1072=""),"",IF(D1072="","Manca l'importo",IF(NOT(ISNUMBER(D1072)),"Importo non valido",IF(NOT(ISNUMBER(A1072)),"Data mancante o non valida",IF(YEAR(A1072)&lt;&gt;Impostazioni!$C$4,"Fuori dall'anno",IF(C1072="","Manca la categoria",IF(ISNA(MATCH(C1072,Categorie!$A$6:$A$65,0)),"Categoria non trovata",IF(G1072="","Categoria senza tipo",""))))))))</f>
        <v/>
      </c>
    </row>
    <row r="1073">
      <c r="A1073" s="29" t="n"/>
      <c r="B1073" s="17" t="n"/>
      <c r="C1073" s="17" t="n"/>
      <c r="D1073" s="16" t="n"/>
      <c r="E1073" s="30" t="n"/>
      <c r="F1073" s="17" t="n"/>
      <c r="G1073" s="31">
        <f>IF(C1073="","",IFERROR(INDEX(Categorie!$B$6:$B$65,MATCH(C1073,Categorie!$A$6:$A$65,0))&amp;"",""))</f>
        <v/>
      </c>
      <c r="H1073" s="32">
        <f>IF(AND(A1073="",C1073="",D1073=""),"",IF(D1073="","Manca l'importo",IF(NOT(ISNUMBER(D1073)),"Importo non valido",IF(NOT(ISNUMBER(A1073)),"Data mancante o non valida",IF(YEAR(A1073)&lt;&gt;Impostazioni!$C$4,"Fuori dall'anno",IF(C1073="","Manca la categoria",IF(ISNA(MATCH(C1073,Categorie!$A$6:$A$65,0)),"Categoria non trovata",IF(G1073="","Categoria senza tipo",""))))))))</f>
        <v/>
      </c>
    </row>
    <row r="1074">
      <c r="A1074" s="29" t="n"/>
      <c r="B1074" s="17" t="n"/>
      <c r="C1074" s="17" t="n"/>
      <c r="D1074" s="16" t="n"/>
      <c r="E1074" s="30" t="n"/>
      <c r="F1074" s="17" t="n"/>
      <c r="G1074" s="31">
        <f>IF(C1074="","",IFERROR(INDEX(Categorie!$B$6:$B$65,MATCH(C1074,Categorie!$A$6:$A$65,0))&amp;"",""))</f>
        <v/>
      </c>
      <c r="H1074" s="32">
        <f>IF(AND(A1074="",C1074="",D1074=""),"",IF(D1074="","Manca l'importo",IF(NOT(ISNUMBER(D1074)),"Importo non valido",IF(NOT(ISNUMBER(A1074)),"Data mancante o non valida",IF(YEAR(A1074)&lt;&gt;Impostazioni!$C$4,"Fuori dall'anno",IF(C1074="","Manca la categoria",IF(ISNA(MATCH(C1074,Categorie!$A$6:$A$65,0)),"Categoria non trovata",IF(G1074="","Categoria senza tipo",""))))))))</f>
        <v/>
      </c>
    </row>
    <row r="1075">
      <c r="A1075" s="29" t="n"/>
      <c r="B1075" s="17" t="n"/>
      <c r="C1075" s="17" t="n"/>
      <c r="D1075" s="16" t="n"/>
      <c r="E1075" s="30" t="n"/>
      <c r="F1075" s="17" t="n"/>
      <c r="G1075" s="31">
        <f>IF(C1075="","",IFERROR(INDEX(Categorie!$B$6:$B$65,MATCH(C1075,Categorie!$A$6:$A$65,0))&amp;"",""))</f>
        <v/>
      </c>
      <c r="H1075" s="32">
        <f>IF(AND(A1075="",C1075="",D1075=""),"",IF(D1075="","Manca l'importo",IF(NOT(ISNUMBER(D1075)),"Importo non valido",IF(NOT(ISNUMBER(A1075)),"Data mancante o non valida",IF(YEAR(A1075)&lt;&gt;Impostazioni!$C$4,"Fuori dall'anno",IF(C1075="","Manca la categoria",IF(ISNA(MATCH(C1075,Categorie!$A$6:$A$65,0)),"Categoria non trovata",IF(G1075="","Categoria senza tipo",""))))))))</f>
        <v/>
      </c>
    </row>
    <row r="1076">
      <c r="A1076" s="29" t="n"/>
      <c r="B1076" s="17" t="n"/>
      <c r="C1076" s="17" t="n"/>
      <c r="D1076" s="16" t="n"/>
      <c r="E1076" s="30" t="n"/>
      <c r="F1076" s="17" t="n"/>
      <c r="G1076" s="31">
        <f>IF(C1076="","",IFERROR(INDEX(Categorie!$B$6:$B$65,MATCH(C1076,Categorie!$A$6:$A$65,0))&amp;"",""))</f>
        <v/>
      </c>
      <c r="H1076" s="32">
        <f>IF(AND(A1076="",C1076="",D1076=""),"",IF(D1076="","Manca l'importo",IF(NOT(ISNUMBER(D1076)),"Importo non valido",IF(NOT(ISNUMBER(A1076)),"Data mancante o non valida",IF(YEAR(A1076)&lt;&gt;Impostazioni!$C$4,"Fuori dall'anno",IF(C1076="","Manca la categoria",IF(ISNA(MATCH(C1076,Categorie!$A$6:$A$65,0)),"Categoria non trovata",IF(G1076="","Categoria senza tipo",""))))))))</f>
        <v/>
      </c>
    </row>
    <row r="1077">
      <c r="A1077" s="29" t="n"/>
      <c r="B1077" s="17" t="n"/>
      <c r="C1077" s="17" t="n"/>
      <c r="D1077" s="16" t="n"/>
      <c r="E1077" s="30" t="n"/>
      <c r="F1077" s="17" t="n"/>
      <c r="G1077" s="31">
        <f>IF(C1077="","",IFERROR(INDEX(Categorie!$B$6:$B$65,MATCH(C1077,Categorie!$A$6:$A$65,0))&amp;"",""))</f>
        <v/>
      </c>
      <c r="H1077" s="32">
        <f>IF(AND(A1077="",C1077="",D1077=""),"",IF(D1077="","Manca l'importo",IF(NOT(ISNUMBER(D1077)),"Importo non valido",IF(NOT(ISNUMBER(A1077)),"Data mancante o non valida",IF(YEAR(A1077)&lt;&gt;Impostazioni!$C$4,"Fuori dall'anno",IF(C1077="","Manca la categoria",IF(ISNA(MATCH(C1077,Categorie!$A$6:$A$65,0)),"Categoria non trovata",IF(G1077="","Categoria senza tipo",""))))))))</f>
        <v/>
      </c>
    </row>
    <row r="1078">
      <c r="A1078" s="29" t="n"/>
      <c r="B1078" s="17" t="n"/>
      <c r="C1078" s="17" t="n"/>
      <c r="D1078" s="16" t="n"/>
      <c r="E1078" s="30" t="n"/>
      <c r="F1078" s="17" t="n"/>
      <c r="G1078" s="31">
        <f>IF(C1078="","",IFERROR(INDEX(Categorie!$B$6:$B$65,MATCH(C1078,Categorie!$A$6:$A$65,0))&amp;"",""))</f>
        <v/>
      </c>
      <c r="H1078" s="32">
        <f>IF(AND(A1078="",C1078="",D1078=""),"",IF(D1078="","Manca l'importo",IF(NOT(ISNUMBER(D1078)),"Importo non valido",IF(NOT(ISNUMBER(A1078)),"Data mancante o non valida",IF(YEAR(A1078)&lt;&gt;Impostazioni!$C$4,"Fuori dall'anno",IF(C1078="","Manca la categoria",IF(ISNA(MATCH(C1078,Categorie!$A$6:$A$65,0)),"Categoria non trovata",IF(G1078="","Categoria senza tipo",""))))))))</f>
        <v/>
      </c>
    </row>
    <row r="1079">
      <c r="A1079" s="29" t="n"/>
      <c r="B1079" s="17" t="n"/>
      <c r="C1079" s="17" t="n"/>
      <c r="D1079" s="16" t="n"/>
      <c r="E1079" s="30" t="n"/>
      <c r="F1079" s="17" t="n"/>
      <c r="G1079" s="31">
        <f>IF(C1079="","",IFERROR(INDEX(Categorie!$B$6:$B$65,MATCH(C1079,Categorie!$A$6:$A$65,0))&amp;"",""))</f>
        <v/>
      </c>
      <c r="H1079" s="32">
        <f>IF(AND(A1079="",C1079="",D1079=""),"",IF(D1079="","Manca l'importo",IF(NOT(ISNUMBER(D1079)),"Importo non valido",IF(NOT(ISNUMBER(A1079)),"Data mancante o non valida",IF(YEAR(A1079)&lt;&gt;Impostazioni!$C$4,"Fuori dall'anno",IF(C1079="","Manca la categoria",IF(ISNA(MATCH(C1079,Categorie!$A$6:$A$65,0)),"Categoria non trovata",IF(G1079="","Categoria senza tipo",""))))))))</f>
        <v/>
      </c>
    </row>
    <row r="1080">
      <c r="A1080" s="29" t="n"/>
      <c r="B1080" s="17" t="n"/>
      <c r="C1080" s="17" t="n"/>
      <c r="D1080" s="16" t="n"/>
      <c r="E1080" s="30" t="n"/>
      <c r="F1080" s="17" t="n"/>
      <c r="G1080" s="31">
        <f>IF(C1080="","",IFERROR(INDEX(Categorie!$B$6:$B$65,MATCH(C1080,Categorie!$A$6:$A$65,0))&amp;"",""))</f>
        <v/>
      </c>
      <c r="H1080" s="32">
        <f>IF(AND(A1080="",C1080="",D1080=""),"",IF(D1080="","Manca l'importo",IF(NOT(ISNUMBER(D1080)),"Importo non valido",IF(NOT(ISNUMBER(A1080)),"Data mancante o non valida",IF(YEAR(A1080)&lt;&gt;Impostazioni!$C$4,"Fuori dall'anno",IF(C1080="","Manca la categoria",IF(ISNA(MATCH(C1080,Categorie!$A$6:$A$65,0)),"Categoria non trovata",IF(G1080="","Categoria senza tipo",""))))))))</f>
        <v/>
      </c>
    </row>
    <row r="1081">
      <c r="A1081" s="29" t="n"/>
      <c r="B1081" s="17" t="n"/>
      <c r="C1081" s="17" t="n"/>
      <c r="D1081" s="16" t="n"/>
      <c r="E1081" s="30" t="n"/>
      <c r="F1081" s="17" t="n"/>
      <c r="G1081" s="31">
        <f>IF(C1081="","",IFERROR(INDEX(Categorie!$B$6:$B$65,MATCH(C1081,Categorie!$A$6:$A$65,0))&amp;"",""))</f>
        <v/>
      </c>
      <c r="H1081" s="32">
        <f>IF(AND(A1081="",C1081="",D1081=""),"",IF(D1081="","Manca l'importo",IF(NOT(ISNUMBER(D1081)),"Importo non valido",IF(NOT(ISNUMBER(A1081)),"Data mancante o non valida",IF(YEAR(A1081)&lt;&gt;Impostazioni!$C$4,"Fuori dall'anno",IF(C1081="","Manca la categoria",IF(ISNA(MATCH(C1081,Categorie!$A$6:$A$65,0)),"Categoria non trovata",IF(G1081="","Categoria senza tipo",""))))))))</f>
        <v/>
      </c>
    </row>
    <row r="1082">
      <c r="A1082" s="29" t="n"/>
      <c r="B1082" s="17" t="n"/>
      <c r="C1082" s="17" t="n"/>
      <c r="D1082" s="16" t="n"/>
      <c r="E1082" s="30" t="n"/>
      <c r="F1082" s="17" t="n"/>
      <c r="G1082" s="31">
        <f>IF(C1082="","",IFERROR(INDEX(Categorie!$B$6:$B$65,MATCH(C1082,Categorie!$A$6:$A$65,0))&amp;"",""))</f>
        <v/>
      </c>
      <c r="H1082" s="32">
        <f>IF(AND(A1082="",C1082="",D1082=""),"",IF(D1082="","Manca l'importo",IF(NOT(ISNUMBER(D1082)),"Importo non valido",IF(NOT(ISNUMBER(A1082)),"Data mancante o non valida",IF(YEAR(A1082)&lt;&gt;Impostazioni!$C$4,"Fuori dall'anno",IF(C1082="","Manca la categoria",IF(ISNA(MATCH(C1082,Categorie!$A$6:$A$65,0)),"Categoria non trovata",IF(G1082="","Categoria senza tipo",""))))))))</f>
        <v/>
      </c>
    </row>
    <row r="1083">
      <c r="A1083" s="29" t="n"/>
      <c r="B1083" s="17" t="n"/>
      <c r="C1083" s="17" t="n"/>
      <c r="D1083" s="16" t="n"/>
      <c r="E1083" s="30" t="n"/>
      <c r="F1083" s="17" t="n"/>
      <c r="G1083" s="31">
        <f>IF(C1083="","",IFERROR(INDEX(Categorie!$B$6:$B$65,MATCH(C1083,Categorie!$A$6:$A$65,0))&amp;"",""))</f>
        <v/>
      </c>
      <c r="H1083" s="32">
        <f>IF(AND(A1083="",C1083="",D1083=""),"",IF(D1083="","Manca l'importo",IF(NOT(ISNUMBER(D1083)),"Importo non valido",IF(NOT(ISNUMBER(A1083)),"Data mancante o non valida",IF(YEAR(A1083)&lt;&gt;Impostazioni!$C$4,"Fuori dall'anno",IF(C1083="","Manca la categoria",IF(ISNA(MATCH(C1083,Categorie!$A$6:$A$65,0)),"Categoria non trovata",IF(G1083="","Categoria senza tipo",""))))))))</f>
        <v/>
      </c>
    </row>
    <row r="1084">
      <c r="A1084" s="29" t="n"/>
      <c r="B1084" s="17" t="n"/>
      <c r="C1084" s="17" t="n"/>
      <c r="D1084" s="16" t="n"/>
      <c r="E1084" s="30" t="n"/>
      <c r="F1084" s="17" t="n"/>
      <c r="G1084" s="31">
        <f>IF(C1084="","",IFERROR(INDEX(Categorie!$B$6:$B$65,MATCH(C1084,Categorie!$A$6:$A$65,0))&amp;"",""))</f>
        <v/>
      </c>
      <c r="H1084" s="32">
        <f>IF(AND(A1084="",C1084="",D1084=""),"",IF(D1084="","Manca l'importo",IF(NOT(ISNUMBER(D1084)),"Importo non valido",IF(NOT(ISNUMBER(A1084)),"Data mancante o non valida",IF(YEAR(A1084)&lt;&gt;Impostazioni!$C$4,"Fuori dall'anno",IF(C1084="","Manca la categoria",IF(ISNA(MATCH(C1084,Categorie!$A$6:$A$65,0)),"Categoria non trovata",IF(G1084="","Categoria senza tipo",""))))))))</f>
        <v/>
      </c>
    </row>
    <row r="1085">
      <c r="A1085" s="29" t="n"/>
      <c r="B1085" s="17" t="n"/>
      <c r="C1085" s="17" t="n"/>
      <c r="D1085" s="16" t="n"/>
      <c r="E1085" s="30" t="n"/>
      <c r="F1085" s="17" t="n"/>
      <c r="G1085" s="31">
        <f>IF(C1085="","",IFERROR(INDEX(Categorie!$B$6:$B$65,MATCH(C1085,Categorie!$A$6:$A$65,0))&amp;"",""))</f>
        <v/>
      </c>
      <c r="H1085" s="32">
        <f>IF(AND(A1085="",C1085="",D1085=""),"",IF(D1085="","Manca l'importo",IF(NOT(ISNUMBER(D1085)),"Importo non valido",IF(NOT(ISNUMBER(A1085)),"Data mancante o non valida",IF(YEAR(A1085)&lt;&gt;Impostazioni!$C$4,"Fuori dall'anno",IF(C1085="","Manca la categoria",IF(ISNA(MATCH(C1085,Categorie!$A$6:$A$65,0)),"Categoria non trovata",IF(G1085="","Categoria senza tipo",""))))))))</f>
        <v/>
      </c>
    </row>
    <row r="1086">
      <c r="A1086" s="29" t="n"/>
      <c r="B1086" s="17" t="n"/>
      <c r="C1086" s="17" t="n"/>
      <c r="D1086" s="16" t="n"/>
      <c r="E1086" s="30" t="n"/>
      <c r="F1086" s="17" t="n"/>
      <c r="G1086" s="31">
        <f>IF(C1086="","",IFERROR(INDEX(Categorie!$B$6:$B$65,MATCH(C1086,Categorie!$A$6:$A$65,0))&amp;"",""))</f>
        <v/>
      </c>
      <c r="H1086" s="32">
        <f>IF(AND(A1086="",C1086="",D1086=""),"",IF(D1086="","Manca l'importo",IF(NOT(ISNUMBER(D1086)),"Importo non valido",IF(NOT(ISNUMBER(A1086)),"Data mancante o non valida",IF(YEAR(A1086)&lt;&gt;Impostazioni!$C$4,"Fuori dall'anno",IF(C1086="","Manca la categoria",IF(ISNA(MATCH(C1086,Categorie!$A$6:$A$65,0)),"Categoria non trovata",IF(G1086="","Categoria senza tipo",""))))))))</f>
        <v/>
      </c>
    </row>
    <row r="1087">
      <c r="A1087" s="29" t="n"/>
      <c r="B1087" s="17" t="n"/>
      <c r="C1087" s="17" t="n"/>
      <c r="D1087" s="16" t="n"/>
      <c r="E1087" s="30" t="n"/>
      <c r="F1087" s="17" t="n"/>
      <c r="G1087" s="31">
        <f>IF(C1087="","",IFERROR(INDEX(Categorie!$B$6:$B$65,MATCH(C1087,Categorie!$A$6:$A$65,0))&amp;"",""))</f>
        <v/>
      </c>
      <c r="H1087" s="32">
        <f>IF(AND(A1087="",C1087="",D1087=""),"",IF(D1087="","Manca l'importo",IF(NOT(ISNUMBER(D1087)),"Importo non valido",IF(NOT(ISNUMBER(A1087)),"Data mancante o non valida",IF(YEAR(A1087)&lt;&gt;Impostazioni!$C$4,"Fuori dall'anno",IF(C1087="","Manca la categoria",IF(ISNA(MATCH(C1087,Categorie!$A$6:$A$65,0)),"Categoria non trovata",IF(G1087="","Categoria senza tipo",""))))))))</f>
        <v/>
      </c>
    </row>
    <row r="1088">
      <c r="A1088" s="29" t="n"/>
      <c r="B1088" s="17" t="n"/>
      <c r="C1088" s="17" t="n"/>
      <c r="D1088" s="16" t="n"/>
      <c r="E1088" s="30" t="n"/>
      <c r="F1088" s="17" t="n"/>
      <c r="G1088" s="31">
        <f>IF(C1088="","",IFERROR(INDEX(Categorie!$B$6:$B$65,MATCH(C1088,Categorie!$A$6:$A$65,0))&amp;"",""))</f>
        <v/>
      </c>
      <c r="H1088" s="32">
        <f>IF(AND(A1088="",C1088="",D1088=""),"",IF(D1088="","Manca l'importo",IF(NOT(ISNUMBER(D1088)),"Importo non valido",IF(NOT(ISNUMBER(A1088)),"Data mancante o non valida",IF(YEAR(A1088)&lt;&gt;Impostazioni!$C$4,"Fuori dall'anno",IF(C1088="","Manca la categoria",IF(ISNA(MATCH(C1088,Categorie!$A$6:$A$65,0)),"Categoria non trovata",IF(G1088="","Categoria senza tipo",""))))))))</f>
        <v/>
      </c>
    </row>
    <row r="1089">
      <c r="A1089" s="29" t="n"/>
      <c r="B1089" s="17" t="n"/>
      <c r="C1089" s="17" t="n"/>
      <c r="D1089" s="16" t="n"/>
      <c r="E1089" s="30" t="n"/>
      <c r="F1089" s="17" t="n"/>
      <c r="G1089" s="31">
        <f>IF(C1089="","",IFERROR(INDEX(Categorie!$B$6:$B$65,MATCH(C1089,Categorie!$A$6:$A$65,0))&amp;"",""))</f>
        <v/>
      </c>
      <c r="H1089" s="32">
        <f>IF(AND(A1089="",C1089="",D1089=""),"",IF(D1089="","Manca l'importo",IF(NOT(ISNUMBER(D1089)),"Importo non valido",IF(NOT(ISNUMBER(A1089)),"Data mancante o non valida",IF(YEAR(A1089)&lt;&gt;Impostazioni!$C$4,"Fuori dall'anno",IF(C1089="","Manca la categoria",IF(ISNA(MATCH(C1089,Categorie!$A$6:$A$65,0)),"Categoria non trovata",IF(G1089="","Categoria senza tipo",""))))))))</f>
        <v/>
      </c>
    </row>
    <row r="1090">
      <c r="A1090" s="29" t="n"/>
      <c r="B1090" s="17" t="n"/>
      <c r="C1090" s="17" t="n"/>
      <c r="D1090" s="16" t="n"/>
      <c r="E1090" s="30" t="n"/>
      <c r="F1090" s="17" t="n"/>
      <c r="G1090" s="31">
        <f>IF(C1090="","",IFERROR(INDEX(Categorie!$B$6:$B$65,MATCH(C1090,Categorie!$A$6:$A$65,0))&amp;"",""))</f>
        <v/>
      </c>
      <c r="H1090" s="32">
        <f>IF(AND(A1090="",C1090="",D1090=""),"",IF(D1090="","Manca l'importo",IF(NOT(ISNUMBER(D1090)),"Importo non valido",IF(NOT(ISNUMBER(A1090)),"Data mancante o non valida",IF(YEAR(A1090)&lt;&gt;Impostazioni!$C$4,"Fuori dall'anno",IF(C1090="","Manca la categoria",IF(ISNA(MATCH(C1090,Categorie!$A$6:$A$65,0)),"Categoria non trovata",IF(G1090="","Categoria senza tipo",""))))))))</f>
        <v/>
      </c>
    </row>
    <row r="1091">
      <c r="A1091" s="29" t="n"/>
      <c r="B1091" s="17" t="n"/>
      <c r="C1091" s="17" t="n"/>
      <c r="D1091" s="16" t="n"/>
      <c r="E1091" s="30" t="n"/>
      <c r="F1091" s="17" t="n"/>
      <c r="G1091" s="31">
        <f>IF(C1091="","",IFERROR(INDEX(Categorie!$B$6:$B$65,MATCH(C1091,Categorie!$A$6:$A$65,0))&amp;"",""))</f>
        <v/>
      </c>
      <c r="H1091" s="32">
        <f>IF(AND(A1091="",C1091="",D1091=""),"",IF(D1091="","Manca l'importo",IF(NOT(ISNUMBER(D1091)),"Importo non valido",IF(NOT(ISNUMBER(A1091)),"Data mancante o non valida",IF(YEAR(A1091)&lt;&gt;Impostazioni!$C$4,"Fuori dall'anno",IF(C1091="","Manca la categoria",IF(ISNA(MATCH(C1091,Categorie!$A$6:$A$65,0)),"Categoria non trovata",IF(G1091="","Categoria senza tipo",""))))))))</f>
        <v/>
      </c>
    </row>
    <row r="1092">
      <c r="A1092" s="29" t="n"/>
      <c r="B1092" s="17" t="n"/>
      <c r="C1092" s="17" t="n"/>
      <c r="D1092" s="16" t="n"/>
      <c r="E1092" s="30" t="n"/>
      <c r="F1092" s="17" t="n"/>
      <c r="G1092" s="31">
        <f>IF(C1092="","",IFERROR(INDEX(Categorie!$B$6:$B$65,MATCH(C1092,Categorie!$A$6:$A$65,0))&amp;"",""))</f>
        <v/>
      </c>
      <c r="H1092" s="32">
        <f>IF(AND(A1092="",C1092="",D1092=""),"",IF(D1092="","Manca l'importo",IF(NOT(ISNUMBER(D1092)),"Importo non valido",IF(NOT(ISNUMBER(A1092)),"Data mancante o non valida",IF(YEAR(A1092)&lt;&gt;Impostazioni!$C$4,"Fuori dall'anno",IF(C1092="","Manca la categoria",IF(ISNA(MATCH(C1092,Categorie!$A$6:$A$65,0)),"Categoria non trovata",IF(G1092="","Categoria senza tipo",""))))))))</f>
        <v/>
      </c>
    </row>
    <row r="1093">
      <c r="A1093" s="29" t="n"/>
      <c r="B1093" s="17" t="n"/>
      <c r="C1093" s="17" t="n"/>
      <c r="D1093" s="16" t="n"/>
      <c r="E1093" s="30" t="n"/>
      <c r="F1093" s="17" t="n"/>
      <c r="G1093" s="31">
        <f>IF(C1093="","",IFERROR(INDEX(Categorie!$B$6:$B$65,MATCH(C1093,Categorie!$A$6:$A$65,0))&amp;"",""))</f>
        <v/>
      </c>
      <c r="H1093" s="32">
        <f>IF(AND(A1093="",C1093="",D1093=""),"",IF(D1093="","Manca l'importo",IF(NOT(ISNUMBER(D1093)),"Importo non valido",IF(NOT(ISNUMBER(A1093)),"Data mancante o non valida",IF(YEAR(A1093)&lt;&gt;Impostazioni!$C$4,"Fuori dall'anno",IF(C1093="","Manca la categoria",IF(ISNA(MATCH(C1093,Categorie!$A$6:$A$65,0)),"Categoria non trovata",IF(G1093="","Categoria senza tipo",""))))))))</f>
        <v/>
      </c>
    </row>
    <row r="1094">
      <c r="A1094" s="29" t="n"/>
      <c r="B1094" s="17" t="n"/>
      <c r="C1094" s="17" t="n"/>
      <c r="D1094" s="16" t="n"/>
      <c r="E1094" s="30" t="n"/>
      <c r="F1094" s="17" t="n"/>
      <c r="G1094" s="31">
        <f>IF(C1094="","",IFERROR(INDEX(Categorie!$B$6:$B$65,MATCH(C1094,Categorie!$A$6:$A$65,0))&amp;"",""))</f>
        <v/>
      </c>
      <c r="H1094" s="32">
        <f>IF(AND(A1094="",C1094="",D1094=""),"",IF(D1094="","Manca l'importo",IF(NOT(ISNUMBER(D1094)),"Importo non valido",IF(NOT(ISNUMBER(A1094)),"Data mancante o non valida",IF(YEAR(A1094)&lt;&gt;Impostazioni!$C$4,"Fuori dall'anno",IF(C1094="","Manca la categoria",IF(ISNA(MATCH(C1094,Categorie!$A$6:$A$65,0)),"Categoria non trovata",IF(G1094="","Categoria senza tipo",""))))))))</f>
        <v/>
      </c>
    </row>
    <row r="1095">
      <c r="A1095" s="29" t="n"/>
      <c r="B1095" s="17" t="n"/>
      <c r="C1095" s="17" t="n"/>
      <c r="D1095" s="16" t="n"/>
      <c r="E1095" s="30" t="n"/>
      <c r="F1095" s="17" t="n"/>
      <c r="G1095" s="31">
        <f>IF(C1095="","",IFERROR(INDEX(Categorie!$B$6:$B$65,MATCH(C1095,Categorie!$A$6:$A$65,0))&amp;"",""))</f>
        <v/>
      </c>
      <c r="H1095" s="32">
        <f>IF(AND(A1095="",C1095="",D1095=""),"",IF(D1095="","Manca l'importo",IF(NOT(ISNUMBER(D1095)),"Importo non valido",IF(NOT(ISNUMBER(A1095)),"Data mancante o non valida",IF(YEAR(A1095)&lt;&gt;Impostazioni!$C$4,"Fuori dall'anno",IF(C1095="","Manca la categoria",IF(ISNA(MATCH(C1095,Categorie!$A$6:$A$65,0)),"Categoria non trovata",IF(G1095="","Categoria senza tipo",""))))))))</f>
        <v/>
      </c>
    </row>
    <row r="1096">
      <c r="A1096" s="29" t="n"/>
      <c r="B1096" s="17" t="n"/>
      <c r="C1096" s="17" t="n"/>
      <c r="D1096" s="16" t="n"/>
      <c r="E1096" s="30" t="n"/>
      <c r="F1096" s="17" t="n"/>
      <c r="G1096" s="31">
        <f>IF(C1096="","",IFERROR(INDEX(Categorie!$B$6:$B$65,MATCH(C1096,Categorie!$A$6:$A$65,0))&amp;"",""))</f>
        <v/>
      </c>
      <c r="H1096" s="32">
        <f>IF(AND(A1096="",C1096="",D1096=""),"",IF(D1096="","Manca l'importo",IF(NOT(ISNUMBER(D1096)),"Importo non valido",IF(NOT(ISNUMBER(A1096)),"Data mancante o non valida",IF(YEAR(A1096)&lt;&gt;Impostazioni!$C$4,"Fuori dall'anno",IF(C1096="","Manca la categoria",IF(ISNA(MATCH(C1096,Categorie!$A$6:$A$65,0)),"Categoria non trovata",IF(G1096="","Categoria senza tipo",""))))))))</f>
        <v/>
      </c>
    </row>
    <row r="1097">
      <c r="A1097" s="29" t="n"/>
      <c r="B1097" s="17" t="n"/>
      <c r="C1097" s="17" t="n"/>
      <c r="D1097" s="16" t="n"/>
      <c r="E1097" s="30" t="n"/>
      <c r="F1097" s="17" t="n"/>
      <c r="G1097" s="31">
        <f>IF(C1097="","",IFERROR(INDEX(Categorie!$B$6:$B$65,MATCH(C1097,Categorie!$A$6:$A$65,0))&amp;"",""))</f>
        <v/>
      </c>
      <c r="H1097" s="32">
        <f>IF(AND(A1097="",C1097="",D1097=""),"",IF(D1097="","Manca l'importo",IF(NOT(ISNUMBER(D1097)),"Importo non valido",IF(NOT(ISNUMBER(A1097)),"Data mancante o non valida",IF(YEAR(A1097)&lt;&gt;Impostazioni!$C$4,"Fuori dall'anno",IF(C1097="","Manca la categoria",IF(ISNA(MATCH(C1097,Categorie!$A$6:$A$65,0)),"Categoria non trovata",IF(G1097="","Categoria senza tipo",""))))))))</f>
        <v/>
      </c>
    </row>
    <row r="1098">
      <c r="A1098" s="29" t="n"/>
      <c r="B1098" s="17" t="n"/>
      <c r="C1098" s="17" t="n"/>
      <c r="D1098" s="16" t="n"/>
      <c r="E1098" s="30" t="n"/>
      <c r="F1098" s="17" t="n"/>
      <c r="G1098" s="31">
        <f>IF(C1098="","",IFERROR(INDEX(Categorie!$B$6:$B$65,MATCH(C1098,Categorie!$A$6:$A$65,0))&amp;"",""))</f>
        <v/>
      </c>
      <c r="H1098" s="32">
        <f>IF(AND(A1098="",C1098="",D1098=""),"",IF(D1098="","Manca l'importo",IF(NOT(ISNUMBER(D1098)),"Importo non valido",IF(NOT(ISNUMBER(A1098)),"Data mancante o non valida",IF(YEAR(A1098)&lt;&gt;Impostazioni!$C$4,"Fuori dall'anno",IF(C1098="","Manca la categoria",IF(ISNA(MATCH(C1098,Categorie!$A$6:$A$65,0)),"Categoria non trovata",IF(G1098="","Categoria senza tipo",""))))))))</f>
        <v/>
      </c>
    </row>
    <row r="1099">
      <c r="A1099" s="29" t="n"/>
      <c r="B1099" s="17" t="n"/>
      <c r="C1099" s="17" t="n"/>
      <c r="D1099" s="16" t="n"/>
      <c r="E1099" s="30" t="n"/>
      <c r="F1099" s="17" t="n"/>
      <c r="G1099" s="31">
        <f>IF(C1099="","",IFERROR(INDEX(Categorie!$B$6:$B$65,MATCH(C1099,Categorie!$A$6:$A$65,0))&amp;"",""))</f>
        <v/>
      </c>
      <c r="H1099" s="32">
        <f>IF(AND(A1099="",C1099="",D1099=""),"",IF(D1099="","Manca l'importo",IF(NOT(ISNUMBER(D1099)),"Importo non valido",IF(NOT(ISNUMBER(A1099)),"Data mancante o non valida",IF(YEAR(A1099)&lt;&gt;Impostazioni!$C$4,"Fuori dall'anno",IF(C1099="","Manca la categoria",IF(ISNA(MATCH(C1099,Categorie!$A$6:$A$65,0)),"Categoria non trovata",IF(G1099="","Categoria senza tipo",""))))))))</f>
        <v/>
      </c>
    </row>
    <row r="1100">
      <c r="A1100" s="29" t="n"/>
      <c r="B1100" s="17" t="n"/>
      <c r="C1100" s="17" t="n"/>
      <c r="D1100" s="16" t="n"/>
      <c r="E1100" s="30" t="n"/>
      <c r="F1100" s="17" t="n"/>
      <c r="G1100" s="31">
        <f>IF(C1100="","",IFERROR(INDEX(Categorie!$B$6:$B$65,MATCH(C1100,Categorie!$A$6:$A$65,0))&amp;"",""))</f>
        <v/>
      </c>
      <c r="H1100" s="32">
        <f>IF(AND(A1100="",C1100="",D1100=""),"",IF(D1100="","Manca l'importo",IF(NOT(ISNUMBER(D1100)),"Importo non valido",IF(NOT(ISNUMBER(A1100)),"Data mancante o non valida",IF(YEAR(A1100)&lt;&gt;Impostazioni!$C$4,"Fuori dall'anno",IF(C1100="","Manca la categoria",IF(ISNA(MATCH(C1100,Categorie!$A$6:$A$65,0)),"Categoria non trovata",IF(G1100="","Categoria senza tipo",""))))))))</f>
        <v/>
      </c>
    </row>
    <row r="1101">
      <c r="A1101" s="29" t="n"/>
      <c r="B1101" s="17" t="n"/>
      <c r="C1101" s="17" t="n"/>
      <c r="D1101" s="16" t="n"/>
      <c r="E1101" s="30" t="n"/>
      <c r="F1101" s="17" t="n"/>
      <c r="G1101" s="31">
        <f>IF(C1101="","",IFERROR(INDEX(Categorie!$B$6:$B$65,MATCH(C1101,Categorie!$A$6:$A$65,0))&amp;"",""))</f>
        <v/>
      </c>
      <c r="H1101" s="32">
        <f>IF(AND(A1101="",C1101="",D1101=""),"",IF(D1101="","Manca l'importo",IF(NOT(ISNUMBER(D1101)),"Importo non valido",IF(NOT(ISNUMBER(A1101)),"Data mancante o non valida",IF(YEAR(A1101)&lt;&gt;Impostazioni!$C$4,"Fuori dall'anno",IF(C1101="","Manca la categoria",IF(ISNA(MATCH(C1101,Categorie!$A$6:$A$65,0)),"Categoria non trovata",IF(G1101="","Categoria senza tipo",""))))))))</f>
        <v/>
      </c>
    </row>
    <row r="1102">
      <c r="A1102" s="29" t="n"/>
      <c r="B1102" s="17" t="n"/>
      <c r="C1102" s="17" t="n"/>
      <c r="D1102" s="16" t="n"/>
      <c r="E1102" s="30" t="n"/>
      <c r="F1102" s="17" t="n"/>
      <c r="G1102" s="31">
        <f>IF(C1102="","",IFERROR(INDEX(Categorie!$B$6:$B$65,MATCH(C1102,Categorie!$A$6:$A$65,0))&amp;"",""))</f>
        <v/>
      </c>
      <c r="H1102" s="32">
        <f>IF(AND(A1102="",C1102="",D1102=""),"",IF(D1102="","Manca l'importo",IF(NOT(ISNUMBER(D1102)),"Importo non valido",IF(NOT(ISNUMBER(A1102)),"Data mancante o non valida",IF(YEAR(A1102)&lt;&gt;Impostazioni!$C$4,"Fuori dall'anno",IF(C1102="","Manca la categoria",IF(ISNA(MATCH(C1102,Categorie!$A$6:$A$65,0)),"Categoria non trovata",IF(G1102="","Categoria senza tipo",""))))))))</f>
        <v/>
      </c>
    </row>
    <row r="1103">
      <c r="A1103" s="29" t="n"/>
      <c r="B1103" s="17" t="n"/>
      <c r="C1103" s="17" t="n"/>
      <c r="D1103" s="16" t="n"/>
      <c r="E1103" s="30" t="n"/>
      <c r="F1103" s="17" t="n"/>
      <c r="G1103" s="31">
        <f>IF(C1103="","",IFERROR(INDEX(Categorie!$B$6:$B$65,MATCH(C1103,Categorie!$A$6:$A$65,0))&amp;"",""))</f>
        <v/>
      </c>
      <c r="H1103" s="32">
        <f>IF(AND(A1103="",C1103="",D1103=""),"",IF(D1103="","Manca l'importo",IF(NOT(ISNUMBER(D1103)),"Importo non valido",IF(NOT(ISNUMBER(A1103)),"Data mancante o non valida",IF(YEAR(A1103)&lt;&gt;Impostazioni!$C$4,"Fuori dall'anno",IF(C1103="","Manca la categoria",IF(ISNA(MATCH(C1103,Categorie!$A$6:$A$65,0)),"Categoria non trovata",IF(G1103="","Categoria senza tipo",""))))))))</f>
        <v/>
      </c>
    </row>
    <row r="1104">
      <c r="A1104" s="29" t="n"/>
      <c r="B1104" s="17" t="n"/>
      <c r="C1104" s="17" t="n"/>
      <c r="D1104" s="16" t="n"/>
      <c r="E1104" s="30" t="n"/>
      <c r="F1104" s="17" t="n"/>
      <c r="G1104" s="31">
        <f>IF(C1104="","",IFERROR(INDEX(Categorie!$B$6:$B$65,MATCH(C1104,Categorie!$A$6:$A$65,0))&amp;"",""))</f>
        <v/>
      </c>
      <c r="H1104" s="32">
        <f>IF(AND(A1104="",C1104="",D1104=""),"",IF(D1104="","Manca l'importo",IF(NOT(ISNUMBER(D1104)),"Importo non valido",IF(NOT(ISNUMBER(A1104)),"Data mancante o non valida",IF(YEAR(A1104)&lt;&gt;Impostazioni!$C$4,"Fuori dall'anno",IF(C1104="","Manca la categoria",IF(ISNA(MATCH(C1104,Categorie!$A$6:$A$65,0)),"Categoria non trovata",IF(G1104="","Categoria senza tipo",""))))))))</f>
        <v/>
      </c>
    </row>
    <row r="1105">
      <c r="A1105" s="29" t="n"/>
      <c r="B1105" s="17" t="n"/>
      <c r="C1105" s="17" t="n"/>
      <c r="D1105" s="16" t="n"/>
      <c r="E1105" s="30" t="n"/>
      <c r="F1105" s="17" t="n"/>
      <c r="G1105" s="31">
        <f>IF(C1105="","",IFERROR(INDEX(Categorie!$B$6:$B$65,MATCH(C1105,Categorie!$A$6:$A$65,0))&amp;"",""))</f>
        <v/>
      </c>
      <c r="H1105" s="32">
        <f>IF(AND(A1105="",C1105="",D1105=""),"",IF(D1105="","Manca l'importo",IF(NOT(ISNUMBER(D1105)),"Importo non valido",IF(NOT(ISNUMBER(A1105)),"Data mancante o non valida",IF(YEAR(A1105)&lt;&gt;Impostazioni!$C$4,"Fuori dall'anno",IF(C1105="","Manca la categoria",IF(ISNA(MATCH(C1105,Categorie!$A$6:$A$65,0)),"Categoria non trovata",IF(G1105="","Categoria senza tipo",""))))))))</f>
        <v/>
      </c>
    </row>
    <row r="1106">
      <c r="A1106" s="29" t="n"/>
      <c r="B1106" s="17" t="n"/>
      <c r="C1106" s="17" t="n"/>
      <c r="D1106" s="16" t="n"/>
      <c r="E1106" s="30" t="n"/>
      <c r="F1106" s="17" t="n"/>
      <c r="G1106" s="31">
        <f>IF(C1106="","",IFERROR(INDEX(Categorie!$B$6:$B$65,MATCH(C1106,Categorie!$A$6:$A$65,0))&amp;"",""))</f>
        <v/>
      </c>
      <c r="H1106" s="32">
        <f>IF(AND(A1106="",C1106="",D1106=""),"",IF(D1106="","Manca l'importo",IF(NOT(ISNUMBER(D1106)),"Importo non valido",IF(NOT(ISNUMBER(A1106)),"Data mancante o non valida",IF(YEAR(A1106)&lt;&gt;Impostazioni!$C$4,"Fuori dall'anno",IF(C1106="","Manca la categoria",IF(ISNA(MATCH(C1106,Categorie!$A$6:$A$65,0)),"Categoria non trovata",IF(G1106="","Categoria senza tipo",""))))))))</f>
        <v/>
      </c>
    </row>
    <row r="1107">
      <c r="A1107" s="29" t="n"/>
      <c r="B1107" s="17" t="n"/>
      <c r="C1107" s="17" t="n"/>
      <c r="D1107" s="16" t="n"/>
      <c r="E1107" s="30" t="n"/>
      <c r="F1107" s="17" t="n"/>
      <c r="G1107" s="31">
        <f>IF(C1107="","",IFERROR(INDEX(Categorie!$B$6:$B$65,MATCH(C1107,Categorie!$A$6:$A$65,0))&amp;"",""))</f>
        <v/>
      </c>
      <c r="H1107" s="32">
        <f>IF(AND(A1107="",C1107="",D1107=""),"",IF(D1107="","Manca l'importo",IF(NOT(ISNUMBER(D1107)),"Importo non valido",IF(NOT(ISNUMBER(A1107)),"Data mancante o non valida",IF(YEAR(A1107)&lt;&gt;Impostazioni!$C$4,"Fuori dall'anno",IF(C1107="","Manca la categoria",IF(ISNA(MATCH(C1107,Categorie!$A$6:$A$65,0)),"Categoria non trovata",IF(G1107="","Categoria senza tipo",""))))))))</f>
        <v/>
      </c>
    </row>
    <row r="1108">
      <c r="A1108" s="29" t="n"/>
      <c r="B1108" s="17" t="n"/>
      <c r="C1108" s="17" t="n"/>
      <c r="D1108" s="16" t="n"/>
      <c r="E1108" s="30" t="n"/>
      <c r="F1108" s="17" t="n"/>
      <c r="G1108" s="31">
        <f>IF(C1108="","",IFERROR(INDEX(Categorie!$B$6:$B$65,MATCH(C1108,Categorie!$A$6:$A$65,0))&amp;"",""))</f>
        <v/>
      </c>
      <c r="H1108" s="32">
        <f>IF(AND(A1108="",C1108="",D1108=""),"",IF(D1108="","Manca l'importo",IF(NOT(ISNUMBER(D1108)),"Importo non valido",IF(NOT(ISNUMBER(A1108)),"Data mancante o non valida",IF(YEAR(A1108)&lt;&gt;Impostazioni!$C$4,"Fuori dall'anno",IF(C1108="","Manca la categoria",IF(ISNA(MATCH(C1108,Categorie!$A$6:$A$65,0)),"Categoria non trovata",IF(G1108="","Categoria senza tipo",""))))))))</f>
        <v/>
      </c>
    </row>
    <row r="1109">
      <c r="A1109" s="29" t="n"/>
      <c r="B1109" s="17" t="n"/>
      <c r="C1109" s="17" t="n"/>
      <c r="D1109" s="16" t="n"/>
      <c r="E1109" s="30" t="n"/>
      <c r="F1109" s="17" t="n"/>
      <c r="G1109" s="31">
        <f>IF(C1109="","",IFERROR(INDEX(Categorie!$B$6:$B$65,MATCH(C1109,Categorie!$A$6:$A$65,0))&amp;"",""))</f>
        <v/>
      </c>
      <c r="H1109" s="32">
        <f>IF(AND(A1109="",C1109="",D1109=""),"",IF(D1109="","Manca l'importo",IF(NOT(ISNUMBER(D1109)),"Importo non valido",IF(NOT(ISNUMBER(A1109)),"Data mancante o non valida",IF(YEAR(A1109)&lt;&gt;Impostazioni!$C$4,"Fuori dall'anno",IF(C1109="","Manca la categoria",IF(ISNA(MATCH(C1109,Categorie!$A$6:$A$65,0)),"Categoria non trovata",IF(G1109="","Categoria senza tipo",""))))))))</f>
        <v/>
      </c>
    </row>
    <row r="1110">
      <c r="A1110" s="29" t="n"/>
      <c r="B1110" s="17" t="n"/>
      <c r="C1110" s="17" t="n"/>
      <c r="D1110" s="16" t="n"/>
      <c r="E1110" s="30" t="n"/>
      <c r="F1110" s="17" t="n"/>
      <c r="G1110" s="31">
        <f>IF(C1110="","",IFERROR(INDEX(Categorie!$B$6:$B$65,MATCH(C1110,Categorie!$A$6:$A$65,0))&amp;"",""))</f>
        <v/>
      </c>
      <c r="H1110" s="32">
        <f>IF(AND(A1110="",C1110="",D1110=""),"",IF(D1110="","Manca l'importo",IF(NOT(ISNUMBER(D1110)),"Importo non valido",IF(NOT(ISNUMBER(A1110)),"Data mancante o non valida",IF(YEAR(A1110)&lt;&gt;Impostazioni!$C$4,"Fuori dall'anno",IF(C1110="","Manca la categoria",IF(ISNA(MATCH(C1110,Categorie!$A$6:$A$65,0)),"Categoria non trovata",IF(G1110="","Categoria senza tipo",""))))))))</f>
        <v/>
      </c>
    </row>
    <row r="1111">
      <c r="A1111" s="29" t="n"/>
      <c r="B1111" s="17" t="n"/>
      <c r="C1111" s="17" t="n"/>
      <c r="D1111" s="16" t="n"/>
      <c r="E1111" s="30" t="n"/>
      <c r="F1111" s="17" t="n"/>
      <c r="G1111" s="31">
        <f>IF(C1111="","",IFERROR(INDEX(Categorie!$B$6:$B$65,MATCH(C1111,Categorie!$A$6:$A$65,0))&amp;"",""))</f>
        <v/>
      </c>
      <c r="H1111" s="32">
        <f>IF(AND(A1111="",C1111="",D1111=""),"",IF(D1111="","Manca l'importo",IF(NOT(ISNUMBER(D1111)),"Importo non valido",IF(NOT(ISNUMBER(A1111)),"Data mancante o non valida",IF(YEAR(A1111)&lt;&gt;Impostazioni!$C$4,"Fuori dall'anno",IF(C1111="","Manca la categoria",IF(ISNA(MATCH(C1111,Categorie!$A$6:$A$65,0)),"Categoria non trovata",IF(G1111="","Categoria senza tipo",""))))))))</f>
        <v/>
      </c>
    </row>
    <row r="1112">
      <c r="A1112" s="29" t="n"/>
      <c r="B1112" s="17" t="n"/>
      <c r="C1112" s="17" t="n"/>
      <c r="D1112" s="16" t="n"/>
      <c r="E1112" s="30" t="n"/>
      <c r="F1112" s="17" t="n"/>
      <c r="G1112" s="31">
        <f>IF(C1112="","",IFERROR(INDEX(Categorie!$B$6:$B$65,MATCH(C1112,Categorie!$A$6:$A$65,0))&amp;"",""))</f>
        <v/>
      </c>
      <c r="H1112" s="32">
        <f>IF(AND(A1112="",C1112="",D1112=""),"",IF(D1112="","Manca l'importo",IF(NOT(ISNUMBER(D1112)),"Importo non valido",IF(NOT(ISNUMBER(A1112)),"Data mancante o non valida",IF(YEAR(A1112)&lt;&gt;Impostazioni!$C$4,"Fuori dall'anno",IF(C1112="","Manca la categoria",IF(ISNA(MATCH(C1112,Categorie!$A$6:$A$65,0)),"Categoria non trovata",IF(G1112="","Categoria senza tipo",""))))))))</f>
        <v/>
      </c>
    </row>
    <row r="1113">
      <c r="A1113" s="29" t="n"/>
      <c r="B1113" s="17" t="n"/>
      <c r="C1113" s="17" t="n"/>
      <c r="D1113" s="16" t="n"/>
      <c r="E1113" s="30" t="n"/>
      <c r="F1113" s="17" t="n"/>
      <c r="G1113" s="31">
        <f>IF(C1113="","",IFERROR(INDEX(Categorie!$B$6:$B$65,MATCH(C1113,Categorie!$A$6:$A$65,0))&amp;"",""))</f>
        <v/>
      </c>
      <c r="H1113" s="32">
        <f>IF(AND(A1113="",C1113="",D1113=""),"",IF(D1113="","Manca l'importo",IF(NOT(ISNUMBER(D1113)),"Importo non valido",IF(NOT(ISNUMBER(A1113)),"Data mancante o non valida",IF(YEAR(A1113)&lt;&gt;Impostazioni!$C$4,"Fuori dall'anno",IF(C1113="","Manca la categoria",IF(ISNA(MATCH(C1113,Categorie!$A$6:$A$65,0)),"Categoria non trovata",IF(G1113="","Categoria senza tipo",""))))))))</f>
        <v/>
      </c>
    </row>
    <row r="1114">
      <c r="A1114" s="29" t="n"/>
      <c r="B1114" s="17" t="n"/>
      <c r="C1114" s="17" t="n"/>
      <c r="D1114" s="16" t="n"/>
      <c r="E1114" s="30" t="n"/>
      <c r="F1114" s="17" t="n"/>
      <c r="G1114" s="31">
        <f>IF(C1114="","",IFERROR(INDEX(Categorie!$B$6:$B$65,MATCH(C1114,Categorie!$A$6:$A$65,0))&amp;"",""))</f>
        <v/>
      </c>
      <c r="H1114" s="32">
        <f>IF(AND(A1114="",C1114="",D1114=""),"",IF(D1114="","Manca l'importo",IF(NOT(ISNUMBER(D1114)),"Importo non valido",IF(NOT(ISNUMBER(A1114)),"Data mancante o non valida",IF(YEAR(A1114)&lt;&gt;Impostazioni!$C$4,"Fuori dall'anno",IF(C1114="","Manca la categoria",IF(ISNA(MATCH(C1114,Categorie!$A$6:$A$65,0)),"Categoria non trovata",IF(G1114="","Categoria senza tipo",""))))))))</f>
        <v/>
      </c>
    </row>
    <row r="1115">
      <c r="A1115" s="29" t="n"/>
      <c r="B1115" s="17" t="n"/>
      <c r="C1115" s="17" t="n"/>
      <c r="D1115" s="16" t="n"/>
      <c r="E1115" s="30" t="n"/>
      <c r="F1115" s="17" t="n"/>
      <c r="G1115" s="31">
        <f>IF(C1115="","",IFERROR(INDEX(Categorie!$B$6:$B$65,MATCH(C1115,Categorie!$A$6:$A$65,0))&amp;"",""))</f>
        <v/>
      </c>
      <c r="H1115" s="32">
        <f>IF(AND(A1115="",C1115="",D1115=""),"",IF(D1115="","Manca l'importo",IF(NOT(ISNUMBER(D1115)),"Importo non valido",IF(NOT(ISNUMBER(A1115)),"Data mancante o non valida",IF(YEAR(A1115)&lt;&gt;Impostazioni!$C$4,"Fuori dall'anno",IF(C1115="","Manca la categoria",IF(ISNA(MATCH(C1115,Categorie!$A$6:$A$65,0)),"Categoria non trovata",IF(G1115="","Categoria senza tipo",""))))))))</f>
        <v/>
      </c>
    </row>
    <row r="1116">
      <c r="A1116" s="29" t="n"/>
      <c r="B1116" s="17" t="n"/>
      <c r="C1116" s="17" t="n"/>
      <c r="D1116" s="16" t="n"/>
      <c r="E1116" s="30" t="n"/>
      <c r="F1116" s="17" t="n"/>
      <c r="G1116" s="31">
        <f>IF(C1116="","",IFERROR(INDEX(Categorie!$B$6:$B$65,MATCH(C1116,Categorie!$A$6:$A$65,0))&amp;"",""))</f>
        <v/>
      </c>
      <c r="H1116" s="32">
        <f>IF(AND(A1116="",C1116="",D1116=""),"",IF(D1116="","Manca l'importo",IF(NOT(ISNUMBER(D1116)),"Importo non valido",IF(NOT(ISNUMBER(A1116)),"Data mancante o non valida",IF(YEAR(A1116)&lt;&gt;Impostazioni!$C$4,"Fuori dall'anno",IF(C1116="","Manca la categoria",IF(ISNA(MATCH(C1116,Categorie!$A$6:$A$65,0)),"Categoria non trovata",IF(G1116="","Categoria senza tipo",""))))))))</f>
        <v/>
      </c>
    </row>
    <row r="1117">
      <c r="A1117" s="29" t="n"/>
      <c r="B1117" s="17" t="n"/>
      <c r="C1117" s="17" t="n"/>
      <c r="D1117" s="16" t="n"/>
      <c r="E1117" s="30" t="n"/>
      <c r="F1117" s="17" t="n"/>
      <c r="G1117" s="31">
        <f>IF(C1117="","",IFERROR(INDEX(Categorie!$B$6:$B$65,MATCH(C1117,Categorie!$A$6:$A$65,0))&amp;"",""))</f>
        <v/>
      </c>
      <c r="H1117" s="32">
        <f>IF(AND(A1117="",C1117="",D1117=""),"",IF(D1117="","Manca l'importo",IF(NOT(ISNUMBER(D1117)),"Importo non valido",IF(NOT(ISNUMBER(A1117)),"Data mancante o non valida",IF(YEAR(A1117)&lt;&gt;Impostazioni!$C$4,"Fuori dall'anno",IF(C1117="","Manca la categoria",IF(ISNA(MATCH(C1117,Categorie!$A$6:$A$65,0)),"Categoria non trovata",IF(G1117="","Categoria senza tipo",""))))))))</f>
        <v/>
      </c>
    </row>
    <row r="1118">
      <c r="A1118" s="29" t="n"/>
      <c r="B1118" s="17" t="n"/>
      <c r="C1118" s="17" t="n"/>
      <c r="D1118" s="16" t="n"/>
      <c r="E1118" s="30" t="n"/>
      <c r="F1118" s="17" t="n"/>
      <c r="G1118" s="31">
        <f>IF(C1118="","",IFERROR(INDEX(Categorie!$B$6:$B$65,MATCH(C1118,Categorie!$A$6:$A$65,0))&amp;"",""))</f>
        <v/>
      </c>
      <c r="H1118" s="32">
        <f>IF(AND(A1118="",C1118="",D1118=""),"",IF(D1118="","Manca l'importo",IF(NOT(ISNUMBER(D1118)),"Importo non valido",IF(NOT(ISNUMBER(A1118)),"Data mancante o non valida",IF(YEAR(A1118)&lt;&gt;Impostazioni!$C$4,"Fuori dall'anno",IF(C1118="","Manca la categoria",IF(ISNA(MATCH(C1118,Categorie!$A$6:$A$65,0)),"Categoria non trovata",IF(G1118="","Categoria senza tipo",""))))))))</f>
        <v/>
      </c>
    </row>
    <row r="1119">
      <c r="A1119" s="29" t="n"/>
      <c r="B1119" s="17" t="n"/>
      <c r="C1119" s="17" t="n"/>
      <c r="D1119" s="16" t="n"/>
      <c r="E1119" s="30" t="n"/>
      <c r="F1119" s="17" t="n"/>
      <c r="G1119" s="31">
        <f>IF(C1119="","",IFERROR(INDEX(Categorie!$B$6:$B$65,MATCH(C1119,Categorie!$A$6:$A$65,0))&amp;"",""))</f>
        <v/>
      </c>
      <c r="H1119" s="32">
        <f>IF(AND(A1119="",C1119="",D1119=""),"",IF(D1119="","Manca l'importo",IF(NOT(ISNUMBER(D1119)),"Importo non valido",IF(NOT(ISNUMBER(A1119)),"Data mancante o non valida",IF(YEAR(A1119)&lt;&gt;Impostazioni!$C$4,"Fuori dall'anno",IF(C1119="","Manca la categoria",IF(ISNA(MATCH(C1119,Categorie!$A$6:$A$65,0)),"Categoria non trovata",IF(G1119="","Categoria senza tipo",""))))))))</f>
        <v/>
      </c>
    </row>
    <row r="1120">
      <c r="A1120" s="29" t="n"/>
      <c r="B1120" s="17" t="n"/>
      <c r="C1120" s="17" t="n"/>
      <c r="D1120" s="16" t="n"/>
      <c r="E1120" s="30" t="n"/>
      <c r="F1120" s="17" t="n"/>
      <c r="G1120" s="31">
        <f>IF(C1120="","",IFERROR(INDEX(Categorie!$B$6:$B$65,MATCH(C1120,Categorie!$A$6:$A$65,0))&amp;"",""))</f>
        <v/>
      </c>
      <c r="H1120" s="32">
        <f>IF(AND(A1120="",C1120="",D1120=""),"",IF(D1120="","Manca l'importo",IF(NOT(ISNUMBER(D1120)),"Importo non valido",IF(NOT(ISNUMBER(A1120)),"Data mancante o non valida",IF(YEAR(A1120)&lt;&gt;Impostazioni!$C$4,"Fuori dall'anno",IF(C1120="","Manca la categoria",IF(ISNA(MATCH(C1120,Categorie!$A$6:$A$65,0)),"Categoria non trovata",IF(G1120="","Categoria senza tipo",""))))))))</f>
        <v/>
      </c>
    </row>
    <row r="1121">
      <c r="A1121" s="29" t="n"/>
      <c r="B1121" s="17" t="n"/>
      <c r="C1121" s="17" t="n"/>
      <c r="D1121" s="16" t="n"/>
      <c r="E1121" s="30" t="n"/>
      <c r="F1121" s="17" t="n"/>
      <c r="G1121" s="31">
        <f>IF(C1121="","",IFERROR(INDEX(Categorie!$B$6:$B$65,MATCH(C1121,Categorie!$A$6:$A$65,0))&amp;"",""))</f>
        <v/>
      </c>
      <c r="H1121" s="32">
        <f>IF(AND(A1121="",C1121="",D1121=""),"",IF(D1121="","Manca l'importo",IF(NOT(ISNUMBER(D1121)),"Importo non valido",IF(NOT(ISNUMBER(A1121)),"Data mancante o non valida",IF(YEAR(A1121)&lt;&gt;Impostazioni!$C$4,"Fuori dall'anno",IF(C1121="","Manca la categoria",IF(ISNA(MATCH(C1121,Categorie!$A$6:$A$65,0)),"Categoria non trovata",IF(G1121="","Categoria senza tipo",""))))))))</f>
        <v/>
      </c>
    </row>
    <row r="1122">
      <c r="A1122" s="29" t="n"/>
      <c r="B1122" s="17" t="n"/>
      <c r="C1122" s="17" t="n"/>
      <c r="D1122" s="16" t="n"/>
      <c r="E1122" s="30" t="n"/>
      <c r="F1122" s="17" t="n"/>
      <c r="G1122" s="31">
        <f>IF(C1122="","",IFERROR(INDEX(Categorie!$B$6:$B$65,MATCH(C1122,Categorie!$A$6:$A$65,0))&amp;"",""))</f>
        <v/>
      </c>
      <c r="H1122" s="32">
        <f>IF(AND(A1122="",C1122="",D1122=""),"",IF(D1122="","Manca l'importo",IF(NOT(ISNUMBER(D1122)),"Importo non valido",IF(NOT(ISNUMBER(A1122)),"Data mancante o non valida",IF(YEAR(A1122)&lt;&gt;Impostazioni!$C$4,"Fuori dall'anno",IF(C1122="","Manca la categoria",IF(ISNA(MATCH(C1122,Categorie!$A$6:$A$65,0)),"Categoria non trovata",IF(G1122="","Categoria senza tipo",""))))))))</f>
        <v/>
      </c>
    </row>
    <row r="1123">
      <c r="A1123" s="29" t="n"/>
      <c r="B1123" s="17" t="n"/>
      <c r="C1123" s="17" t="n"/>
      <c r="D1123" s="16" t="n"/>
      <c r="E1123" s="30" t="n"/>
      <c r="F1123" s="17" t="n"/>
      <c r="G1123" s="31">
        <f>IF(C1123="","",IFERROR(INDEX(Categorie!$B$6:$B$65,MATCH(C1123,Categorie!$A$6:$A$65,0))&amp;"",""))</f>
        <v/>
      </c>
      <c r="H1123" s="32">
        <f>IF(AND(A1123="",C1123="",D1123=""),"",IF(D1123="","Manca l'importo",IF(NOT(ISNUMBER(D1123)),"Importo non valido",IF(NOT(ISNUMBER(A1123)),"Data mancante o non valida",IF(YEAR(A1123)&lt;&gt;Impostazioni!$C$4,"Fuori dall'anno",IF(C1123="","Manca la categoria",IF(ISNA(MATCH(C1123,Categorie!$A$6:$A$65,0)),"Categoria non trovata",IF(G1123="","Categoria senza tipo",""))))))))</f>
        <v/>
      </c>
    </row>
    <row r="1124">
      <c r="A1124" s="29" t="n"/>
      <c r="B1124" s="17" t="n"/>
      <c r="C1124" s="17" t="n"/>
      <c r="D1124" s="16" t="n"/>
      <c r="E1124" s="30" t="n"/>
      <c r="F1124" s="17" t="n"/>
      <c r="G1124" s="31">
        <f>IF(C1124="","",IFERROR(INDEX(Categorie!$B$6:$B$65,MATCH(C1124,Categorie!$A$6:$A$65,0))&amp;"",""))</f>
        <v/>
      </c>
      <c r="H1124" s="32">
        <f>IF(AND(A1124="",C1124="",D1124=""),"",IF(D1124="","Manca l'importo",IF(NOT(ISNUMBER(D1124)),"Importo non valido",IF(NOT(ISNUMBER(A1124)),"Data mancante o non valida",IF(YEAR(A1124)&lt;&gt;Impostazioni!$C$4,"Fuori dall'anno",IF(C1124="","Manca la categoria",IF(ISNA(MATCH(C1124,Categorie!$A$6:$A$65,0)),"Categoria non trovata",IF(G1124="","Categoria senza tipo",""))))))))</f>
        <v/>
      </c>
    </row>
    <row r="1125">
      <c r="A1125" s="29" t="n"/>
      <c r="B1125" s="17" t="n"/>
      <c r="C1125" s="17" t="n"/>
      <c r="D1125" s="16" t="n"/>
      <c r="E1125" s="30" t="n"/>
      <c r="F1125" s="17" t="n"/>
      <c r="G1125" s="31">
        <f>IF(C1125="","",IFERROR(INDEX(Categorie!$B$6:$B$65,MATCH(C1125,Categorie!$A$6:$A$65,0))&amp;"",""))</f>
        <v/>
      </c>
      <c r="H1125" s="32">
        <f>IF(AND(A1125="",C1125="",D1125=""),"",IF(D1125="","Manca l'importo",IF(NOT(ISNUMBER(D1125)),"Importo non valido",IF(NOT(ISNUMBER(A1125)),"Data mancante o non valida",IF(YEAR(A1125)&lt;&gt;Impostazioni!$C$4,"Fuori dall'anno",IF(C1125="","Manca la categoria",IF(ISNA(MATCH(C1125,Categorie!$A$6:$A$65,0)),"Categoria non trovata",IF(G1125="","Categoria senza tipo",""))))))))</f>
        <v/>
      </c>
    </row>
    <row r="1126">
      <c r="A1126" s="29" t="n"/>
      <c r="B1126" s="17" t="n"/>
      <c r="C1126" s="17" t="n"/>
      <c r="D1126" s="16" t="n"/>
      <c r="E1126" s="30" t="n"/>
      <c r="F1126" s="17" t="n"/>
      <c r="G1126" s="31">
        <f>IF(C1126="","",IFERROR(INDEX(Categorie!$B$6:$B$65,MATCH(C1126,Categorie!$A$6:$A$65,0))&amp;"",""))</f>
        <v/>
      </c>
      <c r="H1126" s="32">
        <f>IF(AND(A1126="",C1126="",D1126=""),"",IF(D1126="","Manca l'importo",IF(NOT(ISNUMBER(D1126)),"Importo non valido",IF(NOT(ISNUMBER(A1126)),"Data mancante o non valida",IF(YEAR(A1126)&lt;&gt;Impostazioni!$C$4,"Fuori dall'anno",IF(C1126="","Manca la categoria",IF(ISNA(MATCH(C1126,Categorie!$A$6:$A$65,0)),"Categoria non trovata",IF(G1126="","Categoria senza tipo",""))))))))</f>
        <v/>
      </c>
    </row>
    <row r="1127">
      <c r="A1127" s="29" t="n"/>
      <c r="B1127" s="17" t="n"/>
      <c r="C1127" s="17" t="n"/>
      <c r="D1127" s="16" t="n"/>
      <c r="E1127" s="30" t="n"/>
      <c r="F1127" s="17" t="n"/>
      <c r="G1127" s="31">
        <f>IF(C1127="","",IFERROR(INDEX(Categorie!$B$6:$B$65,MATCH(C1127,Categorie!$A$6:$A$65,0))&amp;"",""))</f>
        <v/>
      </c>
      <c r="H1127" s="32">
        <f>IF(AND(A1127="",C1127="",D1127=""),"",IF(D1127="","Manca l'importo",IF(NOT(ISNUMBER(D1127)),"Importo non valido",IF(NOT(ISNUMBER(A1127)),"Data mancante o non valida",IF(YEAR(A1127)&lt;&gt;Impostazioni!$C$4,"Fuori dall'anno",IF(C1127="","Manca la categoria",IF(ISNA(MATCH(C1127,Categorie!$A$6:$A$65,0)),"Categoria non trovata",IF(G1127="","Categoria senza tipo",""))))))))</f>
        <v/>
      </c>
    </row>
    <row r="1128">
      <c r="A1128" s="29" t="n"/>
      <c r="B1128" s="17" t="n"/>
      <c r="C1128" s="17" t="n"/>
      <c r="D1128" s="16" t="n"/>
      <c r="E1128" s="30" t="n"/>
      <c r="F1128" s="17" t="n"/>
      <c r="G1128" s="31">
        <f>IF(C1128="","",IFERROR(INDEX(Categorie!$B$6:$B$65,MATCH(C1128,Categorie!$A$6:$A$65,0))&amp;"",""))</f>
        <v/>
      </c>
      <c r="H1128" s="32">
        <f>IF(AND(A1128="",C1128="",D1128=""),"",IF(D1128="","Manca l'importo",IF(NOT(ISNUMBER(D1128)),"Importo non valido",IF(NOT(ISNUMBER(A1128)),"Data mancante o non valida",IF(YEAR(A1128)&lt;&gt;Impostazioni!$C$4,"Fuori dall'anno",IF(C1128="","Manca la categoria",IF(ISNA(MATCH(C1128,Categorie!$A$6:$A$65,0)),"Categoria non trovata",IF(G1128="","Categoria senza tipo",""))))))))</f>
        <v/>
      </c>
    </row>
    <row r="1129">
      <c r="A1129" s="29" t="n"/>
      <c r="B1129" s="17" t="n"/>
      <c r="C1129" s="17" t="n"/>
      <c r="D1129" s="16" t="n"/>
      <c r="E1129" s="30" t="n"/>
      <c r="F1129" s="17" t="n"/>
      <c r="G1129" s="31">
        <f>IF(C1129="","",IFERROR(INDEX(Categorie!$B$6:$B$65,MATCH(C1129,Categorie!$A$6:$A$65,0))&amp;"",""))</f>
        <v/>
      </c>
      <c r="H1129" s="32">
        <f>IF(AND(A1129="",C1129="",D1129=""),"",IF(D1129="","Manca l'importo",IF(NOT(ISNUMBER(D1129)),"Importo non valido",IF(NOT(ISNUMBER(A1129)),"Data mancante o non valida",IF(YEAR(A1129)&lt;&gt;Impostazioni!$C$4,"Fuori dall'anno",IF(C1129="","Manca la categoria",IF(ISNA(MATCH(C1129,Categorie!$A$6:$A$65,0)),"Categoria non trovata",IF(G1129="","Categoria senza tipo",""))))))))</f>
        <v/>
      </c>
    </row>
    <row r="1130">
      <c r="A1130" s="29" t="n"/>
      <c r="B1130" s="17" t="n"/>
      <c r="C1130" s="17" t="n"/>
      <c r="D1130" s="16" t="n"/>
      <c r="E1130" s="30" t="n"/>
      <c r="F1130" s="17" t="n"/>
      <c r="G1130" s="31">
        <f>IF(C1130="","",IFERROR(INDEX(Categorie!$B$6:$B$65,MATCH(C1130,Categorie!$A$6:$A$65,0))&amp;"",""))</f>
        <v/>
      </c>
      <c r="H1130" s="32">
        <f>IF(AND(A1130="",C1130="",D1130=""),"",IF(D1130="","Manca l'importo",IF(NOT(ISNUMBER(D1130)),"Importo non valido",IF(NOT(ISNUMBER(A1130)),"Data mancante o non valida",IF(YEAR(A1130)&lt;&gt;Impostazioni!$C$4,"Fuori dall'anno",IF(C1130="","Manca la categoria",IF(ISNA(MATCH(C1130,Categorie!$A$6:$A$65,0)),"Categoria non trovata",IF(G1130="","Categoria senza tipo",""))))))))</f>
        <v/>
      </c>
    </row>
    <row r="1131">
      <c r="A1131" s="29" t="n"/>
      <c r="B1131" s="17" t="n"/>
      <c r="C1131" s="17" t="n"/>
      <c r="D1131" s="16" t="n"/>
      <c r="E1131" s="30" t="n"/>
      <c r="F1131" s="17" t="n"/>
      <c r="G1131" s="31">
        <f>IF(C1131="","",IFERROR(INDEX(Categorie!$B$6:$B$65,MATCH(C1131,Categorie!$A$6:$A$65,0))&amp;"",""))</f>
        <v/>
      </c>
      <c r="H1131" s="32">
        <f>IF(AND(A1131="",C1131="",D1131=""),"",IF(D1131="","Manca l'importo",IF(NOT(ISNUMBER(D1131)),"Importo non valido",IF(NOT(ISNUMBER(A1131)),"Data mancante o non valida",IF(YEAR(A1131)&lt;&gt;Impostazioni!$C$4,"Fuori dall'anno",IF(C1131="","Manca la categoria",IF(ISNA(MATCH(C1131,Categorie!$A$6:$A$65,0)),"Categoria non trovata",IF(G1131="","Categoria senza tipo",""))))))))</f>
        <v/>
      </c>
    </row>
    <row r="1132">
      <c r="A1132" s="29" t="n"/>
      <c r="B1132" s="17" t="n"/>
      <c r="C1132" s="17" t="n"/>
      <c r="D1132" s="16" t="n"/>
      <c r="E1132" s="30" t="n"/>
      <c r="F1132" s="17" t="n"/>
      <c r="G1132" s="31">
        <f>IF(C1132="","",IFERROR(INDEX(Categorie!$B$6:$B$65,MATCH(C1132,Categorie!$A$6:$A$65,0))&amp;"",""))</f>
        <v/>
      </c>
      <c r="H1132" s="32">
        <f>IF(AND(A1132="",C1132="",D1132=""),"",IF(D1132="","Manca l'importo",IF(NOT(ISNUMBER(D1132)),"Importo non valido",IF(NOT(ISNUMBER(A1132)),"Data mancante o non valida",IF(YEAR(A1132)&lt;&gt;Impostazioni!$C$4,"Fuori dall'anno",IF(C1132="","Manca la categoria",IF(ISNA(MATCH(C1132,Categorie!$A$6:$A$65,0)),"Categoria non trovata",IF(G1132="","Categoria senza tipo",""))))))))</f>
        <v/>
      </c>
    </row>
    <row r="1133">
      <c r="A1133" s="29" t="n"/>
      <c r="B1133" s="17" t="n"/>
      <c r="C1133" s="17" t="n"/>
      <c r="D1133" s="16" t="n"/>
      <c r="E1133" s="30" t="n"/>
      <c r="F1133" s="17" t="n"/>
      <c r="G1133" s="31">
        <f>IF(C1133="","",IFERROR(INDEX(Categorie!$B$6:$B$65,MATCH(C1133,Categorie!$A$6:$A$65,0))&amp;"",""))</f>
        <v/>
      </c>
      <c r="H1133" s="32">
        <f>IF(AND(A1133="",C1133="",D1133=""),"",IF(D1133="","Manca l'importo",IF(NOT(ISNUMBER(D1133)),"Importo non valido",IF(NOT(ISNUMBER(A1133)),"Data mancante o non valida",IF(YEAR(A1133)&lt;&gt;Impostazioni!$C$4,"Fuori dall'anno",IF(C1133="","Manca la categoria",IF(ISNA(MATCH(C1133,Categorie!$A$6:$A$65,0)),"Categoria non trovata",IF(G1133="","Categoria senza tipo",""))))))))</f>
        <v/>
      </c>
    </row>
    <row r="1134">
      <c r="A1134" s="29" t="n"/>
      <c r="B1134" s="17" t="n"/>
      <c r="C1134" s="17" t="n"/>
      <c r="D1134" s="16" t="n"/>
      <c r="E1134" s="30" t="n"/>
      <c r="F1134" s="17" t="n"/>
      <c r="G1134" s="31">
        <f>IF(C1134="","",IFERROR(INDEX(Categorie!$B$6:$B$65,MATCH(C1134,Categorie!$A$6:$A$65,0))&amp;"",""))</f>
        <v/>
      </c>
      <c r="H1134" s="32">
        <f>IF(AND(A1134="",C1134="",D1134=""),"",IF(D1134="","Manca l'importo",IF(NOT(ISNUMBER(D1134)),"Importo non valido",IF(NOT(ISNUMBER(A1134)),"Data mancante o non valida",IF(YEAR(A1134)&lt;&gt;Impostazioni!$C$4,"Fuori dall'anno",IF(C1134="","Manca la categoria",IF(ISNA(MATCH(C1134,Categorie!$A$6:$A$65,0)),"Categoria non trovata",IF(G1134="","Categoria senza tipo",""))))))))</f>
        <v/>
      </c>
    </row>
    <row r="1135">
      <c r="A1135" s="29" t="n"/>
      <c r="B1135" s="17" t="n"/>
      <c r="C1135" s="17" t="n"/>
      <c r="D1135" s="16" t="n"/>
      <c r="E1135" s="30" t="n"/>
      <c r="F1135" s="17" t="n"/>
      <c r="G1135" s="31">
        <f>IF(C1135="","",IFERROR(INDEX(Categorie!$B$6:$B$65,MATCH(C1135,Categorie!$A$6:$A$65,0))&amp;"",""))</f>
        <v/>
      </c>
      <c r="H1135" s="32">
        <f>IF(AND(A1135="",C1135="",D1135=""),"",IF(D1135="","Manca l'importo",IF(NOT(ISNUMBER(D1135)),"Importo non valido",IF(NOT(ISNUMBER(A1135)),"Data mancante o non valida",IF(YEAR(A1135)&lt;&gt;Impostazioni!$C$4,"Fuori dall'anno",IF(C1135="","Manca la categoria",IF(ISNA(MATCH(C1135,Categorie!$A$6:$A$65,0)),"Categoria non trovata",IF(G1135="","Categoria senza tipo",""))))))))</f>
        <v/>
      </c>
    </row>
    <row r="1136">
      <c r="A1136" s="29" t="n"/>
      <c r="B1136" s="17" t="n"/>
      <c r="C1136" s="17" t="n"/>
      <c r="D1136" s="16" t="n"/>
      <c r="E1136" s="30" t="n"/>
      <c r="F1136" s="17" t="n"/>
      <c r="G1136" s="31">
        <f>IF(C1136="","",IFERROR(INDEX(Categorie!$B$6:$B$65,MATCH(C1136,Categorie!$A$6:$A$65,0))&amp;"",""))</f>
        <v/>
      </c>
      <c r="H1136" s="32">
        <f>IF(AND(A1136="",C1136="",D1136=""),"",IF(D1136="","Manca l'importo",IF(NOT(ISNUMBER(D1136)),"Importo non valido",IF(NOT(ISNUMBER(A1136)),"Data mancante o non valida",IF(YEAR(A1136)&lt;&gt;Impostazioni!$C$4,"Fuori dall'anno",IF(C1136="","Manca la categoria",IF(ISNA(MATCH(C1136,Categorie!$A$6:$A$65,0)),"Categoria non trovata",IF(G1136="","Categoria senza tipo",""))))))))</f>
        <v/>
      </c>
    </row>
    <row r="1137">
      <c r="A1137" s="29" t="n"/>
      <c r="B1137" s="17" t="n"/>
      <c r="C1137" s="17" t="n"/>
      <c r="D1137" s="16" t="n"/>
      <c r="E1137" s="30" t="n"/>
      <c r="F1137" s="17" t="n"/>
      <c r="G1137" s="31">
        <f>IF(C1137="","",IFERROR(INDEX(Categorie!$B$6:$B$65,MATCH(C1137,Categorie!$A$6:$A$65,0))&amp;"",""))</f>
        <v/>
      </c>
      <c r="H1137" s="32">
        <f>IF(AND(A1137="",C1137="",D1137=""),"",IF(D1137="","Manca l'importo",IF(NOT(ISNUMBER(D1137)),"Importo non valido",IF(NOT(ISNUMBER(A1137)),"Data mancante o non valida",IF(YEAR(A1137)&lt;&gt;Impostazioni!$C$4,"Fuori dall'anno",IF(C1137="","Manca la categoria",IF(ISNA(MATCH(C1137,Categorie!$A$6:$A$65,0)),"Categoria non trovata",IF(G1137="","Categoria senza tipo",""))))))))</f>
        <v/>
      </c>
    </row>
    <row r="1138">
      <c r="A1138" s="29" t="n"/>
      <c r="B1138" s="17" t="n"/>
      <c r="C1138" s="17" t="n"/>
      <c r="D1138" s="16" t="n"/>
      <c r="E1138" s="30" t="n"/>
      <c r="F1138" s="17" t="n"/>
      <c r="G1138" s="31">
        <f>IF(C1138="","",IFERROR(INDEX(Categorie!$B$6:$B$65,MATCH(C1138,Categorie!$A$6:$A$65,0))&amp;"",""))</f>
        <v/>
      </c>
      <c r="H1138" s="32">
        <f>IF(AND(A1138="",C1138="",D1138=""),"",IF(D1138="","Manca l'importo",IF(NOT(ISNUMBER(D1138)),"Importo non valido",IF(NOT(ISNUMBER(A1138)),"Data mancante o non valida",IF(YEAR(A1138)&lt;&gt;Impostazioni!$C$4,"Fuori dall'anno",IF(C1138="","Manca la categoria",IF(ISNA(MATCH(C1138,Categorie!$A$6:$A$65,0)),"Categoria non trovata",IF(G1138="","Categoria senza tipo",""))))))))</f>
        <v/>
      </c>
    </row>
    <row r="1139">
      <c r="A1139" s="29" t="n"/>
      <c r="B1139" s="17" t="n"/>
      <c r="C1139" s="17" t="n"/>
      <c r="D1139" s="16" t="n"/>
      <c r="E1139" s="30" t="n"/>
      <c r="F1139" s="17" t="n"/>
      <c r="G1139" s="31">
        <f>IF(C1139="","",IFERROR(INDEX(Categorie!$B$6:$B$65,MATCH(C1139,Categorie!$A$6:$A$65,0))&amp;"",""))</f>
        <v/>
      </c>
      <c r="H1139" s="32">
        <f>IF(AND(A1139="",C1139="",D1139=""),"",IF(D1139="","Manca l'importo",IF(NOT(ISNUMBER(D1139)),"Importo non valido",IF(NOT(ISNUMBER(A1139)),"Data mancante o non valida",IF(YEAR(A1139)&lt;&gt;Impostazioni!$C$4,"Fuori dall'anno",IF(C1139="","Manca la categoria",IF(ISNA(MATCH(C1139,Categorie!$A$6:$A$65,0)),"Categoria non trovata",IF(G1139="","Categoria senza tipo",""))))))))</f>
        <v/>
      </c>
    </row>
    <row r="1140">
      <c r="A1140" s="29" t="n"/>
      <c r="B1140" s="17" t="n"/>
      <c r="C1140" s="17" t="n"/>
      <c r="D1140" s="16" t="n"/>
      <c r="E1140" s="30" t="n"/>
      <c r="F1140" s="17" t="n"/>
      <c r="G1140" s="31">
        <f>IF(C1140="","",IFERROR(INDEX(Categorie!$B$6:$B$65,MATCH(C1140,Categorie!$A$6:$A$65,0))&amp;"",""))</f>
        <v/>
      </c>
      <c r="H1140" s="32">
        <f>IF(AND(A1140="",C1140="",D1140=""),"",IF(D1140="","Manca l'importo",IF(NOT(ISNUMBER(D1140)),"Importo non valido",IF(NOT(ISNUMBER(A1140)),"Data mancante o non valida",IF(YEAR(A1140)&lt;&gt;Impostazioni!$C$4,"Fuori dall'anno",IF(C1140="","Manca la categoria",IF(ISNA(MATCH(C1140,Categorie!$A$6:$A$65,0)),"Categoria non trovata",IF(G1140="","Categoria senza tipo",""))))))))</f>
        <v/>
      </c>
    </row>
    <row r="1141">
      <c r="A1141" s="29" t="n"/>
      <c r="B1141" s="17" t="n"/>
      <c r="C1141" s="17" t="n"/>
      <c r="D1141" s="16" t="n"/>
      <c r="E1141" s="30" t="n"/>
      <c r="F1141" s="17" t="n"/>
      <c r="G1141" s="31">
        <f>IF(C1141="","",IFERROR(INDEX(Categorie!$B$6:$B$65,MATCH(C1141,Categorie!$A$6:$A$65,0))&amp;"",""))</f>
        <v/>
      </c>
      <c r="H1141" s="32">
        <f>IF(AND(A1141="",C1141="",D1141=""),"",IF(D1141="","Manca l'importo",IF(NOT(ISNUMBER(D1141)),"Importo non valido",IF(NOT(ISNUMBER(A1141)),"Data mancante o non valida",IF(YEAR(A1141)&lt;&gt;Impostazioni!$C$4,"Fuori dall'anno",IF(C1141="","Manca la categoria",IF(ISNA(MATCH(C1141,Categorie!$A$6:$A$65,0)),"Categoria non trovata",IF(G1141="","Categoria senza tipo",""))))))))</f>
        <v/>
      </c>
    </row>
    <row r="1142">
      <c r="A1142" s="29" t="n"/>
      <c r="B1142" s="17" t="n"/>
      <c r="C1142" s="17" t="n"/>
      <c r="D1142" s="16" t="n"/>
      <c r="E1142" s="30" t="n"/>
      <c r="F1142" s="17" t="n"/>
      <c r="G1142" s="31">
        <f>IF(C1142="","",IFERROR(INDEX(Categorie!$B$6:$B$65,MATCH(C1142,Categorie!$A$6:$A$65,0))&amp;"",""))</f>
        <v/>
      </c>
      <c r="H1142" s="32">
        <f>IF(AND(A1142="",C1142="",D1142=""),"",IF(D1142="","Manca l'importo",IF(NOT(ISNUMBER(D1142)),"Importo non valido",IF(NOT(ISNUMBER(A1142)),"Data mancante o non valida",IF(YEAR(A1142)&lt;&gt;Impostazioni!$C$4,"Fuori dall'anno",IF(C1142="","Manca la categoria",IF(ISNA(MATCH(C1142,Categorie!$A$6:$A$65,0)),"Categoria non trovata",IF(G1142="","Categoria senza tipo",""))))))))</f>
        <v/>
      </c>
    </row>
    <row r="1143">
      <c r="A1143" s="29" t="n"/>
      <c r="B1143" s="17" t="n"/>
      <c r="C1143" s="17" t="n"/>
      <c r="D1143" s="16" t="n"/>
      <c r="E1143" s="30" t="n"/>
      <c r="F1143" s="17" t="n"/>
      <c r="G1143" s="31">
        <f>IF(C1143="","",IFERROR(INDEX(Categorie!$B$6:$B$65,MATCH(C1143,Categorie!$A$6:$A$65,0))&amp;"",""))</f>
        <v/>
      </c>
      <c r="H1143" s="32">
        <f>IF(AND(A1143="",C1143="",D1143=""),"",IF(D1143="","Manca l'importo",IF(NOT(ISNUMBER(D1143)),"Importo non valido",IF(NOT(ISNUMBER(A1143)),"Data mancante o non valida",IF(YEAR(A1143)&lt;&gt;Impostazioni!$C$4,"Fuori dall'anno",IF(C1143="","Manca la categoria",IF(ISNA(MATCH(C1143,Categorie!$A$6:$A$65,0)),"Categoria non trovata",IF(G1143="","Categoria senza tipo",""))))))))</f>
        <v/>
      </c>
    </row>
    <row r="1144">
      <c r="A1144" s="29" t="n"/>
      <c r="B1144" s="17" t="n"/>
      <c r="C1144" s="17" t="n"/>
      <c r="D1144" s="16" t="n"/>
      <c r="E1144" s="30" t="n"/>
      <c r="F1144" s="17" t="n"/>
      <c r="G1144" s="31">
        <f>IF(C1144="","",IFERROR(INDEX(Categorie!$B$6:$B$65,MATCH(C1144,Categorie!$A$6:$A$65,0))&amp;"",""))</f>
        <v/>
      </c>
      <c r="H1144" s="32">
        <f>IF(AND(A1144="",C1144="",D1144=""),"",IF(D1144="","Manca l'importo",IF(NOT(ISNUMBER(D1144)),"Importo non valido",IF(NOT(ISNUMBER(A1144)),"Data mancante o non valida",IF(YEAR(A1144)&lt;&gt;Impostazioni!$C$4,"Fuori dall'anno",IF(C1144="","Manca la categoria",IF(ISNA(MATCH(C1144,Categorie!$A$6:$A$65,0)),"Categoria non trovata",IF(G1144="","Categoria senza tipo",""))))))))</f>
        <v/>
      </c>
    </row>
    <row r="1145">
      <c r="A1145" s="29" t="n"/>
      <c r="B1145" s="17" t="n"/>
      <c r="C1145" s="17" t="n"/>
      <c r="D1145" s="16" t="n"/>
      <c r="E1145" s="30" t="n"/>
      <c r="F1145" s="17" t="n"/>
      <c r="G1145" s="31">
        <f>IF(C1145="","",IFERROR(INDEX(Categorie!$B$6:$B$65,MATCH(C1145,Categorie!$A$6:$A$65,0))&amp;"",""))</f>
        <v/>
      </c>
      <c r="H1145" s="32">
        <f>IF(AND(A1145="",C1145="",D1145=""),"",IF(D1145="","Manca l'importo",IF(NOT(ISNUMBER(D1145)),"Importo non valido",IF(NOT(ISNUMBER(A1145)),"Data mancante o non valida",IF(YEAR(A1145)&lt;&gt;Impostazioni!$C$4,"Fuori dall'anno",IF(C1145="","Manca la categoria",IF(ISNA(MATCH(C1145,Categorie!$A$6:$A$65,0)),"Categoria non trovata",IF(G1145="","Categoria senza tipo",""))))))))</f>
        <v/>
      </c>
    </row>
    <row r="1146">
      <c r="A1146" s="29" t="n"/>
      <c r="B1146" s="17" t="n"/>
      <c r="C1146" s="17" t="n"/>
      <c r="D1146" s="16" t="n"/>
      <c r="E1146" s="30" t="n"/>
      <c r="F1146" s="17" t="n"/>
      <c r="G1146" s="31">
        <f>IF(C1146="","",IFERROR(INDEX(Categorie!$B$6:$B$65,MATCH(C1146,Categorie!$A$6:$A$65,0))&amp;"",""))</f>
        <v/>
      </c>
      <c r="H1146" s="32">
        <f>IF(AND(A1146="",C1146="",D1146=""),"",IF(D1146="","Manca l'importo",IF(NOT(ISNUMBER(D1146)),"Importo non valido",IF(NOT(ISNUMBER(A1146)),"Data mancante o non valida",IF(YEAR(A1146)&lt;&gt;Impostazioni!$C$4,"Fuori dall'anno",IF(C1146="","Manca la categoria",IF(ISNA(MATCH(C1146,Categorie!$A$6:$A$65,0)),"Categoria non trovata",IF(G1146="","Categoria senza tipo",""))))))))</f>
        <v/>
      </c>
    </row>
    <row r="1147">
      <c r="A1147" s="29" t="n"/>
      <c r="B1147" s="17" t="n"/>
      <c r="C1147" s="17" t="n"/>
      <c r="D1147" s="16" t="n"/>
      <c r="E1147" s="30" t="n"/>
      <c r="F1147" s="17" t="n"/>
      <c r="G1147" s="31">
        <f>IF(C1147="","",IFERROR(INDEX(Categorie!$B$6:$B$65,MATCH(C1147,Categorie!$A$6:$A$65,0))&amp;"",""))</f>
        <v/>
      </c>
      <c r="H1147" s="32">
        <f>IF(AND(A1147="",C1147="",D1147=""),"",IF(D1147="","Manca l'importo",IF(NOT(ISNUMBER(D1147)),"Importo non valido",IF(NOT(ISNUMBER(A1147)),"Data mancante o non valida",IF(YEAR(A1147)&lt;&gt;Impostazioni!$C$4,"Fuori dall'anno",IF(C1147="","Manca la categoria",IF(ISNA(MATCH(C1147,Categorie!$A$6:$A$65,0)),"Categoria non trovata",IF(G1147="","Categoria senza tipo",""))))))))</f>
        <v/>
      </c>
    </row>
    <row r="1148">
      <c r="A1148" s="29" t="n"/>
      <c r="B1148" s="17" t="n"/>
      <c r="C1148" s="17" t="n"/>
      <c r="D1148" s="16" t="n"/>
      <c r="E1148" s="30" t="n"/>
      <c r="F1148" s="17" t="n"/>
      <c r="G1148" s="31">
        <f>IF(C1148="","",IFERROR(INDEX(Categorie!$B$6:$B$65,MATCH(C1148,Categorie!$A$6:$A$65,0))&amp;"",""))</f>
        <v/>
      </c>
      <c r="H1148" s="32">
        <f>IF(AND(A1148="",C1148="",D1148=""),"",IF(D1148="","Manca l'importo",IF(NOT(ISNUMBER(D1148)),"Importo non valido",IF(NOT(ISNUMBER(A1148)),"Data mancante o non valida",IF(YEAR(A1148)&lt;&gt;Impostazioni!$C$4,"Fuori dall'anno",IF(C1148="","Manca la categoria",IF(ISNA(MATCH(C1148,Categorie!$A$6:$A$65,0)),"Categoria non trovata",IF(G1148="","Categoria senza tipo",""))))))))</f>
        <v/>
      </c>
    </row>
    <row r="1149">
      <c r="A1149" s="29" t="n"/>
      <c r="B1149" s="17" t="n"/>
      <c r="C1149" s="17" t="n"/>
      <c r="D1149" s="16" t="n"/>
      <c r="E1149" s="30" t="n"/>
      <c r="F1149" s="17" t="n"/>
      <c r="G1149" s="31">
        <f>IF(C1149="","",IFERROR(INDEX(Categorie!$B$6:$B$65,MATCH(C1149,Categorie!$A$6:$A$65,0))&amp;"",""))</f>
        <v/>
      </c>
      <c r="H1149" s="32">
        <f>IF(AND(A1149="",C1149="",D1149=""),"",IF(D1149="","Manca l'importo",IF(NOT(ISNUMBER(D1149)),"Importo non valido",IF(NOT(ISNUMBER(A1149)),"Data mancante o non valida",IF(YEAR(A1149)&lt;&gt;Impostazioni!$C$4,"Fuori dall'anno",IF(C1149="","Manca la categoria",IF(ISNA(MATCH(C1149,Categorie!$A$6:$A$65,0)),"Categoria non trovata",IF(G1149="","Categoria senza tipo",""))))))))</f>
        <v/>
      </c>
    </row>
    <row r="1150">
      <c r="A1150" s="29" t="n"/>
      <c r="B1150" s="17" t="n"/>
      <c r="C1150" s="17" t="n"/>
      <c r="D1150" s="16" t="n"/>
      <c r="E1150" s="30" t="n"/>
      <c r="F1150" s="17" t="n"/>
      <c r="G1150" s="31">
        <f>IF(C1150="","",IFERROR(INDEX(Categorie!$B$6:$B$65,MATCH(C1150,Categorie!$A$6:$A$65,0))&amp;"",""))</f>
        <v/>
      </c>
      <c r="H1150" s="32">
        <f>IF(AND(A1150="",C1150="",D1150=""),"",IF(D1150="","Manca l'importo",IF(NOT(ISNUMBER(D1150)),"Importo non valido",IF(NOT(ISNUMBER(A1150)),"Data mancante o non valida",IF(YEAR(A1150)&lt;&gt;Impostazioni!$C$4,"Fuori dall'anno",IF(C1150="","Manca la categoria",IF(ISNA(MATCH(C1150,Categorie!$A$6:$A$65,0)),"Categoria non trovata",IF(G1150="","Categoria senza tipo",""))))))))</f>
        <v/>
      </c>
    </row>
    <row r="1151">
      <c r="A1151" s="29" t="n"/>
      <c r="B1151" s="17" t="n"/>
      <c r="C1151" s="17" t="n"/>
      <c r="D1151" s="16" t="n"/>
      <c r="E1151" s="30" t="n"/>
      <c r="F1151" s="17" t="n"/>
      <c r="G1151" s="31">
        <f>IF(C1151="","",IFERROR(INDEX(Categorie!$B$6:$B$65,MATCH(C1151,Categorie!$A$6:$A$65,0))&amp;"",""))</f>
        <v/>
      </c>
      <c r="H1151" s="32">
        <f>IF(AND(A1151="",C1151="",D1151=""),"",IF(D1151="","Manca l'importo",IF(NOT(ISNUMBER(D1151)),"Importo non valido",IF(NOT(ISNUMBER(A1151)),"Data mancante o non valida",IF(YEAR(A1151)&lt;&gt;Impostazioni!$C$4,"Fuori dall'anno",IF(C1151="","Manca la categoria",IF(ISNA(MATCH(C1151,Categorie!$A$6:$A$65,0)),"Categoria non trovata",IF(G1151="","Categoria senza tipo",""))))))))</f>
        <v/>
      </c>
    </row>
    <row r="1152">
      <c r="A1152" s="29" t="n"/>
      <c r="B1152" s="17" t="n"/>
      <c r="C1152" s="17" t="n"/>
      <c r="D1152" s="16" t="n"/>
      <c r="E1152" s="30" t="n"/>
      <c r="F1152" s="17" t="n"/>
      <c r="G1152" s="31">
        <f>IF(C1152="","",IFERROR(INDEX(Categorie!$B$6:$B$65,MATCH(C1152,Categorie!$A$6:$A$65,0))&amp;"",""))</f>
        <v/>
      </c>
      <c r="H1152" s="32">
        <f>IF(AND(A1152="",C1152="",D1152=""),"",IF(D1152="","Manca l'importo",IF(NOT(ISNUMBER(D1152)),"Importo non valido",IF(NOT(ISNUMBER(A1152)),"Data mancante o non valida",IF(YEAR(A1152)&lt;&gt;Impostazioni!$C$4,"Fuori dall'anno",IF(C1152="","Manca la categoria",IF(ISNA(MATCH(C1152,Categorie!$A$6:$A$65,0)),"Categoria non trovata",IF(G1152="","Categoria senza tipo",""))))))))</f>
        <v/>
      </c>
    </row>
    <row r="1153">
      <c r="A1153" s="29" t="n"/>
      <c r="B1153" s="17" t="n"/>
      <c r="C1153" s="17" t="n"/>
      <c r="D1153" s="16" t="n"/>
      <c r="E1153" s="30" t="n"/>
      <c r="F1153" s="17" t="n"/>
      <c r="G1153" s="31">
        <f>IF(C1153="","",IFERROR(INDEX(Categorie!$B$6:$B$65,MATCH(C1153,Categorie!$A$6:$A$65,0))&amp;"",""))</f>
        <v/>
      </c>
      <c r="H1153" s="32">
        <f>IF(AND(A1153="",C1153="",D1153=""),"",IF(D1153="","Manca l'importo",IF(NOT(ISNUMBER(D1153)),"Importo non valido",IF(NOT(ISNUMBER(A1153)),"Data mancante o non valida",IF(YEAR(A1153)&lt;&gt;Impostazioni!$C$4,"Fuori dall'anno",IF(C1153="","Manca la categoria",IF(ISNA(MATCH(C1153,Categorie!$A$6:$A$65,0)),"Categoria non trovata",IF(G1153="","Categoria senza tipo",""))))))))</f>
        <v/>
      </c>
    </row>
    <row r="1154">
      <c r="A1154" s="29" t="n"/>
      <c r="B1154" s="17" t="n"/>
      <c r="C1154" s="17" t="n"/>
      <c r="D1154" s="16" t="n"/>
      <c r="E1154" s="30" t="n"/>
      <c r="F1154" s="17" t="n"/>
      <c r="G1154" s="31">
        <f>IF(C1154="","",IFERROR(INDEX(Categorie!$B$6:$B$65,MATCH(C1154,Categorie!$A$6:$A$65,0))&amp;"",""))</f>
        <v/>
      </c>
      <c r="H1154" s="32">
        <f>IF(AND(A1154="",C1154="",D1154=""),"",IF(D1154="","Manca l'importo",IF(NOT(ISNUMBER(D1154)),"Importo non valido",IF(NOT(ISNUMBER(A1154)),"Data mancante o non valida",IF(YEAR(A1154)&lt;&gt;Impostazioni!$C$4,"Fuori dall'anno",IF(C1154="","Manca la categoria",IF(ISNA(MATCH(C1154,Categorie!$A$6:$A$65,0)),"Categoria non trovata",IF(G1154="","Categoria senza tipo",""))))))))</f>
        <v/>
      </c>
    </row>
    <row r="1155">
      <c r="A1155" s="29" t="n"/>
      <c r="B1155" s="17" t="n"/>
      <c r="C1155" s="17" t="n"/>
      <c r="D1155" s="16" t="n"/>
      <c r="E1155" s="30" t="n"/>
      <c r="F1155" s="17" t="n"/>
      <c r="G1155" s="31">
        <f>IF(C1155="","",IFERROR(INDEX(Categorie!$B$6:$B$65,MATCH(C1155,Categorie!$A$6:$A$65,0))&amp;"",""))</f>
        <v/>
      </c>
      <c r="H1155" s="32">
        <f>IF(AND(A1155="",C1155="",D1155=""),"",IF(D1155="","Manca l'importo",IF(NOT(ISNUMBER(D1155)),"Importo non valido",IF(NOT(ISNUMBER(A1155)),"Data mancante o non valida",IF(YEAR(A1155)&lt;&gt;Impostazioni!$C$4,"Fuori dall'anno",IF(C1155="","Manca la categoria",IF(ISNA(MATCH(C1155,Categorie!$A$6:$A$65,0)),"Categoria non trovata",IF(G1155="","Categoria senza tipo",""))))))))</f>
        <v/>
      </c>
    </row>
    <row r="1156">
      <c r="A1156" s="29" t="n"/>
      <c r="B1156" s="17" t="n"/>
      <c r="C1156" s="17" t="n"/>
      <c r="D1156" s="16" t="n"/>
      <c r="E1156" s="30" t="n"/>
      <c r="F1156" s="17" t="n"/>
      <c r="G1156" s="31">
        <f>IF(C1156="","",IFERROR(INDEX(Categorie!$B$6:$B$65,MATCH(C1156,Categorie!$A$6:$A$65,0))&amp;"",""))</f>
        <v/>
      </c>
      <c r="H1156" s="32">
        <f>IF(AND(A1156="",C1156="",D1156=""),"",IF(D1156="","Manca l'importo",IF(NOT(ISNUMBER(D1156)),"Importo non valido",IF(NOT(ISNUMBER(A1156)),"Data mancante o non valida",IF(YEAR(A1156)&lt;&gt;Impostazioni!$C$4,"Fuori dall'anno",IF(C1156="","Manca la categoria",IF(ISNA(MATCH(C1156,Categorie!$A$6:$A$65,0)),"Categoria non trovata",IF(G1156="","Categoria senza tipo",""))))))))</f>
        <v/>
      </c>
    </row>
    <row r="1157">
      <c r="A1157" s="29" t="n"/>
      <c r="B1157" s="17" t="n"/>
      <c r="C1157" s="17" t="n"/>
      <c r="D1157" s="16" t="n"/>
      <c r="E1157" s="30" t="n"/>
      <c r="F1157" s="17" t="n"/>
      <c r="G1157" s="31">
        <f>IF(C1157="","",IFERROR(INDEX(Categorie!$B$6:$B$65,MATCH(C1157,Categorie!$A$6:$A$65,0))&amp;"",""))</f>
        <v/>
      </c>
      <c r="H1157" s="32">
        <f>IF(AND(A1157="",C1157="",D1157=""),"",IF(D1157="","Manca l'importo",IF(NOT(ISNUMBER(D1157)),"Importo non valido",IF(NOT(ISNUMBER(A1157)),"Data mancante o non valida",IF(YEAR(A1157)&lt;&gt;Impostazioni!$C$4,"Fuori dall'anno",IF(C1157="","Manca la categoria",IF(ISNA(MATCH(C1157,Categorie!$A$6:$A$65,0)),"Categoria non trovata",IF(G1157="","Categoria senza tipo",""))))))))</f>
        <v/>
      </c>
    </row>
    <row r="1158">
      <c r="A1158" s="29" t="n"/>
      <c r="B1158" s="17" t="n"/>
      <c r="C1158" s="17" t="n"/>
      <c r="D1158" s="16" t="n"/>
      <c r="E1158" s="30" t="n"/>
      <c r="F1158" s="17" t="n"/>
      <c r="G1158" s="31">
        <f>IF(C1158="","",IFERROR(INDEX(Categorie!$B$6:$B$65,MATCH(C1158,Categorie!$A$6:$A$65,0))&amp;"",""))</f>
        <v/>
      </c>
      <c r="H1158" s="32">
        <f>IF(AND(A1158="",C1158="",D1158=""),"",IF(D1158="","Manca l'importo",IF(NOT(ISNUMBER(D1158)),"Importo non valido",IF(NOT(ISNUMBER(A1158)),"Data mancante o non valida",IF(YEAR(A1158)&lt;&gt;Impostazioni!$C$4,"Fuori dall'anno",IF(C1158="","Manca la categoria",IF(ISNA(MATCH(C1158,Categorie!$A$6:$A$65,0)),"Categoria non trovata",IF(G1158="","Categoria senza tipo",""))))))))</f>
        <v/>
      </c>
    </row>
    <row r="1159">
      <c r="A1159" s="29" t="n"/>
      <c r="B1159" s="17" t="n"/>
      <c r="C1159" s="17" t="n"/>
      <c r="D1159" s="16" t="n"/>
      <c r="E1159" s="30" t="n"/>
      <c r="F1159" s="17" t="n"/>
      <c r="G1159" s="31">
        <f>IF(C1159="","",IFERROR(INDEX(Categorie!$B$6:$B$65,MATCH(C1159,Categorie!$A$6:$A$65,0))&amp;"",""))</f>
        <v/>
      </c>
      <c r="H1159" s="32">
        <f>IF(AND(A1159="",C1159="",D1159=""),"",IF(D1159="","Manca l'importo",IF(NOT(ISNUMBER(D1159)),"Importo non valido",IF(NOT(ISNUMBER(A1159)),"Data mancante o non valida",IF(YEAR(A1159)&lt;&gt;Impostazioni!$C$4,"Fuori dall'anno",IF(C1159="","Manca la categoria",IF(ISNA(MATCH(C1159,Categorie!$A$6:$A$65,0)),"Categoria non trovata",IF(G1159="","Categoria senza tipo",""))))))))</f>
        <v/>
      </c>
    </row>
    <row r="1160">
      <c r="A1160" s="29" t="n"/>
      <c r="B1160" s="17" t="n"/>
      <c r="C1160" s="17" t="n"/>
      <c r="D1160" s="16" t="n"/>
      <c r="E1160" s="30" t="n"/>
      <c r="F1160" s="17" t="n"/>
      <c r="G1160" s="31">
        <f>IF(C1160="","",IFERROR(INDEX(Categorie!$B$6:$B$65,MATCH(C1160,Categorie!$A$6:$A$65,0))&amp;"",""))</f>
        <v/>
      </c>
      <c r="H1160" s="32">
        <f>IF(AND(A1160="",C1160="",D1160=""),"",IF(D1160="","Manca l'importo",IF(NOT(ISNUMBER(D1160)),"Importo non valido",IF(NOT(ISNUMBER(A1160)),"Data mancante o non valida",IF(YEAR(A1160)&lt;&gt;Impostazioni!$C$4,"Fuori dall'anno",IF(C1160="","Manca la categoria",IF(ISNA(MATCH(C1160,Categorie!$A$6:$A$65,0)),"Categoria non trovata",IF(G1160="","Categoria senza tipo",""))))))))</f>
        <v/>
      </c>
    </row>
    <row r="1161">
      <c r="A1161" s="29" t="n"/>
      <c r="B1161" s="17" t="n"/>
      <c r="C1161" s="17" t="n"/>
      <c r="D1161" s="16" t="n"/>
      <c r="E1161" s="30" t="n"/>
      <c r="F1161" s="17" t="n"/>
      <c r="G1161" s="31">
        <f>IF(C1161="","",IFERROR(INDEX(Categorie!$B$6:$B$65,MATCH(C1161,Categorie!$A$6:$A$65,0))&amp;"",""))</f>
        <v/>
      </c>
      <c r="H1161" s="32">
        <f>IF(AND(A1161="",C1161="",D1161=""),"",IF(D1161="","Manca l'importo",IF(NOT(ISNUMBER(D1161)),"Importo non valido",IF(NOT(ISNUMBER(A1161)),"Data mancante o non valida",IF(YEAR(A1161)&lt;&gt;Impostazioni!$C$4,"Fuori dall'anno",IF(C1161="","Manca la categoria",IF(ISNA(MATCH(C1161,Categorie!$A$6:$A$65,0)),"Categoria non trovata",IF(G1161="","Categoria senza tipo",""))))))))</f>
        <v/>
      </c>
    </row>
    <row r="1162">
      <c r="A1162" s="29" t="n"/>
      <c r="B1162" s="17" t="n"/>
      <c r="C1162" s="17" t="n"/>
      <c r="D1162" s="16" t="n"/>
      <c r="E1162" s="30" t="n"/>
      <c r="F1162" s="17" t="n"/>
      <c r="G1162" s="31">
        <f>IF(C1162="","",IFERROR(INDEX(Categorie!$B$6:$B$65,MATCH(C1162,Categorie!$A$6:$A$65,0))&amp;"",""))</f>
        <v/>
      </c>
      <c r="H1162" s="32">
        <f>IF(AND(A1162="",C1162="",D1162=""),"",IF(D1162="","Manca l'importo",IF(NOT(ISNUMBER(D1162)),"Importo non valido",IF(NOT(ISNUMBER(A1162)),"Data mancante o non valida",IF(YEAR(A1162)&lt;&gt;Impostazioni!$C$4,"Fuori dall'anno",IF(C1162="","Manca la categoria",IF(ISNA(MATCH(C1162,Categorie!$A$6:$A$65,0)),"Categoria non trovata",IF(G1162="","Categoria senza tipo",""))))))))</f>
        <v/>
      </c>
    </row>
    <row r="1163">
      <c r="A1163" s="29" t="n"/>
      <c r="B1163" s="17" t="n"/>
      <c r="C1163" s="17" t="n"/>
      <c r="D1163" s="16" t="n"/>
      <c r="E1163" s="30" t="n"/>
      <c r="F1163" s="17" t="n"/>
      <c r="G1163" s="31">
        <f>IF(C1163="","",IFERROR(INDEX(Categorie!$B$6:$B$65,MATCH(C1163,Categorie!$A$6:$A$65,0))&amp;"",""))</f>
        <v/>
      </c>
      <c r="H1163" s="32">
        <f>IF(AND(A1163="",C1163="",D1163=""),"",IF(D1163="","Manca l'importo",IF(NOT(ISNUMBER(D1163)),"Importo non valido",IF(NOT(ISNUMBER(A1163)),"Data mancante o non valida",IF(YEAR(A1163)&lt;&gt;Impostazioni!$C$4,"Fuori dall'anno",IF(C1163="","Manca la categoria",IF(ISNA(MATCH(C1163,Categorie!$A$6:$A$65,0)),"Categoria non trovata",IF(G1163="","Categoria senza tipo",""))))))))</f>
        <v/>
      </c>
    </row>
    <row r="1164">
      <c r="A1164" s="29" t="n"/>
      <c r="B1164" s="17" t="n"/>
      <c r="C1164" s="17" t="n"/>
      <c r="D1164" s="16" t="n"/>
      <c r="E1164" s="30" t="n"/>
      <c r="F1164" s="17" t="n"/>
      <c r="G1164" s="31">
        <f>IF(C1164="","",IFERROR(INDEX(Categorie!$B$6:$B$65,MATCH(C1164,Categorie!$A$6:$A$65,0))&amp;"",""))</f>
        <v/>
      </c>
      <c r="H1164" s="32">
        <f>IF(AND(A1164="",C1164="",D1164=""),"",IF(D1164="","Manca l'importo",IF(NOT(ISNUMBER(D1164)),"Importo non valido",IF(NOT(ISNUMBER(A1164)),"Data mancante o non valida",IF(YEAR(A1164)&lt;&gt;Impostazioni!$C$4,"Fuori dall'anno",IF(C1164="","Manca la categoria",IF(ISNA(MATCH(C1164,Categorie!$A$6:$A$65,0)),"Categoria non trovata",IF(G1164="","Categoria senza tipo",""))))))))</f>
        <v/>
      </c>
    </row>
    <row r="1165">
      <c r="A1165" s="29" t="n"/>
      <c r="B1165" s="17" t="n"/>
      <c r="C1165" s="17" t="n"/>
      <c r="D1165" s="16" t="n"/>
      <c r="E1165" s="30" t="n"/>
      <c r="F1165" s="17" t="n"/>
      <c r="G1165" s="31">
        <f>IF(C1165="","",IFERROR(INDEX(Categorie!$B$6:$B$65,MATCH(C1165,Categorie!$A$6:$A$65,0))&amp;"",""))</f>
        <v/>
      </c>
      <c r="H1165" s="32">
        <f>IF(AND(A1165="",C1165="",D1165=""),"",IF(D1165="","Manca l'importo",IF(NOT(ISNUMBER(D1165)),"Importo non valido",IF(NOT(ISNUMBER(A1165)),"Data mancante o non valida",IF(YEAR(A1165)&lt;&gt;Impostazioni!$C$4,"Fuori dall'anno",IF(C1165="","Manca la categoria",IF(ISNA(MATCH(C1165,Categorie!$A$6:$A$65,0)),"Categoria non trovata",IF(G1165="","Categoria senza tipo",""))))))))</f>
        <v/>
      </c>
    </row>
    <row r="1166">
      <c r="A1166" s="29" t="n"/>
      <c r="B1166" s="17" t="n"/>
      <c r="C1166" s="17" t="n"/>
      <c r="D1166" s="16" t="n"/>
      <c r="E1166" s="30" t="n"/>
      <c r="F1166" s="17" t="n"/>
      <c r="G1166" s="31">
        <f>IF(C1166="","",IFERROR(INDEX(Categorie!$B$6:$B$65,MATCH(C1166,Categorie!$A$6:$A$65,0))&amp;"",""))</f>
        <v/>
      </c>
      <c r="H1166" s="32">
        <f>IF(AND(A1166="",C1166="",D1166=""),"",IF(D1166="","Manca l'importo",IF(NOT(ISNUMBER(D1166)),"Importo non valido",IF(NOT(ISNUMBER(A1166)),"Data mancante o non valida",IF(YEAR(A1166)&lt;&gt;Impostazioni!$C$4,"Fuori dall'anno",IF(C1166="","Manca la categoria",IF(ISNA(MATCH(C1166,Categorie!$A$6:$A$65,0)),"Categoria non trovata",IF(G1166="","Categoria senza tipo",""))))))))</f>
        <v/>
      </c>
    </row>
    <row r="1167">
      <c r="A1167" s="29" t="n"/>
      <c r="B1167" s="17" t="n"/>
      <c r="C1167" s="17" t="n"/>
      <c r="D1167" s="16" t="n"/>
      <c r="E1167" s="30" t="n"/>
      <c r="F1167" s="17" t="n"/>
      <c r="G1167" s="31">
        <f>IF(C1167="","",IFERROR(INDEX(Categorie!$B$6:$B$65,MATCH(C1167,Categorie!$A$6:$A$65,0))&amp;"",""))</f>
        <v/>
      </c>
      <c r="H1167" s="32">
        <f>IF(AND(A1167="",C1167="",D1167=""),"",IF(D1167="","Manca l'importo",IF(NOT(ISNUMBER(D1167)),"Importo non valido",IF(NOT(ISNUMBER(A1167)),"Data mancante o non valida",IF(YEAR(A1167)&lt;&gt;Impostazioni!$C$4,"Fuori dall'anno",IF(C1167="","Manca la categoria",IF(ISNA(MATCH(C1167,Categorie!$A$6:$A$65,0)),"Categoria non trovata",IF(G1167="","Categoria senza tipo",""))))))))</f>
        <v/>
      </c>
    </row>
    <row r="1168">
      <c r="A1168" s="29" t="n"/>
      <c r="B1168" s="17" t="n"/>
      <c r="C1168" s="17" t="n"/>
      <c r="D1168" s="16" t="n"/>
      <c r="E1168" s="30" t="n"/>
      <c r="F1168" s="17" t="n"/>
      <c r="G1168" s="31">
        <f>IF(C1168="","",IFERROR(INDEX(Categorie!$B$6:$B$65,MATCH(C1168,Categorie!$A$6:$A$65,0))&amp;"",""))</f>
        <v/>
      </c>
      <c r="H1168" s="32">
        <f>IF(AND(A1168="",C1168="",D1168=""),"",IF(D1168="","Manca l'importo",IF(NOT(ISNUMBER(D1168)),"Importo non valido",IF(NOT(ISNUMBER(A1168)),"Data mancante o non valida",IF(YEAR(A1168)&lt;&gt;Impostazioni!$C$4,"Fuori dall'anno",IF(C1168="","Manca la categoria",IF(ISNA(MATCH(C1168,Categorie!$A$6:$A$65,0)),"Categoria non trovata",IF(G1168="","Categoria senza tipo",""))))))))</f>
        <v/>
      </c>
    </row>
    <row r="1169">
      <c r="A1169" s="29" t="n"/>
      <c r="B1169" s="17" t="n"/>
      <c r="C1169" s="17" t="n"/>
      <c r="D1169" s="16" t="n"/>
      <c r="E1169" s="30" t="n"/>
      <c r="F1169" s="17" t="n"/>
      <c r="G1169" s="31">
        <f>IF(C1169="","",IFERROR(INDEX(Categorie!$B$6:$B$65,MATCH(C1169,Categorie!$A$6:$A$65,0))&amp;"",""))</f>
        <v/>
      </c>
      <c r="H1169" s="32">
        <f>IF(AND(A1169="",C1169="",D1169=""),"",IF(D1169="","Manca l'importo",IF(NOT(ISNUMBER(D1169)),"Importo non valido",IF(NOT(ISNUMBER(A1169)),"Data mancante o non valida",IF(YEAR(A1169)&lt;&gt;Impostazioni!$C$4,"Fuori dall'anno",IF(C1169="","Manca la categoria",IF(ISNA(MATCH(C1169,Categorie!$A$6:$A$65,0)),"Categoria non trovata",IF(G1169="","Categoria senza tipo",""))))))))</f>
        <v/>
      </c>
    </row>
    <row r="1170">
      <c r="A1170" s="29" t="n"/>
      <c r="B1170" s="17" t="n"/>
      <c r="C1170" s="17" t="n"/>
      <c r="D1170" s="16" t="n"/>
      <c r="E1170" s="30" t="n"/>
      <c r="F1170" s="17" t="n"/>
      <c r="G1170" s="31">
        <f>IF(C1170="","",IFERROR(INDEX(Categorie!$B$6:$B$65,MATCH(C1170,Categorie!$A$6:$A$65,0))&amp;"",""))</f>
        <v/>
      </c>
      <c r="H1170" s="32">
        <f>IF(AND(A1170="",C1170="",D1170=""),"",IF(D1170="","Manca l'importo",IF(NOT(ISNUMBER(D1170)),"Importo non valido",IF(NOT(ISNUMBER(A1170)),"Data mancante o non valida",IF(YEAR(A1170)&lt;&gt;Impostazioni!$C$4,"Fuori dall'anno",IF(C1170="","Manca la categoria",IF(ISNA(MATCH(C1170,Categorie!$A$6:$A$65,0)),"Categoria non trovata",IF(G1170="","Categoria senza tipo",""))))))))</f>
        <v/>
      </c>
    </row>
    <row r="1171">
      <c r="A1171" s="29" t="n"/>
      <c r="B1171" s="17" t="n"/>
      <c r="C1171" s="17" t="n"/>
      <c r="D1171" s="16" t="n"/>
      <c r="E1171" s="30" t="n"/>
      <c r="F1171" s="17" t="n"/>
      <c r="G1171" s="31">
        <f>IF(C1171="","",IFERROR(INDEX(Categorie!$B$6:$B$65,MATCH(C1171,Categorie!$A$6:$A$65,0))&amp;"",""))</f>
        <v/>
      </c>
      <c r="H1171" s="32">
        <f>IF(AND(A1171="",C1171="",D1171=""),"",IF(D1171="","Manca l'importo",IF(NOT(ISNUMBER(D1171)),"Importo non valido",IF(NOT(ISNUMBER(A1171)),"Data mancante o non valida",IF(YEAR(A1171)&lt;&gt;Impostazioni!$C$4,"Fuori dall'anno",IF(C1171="","Manca la categoria",IF(ISNA(MATCH(C1171,Categorie!$A$6:$A$65,0)),"Categoria non trovata",IF(G1171="","Categoria senza tipo",""))))))))</f>
        <v/>
      </c>
    </row>
    <row r="1172">
      <c r="A1172" s="29" t="n"/>
      <c r="B1172" s="17" t="n"/>
      <c r="C1172" s="17" t="n"/>
      <c r="D1172" s="16" t="n"/>
      <c r="E1172" s="30" t="n"/>
      <c r="F1172" s="17" t="n"/>
      <c r="G1172" s="31">
        <f>IF(C1172="","",IFERROR(INDEX(Categorie!$B$6:$B$65,MATCH(C1172,Categorie!$A$6:$A$65,0))&amp;"",""))</f>
        <v/>
      </c>
      <c r="H1172" s="32">
        <f>IF(AND(A1172="",C1172="",D1172=""),"",IF(D1172="","Manca l'importo",IF(NOT(ISNUMBER(D1172)),"Importo non valido",IF(NOT(ISNUMBER(A1172)),"Data mancante o non valida",IF(YEAR(A1172)&lt;&gt;Impostazioni!$C$4,"Fuori dall'anno",IF(C1172="","Manca la categoria",IF(ISNA(MATCH(C1172,Categorie!$A$6:$A$65,0)),"Categoria non trovata",IF(G1172="","Categoria senza tipo",""))))))))</f>
        <v/>
      </c>
    </row>
    <row r="1173">
      <c r="A1173" s="29" t="n"/>
      <c r="B1173" s="17" t="n"/>
      <c r="C1173" s="17" t="n"/>
      <c r="D1173" s="16" t="n"/>
      <c r="E1173" s="30" t="n"/>
      <c r="F1173" s="17" t="n"/>
      <c r="G1173" s="31">
        <f>IF(C1173="","",IFERROR(INDEX(Categorie!$B$6:$B$65,MATCH(C1173,Categorie!$A$6:$A$65,0))&amp;"",""))</f>
        <v/>
      </c>
      <c r="H1173" s="32">
        <f>IF(AND(A1173="",C1173="",D1173=""),"",IF(D1173="","Manca l'importo",IF(NOT(ISNUMBER(D1173)),"Importo non valido",IF(NOT(ISNUMBER(A1173)),"Data mancante o non valida",IF(YEAR(A1173)&lt;&gt;Impostazioni!$C$4,"Fuori dall'anno",IF(C1173="","Manca la categoria",IF(ISNA(MATCH(C1173,Categorie!$A$6:$A$65,0)),"Categoria non trovata",IF(G1173="","Categoria senza tipo",""))))))))</f>
        <v/>
      </c>
    </row>
    <row r="1174">
      <c r="A1174" s="29" t="n"/>
      <c r="B1174" s="17" t="n"/>
      <c r="C1174" s="17" t="n"/>
      <c r="D1174" s="16" t="n"/>
      <c r="E1174" s="30" t="n"/>
      <c r="F1174" s="17" t="n"/>
      <c r="G1174" s="31">
        <f>IF(C1174="","",IFERROR(INDEX(Categorie!$B$6:$B$65,MATCH(C1174,Categorie!$A$6:$A$65,0))&amp;"",""))</f>
        <v/>
      </c>
      <c r="H1174" s="32">
        <f>IF(AND(A1174="",C1174="",D1174=""),"",IF(D1174="","Manca l'importo",IF(NOT(ISNUMBER(D1174)),"Importo non valido",IF(NOT(ISNUMBER(A1174)),"Data mancante o non valida",IF(YEAR(A1174)&lt;&gt;Impostazioni!$C$4,"Fuori dall'anno",IF(C1174="","Manca la categoria",IF(ISNA(MATCH(C1174,Categorie!$A$6:$A$65,0)),"Categoria non trovata",IF(G1174="","Categoria senza tipo",""))))))))</f>
        <v/>
      </c>
    </row>
    <row r="1175">
      <c r="A1175" s="29" t="n"/>
      <c r="B1175" s="17" t="n"/>
      <c r="C1175" s="17" t="n"/>
      <c r="D1175" s="16" t="n"/>
      <c r="E1175" s="30" t="n"/>
      <c r="F1175" s="17" t="n"/>
      <c r="G1175" s="31">
        <f>IF(C1175="","",IFERROR(INDEX(Categorie!$B$6:$B$65,MATCH(C1175,Categorie!$A$6:$A$65,0))&amp;"",""))</f>
        <v/>
      </c>
      <c r="H1175" s="32">
        <f>IF(AND(A1175="",C1175="",D1175=""),"",IF(D1175="","Manca l'importo",IF(NOT(ISNUMBER(D1175)),"Importo non valido",IF(NOT(ISNUMBER(A1175)),"Data mancante o non valida",IF(YEAR(A1175)&lt;&gt;Impostazioni!$C$4,"Fuori dall'anno",IF(C1175="","Manca la categoria",IF(ISNA(MATCH(C1175,Categorie!$A$6:$A$65,0)),"Categoria non trovata",IF(G1175="","Categoria senza tipo",""))))))))</f>
        <v/>
      </c>
    </row>
    <row r="1176">
      <c r="A1176" s="29" t="n"/>
      <c r="B1176" s="17" t="n"/>
      <c r="C1176" s="17" t="n"/>
      <c r="D1176" s="16" t="n"/>
      <c r="E1176" s="30" t="n"/>
      <c r="F1176" s="17" t="n"/>
      <c r="G1176" s="31">
        <f>IF(C1176="","",IFERROR(INDEX(Categorie!$B$6:$B$65,MATCH(C1176,Categorie!$A$6:$A$65,0))&amp;"",""))</f>
        <v/>
      </c>
      <c r="H1176" s="32">
        <f>IF(AND(A1176="",C1176="",D1176=""),"",IF(D1176="","Manca l'importo",IF(NOT(ISNUMBER(D1176)),"Importo non valido",IF(NOT(ISNUMBER(A1176)),"Data mancante o non valida",IF(YEAR(A1176)&lt;&gt;Impostazioni!$C$4,"Fuori dall'anno",IF(C1176="","Manca la categoria",IF(ISNA(MATCH(C1176,Categorie!$A$6:$A$65,0)),"Categoria non trovata",IF(G1176="","Categoria senza tipo",""))))))))</f>
        <v/>
      </c>
    </row>
    <row r="1177">
      <c r="A1177" s="29" t="n"/>
      <c r="B1177" s="17" t="n"/>
      <c r="C1177" s="17" t="n"/>
      <c r="D1177" s="16" t="n"/>
      <c r="E1177" s="30" t="n"/>
      <c r="F1177" s="17" t="n"/>
      <c r="G1177" s="31">
        <f>IF(C1177="","",IFERROR(INDEX(Categorie!$B$6:$B$65,MATCH(C1177,Categorie!$A$6:$A$65,0))&amp;"",""))</f>
        <v/>
      </c>
      <c r="H1177" s="32">
        <f>IF(AND(A1177="",C1177="",D1177=""),"",IF(D1177="","Manca l'importo",IF(NOT(ISNUMBER(D1177)),"Importo non valido",IF(NOT(ISNUMBER(A1177)),"Data mancante o non valida",IF(YEAR(A1177)&lt;&gt;Impostazioni!$C$4,"Fuori dall'anno",IF(C1177="","Manca la categoria",IF(ISNA(MATCH(C1177,Categorie!$A$6:$A$65,0)),"Categoria non trovata",IF(G1177="","Categoria senza tipo",""))))))))</f>
        <v/>
      </c>
    </row>
    <row r="1178">
      <c r="A1178" s="29" t="n"/>
      <c r="B1178" s="17" t="n"/>
      <c r="C1178" s="17" t="n"/>
      <c r="D1178" s="16" t="n"/>
      <c r="E1178" s="30" t="n"/>
      <c r="F1178" s="17" t="n"/>
      <c r="G1178" s="31">
        <f>IF(C1178="","",IFERROR(INDEX(Categorie!$B$6:$B$65,MATCH(C1178,Categorie!$A$6:$A$65,0))&amp;"",""))</f>
        <v/>
      </c>
      <c r="H1178" s="32">
        <f>IF(AND(A1178="",C1178="",D1178=""),"",IF(D1178="","Manca l'importo",IF(NOT(ISNUMBER(D1178)),"Importo non valido",IF(NOT(ISNUMBER(A1178)),"Data mancante o non valida",IF(YEAR(A1178)&lt;&gt;Impostazioni!$C$4,"Fuori dall'anno",IF(C1178="","Manca la categoria",IF(ISNA(MATCH(C1178,Categorie!$A$6:$A$65,0)),"Categoria non trovata",IF(G1178="","Categoria senza tipo",""))))))))</f>
        <v/>
      </c>
    </row>
    <row r="1179">
      <c r="A1179" s="29" t="n"/>
      <c r="B1179" s="17" t="n"/>
      <c r="C1179" s="17" t="n"/>
      <c r="D1179" s="16" t="n"/>
      <c r="E1179" s="30" t="n"/>
      <c r="F1179" s="17" t="n"/>
      <c r="G1179" s="31">
        <f>IF(C1179="","",IFERROR(INDEX(Categorie!$B$6:$B$65,MATCH(C1179,Categorie!$A$6:$A$65,0))&amp;"",""))</f>
        <v/>
      </c>
      <c r="H1179" s="32">
        <f>IF(AND(A1179="",C1179="",D1179=""),"",IF(D1179="","Manca l'importo",IF(NOT(ISNUMBER(D1179)),"Importo non valido",IF(NOT(ISNUMBER(A1179)),"Data mancante o non valida",IF(YEAR(A1179)&lt;&gt;Impostazioni!$C$4,"Fuori dall'anno",IF(C1179="","Manca la categoria",IF(ISNA(MATCH(C1179,Categorie!$A$6:$A$65,0)),"Categoria non trovata",IF(G1179="","Categoria senza tipo",""))))))))</f>
        <v/>
      </c>
    </row>
    <row r="1180">
      <c r="A1180" s="29" t="n"/>
      <c r="B1180" s="17" t="n"/>
      <c r="C1180" s="17" t="n"/>
      <c r="D1180" s="16" t="n"/>
      <c r="E1180" s="30" t="n"/>
      <c r="F1180" s="17" t="n"/>
      <c r="G1180" s="31">
        <f>IF(C1180="","",IFERROR(INDEX(Categorie!$B$6:$B$65,MATCH(C1180,Categorie!$A$6:$A$65,0))&amp;"",""))</f>
        <v/>
      </c>
      <c r="H1180" s="32">
        <f>IF(AND(A1180="",C1180="",D1180=""),"",IF(D1180="","Manca l'importo",IF(NOT(ISNUMBER(D1180)),"Importo non valido",IF(NOT(ISNUMBER(A1180)),"Data mancante o non valida",IF(YEAR(A1180)&lt;&gt;Impostazioni!$C$4,"Fuori dall'anno",IF(C1180="","Manca la categoria",IF(ISNA(MATCH(C1180,Categorie!$A$6:$A$65,0)),"Categoria non trovata",IF(G1180="","Categoria senza tipo",""))))))))</f>
        <v/>
      </c>
    </row>
    <row r="1181">
      <c r="A1181" s="29" t="n"/>
      <c r="B1181" s="17" t="n"/>
      <c r="C1181" s="17" t="n"/>
      <c r="D1181" s="16" t="n"/>
      <c r="E1181" s="30" t="n"/>
      <c r="F1181" s="17" t="n"/>
      <c r="G1181" s="31">
        <f>IF(C1181="","",IFERROR(INDEX(Categorie!$B$6:$B$65,MATCH(C1181,Categorie!$A$6:$A$65,0))&amp;"",""))</f>
        <v/>
      </c>
      <c r="H1181" s="32">
        <f>IF(AND(A1181="",C1181="",D1181=""),"",IF(D1181="","Manca l'importo",IF(NOT(ISNUMBER(D1181)),"Importo non valido",IF(NOT(ISNUMBER(A1181)),"Data mancante o non valida",IF(YEAR(A1181)&lt;&gt;Impostazioni!$C$4,"Fuori dall'anno",IF(C1181="","Manca la categoria",IF(ISNA(MATCH(C1181,Categorie!$A$6:$A$65,0)),"Categoria non trovata",IF(G1181="","Categoria senza tipo",""))))))))</f>
        <v/>
      </c>
    </row>
    <row r="1182">
      <c r="A1182" s="29" t="n"/>
      <c r="B1182" s="17" t="n"/>
      <c r="C1182" s="17" t="n"/>
      <c r="D1182" s="16" t="n"/>
      <c r="E1182" s="30" t="n"/>
      <c r="F1182" s="17" t="n"/>
      <c r="G1182" s="31">
        <f>IF(C1182="","",IFERROR(INDEX(Categorie!$B$6:$B$65,MATCH(C1182,Categorie!$A$6:$A$65,0))&amp;"",""))</f>
        <v/>
      </c>
      <c r="H1182" s="32">
        <f>IF(AND(A1182="",C1182="",D1182=""),"",IF(D1182="","Manca l'importo",IF(NOT(ISNUMBER(D1182)),"Importo non valido",IF(NOT(ISNUMBER(A1182)),"Data mancante o non valida",IF(YEAR(A1182)&lt;&gt;Impostazioni!$C$4,"Fuori dall'anno",IF(C1182="","Manca la categoria",IF(ISNA(MATCH(C1182,Categorie!$A$6:$A$65,0)),"Categoria non trovata",IF(G1182="","Categoria senza tipo",""))))))))</f>
        <v/>
      </c>
    </row>
    <row r="1183">
      <c r="A1183" s="29" t="n"/>
      <c r="B1183" s="17" t="n"/>
      <c r="C1183" s="17" t="n"/>
      <c r="D1183" s="16" t="n"/>
      <c r="E1183" s="30" t="n"/>
      <c r="F1183" s="17" t="n"/>
      <c r="G1183" s="31">
        <f>IF(C1183="","",IFERROR(INDEX(Categorie!$B$6:$B$65,MATCH(C1183,Categorie!$A$6:$A$65,0))&amp;"",""))</f>
        <v/>
      </c>
      <c r="H1183" s="32">
        <f>IF(AND(A1183="",C1183="",D1183=""),"",IF(D1183="","Manca l'importo",IF(NOT(ISNUMBER(D1183)),"Importo non valido",IF(NOT(ISNUMBER(A1183)),"Data mancante o non valida",IF(YEAR(A1183)&lt;&gt;Impostazioni!$C$4,"Fuori dall'anno",IF(C1183="","Manca la categoria",IF(ISNA(MATCH(C1183,Categorie!$A$6:$A$65,0)),"Categoria non trovata",IF(G1183="","Categoria senza tipo",""))))))))</f>
        <v/>
      </c>
    </row>
    <row r="1184">
      <c r="A1184" s="29" t="n"/>
      <c r="B1184" s="17" t="n"/>
      <c r="C1184" s="17" t="n"/>
      <c r="D1184" s="16" t="n"/>
      <c r="E1184" s="30" t="n"/>
      <c r="F1184" s="17" t="n"/>
      <c r="G1184" s="31">
        <f>IF(C1184="","",IFERROR(INDEX(Categorie!$B$6:$B$65,MATCH(C1184,Categorie!$A$6:$A$65,0))&amp;"",""))</f>
        <v/>
      </c>
      <c r="H1184" s="32">
        <f>IF(AND(A1184="",C1184="",D1184=""),"",IF(D1184="","Manca l'importo",IF(NOT(ISNUMBER(D1184)),"Importo non valido",IF(NOT(ISNUMBER(A1184)),"Data mancante o non valida",IF(YEAR(A1184)&lt;&gt;Impostazioni!$C$4,"Fuori dall'anno",IF(C1184="","Manca la categoria",IF(ISNA(MATCH(C1184,Categorie!$A$6:$A$65,0)),"Categoria non trovata",IF(G1184="","Categoria senza tipo",""))))))))</f>
        <v/>
      </c>
    </row>
    <row r="1185">
      <c r="A1185" s="29" t="n"/>
      <c r="B1185" s="17" t="n"/>
      <c r="C1185" s="17" t="n"/>
      <c r="D1185" s="16" t="n"/>
      <c r="E1185" s="30" t="n"/>
      <c r="F1185" s="17" t="n"/>
      <c r="G1185" s="31">
        <f>IF(C1185="","",IFERROR(INDEX(Categorie!$B$6:$B$65,MATCH(C1185,Categorie!$A$6:$A$65,0))&amp;"",""))</f>
        <v/>
      </c>
      <c r="H1185" s="32">
        <f>IF(AND(A1185="",C1185="",D1185=""),"",IF(D1185="","Manca l'importo",IF(NOT(ISNUMBER(D1185)),"Importo non valido",IF(NOT(ISNUMBER(A1185)),"Data mancante o non valida",IF(YEAR(A1185)&lt;&gt;Impostazioni!$C$4,"Fuori dall'anno",IF(C1185="","Manca la categoria",IF(ISNA(MATCH(C1185,Categorie!$A$6:$A$65,0)),"Categoria non trovata",IF(G1185="","Categoria senza tipo",""))))))))</f>
        <v/>
      </c>
    </row>
    <row r="1186">
      <c r="A1186" s="29" t="n"/>
      <c r="B1186" s="17" t="n"/>
      <c r="C1186" s="17" t="n"/>
      <c r="D1186" s="16" t="n"/>
      <c r="E1186" s="30" t="n"/>
      <c r="F1186" s="17" t="n"/>
      <c r="G1186" s="31">
        <f>IF(C1186="","",IFERROR(INDEX(Categorie!$B$6:$B$65,MATCH(C1186,Categorie!$A$6:$A$65,0))&amp;"",""))</f>
        <v/>
      </c>
      <c r="H1186" s="32">
        <f>IF(AND(A1186="",C1186="",D1186=""),"",IF(D1186="","Manca l'importo",IF(NOT(ISNUMBER(D1186)),"Importo non valido",IF(NOT(ISNUMBER(A1186)),"Data mancante o non valida",IF(YEAR(A1186)&lt;&gt;Impostazioni!$C$4,"Fuori dall'anno",IF(C1186="","Manca la categoria",IF(ISNA(MATCH(C1186,Categorie!$A$6:$A$65,0)),"Categoria non trovata",IF(G1186="","Categoria senza tipo",""))))))))</f>
        <v/>
      </c>
    </row>
    <row r="1187">
      <c r="A1187" s="29" t="n"/>
      <c r="B1187" s="17" t="n"/>
      <c r="C1187" s="17" t="n"/>
      <c r="D1187" s="16" t="n"/>
      <c r="E1187" s="30" t="n"/>
      <c r="F1187" s="17" t="n"/>
      <c r="G1187" s="31">
        <f>IF(C1187="","",IFERROR(INDEX(Categorie!$B$6:$B$65,MATCH(C1187,Categorie!$A$6:$A$65,0))&amp;"",""))</f>
        <v/>
      </c>
      <c r="H1187" s="32">
        <f>IF(AND(A1187="",C1187="",D1187=""),"",IF(D1187="","Manca l'importo",IF(NOT(ISNUMBER(D1187)),"Importo non valido",IF(NOT(ISNUMBER(A1187)),"Data mancante o non valida",IF(YEAR(A1187)&lt;&gt;Impostazioni!$C$4,"Fuori dall'anno",IF(C1187="","Manca la categoria",IF(ISNA(MATCH(C1187,Categorie!$A$6:$A$65,0)),"Categoria non trovata",IF(G1187="","Categoria senza tipo",""))))))))</f>
        <v/>
      </c>
    </row>
    <row r="1188">
      <c r="A1188" s="29" t="n"/>
      <c r="B1188" s="17" t="n"/>
      <c r="C1188" s="17" t="n"/>
      <c r="D1188" s="16" t="n"/>
      <c r="E1188" s="30" t="n"/>
      <c r="F1188" s="17" t="n"/>
      <c r="G1188" s="31">
        <f>IF(C1188="","",IFERROR(INDEX(Categorie!$B$6:$B$65,MATCH(C1188,Categorie!$A$6:$A$65,0))&amp;"",""))</f>
        <v/>
      </c>
      <c r="H1188" s="32">
        <f>IF(AND(A1188="",C1188="",D1188=""),"",IF(D1188="","Manca l'importo",IF(NOT(ISNUMBER(D1188)),"Importo non valido",IF(NOT(ISNUMBER(A1188)),"Data mancante o non valida",IF(YEAR(A1188)&lt;&gt;Impostazioni!$C$4,"Fuori dall'anno",IF(C1188="","Manca la categoria",IF(ISNA(MATCH(C1188,Categorie!$A$6:$A$65,0)),"Categoria non trovata",IF(G1188="","Categoria senza tipo",""))))))))</f>
        <v/>
      </c>
    </row>
    <row r="1189">
      <c r="A1189" s="29" t="n"/>
      <c r="B1189" s="17" t="n"/>
      <c r="C1189" s="17" t="n"/>
      <c r="D1189" s="16" t="n"/>
      <c r="E1189" s="30" t="n"/>
      <c r="F1189" s="17" t="n"/>
      <c r="G1189" s="31">
        <f>IF(C1189="","",IFERROR(INDEX(Categorie!$B$6:$B$65,MATCH(C1189,Categorie!$A$6:$A$65,0))&amp;"",""))</f>
        <v/>
      </c>
      <c r="H1189" s="32">
        <f>IF(AND(A1189="",C1189="",D1189=""),"",IF(D1189="","Manca l'importo",IF(NOT(ISNUMBER(D1189)),"Importo non valido",IF(NOT(ISNUMBER(A1189)),"Data mancante o non valida",IF(YEAR(A1189)&lt;&gt;Impostazioni!$C$4,"Fuori dall'anno",IF(C1189="","Manca la categoria",IF(ISNA(MATCH(C1189,Categorie!$A$6:$A$65,0)),"Categoria non trovata",IF(G1189="","Categoria senza tipo",""))))))))</f>
        <v/>
      </c>
    </row>
    <row r="1190">
      <c r="A1190" s="29" t="n"/>
      <c r="B1190" s="17" t="n"/>
      <c r="C1190" s="17" t="n"/>
      <c r="D1190" s="16" t="n"/>
      <c r="E1190" s="30" t="n"/>
      <c r="F1190" s="17" t="n"/>
      <c r="G1190" s="31">
        <f>IF(C1190="","",IFERROR(INDEX(Categorie!$B$6:$B$65,MATCH(C1190,Categorie!$A$6:$A$65,0))&amp;"",""))</f>
        <v/>
      </c>
      <c r="H1190" s="32">
        <f>IF(AND(A1190="",C1190="",D1190=""),"",IF(D1190="","Manca l'importo",IF(NOT(ISNUMBER(D1190)),"Importo non valido",IF(NOT(ISNUMBER(A1190)),"Data mancante o non valida",IF(YEAR(A1190)&lt;&gt;Impostazioni!$C$4,"Fuori dall'anno",IF(C1190="","Manca la categoria",IF(ISNA(MATCH(C1190,Categorie!$A$6:$A$65,0)),"Categoria non trovata",IF(G1190="","Categoria senza tipo",""))))))))</f>
        <v/>
      </c>
    </row>
    <row r="1191">
      <c r="A1191" s="29" t="n"/>
      <c r="B1191" s="17" t="n"/>
      <c r="C1191" s="17" t="n"/>
      <c r="D1191" s="16" t="n"/>
      <c r="E1191" s="30" t="n"/>
      <c r="F1191" s="17" t="n"/>
      <c r="G1191" s="31">
        <f>IF(C1191="","",IFERROR(INDEX(Categorie!$B$6:$B$65,MATCH(C1191,Categorie!$A$6:$A$65,0))&amp;"",""))</f>
        <v/>
      </c>
      <c r="H1191" s="32">
        <f>IF(AND(A1191="",C1191="",D1191=""),"",IF(D1191="","Manca l'importo",IF(NOT(ISNUMBER(D1191)),"Importo non valido",IF(NOT(ISNUMBER(A1191)),"Data mancante o non valida",IF(YEAR(A1191)&lt;&gt;Impostazioni!$C$4,"Fuori dall'anno",IF(C1191="","Manca la categoria",IF(ISNA(MATCH(C1191,Categorie!$A$6:$A$65,0)),"Categoria non trovata",IF(G1191="","Categoria senza tipo",""))))))))</f>
        <v/>
      </c>
    </row>
    <row r="1192">
      <c r="A1192" s="29" t="n"/>
      <c r="B1192" s="17" t="n"/>
      <c r="C1192" s="17" t="n"/>
      <c r="D1192" s="16" t="n"/>
      <c r="E1192" s="30" t="n"/>
      <c r="F1192" s="17" t="n"/>
      <c r="G1192" s="31">
        <f>IF(C1192="","",IFERROR(INDEX(Categorie!$B$6:$B$65,MATCH(C1192,Categorie!$A$6:$A$65,0))&amp;"",""))</f>
        <v/>
      </c>
      <c r="H1192" s="32">
        <f>IF(AND(A1192="",C1192="",D1192=""),"",IF(D1192="","Manca l'importo",IF(NOT(ISNUMBER(D1192)),"Importo non valido",IF(NOT(ISNUMBER(A1192)),"Data mancante o non valida",IF(YEAR(A1192)&lt;&gt;Impostazioni!$C$4,"Fuori dall'anno",IF(C1192="","Manca la categoria",IF(ISNA(MATCH(C1192,Categorie!$A$6:$A$65,0)),"Categoria non trovata",IF(G1192="","Categoria senza tipo",""))))))))</f>
        <v/>
      </c>
    </row>
    <row r="1193">
      <c r="A1193" s="29" t="n"/>
      <c r="B1193" s="17" t="n"/>
      <c r="C1193" s="17" t="n"/>
      <c r="D1193" s="16" t="n"/>
      <c r="E1193" s="30" t="n"/>
      <c r="F1193" s="17" t="n"/>
      <c r="G1193" s="31">
        <f>IF(C1193="","",IFERROR(INDEX(Categorie!$B$6:$B$65,MATCH(C1193,Categorie!$A$6:$A$65,0))&amp;"",""))</f>
        <v/>
      </c>
      <c r="H1193" s="32">
        <f>IF(AND(A1193="",C1193="",D1193=""),"",IF(D1193="","Manca l'importo",IF(NOT(ISNUMBER(D1193)),"Importo non valido",IF(NOT(ISNUMBER(A1193)),"Data mancante o non valida",IF(YEAR(A1193)&lt;&gt;Impostazioni!$C$4,"Fuori dall'anno",IF(C1193="","Manca la categoria",IF(ISNA(MATCH(C1193,Categorie!$A$6:$A$65,0)),"Categoria non trovata",IF(G1193="","Categoria senza tipo",""))))))))</f>
        <v/>
      </c>
    </row>
    <row r="1194">
      <c r="A1194" s="29" t="n"/>
      <c r="B1194" s="17" t="n"/>
      <c r="C1194" s="17" t="n"/>
      <c r="D1194" s="16" t="n"/>
      <c r="E1194" s="30" t="n"/>
      <c r="F1194" s="17" t="n"/>
      <c r="G1194" s="31">
        <f>IF(C1194="","",IFERROR(INDEX(Categorie!$B$6:$B$65,MATCH(C1194,Categorie!$A$6:$A$65,0))&amp;"",""))</f>
        <v/>
      </c>
      <c r="H1194" s="32">
        <f>IF(AND(A1194="",C1194="",D1194=""),"",IF(D1194="","Manca l'importo",IF(NOT(ISNUMBER(D1194)),"Importo non valido",IF(NOT(ISNUMBER(A1194)),"Data mancante o non valida",IF(YEAR(A1194)&lt;&gt;Impostazioni!$C$4,"Fuori dall'anno",IF(C1194="","Manca la categoria",IF(ISNA(MATCH(C1194,Categorie!$A$6:$A$65,0)),"Categoria non trovata",IF(G1194="","Categoria senza tipo",""))))))))</f>
        <v/>
      </c>
    </row>
    <row r="1195">
      <c r="A1195" s="29" t="n"/>
      <c r="B1195" s="17" t="n"/>
      <c r="C1195" s="17" t="n"/>
      <c r="D1195" s="16" t="n"/>
      <c r="E1195" s="30" t="n"/>
      <c r="F1195" s="17" t="n"/>
      <c r="G1195" s="31">
        <f>IF(C1195="","",IFERROR(INDEX(Categorie!$B$6:$B$65,MATCH(C1195,Categorie!$A$6:$A$65,0))&amp;"",""))</f>
        <v/>
      </c>
      <c r="H1195" s="32">
        <f>IF(AND(A1195="",C1195="",D1195=""),"",IF(D1195="","Manca l'importo",IF(NOT(ISNUMBER(D1195)),"Importo non valido",IF(NOT(ISNUMBER(A1195)),"Data mancante o non valida",IF(YEAR(A1195)&lt;&gt;Impostazioni!$C$4,"Fuori dall'anno",IF(C1195="","Manca la categoria",IF(ISNA(MATCH(C1195,Categorie!$A$6:$A$65,0)),"Categoria non trovata",IF(G1195="","Categoria senza tipo",""))))))))</f>
        <v/>
      </c>
    </row>
    <row r="1196">
      <c r="A1196" s="29" t="n"/>
      <c r="B1196" s="17" t="n"/>
      <c r="C1196" s="17" t="n"/>
      <c r="D1196" s="16" t="n"/>
      <c r="E1196" s="30" t="n"/>
      <c r="F1196" s="17" t="n"/>
      <c r="G1196" s="31">
        <f>IF(C1196="","",IFERROR(INDEX(Categorie!$B$6:$B$65,MATCH(C1196,Categorie!$A$6:$A$65,0))&amp;"",""))</f>
        <v/>
      </c>
      <c r="H1196" s="32">
        <f>IF(AND(A1196="",C1196="",D1196=""),"",IF(D1196="","Manca l'importo",IF(NOT(ISNUMBER(D1196)),"Importo non valido",IF(NOT(ISNUMBER(A1196)),"Data mancante o non valida",IF(YEAR(A1196)&lt;&gt;Impostazioni!$C$4,"Fuori dall'anno",IF(C1196="","Manca la categoria",IF(ISNA(MATCH(C1196,Categorie!$A$6:$A$65,0)),"Categoria non trovata",IF(G1196="","Categoria senza tipo",""))))))))</f>
        <v/>
      </c>
    </row>
    <row r="1197">
      <c r="A1197" s="29" t="n"/>
      <c r="B1197" s="17" t="n"/>
      <c r="C1197" s="17" t="n"/>
      <c r="D1197" s="16" t="n"/>
      <c r="E1197" s="30" t="n"/>
      <c r="F1197" s="17" t="n"/>
      <c r="G1197" s="31">
        <f>IF(C1197="","",IFERROR(INDEX(Categorie!$B$6:$B$65,MATCH(C1197,Categorie!$A$6:$A$65,0))&amp;"",""))</f>
        <v/>
      </c>
      <c r="H1197" s="32">
        <f>IF(AND(A1197="",C1197="",D1197=""),"",IF(D1197="","Manca l'importo",IF(NOT(ISNUMBER(D1197)),"Importo non valido",IF(NOT(ISNUMBER(A1197)),"Data mancante o non valida",IF(YEAR(A1197)&lt;&gt;Impostazioni!$C$4,"Fuori dall'anno",IF(C1197="","Manca la categoria",IF(ISNA(MATCH(C1197,Categorie!$A$6:$A$65,0)),"Categoria non trovata",IF(G1197="","Categoria senza tipo",""))))))))</f>
        <v/>
      </c>
    </row>
    <row r="1198">
      <c r="A1198" s="29" t="n"/>
      <c r="B1198" s="17" t="n"/>
      <c r="C1198" s="17" t="n"/>
      <c r="D1198" s="16" t="n"/>
      <c r="E1198" s="30" t="n"/>
      <c r="F1198" s="17" t="n"/>
      <c r="G1198" s="31">
        <f>IF(C1198="","",IFERROR(INDEX(Categorie!$B$6:$B$65,MATCH(C1198,Categorie!$A$6:$A$65,0))&amp;"",""))</f>
        <v/>
      </c>
      <c r="H1198" s="32">
        <f>IF(AND(A1198="",C1198="",D1198=""),"",IF(D1198="","Manca l'importo",IF(NOT(ISNUMBER(D1198)),"Importo non valido",IF(NOT(ISNUMBER(A1198)),"Data mancante o non valida",IF(YEAR(A1198)&lt;&gt;Impostazioni!$C$4,"Fuori dall'anno",IF(C1198="","Manca la categoria",IF(ISNA(MATCH(C1198,Categorie!$A$6:$A$65,0)),"Categoria non trovata",IF(G1198="","Categoria senza tipo",""))))))))</f>
        <v/>
      </c>
    </row>
    <row r="1199">
      <c r="A1199" s="29" t="n"/>
      <c r="B1199" s="17" t="n"/>
      <c r="C1199" s="17" t="n"/>
      <c r="D1199" s="16" t="n"/>
      <c r="E1199" s="30" t="n"/>
      <c r="F1199" s="17" t="n"/>
      <c r="G1199" s="31">
        <f>IF(C1199="","",IFERROR(INDEX(Categorie!$B$6:$B$65,MATCH(C1199,Categorie!$A$6:$A$65,0))&amp;"",""))</f>
        <v/>
      </c>
      <c r="H1199" s="32">
        <f>IF(AND(A1199="",C1199="",D1199=""),"",IF(D1199="","Manca l'importo",IF(NOT(ISNUMBER(D1199)),"Importo non valido",IF(NOT(ISNUMBER(A1199)),"Data mancante o non valida",IF(YEAR(A1199)&lt;&gt;Impostazioni!$C$4,"Fuori dall'anno",IF(C1199="","Manca la categoria",IF(ISNA(MATCH(C1199,Categorie!$A$6:$A$65,0)),"Categoria non trovata",IF(G1199="","Categoria senza tipo",""))))))))</f>
        <v/>
      </c>
    </row>
    <row r="1200">
      <c r="A1200" s="29" t="n"/>
      <c r="B1200" s="17" t="n"/>
      <c r="C1200" s="17" t="n"/>
      <c r="D1200" s="16" t="n"/>
      <c r="E1200" s="30" t="n"/>
      <c r="F1200" s="17" t="n"/>
      <c r="G1200" s="31">
        <f>IF(C1200="","",IFERROR(INDEX(Categorie!$B$6:$B$65,MATCH(C1200,Categorie!$A$6:$A$65,0))&amp;"",""))</f>
        <v/>
      </c>
      <c r="H1200" s="32">
        <f>IF(AND(A1200="",C1200="",D1200=""),"",IF(D1200="","Manca l'importo",IF(NOT(ISNUMBER(D1200)),"Importo non valido",IF(NOT(ISNUMBER(A1200)),"Data mancante o non valida",IF(YEAR(A1200)&lt;&gt;Impostazioni!$C$4,"Fuori dall'anno",IF(C1200="","Manca la categoria",IF(ISNA(MATCH(C1200,Categorie!$A$6:$A$65,0)),"Categoria non trovata",IF(G1200="","Categoria senza tipo",""))))))))</f>
        <v/>
      </c>
    </row>
    <row r="1201">
      <c r="A1201" s="29" t="n"/>
      <c r="B1201" s="17" t="n"/>
      <c r="C1201" s="17" t="n"/>
      <c r="D1201" s="16" t="n"/>
      <c r="E1201" s="30" t="n"/>
      <c r="F1201" s="17" t="n"/>
      <c r="G1201" s="31">
        <f>IF(C1201="","",IFERROR(INDEX(Categorie!$B$6:$B$65,MATCH(C1201,Categorie!$A$6:$A$65,0))&amp;"",""))</f>
        <v/>
      </c>
      <c r="H1201" s="32">
        <f>IF(AND(A1201="",C1201="",D1201=""),"",IF(D1201="","Manca l'importo",IF(NOT(ISNUMBER(D1201)),"Importo non valido",IF(NOT(ISNUMBER(A1201)),"Data mancante o non valida",IF(YEAR(A1201)&lt;&gt;Impostazioni!$C$4,"Fuori dall'anno",IF(C1201="","Manca la categoria",IF(ISNA(MATCH(C1201,Categorie!$A$6:$A$65,0)),"Categoria non trovata",IF(G1201="","Categoria senza tipo",""))))))))</f>
        <v/>
      </c>
    </row>
    <row r="1202">
      <c r="A1202" s="29" t="n"/>
      <c r="B1202" s="17" t="n"/>
      <c r="C1202" s="17" t="n"/>
      <c r="D1202" s="16" t="n"/>
      <c r="E1202" s="30" t="n"/>
      <c r="F1202" s="17" t="n"/>
      <c r="G1202" s="31">
        <f>IF(C1202="","",IFERROR(INDEX(Categorie!$B$6:$B$65,MATCH(C1202,Categorie!$A$6:$A$65,0))&amp;"",""))</f>
        <v/>
      </c>
      <c r="H1202" s="32">
        <f>IF(AND(A1202="",C1202="",D1202=""),"",IF(D1202="","Manca l'importo",IF(NOT(ISNUMBER(D1202)),"Importo non valido",IF(NOT(ISNUMBER(A1202)),"Data mancante o non valida",IF(YEAR(A1202)&lt;&gt;Impostazioni!$C$4,"Fuori dall'anno",IF(C1202="","Manca la categoria",IF(ISNA(MATCH(C1202,Categorie!$A$6:$A$65,0)),"Categoria non trovata",IF(G1202="","Categoria senza tipo",""))))))))</f>
        <v/>
      </c>
    </row>
    <row r="1203">
      <c r="A1203" s="29" t="n"/>
      <c r="B1203" s="17" t="n"/>
      <c r="C1203" s="17" t="n"/>
      <c r="D1203" s="16" t="n"/>
      <c r="E1203" s="30" t="n"/>
      <c r="F1203" s="17" t="n"/>
      <c r="G1203" s="31">
        <f>IF(C1203="","",IFERROR(INDEX(Categorie!$B$6:$B$65,MATCH(C1203,Categorie!$A$6:$A$65,0))&amp;"",""))</f>
        <v/>
      </c>
      <c r="H1203" s="32">
        <f>IF(AND(A1203="",C1203="",D1203=""),"",IF(D1203="","Manca l'importo",IF(NOT(ISNUMBER(D1203)),"Importo non valido",IF(NOT(ISNUMBER(A1203)),"Data mancante o non valida",IF(YEAR(A1203)&lt;&gt;Impostazioni!$C$4,"Fuori dall'anno",IF(C1203="","Manca la categoria",IF(ISNA(MATCH(C1203,Categorie!$A$6:$A$65,0)),"Categoria non trovata",IF(G1203="","Categoria senza tipo",""))))))))</f>
        <v/>
      </c>
    </row>
    <row r="1204">
      <c r="A1204" s="29" t="n"/>
      <c r="B1204" s="17" t="n"/>
      <c r="C1204" s="17" t="n"/>
      <c r="D1204" s="16" t="n"/>
      <c r="E1204" s="30" t="n"/>
      <c r="F1204" s="17" t="n"/>
      <c r="G1204" s="31">
        <f>IF(C1204="","",IFERROR(INDEX(Categorie!$B$6:$B$65,MATCH(C1204,Categorie!$A$6:$A$65,0))&amp;"",""))</f>
        <v/>
      </c>
      <c r="H1204" s="32">
        <f>IF(AND(A1204="",C1204="",D1204=""),"",IF(D1204="","Manca l'importo",IF(NOT(ISNUMBER(D1204)),"Importo non valido",IF(NOT(ISNUMBER(A1204)),"Data mancante o non valida",IF(YEAR(A1204)&lt;&gt;Impostazioni!$C$4,"Fuori dall'anno",IF(C1204="","Manca la categoria",IF(ISNA(MATCH(C1204,Categorie!$A$6:$A$65,0)),"Categoria non trovata",IF(G1204="","Categoria senza tipo",""))))))))</f>
        <v/>
      </c>
    </row>
    <row r="1205">
      <c r="A1205" s="29" t="n"/>
      <c r="B1205" s="17" t="n"/>
      <c r="C1205" s="17" t="n"/>
      <c r="D1205" s="16" t="n"/>
      <c r="E1205" s="30" t="n"/>
      <c r="F1205" s="17" t="n"/>
      <c r="G1205" s="31">
        <f>IF(C1205="","",IFERROR(INDEX(Categorie!$B$6:$B$65,MATCH(C1205,Categorie!$A$6:$A$65,0))&amp;"",""))</f>
        <v/>
      </c>
      <c r="H1205" s="32">
        <f>IF(AND(A1205="",C1205="",D1205=""),"",IF(D1205="","Manca l'importo",IF(NOT(ISNUMBER(D1205)),"Importo non valido",IF(NOT(ISNUMBER(A1205)),"Data mancante o non valida",IF(YEAR(A1205)&lt;&gt;Impostazioni!$C$4,"Fuori dall'anno",IF(C1205="","Manca la categoria",IF(ISNA(MATCH(C1205,Categorie!$A$6:$A$65,0)),"Categoria non trovata",IF(G1205="","Categoria senza tipo",""))))))))</f>
        <v/>
      </c>
    </row>
    <row r="1206">
      <c r="A1206" s="29" t="n"/>
      <c r="B1206" s="17" t="n"/>
      <c r="C1206" s="17" t="n"/>
      <c r="D1206" s="16" t="n"/>
      <c r="E1206" s="30" t="n"/>
      <c r="F1206" s="17" t="n"/>
      <c r="G1206" s="31">
        <f>IF(C1206="","",IFERROR(INDEX(Categorie!$B$6:$B$65,MATCH(C1206,Categorie!$A$6:$A$65,0))&amp;"",""))</f>
        <v/>
      </c>
      <c r="H1206" s="32">
        <f>IF(AND(A1206="",C1206="",D1206=""),"",IF(D1206="","Manca l'importo",IF(NOT(ISNUMBER(D1206)),"Importo non valido",IF(NOT(ISNUMBER(A1206)),"Data mancante o non valida",IF(YEAR(A1206)&lt;&gt;Impostazioni!$C$4,"Fuori dall'anno",IF(C1206="","Manca la categoria",IF(ISNA(MATCH(C1206,Categorie!$A$6:$A$65,0)),"Categoria non trovata",IF(G1206="","Categoria senza tipo",""))))))))</f>
        <v/>
      </c>
    </row>
    <row r="1207">
      <c r="A1207" s="29" t="n"/>
      <c r="B1207" s="17" t="n"/>
      <c r="C1207" s="17" t="n"/>
      <c r="D1207" s="16" t="n"/>
      <c r="E1207" s="30" t="n"/>
      <c r="F1207" s="17" t="n"/>
      <c r="G1207" s="31">
        <f>IF(C1207="","",IFERROR(INDEX(Categorie!$B$6:$B$65,MATCH(C1207,Categorie!$A$6:$A$65,0))&amp;"",""))</f>
        <v/>
      </c>
      <c r="H1207" s="32">
        <f>IF(AND(A1207="",C1207="",D1207=""),"",IF(D1207="","Manca l'importo",IF(NOT(ISNUMBER(D1207)),"Importo non valido",IF(NOT(ISNUMBER(A1207)),"Data mancante o non valida",IF(YEAR(A1207)&lt;&gt;Impostazioni!$C$4,"Fuori dall'anno",IF(C1207="","Manca la categoria",IF(ISNA(MATCH(C1207,Categorie!$A$6:$A$65,0)),"Categoria non trovata",IF(G1207="","Categoria senza tipo",""))))))))</f>
        <v/>
      </c>
    </row>
    <row r="1208">
      <c r="A1208" s="29" t="n"/>
      <c r="B1208" s="17" t="n"/>
      <c r="C1208" s="17" t="n"/>
      <c r="D1208" s="16" t="n"/>
      <c r="E1208" s="30" t="n"/>
      <c r="F1208" s="17" t="n"/>
      <c r="G1208" s="31">
        <f>IF(C1208="","",IFERROR(INDEX(Categorie!$B$6:$B$65,MATCH(C1208,Categorie!$A$6:$A$65,0))&amp;"",""))</f>
        <v/>
      </c>
      <c r="H1208" s="32">
        <f>IF(AND(A1208="",C1208="",D1208=""),"",IF(D1208="","Manca l'importo",IF(NOT(ISNUMBER(D1208)),"Importo non valido",IF(NOT(ISNUMBER(A1208)),"Data mancante o non valida",IF(YEAR(A1208)&lt;&gt;Impostazioni!$C$4,"Fuori dall'anno",IF(C1208="","Manca la categoria",IF(ISNA(MATCH(C1208,Categorie!$A$6:$A$65,0)),"Categoria non trovata",IF(G1208="","Categoria senza tipo",""))))))))</f>
        <v/>
      </c>
    </row>
    <row r="1209">
      <c r="A1209" s="29" t="n"/>
      <c r="B1209" s="17" t="n"/>
      <c r="C1209" s="17" t="n"/>
      <c r="D1209" s="16" t="n"/>
      <c r="E1209" s="30" t="n"/>
      <c r="F1209" s="17" t="n"/>
      <c r="G1209" s="31">
        <f>IF(C1209="","",IFERROR(INDEX(Categorie!$B$6:$B$65,MATCH(C1209,Categorie!$A$6:$A$65,0))&amp;"",""))</f>
        <v/>
      </c>
      <c r="H1209" s="32">
        <f>IF(AND(A1209="",C1209="",D1209=""),"",IF(D1209="","Manca l'importo",IF(NOT(ISNUMBER(D1209)),"Importo non valido",IF(NOT(ISNUMBER(A1209)),"Data mancante o non valida",IF(YEAR(A1209)&lt;&gt;Impostazioni!$C$4,"Fuori dall'anno",IF(C1209="","Manca la categoria",IF(ISNA(MATCH(C1209,Categorie!$A$6:$A$65,0)),"Categoria non trovata",IF(G1209="","Categoria senza tipo",""))))))))</f>
        <v/>
      </c>
    </row>
    <row r="1210">
      <c r="A1210" s="29" t="n"/>
      <c r="B1210" s="17" t="n"/>
      <c r="C1210" s="17" t="n"/>
      <c r="D1210" s="16" t="n"/>
      <c r="E1210" s="30" t="n"/>
      <c r="F1210" s="17" t="n"/>
      <c r="G1210" s="31">
        <f>IF(C1210="","",IFERROR(INDEX(Categorie!$B$6:$B$65,MATCH(C1210,Categorie!$A$6:$A$65,0))&amp;"",""))</f>
        <v/>
      </c>
      <c r="H1210" s="32">
        <f>IF(AND(A1210="",C1210="",D1210=""),"",IF(D1210="","Manca l'importo",IF(NOT(ISNUMBER(D1210)),"Importo non valido",IF(NOT(ISNUMBER(A1210)),"Data mancante o non valida",IF(YEAR(A1210)&lt;&gt;Impostazioni!$C$4,"Fuori dall'anno",IF(C1210="","Manca la categoria",IF(ISNA(MATCH(C1210,Categorie!$A$6:$A$65,0)),"Categoria non trovata",IF(G1210="","Categoria senza tipo",""))))))))</f>
        <v/>
      </c>
    </row>
    <row r="1211">
      <c r="A1211" s="29" t="n"/>
      <c r="B1211" s="17" t="n"/>
      <c r="C1211" s="17" t="n"/>
      <c r="D1211" s="16" t="n"/>
      <c r="E1211" s="30" t="n"/>
      <c r="F1211" s="17" t="n"/>
      <c r="G1211" s="31">
        <f>IF(C1211="","",IFERROR(INDEX(Categorie!$B$6:$B$65,MATCH(C1211,Categorie!$A$6:$A$65,0))&amp;"",""))</f>
        <v/>
      </c>
      <c r="H1211" s="32">
        <f>IF(AND(A1211="",C1211="",D1211=""),"",IF(D1211="","Manca l'importo",IF(NOT(ISNUMBER(D1211)),"Importo non valido",IF(NOT(ISNUMBER(A1211)),"Data mancante o non valida",IF(YEAR(A1211)&lt;&gt;Impostazioni!$C$4,"Fuori dall'anno",IF(C1211="","Manca la categoria",IF(ISNA(MATCH(C1211,Categorie!$A$6:$A$65,0)),"Categoria non trovata",IF(G1211="","Categoria senza tipo",""))))))))</f>
        <v/>
      </c>
    </row>
    <row r="1212">
      <c r="A1212" s="29" t="n"/>
      <c r="B1212" s="17" t="n"/>
      <c r="C1212" s="17" t="n"/>
      <c r="D1212" s="16" t="n"/>
      <c r="E1212" s="30" t="n"/>
      <c r="F1212" s="17" t="n"/>
      <c r="G1212" s="31">
        <f>IF(C1212="","",IFERROR(INDEX(Categorie!$B$6:$B$65,MATCH(C1212,Categorie!$A$6:$A$65,0))&amp;"",""))</f>
        <v/>
      </c>
      <c r="H1212" s="32">
        <f>IF(AND(A1212="",C1212="",D1212=""),"",IF(D1212="","Manca l'importo",IF(NOT(ISNUMBER(D1212)),"Importo non valido",IF(NOT(ISNUMBER(A1212)),"Data mancante o non valida",IF(YEAR(A1212)&lt;&gt;Impostazioni!$C$4,"Fuori dall'anno",IF(C1212="","Manca la categoria",IF(ISNA(MATCH(C1212,Categorie!$A$6:$A$65,0)),"Categoria non trovata",IF(G1212="","Categoria senza tipo",""))))))))</f>
        <v/>
      </c>
    </row>
    <row r="1213">
      <c r="A1213" s="29" t="n"/>
      <c r="B1213" s="17" t="n"/>
      <c r="C1213" s="17" t="n"/>
      <c r="D1213" s="16" t="n"/>
      <c r="E1213" s="30" t="n"/>
      <c r="F1213" s="17" t="n"/>
      <c r="G1213" s="31">
        <f>IF(C1213="","",IFERROR(INDEX(Categorie!$B$6:$B$65,MATCH(C1213,Categorie!$A$6:$A$65,0))&amp;"",""))</f>
        <v/>
      </c>
      <c r="H1213" s="32">
        <f>IF(AND(A1213="",C1213="",D1213=""),"",IF(D1213="","Manca l'importo",IF(NOT(ISNUMBER(D1213)),"Importo non valido",IF(NOT(ISNUMBER(A1213)),"Data mancante o non valida",IF(YEAR(A1213)&lt;&gt;Impostazioni!$C$4,"Fuori dall'anno",IF(C1213="","Manca la categoria",IF(ISNA(MATCH(C1213,Categorie!$A$6:$A$65,0)),"Categoria non trovata",IF(G1213="","Categoria senza tipo",""))))))))</f>
        <v/>
      </c>
    </row>
    <row r="1214">
      <c r="A1214" s="29" t="n"/>
      <c r="B1214" s="17" t="n"/>
      <c r="C1214" s="17" t="n"/>
      <c r="D1214" s="16" t="n"/>
      <c r="E1214" s="30" t="n"/>
      <c r="F1214" s="17" t="n"/>
      <c r="G1214" s="31">
        <f>IF(C1214="","",IFERROR(INDEX(Categorie!$B$6:$B$65,MATCH(C1214,Categorie!$A$6:$A$65,0))&amp;"",""))</f>
        <v/>
      </c>
      <c r="H1214" s="32">
        <f>IF(AND(A1214="",C1214="",D1214=""),"",IF(D1214="","Manca l'importo",IF(NOT(ISNUMBER(D1214)),"Importo non valido",IF(NOT(ISNUMBER(A1214)),"Data mancante o non valida",IF(YEAR(A1214)&lt;&gt;Impostazioni!$C$4,"Fuori dall'anno",IF(C1214="","Manca la categoria",IF(ISNA(MATCH(C1214,Categorie!$A$6:$A$65,0)),"Categoria non trovata",IF(G1214="","Categoria senza tipo",""))))))))</f>
        <v/>
      </c>
    </row>
    <row r="1215">
      <c r="A1215" s="29" t="n"/>
      <c r="B1215" s="17" t="n"/>
      <c r="C1215" s="17" t="n"/>
      <c r="D1215" s="16" t="n"/>
      <c r="E1215" s="30" t="n"/>
      <c r="F1215" s="17" t="n"/>
      <c r="G1215" s="31">
        <f>IF(C1215="","",IFERROR(INDEX(Categorie!$B$6:$B$65,MATCH(C1215,Categorie!$A$6:$A$65,0))&amp;"",""))</f>
        <v/>
      </c>
      <c r="H1215" s="32">
        <f>IF(AND(A1215="",C1215="",D1215=""),"",IF(D1215="","Manca l'importo",IF(NOT(ISNUMBER(D1215)),"Importo non valido",IF(NOT(ISNUMBER(A1215)),"Data mancante o non valida",IF(YEAR(A1215)&lt;&gt;Impostazioni!$C$4,"Fuori dall'anno",IF(C1215="","Manca la categoria",IF(ISNA(MATCH(C1215,Categorie!$A$6:$A$65,0)),"Categoria non trovata",IF(G1215="","Categoria senza tipo",""))))))))</f>
        <v/>
      </c>
    </row>
    <row r="1216">
      <c r="A1216" s="29" t="n"/>
      <c r="B1216" s="17" t="n"/>
      <c r="C1216" s="17" t="n"/>
      <c r="D1216" s="16" t="n"/>
      <c r="E1216" s="30" t="n"/>
      <c r="F1216" s="17" t="n"/>
      <c r="G1216" s="31">
        <f>IF(C1216="","",IFERROR(INDEX(Categorie!$B$6:$B$65,MATCH(C1216,Categorie!$A$6:$A$65,0))&amp;"",""))</f>
        <v/>
      </c>
      <c r="H1216" s="32">
        <f>IF(AND(A1216="",C1216="",D1216=""),"",IF(D1216="","Manca l'importo",IF(NOT(ISNUMBER(D1216)),"Importo non valido",IF(NOT(ISNUMBER(A1216)),"Data mancante o non valida",IF(YEAR(A1216)&lt;&gt;Impostazioni!$C$4,"Fuori dall'anno",IF(C1216="","Manca la categoria",IF(ISNA(MATCH(C1216,Categorie!$A$6:$A$65,0)),"Categoria non trovata",IF(G1216="","Categoria senza tipo",""))))))))</f>
        <v/>
      </c>
    </row>
    <row r="1217">
      <c r="A1217" s="29" t="n"/>
      <c r="B1217" s="17" t="n"/>
      <c r="C1217" s="17" t="n"/>
      <c r="D1217" s="16" t="n"/>
      <c r="E1217" s="30" t="n"/>
      <c r="F1217" s="17" t="n"/>
      <c r="G1217" s="31">
        <f>IF(C1217="","",IFERROR(INDEX(Categorie!$B$6:$B$65,MATCH(C1217,Categorie!$A$6:$A$65,0))&amp;"",""))</f>
        <v/>
      </c>
      <c r="H1217" s="32">
        <f>IF(AND(A1217="",C1217="",D1217=""),"",IF(D1217="","Manca l'importo",IF(NOT(ISNUMBER(D1217)),"Importo non valido",IF(NOT(ISNUMBER(A1217)),"Data mancante o non valida",IF(YEAR(A1217)&lt;&gt;Impostazioni!$C$4,"Fuori dall'anno",IF(C1217="","Manca la categoria",IF(ISNA(MATCH(C1217,Categorie!$A$6:$A$65,0)),"Categoria non trovata",IF(G1217="","Categoria senza tipo",""))))))))</f>
        <v/>
      </c>
    </row>
    <row r="1218">
      <c r="A1218" s="29" t="n"/>
      <c r="B1218" s="17" t="n"/>
      <c r="C1218" s="17" t="n"/>
      <c r="D1218" s="16" t="n"/>
      <c r="E1218" s="30" t="n"/>
      <c r="F1218" s="17" t="n"/>
      <c r="G1218" s="31">
        <f>IF(C1218="","",IFERROR(INDEX(Categorie!$B$6:$B$65,MATCH(C1218,Categorie!$A$6:$A$65,0))&amp;"",""))</f>
        <v/>
      </c>
      <c r="H1218" s="32">
        <f>IF(AND(A1218="",C1218="",D1218=""),"",IF(D1218="","Manca l'importo",IF(NOT(ISNUMBER(D1218)),"Importo non valido",IF(NOT(ISNUMBER(A1218)),"Data mancante o non valida",IF(YEAR(A1218)&lt;&gt;Impostazioni!$C$4,"Fuori dall'anno",IF(C1218="","Manca la categoria",IF(ISNA(MATCH(C1218,Categorie!$A$6:$A$65,0)),"Categoria non trovata",IF(G1218="","Categoria senza tipo",""))))))))</f>
        <v/>
      </c>
    </row>
    <row r="1219">
      <c r="A1219" s="29" t="n"/>
      <c r="B1219" s="17" t="n"/>
      <c r="C1219" s="17" t="n"/>
      <c r="D1219" s="16" t="n"/>
      <c r="E1219" s="30" t="n"/>
      <c r="F1219" s="17" t="n"/>
      <c r="G1219" s="31">
        <f>IF(C1219="","",IFERROR(INDEX(Categorie!$B$6:$B$65,MATCH(C1219,Categorie!$A$6:$A$65,0))&amp;"",""))</f>
        <v/>
      </c>
      <c r="H1219" s="32">
        <f>IF(AND(A1219="",C1219="",D1219=""),"",IF(D1219="","Manca l'importo",IF(NOT(ISNUMBER(D1219)),"Importo non valido",IF(NOT(ISNUMBER(A1219)),"Data mancante o non valida",IF(YEAR(A1219)&lt;&gt;Impostazioni!$C$4,"Fuori dall'anno",IF(C1219="","Manca la categoria",IF(ISNA(MATCH(C1219,Categorie!$A$6:$A$65,0)),"Categoria non trovata",IF(G1219="","Categoria senza tipo",""))))))))</f>
        <v/>
      </c>
    </row>
    <row r="1220">
      <c r="A1220" s="29" t="n"/>
      <c r="B1220" s="17" t="n"/>
      <c r="C1220" s="17" t="n"/>
      <c r="D1220" s="16" t="n"/>
      <c r="E1220" s="30" t="n"/>
      <c r="F1220" s="17" t="n"/>
      <c r="G1220" s="31">
        <f>IF(C1220="","",IFERROR(INDEX(Categorie!$B$6:$B$65,MATCH(C1220,Categorie!$A$6:$A$65,0))&amp;"",""))</f>
        <v/>
      </c>
      <c r="H1220" s="32">
        <f>IF(AND(A1220="",C1220="",D1220=""),"",IF(D1220="","Manca l'importo",IF(NOT(ISNUMBER(D1220)),"Importo non valido",IF(NOT(ISNUMBER(A1220)),"Data mancante o non valida",IF(YEAR(A1220)&lt;&gt;Impostazioni!$C$4,"Fuori dall'anno",IF(C1220="","Manca la categoria",IF(ISNA(MATCH(C1220,Categorie!$A$6:$A$65,0)),"Categoria non trovata",IF(G1220="","Categoria senza tipo",""))))))))</f>
        <v/>
      </c>
    </row>
    <row r="1221">
      <c r="A1221" s="29" t="n"/>
      <c r="B1221" s="17" t="n"/>
      <c r="C1221" s="17" t="n"/>
      <c r="D1221" s="16" t="n"/>
      <c r="E1221" s="30" t="n"/>
      <c r="F1221" s="17" t="n"/>
      <c r="G1221" s="31">
        <f>IF(C1221="","",IFERROR(INDEX(Categorie!$B$6:$B$65,MATCH(C1221,Categorie!$A$6:$A$65,0))&amp;"",""))</f>
        <v/>
      </c>
      <c r="H1221" s="32">
        <f>IF(AND(A1221="",C1221="",D1221=""),"",IF(D1221="","Manca l'importo",IF(NOT(ISNUMBER(D1221)),"Importo non valido",IF(NOT(ISNUMBER(A1221)),"Data mancante o non valida",IF(YEAR(A1221)&lt;&gt;Impostazioni!$C$4,"Fuori dall'anno",IF(C1221="","Manca la categoria",IF(ISNA(MATCH(C1221,Categorie!$A$6:$A$65,0)),"Categoria non trovata",IF(G1221="","Categoria senza tipo",""))))))))</f>
        <v/>
      </c>
    </row>
    <row r="1222">
      <c r="A1222" s="29" t="n"/>
      <c r="B1222" s="17" t="n"/>
      <c r="C1222" s="17" t="n"/>
      <c r="D1222" s="16" t="n"/>
      <c r="E1222" s="30" t="n"/>
      <c r="F1222" s="17" t="n"/>
      <c r="G1222" s="31">
        <f>IF(C1222="","",IFERROR(INDEX(Categorie!$B$6:$B$65,MATCH(C1222,Categorie!$A$6:$A$65,0))&amp;"",""))</f>
        <v/>
      </c>
      <c r="H1222" s="32">
        <f>IF(AND(A1222="",C1222="",D1222=""),"",IF(D1222="","Manca l'importo",IF(NOT(ISNUMBER(D1222)),"Importo non valido",IF(NOT(ISNUMBER(A1222)),"Data mancante o non valida",IF(YEAR(A1222)&lt;&gt;Impostazioni!$C$4,"Fuori dall'anno",IF(C1222="","Manca la categoria",IF(ISNA(MATCH(C1222,Categorie!$A$6:$A$65,0)),"Categoria non trovata",IF(G1222="","Categoria senza tipo",""))))))))</f>
        <v/>
      </c>
    </row>
    <row r="1223">
      <c r="A1223" s="29" t="n"/>
      <c r="B1223" s="17" t="n"/>
      <c r="C1223" s="17" t="n"/>
      <c r="D1223" s="16" t="n"/>
      <c r="E1223" s="30" t="n"/>
      <c r="F1223" s="17" t="n"/>
      <c r="G1223" s="31">
        <f>IF(C1223="","",IFERROR(INDEX(Categorie!$B$6:$B$65,MATCH(C1223,Categorie!$A$6:$A$65,0))&amp;"",""))</f>
        <v/>
      </c>
      <c r="H1223" s="32">
        <f>IF(AND(A1223="",C1223="",D1223=""),"",IF(D1223="","Manca l'importo",IF(NOT(ISNUMBER(D1223)),"Importo non valido",IF(NOT(ISNUMBER(A1223)),"Data mancante o non valida",IF(YEAR(A1223)&lt;&gt;Impostazioni!$C$4,"Fuori dall'anno",IF(C1223="","Manca la categoria",IF(ISNA(MATCH(C1223,Categorie!$A$6:$A$65,0)),"Categoria non trovata",IF(G1223="","Categoria senza tipo",""))))))))</f>
        <v/>
      </c>
    </row>
    <row r="1224">
      <c r="A1224" s="29" t="n"/>
      <c r="B1224" s="17" t="n"/>
      <c r="C1224" s="17" t="n"/>
      <c r="D1224" s="16" t="n"/>
      <c r="E1224" s="30" t="n"/>
      <c r="F1224" s="17" t="n"/>
      <c r="G1224" s="31">
        <f>IF(C1224="","",IFERROR(INDEX(Categorie!$B$6:$B$65,MATCH(C1224,Categorie!$A$6:$A$65,0))&amp;"",""))</f>
        <v/>
      </c>
      <c r="H1224" s="32">
        <f>IF(AND(A1224="",C1224="",D1224=""),"",IF(D1224="","Manca l'importo",IF(NOT(ISNUMBER(D1224)),"Importo non valido",IF(NOT(ISNUMBER(A1224)),"Data mancante o non valida",IF(YEAR(A1224)&lt;&gt;Impostazioni!$C$4,"Fuori dall'anno",IF(C1224="","Manca la categoria",IF(ISNA(MATCH(C1224,Categorie!$A$6:$A$65,0)),"Categoria non trovata",IF(G1224="","Categoria senza tipo",""))))))))</f>
        <v/>
      </c>
    </row>
    <row r="1225">
      <c r="A1225" s="29" t="n"/>
      <c r="B1225" s="17" t="n"/>
      <c r="C1225" s="17" t="n"/>
      <c r="D1225" s="16" t="n"/>
      <c r="E1225" s="30" t="n"/>
      <c r="F1225" s="17" t="n"/>
      <c r="G1225" s="31">
        <f>IF(C1225="","",IFERROR(INDEX(Categorie!$B$6:$B$65,MATCH(C1225,Categorie!$A$6:$A$65,0))&amp;"",""))</f>
        <v/>
      </c>
      <c r="H1225" s="32">
        <f>IF(AND(A1225="",C1225="",D1225=""),"",IF(D1225="","Manca l'importo",IF(NOT(ISNUMBER(D1225)),"Importo non valido",IF(NOT(ISNUMBER(A1225)),"Data mancante o non valida",IF(YEAR(A1225)&lt;&gt;Impostazioni!$C$4,"Fuori dall'anno",IF(C1225="","Manca la categoria",IF(ISNA(MATCH(C1225,Categorie!$A$6:$A$65,0)),"Categoria non trovata",IF(G1225="","Categoria senza tipo",""))))))))</f>
        <v/>
      </c>
    </row>
    <row r="1226">
      <c r="A1226" s="29" t="n"/>
      <c r="B1226" s="17" t="n"/>
      <c r="C1226" s="17" t="n"/>
      <c r="D1226" s="16" t="n"/>
      <c r="E1226" s="30" t="n"/>
      <c r="F1226" s="17" t="n"/>
      <c r="G1226" s="31">
        <f>IF(C1226="","",IFERROR(INDEX(Categorie!$B$6:$B$65,MATCH(C1226,Categorie!$A$6:$A$65,0))&amp;"",""))</f>
        <v/>
      </c>
      <c r="H1226" s="32">
        <f>IF(AND(A1226="",C1226="",D1226=""),"",IF(D1226="","Manca l'importo",IF(NOT(ISNUMBER(D1226)),"Importo non valido",IF(NOT(ISNUMBER(A1226)),"Data mancante o non valida",IF(YEAR(A1226)&lt;&gt;Impostazioni!$C$4,"Fuori dall'anno",IF(C1226="","Manca la categoria",IF(ISNA(MATCH(C1226,Categorie!$A$6:$A$65,0)),"Categoria non trovata",IF(G1226="","Categoria senza tipo",""))))))))</f>
        <v/>
      </c>
    </row>
    <row r="1227">
      <c r="A1227" s="29" t="n"/>
      <c r="B1227" s="17" t="n"/>
      <c r="C1227" s="17" t="n"/>
      <c r="D1227" s="16" t="n"/>
      <c r="E1227" s="30" t="n"/>
      <c r="F1227" s="17" t="n"/>
      <c r="G1227" s="31">
        <f>IF(C1227="","",IFERROR(INDEX(Categorie!$B$6:$B$65,MATCH(C1227,Categorie!$A$6:$A$65,0))&amp;"",""))</f>
        <v/>
      </c>
      <c r="H1227" s="32">
        <f>IF(AND(A1227="",C1227="",D1227=""),"",IF(D1227="","Manca l'importo",IF(NOT(ISNUMBER(D1227)),"Importo non valido",IF(NOT(ISNUMBER(A1227)),"Data mancante o non valida",IF(YEAR(A1227)&lt;&gt;Impostazioni!$C$4,"Fuori dall'anno",IF(C1227="","Manca la categoria",IF(ISNA(MATCH(C1227,Categorie!$A$6:$A$65,0)),"Categoria non trovata",IF(G1227="","Categoria senza tipo",""))))))))</f>
        <v/>
      </c>
    </row>
    <row r="1228">
      <c r="A1228" s="29" t="n"/>
      <c r="B1228" s="17" t="n"/>
      <c r="C1228" s="17" t="n"/>
      <c r="D1228" s="16" t="n"/>
      <c r="E1228" s="30" t="n"/>
      <c r="F1228" s="17" t="n"/>
      <c r="G1228" s="31">
        <f>IF(C1228="","",IFERROR(INDEX(Categorie!$B$6:$B$65,MATCH(C1228,Categorie!$A$6:$A$65,0))&amp;"",""))</f>
        <v/>
      </c>
      <c r="H1228" s="32">
        <f>IF(AND(A1228="",C1228="",D1228=""),"",IF(D1228="","Manca l'importo",IF(NOT(ISNUMBER(D1228)),"Importo non valido",IF(NOT(ISNUMBER(A1228)),"Data mancante o non valida",IF(YEAR(A1228)&lt;&gt;Impostazioni!$C$4,"Fuori dall'anno",IF(C1228="","Manca la categoria",IF(ISNA(MATCH(C1228,Categorie!$A$6:$A$65,0)),"Categoria non trovata",IF(G1228="","Categoria senza tipo",""))))))))</f>
        <v/>
      </c>
    </row>
    <row r="1229">
      <c r="A1229" s="29" t="n"/>
      <c r="B1229" s="17" t="n"/>
      <c r="C1229" s="17" t="n"/>
      <c r="D1229" s="16" t="n"/>
      <c r="E1229" s="30" t="n"/>
      <c r="F1229" s="17" t="n"/>
      <c r="G1229" s="31">
        <f>IF(C1229="","",IFERROR(INDEX(Categorie!$B$6:$B$65,MATCH(C1229,Categorie!$A$6:$A$65,0))&amp;"",""))</f>
        <v/>
      </c>
      <c r="H1229" s="32">
        <f>IF(AND(A1229="",C1229="",D1229=""),"",IF(D1229="","Manca l'importo",IF(NOT(ISNUMBER(D1229)),"Importo non valido",IF(NOT(ISNUMBER(A1229)),"Data mancante o non valida",IF(YEAR(A1229)&lt;&gt;Impostazioni!$C$4,"Fuori dall'anno",IF(C1229="","Manca la categoria",IF(ISNA(MATCH(C1229,Categorie!$A$6:$A$65,0)),"Categoria non trovata",IF(G1229="","Categoria senza tipo",""))))))))</f>
        <v/>
      </c>
    </row>
    <row r="1230">
      <c r="A1230" s="29" t="n"/>
      <c r="B1230" s="17" t="n"/>
      <c r="C1230" s="17" t="n"/>
      <c r="D1230" s="16" t="n"/>
      <c r="E1230" s="30" t="n"/>
      <c r="F1230" s="17" t="n"/>
      <c r="G1230" s="31">
        <f>IF(C1230="","",IFERROR(INDEX(Categorie!$B$6:$B$65,MATCH(C1230,Categorie!$A$6:$A$65,0))&amp;"",""))</f>
        <v/>
      </c>
      <c r="H1230" s="32">
        <f>IF(AND(A1230="",C1230="",D1230=""),"",IF(D1230="","Manca l'importo",IF(NOT(ISNUMBER(D1230)),"Importo non valido",IF(NOT(ISNUMBER(A1230)),"Data mancante o non valida",IF(YEAR(A1230)&lt;&gt;Impostazioni!$C$4,"Fuori dall'anno",IF(C1230="","Manca la categoria",IF(ISNA(MATCH(C1230,Categorie!$A$6:$A$65,0)),"Categoria non trovata",IF(G1230="","Categoria senza tipo",""))))))))</f>
        <v/>
      </c>
    </row>
    <row r="1231">
      <c r="A1231" s="29" t="n"/>
      <c r="B1231" s="17" t="n"/>
      <c r="C1231" s="17" t="n"/>
      <c r="D1231" s="16" t="n"/>
      <c r="E1231" s="30" t="n"/>
      <c r="F1231" s="17" t="n"/>
      <c r="G1231" s="31">
        <f>IF(C1231="","",IFERROR(INDEX(Categorie!$B$6:$B$65,MATCH(C1231,Categorie!$A$6:$A$65,0))&amp;"",""))</f>
        <v/>
      </c>
      <c r="H1231" s="32">
        <f>IF(AND(A1231="",C1231="",D1231=""),"",IF(D1231="","Manca l'importo",IF(NOT(ISNUMBER(D1231)),"Importo non valido",IF(NOT(ISNUMBER(A1231)),"Data mancante o non valida",IF(YEAR(A1231)&lt;&gt;Impostazioni!$C$4,"Fuori dall'anno",IF(C1231="","Manca la categoria",IF(ISNA(MATCH(C1231,Categorie!$A$6:$A$65,0)),"Categoria non trovata",IF(G1231="","Categoria senza tipo",""))))))))</f>
        <v/>
      </c>
    </row>
    <row r="1232">
      <c r="A1232" s="29" t="n"/>
      <c r="B1232" s="17" t="n"/>
      <c r="C1232" s="17" t="n"/>
      <c r="D1232" s="16" t="n"/>
      <c r="E1232" s="30" t="n"/>
      <c r="F1232" s="17" t="n"/>
      <c r="G1232" s="31">
        <f>IF(C1232="","",IFERROR(INDEX(Categorie!$B$6:$B$65,MATCH(C1232,Categorie!$A$6:$A$65,0))&amp;"",""))</f>
        <v/>
      </c>
      <c r="H1232" s="32">
        <f>IF(AND(A1232="",C1232="",D1232=""),"",IF(D1232="","Manca l'importo",IF(NOT(ISNUMBER(D1232)),"Importo non valido",IF(NOT(ISNUMBER(A1232)),"Data mancante o non valida",IF(YEAR(A1232)&lt;&gt;Impostazioni!$C$4,"Fuori dall'anno",IF(C1232="","Manca la categoria",IF(ISNA(MATCH(C1232,Categorie!$A$6:$A$65,0)),"Categoria non trovata",IF(G1232="","Categoria senza tipo",""))))))))</f>
        <v/>
      </c>
    </row>
    <row r="1233">
      <c r="A1233" s="29" t="n"/>
      <c r="B1233" s="17" t="n"/>
      <c r="C1233" s="17" t="n"/>
      <c r="D1233" s="16" t="n"/>
      <c r="E1233" s="30" t="n"/>
      <c r="F1233" s="17" t="n"/>
      <c r="G1233" s="31">
        <f>IF(C1233="","",IFERROR(INDEX(Categorie!$B$6:$B$65,MATCH(C1233,Categorie!$A$6:$A$65,0))&amp;"",""))</f>
        <v/>
      </c>
      <c r="H1233" s="32">
        <f>IF(AND(A1233="",C1233="",D1233=""),"",IF(D1233="","Manca l'importo",IF(NOT(ISNUMBER(D1233)),"Importo non valido",IF(NOT(ISNUMBER(A1233)),"Data mancante o non valida",IF(YEAR(A1233)&lt;&gt;Impostazioni!$C$4,"Fuori dall'anno",IF(C1233="","Manca la categoria",IF(ISNA(MATCH(C1233,Categorie!$A$6:$A$65,0)),"Categoria non trovata",IF(G1233="","Categoria senza tipo",""))))))))</f>
        <v/>
      </c>
    </row>
    <row r="1234">
      <c r="A1234" s="29" t="n"/>
      <c r="B1234" s="17" t="n"/>
      <c r="C1234" s="17" t="n"/>
      <c r="D1234" s="16" t="n"/>
      <c r="E1234" s="30" t="n"/>
      <c r="F1234" s="17" t="n"/>
      <c r="G1234" s="31">
        <f>IF(C1234="","",IFERROR(INDEX(Categorie!$B$6:$B$65,MATCH(C1234,Categorie!$A$6:$A$65,0))&amp;"",""))</f>
        <v/>
      </c>
      <c r="H1234" s="32">
        <f>IF(AND(A1234="",C1234="",D1234=""),"",IF(D1234="","Manca l'importo",IF(NOT(ISNUMBER(D1234)),"Importo non valido",IF(NOT(ISNUMBER(A1234)),"Data mancante o non valida",IF(YEAR(A1234)&lt;&gt;Impostazioni!$C$4,"Fuori dall'anno",IF(C1234="","Manca la categoria",IF(ISNA(MATCH(C1234,Categorie!$A$6:$A$65,0)),"Categoria non trovata",IF(G1234="","Categoria senza tipo",""))))))))</f>
        <v/>
      </c>
    </row>
    <row r="1235">
      <c r="A1235" s="29" t="n"/>
      <c r="B1235" s="17" t="n"/>
      <c r="C1235" s="17" t="n"/>
      <c r="D1235" s="16" t="n"/>
      <c r="E1235" s="30" t="n"/>
      <c r="F1235" s="17" t="n"/>
      <c r="G1235" s="31">
        <f>IF(C1235="","",IFERROR(INDEX(Categorie!$B$6:$B$65,MATCH(C1235,Categorie!$A$6:$A$65,0))&amp;"",""))</f>
        <v/>
      </c>
      <c r="H1235" s="32">
        <f>IF(AND(A1235="",C1235="",D1235=""),"",IF(D1235="","Manca l'importo",IF(NOT(ISNUMBER(D1235)),"Importo non valido",IF(NOT(ISNUMBER(A1235)),"Data mancante o non valida",IF(YEAR(A1235)&lt;&gt;Impostazioni!$C$4,"Fuori dall'anno",IF(C1235="","Manca la categoria",IF(ISNA(MATCH(C1235,Categorie!$A$6:$A$65,0)),"Categoria non trovata",IF(G1235="","Categoria senza tipo",""))))))))</f>
        <v/>
      </c>
    </row>
    <row r="1236">
      <c r="A1236" s="29" t="n"/>
      <c r="B1236" s="17" t="n"/>
      <c r="C1236" s="17" t="n"/>
      <c r="D1236" s="16" t="n"/>
      <c r="E1236" s="30" t="n"/>
      <c r="F1236" s="17" t="n"/>
      <c r="G1236" s="31">
        <f>IF(C1236="","",IFERROR(INDEX(Categorie!$B$6:$B$65,MATCH(C1236,Categorie!$A$6:$A$65,0))&amp;"",""))</f>
        <v/>
      </c>
      <c r="H1236" s="32">
        <f>IF(AND(A1236="",C1236="",D1236=""),"",IF(D1236="","Manca l'importo",IF(NOT(ISNUMBER(D1236)),"Importo non valido",IF(NOT(ISNUMBER(A1236)),"Data mancante o non valida",IF(YEAR(A1236)&lt;&gt;Impostazioni!$C$4,"Fuori dall'anno",IF(C1236="","Manca la categoria",IF(ISNA(MATCH(C1236,Categorie!$A$6:$A$65,0)),"Categoria non trovata",IF(G1236="","Categoria senza tipo",""))))))))</f>
        <v/>
      </c>
    </row>
    <row r="1237">
      <c r="A1237" s="29" t="n"/>
      <c r="B1237" s="17" t="n"/>
      <c r="C1237" s="17" t="n"/>
      <c r="D1237" s="16" t="n"/>
      <c r="E1237" s="30" t="n"/>
      <c r="F1237" s="17" t="n"/>
      <c r="G1237" s="31">
        <f>IF(C1237="","",IFERROR(INDEX(Categorie!$B$6:$B$65,MATCH(C1237,Categorie!$A$6:$A$65,0))&amp;"",""))</f>
        <v/>
      </c>
      <c r="H1237" s="32">
        <f>IF(AND(A1237="",C1237="",D1237=""),"",IF(D1237="","Manca l'importo",IF(NOT(ISNUMBER(D1237)),"Importo non valido",IF(NOT(ISNUMBER(A1237)),"Data mancante o non valida",IF(YEAR(A1237)&lt;&gt;Impostazioni!$C$4,"Fuori dall'anno",IF(C1237="","Manca la categoria",IF(ISNA(MATCH(C1237,Categorie!$A$6:$A$65,0)),"Categoria non trovata",IF(G1237="","Categoria senza tipo",""))))))))</f>
        <v/>
      </c>
    </row>
    <row r="1238">
      <c r="A1238" s="29" t="n"/>
      <c r="B1238" s="17" t="n"/>
      <c r="C1238" s="17" t="n"/>
      <c r="D1238" s="16" t="n"/>
      <c r="E1238" s="30" t="n"/>
      <c r="F1238" s="17" t="n"/>
      <c r="G1238" s="31">
        <f>IF(C1238="","",IFERROR(INDEX(Categorie!$B$6:$B$65,MATCH(C1238,Categorie!$A$6:$A$65,0))&amp;"",""))</f>
        <v/>
      </c>
      <c r="H1238" s="32">
        <f>IF(AND(A1238="",C1238="",D1238=""),"",IF(D1238="","Manca l'importo",IF(NOT(ISNUMBER(D1238)),"Importo non valido",IF(NOT(ISNUMBER(A1238)),"Data mancante o non valida",IF(YEAR(A1238)&lt;&gt;Impostazioni!$C$4,"Fuori dall'anno",IF(C1238="","Manca la categoria",IF(ISNA(MATCH(C1238,Categorie!$A$6:$A$65,0)),"Categoria non trovata",IF(G1238="","Categoria senza tipo",""))))))))</f>
        <v/>
      </c>
    </row>
    <row r="1239">
      <c r="A1239" s="29" t="n"/>
      <c r="B1239" s="17" t="n"/>
      <c r="C1239" s="17" t="n"/>
      <c r="D1239" s="16" t="n"/>
      <c r="E1239" s="30" t="n"/>
      <c r="F1239" s="17" t="n"/>
      <c r="G1239" s="31">
        <f>IF(C1239="","",IFERROR(INDEX(Categorie!$B$6:$B$65,MATCH(C1239,Categorie!$A$6:$A$65,0))&amp;"",""))</f>
        <v/>
      </c>
      <c r="H1239" s="32">
        <f>IF(AND(A1239="",C1239="",D1239=""),"",IF(D1239="","Manca l'importo",IF(NOT(ISNUMBER(D1239)),"Importo non valido",IF(NOT(ISNUMBER(A1239)),"Data mancante o non valida",IF(YEAR(A1239)&lt;&gt;Impostazioni!$C$4,"Fuori dall'anno",IF(C1239="","Manca la categoria",IF(ISNA(MATCH(C1239,Categorie!$A$6:$A$65,0)),"Categoria non trovata",IF(G1239="","Categoria senza tipo",""))))))))</f>
        <v/>
      </c>
    </row>
    <row r="1240">
      <c r="A1240" s="29" t="n"/>
      <c r="B1240" s="17" t="n"/>
      <c r="C1240" s="17" t="n"/>
      <c r="D1240" s="16" t="n"/>
      <c r="E1240" s="30" t="n"/>
      <c r="F1240" s="17" t="n"/>
      <c r="G1240" s="31">
        <f>IF(C1240="","",IFERROR(INDEX(Categorie!$B$6:$B$65,MATCH(C1240,Categorie!$A$6:$A$65,0))&amp;"",""))</f>
        <v/>
      </c>
      <c r="H1240" s="32">
        <f>IF(AND(A1240="",C1240="",D1240=""),"",IF(D1240="","Manca l'importo",IF(NOT(ISNUMBER(D1240)),"Importo non valido",IF(NOT(ISNUMBER(A1240)),"Data mancante o non valida",IF(YEAR(A1240)&lt;&gt;Impostazioni!$C$4,"Fuori dall'anno",IF(C1240="","Manca la categoria",IF(ISNA(MATCH(C1240,Categorie!$A$6:$A$65,0)),"Categoria non trovata",IF(G1240="","Categoria senza tipo",""))))))))</f>
        <v/>
      </c>
    </row>
    <row r="1241">
      <c r="A1241" s="29" t="n"/>
      <c r="B1241" s="17" t="n"/>
      <c r="C1241" s="17" t="n"/>
      <c r="D1241" s="16" t="n"/>
      <c r="E1241" s="30" t="n"/>
      <c r="F1241" s="17" t="n"/>
      <c r="G1241" s="31">
        <f>IF(C1241="","",IFERROR(INDEX(Categorie!$B$6:$B$65,MATCH(C1241,Categorie!$A$6:$A$65,0))&amp;"",""))</f>
        <v/>
      </c>
      <c r="H1241" s="32">
        <f>IF(AND(A1241="",C1241="",D1241=""),"",IF(D1241="","Manca l'importo",IF(NOT(ISNUMBER(D1241)),"Importo non valido",IF(NOT(ISNUMBER(A1241)),"Data mancante o non valida",IF(YEAR(A1241)&lt;&gt;Impostazioni!$C$4,"Fuori dall'anno",IF(C1241="","Manca la categoria",IF(ISNA(MATCH(C1241,Categorie!$A$6:$A$65,0)),"Categoria non trovata",IF(G1241="","Categoria senza tipo",""))))))))</f>
        <v/>
      </c>
    </row>
    <row r="1242">
      <c r="A1242" s="29" t="n"/>
      <c r="B1242" s="17" t="n"/>
      <c r="C1242" s="17" t="n"/>
      <c r="D1242" s="16" t="n"/>
      <c r="E1242" s="30" t="n"/>
      <c r="F1242" s="17" t="n"/>
      <c r="G1242" s="31">
        <f>IF(C1242="","",IFERROR(INDEX(Categorie!$B$6:$B$65,MATCH(C1242,Categorie!$A$6:$A$65,0))&amp;"",""))</f>
        <v/>
      </c>
      <c r="H1242" s="32">
        <f>IF(AND(A1242="",C1242="",D1242=""),"",IF(D1242="","Manca l'importo",IF(NOT(ISNUMBER(D1242)),"Importo non valido",IF(NOT(ISNUMBER(A1242)),"Data mancante o non valida",IF(YEAR(A1242)&lt;&gt;Impostazioni!$C$4,"Fuori dall'anno",IF(C1242="","Manca la categoria",IF(ISNA(MATCH(C1242,Categorie!$A$6:$A$65,0)),"Categoria non trovata",IF(G1242="","Categoria senza tipo",""))))))))</f>
        <v/>
      </c>
    </row>
    <row r="1243">
      <c r="A1243" s="29" t="n"/>
      <c r="B1243" s="17" t="n"/>
      <c r="C1243" s="17" t="n"/>
      <c r="D1243" s="16" t="n"/>
      <c r="E1243" s="30" t="n"/>
      <c r="F1243" s="17" t="n"/>
      <c r="G1243" s="31">
        <f>IF(C1243="","",IFERROR(INDEX(Categorie!$B$6:$B$65,MATCH(C1243,Categorie!$A$6:$A$65,0))&amp;"",""))</f>
        <v/>
      </c>
      <c r="H1243" s="32">
        <f>IF(AND(A1243="",C1243="",D1243=""),"",IF(D1243="","Manca l'importo",IF(NOT(ISNUMBER(D1243)),"Importo non valido",IF(NOT(ISNUMBER(A1243)),"Data mancante o non valida",IF(YEAR(A1243)&lt;&gt;Impostazioni!$C$4,"Fuori dall'anno",IF(C1243="","Manca la categoria",IF(ISNA(MATCH(C1243,Categorie!$A$6:$A$65,0)),"Categoria non trovata",IF(G1243="","Categoria senza tipo",""))))))))</f>
        <v/>
      </c>
    </row>
    <row r="1244">
      <c r="A1244" s="29" t="n"/>
      <c r="B1244" s="17" t="n"/>
      <c r="C1244" s="17" t="n"/>
      <c r="D1244" s="16" t="n"/>
      <c r="E1244" s="30" t="n"/>
      <c r="F1244" s="17" t="n"/>
      <c r="G1244" s="31">
        <f>IF(C1244="","",IFERROR(INDEX(Categorie!$B$6:$B$65,MATCH(C1244,Categorie!$A$6:$A$65,0))&amp;"",""))</f>
        <v/>
      </c>
      <c r="H1244" s="32">
        <f>IF(AND(A1244="",C1244="",D1244=""),"",IF(D1244="","Manca l'importo",IF(NOT(ISNUMBER(D1244)),"Importo non valido",IF(NOT(ISNUMBER(A1244)),"Data mancante o non valida",IF(YEAR(A1244)&lt;&gt;Impostazioni!$C$4,"Fuori dall'anno",IF(C1244="","Manca la categoria",IF(ISNA(MATCH(C1244,Categorie!$A$6:$A$65,0)),"Categoria non trovata",IF(G1244="","Categoria senza tipo",""))))))))</f>
        <v/>
      </c>
    </row>
    <row r="1245">
      <c r="A1245" s="29" t="n"/>
      <c r="B1245" s="17" t="n"/>
      <c r="C1245" s="17" t="n"/>
      <c r="D1245" s="16" t="n"/>
      <c r="E1245" s="30" t="n"/>
      <c r="F1245" s="17" t="n"/>
      <c r="G1245" s="31">
        <f>IF(C1245="","",IFERROR(INDEX(Categorie!$B$6:$B$65,MATCH(C1245,Categorie!$A$6:$A$65,0))&amp;"",""))</f>
        <v/>
      </c>
      <c r="H1245" s="32">
        <f>IF(AND(A1245="",C1245="",D1245=""),"",IF(D1245="","Manca l'importo",IF(NOT(ISNUMBER(D1245)),"Importo non valido",IF(NOT(ISNUMBER(A1245)),"Data mancante o non valida",IF(YEAR(A1245)&lt;&gt;Impostazioni!$C$4,"Fuori dall'anno",IF(C1245="","Manca la categoria",IF(ISNA(MATCH(C1245,Categorie!$A$6:$A$65,0)),"Categoria non trovata",IF(G1245="","Categoria senza tipo",""))))))))</f>
        <v/>
      </c>
    </row>
    <row r="1246">
      <c r="A1246" s="29" t="n"/>
      <c r="B1246" s="17" t="n"/>
      <c r="C1246" s="17" t="n"/>
      <c r="D1246" s="16" t="n"/>
      <c r="E1246" s="30" t="n"/>
      <c r="F1246" s="17" t="n"/>
      <c r="G1246" s="31">
        <f>IF(C1246="","",IFERROR(INDEX(Categorie!$B$6:$B$65,MATCH(C1246,Categorie!$A$6:$A$65,0))&amp;"",""))</f>
        <v/>
      </c>
      <c r="H1246" s="32">
        <f>IF(AND(A1246="",C1246="",D1246=""),"",IF(D1246="","Manca l'importo",IF(NOT(ISNUMBER(D1246)),"Importo non valido",IF(NOT(ISNUMBER(A1246)),"Data mancante o non valida",IF(YEAR(A1246)&lt;&gt;Impostazioni!$C$4,"Fuori dall'anno",IF(C1246="","Manca la categoria",IF(ISNA(MATCH(C1246,Categorie!$A$6:$A$65,0)),"Categoria non trovata",IF(G1246="","Categoria senza tipo",""))))))))</f>
        <v/>
      </c>
    </row>
    <row r="1247">
      <c r="A1247" s="29" t="n"/>
      <c r="B1247" s="17" t="n"/>
      <c r="C1247" s="17" t="n"/>
      <c r="D1247" s="16" t="n"/>
      <c r="E1247" s="30" t="n"/>
      <c r="F1247" s="17" t="n"/>
      <c r="G1247" s="31">
        <f>IF(C1247="","",IFERROR(INDEX(Categorie!$B$6:$B$65,MATCH(C1247,Categorie!$A$6:$A$65,0))&amp;"",""))</f>
        <v/>
      </c>
      <c r="H1247" s="32">
        <f>IF(AND(A1247="",C1247="",D1247=""),"",IF(D1247="","Manca l'importo",IF(NOT(ISNUMBER(D1247)),"Importo non valido",IF(NOT(ISNUMBER(A1247)),"Data mancante o non valida",IF(YEAR(A1247)&lt;&gt;Impostazioni!$C$4,"Fuori dall'anno",IF(C1247="","Manca la categoria",IF(ISNA(MATCH(C1247,Categorie!$A$6:$A$65,0)),"Categoria non trovata",IF(G1247="","Categoria senza tipo",""))))))))</f>
        <v/>
      </c>
    </row>
    <row r="1248">
      <c r="A1248" s="29" t="n"/>
      <c r="B1248" s="17" t="n"/>
      <c r="C1248" s="17" t="n"/>
      <c r="D1248" s="16" t="n"/>
      <c r="E1248" s="30" t="n"/>
      <c r="F1248" s="17" t="n"/>
      <c r="G1248" s="31">
        <f>IF(C1248="","",IFERROR(INDEX(Categorie!$B$6:$B$65,MATCH(C1248,Categorie!$A$6:$A$65,0))&amp;"",""))</f>
        <v/>
      </c>
      <c r="H1248" s="32">
        <f>IF(AND(A1248="",C1248="",D1248=""),"",IF(D1248="","Manca l'importo",IF(NOT(ISNUMBER(D1248)),"Importo non valido",IF(NOT(ISNUMBER(A1248)),"Data mancante o non valida",IF(YEAR(A1248)&lt;&gt;Impostazioni!$C$4,"Fuori dall'anno",IF(C1248="","Manca la categoria",IF(ISNA(MATCH(C1248,Categorie!$A$6:$A$65,0)),"Categoria non trovata",IF(G1248="","Categoria senza tipo",""))))))))</f>
        <v/>
      </c>
    </row>
    <row r="1249">
      <c r="A1249" s="29" t="n"/>
      <c r="B1249" s="17" t="n"/>
      <c r="C1249" s="17" t="n"/>
      <c r="D1249" s="16" t="n"/>
      <c r="E1249" s="30" t="n"/>
      <c r="F1249" s="17" t="n"/>
      <c r="G1249" s="31">
        <f>IF(C1249="","",IFERROR(INDEX(Categorie!$B$6:$B$65,MATCH(C1249,Categorie!$A$6:$A$65,0))&amp;"",""))</f>
        <v/>
      </c>
      <c r="H1249" s="32">
        <f>IF(AND(A1249="",C1249="",D1249=""),"",IF(D1249="","Manca l'importo",IF(NOT(ISNUMBER(D1249)),"Importo non valido",IF(NOT(ISNUMBER(A1249)),"Data mancante o non valida",IF(YEAR(A1249)&lt;&gt;Impostazioni!$C$4,"Fuori dall'anno",IF(C1249="","Manca la categoria",IF(ISNA(MATCH(C1249,Categorie!$A$6:$A$65,0)),"Categoria non trovata",IF(G1249="","Categoria senza tipo",""))))))))</f>
        <v/>
      </c>
    </row>
    <row r="1250">
      <c r="A1250" s="29" t="n"/>
      <c r="B1250" s="17" t="n"/>
      <c r="C1250" s="17" t="n"/>
      <c r="D1250" s="16" t="n"/>
      <c r="E1250" s="30" t="n"/>
      <c r="F1250" s="17" t="n"/>
      <c r="G1250" s="31">
        <f>IF(C1250="","",IFERROR(INDEX(Categorie!$B$6:$B$65,MATCH(C1250,Categorie!$A$6:$A$65,0))&amp;"",""))</f>
        <v/>
      </c>
      <c r="H1250" s="32">
        <f>IF(AND(A1250="",C1250="",D1250=""),"",IF(D1250="","Manca l'importo",IF(NOT(ISNUMBER(D1250)),"Importo non valido",IF(NOT(ISNUMBER(A1250)),"Data mancante o non valida",IF(YEAR(A1250)&lt;&gt;Impostazioni!$C$4,"Fuori dall'anno",IF(C1250="","Manca la categoria",IF(ISNA(MATCH(C1250,Categorie!$A$6:$A$65,0)),"Categoria non trovata",IF(G1250="","Categoria senza tipo",""))))))))</f>
        <v/>
      </c>
    </row>
    <row r="1251">
      <c r="A1251" s="29" t="n"/>
      <c r="B1251" s="17" t="n"/>
      <c r="C1251" s="17" t="n"/>
      <c r="D1251" s="16" t="n"/>
      <c r="E1251" s="30" t="n"/>
      <c r="F1251" s="17" t="n"/>
      <c r="G1251" s="31">
        <f>IF(C1251="","",IFERROR(INDEX(Categorie!$B$6:$B$65,MATCH(C1251,Categorie!$A$6:$A$65,0))&amp;"",""))</f>
        <v/>
      </c>
      <c r="H1251" s="32">
        <f>IF(AND(A1251="",C1251="",D1251=""),"",IF(D1251="","Manca l'importo",IF(NOT(ISNUMBER(D1251)),"Importo non valido",IF(NOT(ISNUMBER(A1251)),"Data mancante o non valida",IF(YEAR(A1251)&lt;&gt;Impostazioni!$C$4,"Fuori dall'anno",IF(C1251="","Manca la categoria",IF(ISNA(MATCH(C1251,Categorie!$A$6:$A$65,0)),"Categoria non trovata",IF(G1251="","Categoria senza tipo",""))))))))</f>
        <v/>
      </c>
    </row>
    <row r="1252">
      <c r="A1252" s="29" t="n"/>
      <c r="B1252" s="17" t="n"/>
      <c r="C1252" s="17" t="n"/>
      <c r="D1252" s="16" t="n"/>
      <c r="E1252" s="30" t="n"/>
      <c r="F1252" s="17" t="n"/>
      <c r="G1252" s="31">
        <f>IF(C1252="","",IFERROR(INDEX(Categorie!$B$6:$B$65,MATCH(C1252,Categorie!$A$6:$A$65,0))&amp;"",""))</f>
        <v/>
      </c>
      <c r="H1252" s="32">
        <f>IF(AND(A1252="",C1252="",D1252=""),"",IF(D1252="","Manca l'importo",IF(NOT(ISNUMBER(D1252)),"Importo non valido",IF(NOT(ISNUMBER(A1252)),"Data mancante o non valida",IF(YEAR(A1252)&lt;&gt;Impostazioni!$C$4,"Fuori dall'anno",IF(C1252="","Manca la categoria",IF(ISNA(MATCH(C1252,Categorie!$A$6:$A$65,0)),"Categoria non trovata",IF(G1252="","Categoria senza tipo",""))))))))</f>
        <v/>
      </c>
    </row>
    <row r="1253">
      <c r="A1253" s="29" t="n"/>
      <c r="B1253" s="17" t="n"/>
      <c r="C1253" s="17" t="n"/>
      <c r="D1253" s="16" t="n"/>
      <c r="E1253" s="30" t="n"/>
      <c r="F1253" s="17" t="n"/>
      <c r="G1253" s="31">
        <f>IF(C1253="","",IFERROR(INDEX(Categorie!$B$6:$B$65,MATCH(C1253,Categorie!$A$6:$A$65,0))&amp;"",""))</f>
        <v/>
      </c>
      <c r="H1253" s="32">
        <f>IF(AND(A1253="",C1253="",D1253=""),"",IF(D1253="","Manca l'importo",IF(NOT(ISNUMBER(D1253)),"Importo non valido",IF(NOT(ISNUMBER(A1253)),"Data mancante o non valida",IF(YEAR(A1253)&lt;&gt;Impostazioni!$C$4,"Fuori dall'anno",IF(C1253="","Manca la categoria",IF(ISNA(MATCH(C1253,Categorie!$A$6:$A$65,0)),"Categoria non trovata",IF(G1253="","Categoria senza tipo",""))))))))</f>
        <v/>
      </c>
    </row>
    <row r="1254">
      <c r="A1254" s="29" t="n"/>
      <c r="B1254" s="17" t="n"/>
      <c r="C1254" s="17" t="n"/>
      <c r="D1254" s="16" t="n"/>
      <c r="E1254" s="30" t="n"/>
      <c r="F1254" s="17" t="n"/>
      <c r="G1254" s="31">
        <f>IF(C1254="","",IFERROR(INDEX(Categorie!$B$6:$B$65,MATCH(C1254,Categorie!$A$6:$A$65,0))&amp;"",""))</f>
        <v/>
      </c>
      <c r="H1254" s="32">
        <f>IF(AND(A1254="",C1254="",D1254=""),"",IF(D1254="","Manca l'importo",IF(NOT(ISNUMBER(D1254)),"Importo non valido",IF(NOT(ISNUMBER(A1254)),"Data mancante o non valida",IF(YEAR(A1254)&lt;&gt;Impostazioni!$C$4,"Fuori dall'anno",IF(C1254="","Manca la categoria",IF(ISNA(MATCH(C1254,Categorie!$A$6:$A$65,0)),"Categoria non trovata",IF(G1254="","Categoria senza tipo",""))))))))</f>
        <v/>
      </c>
    </row>
    <row r="1255">
      <c r="A1255" s="29" t="n"/>
      <c r="B1255" s="17" t="n"/>
      <c r="C1255" s="17" t="n"/>
      <c r="D1255" s="16" t="n"/>
      <c r="E1255" s="30" t="n"/>
      <c r="F1255" s="17" t="n"/>
      <c r="G1255" s="31">
        <f>IF(C1255="","",IFERROR(INDEX(Categorie!$B$6:$B$65,MATCH(C1255,Categorie!$A$6:$A$65,0))&amp;"",""))</f>
        <v/>
      </c>
      <c r="H1255" s="32">
        <f>IF(AND(A1255="",C1255="",D1255=""),"",IF(D1255="","Manca l'importo",IF(NOT(ISNUMBER(D1255)),"Importo non valido",IF(NOT(ISNUMBER(A1255)),"Data mancante o non valida",IF(YEAR(A1255)&lt;&gt;Impostazioni!$C$4,"Fuori dall'anno",IF(C1255="","Manca la categoria",IF(ISNA(MATCH(C1255,Categorie!$A$6:$A$65,0)),"Categoria non trovata",IF(G1255="","Categoria senza tipo",""))))))))</f>
        <v/>
      </c>
    </row>
    <row r="1256">
      <c r="A1256" s="29" t="n"/>
      <c r="B1256" s="17" t="n"/>
      <c r="C1256" s="17" t="n"/>
      <c r="D1256" s="16" t="n"/>
      <c r="E1256" s="30" t="n"/>
      <c r="F1256" s="17" t="n"/>
      <c r="G1256" s="31">
        <f>IF(C1256="","",IFERROR(INDEX(Categorie!$B$6:$B$65,MATCH(C1256,Categorie!$A$6:$A$65,0))&amp;"",""))</f>
        <v/>
      </c>
      <c r="H1256" s="32">
        <f>IF(AND(A1256="",C1256="",D1256=""),"",IF(D1256="","Manca l'importo",IF(NOT(ISNUMBER(D1256)),"Importo non valido",IF(NOT(ISNUMBER(A1256)),"Data mancante o non valida",IF(YEAR(A1256)&lt;&gt;Impostazioni!$C$4,"Fuori dall'anno",IF(C1256="","Manca la categoria",IF(ISNA(MATCH(C1256,Categorie!$A$6:$A$65,0)),"Categoria non trovata",IF(G1256="","Categoria senza tipo",""))))))))</f>
        <v/>
      </c>
    </row>
    <row r="1257">
      <c r="A1257" s="29" t="n"/>
      <c r="B1257" s="17" t="n"/>
      <c r="C1257" s="17" t="n"/>
      <c r="D1257" s="16" t="n"/>
      <c r="E1257" s="30" t="n"/>
      <c r="F1257" s="17" t="n"/>
      <c r="G1257" s="31">
        <f>IF(C1257="","",IFERROR(INDEX(Categorie!$B$6:$B$65,MATCH(C1257,Categorie!$A$6:$A$65,0))&amp;"",""))</f>
        <v/>
      </c>
      <c r="H1257" s="32">
        <f>IF(AND(A1257="",C1257="",D1257=""),"",IF(D1257="","Manca l'importo",IF(NOT(ISNUMBER(D1257)),"Importo non valido",IF(NOT(ISNUMBER(A1257)),"Data mancante o non valida",IF(YEAR(A1257)&lt;&gt;Impostazioni!$C$4,"Fuori dall'anno",IF(C1257="","Manca la categoria",IF(ISNA(MATCH(C1257,Categorie!$A$6:$A$65,0)),"Categoria non trovata",IF(G1257="","Categoria senza tipo",""))))))))</f>
        <v/>
      </c>
    </row>
    <row r="1258">
      <c r="A1258" s="29" t="n"/>
      <c r="B1258" s="17" t="n"/>
      <c r="C1258" s="17" t="n"/>
      <c r="D1258" s="16" t="n"/>
      <c r="E1258" s="30" t="n"/>
      <c r="F1258" s="17" t="n"/>
      <c r="G1258" s="31">
        <f>IF(C1258="","",IFERROR(INDEX(Categorie!$B$6:$B$65,MATCH(C1258,Categorie!$A$6:$A$65,0))&amp;"",""))</f>
        <v/>
      </c>
      <c r="H1258" s="32">
        <f>IF(AND(A1258="",C1258="",D1258=""),"",IF(D1258="","Manca l'importo",IF(NOT(ISNUMBER(D1258)),"Importo non valido",IF(NOT(ISNUMBER(A1258)),"Data mancante o non valida",IF(YEAR(A1258)&lt;&gt;Impostazioni!$C$4,"Fuori dall'anno",IF(C1258="","Manca la categoria",IF(ISNA(MATCH(C1258,Categorie!$A$6:$A$65,0)),"Categoria non trovata",IF(G1258="","Categoria senza tipo",""))))))))</f>
        <v/>
      </c>
    </row>
    <row r="1259">
      <c r="A1259" s="29" t="n"/>
      <c r="B1259" s="17" t="n"/>
      <c r="C1259" s="17" t="n"/>
      <c r="D1259" s="16" t="n"/>
      <c r="E1259" s="30" t="n"/>
      <c r="F1259" s="17" t="n"/>
      <c r="G1259" s="31">
        <f>IF(C1259="","",IFERROR(INDEX(Categorie!$B$6:$B$65,MATCH(C1259,Categorie!$A$6:$A$65,0))&amp;"",""))</f>
        <v/>
      </c>
      <c r="H1259" s="32">
        <f>IF(AND(A1259="",C1259="",D1259=""),"",IF(D1259="","Manca l'importo",IF(NOT(ISNUMBER(D1259)),"Importo non valido",IF(NOT(ISNUMBER(A1259)),"Data mancante o non valida",IF(YEAR(A1259)&lt;&gt;Impostazioni!$C$4,"Fuori dall'anno",IF(C1259="","Manca la categoria",IF(ISNA(MATCH(C1259,Categorie!$A$6:$A$65,0)),"Categoria non trovata",IF(G1259="","Categoria senza tipo",""))))))))</f>
        <v/>
      </c>
    </row>
    <row r="1260">
      <c r="A1260" s="29" t="n"/>
      <c r="B1260" s="17" t="n"/>
      <c r="C1260" s="17" t="n"/>
      <c r="D1260" s="16" t="n"/>
      <c r="E1260" s="30" t="n"/>
      <c r="F1260" s="17" t="n"/>
      <c r="G1260" s="31">
        <f>IF(C1260="","",IFERROR(INDEX(Categorie!$B$6:$B$65,MATCH(C1260,Categorie!$A$6:$A$65,0))&amp;"",""))</f>
        <v/>
      </c>
      <c r="H1260" s="32">
        <f>IF(AND(A1260="",C1260="",D1260=""),"",IF(D1260="","Manca l'importo",IF(NOT(ISNUMBER(D1260)),"Importo non valido",IF(NOT(ISNUMBER(A1260)),"Data mancante o non valida",IF(YEAR(A1260)&lt;&gt;Impostazioni!$C$4,"Fuori dall'anno",IF(C1260="","Manca la categoria",IF(ISNA(MATCH(C1260,Categorie!$A$6:$A$65,0)),"Categoria non trovata",IF(G1260="","Categoria senza tipo",""))))))))</f>
        <v/>
      </c>
    </row>
    <row r="1261">
      <c r="A1261" s="29" t="n"/>
      <c r="B1261" s="17" t="n"/>
      <c r="C1261" s="17" t="n"/>
      <c r="D1261" s="16" t="n"/>
      <c r="E1261" s="30" t="n"/>
      <c r="F1261" s="17" t="n"/>
      <c r="G1261" s="31">
        <f>IF(C1261="","",IFERROR(INDEX(Categorie!$B$6:$B$65,MATCH(C1261,Categorie!$A$6:$A$65,0))&amp;"",""))</f>
        <v/>
      </c>
      <c r="H1261" s="32">
        <f>IF(AND(A1261="",C1261="",D1261=""),"",IF(D1261="","Manca l'importo",IF(NOT(ISNUMBER(D1261)),"Importo non valido",IF(NOT(ISNUMBER(A1261)),"Data mancante o non valida",IF(YEAR(A1261)&lt;&gt;Impostazioni!$C$4,"Fuori dall'anno",IF(C1261="","Manca la categoria",IF(ISNA(MATCH(C1261,Categorie!$A$6:$A$65,0)),"Categoria non trovata",IF(G1261="","Categoria senza tipo",""))))))))</f>
        <v/>
      </c>
    </row>
    <row r="1262">
      <c r="A1262" s="29" t="n"/>
      <c r="B1262" s="17" t="n"/>
      <c r="C1262" s="17" t="n"/>
      <c r="D1262" s="16" t="n"/>
      <c r="E1262" s="30" t="n"/>
      <c r="F1262" s="17" t="n"/>
      <c r="G1262" s="31">
        <f>IF(C1262="","",IFERROR(INDEX(Categorie!$B$6:$B$65,MATCH(C1262,Categorie!$A$6:$A$65,0))&amp;"",""))</f>
        <v/>
      </c>
      <c r="H1262" s="32">
        <f>IF(AND(A1262="",C1262="",D1262=""),"",IF(D1262="","Manca l'importo",IF(NOT(ISNUMBER(D1262)),"Importo non valido",IF(NOT(ISNUMBER(A1262)),"Data mancante o non valida",IF(YEAR(A1262)&lt;&gt;Impostazioni!$C$4,"Fuori dall'anno",IF(C1262="","Manca la categoria",IF(ISNA(MATCH(C1262,Categorie!$A$6:$A$65,0)),"Categoria non trovata",IF(G1262="","Categoria senza tipo",""))))))))</f>
        <v/>
      </c>
    </row>
    <row r="1263">
      <c r="A1263" s="29" t="n"/>
      <c r="B1263" s="17" t="n"/>
      <c r="C1263" s="17" t="n"/>
      <c r="D1263" s="16" t="n"/>
      <c r="E1263" s="30" t="n"/>
      <c r="F1263" s="17" t="n"/>
      <c r="G1263" s="31">
        <f>IF(C1263="","",IFERROR(INDEX(Categorie!$B$6:$B$65,MATCH(C1263,Categorie!$A$6:$A$65,0))&amp;"",""))</f>
        <v/>
      </c>
      <c r="H1263" s="32">
        <f>IF(AND(A1263="",C1263="",D1263=""),"",IF(D1263="","Manca l'importo",IF(NOT(ISNUMBER(D1263)),"Importo non valido",IF(NOT(ISNUMBER(A1263)),"Data mancante o non valida",IF(YEAR(A1263)&lt;&gt;Impostazioni!$C$4,"Fuori dall'anno",IF(C1263="","Manca la categoria",IF(ISNA(MATCH(C1263,Categorie!$A$6:$A$65,0)),"Categoria non trovata",IF(G1263="","Categoria senza tipo",""))))))))</f>
        <v/>
      </c>
    </row>
    <row r="1264">
      <c r="A1264" s="29" t="n"/>
      <c r="B1264" s="17" t="n"/>
      <c r="C1264" s="17" t="n"/>
      <c r="D1264" s="16" t="n"/>
      <c r="E1264" s="30" t="n"/>
      <c r="F1264" s="17" t="n"/>
      <c r="G1264" s="31">
        <f>IF(C1264="","",IFERROR(INDEX(Categorie!$B$6:$B$65,MATCH(C1264,Categorie!$A$6:$A$65,0))&amp;"",""))</f>
        <v/>
      </c>
      <c r="H1264" s="32">
        <f>IF(AND(A1264="",C1264="",D1264=""),"",IF(D1264="","Manca l'importo",IF(NOT(ISNUMBER(D1264)),"Importo non valido",IF(NOT(ISNUMBER(A1264)),"Data mancante o non valida",IF(YEAR(A1264)&lt;&gt;Impostazioni!$C$4,"Fuori dall'anno",IF(C1264="","Manca la categoria",IF(ISNA(MATCH(C1264,Categorie!$A$6:$A$65,0)),"Categoria non trovata",IF(G1264="","Categoria senza tipo",""))))))))</f>
        <v/>
      </c>
    </row>
    <row r="1265">
      <c r="A1265" s="29" t="n"/>
      <c r="B1265" s="17" t="n"/>
      <c r="C1265" s="17" t="n"/>
      <c r="D1265" s="16" t="n"/>
      <c r="E1265" s="30" t="n"/>
      <c r="F1265" s="17" t="n"/>
      <c r="G1265" s="31">
        <f>IF(C1265="","",IFERROR(INDEX(Categorie!$B$6:$B$65,MATCH(C1265,Categorie!$A$6:$A$65,0))&amp;"",""))</f>
        <v/>
      </c>
      <c r="H1265" s="32">
        <f>IF(AND(A1265="",C1265="",D1265=""),"",IF(D1265="","Manca l'importo",IF(NOT(ISNUMBER(D1265)),"Importo non valido",IF(NOT(ISNUMBER(A1265)),"Data mancante o non valida",IF(YEAR(A1265)&lt;&gt;Impostazioni!$C$4,"Fuori dall'anno",IF(C1265="","Manca la categoria",IF(ISNA(MATCH(C1265,Categorie!$A$6:$A$65,0)),"Categoria non trovata",IF(G1265="","Categoria senza tipo",""))))))))</f>
        <v/>
      </c>
    </row>
    <row r="1266">
      <c r="A1266" s="29" t="n"/>
      <c r="B1266" s="17" t="n"/>
      <c r="C1266" s="17" t="n"/>
      <c r="D1266" s="16" t="n"/>
      <c r="E1266" s="30" t="n"/>
      <c r="F1266" s="17" t="n"/>
      <c r="G1266" s="31">
        <f>IF(C1266="","",IFERROR(INDEX(Categorie!$B$6:$B$65,MATCH(C1266,Categorie!$A$6:$A$65,0))&amp;"",""))</f>
        <v/>
      </c>
      <c r="H1266" s="32">
        <f>IF(AND(A1266="",C1266="",D1266=""),"",IF(D1266="","Manca l'importo",IF(NOT(ISNUMBER(D1266)),"Importo non valido",IF(NOT(ISNUMBER(A1266)),"Data mancante o non valida",IF(YEAR(A1266)&lt;&gt;Impostazioni!$C$4,"Fuori dall'anno",IF(C1266="","Manca la categoria",IF(ISNA(MATCH(C1266,Categorie!$A$6:$A$65,0)),"Categoria non trovata",IF(G1266="","Categoria senza tipo",""))))))))</f>
        <v/>
      </c>
    </row>
    <row r="1267">
      <c r="A1267" s="29" t="n"/>
      <c r="B1267" s="17" t="n"/>
      <c r="C1267" s="17" t="n"/>
      <c r="D1267" s="16" t="n"/>
      <c r="E1267" s="30" t="n"/>
      <c r="F1267" s="17" t="n"/>
      <c r="G1267" s="31">
        <f>IF(C1267="","",IFERROR(INDEX(Categorie!$B$6:$B$65,MATCH(C1267,Categorie!$A$6:$A$65,0))&amp;"",""))</f>
        <v/>
      </c>
      <c r="H1267" s="32">
        <f>IF(AND(A1267="",C1267="",D1267=""),"",IF(D1267="","Manca l'importo",IF(NOT(ISNUMBER(D1267)),"Importo non valido",IF(NOT(ISNUMBER(A1267)),"Data mancante o non valida",IF(YEAR(A1267)&lt;&gt;Impostazioni!$C$4,"Fuori dall'anno",IF(C1267="","Manca la categoria",IF(ISNA(MATCH(C1267,Categorie!$A$6:$A$65,0)),"Categoria non trovata",IF(G1267="","Categoria senza tipo",""))))))))</f>
        <v/>
      </c>
    </row>
    <row r="1268">
      <c r="A1268" s="29" t="n"/>
      <c r="B1268" s="17" t="n"/>
      <c r="C1268" s="17" t="n"/>
      <c r="D1268" s="16" t="n"/>
      <c r="E1268" s="30" t="n"/>
      <c r="F1268" s="17" t="n"/>
      <c r="G1268" s="31">
        <f>IF(C1268="","",IFERROR(INDEX(Categorie!$B$6:$B$65,MATCH(C1268,Categorie!$A$6:$A$65,0))&amp;"",""))</f>
        <v/>
      </c>
      <c r="H1268" s="32">
        <f>IF(AND(A1268="",C1268="",D1268=""),"",IF(D1268="","Manca l'importo",IF(NOT(ISNUMBER(D1268)),"Importo non valido",IF(NOT(ISNUMBER(A1268)),"Data mancante o non valida",IF(YEAR(A1268)&lt;&gt;Impostazioni!$C$4,"Fuori dall'anno",IF(C1268="","Manca la categoria",IF(ISNA(MATCH(C1268,Categorie!$A$6:$A$65,0)),"Categoria non trovata",IF(G1268="","Categoria senza tipo",""))))))))</f>
        <v/>
      </c>
    </row>
    <row r="1269">
      <c r="A1269" s="29" t="n"/>
      <c r="B1269" s="17" t="n"/>
      <c r="C1269" s="17" t="n"/>
      <c r="D1269" s="16" t="n"/>
      <c r="E1269" s="30" t="n"/>
      <c r="F1269" s="17" t="n"/>
      <c r="G1269" s="31">
        <f>IF(C1269="","",IFERROR(INDEX(Categorie!$B$6:$B$65,MATCH(C1269,Categorie!$A$6:$A$65,0))&amp;"",""))</f>
        <v/>
      </c>
      <c r="H1269" s="32">
        <f>IF(AND(A1269="",C1269="",D1269=""),"",IF(D1269="","Manca l'importo",IF(NOT(ISNUMBER(D1269)),"Importo non valido",IF(NOT(ISNUMBER(A1269)),"Data mancante o non valida",IF(YEAR(A1269)&lt;&gt;Impostazioni!$C$4,"Fuori dall'anno",IF(C1269="","Manca la categoria",IF(ISNA(MATCH(C1269,Categorie!$A$6:$A$65,0)),"Categoria non trovata",IF(G1269="","Categoria senza tipo",""))))))))</f>
        <v/>
      </c>
    </row>
    <row r="1270">
      <c r="A1270" s="29" t="n"/>
      <c r="B1270" s="17" t="n"/>
      <c r="C1270" s="17" t="n"/>
      <c r="D1270" s="16" t="n"/>
      <c r="E1270" s="30" t="n"/>
      <c r="F1270" s="17" t="n"/>
      <c r="G1270" s="31">
        <f>IF(C1270="","",IFERROR(INDEX(Categorie!$B$6:$B$65,MATCH(C1270,Categorie!$A$6:$A$65,0))&amp;"",""))</f>
        <v/>
      </c>
      <c r="H1270" s="32">
        <f>IF(AND(A1270="",C1270="",D1270=""),"",IF(D1270="","Manca l'importo",IF(NOT(ISNUMBER(D1270)),"Importo non valido",IF(NOT(ISNUMBER(A1270)),"Data mancante o non valida",IF(YEAR(A1270)&lt;&gt;Impostazioni!$C$4,"Fuori dall'anno",IF(C1270="","Manca la categoria",IF(ISNA(MATCH(C1270,Categorie!$A$6:$A$65,0)),"Categoria non trovata",IF(G1270="","Categoria senza tipo",""))))))))</f>
        <v/>
      </c>
    </row>
    <row r="1271">
      <c r="A1271" s="29" t="n"/>
      <c r="B1271" s="17" t="n"/>
      <c r="C1271" s="17" t="n"/>
      <c r="D1271" s="16" t="n"/>
      <c r="E1271" s="30" t="n"/>
      <c r="F1271" s="17" t="n"/>
      <c r="G1271" s="31">
        <f>IF(C1271="","",IFERROR(INDEX(Categorie!$B$6:$B$65,MATCH(C1271,Categorie!$A$6:$A$65,0))&amp;"",""))</f>
        <v/>
      </c>
      <c r="H1271" s="32">
        <f>IF(AND(A1271="",C1271="",D1271=""),"",IF(D1271="","Manca l'importo",IF(NOT(ISNUMBER(D1271)),"Importo non valido",IF(NOT(ISNUMBER(A1271)),"Data mancante o non valida",IF(YEAR(A1271)&lt;&gt;Impostazioni!$C$4,"Fuori dall'anno",IF(C1271="","Manca la categoria",IF(ISNA(MATCH(C1271,Categorie!$A$6:$A$65,0)),"Categoria non trovata",IF(G1271="","Categoria senza tipo",""))))))))</f>
        <v/>
      </c>
    </row>
    <row r="1272">
      <c r="A1272" s="29" t="n"/>
      <c r="B1272" s="17" t="n"/>
      <c r="C1272" s="17" t="n"/>
      <c r="D1272" s="16" t="n"/>
      <c r="E1272" s="30" t="n"/>
      <c r="F1272" s="17" t="n"/>
      <c r="G1272" s="31">
        <f>IF(C1272="","",IFERROR(INDEX(Categorie!$B$6:$B$65,MATCH(C1272,Categorie!$A$6:$A$65,0))&amp;"",""))</f>
        <v/>
      </c>
      <c r="H1272" s="32">
        <f>IF(AND(A1272="",C1272="",D1272=""),"",IF(D1272="","Manca l'importo",IF(NOT(ISNUMBER(D1272)),"Importo non valido",IF(NOT(ISNUMBER(A1272)),"Data mancante o non valida",IF(YEAR(A1272)&lt;&gt;Impostazioni!$C$4,"Fuori dall'anno",IF(C1272="","Manca la categoria",IF(ISNA(MATCH(C1272,Categorie!$A$6:$A$65,0)),"Categoria non trovata",IF(G1272="","Categoria senza tipo",""))))))))</f>
        <v/>
      </c>
    </row>
    <row r="1273">
      <c r="A1273" s="29" t="n"/>
      <c r="B1273" s="17" t="n"/>
      <c r="C1273" s="17" t="n"/>
      <c r="D1273" s="16" t="n"/>
      <c r="E1273" s="30" t="n"/>
      <c r="F1273" s="17" t="n"/>
      <c r="G1273" s="31">
        <f>IF(C1273="","",IFERROR(INDEX(Categorie!$B$6:$B$65,MATCH(C1273,Categorie!$A$6:$A$65,0))&amp;"",""))</f>
        <v/>
      </c>
      <c r="H1273" s="32">
        <f>IF(AND(A1273="",C1273="",D1273=""),"",IF(D1273="","Manca l'importo",IF(NOT(ISNUMBER(D1273)),"Importo non valido",IF(NOT(ISNUMBER(A1273)),"Data mancante o non valida",IF(YEAR(A1273)&lt;&gt;Impostazioni!$C$4,"Fuori dall'anno",IF(C1273="","Manca la categoria",IF(ISNA(MATCH(C1273,Categorie!$A$6:$A$65,0)),"Categoria non trovata",IF(G1273="","Categoria senza tipo",""))))))))</f>
        <v/>
      </c>
    </row>
    <row r="1274">
      <c r="A1274" s="29" t="n"/>
      <c r="B1274" s="17" t="n"/>
      <c r="C1274" s="17" t="n"/>
      <c r="D1274" s="16" t="n"/>
      <c r="E1274" s="30" t="n"/>
      <c r="F1274" s="17" t="n"/>
      <c r="G1274" s="31">
        <f>IF(C1274="","",IFERROR(INDEX(Categorie!$B$6:$B$65,MATCH(C1274,Categorie!$A$6:$A$65,0))&amp;"",""))</f>
        <v/>
      </c>
      <c r="H1274" s="32">
        <f>IF(AND(A1274="",C1274="",D1274=""),"",IF(D1274="","Manca l'importo",IF(NOT(ISNUMBER(D1274)),"Importo non valido",IF(NOT(ISNUMBER(A1274)),"Data mancante o non valida",IF(YEAR(A1274)&lt;&gt;Impostazioni!$C$4,"Fuori dall'anno",IF(C1274="","Manca la categoria",IF(ISNA(MATCH(C1274,Categorie!$A$6:$A$65,0)),"Categoria non trovata",IF(G1274="","Categoria senza tipo",""))))))))</f>
        <v/>
      </c>
    </row>
    <row r="1275">
      <c r="A1275" s="29" t="n"/>
      <c r="B1275" s="17" t="n"/>
      <c r="C1275" s="17" t="n"/>
      <c r="D1275" s="16" t="n"/>
      <c r="E1275" s="30" t="n"/>
      <c r="F1275" s="17" t="n"/>
      <c r="G1275" s="31">
        <f>IF(C1275="","",IFERROR(INDEX(Categorie!$B$6:$B$65,MATCH(C1275,Categorie!$A$6:$A$65,0))&amp;"",""))</f>
        <v/>
      </c>
      <c r="H1275" s="32">
        <f>IF(AND(A1275="",C1275="",D1275=""),"",IF(D1275="","Manca l'importo",IF(NOT(ISNUMBER(D1275)),"Importo non valido",IF(NOT(ISNUMBER(A1275)),"Data mancante o non valida",IF(YEAR(A1275)&lt;&gt;Impostazioni!$C$4,"Fuori dall'anno",IF(C1275="","Manca la categoria",IF(ISNA(MATCH(C1275,Categorie!$A$6:$A$65,0)),"Categoria non trovata",IF(G1275="","Categoria senza tipo",""))))))))</f>
        <v/>
      </c>
    </row>
    <row r="1276">
      <c r="A1276" s="29" t="n"/>
      <c r="B1276" s="17" t="n"/>
      <c r="C1276" s="17" t="n"/>
      <c r="D1276" s="16" t="n"/>
      <c r="E1276" s="30" t="n"/>
      <c r="F1276" s="17" t="n"/>
      <c r="G1276" s="31">
        <f>IF(C1276="","",IFERROR(INDEX(Categorie!$B$6:$B$65,MATCH(C1276,Categorie!$A$6:$A$65,0))&amp;"",""))</f>
        <v/>
      </c>
      <c r="H1276" s="32">
        <f>IF(AND(A1276="",C1276="",D1276=""),"",IF(D1276="","Manca l'importo",IF(NOT(ISNUMBER(D1276)),"Importo non valido",IF(NOT(ISNUMBER(A1276)),"Data mancante o non valida",IF(YEAR(A1276)&lt;&gt;Impostazioni!$C$4,"Fuori dall'anno",IF(C1276="","Manca la categoria",IF(ISNA(MATCH(C1276,Categorie!$A$6:$A$65,0)),"Categoria non trovata",IF(G1276="","Categoria senza tipo",""))))))))</f>
        <v/>
      </c>
    </row>
    <row r="1277">
      <c r="A1277" s="29" t="n"/>
      <c r="B1277" s="17" t="n"/>
      <c r="C1277" s="17" t="n"/>
      <c r="D1277" s="16" t="n"/>
      <c r="E1277" s="30" t="n"/>
      <c r="F1277" s="17" t="n"/>
      <c r="G1277" s="31">
        <f>IF(C1277="","",IFERROR(INDEX(Categorie!$B$6:$B$65,MATCH(C1277,Categorie!$A$6:$A$65,0))&amp;"",""))</f>
        <v/>
      </c>
      <c r="H1277" s="32">
        <f>IF(AND(A1277="",C1277="",D1277=""),"",IF(D1277="","Manca l'importo",IF(NOT(ISNUMBER(D1277)),"Importo non valido",IF(NOT(ISNUMBER(A1277)),"Data mancante o non valida",IF(YEAR(A1277)&lt;&gt;Impostazioni!$C$4,"Fuori dall'anno",IF(C1277="","Manca la categoria",IF(ISNA(MATCH(C1277,Categorie!$A$6:$A$65,0)),"Categoria non trovata",IF(G1277="","Categoria senza tipo",""))))))))</f>
        <v/>
      </c>
    </row>
    <row r="1278">
      <c r="A1278" s="29" t="n"/>
      <c r="B1278" s="17" t="n"/>
      <c r="C1278" s="17" t="n"/>
      <c r="D1278" s="16" t="n"/>
      <c r="E1278" s="30" t="n"/>
      <c r="F1278" s="17" t="n"/>
      <c r="G1278" s="31">
        <f>IF(C1278="","",IFERROR(INDEX(Categorie!$B$6:$B$65,MATCH(C1278,Categorie!$A$6:$A$65,0))&amp;"",""))</f>
        <v/>
      </c>
      <c r="H1278" s="32">
        <f>IF(AND(A1278="",C1278="",D1278=""),"",IF(D1278="","Manca l'importo",IF(NOT(ISNUMBER(D1278)),"Importo non valido",IF(NOT(ISNUMBER(A1278)),"Data mancante o non valida",IF(YEAR(A1278)&lt;&gt;Impostazioni!$C$4,"Fuori dall'anno",IF(C1278="","Manca la categoria",IF(ISNA(MATCH(C1278,Categorie!$A$6:$A$65,0)),"Categoria non trovata",IF(G1278="","Categoria senza tipo",""))))))))</f>
        <v/>
      </c>
    </row>
    <row r="1279">
      <c r="A1279" s="29" t="n"/>
      <c r="B1279" s="17" t="n"/>
      <c r="C1279" s="17" t="n"/>
      <c r="D1279" s="16" t="n"/>
      <c r="E1279" s="30" t="n"/>
      <c r="F1279" s="17" t="n"/>
      <c r="G1279" s="31">
        <f>IF(C1279="","",IFERROR(INDEX(Categorie!$B$6:$B$65,MATCH(C1279,Categorie!$A$6:$A$65,0))&amp;"",""))</f>
        <v/>
      </c>
      <c r="H1279" s="32">
        <f>IF(AND(A1279="",C1279="",D1279=""),"",IF(D1279="","Manca l'importo",IF(NOT(ISNUMBER(D1279)),"Importo non valido",IF(NOT(ISNUMBER(A1279)),"Data mancante o non valida",IF(YEAR(A1279)&lt;&gt;Impostazioni!$C$4,"Fuori dall'anno",IF(C1279="","Manca la categoria",IF(ISNA(MATCH(C1279,Categorie!$A$6:$A$65,0)),"Categoria non trovata",IF(G1279="","Categoria senza tipo",""))))))))</f>
        <v/>
      </c>
    </row>
    <row r="1280">
      <c r="A1280" s="29" t="n"/>
      <c r="B1280" s="17" t="n"/>
      <c r="C1280" s="17" t="n"/>
      <c r="D1280" s="16" t="n"/>
      <c r="E1280" s="30" t="n"/>
      <c r="F1280" s="17" t="n"/>
      <c r="G1280" s="31">
        <f>IF(C1280="","",IFERROR(INDEX(Categorie!$B$6:$B$65,MATCH(C1280,Categorie!$A$6:$A$65,0))&amp;"",""))</f>
        <v/>
      </c>
      <c r="H1280" s="32">
        <f>IF(AND(A1280="",C1280="",D1280=""),"",IF(D1280="","Manca l'importo",IF(NOT(ISNUMBER(D1280)),"Importo non valido",IF(NOT(ISNUMBER(A1280)),"Data mancante o non valida",IF(YEAR(A1280)&lt;&gt;Impostazioni!$C$4,"Fuori dall'anno",IF(C1280="","Manca la categoria",IF(ISNA(MATCH(C1280,Categorie!$A$6:$A$65,0)),"Categoria non trovata",IF(G1280="","Categoria senza tipo",""))))))))</f>
        <v/>
      </c>
    </row>
    <row r="1281">
      <c r="A1281" s="29" t="n"/>
      <c r="B1281" s="17" t="n"/>
      <c r="C1281" s="17" t="n"/>
      <c r="D1281" s="16" t="n"/>
      <c r="E1281" s="30" t="n"/>
      <c r="F1281" s="17" t="n"/>
      <c r="G1281" s="31">
        <f>IF(C1281="","",IFERROR(INDEX(Categorie!$B$6:$B$65,MATCH(C1281,Categorie!$A$6:$A$65,0))&amp;"",""))</f>
        <v/>
      </c>
      <c r="H1281" s="32">
        <f>IF(AND(A1281="",C1281="",D1281=""),"",IF(D1281="","Manca l'importo",IF(NOT(ISNUMBER(D1281)),"Importo non valido",IF(NOT(ISNUMBER(A1281)),"Data mancante o non valida",IF(YEAR(A1281)&lt;&gt;Impostazioni!$C$4,"Fuori dall'anno",IF(C1281="","Manca la categoria",IF(ISNA(MATCH(C1281,Categorie!$A$6:$A$65,0)),"Categoria non trovata",IF(G1281="","Categoria senza tipo",""))))))))</f>
        <v/>
      </c>
    </row>
    <row r="1282">
      <c r="A1282" s="29" t="n"/>
      <c r="B1282" s="17" t="n"/>
      <c r="C1282" s="17" t="n"/>
      <c r="D1282" s="16" t="n"/>
      <c r="E1282" s="30" t="n"/>
      <c r="F1282" s="17" t="n"/>
      <c r="G1282" s="31">
        <f>IF(C1282="","",IFERROR(INDEX(Categorie!$B$6:$B$65,MATCH(C1282,Categorie!$A$6:$A$65,0))&amp;"",""))</f>
        <v/>
      </c>
      <c r="H1282" s="32">
        <f>IF(AND(A1282="",C1282="",D1282=""),"",IF(D1282="","Manca l'importo",IF(NOT(ISNUMBER(D1282)),"Importo non valido",IF(NOT(ISNUMBER(A1282)),"Data mancante o non valida",IF(YEAR(A1282)&lt;&gt;Impostazioni!$C$4,"Fuori dall'anno",IF(C1282="","Manca la categoria",IF(ISNA(MATCH(C1282,Categorie!$A$6:$A$65,0)),"Categoria non trovata",IF(G1282="","Categoria senza tipo",""))))))))</f>
        <v/>
      </c>
    </row>
    <row r="1283">
      <c r="A1283" s="29" t="n"/>
      <c r="B1283" s="17" t="n"/>
      <c r="C1283" s="17" t="n"/>
      <c r="D1283" s="16" t="n"/>
      <c r="E1283" s="30" t="n"/>
      <c r="F1283" s="17" t="n"/>
      <c r="G1283" s="31">
        <f>IF(C1283="","",IFERROR(INDEX(Categorie!$B$6:$B$65,MATCH(C1283,Categorie!$A$6:$A$65,0))&amp;"",""))</f>
        <v/>
      </c>
      <c r="H1283" s="32">
        <f>IF(AND(A1283="",C1283="",D1283=""),"",IF(D1283="","Manca l'importo",IF(NOT(ISNUMBER(D1283)),"Importo non valido",IF(NOT(ISNUMBER(A1283)),"Data mancante o non valida",IF(YEAR(A1283)&lt;&gt;Impostazioni!$C$4,"Fuori dall'anno",IF(C1283="","Manca la categoria",IF(ISNA(MATCH(C1283,Categorie!$A$6:$A$65,0)),"Categoria non trovata",IF(G1283="","Categoria senza tipo",""))))))))</f>
        <v/>
      </c>
    </row>
    <row r="1284">
      <c r="A1284" s="29" t="n"/>
      <c r="B1284" s="17" t="n"/>
      <c r="C1284" s="17" t="n"/>
      <c r="D1284" s="16" t="n"/>
      <c r="E1284" s="30" t="n"/>
      <c r="F1284" s="17" t="n"/>
      <c r="G1284" s="31">
        <f>IF(C1284="","",IFERROR(INDEX(Categorie!$B$6:$B$65,MATCH(C1284,Categorie!$A$6:$A$65,0))&amp;"",""))</f>
        <v/>
      </c>
      <c r="H1284" s="32">
        <f>IF(AND(A1284="",C1284="",D1284=""),"",IF(D1284="","Manca l'importo",IF(NOT(ISNUMBER(D1284)),"Importo non valido",IF(NOT(ISNUMBER(A1284)),"Data mancante o non valida",IF(YEAR(A1284)&lt;&gt;Impostazioni!$C$4,"Fuori dall'anno",IF(C1284="","Manca la categoria",IF(ISNA(MATCH(C1284,Categorie!$A$6:$A$65,0)),"Categoria non trovata",IF(G1284="","Categoria senza tipo",""))))))))</f>
        <v/>
      </c>
    </row>
    <row r="1285">
      <c r="A1285" s="29" t="n"/>
      <c r="B1285" s="17" t="n"/>
      <c r="C1285" s="17" t="n"/>
      <c r="D1285" s="16" t="n"/>
      <c r="E1285" s="30" t="n"/>
      <c r="F1285" s="17" t="n"/>
      <c r="G1285" s="31">
        <f>IF(C1285="","",IFERROR(INDEX(Categorie!$B$6:$B$65,MATCH(C1285,Categorie!$A$6:$A$65,0))&amp;"",""))</f>
        <v/>
      </c>
      <c r="H1285" s="32">
        <f>IF(AND(A1285="",C1285="",D1285=""),"",IF(D1285="","Manca l'importo",IF(NOT(ISNUMBER(D1285)),"Importo non valido",IF(NOT(ISNUMBER(A1285)),"Data mancante o non valida",IF(YEAR(A1285)&lt;&gt;Impostazioni!$C$4,"Fuori dall'anno",IF(C1285="","Manca la categoria",IF(ISNA(MATCH(C1285,Categorie!$A$6:$A$65,0)),"Categoria non trovata",IF(G1285="","Categoria senza tipo",""))))))))</f>
        <v/>
      </c>
    </row>
    <row r="1286">
      <c r="A1286" s="29" t="n"/>
      <c r="B1286" s="17" t="n"/>
      <c r="C1286" s="17" t="n"/>
      <c r="D1286" s="16" t="n"/>
      <c r="E1286" s="30" t="n"/>
      <c r="F1286" s="17" t="n"/>
      <c r="G1286" s="31">
        <f>IF(C1286="","",IFERROR(INDEX(Categorie!$B$6:$B$65,MATCH(C1286,Categorie!$A$6:$A$65,0))&amp;"",""))</f>
        <v/>
      </c>
      <c r="H1286" s="32">
        <f>IF(AND(A1286="",C1286="",D1286=""),"",IF(D1286="","Manca l'importo",IF(NOT(ISNUMBER(D1286)),"Importo non valido",IF(NOT(ISNUMBER(A1286)),"Data mancante o non valida",IF(YEAR(A1286)&lt;&gt;Impostazioni!$C$4,"Fuori dall'anno",IF(C1286="","Manca la categoria",IF(ISNA(MATCH(C1286,Categorie!$A$6:$A$65,0)),"Categoria non trovata",IF(G1286="","Categoria senza tipo",""))))))))</f>
        <v/>
      </c>
    </row>
    <row r="1287">
      <c r="A1287" s="29" t="n"/>
      <c r="B1287" s="17" t="n"/>
      <c r="C1287" s="17" t="n"/>
      <c r="D1287" s="16" t="n"/>
      <c r="E1287" s="30" t="n"/>
      <c r="F1287" s="17" t="n"/>
      <c r="G1287" s="31">
        <f>IF(C1287="","",IFERROR(INDEX(Categorie!$B$6:$B$65,MATCH(C1287,Categorie!$A$6:$A$65,0))&amp;"",""))</f>
        <v/>
      </c>
      <c r="H1287" s="32">
        <f>IF(AND(A1287="",C1287="",D1287=""),"",IF(D1287="","Manca l'importo",IF(NOT(ISNUMBER(D1287)),"Importo non valido",IF(NOT(ISNUMBER(A1287)),"Data mancante o non valida",IF(YEAR(A1287)&lt;&gt;Impostazioni!$C$4,"Fuori dall'anno",IF(C1287="","Manca la categoria",IF(ISNA(MATCH(C1287,Categorie!$A$6:$A$65,0)),"Categoria non trovata",IF(G1287="","Categoria senza tipo",""))))))))</f>
        <v/>
      </c>
    </row>
    <row r="1288">
      <c r="A1288" s="29" t="n"/>
      <c r="B1288" s="17" t="n"/>
      <c r="C1288" s="17" t="n"/>
      <c r="D1288" s="16" t="n"/>
      <c r="E1288" s="30" t="n"/>
      <c r="F1288" s="17" t="n"/>
      <c r="G1288" s="31">
        <f>IF(C1288="","",IFERROR(INDEX(Categorie!$B$6:$B$65,MATCH(C1288,Categorie!$A$6:$A$65,0))&amp;"",""))</f>
        <v/>
      </c>
      <c r="H1288" s="32">
        <f>IF(AND(A1288="",C1288="",D1288=""),"",IF(D1288="","Manca l'importo",IF(NOT(ISNUMBER(D1288)),"Importo non valido",IF(NOT(ISNUMBER(A1288)),"Data mancante o non valida",IF(YEAR(A1288)&lt;&gt;Impostazioni!$C$4,"Fuori dall'anno",IF(C1288="","Manca la categoria",IF(ISNA(MATCH(C1288,Categorie!$A$6:$A$65,0)),"Categoria non trovata",IF(G1288="","Categoria senza tipo",""))))))))</f>
        <v/>
      </c>
    </row>
    <row r="1289">
      <c r="A1289" s="29" t="n"/>
      <c r="B1289" s="17" t="n"/>
      <c r="C1289" s="17" t="n"/>
      <c r="D1289" s="16" t="n"/>
      <c r="E1289" s="30" t="n"/>
      <c r="F1289" s="17" t="n"/>
      <c r="G1289" s="31">
        <f>IF(C1289="","",IFERROR(INDEX(Categorie!$B$6:$B$65,MATCH(C1289,Categorie!$A$6:$A$65,0))&amp;"",""))</f>
        <v/>
      </c>
      <c r="H1289" s="32">
        <f>IF(AND(A1289="",C1289="",D1289=""),"",IF(D1289="","Manca l'importo",IF(NOT(ISNUMBER(D1289)),"Importo non valido",IF(NOT(ISNUMBER(A1289)),"Data mancante o non valida",IF(YEAR(A1289)&lt;&gt;Impostazioni!$C$4,"Fuori dall'anno",IF(C1289="","Manca la categoria",IF(ISNA(MATCH(C1289,Categorie!$A$6:$A$65,0)),"Categoria non trovata",IF(G1289="","Categoria senza tipo",""))))))))</f>
        <v/>
      </c>
    </row>
    <row r="1290">
      <c r="A1290" s="29" t="n"/>
      <c r="B1290" s="17" t="n"/>
      <c r="C1290" s="17" t="n"/>
      <c r="D1290" s="16" t="n"/>
      <c r="E1290" s="30" t="n"/>
      <c r="F1290" s="17" t="n"/>
      <c r="G1290" s="31">
        <f>IF(C1290="","",IFERROR(INDEX(Categorie!$B$6:$B$65,MATCH(C1290,Categorie!$A$6:$A$65,0))&amp;"",""))</f>
        <v/>
      </c>
      <c r="H1290" s="32">
        <f>IF(AND(A1290="",C1290="",D1290=""),"",IF(D1290="","Manca l'importo",IF(NOT(ISNUMBER(D1290)),"Importo non valido",IF(NOT(ISNUMBER(A1290)),"Data mancante o non valida",IF(YEAR(A1290)&lt;&gt;Impostazioni!$C$4,"Fuori dall'anno",IF(C1290="","Manca la categoria",IF(ISNA(MATCH(C1290,Categorie!$A$6:$A$65,0)),"Categoria non trovata",IF(G1290="","Categoria senza tipo",""))))))))</f>
        <v/>
      </c>
    </row>
    <row r="1291">
      <c r="A1291" s="29" t="n"/>
      <c r="B1291" s="17" t="n"/>
      <c r="C1291" s="17" t="n"/>
      <c r="D1291" s="16" t="n"/>
      <c r="E1291" s="30" t="n"/>
      <c r="F1291" s="17" t="n"/>
      <c r="G1291" s="31">
        <f>IF(C1291="","",IFERROR(INDEX(Categorie!$B$6:$B$65,MATCH(C1291,Categorie!$A$6:$A$65,0))&amp;"",""))</f>
        <v/>
      </c>
      <c r="H1291" s="32">
        <f>IF(AND(A1291="",C1291="",D1291=""),"",IF(D1291="","Manca l'importo",IF(NOT(ISNUMBER(D1291)),"Importo non valido",IF(NOT(ISNUMBER(A1291)),"Data mancante o non valida",IF(YEAR(A1291)&lt;&gt;Impostazioni!$C$4,"Fuori dall'anno",IF(C1291="","Manca la categoria",IF(ISNA(MATCH(C1291,Categorie!$A$6:$A$65,0)),"Categoria non trovata",IF(G1291="","Categoria senza tipo",""))))))))</f>
        <v/>
      </c>
    </row>
    <row r="1292">
      <c r="A1292" s="29" t="n"/>
      <c r="B1292" s="17" t="n"/>
      <c r="C1292" s="17" t="n"/>
      <c r="D1292" s="16" t="n"/>
      <c r="E1292" s="30" t="n"/>
      <c r="F1292" s="17" t="n"/>
      <c r="G1292" s="31">
        <f>IF(C1292="","",IFERROR(INDEX(Categorie!$B$6:$B$65,MATCH(C1292,Categorie!$A$6:$A$65,0))&amp;"",""))</f>
        <v/>
      </c>
      <c r="H1292" s="32">
        <f>IF(AND(A1292="",C1292="",D1292=""),"",IF(D1292="","Manca l'importo",IF(NOT(ISNUMBER(D1292)),"Importo non valido",IF(NOT(ISNUMBER(A1292)),"Data mancante o non valida",IF(YEAR(A1292)&lt;&gt;Impostazioni!$C$4,"Fuori dall'anno",IF(C1292="","Manca la categoria",IF(ISNA(MATCH(C1292,Categorie!$A$6:$A$65,0)),"Categoria non trovata",IF(G1292="","Categoria senza tipo",""))))))))</f>
        <v/>
      </c>
    </row>
    <row r="1293">
      <c r="A1293" s="29" t="n"/>
      <c r="B1293" s="17" t="n"/>
      <c r="C1293" s="17" t="n"/>
      <c r="D1293" s="16" t="n"/>
      <c r="E1293" s="30" t="n"/>
      <c r="F1293" s="17" t="n"/>
      <c r="G1293" s="31">
        <f>IF(C1293="","",IFERROR(INDEX(Categorie!$B$6:$B$65,MATCH(C1293,Categorie!$A$6:$A$65,0))&amp;"",""))</f>
        <v/>
      </c>
      <c r="H1293" s="32">
        <f>IF(AND(A1293="",C1293="",D1293=""),"",IF(D1293="","Manca l'importo",IF(NOT(ISNUMBER(D1293)),"Importo non valido",IF(NOT(ISNUMBER(A1293)),"Data mancante o non valida",IF(YEAR(A1293)&lt;&gt;Impostazioni!$C$4,"Fuori dall'anno",IF(C1293="","Manca la categoria",IF(ISNA(MATCH(C1293,Categorie!$A$6:$A$65,0)),"Categoria non trovata",IF(G1293="","Categoria senza tipo",""))))))))</f>
        <v/>
      </c>
    </row>
    <row r="1294">
      <c r="A1294" s="29" t="n"/>
      <c r="B1294" s="17" t="n"/>
      <c r="C1294" s="17" t="n"/>
      <c r="D1294" s="16" t="n"/>
      <c r="E1294" s="30" t="n"/>
      <c r="F1294" s="17" t="n"/>
      <c r="G1294" s="31">
        <f>IF(C1294="","",IFERROR(INDEX(Categorie!$B$6:$B$65,MATCH(C1294,Categorie!$A$6:$A$65,0))&amp;"",""))</f>
        <v/>
      </c>
      <c r="H1294" s="32">
        <f>IF(AND(A1294="",C1294="",D1294=""),"",IF(D1294="","Manca l'importo",IF(NOT(ISNUMBER(D1294)),"Importo non valido",IF(NOT(ISNUMBER(A1294)),"Data mancante o non valida",IF(YEAR(A1294)&lt;&gt;Impostazioni!$C$4,"Fuori dall'anno",IF(C1294="","Manca la categoria",IF(ISNA(MATCH(C1294,Categorie!$A$6:$A$65,0)),"Categoria non trovata",IF(G1294="","Categoria senza tipo",""))))))))</f>
        <v/>
      </c>
    </row>
    <row r="1295">
      <c r="A1295" s="29" t="n"/>
      <c r="B1295" s="17" t="n"/>
      <c r="C1295" s="17" t="n"/>
      <c r="D1295" s="16" t="n"/>
      <c r="E1295" s="30" t="n"/>
      <c r="F1295" s="17" t="n"/>
      <c r="G1295" s="31">
        <f>IF(C1295="","",IFERROR(INDEX(Categorie!$B$6:$B$65,MATCH(C1295,Categorie!$A$6:$A$65,0))&amp;"",""))</f>
        <v/>
      </c>
      <c r="H1295" s="32">
        <f>IF(AND(A1295="",C1295="",D1295=""),"",IF(D1295="","Manca l'importo",IF(NOT(ISNUMBER(D1295)),"Importo non valido",IF(NOT(ISNUMBER(A1295)),"Data mancante o non valida",IF(YEAR(A1295)&lt;&gt;Impostazioni!$C$4,"Fuori dall'anno",IF(C1295="","Manca la categoria",IF(ISNA(MATCH(C1295,Categorie!$A$6:$A$65,0)),"Categoria non trovata",IF(G1295="","Categoria senza tipo",""))))))))</f>
        <v/>
      </c>
    </row>
    <row r="1296">
      <c r="A1296" s="29" t="n"/>
      <c r="B1296" s="17" t="n"/>
      <c r="C1296" s="17" t="n"/>
      <c r="D1296" s="16" t="n"/>
      <c r="E1296" s="30" t="n"/>
      <c r="F1296" s="17" t="n"/>
      <c r="G1296" s="31">
        <f>IF(C1296="","",IFERROR(INDEX(Categorie!$B$6:$B$65,MATCH(C1296,Categorie!$A$6:$A$65,0))&amp;"",""))</f>
        <v/>
      </c>
      <c r="H1296" s="32">
        <f>IF(AND(A1296="",C1296="",D1296=""),"",IF(D1296="","Manca l'importo",IF(NOT(ISNUMBER(D1296)),"Importo non valido",IF(NOT(ISNUMBER(A1296)),"Data mancante o non valida",IF(YEAR(A1296)&lt;&gt;Impostazioni!$C$4,"Fuori dall'anno",IF(C1296="","Manca la categoria",IF(ISNA(MATCH(C1296,Categorie!$A$6:$A$65,0)),"Categoria non trovata",IF(G1296="","Categoria senza tipo",""))))))))</f>
        <v/>
      </c>
    </row>
    <row r="1297">
      <c r="A1297" s="29" t="n"/>
      <c r="B1297" s="17" t="n"/>
      <c r="C1297" s="17" t="n"/>
      <c r="D1297" s="16" t="n"/>
      <c r="E1297" s="30" t="n"/>
      <c r="F1297" s="17" t="n"/>
      <c r="G1297" s="31">
        <f>IF(C1297="","",IFERROR(INDEX(Categorie!$B$6:$B$65,MATCH(C1297,Categorie!$A$6:$A$65,0))&amp;"",""))</f>
        <v/>
      </c>
      <c r="H1297" s="32">
        <f>IF(AND(A1297="",C1297="",D1297=""),"",IF(D1297="","Manca l'importo",IF(NOT(ISNUMBER(D1297)),"Importo non valido",IF(NOT(ISNUMBER(A1297)),"Data mancante o non valida",IF(YEAR(A1297)&lt;&gt;Impostazioni!$C$4,"Fuori dall'anno",IF(C1297="","Manca la categoria",IF(ISNA(MATCH(C1297,Categorie!$A$6:$A$65,0)),"Categoria non trovata",IF(G1297="","Categoria senza tipo",""))))))))</f>
        <v/>
      </c>
    </row>
    <row r="1298">
      <c r="A1298" s="29" t="n"/>
      <c r="B1298" s="17" t="n"/>
      <c r="C1298" s="17" t="n"/>
      <c r="D1298" s="16" t="n"/>
      <c r="E1298" s="30" t="n"/>
      <c r="F1298" s="17" t="n"/>
      <c r="G1298" s="31">
        <f>IF(C1298="","",IFERROR(INDEX(Categorie!$B$6:$B$65,MATCH(C1298,Categorie!$A$6:$A$65,0))&amp;"",""))</f>
        <v/>
      </c>
      <c r="H1298" s="32">
        <f>IF(AND(A1298="",C1298="",D1298=""),"",IF(D1298="","Manca l'importo",IF(NOT(ISNUMBER(D1298)),"Importo non valido",IF(NOT(ISNUMBER(A1298)),"Data mancante o non valida",IF(YEAR(A1298)&lt;&gt;Impostazioni!$C$4,"Fuori dall'anno",IF(C1298="","Manca la categoria",IF(ISNA(MATCH(C1298,Categorie!$A$6:$A$65,0)),"Categoria non trovata",IF(G1298="","Categoria senza tipo",""))))))))</f>
        <v/>
      </c>
    </row>
    <row r="1299">
      <c r="A1299" s="29" t="n"/>
      <c r="B1299" s="17" t="n"/>
      <c r="C1299" s="17" t="n"/>
      <c r="D1299" s="16" t="n"/>
      <c r="E1299" s="30" t="n"/>
      <c r="F1299" s="17" t="n"/>
      <c r="G1299" s="31">
        <f>IF(C1299="","",IFERROR(INDEX(Categorie!$B$6:$B$65,MATCH(C1299,Categorie!$A$6:$A$65,0))&amp;"",""))</f>
        <v/>
      </c>
      <c r="H1299" s="32">
        <f>IF(AND(A1299="",C1299="",D1299=""),"",IF(D1299="","Manca l'importo",IF(NOT(ISNUMBER(D1299)),"Importo non valido",IF(NOT(ISNUMBER(A1299)),"Data mancante o non valida",IF(YEAR(A1299)&lt;&gt;Impostazioni!$C$4,"Fuori dall'anno",IF(C1299="","Manca la categoria",IF(ISNA(MATCH(C1299,Categorie!$A$6:$A$65,0)),"Categoria non trovata",IF(G1299="","Categoria senza tipo",""))))))))</f>
        <v/>
      </c>
    </row>
    <row r="1300">
      <c r="A1300" s="29" t="n"/>
      <c r="B1300" s="17" t="n"/>
      <c r="C1300" s="17" t="n"/>
      <c r="D1300" s="16" t="n"/>
      <c r="E1300" s="30" t="n"/>
      <c r="F1300" s="17" t="n"/>
      <c r="G1300" s="31">
        <f>IF(C1300="","",IFERROR(INDEX(Categorie!$B$6:$B$65,MATCH(C1300,Categorie!$A$6:$A$65,0))&amp;"",""))</f>
        <v/>
      </c>
      <c r="H1300" s="32">
        <f>IF(AND(A1300="",C1300="",D1300=""),"",IF(D1300="","Manca l'importo",IF(NOT(ISNUMBER(D1300)),"Importo non valido",IF(NOT(ISNUMBER(A1300)),"Data mancante o non valida",IF(YEAR(A1300)&lt;&gt;Impostazioni!$C$4,"Fuori dall'anno",IF(C1300="","Manca la categoria",IF(ISNA(MATCH(C1300,Categorie!$A$6:$A$65,0)),"Categoria non trovata",IF(G1300="","Categoria senza tipo",""))))))))</f>
        <v/>
      </c>
    </row>
    <row r="1301">
      <c r="A1301" s="29" t="n"/>
      <c r="B1301" s="17" t="n"/>
      <c r="C1301" s="17" t="n"/>
      <c r="D1301" s="16" t="n"/>
      <c r="E1301" s="30" t="n"/>
      <c r="F1301" s="17" t="n"/>
      <c r="G1301" s="31">
        <f>IF(C1301="","",IFERROR(INDEX(Categorie!$B$6:$B$65,MATCH(C1301,Categorie!$A$6:$A$65,0))&amp;"",""))</f>
        <v/>
      </c>
      <c r="H1301" s="32">
        <f>IF(AND(A1301="",C1301="",D1301=""),"",IF(D1301="","Manca l'importo",IF(NOT(ISNUMBER(D1301)),"Importo non valido",IF(NOT(ISNUMBER(A1301)),"Data mancante o non valida",IF(YEAR(A1301)&lt;&gt;Impostazioni!$C$4,"Fuori dall'anno",IF(C1301="","Manca la categoria",IF(ISNA(MATCH(C1301,Categorie!$A$6:$A$65,0)),"Categoria non trovata",IF(G1301="","Categoria senza tipo",""))))))))</f>
        <v/>
      </c>
    </row>
    <row r="1302">
      <c r="A1302" s="29" t="n"/>
      <c r="B1302" s="17" t="n"/>
      <c r="C1302" s="17" t="n"/>
      <c r="D1302" s="16" t="n"/>
      <c r="E1302" s="30" t="n"/>
      <c r="F1302" s="17" t="n"/>
      <c r="G1302" s="31">
        <f>IF(C1302="","",IFERROR(INDEX(Categorie!$B$6:$B$65,MATCH(C1302,Categorie!$A$6:$A$65,0))&amp;"",""))</f>
        <v/>
      </c>
      <c r="H1302" s="32">
        <f>IF(AND(A1302="",C1302="",D1302=""),"",IF(D1302="","Manca l'importo",IF(NOT(ISNUMBER(D1302)),"Importo non valido",IF(NOT(ISNUMBER(A1302)),"Data mancante o non valida",IF(YEAR(A1302)&lt;&gt;Impostazioni!$C$4,"Fuori dall'anno",IF(C1302="","Manca la categoria",IF(ISNA(MATCH(C1302,Categorie!$A$6:$A$65,0)),"Categoria non trovata",IF(G1302="","Categoria senza tipo",""))))))))</f>
        <v/>
      </c>
    </row>
    <row r="1303">
      <c r="A1303" s="29" t="n"/>
      <c r="B1303" s="17" t="n"/>
      <c r="C1303" s="17" t="n"/>
      <c r="D1303" s="16" t="n"/>
      <c r="E1303" s="30" t="n"/>
      <c r="F1303" s="17" t="n"/>
      <c r="G1303" s="31">
        <f>IF(C1303="","",IFERROR(INDEX(Categorie!$B$6:$B$65,MATCH(C1303,Categorie!$A$6:$A$65,0))&amp;"",""))</f>
        <v/>
      </c>
      <c r="H1303" s="32">
        <f>IF(AND(A1303="",C1303="",D1303=""),"",IF(D1303="","Manca l'importo",IF(NOT(ISNUMBER(D1303)),"Importo non valido",IF(NOT(ISNUMBER(A1303)),"Data mancante o non valida",IF(YEAR(A1303)&lt;&gt;Impostazioni!$C$4,"Fuori dall'anno",IF(C1303="","Manca la categoria",IF(ISNA(MATCH(C1303,Categorie!$A$6:$A$65,0)),"Categoria non trovata",IF(G1303="","Categoria senza tipo",""))))))))</f>
        <v/>
      </c>
    </row>
    <row r="1304">
      <c r="A1304" s="29" t="n"/>
      <c r="B1304" s="17" t="n"/>
      <c r="C1304" s="17" t="n"/>
      <c r="D1304" s="16" t="n"/>
      <c r="E1304" s="30" t="n"/>
      <c r="F1304" s="17" t="n"/>
      <c r="G1304" s="31">
        <f>IF(C1304="","",IFERROR(INDEX(Categorie!$B$6:$B$65,MATCH(C1304,Categorie!$A$6:$A$65,0))&amp;"",""))</f>
        <v/>
      </c>
      <c r="H1304" s="32">
        <f>IF(AND(A1304="",C1304="",D1304=""),"",IF(D1304="","Manca l'importo",IF(NOT(ISNUMBER(D1304)),"Importo non valido",IF(NOT(ISNUMBER(A1304)),"Data mancante o non valida",IF(YEAR(A1304)&lt;&gt;Impostazioni!$C$4,"Fuori dall'anno",IF(C1304="","Manca la categoria",IF(ISNA(MATCH(C1304,Categorie!$A$6:$A$65,0)),"Categoria non trovata",IF(G1304="","Categoria senza tipo",""))))))))</f>
        <v/>
      </c>
    </row>
    <row r="1305">
      <c r="A1305" s="29" t="n"/>
      <c r="B1305" s="17" t="n"/>
      <c r="C1305" s="17" t="n"/>
      <c r="D1305" s="16" t="n"/>
      <c r="E1305" s="30" t="n"/>
      <c r="F1305" s="17" t="n"/>
      <c r="G1305" s="31">
        <f>IF(C1305="","",IFERROR(INDEX(Categorie!$B$6:$B$65,MATCH(C1305,Categorie!$A$6:$A$65,0))&amp;"",""))</f>
        <v/>
      </c>
      <c r="H1305" s="32">
        <f>IF(AND(A1305="",C1305="",D1305=""),"",IF(D1305="","Manca l'importo",IF(NOT(ISNUMBER(D1305)),"Importo non valido",IF(NOT(ISNUMBER(A1305)),"Data mancante o non valida",IF(YEAR(A1305)&lt;&gt;Impostazioni!$C$4,"Fuori dall'anno",IF(C1305="","Manca la categoria",IF(ISNA(MATCH(C1305,Categorie!$A$6:$A$65,0)),"Categoria non trovata",IF(G1305="","Categoria senza tipo",""))))))))</f>
        <v/>
      </c>
    </row>
    <row r="1306">
      <c r="A1306" s="29" t="n"/>
      <c r="B1306" s="17" t="n"/>
      <c r="C1306" s="17" t="n"/>
      <c r="D1306" s="16" t="n"/>
      <c r="E1306" s="30" t="n"/>
      <c r="F1306" s="17" t="n"/>
      <c r="G1306" s="31">
        <f>IF(C1306="","",IFERROR(INDEX(Categorie!$B$6:$B$65,MATCH(C1306,Categorie!$A$6:$A$65,0))&amp;"",""))</f>
        <v/>
      </c>
      <c r="H1306" s="32">
        <f>IF(AND(A1306="",C1306="",D1306=""),"",IF(D1306="","Manca l'importo",IF(NOT(ISNUMBER(D1306)),"Importo non valido",IF(NOT(ISNUMBER(A1306)),"Data mancante o non valida",IF(YEAR(A1306)&lt;&gt;Impostazioni!$C$4,"Fuori dall'anno",IF(C1306="","Manca la categoria",IF(ISNA(MATCH(C1306,Categorie!$A$6:$A$65,0)),"Categoria non trovata",IF(G1306="","Categoria senza tipo",""))))))))</f>
        <v/>
      </c>
    </row>
    <row r="1307">
      <c r="A1307" s="29" t="n"/>
      <c r="B1307" s="17" t="n"/>
      <c r="C1307" s="17" t="n"/>
      <c r="D1307" s="16" t="n"/>
      <c r="E1307" s="30" t="n"/>
      <c r="F1307" s="17" t="n"/>
      <c r="G1307" s="31">
        <f>IF(C1307="","",IFERROR(INDEX(Categorie!$B$6:$B$65,MATCH(C1307,Categorie!$A$6:$A$65,0))&amp;"",""))</f>
        <v/>
      </c>
      <c r="H1307" s="32">
        <f>IF(AND(A1307="",C1307="",D1307=""),"",IF(D1307="","Manca l'importo",IF(NOT(ISNUMBER(D1307)),"Importo non valido",IF(NOT(ISNUMBER(A1307)),"Data mancante o non valida",IF(YEAR(A1307)&lt;&gt;Impostazioni!$C$4,"Fuori dall'anno",IF(C1307="","Manca la categoria",IF(ISNA(MATCH(C1307,Categorie!$A$6:$A$65,0)),"Categoria non trovata",IF(G1307="","Categoria senza tipo",""))))))))</f>
        <v/>
      </c>
    </row>
    <row r="1308">
      <c r="A1308" s="29" t="n"/>
      <c r="B1308" s="17" t="n"/>
      <c r="C1308" s="17" t="n"/>
      <c r="D1308" s="16" t="n"/>
      <c r="E1308" s="30" t="n"/>
      <c r="F1308" s="17" t="n"/>
      <c r="G1308" s="31">
        <f>IF(C1308="","",IFERROR(INDEX(Categorie!$B$6:$B$65,MATCH(C1308,Categorie!$A$6:$A$65,0))&amp;"",""))</f>
        <v/>
      </c>
      <c r="H1308" s="32">
        <f>IF(AND(A1308="",C1308="",D1308=""),"",IF(D1308="","Manca l'importo",IF(NOT(ISNUMBER(D1308)),"Importo non valido",IF(NOT(ISNUMBER(A1308)),"Data mancante o non valida",IF(YEAR(A1308)&lt;&gt;Impostazioni!$C$4,"Fuori dall'anno",IF(C1308="","Manca la categoria",IF(ISNA(MATCH(C1308,Categorie!$A$6:$A$65,0)),"Categoria non trovata",IF(G1308="","Categoria senza tipo",""))))))))</f>
        <v/>
      </c>
    </row>
    <row r="1309">
      <c r="A1309" s="29" t="n"/>
      <c r="B1309" s="17" t="n"/>
      <c r="C1309" s="17" t="n"/>
      <c r="D1309" s="16" t="n"/>
      <c r="E1309" s="30" t="n"/>
      <c r="F1309" s="17" t="n"/>
      <c r="G1309" s="31">
        <f>IF(C1309="","",IFERROR(INDEX(Categorie!$B$6:$B$65,MATCH(C1309,Categorie!$A$6:$A$65,0))&amp;"",""))</f>
        <v/>
      </c>
      <c r="H1309" s="32">
        <f>IF(AND(A1309="",C1309="",D1309=""),"",IF(D1309="","Manca l'importo",IF(NOT(ISNUMBER(D1309)),"Importo non valido",IF(NOT(ISNUMBER(A1309)),"Data mancante o non valida",IF(YEAR(A1309)&lt;&gt;Impostazioni!$C$4,"Fuori dall'anno",IF(C1309="","Manca la categoria",IF(ISNA(MATCH(C1309,Categorie!$A$6:$A$65,0)),"Categoria non trovata",IF(G1309="","Categoria senza tipo",""))))))))</f>
        <v/>
      </c>
    </row>
    <row r="1310">
      <c r="A1310" s="29" t="n"/>
      <c r="B1310" s="17" t="n"/>
      <c r="C1310" s="17" t="n"/>
      <c r="D1310" s="16" t="n"/>
      <c r="E1310" s="30" t="n"/>
      <c r="F1310" s="17" t="n"/>
      <c r="G1310" s="31">
        <f>IF(C1310="","",IFERROR(INDEX(Categorie!$B$6:$B$65,MATCH(C1310,Categorie!$A$6:$A$65,0))&amp;"",""))</f>
        <v/>
      </c>
      <c r="H1310" s="32">
        <f>IF(AND(A1310="",C1310="",D1310=""),"",IF(D1310="","Manca l'importo",IF(NOT(ISNUMBER(D1310)),"Importo non valido",IF(NOT(ISNUMBER(A1310)),"Data mancante o non valida",IF(YEAR(A1310)&lt;&gt;Impostazioni!$C$4,"Fuori dall'anno",IF(C1310="","Manca la categoria",IF(ISNA(MATCH(C1310,Categorie!$A$6:$A$65,0)),"Categoria non trovata",IF(G1310="","Categoria senza tipo",""))))))))</f>
        <v/>
      </c>
    </row>
    <row r="1311">
      <c r="A1311" s="29" t="n"/>
      <c r="B1311" s="17" t="n"/>
      <c r="C1311" s="17" t="n"/>
      <c r="D1311" s="16" t="n"/>
      <c r="E1311" s="30" t="n"/>
      <c r="F1311" s="17" t="n"/>
      <c r="G1311" s="31">
        <f>IF(C1311="","",IFERROR(INDEX(Categorie!$B$6:$B$65,MATCH(C1311,Categorie!$A$6:$A$65,0))&amp;"",""))</f>
        <v/>
      </c>
      <c r="H1311" s="32">
        <f>IF(AND(A1311="",C1311="",D1311=""),"",IF(D1311="","Manca l'importo",IF(NOT(ISNUMBER(D1311)),"Importo non valido",IF(NOT(ISNUMBER(A1311)),"Data mancante o non valida",IF(YEAR(A1311)&lt;&gt;Impostazioni!$C$4,"Fuori dall'anno",IF(C1311="","Manca la categoria",IF(ISNA(MATCH(C1311,Categorie!$A$6:$A$65,0)),"Categoria non trovata",IF(G1311="","Categoria senza tipo",""))))))))</f>
        <v/>
      </c>
    </row>
    <row r="1312">
      <c r="A1312" s="29" t="n"/>
      <c r="B1312" s="17" t="n"/>
      <c r="C1312" s="17" t="n"/>
      <c r="D1312" s="16" t="n"/>
      <c r="E1312" s="30" t="n"/>
      <c r="F1312" s="17" t="n"/>
      <c r="G1312" s="31">
        <f>IF(C1312="","",IFERROR(INDEX(Categorie!$B$6:$B$65,MATCH(C1312,Categorie!$A$6:$A$65,0))&amp;"",""))</f>
        <v/>
      </c>
      <c r="H1312" s="32">
        <f>IF(AND(A1312="",C1312="",D1312=""),"",IF(D1312="","Manca l'importo",IF(NOT(ISNUMBER(D1312)),"Importo non valido",IF(NOT(ISNUMBER(A1312)),"Data mancante o non valida",IF(YEAR(A1312)&lt;&gt;Impostazioni!$C$4,"Fuori dall'anno",IF(C1312="","Manca la categoria",IF(ISNA(MATCH(C1312,Categorie!$A$6:$A$65,0)),"Categoria non trovata",IF(G1312="","Categoria senza tipo",""))))))))</f>
        <v/>
      </c>
    </row>
    <row r="1313">
      <c r="A1313" s="29" t="n"/>
      <c r="B1313" s="17" t="n"/>
      <c r="C1313" s="17" t="n"/>
      <c r="D1313" s="16" t="n"/>
      <c r="E1313" s="30" t="n"/>
      <c r="F1313" s="17" t="n"/>
      <c r="G1313" s="31">
        <f>IF(C1313="","",IFERROR(INDEX(Categorie!$B$6:$B$65,MATCH(C1313,Categorie!$A$6:$A$65,0))&amp;"",""))</f>
        <v/>
      </c>
      <c r="H1313" s="32">
        <f>IF(AND(A1313="",C1313="",D1313=""),"",IF(D1313="","Manca l'importo",IF(NOT(ISNUMBER(D1313)),"Importo non valido",IF(NOT(ISNUMBER(A1313)),"Data mancante o non valida",IF(YEAR(A1313)&lt;&gt;Impostazioni!$C$4,"Fuori dall'anno",IF(C1313="","Manca la categoria",IF(ISNA(MATCH(C1313,Categorie!$A$6:$A$65,0)),"Categoria non trovata",IF(G1313="","Categoria senza tipo",""))))))))</f>
        <v/>
      </c>
    </row>
    <row r="1314">
      <c r="A1314" s="29" t="n"/>
      <c r="B1314" s="17" t="n"/>
      <c r="C1314" s="17" t="n"/>
      <c r="D1314" s="16" t="n"/>
      <c r="E1314" s="30" t="n"/>
      <c r="F1314" s="17" t="n"/>
      <c r="G1314" s="31">
        <f>IF(C1314="","",IFERROR(INDEX(Categorie!$B$6:$B$65,MATCH(C1314,Categorie!$A$6:$A$65,0))&amp;"",""))</f>
        <v/>
      </c>
      <c r="H1314" s="32">
        <f>IF(AND(A1314="",C1314="",D1314=""),"",IF(D1314="","Manca l'importo",IF(NOT(ISNUMBER(D1314)),"Importo non valido",IF(NOT(ISNUMBER(A1314)),"Data mancante o non valida",IF(YEAR(A1314)&lt;&gt;Impostazioni!$C$4,"Fuori dall'anno",IF(C1314="","Manca la categoria",IF(ISNA(MATCH(C1314,Categorie!$A$6:$A$65,0)),"Categoria non trovata",IF(G1314="","Categoria senza tipo",""))))))))</f>
        <v/>
      </c>
    </row>
    <row r="1315">
      <c r="A1315" s="29" t="n"/>
      <c r="B1315" s="17" t="n"/>
      <c r="C1315" s="17" t="n"/>
      <c r="D1315" s="16" t="n"/>
      <c r="E1315" s="30" t="n"/>
      <c r="F1315" s="17" t="n"/>
      <c r="G1315" s="31">
        <f>IF(C1315="","",IFERROR(INDEX(Categorie!$B$6:$B$65,MATCH(C1315,Categorie!$A$6:$A$65,0))&amp;"",""))</f>
        <v/>
      </c>
      <c r="H1315" s="32">
        <f>IF(AND(A1315="",C1315="",D1315=""),"",IF(D1315="","Manca l'importo",IF(NOT(ISNUMBER(D1315)),"Importo non valido",IF(NOT(ISNUMBER(A1315)),"Data mancante o non valida",IF(YEAR(A1315)&lt;&gt;Impostazioni!$C$4,"Fuori dall'anno",IF(C1315="","Manca la categoria",IF(ISNA(MATCH(C1315,Categorie!$A$6:$A$65,0)),"Categoria non trovata",IF(G1315="","Categoria senza tipo",""))))))))</f>
        <v/>
      </c>
    </row>
    <row r="1316">
      <c r="A1316" s="29" t="n"/>
      <c r="B1316" s="17" t="n"/>
      <c r="C1316" s="17" t="n"/>
      <c r="D1316" s="16" t="n"/>
      <c r="E1316" s="30" t="n"/>
      <c r="F1316" s="17" t="n"/>
      <c r="G1316" s="31">
        <f>IF(C1316="","",IFERROR(INDEX(Categorie!$B$6:$B$65,MATCH(C1316,Categorie!$A$6:$A$65,0))&amp;"",""))</f>
        <v/>
      </c>
      <c r="H1316" s="32">
        <f>IF(AND(A1316="",C1316="",D1316=""),"",IF(D1316="","Manca l'importo",IF(NOT(ISNUMBER(D1316)),"Importo non valido",IF(NOT(ISNUMBER(A1316)),"Data mancante o non valida",IF(YEAR(A1316)&lt;&gt;Impostazioni!$C$4,"Fuori dall'anno",IF(C1316="","Manca la categoria",IF(ISNA(MATCH(C1316,Categorie!$A$6:$A$65,0)),"Categoria non trovata",IF(G1316="","Categoria senza tipo",""))))))))</f>
        <v/>
      </c>
    </row>
    <row r="1317">
      <c r="A1317" s="29" t="n"/>
      <c r="B1317" s="17" t="n"/>
      <c r="C1317" s="17" t="n"/>
      <c r="D1317" s="16" t="n"/>
      <c r="E1317" s="30" t="n"/>
      <c r="F1317" s="17" t="n"/>
      <c r="G1317" s="31">
        <f>IF(C1317="","",IFERROR(INDEX(Categorie!$B$6:$B$65,MATCH(C1317,Categorie!$A$6:$A$65,0))&amp;"",""))</f>
        <v/>
      </c>
      <c r="H1317" s="32">
        <f>IF(AND(A1317="",C1317="",D1317=""),"",IF(D1317="","Manca l'importo",IF(NOT(ISNUMBER(D1317)),"Importo non valido",IF(NOT(ISNUMBER(A1317)),"Data mancante o non valida",IF(YEAR(A1317)&lt;&gt;Impostazioni!$C$4,"Fuori dall'anno",IF(C1317="","Manca la categoria",IF(ISNA(MATCH(C1317,Categorie!$A$6:$A$65,0)),"Categoria non trovata",IF(G1317="","Categoria senza tipo",""))))))))</f>
        <v/>
      </c>
    </row>
    <row r="1318">
      <c r="A1318" s="29" t="n"/>
      <c r="B1318" s="17" t="n"/>
      <c r="C1318" s="17" t="n"/>
      <c r="D1318" s="16" t="n"/>
      <c r="E1318" s="30" t="n"/>
      <c r="F1318" s="17" t="n"/>
      <c r="G1318" s="31">
        <f>IF(C1318="","",IFERROR(INDEX(Categorie!$B$6:$B$65,MATCH(C1318,Categorie!$A$6:$A$65,0))&amp;"",""))</f>
        <v/>
      </c>
      <c r="H1318" s="32">
        <f>IF(AND(A1318="",C1318="",D1318=""),"",IF(D1318="","Manca l'importo",IF(NOT(ISNUMBER(D1318)),"Importo non valido",IF(NOT(ISNUMBER(A1318)),"Data mancante o non valida",IF(YEAR(A1318)&lt;&gt;Impostazioni!$C$4,"Fuori dall'anno",IF(C1318="","Manca la categoria",IF(ISNA(MATCH(C1318,Categorie!$A$6:$A$65,0)),"Categoria non trovata",IF(G1318="","Categoria senza tipo",""))))))))</f>
        <v/>
      </c>
    </row>
    <row r="1319">
      <c r="A1319" s="29" t="n"/>
      <c r="B1319" s="17" t="n"/>
      <c r="C1319" s="17" t="n"/>
      <c r="D1319" s="16" t="n"/>
      <c r="E1319" s="30" t="n"/>
      <c r="F1319" s="17" t="n"/>
      <c r="G1319" s="31">
        <f>IF(C1319="","",IFERROR(INDEX(Categorie!$B$6:$B$65,MATCH(C1319,Categorie!$A$6:$A$65,0))&amp;"",""))</f>
        <v/>
      </c>
      <c r="H1319" s="32">
        <f>IF(AND(A1319="",C1319="",D1319=""),"",IF(D1319="","Manca l'importo",IF(NOT(ISNUMBER(D1319)),"Importo non valido",IF(NOT(ISNUMBER(A1319)),"Data mancante o non valida",IF(YEAR(A1319)&lt;&gt;Impostazioni!$C$4,"Fuori dall'anno",IF(C1319="","Manca la categoria",IF(ISNA(MATCH(C1319,Categorie!$A$6:$A$65,0)),"Categoria non trovata",IF(G1319="","Categoria senza tipo",""))))))))</f>
        <v/>
      </c>
    </row>
    <row r="1320">
      <c r="A1320" s="29" t="n"/>
      <c r="B1320" s="17" t="n"/>
      <c r="C1320" s="17" t="n"/>
      <c r="D1320" s="16" t="n"/>
      <c r="E1320" s="30" t="n"/>
      <c r="F1320" s="17" t="n"/>
      <c r="G1320" s="31">
        <f>IF(C1320="","",IFERROR(INDEX(Categorie!$B$6:$B$65,MATCH(C1320,Categorie!$A$6:$A$65,0))&amp;"",""))</f>
        <v/>
      </c>
      <c r="H1320" s="32">
        <f>IF(AND(A1320="",C1320="",D1320=""),"",IF(D1320="","Manca l'importo",IF(NOT(ISNUMBER(D1320)),"Importo non valido",IF(NOT(ISNUMBER(A1320)),"Data mancante o non valida",IF(YEAR(A1320)&lt;&gt;Impostazioni!$C$4,"Fuori dall'anno",IF(C1320="","Manca la categoria",IF(ISNA(MATCH(C1320,Categorie!$A$6:$A$65,0)),"Categoria non trovata",IF(G1320="","Categoria senza tipo",""))))))))</f>
        <v/>
      </c>
    </row>
    <row r="1321">
      <c r="A1321" s="29" t="n"/>
      <c r="B1321" s="17" t="n"/>
      <c r="C1321" s="17" t="n"/>
      <c r="D1321" s="16" t="n"/>
      <c r="E1321" s="30" t="n"/>
      <c r="F1321" s="17" t="n"/>
      <c r="G1321" s="31">
        <f>IF(C1321="","",IFERROR(INDEX(Categorie!$B$6:$B$65,MATCH(C1321,Categorie!$A$6:$A$65,0))&amp;"",""))</f>
        <v/>
      </c>
      <c r="H1321" s="32">
        <f>IF(AND(A1321="",C1321="",D1321=""),"",IF(D1321="","Manca l'importo",IF(NOT(ISNUMBER(D1321)),"Importo non valido",IF(NOT(ISNUMBER(A1321)),"Data mancante o non valida",IF(YEAR(A1321)&lt;&gt;Impostazioni!$C$4,"Fuori dall'anno",IF(C1321="","Manca la categoria",IF(ISNA(MATCH(C1321,Categorie!$A$6:$A$65,0)),"Categoria non trovata",IF(G1321="","Categoria senza tipo",""))))))))</f>
        <v/>
      </c>
    </row>
    <row r="1322">
      <c r="A1322" s="29" t="n"/>
      <c r="B1322" s="17" t="n"/>
      <c r="C1322" s="17" t="n"/>
      <c r="D1322" s="16" t="n"/>
      <c r="E1322" s="30" t="n"/>
      <c r="F1322" s="17" t="n"/>
      <c r="G1322" s="31">
        <f>IF(C1322="","",IFERROR(INDEX(Categorie!$B$6:$B$65,MATCH(C1322,Categorie!$A$6:$A$65,0))&amp;"",""))</f>
        <v/>
      </c>
      <c r="H1322" s="32">
        <f>IF(AND(A1322="",C1322="",D1322=""),"",IF(D1322="","Manca l'importo",IF(NOT(ISNUMBER(D1322)),"Importo non valido",IF(NOT(ISNUMBER(A1322)),"Data mancante o non valida",IF(YEAR(A1322)&lt;&gt;Impostazioni!$C$4,"Fuori dall'anno",IF(C1322="","Manca la categoria",IF(ISNA(MATCH(C1322,Categorie!$A$6:$A$65,0)),"Categoria non trovata",IF(G1322="","Categoria senza tipo",""))))))))</f>
        <v/>
      </c>
    </row>
    <row r="1323">
      <c r="A1323" s="29" t="n"/>
      <c r="B1323" s="17" t="n"/>
      <c r="C1323" s="17" t="n"/>
      <c r="D1323" s="16" t="n"/>
      <c r="E1323" s="30" t="n"/>
      <c r="F1323" s="17" t="n"/>
      <c r="G1323" s="31">
        <f>IF(C1323="","",IFERROR(INDEX(Categorie!$B$6:$B$65,MATCH(C1323,Categorie!$A$6:$A$65,0))&amp;"",""))</f>
        <v/>
      </c>
      <c r="H1323" s="32">
        <f>IF(AND(A1323="",C1323="",D1323=""),"",IF(D1323="","Manca l'importo",IF(NOT(ISNUMBER(D1323)),"Importo non valido",IF(NOT(ISNUMBER(A1323)),"Data mancante o non valida",IF(YEAR(A1323)&lt;&gt;Impostazioni!$C$4,"Fuori dall'anno",IF(C1323="","Manca la categoria",IF(ISNA(MATCH(C1323,Categorie!$A$6:$A$65,0)),"Categoria non trovata",IF(G1323="","Categoria senza tipo",""))))))))</f>
        <v/>
      </c>
    </row>
    <row r="1324">
      <c r="A1324" s="29" t="n"/>
      <c r="B1324" s="17" t="n"/>
      <c r="C1324" s="17" t="n"/>
      <c r="D1324" s="16" t="n"/>
      <c r="E1324" s="30" t="n"/>
      <c r="F1324" s="17" t="n"/>
      <c r="G1324" s="31">
        <f>IF(C1324="","",IFERROR(INDEX(Categorie!$B$6:$B$65,MATCH(C1324,Categorie!$A$6:$A$65,0))&amp;"",""))</f>
        <v/>
      </c>
      <c r="H1324" s="32">
        <f>IF(AND(A1324="",C1324="",D1324=""),"",IF(D1324="","Manca l'importo",IF(NOT(ISNUMBER(D1324)),"Importo non valido",IF(NOT(ISNUMBER(A1324)),"Data mancante o non valida",IF(YEAR(A1324)&lt;&gt;Impostazioni!$C$4,"Fuori dall'anno",IF(C1324="","Manca la categoria",IF(ISNA(MATCH(C1324,Categorie!$A$6:$A$65,0)),"Categoria non trovata",IF(G1324="","Categoria senza tipo",""))))))))</f>
        <v/>
      </c>
    </row>
    <row r="1325">
      <c r="A1325" s="29" t="n"/>
      <c r="B1325" s="17" t="n"/>
      <c r="C1325" s="17" t="n"/>
      <c r="D1325" s="16" t="n"/>
      <c r="E1325" s="30" t="n"/>
      <c r="F1325" s="17" t="n"/>
      <c r="G1325" s="31">
        <f>IF(C1325="","",IFERROR(INDEX(Categorie!$B$6:$B$65,MATCH(C1325,Categorie!$A$6:$A$65,0))&amp;"",""))</f>
        <v/>
      </c>
      <c r="H1325" s="32">
        <f>IF(AND(A1325="",C1325="",D1325=""),"",IF(D1325="","Manca l'importo",IF(NOT(ISNUMBER(D1325)),"Importo non valido",IF(NOT(ISNUMBER(A1325)),"Data mancante o non valida",IF(YEAR(A1325)&lt;&gt;Impostazioni!$C$4,"Fuori dall'anno",IF(C1325="","Manca la categoria",IF(ISNA(MATCH(C1325,Categorie!$A$6:$A$65,0)),"Categoria non trovata",IF(G1325="","Categoria senza tipo",""))))))))</f>
        <v/>
      </c>
    </row>
    <row r="1326">
      <c r="A1326" s="29" t="n"/>
      <c r="B1326" s="17" t="n"/>
      <c r="C1326" s="17" t="n"/>
      <c r="D1326" s="16" t="n"/>
      <c r="E1326" s="30" t="n"/>
      <c r="F1326" s="17" t="n"/>
      <c r="G1326" s="31">
        <f>IF(C1326="","",IFERROR(INDEX(Categorie!$B$6:$B$65,MATCH(C1326,Categorie!$A$6:$A$65,0))&amp;"",""))</f>
        <v/>
      </c>
      <c r="H1326" s="32">
        <f>IF(AND(A1326="",C1326="",D1326=""),"",IF(D1326="","Manca l'importo",IF(NOT(ISNUMBER(D1326)),"Importo non valido",IF(NOT(ISNUMBER(A1326)),"Data mancante o non valida",IF(YEAR(A1326)&lt;&gt;Impostazioni!$C$4,"Fuori dall'anno",IF(C1326="","Manca la categoria",IF(ISNA(MATCH(C1326,Categorie!$A$6:$A$65,0)),"Categoria non trovata",IF(G1326="","Categoria senza tipo",""))))))))</f>
        <v/>
      </c>
    </row>
    <row r="1327">
      <c r="A1327" s="29" t="n"/>
      <c r="B1327" s="17" t="n"/>
      <c r="C1327" s="17" t="n"/>
      <c r="D1327" s="16" t="n"/>
      <c r="E1327" s="30" t="n"/>
      <c r="F1327" s="17" t="n"/>
      <c r="G1327" s="31">
        <f>IF(C1327="","",IFERROR(INDEX(Categorie!$B$6:$B$65,MATCH(C1327,Categorie!$A$6:$A$65,0))&amp;"",""))</f>
        <v/>
      </c>
      <c r="H1327" s="32">
        <f>IF(AND(A1327="",C1327="",D1327=""),"",IF(D1327="","Manca l'importo",IF(NOT(ISNUMBER(D1327)),"Importo non valido",IF(NOT(ISNUMBER(A1327)),"Data mancante o non valida",IF(YEAR(A1327)&lt;&gt;Impostazioni!$C$4,"Fuori dall'anno",IF(C1327="","Manca la categoria",IF(ISNA(MATCH(C1327,Categorie!$A$6:$A$65,0)),"Categoria non trovata",IF(G1327="","Categoria senza tipo",""))))))))</f>
        <v/>
      </c>
    </row>
    <row r="1328">
      <c r="A1328" s="29" t="n"/>
      <c r="B1328" s="17" t="n"/>
      <c r="C1328" s="17" t="n"/>
      <c r="D1328" s="16" t="n"/>
      <c r="E1328" s="30" t="n"/>
      <c r="F1328" s="17" t="n"/>
      <c r="G1328" s="31">
        <f>IF(C1328="","",IFERROR(INDEX(Categorie!$B$6:$B$65,MATCH(C1328,Categorie!$A$6:$A$65,0))&amp;"",""))</f>
        <v/>
      </c>
      <c r="H1328" s="32">
        <f>IF(AND(A1328="",C1328="",D1328=""),"",IF(D1328="","Manca l'importo",IF(NOT(ISNUMBER(D1328)),"Importo non valido",IF(NOT(ISNUMBER(A1328)),"Data mancante o non valida",IF(YEAR(A1328)&lt;&gt;Impostazioni!$C$4,"Fuori dall'anno",IF(C1328="","Manca la categoria",IF(ISNA(MATCH(C1328,Categorie!$A$6:$A$65,0)),"Categoria non trovata",IF(G1328="","Categoria senza tipo",""))))))))</f>
        <v/>
      </c>
    </row>
    <row r="1329">
      <c r="A1329" s="29" t="n"/>
      <c r="B1329" s="17" t="n"/>
      <c r="C1329" s="17" t="n"/>
      <c r="D1329" s="16" t="n"/>
      <c r="E1329" s="30" t="n"/>
      <c r="F1329" s="17" t="n"/>
      <c r="G1329" s="31">
        <f>IF(C1329="","",IFERROR(INDEX(Categorie!$B$6:$B$65,MATCH(C1329,Categorie!$A$6:$A$65,0))&amp;"",""))</f>
        <v/>
      </c>
      <c r="H1329" s="32">
        <f>IF(AND(A1329="",C1329="",D1329=""),"",IF(D1329="","Manca l'importo",IF(NOT(ISNUMBER(D1329)),"Importo non valido",IF(NOT(ISNUMBER(A1329)),"Data mancante o non valida",IF(YEAR(A1329)&lt;&gt;Impostazioni!$C$4,"Fuori dall'anno",IF(C1329="","Manca la categoria",IF(ISNA(MATCH(C1329,Categorie!$A$6:$A$65,0)),"Categoria non trovata",IF(G1329="","Categoria senza tipo",""))))))))</f>
        <v/>
      </c>
    </row>
    <row r="1330">
      <c r="A1330" s="29" t="n"/>
      <c r="B1330" s="17" t="n"/>
      <c r="C1330" s="17" t="n"/>
      <c r="D1330" s="16" t="n"/>
      <c r="E1330" s="30" t="n"/>
      <c r="F1330" s="17" t="n"/>
      <c r="G1330" s="31">
        <f>IF(C1330="","",IFERROR(INDEX(Categorie!$B$6:$B$65,MATCH(C1330,Categorie!$A$6:$A$65,0))&amp;"",""))</f>
        <v/>
      </c>
      <c r="H1330" s="32">
        <f>IF(AND(A1330="",C1330="",D1330=""),"",IF(D1330="","Manca l'importo",IF(NOT(ISNUMBER(D1330)),"Importo non valido",IF(NOT(ISNUMBER(A1330)),"Data mancante o non valida",IF(YEAR(A1330)&lt;&gt;Impostazioni!$C$4,"Fuori dall'anno",IF(C1330="","Manca la categoria",IF(ISNA(MATCH(C1330,Categorie!$A$6:$A$65,0)),"Categoria non trovata",IF(G1330="","Categoria senza tipo",""))))))))</f>
        <v/>
      </c>
    </row>
    <row r="1331">
      <c r="A1331" s="29" t="n"/>
      <c r="B1331" s="17" t="n"/>
      <c r="C1331" s="17" t="n"/>
      <c r="D1331" s="16" t="n"/>
      <c r="E1331" s="30" t="n"/>
      <c r="F1331" s="17" t="n"/>
      <c r="G1331" s="31">
        <f>IF(C1331="","",IFERROR(INDEX(Categorie!$B$6:$B$65,MATCH(C1331,Categorie!$A$6:$A$65,0))&amp;"",""))</f>
        <v/>
      </c>
      <c r="H1331" s="32">
        <f>IF(AND(A1331="",C1331="",D1331=""),"",IF(D1331="","Manca l'importo",IF(NOT(ISNUMBER(D1331)),"Importo non valido",IF(NOT(ISNUMBER(A1331)),"Data mancante o non valida",IF(YEAR(A1331)&lt;&gt;Impostazioni!$C$4,"Fuori dall'anno",IF(C1331="","Manca la categoria",IF(ISNA(MATCH(C1331,Categorie!$A$6:$A$65,0)),"Categoria non trovata",IF(G1331="","Categoria senza tipo",""))))))))</f>
        <v/>
      </c>
    </row>
    <row r="1332">
      <c r="A1332" s="29" t="n"/>
      <c r="B1332" s="17" t="n"/>
      <c r="C1332" s="17" t="n"/>
      <c r="D1332" s="16" t="n"/>
      <c r="E1332" s="30" t="n"/>
      <c r="F1332" s="17" t="n"/>
      <c r="G1332" s="31">
        <f>IF(C1332="","",IFERROR(INDEX(Categorie!$B$6:$B$65,MATCH(C1332,Categorie!$A$6:$A$65,0))&amp;"",""))</f>
        <v/>
      </c>
      <c r="H1332" s="32">
        <f>IF(AND(A1332="",C1332="",D1332=""),"",IF(D1332="","Manca l'importo",IF(NOT(ISNUMBER(D1332)),"Importo non valido",IF(NOT(ISNUMBER(A1332)),"Data mancante o non valida",IF(YEAR(A1332)&lt;&gt;Impostazioni!$C$4,"Fuori dall'anno",IF(C1332="","Manca la categoria",IF(ISNA(MATCH(C1332,Categorie!$A$6:$A$65,0)),"Categoria non trovata",IF(G1332="","Categoria senza tipo",""))))))))</f>
        <v/>
      </c>
    </row>
    <row r="1333">
      <c r="A1333" s="29" t="n"/>
      <c r="B1333" s="17" t="n"/>
      <c r="C1333" s="17" t="n"/>
      <c r="D1333" s="16" t="n"/>
      <c r="E1333" s="30" t="n"/>
      <c r="F1333" s="17" t="n"/>
      <c r="G1333" s="31">
        <f>IF(C1333="","",IFERROR(INDEX(Categorie!$B$6:$B$65,MATCH(C1333,Categorie!$A$6:$A$65,0))&amp;"",""))</f>
        <v/>
      </c>
      <c r="H1333" s="32">
        <f>IF(AND(A1333="",C1333="",D1333=""),"",IF(D1333="","Manca l'importo",IF(NOT(ISNUMBER(D1333)),"Importo non valido",IF(NOT(ISNUMBER(A1333)),"Data mancante o non valida",IF(YEAR(A1333)&lt;&gt;Impostazioni!$C$4,"Fuori dall'anno",IF(C1333="","Manca la categoria",IF(ISNA(MATCH(C1333,Categorie!$A$6:$A$65,0)),"Categoria non trovata",IF(G1333="","Categoria senza tipo",""))))))))</f>
        <v/>
      </c>
    </row>
    <row r="1334">
      <c r="A1334" s="29" t="n"/>
      <c r="B1334" s="17" t="n"/>
      <c r="C1334" s="17" t="n"/>
      <c r="D1334" s="16" t="n"/>
      <c r="E1334" s="30" t="n"/>
      <c r="F1334" s="17" t="n"/>
      <c r="G1334" s="31">
        <f>IF(C1334="","",IFERROR(INDEX(Categorie!$B$6:$B$65,MATCH(C1334,Categorie!$A$6:$A$65,0))&amp;"",""))</f>
        <v/>
      </c>
      <c r="H1334" s="32">
        <f>IF(AND(A1334="",C1334="",D1334=""),"",IF(D1334="","Manca l'importo",IF(NOT(ISNUMBER(D1334)),"Importo non valido",IF(NOT(ISNUMBER(A1334)),"Data mancante o non valida",IF(YEAR(A1334)&lt;&gt;Impostazioni!$C$4,"Fuori dall'anno",IF(C1334="","Manca la categoria",IF(ISNA(MATCH(C1334,Categorie!$A$6:$A$65,0)),"Categoria non trovata",IF(G1334="","Categoria senza tipo",""))))))))</f>
        <v/>
      </c>
    </row>
    <row r="1335">
      <c r="A1335" s="29" t="n"/>
      <c r="B1335" s="17" t="n"/>
      <c r="C1335" s="17" t="n"/>
      <c r="D1335" s="16" t="n"/>
      <c r="E1335" s="30" t="n"/>
      <c r="F1335" s="17" t="n"/>
      <c r="G1335" s="31">
        <f>IF(C1335="","",IFERROR(INDEX(Categorie!$B$6:$B$65,MATCH(C1335,Categorie!$A$6:$A$65,0))&amp;"",""))</f>
        <v/>
      </c>
      <c r="H1335" s="32">
        <f>IF(AND(A1335="",C1335="",D1335=""),"",IF(D1335="","Manca l'importo",IF(NOT(ISNUMBER(D1335)),"Importo non valido",IF(NOT(ISNUMBER(A1335)),"Data mancante o non valida",IF(YEAR(A1335)&lt;&gt;Impostazioni!$C$4,"Fuori dall'anno",IF(C1335="","Manca la categoria",IF(ISNA(MATCH(C1335,Categorie!$A$6:$A$65,0)),"Categoria non trovata",IF(G1335="","Categoria senza tipo",""))))))))</f>
        <v/>
      </c>
    </row>
    <row r="1336">
      <c r="A1336" s="29" t="n"/>
      <c r="B1336" s="17" t="n"/>
      <c r="C1336" s="17" t="n"/>
      <c r="D1336" s="16" t="n"/>
      <c r="E1336" s="30" t="n"/>
      <c r="F1336" s="17" t="n"/>
      <c r="G1336" s="31">
        <f>IF(C1336="","",IFERROR(INDEX(Categorie!$B$6:$B$65,MATCH(C1336,Categorie!$A$6:$A$65,0))&amp;"",""))</f>
        <v/>
      </c>
      <c r="H1336" s="32">
        <f>IF(AND(A1336="",C1336="",D1336=""),"",IF(D1336="","Manca l'importo",IF(NOT(ISNUMBER(D1336)),"Importo non valido",IF(NOT(ISNUMBER(A1336)),"Data mancante o non valida",IF(YEAR(A1336)&lt;&gt;Impostazioni!$C$4,"Fuori dall'anno",IF(C1336="","Manca la categoria",IF(ISNA(MATCH(C1336,Categorie!$A$6:$A$65,0)),"Categoria non trovata",IF(G1336="","Categoria senza tipo",""))))))))</f>
        <v/>
      </c>
    </row>
    <row r="1337">
      <c r="A1337" s="29" t="n"/>
      <c r="B1337" s="17" t="n"/>
      <c r="C1337" s="17" t="n"/>
      <c r="D1337" s="16" t="n"/>
      <c r="E1337" s="30" t="n"/>
      <c r="F1337" s="17" t="n"/>
      <c r="G1337" s="31">
        <f>IF(C1337="","",IFERROR(INDEX(Categorie!$B$6:$B$65,MATCH(C1337,Categorie!$A$6:$A$65,0))&amp;"",""))</f>
        <v/>
      </c>
      <c r="H1337" s="32">
        <f>IF(AND(A1337="",C1337="",D1337=""),"",IF(D1337="","Manca l'importo",IF(NOT(ISNUMBER(D1337)),"Importo non valido",IF(NOT(ISNUMBER(A1337)),"Data mancante o non valida",IF(YEAR(A1337)&lt;&gt;Impostazioni!$C$4,"Fuori dall'anno",IF(C1337="","Manca la categoria",IF(ISNA(MATCH(C1337,Categorie!$A$6:$A$65,0)),"Categoria non trovata",IF(G1337="","Categoria senza tipo",""))))))))</f>
        <v/>
      </c>
    </row>
    <row r="1338">
      <c r="A1338" s="29" t="n"/>
      <c r="B1338" s="17" t="n"/>
      <c r="C1338" s="17" t="n"/>
      <c r="D1338" s="16" t="n"/>
      <c r="E1338" s="30" t="n"/>
      <c r="F1338" s="17" t="n"/>
      <c r="G1338" s="31">
        <f>IF(C1338="","",IFERROR(INDEX(Categorie!$B$6:$B$65,MATCH(C1338,Categorie!$A$6:$A$65,0))&amp;"",""))</f>
        <v/>
      </c>
      <c r="H1338" s="32">
        <f>IF(AND(A1338="",C1338="",D1338=""),"",IF(D1338="","Manca l'importo",IF(NOT(ISNUMBER(D1338)),"Importo non valido",IF(NOT(ISNUMBER(A1338)),"Data mancante o non valida",IF(YEAR(A1338)&lt;&gt;Impostazioni!$C$4,"Fuori dall'anno",IF(C1338="","Manca la categoria",IF(ISNA(MATCH(C1338,Categorie!$A$6:$A$65,0)),"Categoria non trovata",IF(G1338="","Categoria senza tipo",""))))))))</f>
        <v/>
      </c>
    </row>
    <row r="1339">
      <c r="A1339" s="29" t="n"/>
      <c r="B1339" s="17" t="n"/>
      <c r="C1339" s="17" t="n"/>
      <c r="D1339" s="16" t="n"/>
      <c r="E1339" s="30" t="n"/>
      <c r="F1339" s="17" t="n"/>
      <c r="G1339" s="31">
        <f>IF(C1339="","",IFERROR(INDEX(Categorie!$B$6:$B$65,MATCH(C1339,Categorie!$A$6:$A$65,0))&amp;"",""))</f>
        <v/>
      </c>
      <c r="H1339" s="32">
        <f>IF(AND(A1339="",C1339="",D1339=""),"",IF(D1339="","Manca l'importo",IF(NOT(ISNUMBER(D1339)),"Importo non valido",IF(NOT(ISNUMBER(A1339)),"Data mancante o non valida",IF(YEAR(A1339)&lt;&gt;Impostazioni!$C$4,"Fuori dall'anno",IF(C1339="","Manca la categoria",IF(ISNA(MATCH(C1339,Categorie!$A$6:$A$65,0)),"Categoria non trovata",IF(G1339="","Categoria senza tipo",""))))))))</f>
        <v/>
      </c>
    </row>
    <row r="1340">
      <c r="A1340" s="29" t="n"/>
      <c r="B1340" s="17" t="n"/>
      <c r="C1340" s="17" t="n"/>
      <c r="D1340" s="16" t="n"/>
      <c r="E1340" s="30" t="n"/>
      <c r="F1340" s="17" t="n"/>
      <c r="G1340" s="31">
        <f>IF(C1340="","",IFERROR(INDEX(Categorie!$B$6:$B$65,MATCH(C1340,Categorie!$A$6:$A$65,0))&amp;"",""))</f>
        <v/>
      </c>
      <c r="H1340" s="32">
        <f>IF(AND(A1340="",C1340="",D1340=""),"",IF(D1340="","Manca l'importo",IF(NOT(ISNUMBER(D1340)),"Importo non valido",IF(NOT(ISNUMBER(A1340)),"Data mancante o non valida",IF(YEAR(A1340)&lt;&gt;Impostazioni!$C$4,"Fuori dall'anno",IF(C1340="","Manca la categoria",IF(ISNA(MATCH(C1340,Categorie!$A$6:$A$65,0)),"Categoria non trovata",IF(G1340="","Categoria senza tipo",""))))))))</f>
        <v/>
      </c>
    </row>
    <row r="1341">
      <c r="A1341" s="29" t="n"/>
      <c r="B1341" s="17" t="n"/>
      <c r="C1341" s="17" t="n"/>
      <c r="D1341" s="16" t="n"/>
      <c r="E1341" s="30" t="n"/>
      <c r="F1341" s="17" t="n"/>
      <c r="G1341" s="31">
        <f>IF(C1341="","",IFERROR(INDEX(Categorie!$B$6:$B$65,MATCH(C1341,Categorie!$A$6:$A$65,0))&amp;"",""))</f>
        <v/>
      </c>
      <c r="H1341" s="32">
        <f>IF(AND(A1341="",C1341="",D1341=""),"",IF(D1341="","Manca l'importo",IF(NOT(ISNUMBER(D1341)),"Importo non valido",IF(NOT(ISNUMBER(A1341)),"Data mancante o non valida",IF(YEAR(A1341)&lt;&gt;Impostazioni!$C$4,"Fuori dall'anno",IF(C1341="","Manca la categoria",IF(ISNA(MATCH(C1341,Categorie!$A$6:$A$65,0)),"Categoria non trovata",IF(G1341="","Categoria senza tipo",""))))))))</f>
        <v/>
      </c>
    </row>
    <row r="1342">
      <c r="A1342" s="29" t="n"/>
      <c r="B1342" s="17" t="n"/>
      <c r="C1342" s="17" t="n"/>
      <c r="D1342" s="16" t="n"/>
      <c r="E1342" s="30" t="n"/>
      <c r="F1342" s="17" t="n"/>
      <c r="G1342" s="31">
        <f>IF(C1342="","",IFERROR(INDEX(Categorie!$B$6:$B$65,MATCH(C1342,Categorie!$A$6:$A$65,0))&amp;"",""))</f>
        <v/>
      </c>
      <c r="H1342" s="32">
        <f>IF(AND(A1342="",C1342="",D1342=""),"",IF(D1342="","Manca l'importo",IF(NOT(ISNUMBER(D1342)),"Importo non valido",IF(NOT(ISNUMBER(A1342)),"Data mancante o non valida",IF(YEAR(A1342)&lt;&gt;Impostazioni!$C$4,"Fuori dall'anno",IF(C1342="","Manca la categoria",IF(ISNA(MATCH(C1342,Categorie!$A$6:$A$65,0)),"Categoria non trovata",IF(G1342="","Categoria senza tipo",""))))))))</f>
        <v/>
      </c>
    </row>
    <row r="1343">
      <c r="A1343" s="29" t="n"/>
      <c r="B1343" s="17" t="n"/>
      <c r="C1343" s="17" t="n"/>
      <c r="D1343" s="16" t="n"/>
      <c r="E1343" s="30" t="n"/>
      <c r="F1343" s="17" t="n"/>
      <c r="G1343" s="31">
        <f>IF(C1343="","",IFERROR(INDEX(Categorie!$B$6:$B$65,MATCH(C1343,Categorie!$A$6:$A$65,0))&amp;"",""))</f>
        <v/>
      </c>
      <c r="H1343" s="32">
        <f>IF(AND(A1343="",C1343="",D1343=""),"",IF(D1343="","Manca l'importo",IF(NOT(ISNUMBER(D1343)),"Importo non valido",IF(NOT(ISNUMBER(A1343)),"Data mancante o non valida",IF(YEAR(A1343)&lt;&gt;Impostazioni!$C$4,"Fuori dall'anno",IF(C1343="","Manca la categoria",IF(ISNA(MATCH(C1343,Categorie!$A$6:$A$65,0)),"Categoria non trovata",IF(G1343="","Categoria senza tipo",""))))))))</f>
        <v/>
      </c>
    </row>
    <row r="1344">
      <c r="A1344" s="29" t="n"/>
      <c r="B1344" s="17" t="n"/>
      <c r="C1344" s="17" t="n"/>
      <c r="D1344" s="16" t="n"/>
      <c r="E1344" s="30" t="n"/>
      <c r="F1344" s="17" t="n"/>
      <c r="G1344" s="31">
        <f>IF(C1344="","",IFERROR(INDEX(Categorie!$B$6:$B$65,MATCH(C1344,Categorie!$A$6:$A$65,0))&amp;"",""))</f>
        <v/>
      </c>
      <c r="H1344" s="32">
        <f>IF(AND(A1344="",C1344="",D1344=""),"",IF(D1344="","Manca l'importo",IF(NOT(ISNUMBER(D1344)),"Importo non valido",IF(NOT(ISNUMBER(A1344)),"Data mancante o non valida",IF(YEAR(A1344)&lt;&gt;Impostazioni!$C$4,"Fuori dall'anno",IF(C1344="","Manca la categoria",IF(ISNA(MATCH(C1344,Categorie!$A$6:$A$65,0)),"Categoria non trovata",IF(G1344="","Categoria senza tipo",""))))))))</f>
        <v/>
      </c>
    </row>
    <row r="1345">
      <c r="A1345" s="29" t="n"/>
      <c r="B1345" s="17" t="n"/>
      <c r="C1345" s="17" t="n"/>
      <c r="D1345" s="16" t="n"/>
      <c r="E1345" s="30" t="n"/>
      <c r="F1345" s="17" t="n"/>
      <c r="G1345" s="31">
        <f>IF(C1345="","",IFERROR(INDEX(Categorie!$B$6:$B$65,MATCH(C1345,Categorie!$A$6:$A$65,0))&amp;"",""))</f>
        <v/>
      </c>
      <c r="H1345" s="32">
        <f>IF(AND(A1345="",C1345="",D1345=""),"",IF(D1345="","Manca l'importo",IF(NOT(ISNUMBER(D1345)),"Importo non valido",IF(NOT(ISNUMBER(A1345)),"Data mancante o non valida",IF(YEAR(A1345)&lt;&gt;Impostazioni!$C$4,"Fuori dall'anno",IF(C1345="","Manca la categoria",IF(ISNA(MATCH(C1345,Categorie!$A$6:$A$65,0)),"Categoria non trovata",IF(G1345="","Categoria senza tipo",""))))))))</f>
        <v/>
      </c>
    </row>
    <row r="1346">
      <c r="A1346" s="29" t="n"/>
      <c r="B1346" s="17" t="n"/>
      <c r="C1346" s="17" t="n"/>
      <c r="D1346" s="16" t="n"/>
      <c r="E1346" s="30" t="n"/>
      <c r="F1346" s="17" t="n"/>
      <c r="G1346" s="31">
        <f>IF(C1346="","",IFERROR(INDEX(Categorie!$B$6:$B$65,MATCH(C1346,Categorie!$A$6:$A$65,0))&amp;"",""))</f>
        <v/>
      </c>
      <c r="H1346" s="32">
        <f>IF(AND(A1346="",C1346="",D1346=""),"",IF(D1346="","Manca l'importo",IF(NOT(ISNUMBER(D1346)),"Importo non valido",IF(NOT(ISNUMBER(A1346)),"Data mancante o non valida",IF(YEAR(A1346)&lt;&gt;Impostazioni!$C$4,"Fuori dall'anno",IF(C1346="","Manca la categoria",IF(ISNA(MATCH(C1346,Categorie!$A$6:$A$65,0)),"Categoria non trovata",IF(G1346="","Categoria senza tipo",""))))))))</f>
        <v/>
      </c>
    </row>
    <row r="1347">
      <c r="A1347" s="29" t="n"/>
      <c r="B1347" s="17" t="n"/>
      <c r="C1347" s="17" t="n"/>
      <c r="D1347" s="16" t="n"/>
      <c r="E1347" s="30" t="n"/>
      <c r="F1347" s="17" t="n"/>
      <c r="G1347" s="31">
        <f>IF(C1347="","",IFERROR(INDEX(Categorie!$B$6:$B$65,MATCH(C1347,Categorie!$A$6:$A$65,0))&amp;"",""))</f>
        <v/>
      </c>
      <c r="H1347" s="32">
        <f>IF(AND(A1347="",C1347="",D1347=""),"",IF(D1347="","Manca l'importo",IF(NOT(ISNUMBER(D1347)),"Importo non valido",IF(NOT(ISNUMBER(A1347)),"Data mancante o non valida",IF(YEAR(A1347)&lt;&gt;Impostazioni!$C$4,"Fuori dall'anno",IF(C1347="","Manca la categoria",IF(ISNA(MATCH(C1347,Categorie!$A$6:$A$65,0)),"Categoria non trovata",IF(G1347="","Categoria senza tipo",""))))))))</f>
        <v/>
      </c>
    </row>
    <row r="1348">
      <c r="A1348" s="29" t="n"/>
      <c r="B1348" s="17" t="n"/>
      <c r="C1348" s="17" t="n"/>
      <c r="D1348" s="16" t="n"/>
      <c r="E1348" s="30" t="n"/>
      <c r="F1348" s="17" t="n"/>
      <c r="G1348" s="31">
        <f>IF(C1348="","",IFERROR(INDEX(Categorie!$B$6:$B$65,MATCH(C1348,Categorie!$A$6:$A$65,0))&amp;"",""))</f>
        <v/>
      </c>
      <c r="H1348" s="32">
        <f>IF(AND(A1348="",C1348="",D1348=""),"",IF(D1348="","Manca l'importo",IF(NOT(ISNUMBER(D1348)),"Importo non valido",IF(NOT(ISNUMBER(A1348)),"Data mancante o non valida",IF(YEAR(A1348)&lt;&gt;Impostazioni!$C$4,"Fuori dall'anno",IF(C1348="","Manca la categoria",IF(ISNA(MATCH(C1348,Categorie!$A$6:$A$65,0)),"Categoria non trovata",IF(G1348="","Categoria senza tipo",""))))))))</f>
        <v/>
      </c>
    </row>
    <row r="1349">
      <c r="A1349" s="29" t="n"/>
      <c r="B1349" s="17" t="n"/>
      <c r="C1349" s="17" t="n"/>
      <c r="D1349" s="16" t="n"/>
      <c r="E1349" s="30" t="n"/>
      <c r="F1349" s="17" t="n"/>
      <c r="G1349" s="31">
        <f>IF(C1349="","",IFERROR(INDEX(Categorie!$B$6:$B$65,MATCH(C1349,Categorie!$A$6:$A$65,0))&amp;"",""))</f>
        <v/>
      </c>
      <c r="H1349" s="32">
        <f>IF(AND(A1349="",C1349="",D1349=""),"",IF(D1349="","Manca l'importo",IF(NOT(ISNUMBER(D1349)),"Importo non valido",IF(NOT(ISNUMBER(A1349)),"Data mancante o non valida",IF(YEAR(A1349)&lt;&gt;Impostazioni!$C$4,"Fuori dall'anno",IF(C1349="","Manca la categoria",IF(ISNA(MATCH(C1349,Categorie!$A$6:$A$65,0)),"Categoria non trovata",IF(G1349="","Categoria senza tipo",""))))))))</f>
        <v/>
      </c>
    </row>
    <row r="1350">
      <c r="A1350" s="29" t="n"/>
      <c r="B1350" s="17" t="n"/>
      <c r="C1350" s="17" t="n"/>
      <c r="D1350" s="16" t="n"/>
      <c r="E1350" s="30" t="n"/>
      <c r="F1350" s="17" t="n"/>
      <c r="G1350" s="31">
        <f>IF(C1350="","",IFERROR(INDEX(Categorie!$B$6:$B$65,MATCH(C1350,Categorie!$A$6:$A$65,0))&amp;"",""))</f>
        <v/>
      </c>
      <c r="H1350" s="32">
        <f>IF(AND(A1350="",C1350="",D1350=""),"",IF(D1350="","Manca l'importo",IF(NOT(ISNUMBER(D1350)),"Importo non valido",IF(NOT(ISNUMBER(A1350)),"Data mancante o non valida",IF(YEAR(A1350)&lt;&gt;Impostazioni!$C$4,"Fuori dall'anno",IF(C1350="","Manca la categoria",IF(ISNA(MATCH(C1350,Categorie!$A$6:$A$65,0)),"Categoria non trovata",IF(G1350="","Categoria senza tipo",""))))))))</f>
        <v/>
      </c>
    </row>
    <row r="1351">
      <c r="A1351" s="29" t="n"/>
      <c r="B1351" s="17" t="n"/>
      <c r="C1351" s="17" t="n"/>
      <c r="D1351" s="16" t="n"/>
      <c r="E1351" s="30" t="n"/>
      <c r="F1351" s="17" t="n"/>
      <c r="G1351" s="31">
        <f>IF(C1351="","",IFERROR(INDEX(Categorie!$B$6:$B$65,MATCH(C1351,Categorie!$A$6:$A$65,0))&amp;"",""))</f>
        <v/>
      </c>
      <c r="H1351" s="32">
        <f>IF(AND(A1351="",C1351="",D1351=""),"",IF(D1351="","Manca l'importo",IF(NOT(ISNUMBER(D1351)),"Importo non valido",IF(NOT(ISNUMBER(A1351)),"Data mancante o non valida",IF(YEAR(A1351)&lt;&gt;Impostazioni!$C$4,"Fuori dall'anno",IF(C1351="","Manca la categoria",IF(ISNA(MATCH(C1351,Categorie!$A$6:$A$65,0)),"Categoria non trovata",IF(G1351="","Categoria senza tipo",""))))))))</f>
        <v/>
      </c>
    </row>
    <row r="1352">
      <c r="A1352" s="29" t="n"/>
      <c r="B1352" s="17" t="n"/>
      <c r="C1352" s="17" t="n"/>
      <c r="D1352" s="16" t="n"/>
      <c r="E1352" s="30" t="n"/>
      <c r="F1352" s="17" t="n"/>
      <c r="G1352" s="31">
        <f>IF(C1352="","",IFERROR(INDEX(Categorie!$B$6:$B$65,MATCH(C1352,Categorie!$A$6:$A$65,0))&amp;"",""))</f>
        <v/>
      </c>
      <c r="H1352" s="32">
        <f>IF(AND(A1352="",C1352="",D1352=""),"",IF(D1352="","Manca l'importo",IF(NOT(ISNUMBER(D1352)),"Importo non valido",IF(NOT(ISNUMBER(A1352)),"Data mancante o non valida",IF(YEAR(A1352)&lt;&gt;Impostazioni!$C$4,"Fuori dall'anno",IF(C1352="","Manca la categoria",IF(ISNA(MATCH(C1352,Categorie!$A$6:$A$65,0)),"Categoria non trovata",IF(G1352="","Categoria senza tipo",""))))))))</f>
        <v/>
      </c>
    </row>
    <row r="1353">
      <c r="A1353" s="29" t="n"/>
      <c r="B1353" s="17" t="n"/>
      <c r="C1353" s="17" t="n"/>
      <c r="D1353" s="16" t="n"/>
      <c r="E1353" s="30" t="n"/>
      <c r="F1353" s="17" t="n"/>
      <c r="G1353" s="31">
        <f>IF(C1353="","",IFERROR(INDEX(Categorie!$B$6:$B$65,MATCH(C1353,Categorie!$A$6:$A$65,0))&amp;"",""))</f>
        <v/>
      </c>
      <c r="H1353" s="32">
        <f>IF(AND(A1353="",C1353="",D1353=""),"",IF(D1353="","Manca l'importo",IF(NOT(ISNUMBER(D1353)),"Importo non valido",IF(NOT(ISNUMBER(A1353)),"Data mancante o non valida",IF(YEAR(A1353)&lt;&gt;Impostazioni!$C$4,"Fuori dall'anno",IF(C1353="","Manca la categoria",IF(ISNA(MATCH(C1353,Categorie!$A$6:$A$65,0)),"Categoria non trovata",IF(G1353="","Categoria senza tipo",""))))))))</f>
        <v/>
      </c>
    </row>
    <row r="1354">
      <c r="A1354" s="29" t="n"/>
      <c r="B1354" s="17" t="n"/>
      <c r="C1354" s="17" t="n"/>
      <c r="D1354" s="16" t="n"/>
      <c r="E1354" s="30" t="n"/>
      <c r="F1354" s="17" t="n"/>
      <c r="G1354" s="31">
        <f>IF(C1354="","",IFERROR(INDEX(Categorie!$B$6:$B$65,MATCH(C1354,Categorie!$A$6:$A$65,0))&amp;"",""))</f>
        <v/>
      </c>
      <c r="H1354" s="32">
        <f>IF(AND(A1354="",C1354="",D1354=""),"",IF(D1354="","Manca l'importo",IF(NOT(ISNUMBER(D1354)),"Importo non valido",IF(NOT(ISNUMBER(A1354)),"Data mancante o non valida",IF(YEAR(A1354)&lt;&gt;Impostazioni!$C$4,"Fuori dall'anno",IF(C1354="","Manca la categoria",IF(ISNA(MATCH(C1354,Categorie!$A$6:$A$65,0)),"Categoria non trovata",IF(G1354="","Categoria senza tipo",""))))))))</f>
        <v/>
      </c>
    </row>
    <row r="1355">
      <c r="A1355" s="29" t="n"/>
      <c r="B1355" s="17" t="n"/>
      <c r="C1355" s="17" t="n"/>
      <c r="D1355" s="16" t="n"/>
      <c r="E1355" s="30" t="n"/>
      <c r="F1355" s="17" t="n"/>
      <c r="G1355" s="31">
        <f>IF(C1355="","",IFERROR(INDEX(Categorie!$B$6:$B$65,MATCH(C1355,Categorie!$A$6:$A$65,0))&amp;"",""))</f>
        <v/>
      </c>
      <c r="H1355" s="32">
        <f>IF(AND(A1355="",C1355="",D1355=""),"",IF(D1355="","Manca l'importo",IF(NOT(ISNUMBER(D1355)),"Importo non valido",IF(NOT(ISNUMBER(A1355)),"Data mancante o non valida",IF(YEAR(A1355)&lt;&gt;Impostazioni!$C$4,"Fuori dall'anno",IF(C1355="","Manca la categoria",IF(ISNA(MATCH(C1355,Categorie!$A$6:$A$65,0)),"Categoria non trovata",IF(G1355="","Categoria senza tipo",""))))))))</f>
        <v/>
      </c>
    </row>
    <row r="1356">
      <c r="A1356" s="29" t="n"/>
      <c r="B1356" s="17" t="n"/>
      <c r="C1356" s="17" t="n"/>
      <c r="D1356" s="16" t="n"/>
      <c r="E1356" s="30" t="n"/>
      <c r="F1356" s="17" t="n"/>
      <c r="G1356" s="31">
        <f>IF(C1356="","",IFERROR(INDEX(Categorie!$B$6:$B$65,MATCH(C1356,Categorie!$A$6:$A$65,0))&amp;"",""))</f>
        <v/>
      </c>
      <c r="H1356" s="32">
        <f>IF(AND(A1356="",C1356="",D1356=""),"",IF(D1356="","Manca l'importo",IF(NOT(ISNUMBER(D1356)),"Importo non valido",IF(NOT(ISNUMBER(A1356)),"Data mancante o non valida",IF(YEAR(A1356)&lt;&gt;Impostazioni!$C$4,"Fuori dall'anno",IF(C1356="","Manca la categoria",IF(ISNA(MATCH(C1356,Categorie!$A$6:$A$65,0)),"Categoria non trovata",IF(G1356="","Categoria senza tipo",""))))))))</f>
        <v/>
      </c>
    </row>
    <row r="1357">
      <c r="A1357" s="29" t="n"/>
      <c r="B1357" s="17" t="n"/>
      <c r="C1357" s="17" t="n"/>
      <c r="D1357" s="16" t="n"/>
      <c r="E1357" s="30" t="n"/>
      <c r="F1357" s="17" t="n"/>
      <c r="G1357" s="31">
        <f>IF(C1357="","",IFERROR(INDEX(Categorie!$B$6:$B$65,MATCH(C1357,Categorie!$A$6:$A$65,0))&amp;"",""))</f>
        <v/>
      </c>
      <c r="H1357" s="32">
        <f>IF(AND(A1357="",C1357="",D1357=""),"",IF(D1357="","Manca l'importo",IF(NOT(ISNUMBER(D1357)),"Importo non valido",IF(NOT(ISNUMBER(A1357)),"Data mancante o non valida",IF(YEAR(A1357)&lt;&gt;Impostazioni!$C$4,"Fuori dall'anno",IF(C1357="","Manca la categoria",IF(ISNA(MATCH(C1357,Categorie!$A$6:$A$65,0)),"Categoria non trovata",IF(G1357="","Categoria senza tipo",""))))))))</f>
        <v/>
      </c>
    </row>
    <row r="1358">
      <c r="A1358" s="29" t="n"/>
      <c r="B1358" s="17" t="n"/>
      <c r="C1358" s="17" t="n"/>
      <c r="D1358" s="16" t="n"/>
      <c r="E1358" s="30" t="n"/>
      <c r="F1358" s="17" t="n"/>
      <c r="G1358" s="31">
        <f>IF(C1358="","",IFERROR(INDEX(Categorie!$B$6:$B$65,MATCH(C1358,Categorie!$A$6:$A$65,0))&amp;"",""))</f>
        <v/>
      </c>
      <c r="H1358" s="32">
        <f>IF(AND(A1358="",C1358="",D1358=""),"",IF(D1358="","Manca l'importo",IF(NOT(ISNUMBER(D1358)),"Importo non valido",IF(NOT(ISNUMBER(A1358)),"Data mancante o non valida",IF(YEAR(A1358)&lt;&gt;Impostazioni!$C$4,"Fuori dall'anno",IF(C1358="","Manca la categoria",IF(ISNA(MATCH(C1358,Categorie!$A$6:$A$65,0)),"Categoria non trovata",IF(G1358="","Categoria senza tipo",""))))))))</f>
        <v/>
      </c>
    </row>
    <row r="1359">
      <c r="A1359" s="29" t="n"/>
      <c r="B1359" s="17" t="n"/>
      <c r="C1359" s="17" t="n"/>
      <c r="D1359" s="16" t="n"/>
      <c r="E1359" s="30" t="n"/>
      <c r="F1359" s="17" t="n"/>
      <c r="G1359" s="31">
        <f>IF(C1359="","",IFERROR(INDEX(Categorie!$B$6:$B$65,MATCH(C1359,Categorie!$A$6:$A$65,0))&amp;"",""))</f>
        <v/>
      </c>
      <c r="H1359" s="32">
        <f>IF(AND(A1359="",C1359="",D1359=""),"",IF(D1359="","Manca l'importo",IF(NOT(ISNUMBER(D1359)),"Importo non valido",IF(NOT(ISNUMBER(A1359)),"Data mancante o non valida",IF(YEAR(A1359)&lt;&gt;Impostazioni!$C$4,"Fuori dall'anno",IF(C1359="","Manca la categoria",IF(ISNA(MATCH(C1359,Categorie!$A$6:$A$65,0)),"Categoria non trovata",IF(G1359="","Categoria senza tipo",""))))))))</f>
        <v/>
      </c>
    </row>
    <row r="1360">
      <c r="A1360" s="29" t="n"/>
      <c r="B1360" s="17" t="n"/>
      <c r="C1360" s="17" t="n"/>
      <c r="D1360" s="16" t="n"/>
      <c r="E1360" s="30" t="n"/>
      <c r="F1360" s="17" t="n"/>
      <c r="G1360" s="31">
        <f>IF(C1360="","",IFERROR(INDEX(Categorie!$B$6:$B$65,MATCH(C1360,Categorie!$A$6:$A$65,0))&amp;"",""))</f>
        <v/>
      </c>
      <c r="H1360" s="32">
        <f>IF(AND(A1360="",C1360="",D1360=""),"",IF(D1360="","Manca l'importo",IF(NOT(ISNUMBER(D1360)),"Importo non valido",IF(NOT(ISNUMBER(A1360)),"Data mancante o non valida",IF(YEAR(A1360)&lt;&gt;Impostazioni!$C$4,"Fuori dall'anno",IF(C1360="","Manca la categoria",IF(ISNA(MATCH(C1360,Categorie!$A$6:$A$65,0)),"Categoria non trovata",IF(G1360="","Categoria senza tipo",""))))))))</f>
        <v/>
      </c>
    </row>
    <row r="1361">
      <c r="A1361" s="29" t="n"/>
      <c r="B1361" s="17" t="n"/>
      <c r="C1361" s="17" t="n"/>
      <c r="D1361" s="16" t="n"/>
      <c r="E1361" s="30" t="n"/>
      <c r="F1361" s="17" t="n"/>
      <c r="G1361" s="31">
        <f>IF(C1361="","",IFERROR(INDEX(Categorie!$B$6:$B$65,MATCH(C1361,Categorie!$A$6:$A$65,0))&amp;"",""))</f>
        <v/>
      </c>
      <c r="H1361" s="32">
        <f>IF(AND(A1361="",C1361="",D1361=""),"",IF(D1361="","Manca l'importo",IF(NOT(ISNUMBER(D1361)),"Importo non valido",IF(NOT(ISNUMBER(A1361)),"Data mancante o non valida",IF(YEAR(A1361)&lt;&gt;Impostazioni!$C$4,"Fuori dall'anno",IF(C1361="","Manca la categoria",IF(ISNA(MATCH(C1361,Categorie!$A$6:$A$65,0)),"Categoria non trovata",IF(G1361="","Categoria senza tipo",""))))))))</f>
        <v/>
      </c>
    </row>
    <row r="1362">
      <c r="A1362" s="29" t="n"/>
      <c r="B1362" s="17" t="n"/>
      <c r="C1362" s="17" t="n"/>
      <c r="D1362" s="16" t="n"/>
      <c r="E1362" s="30" t="n"/>
      <c r="F1362" s="17" t="n"/>
      <c r="G1362" s="31">
        <f>IF(C1362="","",IFERROR(INDEX(Categorie!$B$6:$B$65,MATCH(C1362,Categorie!$A$6:$A$65,0))&amp;"",""))</f>
        <v/>
      </c>
      <c r="H1362" s="32">
        <f>IF(AND(A1362="",C1362="",D1362=""),"",IF(D1362="","Manca l'importo",IF(NOT(ISNUMBER(D1362)),"Importo non valido",IF(NOT(ISNUMBER(A1362)),"Data mancante o non valida",IF(YEAR(A1362)&lt;&gt;Impostazioni!$C$4,"Fuori dall'anno",IF(C1362="","Manca la categoria",IF(ISNA(MATCH(C1362,Categorie!$A$6:$A$65,0)),"Categoria non trovata",IF(G1362="","Categoria senza tipo",""))))))))</f>
        <v/>
      </c>
    </row>
    <row r="1363">
      <c r="A1363" s="29" t="n"/>
      <c r="B1363" s="17" t="n"/>
      <c r="C1363" s="17" t="n"/>
      <c r="D1363" s="16" t="n"/>
      <c r="E1363" s="30" t="n"/>
      <c r="F1363" s="17" t="n"/>
      <c r="G1363" s="31">
        <f>IF(C1363="","",IFERROR(INDEX(Categorie!$B$6:$B$65,MATCH(C1363,Categorie!$A$6:$A$65,0))&amp;"",""))</f>
        <v/>
      </c>
      <c r="H1363" s="32">
        <f>IF(AND(A1363="",C1363="",D1363=""),"",IF(D1363="","Manca l'importo",IF(NOT(ISNUMBER(D1363)),"Importo non valido",IF(NOT(ISNUMBER(A1363)),"Data mancante o non valida",IF(YEAR(A1363)&lt;&gt;Impostazioni!$C$4,"Fuori dall'anno",IF(C1363="","Manca la categoria",IF(ISNA(MATCH(C1363,Categorie!$A$6:$A$65,0)),"Categoria non trovata",IF(G1363="","Categoria senza tipo",""))))))))</f>
        <v/>
      </c>
    </row>
    <row r="1364">
      <c r="A1364" s="29" t="n"/>
      <c r="B1364" s="17" t="n"/>
      <c r="C1364" s="17" t="n"/>
      <c r="D1364" s="16" t="n"/>
      <c r="E1364" s="30" t="n"/>
      <c r="F1364" s="17" t="n"/>
      <c r="G1364" s="31">
        <f>IF(C1364="","",IFERROR(INDEX(Categorie!$B$6:$B$65,MATCH(C1364,Categorie!$A$6:$A$65,0))&amp;"",""))</f>
        <v/>
      </c>
      <c r="H1364" s="32">
        <f>IF(AND(A1364="",C1364="",D1364=""),"",IF(D1364="","Manca l'importo",IF(NOT(ISNUMBER(D1364)),"Importo non valido",IF(NOT(ISNUMBER(A1364)),"Data mancante o non valida",IF(YEAR(A1364)&lt;&gt;Impostazioni!$C$4,"Fuori dall'anno",IF(C1364="","Manca la categoria",IF(ISNA(MATCH(C1364,Categorie!$A$6:$A$65,0)),"Categoria non trovata",IF(G1364="","Categoria senza tipo",""))))))))</f>
        <v/>
      </c>
    </row>
    <row r="1365">
      <c r="A1365" s="29" t="n"/>
      <c r="B1365" s="17" t="n"/>
      <c r="C1365" s="17" t="n"/>
      <c r="D1365" s="16" t="n"/>
      <c r="E1365" s="30" t="n"/>
      <c r="F1365" s="17" t="n"/>
      <c r="G1365" s="31">
        <f>IF(C1365="","",IFERROR(INDEX(Categorie!$B$6:$B$65,MATCH(C1365,Categorie!$A$6:$A$65,0))&amp;"",""))</f>
        <v/>
      </c>
      <c r="H1365" s="32">
        <f>IF(AND(A1365="",C1365="",D1365=""),"",IF(D1365="","Manca l'importo",IF(NOT(ISNUMBER(D1365)),"Importo non valido",IF(NOT(ISNUMBER(A1365)),"Data mancante o non valida",IF(YEAR(A1365)&lt;&gt;Impostazioni!$C$4,"Fuori dall'anno",IF(C1365="","Manca la categoria",IF(ISNA(MATCH(C1365,Categorie!$A$6:$A$65,0)),"Categoria non trovata",IF(G1365="","Categoria senza tipo",""))))))))</f>
        <v/>
      </c>
    </row>
    <row r="1366">
      <c r="A1366" s="29" t="n"/>
      <c r="B1366" s="17" t="n"/>
      <c r="C1366" s="17" t="n"/>
      <c r="D1366" s="16" t="n"/>
      <c r="E1366" s="30" t="n"/>
      <c r="F1366" s="17" t="n"/>
      <c r="G1366" s="31">
        <f>IF(C1366="","",IFERROR(INDEX(Categorie!$B$6:$B$65,MATCH(C1366,Categorie!$A$6:$A$65,0))&amp;"",""))</f>
        <v/>
      </c>
      <c r="H1366" s="32">
        <f>IF(AND(A1366="",C1366="",D1366=""),"",IF(D1366="","Manca l'importo",IF(NOT(ISNUMBER(D1366)),"Importo non valido",IF(NOT(ISNUMBER(A1366)),"Data mancante o non valida",IF(YEAR(A1366)&lt;&gt;Impostazioni!$C$4,"Fuori dall'anno",IF(C1366="","Manca la categoria",IF(ISNA(MATCH(C1366,Categorie!$A$6:$A$65,0)),"Categoria non trovata",IF(G1366="","Categoria senza tipo",""))))))))</f>
        <v/>
      </c>
    </row>
    <row r="1367">
      <c r="A1367" s="29" t="n"/>
      <c r="B1367" s="17" t="n"/>
      <c r="C1367" s="17" t="n"/>
      <c r="D1367" s="16" t="n"/>
      <c r="E1367" s="30" t="n"/>
      <c r="F1367" s="17" t="n"/>
      <c r="G1367" s="31">
        <f>IF(C1367="","",IFERROR(INDEX(Categorie!$B$6:$B$65,MATCH(C1367,Categorie!$A$6:$A$65,0))&amp;"",""))</f>
        <v/>
      </c>
      <c r="H1367" s="32">
        <f>IF(AND(A1367="",C1367="",D1367=""),"",IF(D1367="","Manca l'importo",IF(NOT(ISNUMBER(D1367)),"Importo non valido",IF(NOT(ISNUMBER(A1367)),"Data mancante o non valida",IF(YEAR(A1367)&lt;&gt;Impostazioni!$C$4,"Fuori dall'anno",IF(C1367="","Manca la categoria",IF(ISNA(MATCH(C1367,Categorie!$A$6:$A$65,0)),"Categoria non trovata",IF(G1367="","Categoria senza tipo",""))))))))</f>
        <v/>
      </c>
    </row>
    <row r="1368">
      <c r="A1368" s="29" t="n"/>
      <c r="B1368" s="17" t="n"/>
      <c r="C1368" s="17" t="n"/>
      <c r="D1368" s="16" t="n"/>
      <c r="E1368" s="30" t="n"/>
      <c r="F1368" s="17" t="n"/>
      <c r="G1368" s="31">
        <f>IF(C1368="","",IFERROR(INDEX(Categorie!$B$6:$B$65,MATCH(C1368,Categorie!$A$6:$A$65,0))&amp;"",""))</f>
        <v/>
      </c>
      <c r="H1368" s="32">
        <f>IF(AND(A1368="",C1368="",D1368=""),"",IF(D1368="","Manca l'importo",IF(NOT(ISNUMBER(D1368)),"Importo non valido",IF(NOT(ISNUMBER(A1368)),"Data mancante o non valida",IF(YEAR(A1368)&lt;&gt;Impostazioni!$C$4,"Fuori dall'anno",IF(C1368="","Manca la categoria",IF(ISNA(MATCH(C1368,Categorie!$A$6:$A$65,0)),"Categoria non trovata",IF(G1368="","Categoria senza tipo",""))))))))</f>
        <v/>
      </c>
    </row>
    <row r="1369">
      <c r="A1369" s="29" t="n"/>
      <c r="B1369" s="17" t="n"/>
      <c r="C1369" s="17" t="n"/>
      <c r="D1369" s="16" t="n"/>
      <c r="E1369" s="30" t="n"/>
      <c r="F1369" s="17" t="n"/>
      <c r="G1369" s="31">
        <f>IF(C1369="","",IFERROR(INDEX(Categorie!$B$6:$B$65,MATCH(C1369,Categorie!$A$6:$A$65,0))&amp;"",""))</f>
        <v/>
      </c>
      <c r="H1369" s="32">
        <f>IF(AND(A1369="",C1369="",D1369=""),"",IF(D1369="","Manca l'importo",IF(NOT(ISNUMBER(D1369)),"Importo non valido",IF(NOT(ISNUMBER(A1369)),"Data mancante o non valida",IF(YEAR(A1369)&lt;&gt;Impostazioni!$C$4,"Fuori dall'anno",IF(C1369="","Manca la categoria",IF(ISNA(MATCH(C1369,Categorie!$A$6:$A$65,0)),"Categoria non trovata",IF(G1369="","Categoria senza tipo",""))))))))</f>
        <v/>
      </c>
    </row>
    <row r="1370">
      <c r="A1370" s="29" t="n"/>
      <c r="B1370" s="17" t="n"/>
      <c r="C1370" s="17" t="n"/>
      <c r="D1370" s="16" t="n"/>
      <c r="E1370" s="30" t="n"/>
      <c r="F1370" s="17" t="n"/>
      <c r="G1370" s="31">
        <f>IF(C1370="","",IFERROR(INDEX(Categorie!$B$6:$B$65,MATCH(C1370,Categorie!$A$6:$A$65,0))&amp;"",""))</f>
        <v/>
      </c>
      <c r="H1370" s="32">
        <f>IF(AND(A1370="",C1370="",D1370=""),"",IF(D1370="","Manca l'importo",IF(NOT(ISNUMBER(D1370)),"Importo non valido",IF(NOT(ISNUMBER(A1370)),"Data mancante o non valida",IF(YEAR(A1370)&lt;&gt;Impostazioni!$C$4,"Fuori dall'anno",IF(C1370="","Manca la categoria",IF(ISNA(MATCH(C1370,Categorie!$A$6:$A$65,0)),"Categoria non trovata",IF(G1370="","Categoria senza tipo",""))))))))</f>
        <v/>
      </c>
    </row>
    <row r="1371">
      <c r="A1371" s="29" t="n"/>
      <c r="B1371" s="17" t="n"/>
      <c r="C1371" s="17" t="n"/>
      <c r="D1371" s="16" t="n"/>
      <c r="E1371" s="30" t="n"/>
      <c r="F1371" s="17" t="n"/>
      <c r="G1371" s="31">
        <f>IF(C1371="","",IFERROR(INDEX(Categorie!$B$6:$B$65,MATCH(C1371,Categorie!$A$6:$A$65,0))&amp;"",""))</f>
        <v/>
      </c>
      <c r="H1371" s="32">
        <f>IF(AND(A1371="",C1371="",D1371=""),"",IF(D1371="","Manca l'importo",IF(NOT(ISNUMBER(D1371)),"Importo non valido",IF(NOT(ISNUMBER(A1371)),"Data mancante o non valida",IF(YEAR(A1371)&lt;&gt;Impostazioni!$C$4,"Fuori dall'anno",IF(C1371="","Manca la categoria",IF(ISNA(MATCH(C1371,Categorie!$A$6:$A$65,0)),"Categoria non trovata",IF(G1371="","Categoria senza tipo",""))))))))</f>
        <v/>
      </c>
    </row>
    <row r="1372">
      <c r="A1372" s="29" t="n"/>
      <c r="B1372" s="17" t="n"/>
      <c r="C1372" s="17" t="n"/>
      <c r="D1372" s="16" t="n"/>
      <c r="E1372" s="30" t="n"/>
      <c r="F1372" s="17" t="n"/>
      <c r="G1372" s="31">
        <f>IF(C1372="","",IFERROR(INDEX(Categorie!$B$6:$B$65,MATCH(C1372,Categorie!$A$6:$A$65,0))&amp;"",""))</f>
        <v/>
      </c>
      <c r="H1372" s="32">
        <f>IF(AND(A1372="",C1372="",D1372=""),"",IF(D1372="","Manca l'importo",IF(NOT(ISNUMBER(D1372)),"Importo non valido",IF(NOT(ISNUMBER(A1372)),"Data mancante o non valida",IF(YEAR(A1372)&lt;&gt;Impostazioni!$C$4,"Fuori dall'anno",IF(C1372="","Manca la categoria",IF(ISNA(MATCH(C1372,Categorie!$A$6:$A$65,0)),"Categoria non trovata",IF(G1372="","Categoria senza tipo",""))))))))</f>
        <v/>
      </c>
    </row>
    <row r="1373">
      <c r="A1373" s="29" t="n"/>
      <c r="B1373" s="17" t="n"/>
      <c r="C1373" s="17" t="n"/>
      <c r="D1373" s="16" t="n"/>
      <c r="E1373" s="30" t="n"/>
      <c r="F1373" s="17" t="n"/>
      <c r="G1373" s="31">
        <f>IF(C1373="","",IFERROR(INDEX(Categorie!$B$6:$B$65,MATCH(C1373,Categorie!$A$6:$A$65,0))&amp;"",""))</f>
        <v/>
      </c>
      <c r="H1373" s="32">
        <f>IF(AND(A1373="",C1373="",D1373=""),"",IF(D1373="","Manca l'importo",IF(NOT(ISNUMBER(D1373)),"Importo non valido",IF(NOT(ISNUMBER(A1373)),"Data mancante o non valida",IF(YEAR(A1373)&lt;&gt;Impostazioni!$C$4,"Fuori dall'anno",IF(C1373="","Manca la categoria",IF(ISNA(MATCH(C1373,Categorie!$A$6:$A$65,0)),"Categoria non trovata",IF(G1373="","Categoria senza tipo",""))))))))</f>
        <v/>
      </c>
    </row>
    <row r="1374">
      <c r="A1374" s="29" t="n"/>
      <c r="B1374" s="17" t="n"/>
      <c r="C1374" s="17" t="n"/>
      <c r="D1374" s="16" t="n"/>
      <c r="E1374" s="30" t="n"/>
      <c r="F1374" s="17" t="n"/>
      <c r="G1374" s="31">
        <f>IF(C1374="","",IFERROR(INDEX(Categorie!$B$6:$B$65,MATCH(C1374,Categorie!$A$6:$A$65,0))&amp;"",""))</f>
        <v/>
      </c>
      <c r="H1374" s="32">
        <f>IF(AND(A1374="",C1374="",D1374=""),"",IF(D1374="","Manca l'importo",IF(NOT(ISNUMBER(D1374)),"Importo non valido",IF(NOT(ISNUMBER(A1374)),"Data mancante o non valida",IF(YEAR(A1374)&lt;&gt;Impostazioni!$C$4,"Fuori dall'anno",IF(C1374="","Manca la categoria",IF(ISNA(MATCH(C1374,Categorie!$A$6:$A$65,0)),"Categoria non trovata",IF(G1374="","Categoria senza tipo",""))))))))</f>
        <v/>
      </c>
    </row>
    <row r="1375">
      <c r="A1375" s="29" t="n"/>
      <c r="B1375" s="17" t="n"/>
      <c r="C1375" s="17" t="n"/>
      <c r="D1375" s="16" t="n"/>
      <c r="E1375" s="30" t="n"/>
      <c r="F1375" s="17" t="n"/>
      <c r="G1375" s="31">
        <f>IF(C1375="","",IFERROR(INDEX(Categorie!$B$6:$B$65,MATCH(C1375,Categorie!$A$6:$A$65,0))&amp;"",""))</f>
        <v/>
      </c>
      <c r="H1375" s="32">
        <f>IF(AND(A1375="",C1375="",D1375=""),"",IF(D1375="","Manca l'importo",IF(NOT(ISNUMBER(D1375)),"Importo non valido",IF(NOT(ISNUMBER(A1375)),"Data mancante o non valida",IF(YEAR(A1375)&lt;&gt;Impostazioni!$C$4,"Fuori dall'anno",IF(C1375="","Manca la categoria",IF(ISNA(MATCH(C1375,Categorie!$A$6:$A$65,0)),"Categoria non trovata",IF(G1375="","Categoria senza tipo",""))))))))</f>
        <v/>
      </c>
    </row>
    <row r="1376">
      <c r="A1376" s="29" t="n"/>
      <c r="B1376" s="17" t="n"/>
      <c r="C1376" s="17" t="n"/>
      <c r="D1376" s="16" t="n"/>
      <c r="E1376" s="30" t="n"/>
      <c r="F1376" s="17" t="n"/>
      <c r="G1376" s="31">
        <f>IF(C1376="","",IFERROR(INDEX(Categorie!$B$6:$B$65,MATCH(C1376,Categorie!$A$6:$A$65,0))&amp;"",""))</f>
        <v/>
      </c>
      <c r="H1376" s="32">
        <f>IF(AND(A1376="",C1376="",D1376=""),"",IF(D1376="","Manca l'importo",IF(NOT(ISNUMBER(D1376)),"Importo non valido",IF(NOT(ISNUMBER(A1376)),"Data mancante o non valida",IF(YEAR(A1376)&lt;&gt;Impostazioni!$C$4,"Fuori dall'anno",IF(C1376="","Manca la categoria",IF(ISNA(MATCH(C1376,Categorie!$A$6:$A$65,0)),"Categoria non trovata",IF(G1376="","Categoria senza tipo",""))))))))</f>
        <v/>
      </c>
    </row>
    <row r="1377">
      <c r="A1377" s="29" t="n"/>
      <c r="B1377" s="17" t="n"/>
      <c r="C1377" s="17" t="n"/>
      <c r="D1377" s="16" t="n"/>
      <c r="E1377" s="30" t="n"/>
      <c r="F1377" s="17" t="n"/>
      <c r="G1377" s="31">
        <f>IF(C1377="","",IFERROR(INDEX(Categorie!$B$6:$B$65,MATCH(C1377,Categorie!$A$6:$A$65,0))&amp;"",""))</f>
        <v/>
      </c>
      <c r="H1377" s="32">
        <f>IF(AND(A1377="",C1377="",D1377=""),"",IF(D1377="","Manca l'importo",IF(NOT(ISNUMBER(D1377)),"Importo non valido",IF(NOT(ISNUMBER(A1377)),"Data mancante o non valida",IF(YEAR(A1377)&lt;&gt;Impostazioni!$C$4,"Fuori dall'anno",IF(C1377="","Manca la categoria",IF(ISNA(MATCH(C1377,Categorie!$A$6:$A$65,0)),"Categoria non trovata",IF(G1377="","Categoria senza tipo",""))))))))</f>
        <v/>
      </c>
    </row>
    <row r="1378">
      <c r="A1378" s="29" t="n"/>
      <c r="B1378" s="17" t="n"/>
      <c r="C1378" s="17" t="n"/>
      <c r="D1378" s="16" t="n"/>
      <c r="E1378" s="30" t="n"/>
      <c r="F1378" s="17" t="n"/>
      <c r="G1378" s="31">
        <f>IF(C1378="","",IFERROR(INDEX(Categorie!$B$6:$B$65,MATCH(C1378,Categorie!$A$6:$A$65,0))&amp;"",""))</f>
        <v/>
      </c>
      <c r="H1378" s="32">
        <f>IF(AND(A1378="",C1378="",D1378=""),"",IF(D1378="","Manca l'importo",IF(NOT(ISNUMBER(D1378)),"Importo non valido",IF(NOT(ISNUMBER(A1378)),"Data mancante o non valida",IF(YEAR(A1378)&lt;&gt;Impostazioni!$C$4,"Fuori dall'anno",IF(C1378="","Manca la categoria",IF(ISNA(MATCH(C1378,Categorie!$A$6:$A$65,0)),"Categoria non trovata",IF(G1378="","Categoria senza tipo",""))))))))</f>
        <v/>
      </c>
    </row>
    <row r="1379">
      <c r="A1379" s="29" t="n"/>
      <c r="B1379" s="17" t="n"/>
      <c r="C1379" s="17" t="n"/>
      <c r="D1379" s="16" t="n"/>
      <c r="E1379" s="30" t="n"/>
      <c r="F1379" s="17" t="n"/>
      <c r="G1379" s="31">
        <f>IF(C1379="","",IFERROR(INDEX(Categorie!$B$6:$B$65,MATCH(C1379,Categorie!$A$6:$A$65,0))&amp;"",""))</f>
        <v/>
      </c>
      <c r="H1379" s="32">
        <f>IF(AND(A1379="",C1379="",D1379=""),"",IF(D1379="","Manca l'importo",IF(NOT(ISNUMBER(D1379)),"Importo non valido",IF(NOT(ISNUMBER(A1379)),"Data mancante o non valida",IF(YEAR(A1379)&lt;&gt;Impostazioni!$C$4,"Fuori dall'anno",IF(C1379="","Manca la categoria",IF(ISNA(MATCH(C1379,Categorie!$A$6:$A$65,0)),"Categoria non trovata",IF(G1379="","Categoria senza tipo",""))))))))</f>
        <v/>
      </c>
    </row>
    <row r="1380">
      <c r="A1380" s="29" t="n"/>
      <c r="B1380" s="17" t="n"/>
      <c r="C1380" s="17" t="n"/>
      <c r="D1380" s="16" t="n"/>
      <c r="E1380" s="30" t="n"/>
      <c r="F1380" s="17" t="n"/>
      <c r="G1380" s="31">
        <f>IF(C1380="","",IFERROR(INDEX(Categorie!$B$6:$B$65,MATCH(C1380,Categorie!$A$6:$A$65,0))&amp;"",""))</f>
        <v/>
      </c>
      <c r="H1380" s="32">
        <f>IF(AND(A1380="",C1380="",D1380=""),"",IF(D1380="","Manca l'importo",IF(NOT(ISNUMBER(D1380)),"Importo non valido",IF(NOT(ISNUMBER(A1380)),"Data mancante o non valida",IF(YEAR(A1380)&lt;&gt;Impostazioni!$C$4,"Fuori dall'anno",IF(C1380="","Manca la categoria",IF(ISNA(MATCH(C1380,Categorie!$A$6:$A$65,0)),"Categoria non trovata",IF(G1380="","Categoria senza tipo",""))))))))</f>
        <v/>
      </c>
    </row>
    <row r="1381">
      <c r="A1381" s="29" t="n"/>
      <c r="B1381" s="17" t="n"/>
      <c r="C1381" s="17" t="n"/>
      <c r="D1381" s="16" t="n"/>
      <c r="E1381" s="30" t="n"/>
      <c r="F1381" s="17" t="n"/>
      <c r="G1381" s="31">
        <f>IF(C1381="","",IFERROR(INDEX(Categorie!$B$6:$B$65,MATCH(C1381,Categorie!$A$6:$A$65,0))&amp;"",""))</f>
        <v/>
      </c>
      <c r="H1381" s="32">
        <f>IF(AND(A1381="",C1381="",D1381=""),"",IF(D1381="","Manca l'importo",IF(NOT(ISNUMBER(D1381)),"Importo non valido",IF(NOT(ISNUMBER(A1381)),"Data mancante o non valida",IF(YEAR(A1381)&lt;&gt;Impostazioni!$C$4,"Fuori dall'anno",IF(C1381="","Manca la categoria",IF(ISNA(MATCH(C1381,Categorie!$A$6:$A$65,0)),"Categoria non trovata",IF(G1381="","Categoria senza tipo",""))))))))</f>
        <v/>
      </c>
    </row>
    <row r="1382">
      <c r="A1382" s="29" t="n"/>
      <c r="B1382" s="17" t="n"/>
      <c r="C1382" s="17" t="n"/>
      <c r="D1382" s="16" t="n"/>
      <c r="E1382" s="30" t="n"/>
      <c r="F1382" s="17" t="n"/>
      <c r="G1382" s="31">
        <f>IF(C1382="","",IFERROR(INDEX(Categorie!$B$6:$B$65,MATCH(C1382,Categorie!$A$6:$A$65,0))&amp;"",""))</f>
        <v/>
      </c>
      <c r="H1382" s="32">
        <f>IF(AND(A1382="",C1382="",D1382=""),"",IF(D1382="","Manca l'importo",IF(NOT(ISNUMBER(D1382)),"Importo non valido",IF(NOT(ISNUMBER(A1382)),"Data mancante o non valida",IF(YEAR(A1382)&lt;&gt;Impostazioni!$C$4,"Fuori dall'anno",IF(C1382="","Manca la categoria",IF(ISNA(MATCH(C1382,Categorie!$A$6:$A$65,0)),"Categoria non trovata",IF(G1382="","Categoria senza tipo",""))))))))</f>
        <v/>
      </c>
    </row>
    <row r="1383">
      <c r="A1383" s="29" t="n"/>
      <c r="B1383" s="17" t="n"/>
      <c r="C1383" s="17" t="n"/>
      <c r="D1383" s="16" t="n"/>
      <c r="E1383" s="30" t="n"/>
      <c r="F1383" s="17" t="n"/>
      <c r="G1383" s="31">
        <f>IF(C1383="","",IFERROR(INDEX(Categorie!$B$6:$B$65,MATCH(C1383,Categorie!$A$6:$A$65,0))&amp;"",""))</f>
        <v/>
      </c>
      <c r="H1383" s="32">
        <f>IF(AND(A1383="",C1383="",D1383=""),"",IF(D1383="","Manca l'importo",IF(NOT(ISNUMBER(D1383)),"Importo non valido",IF(NOT(ISNUMBER(A1383)),"Data mancante o non valida",IF(YEAR(A1383)&lt;&gt;Impostazioni!$C$4,"Fuori dall'anno",IF(C1383="","Manca la categoria",IF(ISNA(MATCH(C1383,Categorie!$A$6:$A$65,0)),"Categoria non trovata",IF(G1383="","Categoria senza tipo",""))))))))</f>
        <v/>
      </c>
    </row>
    <row r="1384">
      <c r="A1384" s="29" t="n"/>
      <c r="B1384" s="17" t="n"/>
      <c r="C1384" s="17" t="n"/>
      <c r="D1384" s="16" t="n"/>
      <c r="E1384" s="30" t="n"/>
      <c r="F1384" s="17" t="n"/>
      <c r="G1384" s="31">
        <f>IF(C1384="","",IFERROR(INDEX(Categorie!$B$6:$B$65,MATCH(C1384,Categorie!$A$6:$A$65,0))&amp;"",""))</f>
        <v/>
      </c>
      <c r="H1384" s="32">
        <f>IF(AND(A1384="",C1384="",D1384=""),"",IF(D1384="","Manca l'importo",IF(NOT(ISNUMBER(D1384)),"Importo non valido",IF(NOT(ISNUMBER(A1384)),"Data mancante o non valida",IF(YEAR(A1384)&lt;&gt;Impostazioni!$C$4,"Fuori dall'anno",IF(C1384="","Manca la categoria",IF(ISNA(MATCH(C1384,Categorie!$A$6:$A$65,0)),"Categoria non trovata",IF(G1384="","Categoria senza tipo",""))))))))</f>
        <v/>
      </c>
    </row>
    <row r="1385">
      <c r="A1385" s="29" t="n"/>
      <c r="B1385" s="17" t="n"/>
      <c r="C1385" s="17" t="n"/>
      <c r="D1385" s="16" t="n"/>
      <c r="E1385" s="30" t="n"/>
      <c r="F1385" s="17" t="n"/>
      <c r="G1385" s="31">
        <f>IF(C1385="","",IFERROR(INDEX(Categorie!$B$6:$B$65,MATCH(C1385,Categorie!$A$6:$A$65,0))&amp;"",""))</f>
        <v/>
      </c>
      <c r="H1385" s="32">
        <f>IF(AND(A1385="",C1385="",D1385=""),"",IF(D1385="","Manca l'importo",IF(NOT(ISNUMBER(D1385)),"Importo non valido",IF(NOT(ISNUMBER(A1385)),"Data mancante o non valida",IF(YEAR(A1385)&lt;&gt;Impostazioni!$C$4,"Fuori dall'anno",IF(C1385="","Manca la categoria",IF(ISNA(MATCH(C1385,Categorie!$A$6:$A$65,0)),"Categoria non trovata",IF(G1385="","Categoria senza tipo",""))))))))</f>
        <v/>
      </c>
    </row>
    <row r="1386">
      <c r="A1386" s="29" t="n"/>
      <c r="B1386" s="17" t="n"/>
      <c r="C1386" s="17" t="n"/>
      <c r="D1386" s="16" t="n"/>
      <c r="E1386" s="30" t="n"/>
      <c r="F1386" s="17" t="n"/>
      <c r="G1386" s="31">
        <f>IF(C1386="","",IFERROR(INDEX(Categorie!$B$6:$B$65,MATCH(C1386,Categorie!$A$6:$A$65,0))&amp;"",""))</f>
        <v/>
      </c>
      <c r="H1386" s="32">
        <f>IF(AND(A1386="",C1386="",D1386=""),"",IF(D1386="","Manca l'importo",IF(NOT(ISNUMBER(D1386)),"Importo non valido",IF(NOT(ISNUMBER(A1386)),"Data mancante o non valida",IF(YEAR(A1386)&lt;&gt;Impostazioni!$C$4,"Fuori dall'anno",IF(C1386="","Manca la categoria",IF(ISNA(MATCH(C1386,Categorie!$A$6:$A$65,0)),"Categoria non trovata",IF(G1386="","Categoria senza tipo",""))))))))</f>
        <v/>
      </c>
    </row>
    <row r="1387">
      <c r="A1387" s="29" t="n"/>
      <c r="B1387" s="17" t="n"/>
      <c r="C1387" s="17" t="n"/>
      <c r="D1387" s="16" t="n"/>
      <c r="E1387" s="30" t="n"/>
      <c r="F1387" s="17" t="n"/>
      <c r="G1387" s="31">
        <f>IF(C1387="","",IFERROR(INDEX(Categorie!$B$6:$B$65,MATCH(C1387,Categorie!$A$6:$A$65,0))&amp;"",""))</f>
        <v/>
      </c>
      <c r="H1387" s="32">
        <f>IF(AND(A1387="",C1387="",D1387=""),"",IF(D1387="","Manca l'importo",IF(NOT(ISNUMBER(D1387)),"Importo non valido",IF(NOT(ISNUMBER(A1387)),"Data mancante o non valida",IF(YEAR(A1387)&lt;&gt;Impostazioni!$C$4,"Fuori dall'anno",IF(C1387="","Manca la categoria",IF(ISNA(MATCH(C1387,Categorie!$A$6:$A$65,0)),"Categoria non trovata",IF(G1387="","Categoria senza tipo",""))))))))</f>
        <v/>
      </c>
    </row>
    <row r="1388">
      <c r="A1388" s="29" t="n"/>
      <c r="B1388" s="17" t="n"/>
      <c r="C1388" s="17" t="n"/>
      <c r="D1388" s="16" t="n"/>
      <c r="E1388" s="30" t="n"/>
      <c r="F1388" s="17" t="n"/>
      <c r="G1388" s="31">
        <f>IF(C1388="","",IFERROR(INDEX(Categorie!$B$6:$B$65,MATCH(C1388,Categorie!$A$6:$A$65,0))&amp;"",""))</f>
        <v/>
      </c>
      <c r="H1388" s="32">
        <f>IF(AND(A1388="",C1388="",D1388=""),"",IF(D1388="","Manca l'importo",IF(NOT(ISNUMBER(D1388)),"Importo non valido",IF(NOT(ISNUMBER(A1388)),"Data mancante o non valida",IF(YEAR(A1388)&lt;&gt;Impostazioni!$C$4,"Fuori dall'anno",IF(C1388="","Manca la categoria",IF(ISNA(MATCH(C1388,Categorie!$A$6:$A$65,0)),"Categoria non trovata",IF(G1388="","Categoria senza tipo",""))))))))</f>
        <v/>
      </c>
    </row>
    <row r="1389">
      <c r="A1389" s="29" t="n"/>
      <c r="B1389" s="17" t="n"/>
      <c r="C1389" s="17" t="n"/>
      <c r="D1389" s="16" t="n"/>
      <c r="E1389" s="30" t="n"/>
      <c r="F1389" s="17" t="n"/>
      <c r="G1389" s="31">
        <f>IF(C1389="","",IFERROR(INDEX(Categorie!$B$6:$B$65,MATCH(C1389,Categorie!$A$6:$A$65,0))&amp;"",""))</f>
        <v/>
      </c>
      <c r="H1389" s="32">
        <f>IF(AND(A1389="",C1389="",D1389=""),"",IF(D1389="","Manca l'importo",IF(NOT(ISNUMBER(D1389)),"Importo non valido",IF(NOT(ISNUMBER(A1389)),"Data mancante o non valida",IF(YEAR(A1389)&lt;&gt;Impostazioni!$C$4,"Fuori dall'anno",IF(C1389="","Manca la categoria",IF(ISNA(MATCH(C1389,Categorie!$A$6:$A$65,0)),"Categoria non trovata",IF(G1389="","Categoria senza tipo",""))))))))</f>
        <v/>
      </c>
    </row>
    <row r="1390">
      <c r="A1390" s="29" t="n"/>
      <c r="B1390" s="17" t="n"/>
      <c r="C1390" s="17" t="n"/>
      <c r="D1390" s="16" t="n"/>
      <c r="E1390" s="30" t="n"/>
      <c r="F1390" s="17" t="n"/>
      <c r="G1390" s="31">
        <f>IF(C1390="","",IFERROR(INDEX(Categorie!$B$6:$B$65,MATCH(C1390,Categorie!$A$6:$A$65,0))&amp;"",""))</f>
        <v/>
      </c>
      <c r="H1390" s="32">
        <f>IF(AND(A1390="",C1390="",D1390=""),"",IF(D1390="","Manca l'importo",IF(NOT(ISNUMBER(D1390)),"Importo non valido",IF(NOT(ISNUMBER(A1390)),"Data mancante o non valida",IF(YEAR(A1390)&lt;&gt;Impostazioni!$C$4,"Fuori dall'anno",IF(C1390="","Manca la categoria",IF(ISNA(MATCH(C1390,Categorie!$A$6:$A$65,0)),"Categoria non trovata",IF(G1390="","Categoria senza tipo",""))))))))</f>
        <v/>
      </c>
    </row>
    <row r="1391">
      <c r="A1391" s="29" t="n"/>
      <c r="B1391" s="17" t="n"/>
      <c r="C1391" s="17" t="n"/>
      <c r="D1391" s="16" t="n"/>
      <c r="E1391" s="30" t="n"/>
      <c r="F1391" s="17" t="n"/>
      <c r="G1391" s="31">
        <f>IF(C1391="","",IFERROR(INDEX(Categorie!$B$6:$B$65,MATCH(C1391,Categorie!$A$6:$A$65,0))&amp;"",""))</f>
        <v/>
      </c>
      <c r="H1391" s="32">
        <f>IF(AND(A1391="",C1391="",D1391=""),"",IF(D1391="","Manca l'importo",IF(NOT(ISNUMBER(D1391)),"Importo non valido",IF(NOT(ISNUMBER(A1391)),"Data mancante o non valida",IF(YEAR(A1391)&lt;&gt;Impostazioni!$C$4,"Fuori dall'anno",IF(C1391="","Manca la categoria",IF(ISNA(MATCH(C1391,Categorie!$A$6:$A$65,0)),"Categoria non trovata",IF(G1391="","Categoria senza tipo",""))))))))</f>
        <v/>
      </c>
    </row>
    <row r="1392">
      <c r="A1392" s="29" t="n"/>
      <c r="B1392" s="17" t="n"/>
      <c r="C1392" s="17" t="n"/>
      <c r="D1392" s="16" t="n"/>
      <c r="E1392" s="30" t="n"/>
      <c r="F1392" s="17" t="n"/>
      <c r="G1392" s="31">
        <f>IF(C1392="","",IFERROR(INDEX(Categorie!$B$6:$B$65,MATCH(C1392,Categorie!$A$6:$A$65,0))&amp;"",""))</f>
        <v/>
      </c>
      <c r="H1392" s="32">
        <f>IF(AND(A1392="",C1392="",D1392=""),"",IF(D1392="","Manca l'importo",IF(NOT(ISNUMBER(D1392)),"Importo non valido",IF(NOT(ISNUMBER(A1392)),"Data mancante o non valida",IF(YEAR(A1392)&lt;&gt;Impostazioni!$C$4,"Fuori dall'anno",IF(C1392="","Manca la categoria",IF(ISNA(MATCH(C1392,Categorie!$A$6:$A$65,0)),"Categoria non trovata",IF(G1392="","Categoria senza tipo",""))))))))</f>
        <v/>
      </c>
    </row>
    <row r="1393">
      <c r="A1393" s="29" t="n"/>
      <c r="B1393" s="17" t="n"/>
      <c r="C1393" s="17" t="n"/>
      <c r="D1393" s="16" t="n"/>
      <c r="E1393" s="30" t="n"/>
      <c r="F1393" s="17" t="n"/>
      <c r="G1393" s="31">
        <f>IF(C1393="","",IFERROR(INDEX(Categorie!$B$6:$B$65,MATCH(C1393,Categorie!$A$6:$A$65,0))&amp;"",""))</f>
        <v/>
      </c>
      <c r="H1393" s="32">
        <f>IF(AND(A1393="",C1393="",D1393=""),"",IF(D1393="","Manca l'importo",IF(NOT(ISNUMBER(D1393)),"Importo non valido",IF(NOT(ISNUMBER(A1393)),"Data mancante o non valida",IF(YEAR(A1393)&lt;&gt;Impostazioni!$C$4,"Fuori dall'anno",IF(C1393="","Manca la categoria",IF(ISNA(MATCH(C1393,Categorie!$A$6:$A$65,0)),"Categoria non trovata",IF(G1393="","Categoria senza tipo",""))))))))</f>
        <v/>
      </c>
    </row>
    <row r="1394">
      <c r="A1394" s="29" t="n"/>
      <c r="B1394" s="17" t="n"/>
      <c r="C1394" s="17" t="n"/>
      <c r="D1394" s="16" t="n"/>
      <c r="E1394" s="30" t="n"/>
      <c r="F1394" s="17" t="n"/>
      <c r="G1394" s="31">
        <f>IF(C1394="","",IFERROR(INDEX(Categorie!$B$6:$B$65,MATCH(C1394,Categorie!$A$6:$A$65,0))&amp;"",""))</f>
        <v/>
      </c>
      <c r="H1394" s="32">
        <f>IF(AND(A1394="",C1394="",D1394=""),"",IF(D1394="","Manca l'importo",IF(NOT(ISNUMBER(D1394)),"Importo non valido",IF(NOT(ISNUMBER(A1394)),"Data mancante o non valida",IF(YEAR(A1394)&lt;&gt;Impostazioni!$C$4,"Fuori dall'anno",IF(C1394="","Manca la categoria",IF(ISNA(MATCH(C1394,Categorie!$A$6:$A$65,0)),"Categoria non trovata",IF(G1394="","Categoria senza tipo",""))))))))</f>
        <v/>
      </c>
    </row>
    <row r="1395">
      <c r="A1395" s="29" t="n"/>
      <c r="B1395" s="17" t="n"/>
      <c r="C1395" s="17" t="n"/>
      <c r="D1395" s="16" t="n"/>
      <c r="E1395" s="30" t="n"/>
      <c r="F1395" s="17" t="n"/>
      <c r="G1395" s="31">
        <f>IF(C1395="","",IFERROR(INDEX(Categorie!$B$6:$B$65,MATCH(C1395,Categorie!$A$6:$A$65,0))&amp;"",""))</f>
        <v/>
      </c>
      <c r="H1395" s="32">
        <f>IF(AND(A1395="",C1395="",D1395=""),"",IF(D1395="","Manca l'importo",IF(NOT(ISNUMBER(D1395)),"Importo non valido",IF(NOT(ISNUMBER(A1395)),"Data mancante o non valida",IF(YEAR(A1395)&lt;&gt;Impostazioni!$C$4,"Fuori dall'anno",IF(C1395="","Manca la categoria",IF(ISNA(MATCH(C1395,Categorie!$A$6:$A$65,0)),"Categoria non trovata",IF(G1395="","Categoria senza tipo",""))))))))</f>
        <v/>
      </c>
    </row>
    <row r="1396">
      <c r="A1396" s="29" t="n"/>
      <c r="B1396" s="17" t="n"/>
      <c r="C1396" s="17" t="n"/>
      <c r="D1396" s="16" t="n"/>
      <c r="E1396" s="30" t="n"/>
      <c r="F1396" s="17" t="n"/>
      <c r="G1396" s="31">
        <f>IF(C1396="","",IFERROR(INDEX(Categorie!$B$6:$B$65,MATCH(C1396,Categorie!$A$6:$A$65,0))&amp;"",""))</f>
        <v/>
      </c>
      <c r="H1396" s="32">
        <f>IF(AND(A1396="",C1396="",D1396=""),"",IF(D1396="","Manca l'importo",IF(NOT(ISNUMBER(D1396)),"Importo non valido",IF(NOT(ISNUMBER(A1396)),"Data mancante o non valida",IF(YEAR(A1396)&lt;&gt;Impostazioni!$C$4,"Fuori dall'anno",IF(C1396="","Manca la categoria",IF(ISNA(MATCH(C1396,Categorie!$A$6:$A$65,0)),"Categoria non trovata",IF(G1396="","Categoria senza tipo",""))))))))</f>
        <v/>
      </c>
    </row>
    <row r="1397">
      <c r="A1397" s="29" t="n"/>
      <c r="B1397" s="17" t="n"/>
      <c r="C1397" s="17" t="n"/>
      <c r="D1397" s="16" t="n"/>
      <c r="E1397" s="30" t="n"/>
      <c r="F1397" s="17" t="n"/>
      <c r="G1397" s="31">
        <f>IF(C1397="","",IFERROR(INDEX(Categorie!$B$6:$B$65,MATCH(C1397,Categorie!$A$6:$A$65,0))&amp;"",""))</f>
        <v/>
      </c>
      <c r="H1397" s="32">
        <f>IF(AND(A1397="",C1397="",D1397=""),"",IF(D1397="","Manca l'importo",IF(NOT(ISNUMBER(D1397)),"Importo non valido",IF(NOT(ISNUMBER(A1397)),"Data mancante o non valida",IF(YEAR(A1397)&lt;&gt;Impostazioni!$C$4,"Fuori dall'anno",IF(C1397="","Manca la categoria",IF(ISNA(MATCH(C1397,Categorie!$A$6:$A$65,0)),"Categoria non trovata",IF(G1397="","Categoria senza tipo",""))))))))</f>
        <v/>
      </c>
    </row>
    <row r="1398">
      <c r="A1398" s="29" t="n"/>
      <c r="B1398" s="17" t="n"/>
      <c r="C1398" s="17" t="n"/>
      <c r="D1398" s="16" t="n"/>
      <c r="E1398" s="30" t="n"/>
      <c r="F1398" s="17" t="n"/>
      <c r="G1398" s="31">
        <f>IF(C1398="","",IFERROR(INDEX(Categorie!$B$6:$B$65,MATCH(C1398,Categorie!$A$6:$A$65,0))&amp;"",""))</f>
        <v/>
      </c>
      <c r="H1398" s="32">
        <f>IF(AND(A1398="",C1398="",D1398=""),"",IF(D1398="","Manca l'importo",IF(NOT(ISNUMBER(D1398)),"Importo non valido",IF(NOT(ISNUMBER(A1398)),"Data mancante o non valida",IF(YEAR(A1398)&lt;&gt;Impostazioni!$C$4,"Fuori dall'anno",IF(C1398="","Manca la categoria",IF(ISNA(MATCH(C1398,Categorie!$A$6:$A$65,0)),"Categoria non trovata",IF(G1398="","Categoria senza tipo",""))))))))</f>
        <v/>
      </c>
    </row>
    <row r="1399">
      <c r="A1399" s="29" t="n"/>
      <c r="B1399" s="17" t="n"/>
      <c r="C1399" s="17" t="n"/>
      <c r="D1399" s="16" t="n"/>
      <c r="E1399" s="30" t="n"/>
      <c r="F1399" s="17" t="n"/>
      <c r="G1399" s="31">
        <f>IF(C1399="","",IFERROR(INDEX(Categorie!$B$6:$B$65,MATCH(C1399,Categorie!$A$6:$A$65,0))&amp;"",""))</f>
        <v/>
      </c>
      <c r="H1399" s="32">
        <f>IF(AND(A1399="",C1399="",D1399=""),"",IF(D1399="","Manca l'importo",IF(NOT(ISNUMBER(D1399)),"Importo non valido",IF(NOT(ISNUMBER(A1399)),"Data mancante o non valida",IF(YEAR(A1399)&lt;&gt;Impostazioni!$C$4,"Fuori dall'anno",IF(C1399="","Manca la categoria",IF(ISNA(MATCH(C1399,Categorie!$A$6:$A$65,0)),"Categoria non trovata",IF(G1399="","Categoria senza tipo",""))))))))</f>
        <v/>
      </c>
    </row>
    <row r="1400">
      <c r="A1400" s="29" t="n"/>
      <c r="B1400" s="17" t="n"/>
      <c r="C1400" s="17" t="n"/>
      <c r="D1400" s="16" t="n"/>
      <c r="E1400" s="30" t="n"/>
      <c r="F1400" s="17" t="n"/>
      <c r="G1400" s="31">
        <f>IF(C1400="","",IFERROR(INDEX(Categorie!$B$6:$B$65,MATCH(C1400,Categorie!$A$6:$A$65,0))&amp;"",""))</f>
        <v/>
      </c>
      <c r="H1400" s="32">
        <f>IF(AND(A1400="",C1400="",D1400=""),"",IF(D1400="","Manca l'importo",IF(NOT(ISNUMBER(D1400)),"Importo non valido",IF(NOT(ISNUMBER(A1400)),"Data mancante o non valida",IF(YEAR(A1400)&lt;&gt;Impostazioni!$C$4,"Fuori dall'anno",IF(C1400="","Manca la categoria",IF(ISNA(MATCH(C1400,Categorie!$A$6:$A$65,0)),"Categoria non trovata",IF(G1400="","Categoria senza tipo",""))))))))</f>
        <v/>
      </c>
    </row>
    <row r="1401">
      <c r="A1401" s="29" t="n"/>
      <c r="B1401" s="17" t="n"/>
      <c r="C1401" s="17" t="n"/>
      <c r="D1401" s="16" t="n"/>
      <c r="E1401" s="30" t="n"/>
      <c r="F1401" s="17" t="n"/>
      <c r="G1401" s="31">
        <f>IF(C1401="","",IFERROR(INDEX(Categorie!$B$6:$B$65,MATCH(C1401,Categorie!$A$6:$A$65,0))&amp;"",""))</f>
        <v/>
      </c>
      <c r="H1401" s="32">
        <f>IF(AND(A1401="",C1401="",D1401=""),"",IF(D1401="","Manca l'importo",IF(NOT(ISNUMBER(D1401)),"Importo non valido",IF(NOT(ISNUMBER(A1401)),"Data mancante o non valida",IF(YEAR(A1401)&lt;&gt;Impostazioni!$C$4,"Fuori dall'anno",IF(C1401="","Manca la categoria",IF(ISNA(MATCH(C1401,Categorie!$A$6:$A$65,0)),"Categoria non trovata",IF(G1401="","Categoria senza tipo",""))))))))</f>
        <v/>
      </c>
    </row>
    <row r="1402">
      <c r="A1402" s="29" t="n"/>
      <c r="B1402" s="17" t="n"/>
      <c r="C1402" s="17" t="n"/>
      <c r="D1402" s="16" t="n"/>
      <c r="E1402" s="30" t="n"/>
      <c r="F1402" s="17" t="n"/>
      <c r="G1402" s="31">
        <f>IF(C1402="","",IFERROR(INDEX(Categorie!$B$6:$B$65,MATCH(C1402,Categorie!$A$6:$A$65,0))&amp;"",""))</f>
        <v/>
      </c>
      <c r="H1402" s="32">
        <f>IF(AND(A1402="",C1402="",D1402=""),"",IF(D1402="","Manca l'importo",IF(NOT(ISNUMBER(D1402)),"Importo non valido",IF(NOT(ISNUMBER(A1402)),"Data mancante o non valida",IF(YEAR(A1402)&lt;&gt;Impostazioni!$C$4,"Fuori dall'anno",IF(C1402="","Manca la categoria",IF(ISNA(MATCH(C1402,Categorie!$A$6:$A$65,0)),"Categoria non trovata",IF(G1402="","Categoria senza tipo",""))))))))</f>
        <v/>
      </c>
    </row>
    <row r="1403">
      <c r="A1403" s="29" t="n"/>
      <c r="B1403" s="17" t="n"/>
      <c r="C1403" s="17" t="n"/>
      <c r="D1403" s="16" t="n"/>
      <c r="E1403" s="30" t="n"/>
      <c r="F1403" s="17" t="n"/>
      <c r="G1403" s="31">
        <f>IF(C1403="","",IFERROR(INDEX(Categorie!$B$6:$B$65,MATCH(C1403,Categorie!$A$6:$A$65,0))&amp;"",""))</f>
        <v/>
      </c>
      <c r="H1403" s="32">
        <f>IF(AND(A1403="",C1403="",D1403=""),"",IF(D1403="","Manca l'importo",IF(NOT(ISNUMBER(D1403)),"Importo non valido",IF(NOT(ISNUMBER(A1403)),"Data mancante o non valida",IF(YEAR(A1403)&lt;&gt;Impostazioni!$C$4,"Fuori dall'anno",IF(C1403="","Manca la categoria",IF(ISNA(MATCH(C1403,Categorie!$A$6:$A$65,0)),"Categoria non trovata",IF(G1403="","Categoria senza tipo",""))))))))</f>
        <v/>
      </c>
    </row>
    <row r="1404">
      <c r="A1404" s="29" t="n"/>
      <c r="B1404" s="17" t="n"/>
      <c r="C1404" s="17" t="n"/>
      <c r="D1404" s="16" t="n"/>
      <c r="E1404" s="30" t="n"/>
      <c r="F1404" s="17" t="n"/>
      <c r="G1404" s="31">
        <f>IF(C1404="","",IFERROR(INDEX(Categorie!$B$6:$B$65,MATCH(C1404,Categorie!$A$6:$A$65,0))&amp;"",""))</f>
        <v/>
      </c>
      <c r="H1404" s="32">
        <f>IF(AND(A1404="",C1404="",D1404=""),"",IF(D1404="","Manca l'importo",IF(NOT(ISNUMBER(D1404)),"Importo non valido",IF(NOT(ISNUMBER(A1404)),"Data mancante o non valida",IF(YEAR(A1404)&lt;&gt;Impostazioni!$C$4,"Fuori dall'anno",IF(C1404="","Manca la categoria",IF(ISNA(MATCH(C1404,Categorie!$A$6:$A$65,0)),"Categoria non trovata",IF(G1404="","Categoria senza tipo",""))))))))</f>
        <v/>
      </c>
    </row>
    <row r="1405">
      <c r="A1405" s="29" t="n"/>
      <c r="B1405" s="17" t="n"/>
      <c r="C1405" s="17" t="n"/>
      <c r="D1405" s="16" t="n"/>
      <c r="E1405" s="30" t="n"/>
      <c r="F1405" s="17" t="n"/>
      <c r="G1405" s="31">
        <f>IF(C1405="","",IFERROR(INDEX(Categorie!$B$6:$B$65,MATCH(C1405,Categorie!$A$6:$A$65,0))&amp;"",""))</f>
        <v/>
      </c>
      <c r="H1405" s="32">
        <f>IF(AND(A1405="",C1405="",D1405=""),"",IF(D1405="","Manca l'importo",IF(NOT(ISNUMBER(D1405)),"Importo non valido",IF(NOT(ISNUMBER(A1405)),"Data mancante o non valida",IF(YEAR(A1405)&lt;&gt;Impostazioni!$C$4,"Fuori dall'anno",IF(C1405="","Manca la categoria",IF(ISNA(MATCH(C1405,Categorie!$A$6:$A$65,0)),"Categoria non trovata",IF(G1405="","Categoria senza tipo",""))))))))</f>
        <v/>
      </c>
    </row>
    <row r="1406">
      <c r="A1406" s="29" t="n"/>
      <c r="B1406" s="17" t="n"/>
      <c r="C1406" s="17" t="n"/>
      <c r="D1406" s="16" t="n"/>
      <c r="E1406" s="30" t="n"/>
      <c r="F1406" s="17" t="n"/>
      <c r="G1406" s="31">
        <f>IF(C1406="","",IFERROR(INDEX(Categorie!$B$6:$B$65,MATCH(C1406,Categorie!$A$6:$A$65,0))&amp;"",""))</f>
        <v/>
      </c>
      <c r="H1406" s="32">
        <f>IF(AND(A1406="",C1406="",D1406=""),"",IF(D1406="","Manca l'importo",IF(NOT(ISNUMBER(D1406)),"Importo non valido",IF(NOT(ISNUMBER(A1406)),"Data mancante o non valida",IF(YEAR(A1406)&lt;&gt;Impostazioni!$C$4,"Fuori dall'anno",IF(C1406="","Manca la categoria",IF(ISNA(MATCH(C1406,Categorie!$A$6:$A$65,0)),"Categoria non trovata",IF(G1406="","Categoria senza tipo",""))))))))</f>
        <v/>
      </c>
    </row>
    <row r="1407">
      <c r="A1407" s="29" t="n"/>
      <c r="B1407" s="17" t="n"/>
      <c r="C1407" s="17" t="n"/>
      <c r="D1407" s="16" t="n"/>
      <c r="E1407" s="30" t="n"/>
      <c r="F1407" s="17" t="n"/>
      <c r="G1407" s="31">
        <f>IF(C1407="","",IFERROR(INDEX(Categorie!$B$6:$B$65,MATCH(C1407,Categorie!$A$6:$A$65,0))&amp;"",""))</f>
        <v/>
      </c>
      <c r="H1407" s="32">
        <f>IF(AND(A1407="",C1407="",D1407=""),"",IF(D1407="","Manca l'importo",IF(NOT(ISNUMBER(D1407)),"Importo non valido",IF(NOT(ISNUMBER(A1407)),"Data mancante o non valida",IF(YEAR(A1407)&lt;&gt;Impostazioni!$C$4,"Fuori dall'anno",IF(C1407="","Manca la categoria",IF(ISNA(MATCH(C1407,Categorie!$A$6:$A$65,0)),"Categoria non trovata",IF(G1407="","Categoria senza tipo",""))))))))</f>
        <v/>
      </c>
    </row>
    <row r="1408">
      <c r="A1408" s="29" t="n"/>
      <c r="B1408" s="17" t="n"/>
      <c r="C1408" s="17" t="n"/>
      <c r="D1408" s="16" t="n"/>
      <c r="E1408" s="30" t="n"/>
      <c r="F1408" s="17" t="n"/>
      <c r="G1408" s="31">
        <f>IF(C1408="","",IFERROR(INDEX(Categorie!$B$6:$B$65,MATCH(C1408,Categorie!$A$6:$A$65,0))&amp;"",""))</f>
        <v/>
      </c>
      <c r="H1408" s="32">
        <f>IF(AND(A1408="",C1408="",D1408=""),"",IF(D1408="","Manca l'importo",IF(NOT(ISNUMBER(D1408)),"Importo non valido",IF(NOT(ISNUMBER(A1408)),"Data mancante o non valida",IF(YEAR(A1408)&lt;&gt;Impostazioni!$C$4,"Fuori dall'anno",IF(C1408="","Manca la categoria",IF(ISNA(MATCH(C1408,Categorie!$A$6:$A$65,0)),"Categoria non trovata",IF(G1408="","Categoria senza tipo",""))))))))</f>
        <v/>
      </c>
    </row>
    <row r="1409">
      <c r="A1409" s="29" t="n"/>
      <c r="B1409" s="17" t="n"/>
      <c r="C1409" s="17" t="n"/>
      <c r="D1409" s="16" t="n"/>
      <c r="E1409" s="30" t="n"/>
      <c r="F1409" s="17" t="n"/>
      <c r="G1409" s="31">
        <f>IF(C1409="","",IFERROR(INDEX(Categorie!$B$6:$B$65,MATCH(C1409,Categorie!$A$6:$A$65,0))&amp;"",""))</f>
        <v/>
      </c>
      <c r="H1409" s="32">
        <f>IF(AND(A1409="",C1409="",D1409=""),"",IF(D1409="","Manca l'importo",IF(NOT(ISNUMBER(D1409)),"Importo non valido",IF(NOT(ISNUMBER(A1409)),"Data mancante o non valida",IF(YEAR(A1409)&lt;&gt;Impostazioni!$C$4,"Fuori dall'anno",IF(C1409="","Manca la categoria",IF(ISNA(MATCH(C1409,Categorie!$A$6:$A$65,0)),"Categoria non trovata",IF(G1409="","Categoria senza tipo",""))))))))</f>
        <v/>
      </c>
    </row>
    <row r="1410">
      <c r="A1410" s="29" t="n"/>
      <c r="B1410" s="17" t="n"/>
      <c r="C1410" s="17" t="n"/>
      <c r="D1410" s="16" t="n"/>
      <c r="E1410" s="30" t="n"/>
      <c r="F1410" s="17" t="n"/>
      <c r="G1410" s="31">
        <f>IF(C1410="","",IFERROR(INDEX(Categorie!$B$6:$B$65,MATCH(C1410,Categorie!$A$6:$A$65,0))&amp;"",""))</f>
        <v/>
      </c>
      <c r="H1410" s="32">
        <f>IF(AND(A1410="",C1410="",D1410=""),"",IF(D1410="","Manca l'importo",IF(NOT(ISNUMBER(D1410)),"Importo non valido",IF(NOT(ISNUMBER(A1410)),"Data mancante o non valida",IF(YEAR(A1410)&lt;&gt;Impostazioni!$C$4,"Fuori dall'anno",IF(C1410="","Manca la categoria",IF(ISNA(MATCH(C1410,Categorie!$A$6:$A$65,0)),"Categoria non trovata",IF(G1410="","Categoria senza tipo",""))))))))</f>
        <v/>
      </c>
    </row>
    <row r="1411">
      <c r="A1411" s="29" t="n"/>
      <c r="B1411" s="17" t="n"/>
      <c r="C1411" s="17" t="n"/>
      <c r="D1411" s="16" t="n"/>
      <c r="E1411" s="30" t="n"/>
      <c r="F1411" s="17" t="n"/>
      <c r="G1411" s="31">
        <f>IF(C1411="","",IFERROR(INDEX(Categorie!$B$6:$B$65,MATCH(C1411,Categorie!$A$6:$A$65,0))&amp;"",""))</f>
        <v/>
      </c>
      <c r="H1411" s="32">
        <f>IF(AND(A1411="",C1411="",D1411=""),"",IF(D1411="","Manca l'importo",IF(NOT(ISNUMBER(D1411)),"Importo non valido",IF(NOT(ISNUMBER(A1411)),"Data mancante o non valida",IF(YEAR(A1411)&lt;&gt;Impostazioni!$C$4,"Fuori dall'anno",IF(C1411="","Manca la categoria",IF(ISNA(MATCH(C1411,Categorie!$A$6:$A$65,0)),"Categoria non trovata",IF(G1411="","Categoria senza tipo",""))))))))</f>
        <v/>
      </c>
    </row>
    <row r="1412">
      <c r="A1412" s="29" t="n"/>
      <c r="B1412" s="17" t="n"/>
      <c r="C1412" s="17" t="n"/>
      <c r="D1412" s="16" t="n"/>
      <c r="E1412" s="30" t="n"/>
      <c r="F1412" s="17" t="n"/>
      <c r="G1412" s="31">
        <f>IF(C1412="","",IFERROR(INDEX(Categorie!$B$6:$B$65,MATCH(C1412,Categorie!$A$6:$A$65,0))&amp;"",""))</f>
        <v/>
      </c>
      <c r="H1412" s="32">
        <f>IF(AND(A1412="",C1412="",D1412=""),"",IF(D1412="","Manca l'importo",IF(NOT(ISNUMBER(D1412)),"Importo non valido",IF(NOT(ISNUMBER(A1412)),"Data mancante o non valida",IF(YEAR(A1412)&lt;&gt;Impostazioni!$C$4,"Fuori dall'anno",IF(C1412="","Manca la categoria",IF(ISNA(MATCH(C1412,Categorie!$A$6:$A$65,0)),"Categoria non trovata",IF(G1412="","Categoria senza tipo",""))))))))</f>
        <v/>
      </c>
    </row>
    <row r="1413">
      <c r="A1413" s="29" t="n"/>
      <c r="B1413" s="17" t="n"/>
      <c r="C1413" s="17" t="n"/>
      <c r="D1413" s="16" t="n"/>
      <c r="E1413" s="30" t="n"/>
      <c r="F1413" s="17" t="n"/>
      <c r="G1413" s="31">
        <f>IF(C1413="","",IFERROR(INDEX(Categorie!$B$6:$B$65,MATCH(C1413,Categorie!$A$6:$A$65,0))&amp;"",""))</f>
        <v/>
      </c>
      <c r="H1413" s="32">
        <f>IF(AND(A1413="",C1413="",D1413=""),"",IF(D1413="","Manca l'importo",IF(NOT(ISNUMBER(D1413)),"Importo non valido",IF(NOT(ISNUMBER(A1413)),"Data mancante o non valida",IF(YEAR(A1413)&lt;&gt;Impostazioni!$C$4,"Fuori dall'anno",IF(C1413="","Manca la categoria",IF(ISNA(MATCH(C1413,Categorie!$A$6:$A$65,0)),"Categoria non trovata",IF(G1413="","Categoria senza tipo",""))))))))</f>
        <v/>
      </c>
    </row>
    <row r="1414">
      <c r="A1414" s="29" t="n"/>
      <c r="B1414" s="17" t="n"/>
      <c r="C1414" s="17" t="n"/>
      <c r="D1414" s="16" t="n"/>
      <c r="E1414" s="30" t="n"/>
      <c r="F1414" s="17" t="n"/>
      <c r="G1414" s="31">
        <f>IF(C1414="","",IFERROR(INDEX(Categorie!$B$6:$B$65,MATCH(C1414,Categorie!$A$6:$A$65,0))&amp;"",""))</f>
        <v/>
      </c>
      <c r="H1414" s="32">
        <f>IF(AND(A1414="",C1414="",D1414=""),"",IF(D1414="","Manca l'importo",IF(NOT(ISNUMBER(D1414)),"Importo non valido",IF(NOT(ISNUMBER(A1414)),"Data mancante o non valida",IF(YEAR(A1414)&lt;&gt;Impostazioni!$C$4,"Fuori dall'anno",IF(C1414="","Manca la categoria",IF(ISNA(MATCH(C1414,Categorie!$A$6:$A$65,0)),"Categoria non trovata",IF(G1414="","Categoria senza tipo",""))))))))</f>
        <v/>
      </c>
    </row>
    <row r="1415">
      <c r="A1415" s="29" t="n"/>
      <c r="B1415" s="17" t="n"/>
      <c r="C1415" s="17" t="n"/>
      <c r="D1415" s="16" t="n"/>
      <c r="E1415" s="30" t="n"/>
      <c r="F1415" s="17" t="n"/>
      <c r="G1415" s="31">
        <f>IF(C1415="","",IFERROR(INDEX(Categorie!$B$6:$B$65,MATCH(C1415,Categorie!$A$6:$A$65,0))&amp;"",""))</f>
        <v/>
      </c>
      <c r="H1415" s="32">
        <f>IF(AND(A1415="",C1415="",D1415=""),"",IF(D1415="","Manca l'importo",IF(NOT(ISNUMBER(D1415)),"Importo non valido",IF(NOT(ISNUMBER(A1415)),"Data mancante o non valida",IF(YEAR(A1415)&lt;&gt;Impostazioni!$C$4,"Fuori dall'anno",IF(C1415="","Manca la categoria",IF(ISNA(MATCH(C1415,Categorie!$A$6:$A$65,0)),"Categoria non trovata",IF(G1415="","Categoria senza tipo",""))))))))</f>
        <v/>
      </c>
    </row>
    <row r="1416">
      <c r="A1416" s="29" t="n"/>
      <c r="B1416" s="17" t="n"/>
      <c r="C1416" s="17" t="n"/>
      <c r="D1416" s="16" t="n"/>
      <c r="E1416" s="30" t="n"/>
      <c r="F1416" s="17" t="n"/>
      <c r="G1416" s="31">
        <f>IF(C1416="","",IFERROR(INDEX(Categorie!$B$6:$B$65,MATCH(C1416,Categorie!$A$6:$A$65,0))&amp;"",""))</f>
        <v/>
      </c>
      <c r="H1416" s="32">
        <f>IF(AND(A1416="",C1416="",D1416=""),"",IF(D1416="","Manca l'importo",IF(NOT(ISNUMBER(D1416)),"Importo non valido",IF(NOT(ISNUMBER(A1416)),"Data mancante o non valida",IF(YEAR(A1416)&lt;&gt;Impostazioni!$C$4,"Fuori dall'anno",IF(C1416="","Manca la categoria",IF(ISNA(MATCH(C1416,Categorie!$A$6:$A$65,0)),"Categoria non trovata",IF(G1416="","Categoria senza tipo",""))))))))</f>
        <v/>
      </c>
    </row>
    <row r="1417">
      <c r="A1417" s="29" t="n"/>
      <c r="B1417" s="17" t="n"/>
      <c r="C1417" s="17" t="n"/>
      <c r="D1417" s="16" t="n"/>
      <c r="E1417" s="30" t="n"/>
      <c r="F1417" s="17" t="n"/>
      <c r="G1417" s="31">
        <f>IF(C1417="","",IFERROR(INDEX(Categorie!$B$6:$B$65,MATCH(C1417,Categorie!$A$6:$A$65,0))&amp;"",""))</f>
        <v/>
      </c>
      <c r="H1417" s="32">
        <f>IF(AND(A1417="",C1417="",D1417=""),"",IF(D1417="","Manca l'importo",IF(NOT(ISNUMBER(D1417)),"Importo non valido",IF(NOT(ISNUMBER(A1417)),"Data mancante o non valida",IF(YEAR(A1417)&lt;&gt;Impostazioni!$C$4,"Fuori dall'anno",IF(C1417="","Manca la categoria",IF(ISNA(MATCH(C1417,Categorie!$A$6:$A$65,0)),"Categoria non trovata",IF(G1417="","Categoria senza tipo",""))))))))</f>
        <v/>
      </c>
    </row>
    <row r="1418">
      <c r="A1418" s="29" t="n"/>
      <c r="B1418" s="17" t="n"/>
      <c r="C1418" s="17" t="n"/>
      <c r="D1418" s="16" t="n"/>
      <c r="E1418" s="30" t="n"/>
      <c r="F1418" s="17" t="n"/>
      <c r="G1418" s="31">
        <f>IF(C1418="","",IFERROR(INDEX(Categorie!$B$6:$B$65,MATCH(C1418,Categorie!$A$6:$A$65,0))&amp;"",""))</f>
        <v/>
      </c>
      <c r="H1418" s="32">
        <f>IF(AND(A1418="",C1418="",D1418=""),"",IF(D1418="","Manca l'importo",IF(NOT(ISNUMBER(D1418)),"Importo non valido",IF(NOT(ISNUMBER(A1418)),"Data mancante o non valida",IF(YEAR(A1418)&lt;&gt;Impostazioni!$C$4,"Fuori dall'anno",IF(C1418="","Manca la categoria",IF(ISNA(MATCH(C1418,Categorie!$A$6:$A$65,0)),"Categoria non trovata",IF(G1418="","Categoria senza tipo",""))))))))</f>
        <v/>
      </c>
    </row>
    <row r="1419">
      <c r="A1419" s="29" t="n"/>
      <c r="B1419" s="17" t="n"/>
      <c r="C1419" s="17" t="n"/>
      <c r="D1419" s="16" t="n"/>
      <c r="E1419" s="30" t="n"/>
      <c r="F1419" s="17" t="n"/>
      <c r="G1419" s="31">
        <f>IF(C1419="","",IFERROR(INDEX(Categorie!$B$6:$B$65,MATCH(C1419,Categorie!$A$6:$A$65,0))&amp;"",""))</f>
        <v/>
      </c>
      <c r="H1419" s="32">
        <f>IF(AND(A1419="",C1419="",D1419=""),"",IF(D1419="","Manca l'importo",IF(NOT(ISNUMBER(D1419)),"Importo non valido",IF(NOT(ISNUMBER(A1419)),"Data mancante o non valida",IF(YEAR(A1419)&lt;&gt;Impostazioni!$C$4,"Fuori dall'anno",IF(C1419="","Manca la categoria",IF(ISNA(MATCH(C1419,Categorie!$A$6:$A$65,0)),"Categoria non trovata",IF(G1419="","Categoria senza tipo",""))))))))</f>
        <v/>
      </c>
    </row>
    <row r="1420">
      <c r="A1420" s="29" t="n"/>
      <c r="B1420" s="17" t="n"/>
      <c r="C1420" s="17" t="n"/>
      <c r="D1420" s="16" t="n"/>
      <c r="E1420" s="30" t="n"/>
      <c r="F1420" s="17" t="n"/>
      <c r="G1420" s="31">
        <f>IF(C1420="","",IFERROR(INDEX(Categorie!$B$6:$B$65,MATCH(C1420,Categorie!$A$6:$A$65,0))&amp;"",""))</f>
        <v/>
      </c>
      <c r="H1420" s="32">
        <f>IF(AND(A1420="",C1420="",D1420=""),"",IF(D1420="","Manca l'importo",IF(NOT(ISNUMBER(D1420)),"Importo non valido",IF(NOT(ISNUMBER(A1420)),"Data mancante o non valida",IF(YEAR(A1420)&lt;&gt;Impostazioni!$C$4,"Fuori dall'anno",IF(C1420="","Manca la categoria",IF(ISNA(MATCH(C1420,Categorie!$A$6:$A$65,0)),"Categoria non trovata",IF(G1420="","Categoria senza tipo",""))))))))</f>
        <v/>
      </c>
    </row>
    <row r="1421">
      <c r="A1421" s="29" t="n"/>
      <c r="B1421" s="17" t="n"/>
      <c r="C1421" s="17" t="n"/>
      <c r="D1421" s="16" t="n"/>
      <c r="E1421" s="30" t="n"/>
      <c r="F1421" s="17" t="n"/>
      <c r="G1421" s="31">
        <f>IF(C1421="","",IFERROR(INDEX(Categorie!$B$6:$B$65,MATCH(C1421,Categorie!$A$6:$A$65,0))&amp;"",""))</f>
        <v/>
      </c>
      <c r="H1421" s="32">
        <f>IF(AND(A1421="",C1421="",D1421=""),"",IF(D1421="","Manca l'importo",IF(NOT(ISNUMBER(D1421)),"Importo non valido",IF(NOT(ISNUMBER(A1421)),"Data mancante o non valida",IF(YEAR(A1421)&lt;&gt;Impostazioni!$C$4,"Fuori dall'anno",IF(C1421="","Manca la categoria",IF(ISNA(MATCH(C1421,Categorie!$A$6:$A$65,0)),"Categoria non trovata",IF(G1421="","Categoria senza tipo",""))))))))</f>
        <v/>
      </c>
    </row>
    <row r="1422">
      <c r="A1422" s="29" t="n"/>
      <c r="B1422" s="17" t="n"/>
      <c r="C1422" s="17" t="n"/>
      <c r="D1422" s="16" t="n"/>
      <c r="E1422" s="30" t="n"/>
      <c r="F1422" s="17" t="n"/>
      <c r="G1422" s="31">
        <f>IF(C1422="","",IFERROR(INDEX(Categorie!$B$6:$B$65,MATCH(C1422,Categorie!$A$6:$A$65,0))&amp;"",""))</f>
        <v/>
      </c>
      <c r="H1422" s="32">
        <f>IF(AND(A1422="",C1422="",D1422=""),"",IF(D1422="","Manca l'importo",IF(NOT(ISNUMBER(D1422)),"Importo non valido",IF(NOT(ISNUMBER(A1422)),"Data mancante o non valida",IF(YEAR(A1422)&lt;&gt;Impostazioni!$C$4,"Fuori dall'anno",IF(C1422="","Manca la categoria",IF(ISNA(MATCH(C1422,Categorie!$A$6:$A$65,0)),"Categoria non trovata",IF(G1422="","Categoria senza tipo",""))))))))</f>
        <v/>
      </c>
    </row>
    <row r="1423">
      <c r="A1423" s="29" t="n"/>
      <c r="B1423" s="17" t="n"/>
      <c r="C1423" s="17" t="n"/>
      <c r="D1423" s="16" t="n"/>
      <c r="E1423" s="30" t="n"/>
      <c r="F1423" s="17" t="n"/>
      <c r="G1423" s="31">
        <f>IF(C1423="","",IFERROR(INDEX(Categorie!$B$6:$B$65,MATCH(C1423,Categorie!$A$6:$A$65,0))&amp;"",""))</f>
        <v/>
      </c>
      <c r="H1423" s="32">
        <f>IF(AND(A1423="",C1423="",D1423=""),"",IF(D1423="","Manca l'importo",IF(NOT(ISNUMBER(D1423)),"Importo non valido",IF(NOT(ISNUMBER(A1423)),"Data mancante o non valida",IF(YEAR(A1423)&lt;&gt;Impostazioni!$C$4,"Fuori dall'anno",IF(C1423="","Manca la categoria",IF(ISNA(MATCH(C1423,Categorie!$A$6:$A$65,0)),"Categoria non trovata",IF(G1423="","Categoria senza tipo",""))))))))</f>
        <v/>
      </c>
    </row>
    <row r="1424">
      <c r="A1424" s="29" t="n"/>
      <c r="B1424" s="17" t="n"/>
      <c r="C1424" s="17" t="n"/>
      <c r="D1424" s="16" t="n"/>
      <c r="E1424" s="30" t="n"/>
      <c r="F1424" s="17" t="n"/>
      <c r="G1424" s="31">
        <f>IF(C1424="","",IFERROR(INDEX(Categorie!$B$6:$B$65,MATCH(C1424,Categorie!$A$6:$A$65,0))&amp;"",""))</f>
        <v/>
      </c>
      <c r="H1424" s="32">
        <f>IF(AND(A1424="",C1424="",D1424=""),"",IF(D1424="","Manca l'importo",IF(NOT(ISNUMBER(D1424)),"Importo non valido",IF(NOT(ISNUMBER(A1424)),"Data mancante o non valida",IF(YEAR(A1424)&lt;&gt;Impostazioni!$C$4,"Fuori dall'anno",IF(C1424="","Manca la categoria",IF(ISNA(MATCH(C1424,Categorie!$A$6:$A$65,0)),"Categoria non trovata",IF(G1424="","Categoria senza tipo",""))))))))</f>
        <v/>
      </c>
    </row>
    <row r="1425">
      <c r="A1425" s="29" t="n"/>
      <c r="B1425" s="17" t="n"/>
      <c r="C1425" s="17" t="n"/>
      <c r="D1425" s="16" t="n"/>
      <c r="E1425" s="30" t="n"/>
      <c r="F1425" s="17" t="n"/>
      <c r="G1425" s="31">
        <f>IF(C1425="","",IFERROR(INDEX(Categorie!$B$6:$B$65,MATCH(C1425,Categorie!$A$6:$A$65,0))&amp;"",""))</f>
        <v/>
      </c>
      <c r="H1425" s="32">
        <f>IF(AND(A1425="",C1425="",D1425=""),"",IF(D1425="","Manca l'importo",IF(NOT(ISNUMBER(D1425)),"Importo non valido",IF(NOT(ISNUMBER(A1425)),"Data mancante o non valida",IF(YEAR(A1425)&lt;&gt;Impostazioni!$C$4,"Fuori dall'anno",IF(C1425="","Manca la categoria",IF(ISNA(MATCH(C1425,Categorie!$A$6:$A$65,0)),"Categoria non trovata",IF(G1425="","Categoria senza tipo",""))))))))</f>
        <v/>
      </c>
    </row>
    <row r="1426">
      <c r="A1426" s="29" t="n"/>
      <c r="B1426" s="17" t="n"/>
      <c r="C1426" s="17" t="n"/>
      <c r="D1426" s="16" t="n"/>
      <c r="E1426" s="30" t="n"/>
      <c r="F1426" s="17" t="n"/>
      <c r="G1426" s="31">
        <f>IF(C1426="","",IFERROR(INDEX(Categorie!$B$6:$B$65,MATCH(C1426,Categorie!$A$6:$A$65,0))&amp;"",""))</f>
        <v/>
      </c>
      <c r="H1426" s="32">
        <f>IF(AND(A1426="",C1426="",D1426=""),"",IF(D1426="","Manca l'importo",IF(NOT(ISNUMBER(D1426)),"Importo non valido",IF(NOT(ISNUMBER(A1426)),"Data mancante o non valida",IF(YEAR(A1426)&lt;&gt;Impostazioni!$C$4,"Fuori dall'anno",IF(C1426="","Manca la categoria",IF(ISNA(MATCH(C1426,Categorie!$A$6:$A$65,0)),"Categoria non trovata",IF(G1426="","Categoria senza tipo",""))))))))</f>
        <v/>
      </c>
    </row>
    <row r="1427">
      <c r="A1427" s="29" t="n"/>
      <c r="B1427" s="17" t="n"/>
      <c r="C1427" s="17" t="n"/>
      <c r="D1427" s="16" t="n"/>
      <c r="E1427" s="30" t="n"/>
      <c r="F1427" s="17" t="n"/>
      <c r="G1427" s="31">
        <f>IF(C1427="","",IFERROR(INDEX(Categorie!$B$6:$B$65,MATCH(C1427,Categorie!$A$6:$A$65,0))&amp;"",""))</f>
        <v/>
      </c>
      <c r="H1427" s="32">
        <f>IF(AND(A1427="",C1427="",D1427=""),"",IF(D1427="","Manca l'importo",IF(NOT(ISNUMBER(D1427)),"Importo non valido",IF(NOT(ISNUMBER(A1427)),"Data mancante o non valida",IF(YEAR(A1427)&lt;&gt;Impostazioni!$C$4,"Fuori dall'anno",IF(C1427="","Manca la categoria",IF(ISNA(MATCH(C1427,Categorie!$A$6:$A$65,0)),"Categoria non trovata",IF(G1427="","Categoria senza tipo",""))))))))</f>
        <v/>
      </c>
    </row>
    <row r="1428">
      <c r="A1428" s="29" t="n"/>
      <c r="B1428" s="17" t="n"/>
      <c r="C1428" s="17" t="n"/>
      <c r="D1428" s="16" t="n"/>
      <c r="E1428" s="30" t="n"/>
      <c r="F1428" s="17" t="n"/>
      <c r="G1428" s="31">
        <f>IF(C1428="","",IFERROR(INDEX(Categorie!$B$6:$B$65,MATCH(C1428,Categorie!$A$6:$A$65,0))&amp;"",""))</f>
        <v/>
      </c>
      <c r="H1428" s="32">
        <f>IF(AND(A1428="",C1428="",D1428=""),"",IF(D1428="","Manca l'importo",IF(NOT(ISNUMBER(D1428)),"Importo non valido",IF(NOT(ISNUMBER(A1428)),"Data mancante o non valida",IF(YEAR(A1428)&lt;&gt;Impostazioni!$C$4,"Fuori dall'anno",IF(C1428="","Manca la categoria",IF(ISNA(MATCH(C1428,Categorie!$A$6:$A$65,0)),"Categoria non trovata",IF(G1428="","Categoria senza tipo",""))))))))</f>
        <v/>
      </c>
    </row>
    <row r="1429">
      <c r="A1429" s="29" t="n"/>
      <c r="B1429" s="17" t="n"/>
      <c r="C1429" s="17" t="n"/>
      <c r="D1429" s="16" t="n"/>
      <c r="E1429" s="30" t="n"/>
      <c r="F1429" s="17" t="n"/>
      <c r="G1429" s="31">
        <f>IF(C1429="","",IFERROR(INDEX(Categorie!$B$6:$B$65,MATCH(C1429,Categorie!$A$6:$A$65,0))&amp;"",""))</f>
        <v/>
      </c>
      <c r="H1429" s="32">
        <f>IF(AND(A1429="",C1429="",D1429=""),"",IF(D1429="","Manca l'importo",IF(NOT(ISNUMBER(D1429)),"Importo non valido",IF(NOT(ISNUMBER(A1429)),"Data mancante o non valida",IF(YEAR(A1429)&lt;&gt;Impostazioni!$C$4,"Fuori dall'anno",IF(C1429="","Manca la categoria",IF(ISNA(MATCH(C1429,Categorie!$A$6:$A$65,0)),"Categoria non trovata",IF(G1429="","Categoria senza tipo",""))))))))</f>
        <v/>
      </c>
    </row>
    <row r="1430">
      <c r="A1430" s="29" t="n"/>
      <c r="B1430" s="17" t="n"/>
      <c r="C1430" s="17" t="n"/>
      <c r="D1430" s="16" t="n"/>
      <c r="E1430" s="30" t="n"/>
      <c r="F1430" s="17" t="n"/>
      <c r="G1430" s="31">
        <f>IF(C1430="","",IFERROR(INDEX(Categorie!$B$6:$B$65,MATCH(C1430,Categorie!$A$6:$A$65,0))&amp;"",""))</f>
        <v/>
      </c>
      <c r="H1430" s="32">
        <f>IF(AND(A1430="",C1430="",D1430=""),"",IF(D1430="","Manca l'importo",IF(NOT(ISNUMBER(D1430)),"Importo non valido",IF(NOT(ISNUMBER(A1430)),"Data mancante o non valida",IF(YEAR(A1430)&lt;&gt;Impostazioni!$C$4,"Fuori dall'anno",IF(C1430="","Manca la categoria",IF(ISNA(MATCH(C1430,Categorie!$A$6:$A$65,0)),"Categoria non trovata",IF(G1430="","Categoria senza tipo",""))))))))</f>
        <v/>
      </c>
    </row>
    <row r="1431">
      <c r="A1431" s="29" t="n"/>
      <c r="B1431" s="17" t="n"/>
      <c r="C1431" s="17" t="n"/>
      <c r="D1431" s="16" t="n"/>
      <c r="E1431" s="30" t="n"/>
      <c r="F1431" s="17" t="n"/>
      <c r="G1431" s="31">
        <f>IF(C1431="","",IFERROR(INDEX(Categorie!$B$6:$B$65,MATCH(C1431,Categorie!$A$6:$A$65,0))&amp;"",""))</f>
        <v/>
      </c>
      <c r="H1431" s="32">
        <f>IF(AND(A1431="",C1431="",D1431=""),"",IF(D1431="","Manca l'importo",IF(NOT(ISNUMBER(D1431)),"Importo non valido",IF(NOT(ISNUMBER(A1431)),"Data mancante o non valida",IF(YEAR(A1431)&lt;&gt;Impostazioni!$C$4,"Fuori dall'anno",IF(C1431="","Manca la categoria",IF(ISNA(MATCH(C1431,Categorie!$A$6:$A$65,0)),"Categoria non trovata",IF(G1431="","Categoria senza tipo",""))))))))</f>
        <v/>
      </c>
    </row>
    <row r="1432">
      <c r="A1432" s="29" t="n"/>
      <c r="B1432" s="17" t="n"/>
      <c r="C1432" s="17" t="n"/>
      <c r="D1432" s="16" t="n"/>
      <c r="E1432" s="30" t="n"/>
      <c r="F1432" s="17" t="n"/>
      <c r="G1432" s="31">
        <f>IF(C1432="","",IFERROR(INDEX(Categorie!$B$6:$B$65,MATCH(C1432,Categorie!$A$6:$A$65,0))&amp;"",""))</f>
        <v/>
      </c>
      <c r="H1432" s="32">
        <f>IF(AND(A1432="",C1432="",D1432=""),"",IF(D1432="","Manca l'importo",IF(NOT(ISNUMBER(D1432)),"Importo non valido",IF(NOT(ISNUMBER(A1432)),"Data mancante o non valida",IF(YEAR(A1432)&lt;&gt;Impostazioni!$C$4,"Fuori dall'anno",IF(C1432="","Manca la categoria",IF(ISNA(MATCH(C1432,Categorie!$A$6:$A$65,0)),"Categoria non trovata",IF(G1432="","Categoria senza tipo",""))))))))</f>
        <v/>
      </c>
    </row>
    <row r="1433">
      <c r="A1433" s="29" t="n"/>
      <c r="B1433" s="17" t="n"/>
      <c r="C1433" s="17" t="n"/>
      <c r="D1433" s="16" t="n"/>
      <c r="E1433" s="30" t="n"/>
      <c r="F1433" s="17" t="n"/>
      <c r="G1433" s="31">
        <f>IF(C1433="","",IFERROR(INDEX(Categorie!$B$6:$B$65,MATCH(C1433,Categorie!$A$6:$A$65,0))&amp;"",""))</f>
        <v/>
      </c>
      <c r="H1433" s="32">
        <f>IF(AND(A1433="",C1433="",D1433=""),"",IF(D1433="","Manca l'importo",IF(NOT(ISNUMBER(D1433)),"Importo non valido",IF(NOT(ISNUMBER(A1433)),"Data mancante o non valida",IF(YEAR(A1433)&lt;&gt;Impostazioni!$C$4,"Fuori dall'anno",IF(C1433="","Manca la categoria",IF(ISNA(MATCH(C1433,Categorie!$A$6:$A$65,0)),"Categoria non trovata",IF(G1433="","Categoria senza tipo",""))))))))</f>
        <v/>
      </c>
    </row>
    <row r="1434">
      <c r="A1434" s="29" t="n"/>
      <c r="B1434" s="17" t="n"/>
      <c r="C1434" s="17" t="n"/>
      <c r="D1434" s="16" t="n"/>
      <c r="E1434" s="30" t="n"/>
      <c r="F1434" s="17" t="n"/>
      <c r="G1434" s="31">
        <f>IF(C1434="","",IFERROR(INDEX(Categorie!$B$6:$B$65,MATCH(C1434,Categorie!$A$6:$A$65,0))&amp;"",""))</f>
        <v/>
      </c>
      <c r="H1434" s="32">
        <f>IF(AND(A1434="",C1434="",D1434=""),"",IF(D1434="","Manca l'importo",IF(NOT(ISNUMBER(D1434)),"Importo non valido",IF(NOT(ISNUMBER(A1434)),"Data mancante o non valida",IF(YEAR(A1434)&lt;&gt;Impostazioni!$C$4,"Fuori dall'anno",IF(C1434="","Manca la categoria",IF(ISNA(MATCH(C1434,Categorie!$A$6:$A$65,0)),"Categoria non trovata",IF(G1434="","Categoria senza tipo",""))))))))</f>
        <v/>
      </c>
    </row>
    <row r="1435">
      <c r="A1435" s="29" t="n"/>
      <c r="B1435" s="17" t="n"/>
      <c r="C1435" s="17" t="n"/>
      <c r="D1435" s="16" t="n"/>
      <c r="E1435" s="30" t="n"/>
      <c r="F1435" s="17" t="n"/>
      <c r="G1435" s="31">
        <f>IF(C1435="","",IFERROR(INDEX(Categorie!$B$6:$B$65,MATCH(C1435,Categorie!$A$6:$A$65,0))&amp;"",""))</f>
        <v/>
      </c>
      <c r="H1435" s="32">
        <f>IF(AND(A1435="",C1435="",D1435=""),"",IF(D1435="","Manca l'importo",IF(NOT(ISNUMBER(D1435)),"Importo non valido",IF(NOT(ISNUMBER(A1435)),"Data mancante o non valida",IF(YEAR(A1435)&lt;&gt;Impostazioni!$C$4,"Fuori dall'anno",IF(C1435="","Manca la categoria",IF(ISNA(MATCH(C1435,Categorie!$A$6:$A$65,0)),"Categoria non trovata",IF(G1435="","Categoria senza tipo",""))))))))</f>
        <v/>
      </c>
    </row>
    <row r="1436">
      <c r="A1436" s="29" t="n"/>
      <c r="B1436" s="17" t="n"/>
      <c r="C1436" s="17" t="n"/>
      <c r="D1436" s="16" t="n"/>
      <c r="E1436" s="30" t="n"/>
      <c r="F1436" s="17" t="n"/>
      <c r="G1436" s="31">
        <f>IF(C1436="","",IFERROR(INDEX(Categorie!$B$6:$B$65,MATCH(C1436,Categorie!$A$6:$A$65,0))&amp;"",""))</f>
        <v/>
      </c>
      <c r="H1436" s="32">
        <f>IF(AND(A1436="",C1436="",D1436=""),"",IF(D1436="","Manca l'importo",IF(NOT(ISNUMBER(D1436)),"Importo non valido",IF(NOT(ISNUMBER(A1436)),"Data mancante o non valida",IF(YEAR(A1436)&lt;&gt;Impostazioni!$C$4,"Fuori dall'anno",IF(C1436="","Manca la categoria",IF(ISNA(MATCH(C1436,Categorie!$A$6:$A$65,0)),"Categoria non trovata",IF(G1436="","Categoria senza tipo",""))))))))</f>
        <v/>
      </c>
    </row>
    <row r="1437">
      <c r="A1437" s="29" t="n"/>
      <c r="B1437" s="17" t="n"/>
      <c r="C1437" s="17" t="n"/>
      <c r="D1437" s="16" t="n"/>
      <c r="E1437" s="30" t="n"/>
      <c r="F1437" s="17" t="n"/>
      <c r="G1437" s="31">
        <f>IF(C1437="","",IFERROR(INDEX(Categorie!$B$6:$B$65,MATCH(C1437,Categorie!$A$6:$A$65,0))&amp;"",""))</f>
        <v/>
      </c>
      <c r="H1437" s="32">
        <f>IF(AND(A1437="",C1437="",D1437=""),"",IF(D1437="","Manca l'importo",IF(NOT(ISNUMBER(D1437)),"Importo non valido",IF(NOT(ISNUMBER(A1437)),"Data mancante o non valida",IF(YEAR(A1437)&lt;&gt;Impostazioni!$C$4,"Fuori dall'anno",IF(C1437="","Manca la categoria",IF(ISNA(MATCH(C1437,Categorie!$A$6:$A$65,0)),"Categoria non trovata",IF(G1437="","Categoria senza tipo",""))))))))</f>
        <v/>
      </c>
    </row>
    <row r="1438">
      <c r="A1438" s="29" t="n"/>
      <c r="B1438" s="17" t="n"/>
      <c r="C1438" s="17" t="n"/>
      <c r="D1438" s="16" t="n"/>
      <c r="E1438" s="30" t="n"/>
      <c r="F1438" s="17" t="n"/>
      <c r="G1438" s="31">
        <f>IF(C1438="","",IFERROR(INDEX(Categorie!$B$6:$B$65,MATCH(C1438,Categorie!$A$6:$A$65,0))&amp;"",""))</f>
        <v/>
      </c>
      <c r="H1438" s="32">
        <f>IF(AND(A1438="",C1438="",D1438=""),"",IF(D1438="","Manca l'importo",IF(NOT(ISNUMBER(D1438)),"Importo non valido",IF(NOT(ISNUMBER(A1438)),"Data mancante o non valida",IF(YEAR(A1438)&lt;&gt;Impostazioni!$C$4,"Fuori dall'anno",IF(C1438="","Manca la categoria",IF(ISNA(MATCH(C1438,Categorie!$A$6:$A$65,0)),"Categoria non trovata",IF(G1438="","Categoria senza tipo",""))))))))</f>
        <v/>
      </c>
    </row>
    <row r="1439">
      <c r="A1439" s="29" t="n"/>
      <c r="B1439" s="17" t="n"/>
      <c r="C1439" s="17" t="n"/>
      <c r="D1439" s="16" t="n"/>
      <c r="E1439" s="30" t="n"/>
      <c r="F1439" s="17" t="n"/>
      <c r="G1439" s="31">
        <f>IF(C1439="","",IFERROR(INDEX(Categorie!$B$6:$B$65,MATCH(C1439,Categorie!$A$6:$A$65,0))&amp;"",""))</f>
        <v/>
      </c>
      <c r="H1439" s="32">
        <f>IF(AND(A1439="",C1439="",D1439=""),"",IF(D1439="","Manca l'importo",IF(NOT(ISNUMBER(D1439)),"Importo non valido",IF(NOT(ISNUMBER(A1439)),"Data mancante o non valida",IF(YEAR(A1439)&lt;&gt;Impostazioni!$C$4,"Fuori dall'anno",IF(C1439="","Manca la categoria",IF(ISNA(MATCH(C1439,Categorie!$A$6:$A$65,0)),"Categoria non trovata",IF(G1439="","Categoria senza tipo",""))))))))</f>
        <v/>
      </c>
    </row>
    <row r="1440">
      <c r="A1440" s="29" t="n"/>
      <c r="B1440" s="17" t="n"/>
      <c r="C1440" s="17" t="n"/>
      <c r="D1440" s="16" t="n"/>
      <c r="E1440" s="30" t="n"/>
      <c r="F1440" s="17" t="n"/>
      <c r="G1440" s="31">
        <f>IF(C1440="","",IFERROR(INDEX(Categorie!$B$6:$B$65,MATCH(C1440,Categorie!$A$6:$A$65,0))&amp;"",""))</f>
        <v/>
      </c>
      <c r="H1440" s="32">
        <f>IF(AND(A1440="",C1440="",D1440=""),"",IF(D1440="","Manca l'importo",IF(NOT(ISNUMBER(D1440)),"Importo non valido",IF(NOT(ISNUMBER(A1440)),"Data mancante o non valida",IF(YEAR(A1440)&lt;&gt;Impostazioni!$C$4,"Fuori dall'anno",IF(C1440="","Manca la categoria",IF(ISNA(MATCH(C1440,Categorie!$A$6:$A$65,0)),"Categoria non trovata",IF(G1440="","Categoria senza tipo",""))))))))</f>
        <v/>
      </c>
    </row>
    <row r="1441">
      <c r="A1441" s="29" t="n"/>
      <c r="B1441" s="17" t="n"/>
      <c r="C1441" s="17" t="n"/>
      <c r="D1441" s="16" t="n"/>
      <c r="E1441" s="30" t="n"/>
      <c r="F1441" s="17" t="n"/>
      <c r="G1441" s="31">
        <f>IF(C1441="","",IFERROR(INDEX(Categorie!$B$6:$B$65,MATCH(C1441,Categorie!$A$6:$A$65,0))&amp;"",""))</f>
        <v/>
      </c>
      <c r="H1441" s="32">
        <f>IF(AND(A1441="",C1441="",D1441=""),"",IF(D1441="","Manca l'importo",IF(NOT(ISNUMBER(D1441)),"Importo non valido",IF(NOT(ISNUMBER(A1441)),"Data mancante o non valida",IF(YEAR(A1441)&lt;&gt;Impostazioni!$C$4,"Fuori dall'anno",IF(C1441="","Manca la categoria",IF(ISNA(MATCH(C1441,Categorie!$A$6:$A$65,0)),"Categoria non trovata",IF(G1441="","Categoria senza tipo",""))))))))</f>
        <v/>
      </c>
    </row>
    <row r="1442">
      <c r="A1442" s="29" t="n"/>
      <c r="B1442" s="17" t="n"/>
      <c r="C1442" s="17" t="n"/>
      <c r="D1442" s="16" t="n"/>
      <c r="E1442" s="30" t="n"/>
      <c r="F1442" s="17" t="n"/>
      <c r="G1442" s="31">
        <f>IF(C1442="","",IFERROR(INDEX(Categorie!$B$6:$B$65,MATCH(C1442,Categorie!$A$6:$A$65,0))&amp;"",""))</f>
        <v/>
      </c>
      <c r="H1442" s="32">
        <f>IF(AND(A1442="",C1442="",D1442=""),"",IF(D1442="","Manca l'importo",IF(NOT(ISNUMBER(D1442)),"Importo non valido",IF(NOT(ISNUMBER(A1442)),"Data mancante o non valida",IF(YEAR(A1442)&lt;&gt;Impostazioni!$C$4,"Fuori dall'anno",IF(C1442="","Manca la categoria",IF(ISNA(MATCH(C1442,Categorie!$A$6:$A$65,0)),"Categoria non trovata",IF(G1442="","Categoria senza tipo",""))))))))</f>
        <v/>
      </c>
    </row>
    <row r="1443">
      <c r="A1443" s="29" t="n"/>
      <c r="B1443" s="17" t="n"/>
      <c r="C1443" s="17" t="n"/>
      <c r="D1443" s="16" t="n"/>
      <c r="E1443" s="30" t="n"/>
      <c r="F1443" s="17" t="n"/>
      <c r="G1443" s="31">
        <f>IF(C1443="","",IFERROR(INDEX(Categorie!$B$6:$B$65,MATCH(C1443,Categorie!$A$6:$A$65,0))&amp;"",""))</f>
        <v/>
      </c>
      <c r="H1443" s="32">
        <f>IF(AND(A1443="",C1443="",D1443=""),"",IF(D1443="","Manca l'importo",IF(NOT(ISNUMBER(D1443)),"Importo non valido",IF(NOT(ISNUMBER(A1443)),"Data mancante o non valida",IF(YEAR(A1443)&lt;&gt;Impostazioni!$C$4,"Fuori dall'anno",IF(C1443="","Manca la categoria",IF(ISNA(MATCH(C1443,Categorie!$A$6:$A$65,0)),"Categoria non trovata",IF(G1443="","Categoria senza tipo",""))))))))</f>
        <v/>
      </c>
    </row>
    <row r="1444">
      <c r="A1444" s="29" t="n"/>
      <c r="B1444" s="17" t="n"/>
      <c r="C1444" s="17" t="n"/>
      <c r="D1444" s="16" t="n"/>
      <c r="E1444" s="30" t="n"/>
      <c r="F1444" s="17" t="n"/>
      <c r="G1444" s="31">
        <f>IF(C1444="","",IFERROR(INDEX(Categorie!$B$6:$B$65,MATCH(C1444,Categorie!$A$6:$A$65,0))&amp;"",""))</f>
        <v/>
      </c>
      <c r="H1444" s="32">
        <f>IF(AND(A1444="",C1444="",D1444=""),"",IF(D1444="","Manca l'importo",IF(NOT(ISNUMBER(D1444)),"Importo non valido",IF(NOT(ISNUMBER(A1444)),"Data mancante o non valida",IF(YEAR(A1444)&lt;&gt;Impostazioni!$C$4,"Fuori dall'anno",IF(C1444="","Manca la categoria",IF(ISNA(MATCH(C1444,Categorie!$A$6:$A$65,0)),"Categoria non trovata",IF(G1444="","Categoria senza tipo",""))))))))</f>
        <v/>
      </c>
    </row>
    <row r="1445">
      <c r="A1445" s="29" t="n"/>
      <c r="B1445" s="17" t="n"/>
      <c r="C1445" s="17" t="n"/>
      <c r="D1445" s="16" t="n"/>
      <c r="E1445" s="30" t="n"/>
      <c r="F1445" s="17" t="n"/>
      <c r="G1445" s="31">
        <f>IF(C1445="","",IFERROR(INDEX(Categorie!$B$6:$B$65,MATCH(C1445,Categorie!$A$6:$A$65,0))&amp;"",""))</f>
        <v/>
      </c>
      <c r="H1445" s="32">
        <f>IF(AND(A1445="",C1445="",D1445=""),"",IF(D1445="","Manca l'importo",IF(NOT(ISNUMBER(D1445)),"Importo non valido",IF(NOT(ISNUMBER(A1445)),"Data mancante o non valida",IF(YEAR(A1445)&lt;&gt;Impostazioni!$C$4,"Fuori dall'anno",IF(C1445="","Manca la categoria",IF(ISNA(MATCH(C1445,Categorie!$A$6:$A$65,0)),"Categoria non trovata",IF(G1445="","Categoria senza tipo",""))))))))</f>
        <v/>
      </c>
    </row>
    <row r="1446">
      <c r="A1446" s="29" t="n"/>
      <c r="B1446" s="17" t="n"/>
      <c r="C1446" s="17" t="n"/>
      <c r="D1446" s="16" t="n"/>
      <c r="E1446" s="30" t="n"/>
      <c r="F1446" s="17" t="n"/>
      <c r="G1446" s="31">
        <f>IF(C1446="","",IFERROR(INDEX(Categorie!$B$6:$B$65,MATCH(C1446,Categorie!$A$6:$A$65,0))&amp;"",""))</f>
        <v/>
      </c>
      <c r="H1446" s="32">
        <f>IF(AND(A1446="",C1446="",D1446=""),"",IF(D1446="","Manca l'importo",IF(NOT(ISNUMBER(D1446)),"Importo non valido",IF(NOT(ISNUMBER(A1446)),"Data mancante o non valida",IF(YEAR(A1446)&lt;&gt;Impostazioni!$C$4,"Fuori dall'anno",IF(C1446="","Manca la categoria",IF(ISNA(MATCH(C1446,Categorie!$A$6:$A$65,0)),"Categoria non trovata",IF(G1446="","Categoria senza tipo",""))))))))</f>
        <v/>
      </c>
    </row>
    <row r="1447">
      <c r="A1447" s="29" t="n"/>
      <c r="B1447" s="17" t="n"/>
      <c r="C1447" s="17" t="n"/>
      <c r="D1447" s="16" t="n"/>
      <c r="E1447" s="30" t="n"/>
      <c r="F1447" s="17" t="n"/>
      <c r="G1447" s="31">
        <f>IF(C1447="","",IFERROR(INDEX(Categorie!$B$6:$B$65,MATCH(C1447,Categorie!$A$6:$A$65,0))&amp;"",""))</f>
        <v/>
      </c>
      <c r="H1447" s="32">
        <f>IF(AND(A1447="",C1447="",D1447=""),"",IF(D1447="","Manca l'importo",IF(NOT(ISNUMBER(D1447)),"Importo non valido",IF(NOT(ISNUMBER(A1447)),"Data mancante o non valida",IF(YEAR(A1447)&lt;&gt;Impostazioni!$C$4,"Fuori dall'anno",IF(C1447="","Manca la categoria",IF(ISNA(MATCH(C1447,Categorie!$A$6:$A$65,0)),"Categoria non trovata",IF(G1447="","Categoria senza tipo",""))))))))</f>
        <v/>
      </c>
    </row>
    <row r="1448">
      <c r="A1448" s="29" t="n"/>
      <c r="B1448" s="17" t="n"/>
      <c r="C1448" s="17" t="n"/>
      <c r="D1448" s="16" t="n"/>
      <c r="E1448" s="30" t="n"/>
      <c r="F1448" s="17" t="n"/>
      <c r="G1448" s="31">
        <f>IF(C1448="","",IFERROR(INDEX(Categorie!$B$6:$B$65,MATCH(C1448,Categorie!$A$6:$A$65,0))&amp;"",""))</f>
        <v/>
      </c>
      <c r="H1448" s="32">
        <f>IF(AND(A1448="",C1448="",D1448=""),"",IF(D1448="","Manca l'importo",IF(NOT(ISNUMBER(D1448)),"Importo non valido",IF(NOT(ISNUMBER(A1448)),"Data mancante o non valida",IF(YEAR(A1448)&lt;&gt;Impostazioni!$C$4,"Fuori dall'anno",IF(C1448="","Manca la categoria",IF(ISNA(MATCH(C1448,Categorie!$A$6:$A$65,0)),"Categoria non trovata",IF(G1448="","Categoria senza tipo",""))))))))</f>
        <v/>
      </c>
    </row>
    <row r="1449">
      <c r="A1449" s="29" t="n"/>
      <c r="B1449" s="17" t="n"/>
      <c r="C1449" s="17" t="n"/>
      <c r="D1449" s="16" t="n"/>
      <c r="E1449" s="30" t="n"/>
      <c r="F1449" s="17" t="n"/>
      <c r="G1449" s="31">
        <f>IF(C1449="","",IFERROR(INDEX(Categorie!$B$6:$B$65,MATCH(C1449,Categorie!$A$6:$A$65,0))&amp;"",""))</f>
        <v/>
      </c>
      <c r="H1449" s="32">
        <f>IF(AND(A1449="",C1449="",D1449=""),"",IF(D1449="","Manca l'importo",IF(NOT(ISNUMBER(D1449)),"Importo non valido",IF(NOT(ISNUMBER(A1449)),"Data mancante o non valida",IF(YEAR(A1449)&lt;&gt;Impostazioni!$C$4,"Fuori dall'anno",IF(C1449="","Manca la categoria",IF(ISNA(MATCH(C1449,Categorie!$A$6:$A$65,0)),"Categoria non trovata",IF(G1449="","Categoria senza tipo",""))))))))</f>
        <v/>
      </c>
    </row>
    <row r="1450">
      <c r="A1450" s="29" t="n"/>
      <c r="B1450" s="17" t="n"/>
      <c r="C1450" s="17" t="n"/>
      <c r="D1450" s="16" t="n"/>
      <c r="E1450" s="30" t="n"/>
      <c r="F1450" s="17" t="n"/>
      <c r="G1450" s="31">
        <f>IF(C1450="","",IFERROR(INDEX(Categorie!$B$6:$B$65,MATCH(C1450,Categorie!$A$6:$A$65,0))&amp;"",""))</f>
        <v/>
      </c>
      <c r="H1450" s="32">
        <f>IF(AND(A1450="",C1450="",D1450=""),"",IF(D1450="","Manca l'importo",IF(NOT(ISNUMBER(D1450)),"Importo non valido",IF(NOT(ISNUMBER(A1450)),"Data mancante o non valida",IF(YEAR(A1450)&lt;&gt;Impostazioni!$C$4,"Fuori dall'anno",IF(C1450="","Manca la categoria",IF(ISNA(MATCH(C1450,Categorie!$A$6:$A$65,0)),"Categoria non trovata",IF(G1450="","Categoria senza tipo",""))))))))</f>
        <v/>
      </c>
    </row>
    <row r="1451">
      <c r="A1451" s="29" t="n"/>
      <c r="B1451" s="17" t="n"/>
      <c r="C1451" s="17" t="n"/>
      <c r="D1451" s="16" t="n"/>
      <c r="E1451" s="30" t="n"/>
      <c r="F1451" s="17" t="n"/>
      <c r="G1451" s="31">
        <f>IF(C1451="","",IFERROR(INDEX(Categorie!$B$6:$B$65,MATCH(C1451,Categorie!$A$6:$A$65,0))&amp;"",""))</f>
        <v/>
      </c>
      <c r="H1451" s="32">
        <f>IF(AND(A1451="",C1451="",D1451=""),"",IF(D1451="","Manca l'importo",IF(NOT(ISNUMBER(D1451)),"Importo non valido",IF(NOT(ISNUMBER(A1451)),"Data mancante o non valida",IF(YEAR(A1451)&lt;&gt;Impostazioni!$C$4,"Fuori dall'anno",IF(C1451="","Manca la categoria",IF(ISNA(MATCH(C1451,Categorie!$A$6:$A$65,0)),"Categoria non trovata",IF(G1451="","Categoria senza tipo",""))))))))</f>
        <v/>
      </c>
    </row>
    <row r="1452">
      <c r="A1452" s="29" t="n"/>
      <c r="B1452" s="17" t="n"/>
      <c r="C1452" s="17" t="n"/>
      <c r="D1452" s="16" t="n"/>
      <c r="E1452" s="30" t="n"/>
      <c r="F1452" s="17" t="n"/>
      <c r="G1452" s="31">
        <f>IF(C1452="","",IFERROR(INDEX(Categorie!$B$6:$B$65,MATCH(C1452,Categorie!$A$6:$A$65,0))&amp;"",""))</f>
        <v/>
      </c>
      <c r="H1452" s="32">
        <f>IF(AND(A1452="",C1452="",D1452=""),"",IF(D1452="","Manca l'importo",IF(NOT(ISNUMBER(D1452)),"Importo non valido",IF(NOT(ISNUMBER(A1452)),"Data mancante o non valida",IF(YEAR(A1452)&lt;&gt;Impostazioni!$C$4,"Fuori dall'anno",IF(C1452="","Manca la categoria",IF(ISNA(MATCH(C1452,Categorie!$A$6:$A$65,0)),"Categoria non trovata",IF(G1452="","Categoria senza tipo",""))))))))</f>
        <v/>
      </c>
    </row>
    <row r="1453">
      <c r="A1453" s="29" t="n"/>
      <c r="B1453" s="17" t="n"/>
      <c r="C1453" s="17" t="n"/>
      <c r="D1453" s="16" t="n"/>
      <c r="E1453" s="30" t="n"/>
      <c r="F1453" s="17" t="n"/>
      <c r="G1453" s="31">
        <f>IF(C1453="","",IFERROR(INDEX(Categorie!$B$6:$B$65,MATCH(C1453,Categorie!$A$6:$A$65,0))&amp;"",""))</f>
        <v/>
      </c>
      <c r="H1453" s="32">
        <f>IF(AND(A1453="",C1453="",D1453=""),"",IF(D1453="","Manca l'importo",IF(NOT(ISNUMBER(D1453)),"Importo non valido",IF(NOT(ISNUMBER(A1453)),"Data mancante o non valida",IF(YEAR(A1453)&lt;&gt;Impostazioni!$C$4,"Fuori dall'anno",IF(C1453="","Manca la categoria",IF(ISNA(MATCH(C1453,Categorie!$A$6:$A$65,0)),"Categoria non trovata",IF(G1453="","Categoria senza tipo",""))))))))</f>
        <v/>
      </c>
    </row>
    <row r="1454">
      <c r="A1454" s="29" t="n"/>
      <c r="B1454" s="17" t="n"/>
      <c r="C1454" s="17" t="n"/>
      <c r="D1454" s="16" t="n"/>
      <c r="E1454" s="30" t="n"/>
      <c r="F1454" s="17" t="n"/>
      <c r="G1454" s="31">
        <f>IF(C1454="","",IFERROR(INDEX(Categorie!$B$6:$B$65,MATCH(C1454,Categorie!$A$6:$A$65,0))&amp;"",""))</f>
        <v/>
      </c>
      <c r="H1454" s="32">
        <f>IF(AND(A1454="",C1454="",D1454=""),"",IF(D1454="","Manca l'importo",IF(NOT(ISNUMBER(D1454)),"Importo non valido",IF(NOT(ISNUMBER(A1454)),"Data mancante o non valida",IF(YEAR(A1454)&lt;&gt;Impostazioni!$C$4,"Fuori dall'anno",IF(C1454="","Manca la categoria",IF(ISNA(MATCH(C1454,Categorie!$A$6:$A$65,0)),"Categoria non trovata",IF(G1454="","Categoria senza tipo",""))))))))</f>
        <v/>
      </c>
    </row>
    <row r="1455">
      <c r="A1455" s="29" t="n"/>
      <c r="B1455" s="17" t="n"/>
      <c r="C1455" s="17" t="n"/>
      <c r="D1455" s="16" t="n"/>
      <c r="E1455" s="30" t="n"/>
      <c r="F1455" s="17" t="n"/>
      <c r="G1455" s="31">
        <f>IF(C1455="","",IFERROR(INDEX(Categorie!$B$6:$B$65,MATCH(C1455,Categorie!$A$6:$A$65,0))&amp;"",""))</f>
        <v/>
      </c>
      <c r="H1455" s="32">
        <f>IF(AND(A1455="",C1455="",D1455=""),"",IF(D1455="","Manca l'importo",IF(NOT(ISNUMBER(D1455)),"Importo non valido",IF(NOT(ISNUMBER(A1455)),"Data mancante o non valida",IF(YEAR(A1455)&lt;&gt;Impostazioni!$C$4,"Fuori dall'anno",IF(C1455="","Manca la categoria",IF(ISNA(MATCH(C1455,Categorie!$A$6:$A$65,0)),"Categoria non trovata",IF(G1455="","Categoria senza tipo",""))))))))</f>
        <v/>
      </c>
    </row>
    <row r="1456">
      <c r="A1456" s="29" t="n"/>
      <c r="B1456" s="17" t="n"/>
      <c r="C1456" s="17" t="n"/>
      <c r="D1456" s="16" t="n"/>
      <c r="E1456" s="30" t="n"/>
      <c r="F1456" s="17" t="n"/>
      <c r="G1456" s="31">
        <f>IF(C1456="","",IFERROR(INDEX(Categorie!$B$6:$B$65,MATCH(C1456,Categorie!$A$6:$A$65,0))&amp;"",""))</f>
        <v/>
      </c>
      <c r="H1456" s="32">
        <f>IF(AND(A1456="",C1456="",D1456=""),"",IF(D1456="","Manca l'importo",IF(NOT(ISNUMBER(D1456)),"Importo non valido",IF(NOT(ISNUMBER(A1456)),"Data mancante o non valida",IF(YEAR(A1456)&lt;&gt;Impostazioni!$C$4,"Fuori dall'anno",IF(C1456="","Manca la categoria",IF(ISNA(MATCH(C1456,Categorie!$A$6:$A$65,0)),"Categoria non trovata",IF(G1456="","Categoria senza tipo",""))))))))</f>
        <v/>
      </c>
    </row>
    <row r="1457">
      <c r="A1457" s="29" t="n"/>
      <c r="B1457" s="17" t="n"/>
      <c r="C1457" s="17" t="n"/>
      <c r="D1457" s="16" t="n"/>
      <c r="E1457" s="30" t="n"/>
      <c r="F1457" s="17" t="n"/>
      <c r="G1457" s="31">
        <f>IF(C1457="","",IFERROR(INDEX(Categorie!$B$6:$B$65,MATCH(C1457,Categorie!$A$6:$A$65,0))&amp;"",""))</f>
        <v/>
      </c>
      <c r="H1457" s="32">
        <f>IF(AND(A1457="",C1457="",D1457=""),"",IF(D1457="","Manca l'importo",IF(NOT(ISNUMBER(D1457)),"Importo non valido",IF(NOT(ISNUMBER(A1457)),"Data mancante o non valida",IF(YEAR(A1457)&lt;&gt;Impostazioni!$C$4,"Fuori dall'anno",IF(C1457="","Manca la categoria",IF(ISNA(MATCH(C1457,Categorie!$A$6:$A$65,0)),"Categoria non trovata",IF(G1457="","Categoria senza tipo",""))))))))</f>
        <v/>
      </c>
    </row>
    <row r="1458">
      <c r="A1458" s="29" t="n"/>
      <c r="B1458" s="17" t="n"/>
      <c r="C1458" s="17" t="n"/>
      <c r="D1458" s="16" t="n"/>
      <c r="E1458" s="30" t="n"/>
      <c r="F1458" s="17" t="n"/>
      <c r="G1458" s="31">
        <f>IF(C1458="","",IFERROR(INDEX(Categorie!$B$6:$B$65,MATCH(C1458,Categorie!$A$6:$A$65,0))&amp;"",""))</f>
        <v/>
      </c>
      <c r="H1458" s="32">
        <f>IF(AND(A1458="",C1458="",D1458=""),"",IF(D1458="","Manca l'importo",IF(NOT(ISNUMBER(D1458)),"Importo non valido",IF(NOT(ISNUMBER(A1458)),"Data mancante o non valida",IF(YEAR(A1458)&lt;&gt;Impostazioni!$C$4,"Fuori dall'anno",IF(C1458="","Manca la categoria",IF(ISNA(MATCH(C1458,Categorie!$A$6:$A$65,0)),"Categoria non trovata",IF(G1458="","Categoria senza tipo",""))))))))</f>
        <v/>
      </c>
    </row>
    <row r="1459">
      <c r="A1459" s="29" t="n"/>
      <c r="B1459" s="17" t="n"/>
      <c r="C1459" s="17" t="n"/>
      <c r="D1459" s="16" t="n"/>
      <c r="E1459" s="30" t="n"/>
      <c r="F1459" s="17" t="n"/>
      <c r="G1459" s="31">
        <f>IF(C1459="","",IFERROR(INDEX(Categorie!$B$6:$B$65,MATCH(C1459,Categorie!$A$6:$A$65,0))&amp;"",""))</f>
        <v/>
      </c>
      <c r="H1459" s="32">
        <f>IF(AND(A1459="",C1459="",D1459=""),"",IF(D1459="","Manca l'importo",IF(NOT(ISNUMBER(D1459)),"Importo non valido",IF(NOT(ISNUMBER(A1459)),"Data mancante o non valida",IF(YEAR(A1459)&lt;&gt;Impostazioni!$C$4,"Fuori dall'anno",IF(C1459="","Manca la categoria",IF(ISNA(MATCH(C1459,Categorie!$A$6:$A$65,0)),"Categoria non trovata",IF(G1459="","Categoria senza tipo",""))))))))</f>
        <v/>
      </c>
    </row>
    <row r="1460">
      <c r="A1460" s="29" t="n"/>
      <c r="B1460" s="17" t="n"/>
      <c r="C1460" s="17" t="n"/>
      <c r="D1460" s="16" t="n"/>
      <c r="E1460" s="30" t="n"/>
      <c r="F1460" s="17" t="n"/>
      <c r="G1460" s="31">
        <f>IF(C1460="","",IFERROR(INDEX(Categorie!$B$6:$B$65,MATCH(C1460,Categorie!$A$6:$A$65,0))&amp;"",""))</f>
        <v/>
      </c>
      <c r="H1460" s="32">
        <f>IF(AND(A1460="",C1460="",D1460=""),"",IF(D1460="","Manca l'importo",IF(NOT(ISNUMBER(D1460)),"Importo non valido",IF(NOT(ISNUMBER(A1460)),"Data mancante o non valida",IF(YEAR(A1460)&lt;&gt;Impostazioni!$C$4,"Fuori dall'anno",IF(C1460="","Manca la categoria",IF(ISNA(MATCH(C1460,Categorie!$A$6:$A$65,0)),"Categoria non trovata",IF(G1460="","Categoria senza tipo",""))))))))</f>
        <v/>
      </c>
    </row>
    <row r="1461">
      <c r="A1461" s="29" t="n"/>
      <c r="B1461" s="17" t="n"/>
      <c r="C1461" s="17" t="n"/>
      <c r="D1461" s="16" t="n"/>
      <c r="E1461" s="30" t="n"/>
      <c r="F1461" s="17" t="n"/>
      <c r="G1461" s="31">
        <f>IF(C1461="","",IFERROR(INDEX(Categorie!$B$6:$B$65,MATCH(C1461,Categorie!$A$6:$A$65,0))&amp;"",""))</f>
        <v/>
      </c>
      <c r="H1461" s="32">
        <f>IF(AND(A1461="",C1461="",D1461=""),"",IF(D1461="","Manca l'importo",IF(NOT(ISNUMBER(D1461)),"Importo non valido",IF(NOT(ISNUMBER(A1461)),"Data mancante o non valida",IF(YEAR(A1461)&lt;&gt;Impostazioni!$C$4,"Fuori dall'anno",IF(C1461="","Manca la categoria",IF(ISNA(MATCH(C1461,Categorie!$A$6:$A$65,0)),"Categoria non trovata",IF(G1461="","Categoria senza tipo",""))))))))</f>
        <v/>
      </c>
    </row>
    <row r="1462">
      <c r="A1462" s="29" t="n"/>
      <c r="B1462" s="17" t="n"/>
      <c r="C1462" s="17" t="n"/>
      <c r="D1462" s="16" t="n"/>
      <c r="E1462" s="30" t="n"/>
      <c r="F1462" s="17" t="n"/>
      <c r="G1462" s="31">
        <f>IF(C1462="","",IFERROR(INDEX(Categorie!$B$6:$B$65,MATCH(C1462,Categorie!$A$6:$A$65,0))&amp;"",""))</f>
        <v/>
      </c>
      <c r="H1462" s="32">
        <f>IF(AND(A1462="",C1462="",D1462=""),"",IF(D1462="","Manca l'importo",IF(NOT(ISNUMBER(D1462)),"Importo non valido",IF(NOT(ISNUMBER(A1462)),"Data mancante o non valida",IF(YEAR(A1462)&lt;&gt;Impostazioni!$C$4,"Fuori dall'anno",IF(C1462="","Manca la categoria",IF(ISNA(MATCH(C1462,Categorie!$A$6:$A$65,0)),"Categoria non trovata",IF(G1462="","Categoria senza tipo",""))))))))</f>
        <v/>
      </c>
    </row>
    <row r="1463">
      <c r="A1463" s="29" t="n"/>
      <c r="B1463" s="17" t="n"/>
      <c r="C1463" s="17" t="n"/>
      <c r="D1463" s="16" t="n"/>
      <c r="E1463" s="30" t="n"/>
      <c r="F1463" s="17" t="n"/>
      <c r="G1463" s="31">
        <f>IF(C1463="","",IFERROR(INDEX(Categorie!$B$6:$B$65,MATCH(C1463,Categorie!$A$6:$A$65,0))&amp;"",""))</f>
        <v/>
      </c>
      <c r="H1463" s="32">
        <f>IF(AND(A1463="",C1463="",D1463=""),"",IF(D1463="","Manca l'importo",IF(NOT(ISNUMBER(D1463)),"Importo non valido",IF(NOT(ISNUMBER(A1463)),"Data mancante o non valida",IF(YEAR(A1463)&lt;&gt;Impostazioni!$C$4,"Fuori dall'anno",IF(C1463="","Manca la categoria",IF(ISNA(MATCH(C1463,Categorie!$A$6:$A$65,0)),"Categoria non trovata",IF(G1463="","Categoria senza tipo",""))))))))</f>
        <v/>
      </c>
    </row>
    <row r="1464">
      <c r="A1464" s="29" t="n"/>
      <c r="B1464" s="17" t="n"/>
      <c r="C1464" s="17" t="n"/>
      <c r="D1464" s="16" t="n"/>
      <c r="E1464" s="30" t="n"/>
      <c r="F1464" s="17" t="n"/>
      <c r="G1464" s="31">
        <f>IF(C1464="","",IFERROR(INDEX(Categorie!$B$6:$B$65,MATCH(C1464,Categorie!$A$6:$A$65,0))&amp;"",""))</f>
        <v/>
      </c>
      <c r="H1464" s="32">
        <f>IF(AND(A1464="",C1464="",D1464=""),"",IF(D1464="","Manca l'importo",IF(NOT(ISNUMBER(D1464)),"Importo non valido",IF(NOT(ISNUMBER(A1464)),"Data mancante o non valida",IF(YEAR(A1464)&lt;&gt;Impostazioni!$C$4,"Fuori dall'anno",IF(C1464="","Manca la categoria",IF(ISNA(MATCH(C1464,Categorie!$A$6:$A$65,0)),"Categoria non trovata",IF(G1464="","Categoria senza tipo",""))))))))</f>
        <v/>
      </c>
    </row>
    <row r="1465">
      <c r="A1465" s="29" t="n"/>
      <c r="B1465" s="17" t="n"/>
      <c r="C1465" s="17" t="n"/>
      <c r="D1465" s="16" t="n"/>
      <c r="E1465" s="30" t="n"/>
      <c r="F1465" s="17" t="n"/>
      <c r="G1465" s="31">
        <f>IF(C1465="","",IFERROR(INDEX(Categorie!$B$6:$B$65,MATCH(C1465,Categorie!$A$6:$A$65,0))&amp;"",""))</f>
        <v/>
      </c>
      <c r="H1465" s="32">
        <f>IF(AND(A1465="",C1465="",D1465=""),"",IF(D1465="","Manca l'importo",IF(NOT(ISNUMBER(D1465)),"Importo non valido",IF(NOT(ISNUMBER(A1465)),"Data mancante o non valida",IF(YEAR(A1465)&lt;&gt;Impostazioni!$C$4,"Fuori dall'anno",IF(C1465="","Manca la categoria",IF(ISNA(MATCH(C1465,Categorie!$A$6:$A$65,0)),"Categoria non trovata",IF(G1465="","Categoria senza tipo",""))))))))</f>
        <v/>
      </c>
    </row>
    <row r="1466">
      <c r="A1466" s="29" t="n"/>
      <c r="B1466" s="17" t="n"/>
      <c r="C1466" s="17" t="n"/>
      <c r="D1466" s="16" t="n"/>
      <c r="E1466" s="30" t="n"/>
      <c r="F1466" s="17" t="n"/>
      <c r="G1466" s="31">
        <f>IF(C1466="","",IFERROR(INDEX(Categorie!$B$6:$B$65,MATCH(C1466,Categorie!$A$6:$A$65,0))&amp;"",""))</f>
        <v/>
      </c>
      <c r="H1466" s="32">
        <f>IF(AND(A1466="",C1466="",D1466=""),"",IF(D1466="","Manca l'importo",IF(NOT(ISNUMBER(D1466)),"Importo non valido",IF(NOT(ISNUMBER(A1466)),"Data mancante o non valida",IF(YEAR(A1466)&lt;&gt;Impostazioni!$C$4,"Fuori dall'anno",IF(C1466="","Manca la categoria",IF(ISNA(MATCH(C1466,Categorie!$A$6:$A$65,0)),"Categoria non trovata",IF(G1466="","Categoria senza tipo",""))))))))</f>
        <v/>
      </c>
    </row>
    <row r="1467">
      <c r="A1467" s="29" t="n"/>
      <c r="B1467" s="17" t="n"/>
      <c r="C1467" s="17" t="n"/>
      <c r="D1467" s="16" t="n"/>
      <c r="E1467" s="30" t="n"/>
      <c r="F1467" s="17" t="n"/>
      <c r="G1467" s="31">
        <f>IF(C1467="","",IFERROR(INDEX(Categorie!$B$6:$B$65,MATCH(C1467,Categorie!$A$6:$A$65,0))&amp;"",""))</f>
        <v/>
      </c>
      <c r="H1467" s="32">
        <f>IF(AND(A1467="",C1467="",D1467=""),"",IF(D1467="","Manca l'importo",IF(NOT(ISNUMBER(D1467)),"Importo non valido",IF(NOT(ISNUMBER(A1467)),"Data mancante o non valida",IF(YEAR(A1467)&lt;&gt;Impostazioni!$C$4,"Fuori dall'anno",IF(C1467="","Manca la categoria",IF(ISNA(MATCH(C1467,Categorie!$A$6:$A$65,0)),"Categoria non trovata",IF(G1467="","Categoria senza tipo",""))))))))</f>
        <v/>
      </c>
    </row>
    <row r="1468">
      <c r="A1468" s="29" t="n"/>
      <c r="B1468" s="17" t="n"/>
      <c r="C1468" s="17" t="n"/>
      <c r="D1468" s="16" t="n"/>
      <c r="E1468" s="30" t="n"/>
      <c r="F1468" s="17" t="n"/>
      <c r="G1468" s="31">
        <f>IF(C1468="","",IFERROR(INDEX(Categorie!$B$6:$B$65,MATCH(C1468,Categorie!$A$6:$A$65,0))&amp;"",""))</f>
        <v/>
      </c>
      <c r="H1468" s="32">
        <f>IF(AND(A1468="",C1468="",D1468=""),"",IF(D1468="","Manca l'importo",IF(NOT(ISNUMBER(D1468)),"Importo non valido",IF(NOT(ISNUMBER(A1468)),"Data mancante o non valida",IF(YEAR(A1468)&lt;&gt;Impostazioni!$C$4,"Fuori dall'anno",IF(C1468="","Manca la categoria",IF(ISNA(MATCH(C1468,Categorie!$A$6:$A$65,0)),"Categoria non trovata",IF(G1468="","Categoria senza tipo",""))))))))</f>
        <v/>
      </c>
    </row>
    <row r="1469">
      <c r="A1469" s="29" t="n"/>
      <c r="B1469" s="17" t="n"/>
      <c r="C1469" s="17" t="n"/>
      <c r="D1469" s="16" t="n"/>
      <c r="E1469" s="30" t="n"/>
      <c r="F1469" s="17" t="n"/>
      <c r="G1469" s="31">
        <f>IF(C1469="","",IFERROR(INDEX(Categorie!$B$6:$B$65,MATCH(C1469,Categorie!$A$6:$A$65,0))&amp;"",""))</f>
        <v/>
      </c>
      <c r="H1469" s="32">
        <f>IF(AND(A1469="",C1469="",D1469=""),"",IF(D1469="","Manca l'importo",IF(NOT(ISNUMBER(D1469)),"Importo non valido",IF(NOT(ISNUMBER(A1469)),"Data mancante o non valida",IF(YEAR(A1469)&lt;&gt;Impostazioni!$C$4,"Fuori dall'anno",IF(C1469="","Manca la categoria",IF(ISNA(MATCH(C1469,Categorie!$A$6:$A$65,0)),"Categoria non trovata",IF(G1469="","Categoria senza tipo",""))))))))</f>
        <v/>
      </c>
    </row>
    <row r="1470">
      <c r="A1470" s="29" t="n"/>
      <c r="B1470" s="17" t="n"/>
      <c r="C1470" s="17" t="n"/>
      <c r="D1470" s="16" t="n"/>
      <c r="E1470" s="30" t="n"/>
      <c r="F1470" s="17" t="n"/>
      <c r="G1470" s="31">
        <f>IF(C1470="","",IFERROR(INDEX(Categorie!$B$6:$B$65,MATCH(C1470,Categorie!$A$6:$A$65,0))&amp;"",""))</f>
        <v/>
      </c>
      <c r="H1470" s="32">
        <f>IF(AND(A1470="",C1470="",D1470=""),"",IF(D1470="","Manca l'importo",IF(NOT(ISNUMBER(D1470)),"Importo non valido",IF(NOT(ISNUMBER(A1470)),"Data mancante o non valida",IF(YEAR(A1470)&lt;&gt;Impostazioni!$C$4,"Fuori dall'anno",IF(C1470="","Manca la categoria",IF(ISNA(MATCH(C1470,Categorie!$A$6:$A$65,0)),"Categoria non trovata",IF(G1470="","Categoria senza tipo",""))))))))</f>
        <v/>
      </c>
    </row>
    <row r="1471">
      <c r="A1471" s="29" t="n"/>
      <c r="B1471" s="17" t="n"/>
      <c r="C1471" s="17" t="n"/>
      <c r="D1471" s="16" t="n"/>
      <c r="E1471" s="30" t="n"/>
      <c r="F1471" s="17" t="n"/>
      <c r="G1471" s="31">
        <f>IF(C1471="","",IFERROR(INDEX(Categorie!$B$6:$B$65,MATCH(C1471,Categorie!$A$6:$A$65,0))&amp;"",""))</f>
        <v/>
      </c>
      <c r="H1471" s="32">
        <f>IF(AND(A1471="",C1471="",D1471=""),"",IF(D1471="","Manca l'importo",IF(NOT(ISNUMBER(D1471)),"Importo non valido",IF(NOT(ISNUMBER(A1471)),"Data mancante o non valida",IF(YEAR(A1471)&lt;&gt;Impostazioni!$C$4,"Fuori dall'anno",IF(C1471="","Manca la categoria",IF(ISNA(MATCH(C1471,Categorie!$A$6:$A$65,0)),"Categoria non trovata",IF(G1471="","Categoria senza tipo",""))))))))</f>
        <v/>
      </c>
    </row>
    <row r="1472">
      <c r="A1472" s="29" t="n"/>
      <c r="B1472" s="17" t="n"/>
      <c r="C1472" s="17" t="n"/>
      <c r="D1472" s="16" t="n"/>
      <c r="E1472" s="30" t="n"/>
      <c r="F1472" s="17" t="n"/>
      <c r="G1472" s="31">
        <f>IF(C1472="","",IFERROR(INDEX(Categorie!$B$6:$B$65,MATCH(C1472,Categorie!$A$6:$A$65,0))&amp;"",""))</f>
        <v/>
      </c>
      <c r="H1472" s="32">
        <f>IF(AND(A1472="",C1472="",D1472=""),"",IF(D1472="","Manca l'importo",IF(NOT(ISNUMBER(D1472)),"Importo non valido",IF(NOT(ISNUMBER(A1472)),"Data mancante o non valida",IF(YEAR(A1472)&lt;&gt;Impostazioni!$C$4,"Fuori dall'anno",IF(C1472="","Manca la categoria",IF(ISNA(MATCH(C1472,Categorie!$A$6:$A$65,0)),"Categoria non trovata",IF(G1472="","Categoria senza tipo",""))))))))</f>
        <v/>
      </c>
    </row>
    <row r="1473">
      <c r="A1473" s="29" t="n"/>
      <c r="B1473" s="17" t="n"/>
      <c r="C1473" s="17" t="n"/>
      <c r="D1473" s="16" t="n"/>
      <c r="E1473" s="30" t="n"/>
      <c r="F1473" s="17" t="n"/>
      <c r="G1473" s="31">
        <f>IF(C1473="","",IFERROR(INDEX(Categorie!$B$6:$B$65,MATCH(C1473,Categorie!$A$6:$A$65,0))&amp;"",""))</f>
        <v/>
      </c>
      <c r="H1473" s="32">
        <f>IF(AND(A1473="",C1473="",D1473=""),"",IF(D1473="","Manca l'importo",IF(NOT(ISNUMBER(D1473)),"Importo non valido",IF(NOT(ISNUMBER(A1473)),"Data mancante o non valida",IF(YEAR(A1473)&lt;&gt;Impostazioni!$C$4,"Fuori dall'anno",IF(C1473="","Manca la categoria",IF(ISNA(MATCH(C1473,Categorie!$A$6:$A$65,0)),"Categoria non trovata",IF(G1473="","Categoria senza tipo",""))))))))</f>
        <v/>
      </c>
    </row>
    <row r="1474">
      <c r="A1474" s="29" t="n"/>
      <c r="B1474" s="17" t="n"/>
      <c r="C1474" s="17" t="n"/>
      <c r="D1474" s="16" t="n"/>
      <c r="E1474" s="30" t="n"/>
      <c r="F1474" s="17" t="n"/>
      <c r="G1474" s="31">
        <f>IF(C1474="","",IFERROR(INDEX(Categorie!$B$6:$B$65,MATCH(C1474,Categorie!$A$6:$A$65,0))&amp;"",""))</f>
        <v/>
      </c>
      <c r="H1474" s="32">
        <f>IF(AND(A1474="",C1474="",D1474=""),"",IF(D1474="","Manca l'importo",IF(NOT(ISNUMBER(D1474)),"Importo non valido",IF(NOT(ISNUMBER(A1474)),"Data mancante o non valida",IF(YEAR(A1474)&lt;&gt;Impostazioni!$C$4,"Fuori dall'anno",IF(C1474="","Manca la categoria",IF(ISNA(MATCH(C1474,Categorie!$A$6:$A$65,0)),"Categoria non trovata",IF(G1474="","Categoria senza tipo",""))))))))</f>
        <v/>
      </c>
    </row>
    <row r="1475">
      <c r="A1475" s="29" t="n"/>
      <c r="B1475" s="17" t="n"/>
      <c r="C1475" s="17" t="n"/>
      <c r="D1475" s="16" t="n"/>
      <c r="E1475" s="30" t="n"/>
      <c r="F1475" s="17" t="n"/>
      <c r="G1475" s="31">
        <f>IF(C1475="","",IFERROR(INDEX(Categorie!$B$6:$B$65,MATCH(C1475,Categorie!$A$6:$A$65,0))&amp;"",""))</f>
        <v/>
      </c>
      <c r="H1475" s="32">
        <f>IF(AND(A1475="",C1475="",D1475=""),"",IF(D1475="","Manca l'importo",IF(NOT(ISNUMBER(D1475)),"Importo non valido",IF(NOT(ISNUMBER(A1475)),"Data mancante o non valida",IF(YEAR(A1475)&lt;&gt;Impostazioni!$C$4,"Fuori dall'anno",IF(C1475="","Manca la categoria",IF(ISNA(MATCH(C1475,Categorie!$A$6:$A$65,0)),"Categoria non trovata",IF(G1475="","Categoria senza tipo",""))))))))</f>
        <v/>
      </c>
    </row>
    <row r="1476">
      <c r="A1476" s="29" t="n"/>
      <c r="B1476" s="17" t="n"/>
      <c r="C1476" s="17" t="n"/>
      <c r="D1476" s="16" t="n"/>
      <c r="E1476" s="30" t="n"/>
      <c r="F1476" s="17" t="n"/>
      <c r="G1476" s="31">
        <f>IF(C1476="","",IFERROR(INDEX(Categorie!$B$6:$B$65,MATCH(C1476,Categorie!$A$6:$A$65,0))&amp;"",""))</f>
        <v/>
      </c>
      <c r="H1476" s="32">
        <f>IF(AND(A1476="",C1476="",D1476=""),"",IF(D1476="","Manca l'importo",IF(NOT(ISNUMBER(D1476)),"Importo non valido",IF(NOT(ISNUMBER(A1476)),"Data mancante o non valida",IF(YEAR(A1476)&lt;&gt;Impostazioni!$C$4,"Fuori dall'anno",IF(C1476="","Manca la categoria",IF(ISNA(MATCH(C1476,Categorie!$A$6:$A$65,0)),"Categoria non trovata",IF(G1476="","Categoria senza tipo",""))))))))</f>
        <v/>
      </c>
    </row>
    <row r="1477">
      <c r="A1477" s="29" t="n"/>
      <c r="B1477" s="17" t="n"/>
      <c r="C1477" s="17" t="n"/>
      <c r="D1477" s="16" t="n"/>
      <c r="E1477" s="30" t="n"/>
      <c r="F1477" s="17" t="n"/>
      <c r="G1477" s="31">
        <f>IF(C1477="","",IFERROR(INDEX(Categorie!$B$6:$B$65,MATCH(C1477,Categorie!$A$6:$A$65,0))&amp;"",""))</f>
        <v/>
      </c>
      <c r="H1477" s="32">
        <f>IF(AND(A1477="",C1477="",D1477=""),"",IF(D1477="","Manca l'importo",IF(NOT(ISNUMBER(D1477)),"Importo non valido",IF(NOT(ISNUMBER(A1477)),"Data mancante o non valida",IF(YEAR(A1477)&lt;&gt;Impostazioni!$C$4,"Fuori dall'anno",IF(C1477="","Manca la categoria",IF(ISNA(MATCH(C1477,Categorie!$A$6:$A$65,0)),"Categoria non trovata",IF(G1477="","Categoria senza tipo",""))))))))</f>
        <v/>
      </c>
    </row>
    <row r="1478">
      <c r="A1478" s="29" t="n"/>
      <c r="B1478" s="17" t="n"/>
      <c r="C1478" s="17" t="n"/>
      <c r="D1478" s="16" t="n"/>
      <c r="E1478" s="30" t="n"/>
      <c r="F1478" s="17" t="n"/>
      <c r="G1478" s="31">
        <f>IF(C1478="","",IFERROR(INDEX(Categorie!$B$6:$B$65,MATCH(C1478,Categorie!$A$6:$A$65,0))&amp;"",""))</f>
        <v/>
      </c>
      <c r="H1478" s="32">
        <f>IF(AND(A1478="",C1478="",D1478=""),"",IF(D1478="","Manca l'importo",IF(NOT(ISNUMBER(D1478)),"Importo non valido",IF(NOT(ISNUMBER(A1478)),"Data mancante o non valida",IF(YEAR(A1478)&lt;&gt;Impostazioni!$C$4,"Fuori dall'anno",IF(C1478="","Manca la categoria",IF(ISNA(MATCH(C1478,Categorie!$A$6:$A$65,0)),"Categoria non trovata",IF(G1478="","Categoria senza tipo",""))))))))</f>
        <v/>
      </c>
    </row>
    <row r="1479">
      <c r="A1479" s="29" t="n"/>
      <c r="B1479" s="17" t="n"/>
      <c r="C1479" s="17" t="n"/>
      <c r="D1479" s="16" t="n"/>
      <c r="E1479" s="30" t="n"/>
      <c r="F1479" s="17" t="n"/>
      <c r="G1479" s="31">
        <f>IF(C1479="","",IFERROR(INDEX(Categorie!$B$6:$B$65,MATCH(C1479,Categorie!$A$6:$A$65,0))&amp;"",""))</f>
        <v/>
      </c>
      <c r="H1479" s="32">
        <f>IF(AND(A1479="",C1479="",D1479=""),"",IF(D1479="","Manca l'importo",IF(NOT(ISNUMBER(D1479)),"Importo non valido",IF(NOT(ISNUMBER(A1479)),"Data mancante o non valida",IF(YEAR(A1479)&lt;&gt;Impostazioni!$C$4,"Fuori dall'anno",IF(C1479="","Manca la categoria",IF(ISNA(MATCH(C1479,Categorie!$A$6:$A$65,0)),"Categoria non trovata",IF(G1479="","Categoria senza tipo",""))))))))</f>
        <v/>
      </c>
    </row>
    <row r="1480">
      <c r="A1480" s="29" t="n"/>
      <c r="B1480" s="17" t="n"/>
      <c r="C1480" s="17" t="n"/>
      <c r="D1480" s="16" t="n"/>
      <c r="E1480" s="30" t="n"/>
      <c r="F1480" s="17" t="n"/>
      <c r="G1480" s="31">
        <f>IF(C1480="","",IFERROR(INDEX(Categorie!$B$6:$B$65,MATCH(C1480,Categorie!$A$6:$A$65,0))&amp;"",""))</f>
        <v/>
      </c>
      <c r="H1480" s="32">
        <f>IF(AND(A1480="",C1480="",D1480=""),"",IF(D1480="","Manca l'importo",IF(NOT(ISNUMBER(D1480)),"Importo non valido",IF(NOT(ISNUMBER(A1480)),"Data mancante o non valida",IF(YEAR(A1480)&lt;&gt;Impostazioni!$C$4,"Fuori dall'anno",IF(C1480="","Manca la categoria",IF(ISNA(MATCH(C1480,Categorie!$A$6:$A$65,0)),"Categoria non trovata",IF(G1480="","Categoria senza tipo",""))))))))</f>
        <v/>
      </c>
    </row>
    <row r="1481">
      <c r="A1481" s="29" t="n"/>
      <c r="B1481" s="17" t="n"/>
      <c r="C1481" s="17" t="n"/>
      <c r="D1481" s="16" t="n"/>
      <c r="E1481" s="30" t="n"/>
      <c r="F1481" s="17" t="n"/>
      <c r="G1481" s="31">
        <f>IF(C1481="","",IFERROR(INDEX(Categorie!$B$6:$B$65,MATCH(C1481,Categorie!$A$6:$A$65,0))&amp;"",""))</f>
        <v/>
      </c>
      <c r="H1481" s="32">
        <f>IF(AND(A1481="",C1481="",D1481=""),"",IF(D1481="","Manca l'importo",IF(NOT(ISNUMBER(D1481)),"Importo non valido",IF(NOT(ISNUMBER(A1481)),"Data mancante o non valida",IF(YEAR(A1481)&lt;&gt;Impostazioni!$C$4,"Fuori dall'anno",IF(C1481="","Manca la categoria",IF(ISNA(MATCH(C1481,Categorie!$A$6:$A$65,0)),"Categoria non trovata",IF(G1481="","Categoria senza tipo",""))))))))</f>
        <v/>
      </c>
    </row>
    <row r="1482">
      <c r="A1482" s="29" t="n"/>
      <c r="B1482" s="17" t="n"/>
      <c r="C1482" s="17" t="n"/>
      <c r="D1482" s="16" t="n"/>
      <c r="E1482" s="30" t="n"/>
      <c r="F1482" s="17" t="n"/>
      <c r="G1482" s="31">
        <f>IF(C1482="","",IFERROR(INDEX(Categorie!$B$6:$B$65,MATCH(C1482,Categorie!$A$6:$A$65,0))&amp;"",""))</f>
        <v/>
      </c>
      <c r="H1482" s="32">
        <f>IF(AND(A1482="",C1482="",D1482=""),"",IF(D1482="","Manca l'importo",IF(NOT(ISNUMBER(D1482)),"Importo non valido",IF(NOT(ISNUMBER(A1482)),"Data mancante o non valida",IF(YEAR(A1482)&lt;&gt;Impostazioni!$C$4,"Fuori dall'anno",IF(C1482="","Manca la categoria",IF(ISNA(MATCH(C1482,Categorie!$A$6:$A$65,0)),"Categoria non trovata",IF(G1482="","Categoria senza tipo",""))))))))</f>
        <v/>
      </c>
    </row>
    <row r="1483">
      <c r="A1483" s="29" t="n"/>
      <c r="B1483" s="17" t="n"/>
      <c r="C1483" s="17" t="n"/>
      <c r="D1483" s="16" t="n"/>
      <c r="E1483" s="30" t="n"/>
      <c r="F1483" s="17" t="n"/>
      <c r="G1483" s="31">
        <f>IF(C1483="","",IFERROR(INDEX(Categorie!$B$6:$B$65,MATCH(C1483,Categorie!$A$6:$A$65,0))&amp;"",""))</f>
        <v/>
      </c>
      <c r="H1483" s="32">
        <f>IF(AND(A1483="",C1483="",D1483=""),"",IF(D1483="","Manca l'importo",IF(NOT(ISNUMBER(D1483)),"Importo non valido",IF(NOT(ISNUMBER(A1483)),"Data mancante o non valida",IF(YEAR(A1483)&lt;&gt;Impostazioni!$C$4,"Fuori dall'anno",IF(C1483="","Manca la categoria",IF(ISNA(MATCH(C1483,Categorie!$A$6:$A$65,0)),"Categoria non trovata",IF(G1483="","Categoria senza tipo",""))))))))</f>
        <v/>
      </c>
    </row>
    <row r="1484">
      <c r="A1484" s="29" t="n"/>
      <c r="B1484" s="17" t="n"/>
      <c r="C1484" s="17" t="n"/>
      <c r="D1484" s="16" t="n"/>
      <c r="E1484" s="30" t="n"/>
      <c r="F1484" s="17" t="n"/>
      <c r="G1484" s="31">
        <f>IF(C1484="","",IFERROR(INDEX(Categorie!$B$6:$B$65,MATCH(C1484,Categorie!$A$6:$A$65,0))&amp;"",""))</f>
        <v/>
      </c>
      <c r="H1484" s="32">
        <f>IF(AND(A1484="",C1484="",D1484=""),"",IF(D1484="","Manca l'importo",IF(NOT(ISNUMBER(D1484)),"Importo non valido",IF(NOT(ISNUMBER(A1484)),"Data mancante o non valida",IF(YEAR(A1484)&lt;&gt;Impostazioni!$C$4,"Fuori dall'anno",IF(C1484="","Manca la categoria",IF(ISNA(MATCH(C1484,Categorie!$A$6:$A$65,0)),"Categoria non trovata",IF(G1484="","Categoria senza tipo",""))))))))</f>
        <v/>
      </c>
    </row>
    <row r="1485">
      <c r="A1485" s="29" t="n"/>
      <c r="B1485" s="17" t="n"/>
      <c r="C1485" s="17" t="n"/>
      <c r="D1485" s="16" t="n"/>
      <c r="E1485" s="30" t="n"/>
      <c r="F1485" s="17" t="n"/>
      <c r="G1485" s="31">
        <f>IF(C1485="","",IFERROR(INDEX(Categorie!$B$6:$B$65,MATCH(C1485,Categorie!$A$6:$A$65,0))&amp;"",""))</f>
        <v/>
      </c>
      <c r="H1485" s="32">
        <f>IF(AND(A1485="",C1485="",D1485=""),"",IF(D1485="","Manca l'importo",IF(NOT(ISNUMBER(D1485)),"Importo non valido",IF(NOT(ISNUMBER(A1485)),"Data mancante o non valida",IF(YEAR(A1485)&lt;&gt;Impostazioni!$C$4,"Fuori dall'anno",IF(C1485="","Manca la categoria",IF(ISNA(MATCH(C1485,Categorie!$A$6:$A$65,0)),"Categoria non trovata",IF(G1485="","Categoria senza tipo",""))))))))</f>
        <v/>
      </c>
    </row>
    <row r="1486">
      <c r="A1486" s="29" t="n"/>
      <c r="B1486" s="17" t="n"/>
      <c r="C1486" s="17" t="n"/>
      <c r="D1486" s="16" t="n"/>
      <c r="E1486" s="30" t="n"/>
      <c r="F1486" s="17" t="n"/>
      <c r="G1486" s="31">
        <f>IF(C1486="","",IFERROR(INDEX(Categorie!$B$6:$B$65,MATCH(C1486,Categorie!$A$6:$A$65,0))&amp;"",""))</f>
        <v/>
      </c>
      <c r="H1486" s="32">
        <f>IF(AND(A1486="",C1486="",D1486=""),"",IF(D1486="","Manca l'importo",IF(NOT(ISNUMBER(D1486)),"Importo non valido",IF(NOT(ISNUMBER(A1486)),"Data mancante o non valida",IF(YEAR(A1486)&lt;&gt;Impostazioni!$C$4,"Fuori dall'anno",IF(C1486="","Manca la categoria",IF(ISNA(MATCH(C1486,Categorie!$A$6:$A$65,0)),"Categoria non trovata",IF(G1486="","Categoria senza tipo",""))))))))</f>
        <v/>
      </c>
    </row>
    <row r="1487">
      <c r="A1487" s="29" t="n"/>
      <c r="B1487" s="17" t="n"/>
      <c r="C1487" s="17" t="n"/>
      <c r="D1487" s="16" t="n"/>
      <c r="E1487" s="30" t="n"/>
      <c r="F1487" s="17" t="n"/>
      <c r="G1487" s="31">
        <f>IF(C1487="","",IFERROR(INDEX(Categorie!$B$6:$B$65,MATCH(C1487,Categorie!$A$6:$A$65,0))&amp;"",""))</f>
        <v/>
      </c>
      <c r="H1487" s="32">
        <f>IF(AND(A1487="",C1487="",D1487=""),"",IF(D1487="","Manca l'importo",IF(NOT(ISNUMBER(D1487)),"Importo non valido",IF(NOT(ISNUMBER(A1487)),"Data mancante o non valida",IF(YEAR(A1487)&lt;&gt;Impostazioni!$C$4,"Fuori dall'anno",IF(C1487="","Manca la categoria",IF(ISNA(MATCH(C1487,Categorie!$A$6:$A$65,0)),"Categoria non trovata",IF(G1487="","Categoria senza tipo",""))))))))</f>
        <v/>
      </c>
    </row>
    <row r="1488">
      <c r="A1488" s="29" t="n"/>
      <c r="B1488" s="17" t="n"/>
      <c r="C1488" s="17" t="n"/>
      <c r="D1488" s="16" t="n"/>
      <c r="E1488" s="30" t="n"/>
      <c r="F1488" s="17" t="n"/>
      <c r="G1488" s="31">
        <f>IF(C1488="","",IFERROR(INDEX(Categorie!$B$6:$B$65,MATCH(C1488,Categorie!$A$6:$A$65,0))&amp;"",""))</f>
        <v/>
      </c>
      <c r="H1488" s="32">
        <f>IF(AND(A1488="",C1488="",D1488=""),"",IF(D1488="","Manca l'importo",IF(NOT(ISNUMBER(D1488)),"Importo non valido",IF(NOT(ISNUMBER(A1488)),"Data mancante o non valida",IF(YEAR(A1488)&lt;&gt;Impostazioni!$C$4,"Fuori dall'anno",IF(C1488="","Manca la categoria",IF(ISNA(MATCH(C1488,Categorie!$A$6:$A$65,0)),"Categoria non trovata",IF(G1488="","Categoria senza tipo",""))))))))</f>
        <v/>
      </c>
    </row>
    <row r="1489">
      <c r="A1489" s="29" t="n"/>
      <c r="B1489" s="17" t="n"/>
      <c r="C1489" s="17" t="n"/>
      <c r="D1489" s="16" t="n"/>
      <c r="E1489" s="30" t="n"/>
      <c r="F1489" s="17" t="n"/>
      <c r="G1489" s="31">
        <f>IF(C1489="","",IFERROR(INDEX(Categorie!$B$6:$B$65,MATCH(C1489,Categorie!$A$6:$A$65,0))&amp;"",""))</f>
        <v/>
      </c>
      <c r="H1489" s="32">
        <f>IF(AND(A1489="",C1489="",D1489=""),"",IF(D1489="","Manca l'importo",IF(NOT(ISNUMBER(D1489)),"Importo non valido",IF(NOT(ISNUMBER(A1489)),"Data mancante o non valida",IF(YEAR(A1489)&lt;&gt;Impostazioni!$C$4,"Fuori dall'anno",IF(C1489="","Manca la categoria",IF(ISNA(MATCH(C1489,Categorie!$A$6:$A$65,0)),"Categoria non trovata",IF(G1489="","Categoria senza tipo",""))))))))</f>
        <v/>
      </c>
    </row>
    <row r="1490">
      <c r="A1490" s="29" t="n"/>
      <c r="B1490" s="17" t="n"/>
      <c r="C1490" s="17" t="n"/>
      <c r="D1490" s="16" t="n"/>
      <c r="E1490" s="30" t="n"/>
      <c r="F1490" s="17" t="n"/>
      <c r="G1490" s="31">
        <f>IF(C1490="","",IFERROR(INDEX(Categorie!$B$6:$B$65,MATCH(C1490,Categorie!$A$6:$A$65,0))&amp;"",""))</f>
        <v/>
      </c>
      <c r="H1490" s="32">
        <f>IF(AND(A1490="",C1490="",D1490=""),"",IF(D1490="","Manca l'importo",IF(NOT(ISNUMBER(D1490)),"Importo non valido",IF(NOT(ISNUMBER(A1490)),"Data mancante o non valida",IF(YEAR(A1490)&lt;&gt;Impostazioni!$C$4,"Fuori dall'anno",IF(C1490="","Manca la categoria",IF(ISNA(MATCH(C1490,Categorie!$A$6:$A$65,0)),"Categoria non trovata",IF(G1490="","Categoria senza tipo",""))))))))</f>
        <v/>
      </c>
    </row>
    <row r="1491">
      <c r="A1491" s="29" t="n"/>
      <c r="B1491" s="17" t="n"/>
      <c r="C1491" s="17" t="n"/>
      <c r="D1491" s="16" t="n"/>
      <c r="E1491" s="30" t="n"/>
      <c r="F1491" s="17" t="n"/>
      <c r="G1491" s="31">
        <f>IF(C1491="","",IFERROR(INDEX(Categorie!$B$6:$B$65,MATCH(C1491,Categorie!$A$6:$A$65,0))&amp;"",""))</f>
        <v/>
      </c>
      <c r="H1491" s="32">
        <f>IF(AND(A1491="",C1491="",D1491=""),"",IF(D1491="","Manca l'importo",IF(NOT(ISNUMBER(D1491)),"Importo non valido",IF(NOT(ISNUMBER(A1491)),"Data mancante o non valida",IF(YEAR(A1491)&lt;&gt;Impostazioni!$C$4,"Fuori dall'anno",IF(C1491="","Manca la categoria",IF(ISNA(MATCH(C1491,Categorie!$A$6:$A$65,0)),"Categoria non trovata",IF(G1491="","Categoria senza tipo",""))))))))</f>
        <v/>
      </c>
    </row>
    <row r="1492">
      <c r="A1492" s="29" t="n"/>
      <c r="B1492" s="17" t="n"/>
      <c r="C1492" s="17" t="n"/>
      <c r="D1492" s="16" t="n"/>
      <c r="E1492" s="30" t="n"/>
      <c r="F1492" s="17" t="n"/>
      <c r="G1492" s="31">
        <f>IF(C1492="","",IFERROR(INDEX(Categorie!$B$6:$B$65,MATCH(C1492,Categorie!$A$6:$A$65,0))&amp;"",""))</f>
        <v/>
      </c>
      <c r="H1492" s="32">
        <f>IF(AND(A1492="",C1492="",D1492=""),"",IF(D1492="","Manca l'importo",IF(NOT(ISNUMBER(D1492)),"Importo non valido",IF(NOT(ISNUMBER(A1492)),"Data mancante o non valida",IF(YEAR(A1492)&lt;&gt;Impostazioni!$C$4,"Fuori dall'anno",IF(C1492="","Manca la categoria",IF(ISNA(MATCH(C1492,Categorie!$A$6:$A$65,0)),"Categoria non trovata",IF(G1492="","Categoria senza tipo",""))))))))</f>
        <v/>
      </c>
    </row>
    <row r="1493">
      <c r="A1493" s="29" t="n"/>
      <c r="B1493" s="17" t="n"/>
      <c r="C1493" s="17" t="n"/>
      <c r="D1493" s="16" t="n"/>
      <c r="E1493" s="30" t="n"/>
      <c r="F1493" s="17" t="n"/>
      <c r="G1493" s="31">
        <f>IF(C1493="","",IFERROR(INDEX(Categorie!$B$6:$B$65,MATCH(C1493,Categorie!$A$6:$A$65,0))&amp;"",""))</f>
        <v/>
      </c>
      <c r="H1493" s="32">
        <f>IF(AND(A1493="",C1493="",D1493=""),"",IF(D1493="","Manca l'importo",IF(NOT(ISNUMBER(D1493)),"Importo non valido",IF(NOT(ISNUMBER(A1493)),"Data mancante o non valida",IF(YEAR(A1493)&lt;&gt;Impostazioni!$C$4,"Fuori dall'anno",IF(C1493="","Manca la categoria",IF(ISNA(MATCH(C1493,Categorie!$A$6:$A$65,0)),"Categoria non trovata",IF(G1493="","Categoria senza tipo",""))))))))</f>
        <v/>
      </c>
    </row>
    <row r="1494">
      <c r="A1494" s="29" t="n"/>
      <c r="B1494" s="17" t="n"/>
      <c r="C1494" s="17" t="n"/>
      <c r="D1494" s="16" t="n"/>
      <c r="E1494" s="30" t="n"/>
      <c r="F1494" s="17" t="n"/>
      <c r="G1494" s="31">
        <f>IF(C1494="","",IFERROR(INDEX(Categorie!$B$6:$B$65,MATCH(C1494,Categorie!$A$6:$A$65,0))&amp;"",""))</f>
        <v/>
      </c>
      <c r="H1494" s="32">
        <f>IF(AND(A1494="",C1494="",D1494=""),"",IF(D1494="","Manca l'importo",IF(NOT(ISNUMBER(D1494)),"Importo non valido",IF(NOT(ISNUMBER(A1494)),"Data mancante o non valida",IF(YEAR(A1494)&lt;&gt;Impostazioni!$C$4,"Fuori dall'anno",IF(C1494="","Manca la categoria",IF(ISNA(MATCH(C1494,Categorie!$A$6:$A$65,0)),"Categoria non trovata",IF(G1494="","Categoria senza tipo",""))))))))</f>
        <v/>
      </c>
    </row>
    <row r="1495">
      <c r="A1495" s="29" t="n"/>
      <c r="B1495" s="17" t="n"/>
      <c r="C1495" s="17" t="n"/>
      <c r="D1495" s="16" t="n"/>
      <c r="E1495" s="30" t="n"/>
      <c r="F1495" s="17" t="n"/>
      <c r="G1495" s="31">
        <f>IF(C1495="","",IFERROR(INDEX(Categorie!$B$6:$B$65,MATCH(C1495,Categorie!$A$6:$A$65,0))&amp;"",""))</f>
        <v/>
      </c>
      <c r="H1495" s="32">
        <f>IF(AND(A1495="",C1495="",D1495=""),"",IF(D1495="","Manca l'importo",IF(NOT(ISNUMBER(D1495)),"Importo non valido",IF(NOT(ISNUMBER(A1495)),"Data mancante o non valida",IF(YEAR(A1495)&lt;&gt;Impostazioni!$C$4,"Fuori dall'anno",IF(C1495="","Manca la categoria",IF(ISNA(MATCH(C1495,Categorie!$A$6:$A$65,0)),"Categoria non trovata",IF(G1495="","Categoria senza tipo",""))))))))</f>
        <v/>
      </c>
    </row>
    <row r="1496">
      <c r="A1496" s="29" t="n"/>
      <c r="B1496" s="17" t="n"/>
      <c r="C1496" s="17" t="n"/>
      <c r="D1496" s="16" t="n"/>
      <c r="E1496" s="30" t="n"/>
      <c r="F1496" s="17" t="n"/>
      <c r="G1496" s="31">
        <f>IF(C1496="","",IFERROR(INDEX(Categorie!$B$6:$B$65,MATCH(C1496,Categorie!$A$6:$A$65,0))&amp;"",""))</f>
        <v/>
      </c>
      <c r="H1496" s="32">
        <f>IF(AND(A1496="",C1496="",D1496=""),"",IF(D1496="","Manca l'importo",IF(NOT(ISNUMBER(D1496)),"Importo non valido",IF(NOT(ISNUMBER(A1496)),"Data mancante o non valida",IF(YEAR(A1496)&lt;&gt;Impostazioni!$C$4,"Fuori dall'anno",IF(C1496="","Manca la categoria",IF(ISNA(MATCH(C1496,Categorie!$A$6:$A$65,0)),"Categoria non trovata",IF(G1496="","Categoria senza tipo",""))))))))</f>
        <v/>
      </c>
    </row>
    <row r="1497">
      <c r="A1497" s="29" t="n"/>
      <c r="B1497" s="17" t="n"/>
      <c r="C1497" s="17" t="n"/>
      <c r="D1497" s="16" t="n"/>
      <c r="E1497" s="30" t="n"/>
      <c r="F1497" s="17" t="n"/>
      <c r="G1497" s="31">
        <f>IF(C1497="","",IFERROR(INDEX(Categorie!$B$6:$B$65,MATCH(C1497,Categorie!$A$6:$A$65,0))&amp;"",""))</f>
        <v/>
      </c>
      <c r="H1497" s="32">
        <f>IF(AND(A1497="",C1497="",D1497=""),"",IF(D1497="","Manca l'importo",IF(NOT(ISNUMBER(D1497)),"Importo non valido",IF(NOT(ISNUMBER(A1497)),"Data mancante o non valida",IF(YEAR(A1497)&lt;&gt;Impostazioni!$C$4,"Fuori dall'anno",IF(C1497="","Manca la categoria",IF(ISNA(MATCH(C1497,Categorie!$A$6:$A$65,0)),"Categoria non trovata",IF(G1497="","Categoria senza tipo",""))))))))</f>
        <v/>
      </c>
    </row>
    <row r="1498">
      <c r="A1498" s="29" t="n"/>
      <c r="B1498" s="17" t="n"/>
      <c r="C1498" s="17" t="n"/>
      <c r="D1498" s="16" t="n"/>
      <c r="E1498" s="30" t="n"/>
      <c r="F1498" s="17" t="n"/>
      <c r="G1498" s="31">
        <f>IF(C1498="","",IFERROR(INDEX(Categorie!$B$6:$B$65,MATCH(C1498,Categorie!$A$6:$A$65,0))&amp;"",""))</f>
        <v/>
      </c>
      <c r="H1498" s="32">
        <f>IF(AND(A1498="",C1498="",D1498=""),"",IF(D1498="","Manca l'importo",IF(NOT(ISNUMBER(D1498)),"Importo non valido",IF(NOT(ISNUMBER(A1498)),"Data mancante o non valida",IF(YEAR(A1498)&lt;&gt;Impostazioni!$C$4,"Fuori dall'anno",IF(C1498="","Manca la categoria",IF(ISNA(MATCH(C1498,Categorie!$A$6:$A$65,0)),"Categoria non trovata",IF(G1498="","Categoria senza tipo",""))))))))</f>
        <v/>
      </c>
    </row>
    <row r="1499">
      <c r="A1499" s="29" t="n"/>
      <c r="B1499" s="17" t="n"/>
      <c r="C1499" s="17" t="n"/>
      <c r="D1499" s="16" t="n"/>
      <c r="E1499" s="30" t="n"/>
      <c r="F1499" s="17" t="n"/>
      <c r="G1499" s="31">
        <f>IF(C1499="","",IFERROR(INDEX(Categorie!$B$6:$B$65,MATCH(C1499,Categorie!$A$6:$A$65,0))&amp;"",""))</f>
        <v/>
      </c>
      <c r="H1499" s="32">
        <f>IF(AND(A1499="",C1499="",D1499=""),"",IF(D1499="","Manca l'importo",IF(NOT(ISNUMBER(D1499)),"Importo non valido",IF(NOT(ISNUMBER(A1499)),"Data mancante o non valida",IF(YEAR(A1499)&lt;&gt;Impostazioni!$C$4,"Fuori dall'anno",IF(C1499="","Manca la categoria",IF(ISNA(MATCH(C1499,Categorie!$A$6:$A$65,0)),"Categoria non trovata",IF(G1499="","Categoria senza tipo",""))))))))</f>
        <v/>
      </c>
    </row>
    <row r="1500">
      <c r="A1500" s="29" t="n"/>
      <c r="B1500" s="17" t="n"/>
      <c r="C1500" s="17" t="n"/>
      <c r="D1500" s="16" t="n"/>
      <c r="E1500" s="30" t="n"/>
      <c r="F1500" s="17" t="n"/>
      <c r="G1500" s="31">
        <f>IF(C1500="","",IFERROR(INDEX(Categorie!$B$6:$B$65,MATCH(C1500,Categorie!$A$6:$A$65,0))&amp;"",""))</f>
        <v/>
      </c>
      <c r="H1500" s="32">
        <f>IF(AND(A1500="",C1500="",D1500=""),"",IF(D1500="","Manca l'importo",IF(NOT(ISNUMBER(D1500)),"Importo non valido",IF(NOT(ISNUMBER(A1500)),"Data mancante o non valida",IF(YEAR(A1500)&lt;&gt;Impostazioni!$C$4,"Fuori dall'anno",IF(C1500="","Manca la categoria",IF(ISNA(MATCH(C1500,Categorie!$A$6:$A$65,0)),"Categoria non trovata",IF(G1500="","Categoria senza tipo",""))))))))</f>
        <v/>
      </c>
    </row>
    <row r="1501">
      <c r="A1501" s="29" t="n"/>
      <c r="B1501" s="17" t="n"/>
      <c r="C1501" s="17" t="n"/>
      <c r="D1501" s="16" t="n"/>
      <c r="E1501" s="30" t="n"/>
      <c r="F1501" s="17" t="n"/>
      <c r="G1501" s="31">
        <f>IF(C1501="","",IFERROR(INDEX(Categorie!$B$6:$B$65,MATCH(C1501,Categorie!$A$6:$A$65,0))&amp;"",""))</f>
        <v/>
      </c>
      <c r="H1501" s="32">
        <f>IF(AND(A1501="",C1501="",D1501=""),"",IF(D1501="","Manca l'importo",IF(NOT(ISNUMBER(D1501)),"Importo non valido",IF(NOT(ISNUMBER(A1501)),"Data mancante o non valida",IF(YEAR(A1501)&lt;&gt;Impostazioni!$C$4,"Fuori dall'anno",IF(C1501="","Manca la categoria",IF(ISNA(MATCH(C1501,Categorie!$A$6:$A$65,0)),"Categoria non trovata",IF(G1501="","Categoria senza tipo",""))))))))</f>
        <v/>
      </c>
    </row>
    <row r="1502">
      <c r="A1502" s="29" t="n"/>
      <c r="B1502" s="17" t="n"/>
      <c r="C1502" s="17" t="n"/>
      <c r="D1502" s="16" t="n"/>
      <c r="E1502" s="30" t="n"/>
      <c r="F1502" s="17" t="n"/>
      <c r="G1502" s="31">
        <f>IF(C1502="","",IFERROR(INDEX(Categorie!$B$6:$B$65,MATCH(C1502,Categorie!$A$6:$A$65,0))&amp;"",""))</f>
        <v/>
      </c>
      <c r="H1502" s="32">
        <f>IF(AND(A1502="",C1502="",D1502=""),"",IF(D1502="","Manca l'importo",IF(NOT(ISNUMBER(D1502)),"Importo non valido",IF(NOT(ISNUMBER(A1502)),"Data mancante o non valida",IF(YEAR(A1502)&lt;&gt;Impostazioni!$C$4,"Fuori dall'anno",IF(C1502="","Manca la categoria",IF(ISNA(MATCH(C1502,Categorie!$A$6:$A$65,0)),"Categoria non trovata",IF(G1502="","Categoria senza tipo",""))))))))</f>
        <v/>
      </c>
    </row>
    <row r="1503">
      <c r="A1503" s="29" t="n"/>
      <c r="B1503" s="17" t="n"/>
      <c r="C1503" s="17" t="n"/>
      <c r="D1503" s="16" t="n"/>
      <c r="E1503" s="30" t="n"/>
      <c r="F1503" s="17" t="n"/>
      <c r="G1503" s="31">
        <f>IF(C1503="","",IFERROR(INDEX(Categorie!$B$6:$B$65,MATCH(C1503,Categorie!$A$6:$A$65,0))&amp;"",""))</f>
        <v/>
      </c>
      <c r="H1503" s="32">
        <f>IF(AND(A1503="",C1503="",D1503=""),"",IF(D1503="","Manca l'importo",IF(NOT(ISNUMBER(D1503)),"Importo non valido",IF(NOT(ISNUMBER(A1503)),"Data mancante o non valida",IF(YEAR(A1503)&lt;&gt;Impostazioni!$C$4,"Fuori dall'anno",IF(C1503="","Manca la categoria",IF(ISNA(MATCH(C1503,Categorie!$A$6:$A$65,0)),"Categoria non trovata",IF(G1503="","Categoria senza tipo",""))))))))</f>
        <v/>
      </c>
    </row>
    <row r="1504">
      <c r="A1504" s="29" t="n"/>
      <c r="B1504" s="17" t="n"/>
      <c r="C1504" s="17" t="n"/>
      <c r="D1504" s="16" t="n"/>
      <c r="E1504" s="30" t="n"/>
      <c r="F1504" s="17" t="n"/>
      <c r="G1504" s="31">
        <f>IF(C1504="","",IFERROR(INDEX(Categorie!$B$6:$B$65,MATCH(C1504,Categorie!$A$6:$A$65,0))&amp;"",""))</f>
        <v/>
      </c>
      <c r="H1504" s="32">
        <f>IF(AND(A1504="",C1504="",D1504=""),"",IF(D1504="","Manca l'importo",IF(NOT(ISNUMBER(D1504)),"Importo non valido",IF(NOT(ISNUMBER(A1504)),"Data mancante o non valida",IF(YEAR(A1504)&lt;&gt;Impostazioni!$C$4,"Fuori dall'anno",IF(C1504="","Manca la categoria",IF(ISNA(MATCH(C1504,Categorie!$A$6:$A$65,0)),"Categoria non trovata",IF(G1504="","Categoria senza tipo",""))))))))</f>
        <v/>
      </c>
    </row>
    <row r="1505">
      <c r="A1505" s="29" t="n"/>
      <c r="B1505" s="17" t="n"/>
      <c r="C1505" s="17" t="n"/>
      <c r="D1505" s="16" t="n"/>
      <c r="E1505" s="30" t="n"/>
      <c r="F1505" s="17" t="n"/>
      <c r="G1505" s="31">
        <f>IF(C1505="","",IFERROR(INDEX(Categorie!$B$6:$B$65,MATCH(C1505,Categorie!$A$6:$A$65,0))&amp;"",""))</f>
        <v/>
      </c>
      <c r="H1505" s="32">
        <f>IF(AND(A1505="",C1505="",D1505=""),"",IF(D1505="","Manca l'importo",IF(NOT(ISNUMBER(D1505)),"Importo non valido",IF(NOT(ISNUMBER(A1505)),"Data mancante o non valida",IF(YEAR(A1505)&lt;&gt;Impostazioni!$C$4,"Fuori dall'anno",IF(C1505="","Manca la categoria",IF(ISNA(MATCH(C1505,Categorie!$A$6:$A$65,0)),"Categoria non trovata",IF(G1505="","Categoria senza tipo",""))))))))</f>
        <v/>
      </c>
    </row>
    <row r="1506">
      <c r="A1506" s="29" t="n"/>
      <c r="B1506" s="17" t="n"/>
      <c r="C1506" s="17" t="n"/>
      <c r="D1506" s="16" t="n"/>
      <c r="E1506" s="30" t="n"/>
      <c r="F1506" s="17" t="n"/>
      <c r="G1506" s="31">
        <f>IF(C1506="","",IFERROR(INDEX(Categorie!$B$6:$B$65,MATCH(C1506,Categorie!$A$6:$A$65,0))&amp;"",""))</f>
        <v/>
      </c>
      <c r="H1506" s="32">
        <f>IF(AND(A1506="",C1506="",D1506=""),"",IF(D1506="","Manca l'importo",IF(NOT(ISNUMBER(D1506)),"Importo non valido",IF(NOT(ISNUMBER(A1506)),"Data mancante o non valida",IF(YEAR(A1506)&lt;&gt;Impostazioni!$C$4,"Fuori dall'anno",IF(C1506="","Manca la categoria",IF(ISNA(MATCH(C1506,Categorie!$A$6:$A$65,0)),"Categoria non trovata",IF(G1506="","Categoria senza tipo",""))))))))</f>
        <v/>
      </c>
    </row>
    <row r="1507">
      <c r="A1507" s="29" t="n"/>
      <c r="B1507" s="17" t="n"/>
      <c r="C1507" s="17" t="n"/>
      <c r="D1507" s="16" t="n"/>
      <c r="E1507" s="30" t="n"/>
      <c r="F1507" s="17" t="n"/>
      <c r="G1507" s="31">
        <f>IF(C1507="","",IFERROR(INDEX(Categorie!$B$6:$B$65,MATCH(C1507,Categorie!$A$6:$A$65,0))&amp;"",""))</f>
        <v/>
      </c>
      <c r="H1507" s="32">
        <f>IF(AND(A1507="",C1507="",D1507=""),"",IF(D1507="","Manca l'importo",IF(NOT(ISNUMBER(D1507)),"Importo non valido",IF(NOT(ISNUMBER(A1507)),"Data mancante o non valida",IF(YEAR(A1507)&lt;&gt;Impostazioni!$C$4,"Fuori dall'anno",IF(C1507="","Manca la categoria",IF(ISNA(MATCH(C1507,Categorie!$A$6:$A$65,0)),"Categoria non trovata",IF(G1507="","Categoria senza tipo",""))))))))</f>
        <v/>
      </c>
    </row>
    <row r="1508">
      <c r="A1508" s="29" t="n"/>
      <c r="B1508" s="17" t="n"/>
      <c r="C1508" s="17" t="n"/>
      <c r="D1508" s="16" t="n"/>
      <c r="E1508" s="30" t="n"/>
      <c r="F1508" s="17" t="n"/>
      <c r="G1508" s="31">
        <f>IF(C1508="","",IFERROR(INDEX(Categorie!$B$6:$B$65,MATCH(C1508,Categorie!$A$6:$A$65,0))&amp;"",""))</f>
        <v/>
      </c>
      <c r="H1508" s="32">
        <f>IF(AND(A1508="",C1508="",D1508=""),"",IF(D1508="","Manca l'importo",IF(NOT(ISNUMBER(D1508)),"Importo non valido",IF(NOT(ISNUMBER(A1508)),"Data mancante o non valida",IF(YEAR(A1508)&lt;&gt;Impostazioni!$C$4,"Fuori dall'anno",IF(C1508="","Manca la categoria",IF(ISNA(MATCH(C1508,Categorie!$A$6:$A$65,0)),"Categoria non trovata",IF(G1508="","Categoria senza tipo",""))))))))</f>
        <v/>
      </c>
    </row>
    <row r="1509">
      <c r="A1509" s="29" t="n"/>
      <c r="B1509" s="17" t="n"/>
      <c r="C1509" s="17" t="n"/>
      <c r="D1509" s="16" t="n"/>
      <c r="E1509" s="30" t="n"/>
      <c r="F1509" s="17" t="n"/>
      <c r="G1509" s="31">
        <f>IF(C1509="","",IFERROR(INDEX(Categorie!$B$6:$B$65,MATCH(C1509,Categorie!$A$6:$A$65,0))&amp;"",""))</f>
        <v/>
      </c>
      <c r="H1509" s="32">
        <f>IF(AND(A1509="",C1509="",D1509=""),"",IF(D1509="","Manca l'importo",IF(NOT(ISNUMBER(D1509)),"Importo non valido",IF(NOT(ISNUMBER(A1509)),"Data mancante o non valida",IF(YEAR(A1509)&lt;&gt;Impostazioni!$C$4,"Fuori dall'anno",IF(C1509="","Manca la categoria",IF(ISNA(MATCH(C1509,Categorie!$A$6:$A$65,0)),"Categoria non trovata",IF(G1509="","Categoria senza tipo",""))))))))</f>
        <v/>
      </c>
    </row>
    <row r="1510">
      <c r="A1510" s="29" t="n"/>
      <c r="B1510" s="17" t="n"/>
      <c r="C1510" s="17" t="n"/>
      <c r="D1510" s="16" t="n"/>
      <c r="E1510" s="30" t="n"/>
      <c r="F1510" s="17" t="n"/>
      <c r="G1510" s="31">
        <f>IF(C1510="","",IFERROR(INDEX(Categorie!$B$6:$B$65,MATCH(C1510,Categorie!$A$6:$A$65,0))&amp;"",""))</f>
        <v/>
      </c>
      <c r="H1510" s="32">
        <f>IF(AND(A1510="",C1510="",D1510=""),"",IF(D1510="","Manca l'importo",IF(NOT(ISNUMBER(D1510)),"Importo non valido",IF(NOT(ISNUMBER(A1510)),"Data mancante o non valida",IF(YEAR(A1510)&lt;&gt;Impostazioni!$C$4,"Fuori dall'anno",IF(C1510="","Manca la categoria",IF(ISNA(MATCH(C1510,Categorie!$A$6:$A$65,0)),"Categoria non trovata",IF(G1510="","Categoria senza tipo",""))))))))</f>
        <v/>
      </c>
    </row>
    <row r="1511">
      <c r="A1511" s="29" t="n"/>
      <c r="B1511" s="17" t="n"/>
      <c r="C1511" s="17" t="n"/>
      <c r="D1511" s="16" t="n"/>
      <c r="E1511" s="30" t="n"/>
      <c r="F1511" s="17" t="n"/>
      <c r="G1511" s="31">
        <f>IF(C1511="","",IFERROR(INDEX(Categorie!$B$6:$B$65,MATCH(C1511,Categorie!$A$6:$A$65,0))&amp;"",""))</f>
        <v/>
      </c>
      <c r="H1511" s="32">
        <f>IF(AND(A1511="",C1511="",D1511=""),"",IF(D1511="","Manca l'importo",IF(NOT(ISNUMBER(D1511)),"Importo non valido",IF(NOT(ISNUMBER(A1511)),"Data mancante o non valida",IF(YEAR(A1511)&lt;&gt;Impostazioni!$C$4,"Fuori dall'anno",IF(C1511="","Manca la categoria",IF(ISNA(MATCH(C1511,Categorie!$A$6:$A$65,0)),"Categoria non trovata",IF(G1511="","Categoria senza tipo",""))))))))</f>
        <v/>
      </c>
    </row>
    <row r="1512">
      <c r="A1512" s="29" t="n"/>
      <c r="B1512" s="17" t="n"/>
      <c r="C1512" s="17" t="n"/>
      <c r="D1512" s="16" t="n"/>
      <c r="E1512" s="30" t="n"/>
      <c r="F1512" s="17" t="n"/>
      <c r="G1512" s="31">
        <f>IF(C1512="","",IFERROR(INDEX(Categorie!$B$6:$B$65,MATCH(C1512,Categorie!$A$6:$A$65,0))&amp;"",""))</f>
        <v/>
      </c>
      <c r="H1512" s="32">
        <f>IF(AND(A1512="",C1512="",D1512=""),"",IF(D1512="","Manca l'importo",IF(NOT(ISNUMBER(D1512)),"Importo non valido",IF(NOT(ISNUMBER(A1512)),"Data mancante o non valida",IF(YEAR(A1512)&lt;&gt;Impostazioni!$C$4,"Fuori dall'anno",IF(C1512="","Manca la categoria",IF(ISNA(MATCH(C1512,Categorie!$A$6:$A$65,0)),"Categoria non trovata",IF(G1512="","Categoria senza tipo",""))))))))</f>
        <v/>
      </c>
    </row>
    <row r="1513">
      <c r="A1513" s="29" t="n"/>
      <c r="B1513" s="17" t="n"/>
      <c r="C1513" s="17" t="n"/>
      <c r="D1513" s="16" t="n"/>
      <c r="E1513" s="30" t="n"/>
      <c r="F1513" s="17" t="n"/>
      <c r="G1513" s="31">
        <f>IF(C1513="","",IFERROR(INDEX(Categorie!$B$6:$B$65,MATCH(C1513,Categorie!$A$6:$A$65,0))&amp;"",""))</f>
        <v/>
      </c>
      <c r="H1513" s="32">
        <f>IF(AND(A1513="",C1513="",D1513=""),"",IF(D1513="","Manca l'importo",IF(NOT(ISNUMBER(D1513)),"Importo non valido",IF(NOT(ISNUMBER(A1513)),"Data mancante o non valida",IF(YEAR(A1513)&lt;&gt;Impostazioni!$C$4,"Fuori dall'anno",IF(C1513="","Manca la categoria",IF(ISNA(MATCH(C1513,Categorie!$A$6:$A$65,0)),"Categoria non trovata",IF(G1513="","Categoria senza tipo",""))))))))</f>
        <v/>
      </c>
    </row>
    <row r="1514">
      <c r="A1514" s="29" t="n"/>
      <c r="B1514" s="17" t="n"/>
      <c r="C1514" s="17" t="n"/>
      <c r="D1514" s="16" t="n"/>
      <c r="E1514" s="30" t="n"/>
      <c r="F1514" s="17" t="n"/>
      <c r="G1514" s="31">
        <f>IF(C1514="","",IFERROR(INDEX(Categorie!$B$6:$B$65,MATCH(C1514,Categorie!$A$6:$A$65,0))&amp;"",""))</f>
        <v/>
      </c>
      <c r="H1514" s="32">
        <f>IF(AND(A1514="",C1514="",D1514=""),"",IF(D1514="","Manca l'importo",IF(NOT(ISNUMBER(D1514)),"Importo non valido",IF(NOT(ISNUMBER(A1514)),"Data mancante o non valida",IF(YEAR(A1514)&lt;&gt;Impostazioni!$C$4,"Fuori dall'anno",IF(C1514="","Manca la categoria",IF(ISNA(MATCH(C1514,Categorie!$A$6:$A$65,0)),"Categoria non trovata",IF(G1514="","Categoria senza tipo",""))))))))</f>
        <v/>
      </c>
    </row>
    <row r="1515">
      <c r="A1515" s="29" t="n"/>
      <c r="B1515" s="17" t="n"/>
      <c r="C1515" s="17" t="n"/>
      <c r="D1515" s="16" t="n"/>
      <c r="E1515" s="30" t="n"/>
      <c r="F1515" s="17" t="n"/>
      <c r="G1515" s="31">
        <f>IF(C1515="","",IFERROR(INDEX(Categorie!$B$6:$B$65,MATCH(C1515,Categorie!$A$6:$A$65,0))&amp;"",""))</f>
        <v/>
      </c>
      <c r="H1515" s="32">
        <f>IF(AND(A1515="",C1515="",D1515=""),"",IF(D1515="","Manca l'importo",IF(NOT(ISNUMBER(D1515)),"Importo non valido",IF(NOT(ISNUMBER(A1515)),"Data mancante o non valida",IF(YEAR(A1515)&lt;&gt;Impostazioni!$C$4,"Fuori dall'anno",IF(C1515="","Manca la categoria",IF(ISNA(MATCH(C1515,Categorie!$A$6:$A$65,0)),"Categoria non trovata",IF(G1515="","Categoria senza tipo",""))))))))</f>
        <v/>
      </c>
    </row>
    <row r="1516">
      <c r="A1516" s="29" t="n"/>
      <c r="B1516" s="17" t="n"/>
      <c r="C1516" s="17" t="n"/>
      <c r="D1516" s="16" t="n"/>
      <c r="E1516" s="30" t="n"/>
      <c r="F1516" s="17" t="n"/>
      <c r="G1516" s="31">
        <f>IF(C1516="","",IFERROR(INDEX(Categorie!$B$6:$B$65,MATCH(C1516,Categorie!$A$6:$A$65,0))&amp;"",""))</f>
        <v/>
      </c>
      <c r="H1516" s="32">
        <f>IF(AND(A1516="",C1516="",D1516=""),"",IF(D1516="","Manca l'importo",IF(NOT(ISNUMBER(D1516)),"Importo non valido",IF(NOT(ISNUMBER(A1516)),"Data mancante o non valida",IF(YEAR(A1516)&lt;&gt;Impostazioni!$C$4,"Fuori dall'anno",IF(C1516="","Manca la categoria",IF(ISNA(MATCH(C1516,Categorie!$A$6:$A$65,0)),"Categoria non trovata",IF(G1516="","Categoria senza tipo",""))))))))</f>
        <v/>
      </c>
    </row>
    <row r="1517">
      <c r="A1517" s="29" t="n"/>
      <c r="B1517" s="17" t="n"/>
      <c r="C1517" s="17" t="n"/>
      <c r="D1517" s="16" t="n"/>
      <c r="E1517" s="30" t="n"/>
      <c r="F1517" s="17" t="n"/>
      <c r="G1517" s="31">
        <f>IF(C1517="","",IFERROR(INDEX(Categorie!$B$6:$B$65,MATCH(C1517,Categorie!$A$6:$A$65,0))&amp;"",""))</f>
        <v/>
      </c>
      <c r="H1517" s="32">
        <f>IF(AND(A1517="",C1517="",D1517=""),"",IF(D1517="","Manca l'importo",IF(NOT(ISNUMBER(D1517)),"Importo non valido",IF(NOT(ISNUMBER(A1517)),"Data mancante o non valida",IF(YEAR(A1517)&lt;&gt;Impostazioni!$C$4,"Fuori dall'anno",IF(C1517="","Manca la categoria",IF(ISNA(MATCH(C1517,Categorie!$A$6:$A$65,0)),"Categoria non trovata",IF(G1517="","Categoria senza tipo",""))))))))</f>
        <v/>
      </c>
    </row>
    <row r="1518">
      <c r="A1518" s="29" t="n"/>
      <c r="B1518" s="17" t="n"/>
      <c r="C1518" s="17" t="n"/>
      <c r="D1518" s="16" t="n"/>
      <c r="E1518" s="30" t="n"/>
      <c r="F1518" s="17" t="n"/>
      <c r="G1518" s="31">
        <f>IF(C1518="","",IFERROR(INDEX(Categorie!$B$6:$B$65,MATCH(C1518,Categorie!$A$6:$A$65,0))&amp;"",""))</f>
        <v/>
      </c>
      <c r="H1518" s="32">
        <f>IF(AND(A1518="",C1518="",D1518=""),"",IF(D1518="","Manca l'importo",IF(NOT(ISNUMBER(D1518)),"Importo non valido",IF(NOT(ISNUMBER(A1518)),"Data mancante o non valida",IF(YEAR(A1518)&lt;&gt;Impostazioni!$C$4,"Fuori dall'anno",IF(C1518="","Manca la categoria",IF(ISNA(MATCH(C1518,Categorie!$A$6:$A$65,0)),"Categoria non trovata",IF(G1518="","Categoria senza tipo",""))))))))</f>
        <v/>
      </c>
    </row>
    <row r="1519">
      <c r="A1519" s="29" t="n"/>
      <c r="B1519" s="17" t="n"/>
      <c r="C1519" s="17" t="n"/>
      <c r="D1519" s="16" t="n"/>
      <c r="E1519" s="30" t="n"/>
      <c r="F1519" s="17" t="n"/>
      <c r="G1519" s="31">
        <f>IF(C1519="","",IFERROR(INDEX(Categorie!$B$6:$B$65,MATCH(C1519,Categorie!$A$6:$A$65,0))&amp;"",""))</f>
        <v/>
      </c>
      <c r="H1519" s="32">
        <f>IF(AND(A1519="",C1519="",D1519=""),"",IF(D1519="","Manca l'importo",IF(NOT(ISNUMBER(D1519)),"Importo non valido",IF(NOT(ISNUMBER(A1519)),"Data mancante o non valida",IF(YEAR(A1519)&lt;&gt;Impostazioni!$C$4,"Fuori dall'anno",IF(C1519="","Manca la categoria",IF(ISNA(MATCH(C1519,Categorie!$A$6:$A$65,0)),"Categoria non trovata",IF(G1519="","Categoria senza tipo",""))))))))</f>
        <v/>
      </c>
    </row>
    <row r="1520">
      <c r="A1520" s="29" t="n"/>
      <c r="B1520" s="17" t="n"/>
      <c r="C1520" s="17" t="n"/>
      <c r="D1520" s="16" t="n"/>
      <c r="E1520" s="30" t="n"/>
      <c r="F1520" s="17" t="n"/>
      <c r="G1520" s="31">
        <f>IF(C1520="","",IFERROR(INDEX(Categorie!$B$6:$B$65,MATCH(C1520,Categorie!$A$6:$A$65,0))&amp;"",""))</f>
        <v/>
      </c>
      <c r="H1520" s="32">
        <f>IF(AND(A1520="",C1520="",D1520=""),"",IF(D1520="","Manca l'importo",IF(NOT(ISNUMBER(D1520)),"Importo non valido",IF(NOT(ISNUMBER(A1520)),"Data mancante o non valida",IF(YEAR(A1520)&lt;&gt;Impostazioni!$C$4,"Fuori dall'anno",IF(C1520="","Manca la categoria",IF(ISNA(MATCH(C1520,Categorie!$A$6:$A$65,0)),"Categoria non trovata",IF(G1520="","Categoria senza tipo",""))))))))</f>
        <v/>
      </c>
    </row>
    <row r="1521">
      <c r="A1521" s="29" t="n"/>
      <c r="B1521" s="17" t="n"/>
      <c r="C1521" s="17" t="n"/>
      <c r="D1521" s="16" t="n"/>
      <c r="E1521" s="30" t="n"/>
      <c r="F1521" s="17" t="n"/>
      <c r="G1521" s="31">
        <f>IF(C1521="","",IFERROR(INDEX(Categorie!$B$6:$B$65,MATCH(C1521,Categorie!$A$6:$A$65,0))&amp;"",""))</f>
        <v/>
      </c>
      <c r="H1521" s="32">
        <f>IF(AND(A1521="",C1521="",D1521=""),"",IF(D1521="","Manca l'importo",IF(NOT(ISNUMBER(D1521)),"Importo non valido",IF(NOT(ISNUMBER(A1521)),"Data mancante o non valida",IF(YEAR(A1521)&lt;&gt;Impostazioni!$C$4,"Fuori dall'anno",IF(C1521="","Manca la categoria",IF(ISNA(MATCH(C1521,Categorie!$A$6:$A$65,0)),"Categoria non trovata",IF(G1521="","Categoria senza tipo",""))))))))</f>
        <v/>
      </c>
    </row>
    <row r="1522">
      <c r="A1522" s="29" t="n"/>
      <c r="B1522" s="17" t="n"/>
      <c r="C1522" s="17" t="n"/>
      <c r="D1522" s="16" t="n"/>
      <c r="E1522" s="30" t="n"/>
      <c r="F1522" s="17" t="n"/>
      <c r="G1522" s="31">
        <f>IF(C1522="","",IFERROR(INDEX(Categorie!$B$6:$B$65,MATCH(C1522,Categorie!$A$6:$A$65,0))&amp;"",""))</f>
        <v/>
      </c>
      <c r="H1522" s="32">
        <f>IF(AND(A1522="",C1522="",D1522=""),"",IF(D1522="","Manca l'importo",IF(NOT(ISNUMBER(D1522)),"Importo non valido",IF(NOT(ISNUMBER(A1522)),"Data mancante o non valida",IF(YEAR(A1522)&lt;&gt;Impostazioni!$C$4,"Fuori dall'anno",IF(C1522="","Manca la categoria",IF(ISNA(MATCH(C1522,Categorie!$A$6:$A$65,0)),"Categoria non trovata",IF(G1522="","Categoria senza tipo",""))))))))</f>
        <v/>
      </c>
    </row>
    <row r="1523">
      <c r="A1523" s="29" t="n"/>
      <c r="B1523" s="17" t="n"/>
      <c r="C1523" s="17" t="n"/>
      <c r="D1523" s="16" t="n"/>
      <c r="E1523" s="30" t="n"/>
      <c r="F1523" s="17" t="n"/>
      <c r="G1523" s="31">
        <f>IF(C1523="","",IFERROR(INDEX(Categorie!$B$6:$B$65,MATCH(C1523,Categorie!$A$6:$A$65,0))&amp;"",""))</f>
        <v/>
      </c>
      <c r="H1523" s="32">
        <f>IF(AND(A1523="",C1523="",D1523=""),"",IF(D1523="","Manca l'importo",IF(NOT(ISNUMBER(D1523)),"Importo non valido",IF(NOT(ISNUMBER(A1523)),"Data mancante o non valida",IF(YEAR(A1523)&lt;&gt;Impostazioni!$C$4,"Fuori dall'anno",IF(C1523="","Manca la categoria",IF(ISNA(MATCH(C1523,Categorie!$A$6:$A$65,0)),"Categoria non trovata",IF(G1523="","Categoria senza tipo",""))))))))</f>
        <v/>
      </c>
    </row>
    <row r="1524">
      <c r="A1524" s="29" t="n"/>
      <c r="B1524" s="17" t="n"/>
      <c r="C1524" s="17" t="n"/>
      <c r="D1524" s="16" t="n"/>
      <c r="E1524" s="30" t="n"/>
      <c r="F1524" s="17" t="n"/>
      <c r="G1524" s="31">
        <f>IF(C1524="","",IFERROR(INDEX(Categorie!$B$6:$B$65,MATCH(C1524,Categorie!$A$6:$A$65,0))&amp;"",""))</f>
        <v/>
      </c>
      <c r="H1524" s="32">
        <f>IF(AND(A1524="",C1524="",D1524=""),"",IF(D1524="","Manca l'importo",IF(NOT(ISNUMBER(D1524)),"Importo non valido",IF(NOT(ISNUMBER(A1524)),"Data mancante o non valida",IF(YEAR(A1524)&lt;&gt;Impostazioni!$C$4,"Fuori dall'anno",IF(C1524="","Manca la categoria",IF(ISNA(MATCH(C1524,Categorie!$A$6:$A$65,0)),"Categoria non trovata",IF(G1524="","Categoria senza tipo",""))))))))</f>
        <v/>
      </c>
    </row>
    <row r="1525">
      <c r="A1525" s="29" t="n"/>
      <c r="B1525" s="17" t="n"/>
      <c r="C1525" s="17" t="n"/>
      <c r="D1525" s="16" t="n"/>
      <c r="E1525" s="30" t="n"/>
      <c r="F1525" s="17" t="n"/>
      <c r="G1525" s="31">
        <f>IF(C1525="","",IFERROR(INDEX(Categorie!$B$6:$B$65,MATCH(C1525,Categorie!$A$6:$A$65,0))&amp;"",""))</f>
        <v/>
      </c>
      <c r="H1525" s="32">
        <f>IF(AND(A1525="",C1525="",D1525=""),"",IF(D1525="","Manca l'importo",IF(NOT(ISNUMBER(D1525)),"Importo non valido",IF(NOT(ISNUMBER(A1525)),"Data mancante o non valida",IF(YEAR(A1525)&lt;&gt;Impostazioni!$C$4,"Fuori dall'anno",IF(C1525="","Manca la categoria",IF(ISNA(MATCH(C1525,Categorie!$A$6:$A$65,0)),"Categoria non trovata",IF(G1525="","Categoria senza tipo",""))))))))</f>
        <v/>
      </c>
    </row>
    <row r="1526">
      <c r="A1526" s="29" t="n"/>
      <c r="B1526" s="17" t="n"/>
      <c r="C1526" s="17" t="n"/>
      <c r="D1526" s="16" t="n"/>
      <c r="E1526" s="30" t="n"/>
      <c r="F1526" s="17" t="n"/>
      <c r="G1526" s="31">
        <f>IF(C1526="","",IFERROR(INDEX(Categorie!$B$6:$B$65,MATCH(C1526,Categorie!$A$6:$A$65,0))&amp;"",""))</f>
        <v/>
      </c>
      <c r="H1526" s="32">
        <f>IF(AND(A1526="",C1526="",D1526=""),"",IF(D1526="","Manca l'importo",IF(NOT(ISNUMBER(D1526)),"Importo non valido",IF(NOT(ISNUMBER(A1526)),"Data mancante o non valida",IF(YEAR(A1526)&lt;&gt;Impostazioni!$C$4,"Fuori dall'anno",IF(C1526="","Manca la categoria",IF(ISNA(MATCH(C1526,Categorie!$A$6:$A$65,0)),"Categoria non trovata",IF(G1526="","Categoria senza tipo",""))))))))</f>
        <v/>
      </c>
    </row>
    <row r="1527">
      <c r="A1527" s="29" t="n"/>
      <c r="B1527" s="17" t="n"/>
      <c r="C1527" s="17" t="n"/>
      <c r="D1527" s="16" t="n"/>
      <c r="E1527" s="30" t="n"/>
      <c r="F1527" s="17" t="n"/>
      <c r="G1527" s="31">
        <f>IF(C1527="","",IFERROR(INDEX(Categorie!$B$6:$B$65,MATCH(C1527,Categorie!$A$6:$A$65,0))&amp;"",""))</f>
        <v/>
      </c>
      <c r="H1527" s="32">
        <f>IF(AND(A1527="",C1527="",D1527=""),"",IF(D1527="","Manca l'importo",IF(NOT(ISNUMBER(D1527)),"Importo non valido",IF(NOT(ISNUMBER(A1527)),"Data mancante o non valida",IF(YEAR(A1527)&lt;&gt;Impostazioni!$C$4,"Fuori dall'anno",IF(C1527="","Manca la categoria",IF(ISNA(MATCH(C1527,Categorie!$A$6:$A$65,0)),"Categoria non trovata",IF(G1527="","Categoria senza tipo",""))))))))</f>
        <v/>
      </c>
    </row>
    <row r="1528">
      <c r="A1528" s="29" t="n"/>
      <c r="B1528" s="17" t="n"/>
      <c r="C1528" s="17" t="n"/>
      <c r="D1528" s="16" t="n"/>
      <c r="E1528" s="30" t="n"/>
      <c r="F1528" s="17" t="n"/>
      <c r="G1528" s="31">
        <f>IF(C1528="","",IFERROR(INDEX(Categorie!$B$6:$B$65,MATCH(C1528,Categorie!$A$6:$A$65,0))&amp;"",""))</f>
        <v/>
      </c>
      <c r="H1528" s="32">
        <f>IF(AND(A1528="",C1528="",D1528=""),"",IF(D1528="","Manca l'importo",IF(NOT(ISNUMBER(D1528)),"Importo non valido",IF(NOT(ISNUMBER(A1528)),"Data mancante o non valida",IF(YEAR(A1528)&lt;&gt;Impostazioni!$C$4,"Fuori dall'anno",IF(C1528="","Manca la categoria",IF(ISNA(MATCH(C1528,Categorie!$A$6:$A$65,0)),"Categoria non trovata",IF(G1528="","Categoria senza tipo",""))))))))</f>
        <v/>
      </c>
    </row>
    <row r="1529">
      <c r="A1529" s="29" t="n"/>
      <c r="B1529" s="17" t="n"/>
      <c r="C1529" s="17" t="n"/>
      <c r="D1529" s="16" t="n"/>
      <c r="E1529" s="30" t="n"/>
      <c r="F1529" s="17" t="n"/>
      <c r="G1529" s="31">
        <f>IF(C1529="","",IFERROR(INDEX(Categorie!$B$6:$B$65,MATCH(C1529,Categorie!$A$6:$A$65,0))&amp;"",""))</f>
        <v/>
      </c>
      <c r="H1529" s="32">
        <f>IF(AND(A1529="",C1529="",D1529=""),"",IF(D1529="","Manca l'importo",IF(NOT(ISNUMBER(D1529)),"Importo non valido",IF(NOT(ISNUMBER(A1529)),"Data mancante o non valida",IF(YEAR(A1529)&lt;&gt;Impostazioni!$C$4,"Fuori dall'anno",IF(C1529="","Manca la categoria",IF(ISNA(MATCH(C1529,Categorie!$A$6:$A$65,0)),"Categoria non trovata",IF(G1529="","Categoria senza tipo",""))))))))</f>
        <v/>
      </c>
    </row>
    <row r="1530">
      <c r="A1530" s="29" t="n"/>
      <c r="B1530" s="17" t="n"/>
      <c r="C1530" s="17" t="n"/>
      <c r="D1530" s="16" t="n"/>
      <c r="E1530" s="30" t="n"/>
      <c r="F1530" s="17" t="n"/>
      <c r="G1530" s="31">
        <f>IF(C1530="","",IFERROR(INDEX(Categorie!$B$6:$B$65,MATCH(C1530,Categorie!$A$6:$A$65,0))&amp;"",""))</f>
        <v/>
      </c>
      <c r="H1530" s="32">
        <f>IF(AND(A1530="",C1530="",D1530=""),"",IF(D1530="","Manca l'importo",IF(NOT(ISNUMBER(D1530)),"Importo non valido",IF(NOT(ISNUMBER(A1530)),"Data mancante o non valida",IF(YEAR(A1530)&lt;&gt;Impostazioni!$C$4,"Fuori dall'anno",IF(C1530="","Manca la categoria",IF(ISNA(MATCH(C1530,Categorie!$A$6:$A$65,0)),"Categoria non trovata",IF(G1530="","Categoria senza tipo",""))))))))</f>
        <v/>
      </c>
    </row>
    <row r="1531">
      <c r="A1531" s="29" t="n"/>
      <c r="B1531" s="17" t="n"/>
      <c r="C1531" s="17" t="n"/>
      <c r="D1531" s="16" t="n"/>
      <c r="E1531" s="30" t="n"/>
      <c r="F1531" s="17" t="n"/>
      <c r="G1531" s="31">
        <f>IF(C1531="","",IFERROR(INDEX(Categorie!$B$6:$B$65,MATCH(C1531,Categorie!$A$6:$A$65,0))&amp;"",""))</f>
        <v/>
      </c>
      <c r="H1531" s="32">
        <f>IF(AND(A1531="",C1531="",D1531=""),"",IF(D1531="","Manca l'importo",IF(NOT(ISNUMBER(D1531)),"Importo non valido",IF(NOT(ISNUMBER(A1531)),"Data mancante o non valida",IF(YEAR(A1531)&lt;&gt;Impostazioni!$C$4,"Fuori dall'anno",IF(C1531="","Manca la categoria",IF(ISNA(MATCH(C1531,Categorie!$A$6:$A$65,0)),"Categoria non trovata",IF(G1531="","Categoria senza tipo",""))))))))</f>
        <v/>
      </c>
    </row>
    <row r="1532">
      <c r="A1532" s="29" t="n"/>
      <c r="B1532" s="17" t="n"/>
      <c r="C1532" s="17" t="n"/>
      <c r="D1532" s="16" t="n"/>
      <c r="E1532" s="30" t="n"/>
      <c r="F1532" s="17" t="n"/>
      <c r="G1532" s="31">
        <f>IF(C1532="","",IFERROR(INDEX(Categorie!$B$6:$B$65,MATCH(C1532,Categorie!$A$6:$A$65,0))&amp;"",""))</f>
        <v/>
      </c>
      <c r="H1532" s="32">
        <f>IF(AND(A1532="",C1532="",D1532=""),"",IF(D1532="","Manca l'importo",IF(NOT(ISNUMBER(D1532)),"Importo non valido",IF(NOT(ISNUMBER(A1532)),"Data mancante o non valida",IF(YEAR(A1532)&lt;&gt;Impostazioni!$C$4,"Fuori dall'anno",IF(C1532="","Manca la categoria",IF(ISNA(MATCH(C1532,Categorie!$A$6:$A$65,0)),"Categoria non trovata",IF(G1532="","Categoria senza tipo",""))))))))</f>
        <v/>
      </c>
    </row>
    <row r="1533">
      <c r="A1533" s="29" t="n"/>
      <c r="B1533" s="17" t="n"/>
      <c r="C1533" s="17" t="n"/>
      <c r="D1533" s="16" t="n"/>
      <c r="E1533" s="30" t="n"/>
      <c r="F1533" s="17" t="n"/>
      <c r="G1533" s="31">
        <f>IF(C1533="","",IFERROR(INDEX(Categorie!$B$6:$B$65,MATCH(C1533,Categorie!$A$6:$A$65,0))&amp;"",""))</f>
        <v/>
      </c>
      <c r="H1533" s="32">
        <f>IF(AND(A1533="",C1533="",D1533=""),"",IF(D1533="","Manca l'importo",IF(NOT(ISNUMBER(D1533)),"Importo non valido",IF(NOT(ISNUMBER(A1533)),"Data mancante o non valida",IF(YEAR(A1533)&lt;&gt;Impostazioni!$C$4,"Fuori dall'anno",IF(C1533="","Manca la categoria",IF(ISNA(MATCH(C1533,Categorie!$A$6:$A$65,0)),"Categoria non trovata",IF(G1533="","Categoria senza tipo",""))))))))</f>
        <v/>
      </c>
    </row>
    <row r="1534">
      <c r="A1534" s="29" t="n"/>
      <c r="B1534" s="17" t="n"/>
      <c r="C1534" s="17" t="n"/>
      <c r="D1534" s="16" t="n"/>
      <c r="E1534" s="30" t="n"/>
      <c r="F1534" s="17" t="n"/>
      <c r="G1534" s="31">
        <f>IF(C1534="","",IFERROR(INDEX(Categorie!$B$6:$B$65,MATCH(C1534,Categorie!$A$6:$A$65,0))&amp;"",""))</f>
        <v/>
      </c>
      <c r="H1534" s="32">
        <f>IF(AND(A1534="",C1534="",D1534=""),"",IF(D1534="","Manca l'importo",IF(NOT(ISNUMBER(D1534)),"Importo non valido",IF(NOT(ISNUMBER(A1534)),"Data mancante o non valida",IF(YEAR(A1534)&lt;&gt;Impostazioni!$C$4,"Fuori dall'anno",IF(C1534="","Manca la categoria",IF(ISNA(MATCH(C1534,Categorie!$A$6:$A$65,0)),"Categoria non trovata",IF(G1534="","Categoria senza tipo",""))))))))</f>
        <v/>
      </c>
    </row>
    <row r="1535">
      <c r="A1535" s="29" t="n"/>
      <c r="B1535" s="17" t="n"/>
      <c r="C1535" s="17" t="n"/>
      <c r="D1535" s="16" t="n"/>
      <c r="E1535" s="30" t="n"/>
      <c r="F1535" s="17" t="n"/>
      <c r="G1535" s="31">
        <f>IF(C1535="","",IFERROR(INDEX(Categorie!$B$6:$B$65,MATCH(C1535,Categorie!$A$6:$A$65,0))&amp;"",""))</f>
        <v/>
      </c>
      <c r="H1535" s="32">
        <f>IF(AND(A1535="",C1535="",D1535=""),"",IF(D1535="","Manca l'importo",IF(NOT(ISNUMBER(D1535)),"Importo non valido",IF(NOT(ISNUMBER(A1535)),"Data mancante o non valida",IF(YEAR(A1535)&lt;&gt;Impostazioni!$C$4,"Fuori dall'anno",IF(C1535="","Manca la categoria",IF(ISNA(MATCH(C1535,Categorie!$A$6:$A$65,0)),"Categoria non trovata",IF(G1535="","Categoria senza tipo",""))))))))</f>
        <v/>
      </c>
    </row>
    <row r="1536">
      <c r="A1536" s="29" t="n"/>
      <c r="B1536" s="17" t="n"/>
      <c r="C1536" s="17" t="n"/>
      <c r="D1536" s="16" t="n"/>
      <c r="E1536" s="30" t="n"/>
      <c r="F1536" s="17" t="n"/>
      <c r="G1536" s="31">
        <f>IF(C1536="","",IFERROR(INDEX(Categorie!$B$6:$B$65,MATCH(C1536,Categorie!$A$6:$A$65,0))&amp;"",""))</f>
        <v/>
      </c>
      <c r="H1536" s="32">
        <f>IF(AND(A1536="",C1536="",D1536=""),"",IF(D1536="","Manca l'importo",IF(NOT(ISNUMBER(D1536)),"Importo non valido",IF(NOT(ISNUMBER(A1536)),"Data mancante o non valida",IF(YEAR(A1536)&lt;&gt;Impostazioni!$C$4,"Fuori dall'anno",IF(C1536="","Manca la categoria",IF(ISNA(MATCH(C1536,Categorie!$A$6:$A$65,0)),"Categoria non trovata",IF(G1536="","Categoria senza tipo",""))))))))</f>
        <v/>
      </c>
    </row>
    <row r="1537">
      <c r="A1537" s="29" t="n"/>
      <c r="B1537" s="17" t="n"/>
      <c r="C1537" s="17" t="n"/>
      <c r="D1537" s="16" t="n"/>
      <c r="E1537" s="30" t="n"/>
      <c r="F1537" s="17" t="n"/>
      <c r="G1537" s="31">
        <f>IF(C1537="","",IFERROR(INDEX(Categorie!$B$6:$B$65,MATCH(C1537,Categorie!$A$6:$A$65,0))&amp;"",""))</f>
        <v/>
      </c>
      <c r="H1537" s="32">
        <f>IF(AND(A1537="",C1537="",D1537=""),"",IF(D1537="","Manca l'importo",IF(NOT(ISNUMBER(D1537)),"Importo non valido",IF(NOT(ISNUMBER(A1537)),"Data mancante o non valida",IF(YEAR(A1537)&lt;&gt;Impostazioni!$C$4,"Fuori dall'anno",IF(C1537="","Manca la categoria",IF(ISNA(MATCH(C1537,Categorie!$A$6:$A$65,0)),"Categoria non trovata",IF(G1537="","Categoria senza tipo",""))))))))</f>
        <v/>
      </c>
    </row>
    <row r="1538">
      <c r="A1538" s="29" t="n"/>
      <c r="B1538" s="17" t="n"/>
      <c r="C1538" s="17" t="n"/>
      <c r="D1538" s="16" t="n"/>
      <c r="E1538" s="30" t="n"/>
      <c r="F1538" s="17" t="n"/>
      <c r="G1538" s="31">
        <f>IF(C1538="","",IFERROR(INDEX(Categorie!$B$6:$B$65,MATCH(C1538,Categorie!$A$6:$A$65,0))&amp;"",""))</f>
        <v/>
      </c>
      <c r="H1538" s="32">
        <f>IF(AND(A1538="",C1538="",D1538=""),"",IF(D1538="","Manca l'importo",IF(NOT(ISNUMBER(D1538)),"Importo non valido",IF(NOT(ISNUMBER(A1538)),"Data mancante o non valida",IF(YEAR(A1538)&lt;&gt;Impostazioni!$C$4,"Fuori dall'anno",IF(C1538="","Manca la categoria",IF(ISNA(MATCH(C1538,Categorie!$A$6:$A$65,0)),"Categoria non trovata",IF(G1538="","Categoria senza tipo",""))))))))</f>
        <v/>
      </c>
    </row>
    <row r="1539">
      <c r="A1539" s="29" t="n"/>
      <c r="B1539" s="17" t="n"/>
      <c r="C1539" s="17" t="n"/>
      <c r="D1539" s="16" t="n"/>
      <c r="E1539" s="30" t="n"/>
      <c r="F1539" s="17" t="n"/>
      <c r="G1539" s="31">
        <f>IF(C1539="","",IFERROR(INDEX(Categorie!$B$6:$B$65,MATCH(C1539,Categorie!$A$6:$A$65,0))&amp;"",""))</f>
        <v/>
      </c>
      <c r="H1539" s="32">
        <f>IF(AND(A1539="",C1539="",D1539=""),"",IF(D1539="","Manca l'importo",IF(NOT(ISNUMBER(D1539)),"Importo non valido",IF(NOT(ISNUMBER(A1539)),"Data mancante o non valida",IF(YEAR(A1539)&lt;&gt;Impostazioni!$C$4,"Fuori dall'anno",IF(C1539="","Manca la categoria",IF(ISNA(MATCH(C1539,Categorie!$A$6:$A$65,0)),"Categoria non trovata",IF(G1539="","Categoria senza tipo",""))))))))</f>
        <v/>
      </c>
    </row>
    <row r="1540">
      <c r="A1540" s="29" t="n"/>
      <c r="B1540" s="17" t="n"/>
      <c r="C1540" s="17" t="n"/>
      <c r="D1540" s="16" t="n"/>
      <c r="E1540" s="30" t="n"/>
      <c r="F1540" s="17" t="n"/>
      <c r="G1540" s="31">
        <f>IF(C1540="","",IFERROR(INDEX(Categorie!$B$6:$B$65,MATCH(C1540,Categorie!$A$6:$A$65,0))&amp;"",""))</f>
        <v/>
      </c>
      <c r="H1540" s="32">
        <f>IF(AND(A1540="",C1540="",D1540=""),"",IF(D1540="","Manca l'importo",IF(NOT(ISNUMBER(D1540)),"Importo non valido",IF(NOT(ISNUMBER(A1540)),"Data mancante o non valida",IF(YEAR(A1540)&lt;&gt;Impostazioni!$C$4,"Fuori dall'anno",IF(C1540="","Manca la categoria",IF(ISNA(MATCH(C1540,Categorie!$A$6:$A$65,0)),"Categoria non trovata",IF(G1540="","Categoria senza tipo",""))))))))</f>
        <v/>
      </c>
    </row>
    <row r="1541">
      <c r="A1541" s="29" t="n"/>
      <c r="B1541" s="17" t="n"/>
      <c r="C1541" s="17" t="n"/>
      <c r="D1541" s="16" t="n"/>
      <c r="E1541" s="30" t="n"/>
      <c r="F1541" s="17" t="n"/>
      <c r="G1541" s="31">
        <f>IF(C1541="","",IFERROR(INDEX(Categorie!$B$6:$B$65,MATCH(C1541,Categorie!$A$6:$A$65,0))&amp;"",""))</f>
        <v/>
      </c>
      <c r="H1541" s="32">
        <f>IF(AND(A1541="",C1541="",D1541=""),"",IF(D1541="","Manca l'importo",IF(NOT(ISNUMBER(D1541)),"Importo non valido",IF(NOT(ISNUMBER(A1541)),"Data mancante o non valida",IF(YEAR(A1541)&lt;&gt;Impostazioni!$C$4,"Fuori dall'anno",IF(C1541="","Manca la categoria",IF(ISNA(MATCH(C1541,Categorie!$A$6:$A$65,0)),"Categoria non trovata",IF(G1541="","Categoria senza tipo",""))))))))</f>
        <v/>
      </c>
    </row>
    <row r="1542">
      <c r="A1542" s="29" t="n"/>
      <c r="B1542" s="17" t="n"/>
      <c r="C1542" s="17" t="n"/>
      <c r="D1542" s="16" t="n"/>
      <c r="E1542" s="30" t="n"/>
      <c r="F1542" s="17" t="n"/>
      <c r="G1542" s="31">
        <f>IF(C1542="","",IFERROR(INDEX(Categorie!$B$6:$B$65,MATCH(C1542,Categorie!$A$6:$A$65,0))&amp;"",""))</f>
        <v/>
      </c>
      <c r="H1542" s="32">
        <f>IF(AND(A1542="",C1542="",D1542=""),"",IF(D1542="","Manca l'importo",IF(NOT(ISNUMBER(D1542)),"Importo non valido",IF(NOT(ISNUMBER(A1542)),"Data mancante o non valida",IF(YEAR(A1542)&lt;&gt;Impostazioni!$C$4,"Fuori dall'anno",IF(C1542="","Manca la categoria",IF(ISNA(MATCH(C1542,Categorie!$A$6:$A$65,0)),"Categoria non trovata",IF(G1542="","Categoria senza tipo",""))))))))</f>
        <v/>
      </c>
    </row>
    <row r="1543">
      <c r="A1543" s="29" t="n"/>
      <c r="B1543" s="17" t="n"/>
      <c r="C1543" s="17" t="n"/>
      <c r="D1543" s="16" t="n"/>
      <c r="E1543" s="30" t="n"/>
      <c r="F1543" s="17" t="n"/>
      <c r="G1543" s="31">
        <f>IF(C1543="","",IFERROR(INDEX(Categorie!$B$6:$B$65,MATCH(C1543,Categorie!$A$6:$A$65,0))&amp;"",""))</f>
        <v/>
      </c>
      <c r="H1543" s="32">
        <f>IF(AND(A1543="",C1543="",D1543=""),"",IF(D1543="","Manca l'importo",IF(NOT(ISNUMBER(D1543)),"Importo non valido",IF(NOT(ISNUMBER(A1543)),"Data mancante o non valida",IF(YEAR(A1543)&lt;&gt;Impostazioni!$C$4,"Fuori dall'anno",IF(C1543="","Manca la categoria",IF(ISNA(MATCH(C1543,Categorie!$A$6:$A$65,0)),"Categoria non trovata",IF(G1543="","Categoria senza tipo",""))))))))</f>
        <v/>
      </c>
    </row>
    <row r="1544">
      <c r="A1544" s="29" t="n"/>
      <c r="B1544" s="17" t="n"/>
      <c r="C1544" s="17" t="n"/>
      <c r="D1544" s="16" t="n"/>
      <c r="E1544" s="30" t="n"/>
      <c r="F1544" s="17" t="n"/>
      <c r="G1544" s="31">
        <f>IF(C1544="","",IFERROR(INDEX(Categorie!$B$6:$B$65,MATCH(C1544,Categorie!$A$6:$A$65,0))&amp;"",""))</f>
        <v/>
      </c>
      <c r="H1544" s="32">
        <f>IF(AND(A1544="",C1544="",D1544=""),"",IF(D1544="","Manca l'importo",IF(NOT(ISNUMBER(D1544)),"Importo non valido",IF(NOT(ISNUMBER(A1544)),"Data mancante o non valida",IF(YEAR(A1544)&lt;&gt;Impostazioni!$C$4,"Fuori dall'anno",IF(C1544="","Manca la categoria",IF(ISNA(MATCH(C1544,Categorie!$A$6:$A$65,0)),"Categoria non trovata",IF(G1544="","Categoria senza tipo",""))))))))</f>
        <v/>
      </c>
    </row>
    <row r="1545">
      <c r="A1545" s="29" t="n"/>
      <c r="B1545" s="17" t="n"/>
      <c r="C1545" s="17" t="n"/>
      <c r="D1545" s="16" t="n"/>
      <c r="E1545" s="30" t="n"/>
      <c r="F1545" s="17" t="n"/>
      <c r="G1545" s="31">
        <f>IF(C1545="","",IFERROR(INDEX(Categorie!$B$6:$B$65,MATCH(C1545,Categorie!$A$6:$A$65,0))&amp;"",""))</f>
        <v/>
      </c>
      <c r="H1545" s="32">
        <f>IF(AND(A1545="",C1545="",D1545=""),"",IF(D1545="","Manca l'importo",IF(NOT(ISNUMBER(D1545)),"Importo non valido",IF(NOT(ISNUMBER(A1545)),"Data mancante o non valida",IF(YEAR(A1545)&lt;&gt;Impostazioni!$C$4,"Fuori dall'anno",IF(C1545="","Manca la categoria",IF(ISNA(MATCH(C1545,Categorie!$A$6:$A$65,0)),"Categoria non trovata",IF(G1545="","Categoria senza tipo",""))))))))</f>
        <v/>
      </c>
    </row>
    <row r="1546">
      <c r="A1546" s="29" t="n"/>
      <c r="B1546" s="17" t="n"/>
      <c r="C1546" s="17" t="n"/>
      <c r="D1546" s="16" t="n"/>
      <c r="E1546" s="30" t="n"/>
      <c r="F1546" s="17" t="n"/>
      <c r="G1546" s="31">
        <f>IF(C1546="","",IFERROR(INDEX(Categorie!$B$6:$B$65,MATCH(C1546,Categorie!$A$6:$A$65,0))&amp;"",""))</f>
        <v/>
      </c>
      <c r="H1546" s="32">
        <f>IF(AND(A1546="",C1546="",D1546=""),"",IF(D1546="","Manca l'importo",IF(NOT(ISNUMBER(D1546)),"Importo non valido",IF(NOT(ISNUMBER(A1546)),"Data mancante o non valida",IF(YEAR(A1546)&lt;&gt;Impostazioni!$C$4,"Fuori dall'anno",IF(C1546="","Manca la categoria",IF(ISNA(MATCH(C1546,Categorie!$A$6:$A$65,0)),"Categoria non trovata",IF(G1546="","Categoria senza tipo",""))))))))</f>
        <v/>
      </c>
    </row>
    <row r="1547">
      <c r="A1547" s="29" t="n"/>
      <c r="B1547" s="17" t="n"/>
      <c r="C1547" s="17" t="n"/>
      <c r="D1547" s="16" t="n"/>
      <c r="E1547" s="30" t="n"/>
      <c r="F1547" s="17" t="n"/>
      <c r="G1547" s="31">
        <f>IF(C1547="","",IFERROR(INDEX(Categorie!$B$6:$B$65,MATCH(C1547,Categorie!$A$6:$A$65,0))&amp;"",""))</f>
        <v/>
      </c>
      <c r="H1547" s="32">
        <f>IF(AND(A1547="",C1547="",D1547=""),"",IF(D1547="","Manca l'importo",IF(NOT(ISNUMBER(D1547)),"Importo non valido",IF(NOT(ISNUMBER(A1547)),"Data mancante o non valida",IF(YEAR(A1547)&lt;&gt;Impostazioni!$C$4,"Fuori dall'anno",IF(C1547="","Manca la categoria",IF(ISNA(MATCH(C1547,Categorie!$A$6:$A$65,0)),"Categoria non trovata",IF(G1547="","Categoria senza tipo",""))))))))</f>
        <v/>
      </c>
    </row>
    <row r="1548">
      <c r="A1548" s="29" t="n"/>
      <c r="B1548" s="17" t="n"/>
      <c r="C1548" s="17" t="n"/>
      <c r="D1548" s="16" t="n"/>
      <c r="E1548" s="30" t="n"/>
      <c r="F1548" s="17" t="n"/>
      <c r="G1548" s="31">
        <f>IF(C1548="","",IFERROR(INDEX(Categorie!$B$6:$B$65,MATCH(C1548,Categorie!$A$6:$A$65,0))&amp;"",""))</f>
        <v/>
      </c>
      <c r="H1548" s="32">
        <f>IF(AND(A1548="",C1548="",D1548=""),"",IF(D1548="","Manca l'importo",IF(NOT(ISNUMBER(D1548)),"Importo non valido",IF(NOT(ISNUMBER(A1548)),"Data mancante o non valida",IF(YEAR(A1548)&lt;&gt;Impostazioni!$C$4,"Fuori dall'anno",IF(C1548="","Manca la categoria",IF(ISNA(MATCH(C1548,Categorie!$A$6:$A$65,0)),"Categoria non trovata",IF(G1548="","Categoria senza tipo",""))))))))</f>
        <v/>
      </c>
    </row>
    <row r="1549">
      <c r="A1549" s="29" t="n"/>
      <c r="B1549" s="17" t="n"/>
      <c r="C1549" s="17" t="n"/>
      <c r="D1549" s="16" t="n"/>
      <c r="E1549" s="30" t="n"/>
      <c r="F1549" s="17" t="n"/>
      <c r="G1549" s="31">
        <f>IF(C1549="","",IFERROR(INDEX(Categorie!$B$6:$B$65,MATCH(C1549,Categorie!$A$6:$A$65,0))&amp;"",""))</f>
        <v/>
      </c>
      <c r="H1549" s="32">
        <f>IF(AND(A1549="",C1549="",D1549=""),"",IF(D1549="","Manca l'importo",IF(NOT(ISNUMBER(D1549)),"Importo non valido",IF(NOT(ISNUMBER(A1549)),"Data mancante o non valida",IF(YEAR(A1549)&lt;&gt;Impostazioni!$C$4,"Fuori dall'anno",IF(C1549="","Manca la categoria",IF(ISNA(MATCH(C1549,Categorie!$A$6:$A$65,0)),"Categoria non trovata",IF(G1549="","Categoria senza tipo",""))))))))</f>
        <v/>
      </c>
    </row>
    <row r="1550">
      <c r="A1550" s="29" t="n"/>
      <c r="B1550" s="17" t="n"/>
      <c r="C1550" s="17" t="n"/>
      <c r="D1550" s="16" t="n"/>
      <c r="E1550" s="30" t="n"/>
      <c r="F1550" s="17" t="n"/>
      <c r="G1550" s="31">
        <f>IF(C1550="","",IFERROR(INDEX(Categorie!$B$6:$B$65,MATCH(C1550,Categorie!$A$6:$A$65,0))&amp;"",""))</f>
        <v/>
      </c>
      <c r="H1550" s="32">
        <f>IF(AND(A1550="",C1550="",D1550=""),"",IF(D1550="","Manca l'importo",IF(NOT(ISNUMBER(D1550)),"Importo non valido",IF(NOT(ISNUMBER(A1550)),"Data mancante o non valida",IF(YEAR(A1550)&lt;&gt;Impostazioni!$C$4,"Fuori dall'anno",IF(C1550="","Manca la categoria",IF(ISNA(MATCH(C1550,Categorie!$A$6:$A$65,0)),"Categoria non trovata",IF(G1550="","Categoria senza tipo",""))))))))</f>
        <v/>
      </c>
    </row>
    <row r="1551">
      <c r="A1551" s="29" t="n"/>
      <c r="B1551" s="17" t="n"/>
      <c r="C1551" s="17" t="n"/>
      <c r="D1551" s="16" t="n"/>
      <c r="E1551" s="30" t="n"/>
      <c r="F1551" s="17" t="n"/>
      <c r="G1551" s="31">
        <f>IF(C1551="","",IFERROR(INDEX(Categorie!$B$6:$B$65,MATCH(C1551,Categorie!$A$6:$A$65,0))&amp;"",""))</f>
        <v/>
      </c>
      <c r="H1551" s="32">
        <f>IF(AND(A1551="",C1551="",D1551=""),"",IF(D1551="","Manca l'importo",IF(NOT(ISNUMBER(D1551)),"Importo non valido",IF(NOT(ISNUMBER(A1551)),"Data mancante o non valida",IF(YEAR(A1551)&lt;&gt;Impostazioni!$C$4,"Fuori dall'anno",IF(C1551="","Manca la categoria",IF(ISNA(MATCH(C1551,Categorie!$A$6:$A$65,0)),"Categoria non trovata",IF(G1551="","Categoria senza tipo",""))))))))</f>
        <v/>
      </c>
    </row>
    <row r="1552">
      <c r="A1552" s="29" t="n"/>
      <c r="B1552" s="17" t="n"/>
      <c r="C1552" s="17" t="n"/>
      <c r="D1552" s="16" t="n"/>
      <c r="E1552" s="30" t="n"/>
      <c r="F1552" s="17" t="n"/>
      <c r="G1552" s="31">
        <f>IF(C1552="","",IFERROR(INDEX(Categorie!$B$6:$B$65,MATCH(C1552,Categorie!$A$6:$A$65,0))&amp;"",""))</f>
        <v/>
      </c>
      <c r="H1552" s="32">
        <f>IF(AND(A1552="",C1552="",D1552=""),"",IF(D1552="","Manca l'importo",IF(NOT(ISNUMBER(D1552)),"Importo non valido",IF(NOT(ISNUMBER(A1552)),"Data mancante o non valida",IF(YEAR(A1552)&lt;&gt;Impostazioni!$C$4,"Fuori dall'anno",IF(C1552="","Manca la categoria",IF(ISNA(MATCH(C1552,Categorie!$A$6:$A$65,0)),"Categoria non trovata",IF(G1552="","Categoria senza tipo",""))))))))</f>
        <v/>
      </c>
    </row>
    <row r="1553">
      <c r="A1553" s="29" t="n"/>
      <c r="B1553" s="17" t="n"/>
      <c r="C1553" s="17" t="n"/>
      <c r="D1553" s="16" t="n"/>
      <c r="E1553" s="30" t="n"/>
      <c r="F1553" s="17" t="n"/>
      <c r="G1553" s="31">
        <f>IF(C1553="","",IFERROR(INDEX(Categorie!$B$6:$B$65,MATCH(C1553,Categorie!$A$6:$A$65,0))&amp;"",""))</f>
        <v/>
      </c>
      <c r="H1553" s="32">
        <f>IF(AND(A1553="",C1553="",D1553=""),"",IF(D1553="","Manca l'importo",IF(NOT(ISNUMBER(D1553)),"Importo non valido",IF(NOT(ISNUMBER(A1553)),"Data mancante o non valida",IF(YEAR(A1553)&lt;&gt;Impostazioni!$C$4,"Fuori dall'anno",IF(C1553="","Manca la categoria",IF(ISNA(MATCH(C1553,Categorie!$A$6:$A$65,0)),"Categoria non trovata",IF(G1553="","Categoria senza tipo",""))))))))</f>
        <v/>
      </c>
    </row>
    <row r="1554">
      <c r="A1554" s="29" t="n"/>
      <c r="B1554" s="17" t="n"/>
      <c r="C1554" s="17" t="n"/>
      <c r="D1554" s="16" t="n"/>
      <c r="E1554" s="30" t="n"/>
      <c r="F1554" s="17" t="n"/>
      <c r="G1554" s="31">
        <f>IF(C1554="","",IFERROR(INDEX(Categorie!$B$6:$B$65,MATCH(C1554,Categorie!$A$6:$A$65,0))&amp;"",""))</f>
        <v/>
      </c>
      <c r="H1554" s="32">
        <f>IF(AND(A1554="",C1554="",D1554=""),"",IF(D1554="","Manca l'importo",IF(NOT(ISNUMBER(D1554)),"Importo non valido",IF(NOT(ISNUMBER(A1554)),"Data mancante o non valida",IF(YEAR(A1554)&lt;&gt;Impostazioni!$C$4,"Fuori dall'anno",IF(C1554="","Manca la categoria",IF(ISNA(MATCH(C1554,Categorie!$A$6:$A$65,0)),"Categoria non trovata",IF(G1554="","Categoria senza tipo",""))))))))</f>
        <v/>
      </c>
    </row>
    <row r="1555">
      <c r="A1555" s="29" t="n"/>
      <c r="B1555" s="17" t="n"/>
      <c r="C1555" s="17" t="n"/>
      <c r="D1555" s="16" t="n"/>
      <c r="E1555" s="30" t="n"/>
      <c r="F1555" s="17" t="n"/>
      <c r="G1555" s="31">
        <f>IF(C1555="","",IFERROR(INDEX(Categorie!$B$6:$B$65,MATCH(C1555,Categorie!$A$6:$A$65,0))&amp;"",""))</f>
        <v/>
      </c>
      <c r="H1555" s="32">
        <f>IF(AND(A1555="",C1555="",D1555=""),"",IF(D1555="","Manca l'importo",IF(NOT(ISNUMBER(D1555)),"Importo non valido",IF(NOT(ISNUMBER(A1555)),"Data mancante o non valida",IF(YEAR(A1555)&lt;&gt;Impostazioni!$C$4,"Fuori dall'anno",IF(C1555="","Manca la categoria",IF(ISNA(MATCH(C1555,Categorie!$A$6:$A$65,0)),"Categoria non trovata",IF(G1555="","Categoria senza tipo",""))))))))</f>
        <v/>
      </c>
    </row>
    <row r="1556">
      <c r="A1556" s="29" t="n"/>
      <c r="B1556" s="17" t="n"/>
      <c r="C1556" s="17" t="n"/>
      <c r="D1556" s="16" t="n"/>
      <c r="E1556" s="30" t="n"/>
      <c r="F1556" s="17" t="n"/>
      <c r="G1556" s="31">
        <f>IF(C1556="","",IFERROR(INDEX(Categorie!$B$6:$B$65,MATCH(C1556,Categorie!$A$6:$A$65,0))&amp;"",""))</f>
        <v/>
      </c>
      <c r="H1556" s="32">
        <f>IF(AND(A1556="",C1556="",D1556=""),"",IF(D1556="","Manca l'importo",IF(NOT(ISNUMBER(D1556)),"Importo non valido",IF(NOT(ISNUMBER(A1556)),"Data mancante o non valida",IF(YEAR(A1556)&lt;&gt;Impostazioni!$C$4,"Fuori dall'anno",IF(C1556="","Manca la categoria",IF(ISNA(MATCH(C1556,Categorie!$A$6:$A$65,0)),"Categoria non trovata",IF(G1556="","Categoria senza tipo",""))))))))</f>
        <v/>
      </c>
    </row>
    <row r="1557">
      <c r="A1557" s="29" t="n"/>
      <c r="B1557" s="17" t="n"/>
      <c r="C1557" s="17" t="n"/>
      <c r="D1557" s="16" t="n"/>
      <c r="E1557" s="30" t="n"/>
      <c r="F1557" s="17" t="n"/>
      <c r="G1557" s="31">
        <f>IF(C1557="","",IFERROR(INDEX(Categorie!$B$6:$B$65,MATCH(C1557,Categorie!$A$6:$A$65,0))&amp;"",""))</f>
        <v/>
      </c>
      <c r="H1557" s="32">
        <f>IF(AND(A1557="",C1557="",D1557=""),"",IF(D1557="","Manca l'importo",IF(NOT(ISNUMBER(D1557)),"Importo non valido",IF(NOT(ISNUMBER(A1557)),"Data mancante o non valida",IF(YEAR(A1557)&lt;&gt;Impostazioni!$C$4,"Fuori dall'anno",IF(C1557="","Manca la categoria",IF(ISNA(MATCH(C1557,Categorie!$A$6:$A$65,0)),"Categoria non trovata",IF(G1557="","Categoria senza tipo",""))))))))</f>
        <v/>
      </c>
    </row>
    <row r="1558">
      <c r="A1558" s="29" t="n"/>
      <c r="B1558" s="17" t="n"/>
      <c r="C1558" s="17" t="n"/>
      <c r="D1558" s="16" t="n"/>
      <c r="E1558" s="30" t="n"/>
      <c r="F1558" s="17" t="n"/>
      <c r="G1558" s="31">
        <f>IF(C1558="","",IFERROR(INDEX(Categorie!$B$6:$B$65,MATCH(C1558,Categorie!$A$6:$A$65,0))&amp;"",""))</f>
        <v/>
      </c>
      <c r="H1558" s="32">
        <f>IF(AND(A1558="",C1558="",D1558=""),"",IF(D1558="","Manca l'importo",IF(NOT(ISNUMBER(D1558)),"Importo non valido",IF(NOT(ISNUMBER(A1558)),"Data mancante o non valida",IF(YEAR(A1558)&lt;&gt;Impostazioni!$C$4,"Fuori dall'anno",IF(C1558="","Manca la categoria",IF(ISNA(MATCH(C1558,Categorie!$A$6:$A$65,0)),"Categoria non trovata",IF(G1558="","Categoria senza tipo",""))))))))</f>
        <v/>
      </c>
    </row>
    <row r="1559">
      <c r="A1559" s="29" t="n"/>
      <c r="B1559" s="17" t="n"/>
      <c r="C1559" s="17" t="n"/>
      <c r="D1559" s="16" t="n"/>
      <c r="E1559" s="30" t="n"/>
      <c r="F1559" s="17" t="n"/>
      <c r="G1559" s="31">
        <f>IF(C1559="","",IFERROR(INDEX(Categorie!$B$6:$B$65,MATCH(C1559,Categorie!$A$6:$A$65,0))&amp;"",""))</f>
        <v/>
      </c>
      <c r="H1559" s="32">
        <f>IF(AND(A1559="",C1559="",D1559=""),"",IF(D1559="","Manca l'importo",IF(NOT(ISNUMBER(D1559)),"Importo non valido",IF(NOT(ISNUMBER(A1559)),"Data mancante o non valida",IF(YEAR(A1559)&lt;&gt;Impostazioni!$C$4,"Fuori dall'anno",IF(C1559="","Manca la categoria",IF(ISNA(MATCH(C1559,Categorie!$A$6:$A$65,0)),"Categoria non trovata",IF(G1559="","Categoria senza tipo",""))))))))</f>
        <v/>
      </c>
    </row>
    <row r="1560">
      <c r="A1560" s="29" t="n"/>
      <c r="B1560" s="17" t="n"/>
      <c r="C1560" s="17" t="n"/>
      <c r="D1560" s="16" t="n"/>
      <c r="E1560" s="30" t="n"/>
      <c r="F1560" s="17" t="n"/>
      <c r="G1560" s="31">
        <f>IF(C1560="","",IFERROR(INDEX(Categorie!$B$6:$B$65,MATCH(C1560,Categorie!$A$6:$A$65,0))&amp;"",""))</f>
        <v/>
      </c>
      <c r="H1560" s="32">
        <f>IF(AND(A1560="",C1560="",D1560=""),"",IF(D1560="","Manca l'importo",IF(NOT(ISNUMBER(D1560)),"Importo non valido",IF(NOT(ISNUMBER(A1560)),"Data mancante o non valida",IF(YEAR(A1560)&lt;&gt;Impostazioni!$C$4,"Fuori dall'anno",IF(C1560="","Manca la categoria",IF(ISNA(MATCH(C1560,Categorie!$A$6:$A$65,0)),"Categoria non trovata",IF(G1560="","Categoria senza tipo",""))))))))</f>
        <v/>
      </c>
    </row>
    <row r="1561">
      <c r="A1561" s="29" t="n"/>
      <c r="B1561" s="17" t="n"/>
      <c r="C1561" s="17" t="n"/>
      <c r="D1561" s="16" t="n"/>
      <c r="E1561" s="30" t="n"/>
      <c r="F1561" s="17" t="n"/>
      <c r="G1561" s="31">
        <f>IF(C1561="","",IFERROR(INDEX(Categorie!$B$6:$B$65,MATCH(C1561,Categorie!$A$6:$A$65,0))&amp;"",""))</f>
        <v/>
      </c>
      <c r="H1561" s="32">
        <f>IF(AND(A1561="",C1561="",D1561=""),"",IF(D1561="","Manca l'importo",IF(NOT(ISNUMBER(D1561)),"Importo non valido",IF(NOT(ISNUMBER(A1561)),"Data mancante o non valida",IF(YEAR(A1561)&lt;&gt;Impostazioni!$C$4,"Fuori dall'anno",IF(C1561="","Manca la categoria",IF(ISNA(MATCH(C1561,Categorie!$A$6:$A$65,0)),"Categoria non trovata",IF(G1561="","Categoria senza tipo",""))))))))</f>
        <v/>
      </c>
    </row>
    <row r="1562">
      <c r="A1562" s="29" t="n"/>
      <c r="B1562" s="17" t="n"/>
      <c r="C1562" s="17" t="n"/>
      <c r="D1562" s="16" t="n"/>
      <c r="E1562" s="30" t="n"/>
      <c r="F1562" s="17" t="n"/>
      <c r="G1562" s="31">
        <f>IF(C1562="","",IFERROR(INDEX(Categorie!$B$6:$B$65,MATCH(C1562,Categorie!$A$6:$A$65,0))&amp;"",""))</f>
        <v/>
      </c>
      <c r="H1562" s="32">
        <f>IF(AND(A1562="",C1562="",D1562=""),"",IF(D1562="","Manca l'importo",IF(NOT(ISNUMBER(D1562)),"Importo non valido",IF(NOT(ISNUMBER(A1562)),"Data mancante o non valida",IF(YEAR(A1562)&lt;&gt;Impostazioni!$C$4,"Fuori dall'anno",IF(C1562="","Manca la categoria",IF(ISNA(MATCH(C1562,Categorie!$A$6:$A$65,0)),"Categoria non trovata",IF(G1562="","Categoria senza tipo",""))))))))</f>
        <v/>
      </c>
    </row>
    <row r="1563">
      <c r="A1563" s="29" t="n"/>
      <c r="B1563" s="17" t="n"/>
      <c r="C1563" s="17" t="n"/>
      <c r="D1563" s="16" t="n"/>
      <c r="E1563" s="30" t="n"/>
      <c r="F1563" s="17" t="n"/>
      <c r="G1563" s="31">
        <f>IF(C1563="","",IFERROR(INDEX(Categorie!$B$6:$B$65,MATCH(C1563,Categorie!$A$6:$A$65,0))&amp;"",""))</f>
        <v/>
      </c>
      <c r="H1563" s="32">
        <f>IF(AND(A1563="",C1563="",D1563=""),"",IF(D1563="","Manca l'importo",IF(NOT(ISNUMBER(D1563)),"Importo non valido",IF(NOT(ISNUMBER(A1563)),"Data mancante o non valida",IF(YEAR(A1563)&lt;&gt;Impostazioni!$C$4,"Fuori dall'anno",IF(C1563="","Manca la categoria",IF(ISNA(MATCH(C1563,Categorie!$A$6:$A$65,0)),"Categoria non trovata",IF(G1563="","Categoria senza tipo",""))))))))</f>
        <v/>
      </c>
    </row>
    <row r="1564">
      <c r="A1564" s="29" t="n"/>
      <c r="B1564" s="17" t="n"/>
      <c r="C1564" s="17" t="n"/>
      <c r="D1564" s="16" t="n"/>
      <c r="E1564" s="30" t="n"/>
      <c r="F1564" s="17" t="n"/>
      <c r="G1564" s="31">
        <f>IF(C1564="","",IFERROR(INDEX(Categorie!$B$6:$B$65,MATCH(C1564,Categorie!$A$6:$A$65,0))&amp;"",""))</f>
        <v/>
      </c>
      <c r="H1564" s="32">
        <f>IF(AND(A1564="",C1564="",D1564=""),"",IF(D1564="","Manca l'importo",IF(NOT(ISNUMBER(D1564)),"Importo non valido",IF(NOT(ISNUMBER(A1564)),"Data mancante o non valida",IF(YEAR(A1564)&lt;&gt;Impostazioni!$C$4,"Fuori dall'anno",IF(C1564="","Manca la categoria",IF(ISNA(MATCH(C1564,Categorie!$A$6:$A$65,0)),"Categoria non trovata",IF(G1564="","Categoria senza tipo",""))))))))</f>
        <v/>
      </c>
    </row>
    <row r="1565">
      <c r="A1565" s="29" t="n"/>
      <c r="B1565" s="17" t="n"/>
      <c r="C1565" s="17" t="n"/>
      <c r="D1565" s="16" t="n"/>
      <c r="E1565" s="30" t="n"/>
      <c r="F1565" s="17" t="n"/>
      <c r="G1565" s="31">
        <f>IF(C1565="","",IFERROR(INDEX(Categorie!$B$6:$B$65,MATCH(C1565,Categorie!$A$6:$A$65,0))&amp;"",""))</f>
        <v/>
      </c>
      <c r="H1565" s="32">
        <f>IF(AND(A1565="",C1565="",D1565=""),"",IF(D1565="","Manca l'importo",IF(NOT(ISNUMBER(D1565)),"Importo non valido",IF(NOT(ISNUMBER(A1565)),"Data mancante o non valida",IF(YEAR(A1565)&lt;&gt;Impostazioni!$C$4,"Fuori dall'anno",IF(C1565="","Manca la categoria",IF(ISNA(MATCH(C1565,Categorie!$A$6:$A$65,0)),"Categoria non trovata",IF(G1565="","Categoria senza tipo",""))))))))</f>
        <v/>
      </c>
    </row>
    <row r="1566">
      <c r="A1566" s="29" t="n"/>
      <c r="B1566" s="17" t="n"/>
      <c r="C1566" s="17" t="n"/>
      <c r="D1566" s="16" t="n"/>
      <c r="E1566" s="30" t="n"/>
      <c r="F1566" s="17" t="n"/>
      <c r="G1566" s="31">
        <f>IF(C1566="","",IFERROR(INDEX(Categorie!$B$6:$B$65,MATCH(C1566,Categorie!$A$6:$A$65,0))&amp;"",""))</f>
        <v/>
      </c>
      <c r="H1566" s="32">
        <f>IF(AND(A1566="",C1566="",D1566=""),"",IF(D1566="","Manca l'importo",IF(NOT(ISNUMBER(D1566)),"Importo non valido",IF(NOT(ISNUMBER(A1566)),"Data mancante o non valida",IF(YEAR(A1566)&lt;&gt;Impostazioni!$C$4,"Fuori dall'anno",IF(C1566="","Manca la categoria",IF(ISNA(MATCH(C1566,Categorie!$A$6:$A$65,0)),"Categoria non trovata",IF(G1566="","Categoria senza tipo",""))))))))</f>
        <v/>
      </c>
    </row>
    <row r="1567">
      <c r="A1567" s="29" t="n"/>
      <c r="B1567" s="17" t="n"/>
      <c r="C1567" s="17" t="n"/>
      <c r="D1567" s="16" t="n"/>
      <c r="E1567" s="30" t="n"/>
      <c r="F1567" s="17" t="n"/>
      <c r="G1567" s="31">
        <f>IF(C1567="","",IFERROR(INDEX(Categorie!$B$6:$B$65,MATCH(C1567,Categorie!$A$6:$A$65,0))&amp;"",""))</f>
        <v/>
      </c>
      <c r="H1567" s="32">
        <f>IF(AND(A1567="",C1567="",D1567=""),"",IF(D1567="","Manca l'importo",IF(NOT(ISNUMBER(D1567)),"Importo non valido",IF(NOT(ISNUMBER(A1567)),"Data mancante o non valida",IF(YEAR(A1567)&lt;&gt;Impostazioni!$C$4,"Fuori dall'anno",IF(C1567="","Manca la categoria",IF(ISNA(MATCH(C1567,Categorie!$A$6:$A$65,0)),"Categoria non trovata",IF(G1567="","Categoria senza tipo",""))))))))</f>
        <v/>
      </c>
    </row>
    <row r="1568">
      <c r="A1568" s="29" t="n"/>
      <c r="B1568" s="17" t="n"/>
      <c r="C1568" s="17" t="n"/>
      <c r="D1568" s="16" t="n"/>
      <c r="E1568" s="30" t="n"/>
      <c r="F1568" s="17" t="n"/>
      <c r="G1568" s="31">
        <f>IF(C1568="","",IFERROR(INDEX(Categorie!$B$6:$B$65,MATCH(C1568,Categorie!$A$6:$A$65,0))&amp;"",""))</f>
        <v/>
      </c>
      <c r="H1568" s="32">
        <f>IF(AND(A1568="",C1568="",D1568=""),"",IF(D1568="","Manca l'importo",IF(NOT(ISNUMBER(D1568)),"Importo non valido",IF(NOT(ISNUMBER(A1568)),"Data mancante o non valida",IF(YEAR(A1568)&lt;&gt;Impostazioni!$C$4,"Fuori dall'anno",IF(C1568="","Manca la categoria",IF(ISNA(MATCH(C1568,Categorie!$A$6:$A$65,0)),"Categoria non trovata",IF(G1568="","Categoria senza tipo",""))))))))</f>
        <v/>
      </c>
    </row>
    <row r="1569">
      <c r="A1569" s="29" t="n"/>
      <c r="B1569" s="17" t="n"/>
      <c r="C1569" s="17" t="n"/>
      <c r="D1569" s="16" t="n"/>
      <c r="E1569" s="30" t="n"/>
      <c r="F1569" s="17" t="n"/>
      <c r="G1569" s="31">
        <f>IF(C1569="","",IFERROR(INDEX(Categorie!$B$6:$B$65,MATCH(C1569,Categorie!$A$6:$A$65,0))&amp;"",""))</f>
        <v/>
      </c>
      <c r="H1569" s="32">
        <f>IF(AND(A1569="",C1569="",D1569=""),"",IF(D1569="","Manca l'importo",IF(NOT(ISNUMBER(D1569)),"Importo non valido",IF(NOT(ISNUMBER(A1569)),"Data mancante o non valida",IF(YEAR(A1569)&lt;&gt;Impostazioni!$C$4,"Fuori dall'anno",IF(C1569="","Manca la categoria",IF(ISNA(MATCH(C1569,Categorie!$A$6:$A$65,0)),"Categoria non trovata",IF(G1569="","Categoria senza tipo",""))))))))</f>
        <v/>
      </c>
    </row>
    <row r="1570">
      <c r="A1570" s="29" t="n"/>
      <c r="B1570" s="17" t="n"/>
      <c r="C1570" s="17" t="n"/>
      <c r="D1570" s="16" t="n"/>
      <c r="E1570" s="30" t="n"/>
      <c r="F1570" s="17" t="n"/>
      <c r="G1570" s="31">
        <f>IF(C1570="","",IFERROR(INDEX(Categorie!$B$6:$B$65,MATCH(C1570,Categorie!$A$6:$A$65,0))&amp;"",""))</f>
        <v/>
      </c>
      <c r="H1570" s="32">
        <f>IF(AND(A1570="",C1570="",D1570=""),"",IF(D1570="","Manca l'importo",IF(NOT(ISNUMBER(D1570)),"Importo non valido",IF(NOT(ISNUMBER(A1570)),"Data mancante o non valida",IF(YEAR(A1570)&lt;&gt;Impostazioni!$C$4,"Fuori dall'anno",IF(C1570="","Manca la categoria",IF(ISNA(MATCH(C1570,Categorie!$A$6:$A$65,0)),"Categoria non trovata",IF(G1570="","Categoria senza tipo",""))))))))</f>
        <v/>
      </c>
    </row>
    <row r="1571">
      <c r="A1571" s="29" t="n"/>
      <c r="B1571" s="17" t="n"/>
      <c r="C1571" s="17" t="n"/>
      <c r="D1571" s="16" t="n"/>
      <c r="E1571" s="30" t="n"/>
      <c r="F1571" s="17" t="n"/>
      <c r="G1571" s="31">
        <f>IF(C1571="","",IFERROR(INDEX(Categorie!$B$6:$B$65,MATCH(C1571,Categorie!$A$6:$A$65,0))&amp;"",""))</f>
        <v/>
      </c>
      <c r="H1571" s="32">
        <f>IF(AND(A1571="",C1571="",D1571=""),"",IF(D1571="","Manca l'importo",IF(NOT(ISNUMBER(D1571)),"Importo non valido",IF(NOT(ISNUMBER(A1571)),"Data mancante o non valida",IF(YEAR(A1571)&lt;&gt;Impostazioni!$C$4,"Fuori dall'anno",IF(C1571="","Manca la categoria",IF(ISNA(MATCH(C1571,Categorie!$A$6:$A$65,0)),"Categoria non trovata",IF(G1571="","Categoria senza tipo",""))))))))</f>
        <v/>
      </c>
    </row>
    <row r="1572">
      <c r="A1572" s="29" t="n"/>
      <c r="B1572" s="17" t="n"/>
      <c r="C1572" s="17" t="n"/>
      <c r="D1572" s="16" t="n"/>
      <c r="E1572" s="30" t="n"/>
      <c r="F1572" s="17" t="n"/>
      <c r="G1572" s="31">
        <f>IF(C1572="","",IFERROR(INDEX(Categorie!$B$6:$B$65,MATCH(C1572,Categorie!$A$6:$A$65,0))&amp;"",""))</f>
        <v/>
      </c>
      <c r="H1572" s="32">
        <f>IF(AND(A1572="",C1572="",D1572=""),"",IF(D1572="","Manca l'importo",IF(NOT(ISNUMBER(D1572)),"Importo non valido",IF(NOT(ISNUMBER(A1572)),"Data mancante o non valida",IF(YEAR(A1572)&lt;&gt;Impostazioni!$C$4,"Fuori dall'anno",IF(C1572="","Manca la categoria",IF(ISNA(MATCH(C1572,Categorie!$A$6:$A$65,0)),"Categoria non trovata",IF(G1572="","Categoria senza tipo",""))))))))</f>
        <v/>
      </c>
    </row>
    <row r="1573">
      <c r="A1573" s="29" t="n"/>
      <c r="B1573" s="17" t="n"/>
      <c r="C1573" s="17" t="n"/>
      <c r="D1573" s="16" t="n"/>
      <c r="E1573" s="30" t="n"/>
      <c r="F1573" s="17" t="n"/>
      <c r="G1573" s="31">
        <f>IF(C1573="","",IFERROR(INDEX(Categorie!$B$6:$B$65,MATCH(C1573,Categorie!$A$6:$A$65,0))&amp;"",""))</f>
        <v/>
      </c>
      <c r="H1573" s="32">
        <f>IF(AND(A1573="",C1573="",D1573=""),"",IF(D1573="","Manca l'importo",IF(NOT(ISNUMBER(D1573)),"Importo non valido",IF(NOT(ISNUMBER(A1573)),"Data mancante o non valida",IF(YEAR(A1573)&lt;&gt;Impostazioni!$C$4,"Fuori dall'anno",IF(C1573="","Manca la categoria",IF(ISNA(MATCH(C1573,Categorie!$A$6:$A$65,0)),"Categoria non trovata",IF(G1573="","Categoria senza tipo",""))))))))</f>
        <v/>
      </c>
    </row>
    <row r="1574">
      <c r="A1574" s="29" t="n"/>
      <c r="B1574" s="17" t="n"/>
      <c r="C1574" s="17" t="n"/>
      <c r="D1574" s="16" t="n"/>
      <c r="E1574" s="30" t="n"/>
      <c r="F1574" s="17" t="n"/>
      <c r="G1574" s="31">
        <f>IF(C1574="","",IFERROR(INDEX(Categorie!$B$6:$B$65,MATCH(C1574,Categorie!$A$6:$A$65,0))&amp;"",""))</f>
        <v/>
      </c>
      <c r="H1574" s="32">
        <f>IF(AND(A1574="",C1574="",D1574=""),"",IF(D1574="","Manca l'importo",IF(NOT(ISNUMBER(D1574)),"Importo non valido",IF(NOT(ISNUMBER(A1574)),"Data mancante o non valida",IF(YEAR(A1574)&lt;&gt;Impostazioni!$C$4,"Fuori dall'anno",IF(C1574="","Manca la categoria",IF(ISNA(MATCH(C1574,Categorie!$A$6:$A$65,0)),"Categoria non trovata",IF(G1574="","Categoria senza tipo",""))))))))</f>
        <v/>
      </c>
    </row>
    <row r="1575">
      <c r="A1575" s="29" t="n"/>
      <c r="B1575" s="17" t="n"/>
      <c r="C1575" s="17" t="n"/>
      <c r="D1575" s="16" t="n"/>
      <c r="E1575" s="30" t="n"/>
      <c r="F1575" s="17" t="n"/>
      <c r="G1575" s="31">
        <f>IF(C1575="","",IFERROR(INDEX(Categorie!$B$6:$B$65,MATCH(C1575,Categorie!$A$6:$A$65,0))&amp;"",""))</f>
        <v/>
      </c>
      <c r="H1575" s="32">
        <f>IF(AND(A1575="",C1575="",D1575=""),"",IF(D1575="","Manca l'importo",IF(NOT(ISNUMBER(D1575)),"Importo non valido",IF(NOT(ISNUMBER(A1575)),"Data mancante o non valida",IF(YEAR(A1575)&lt;&gt;Impostazioni!$C$4,"Fuori dall'anno",IF(C1575="","Manca la categoria",IF(ISNA(MATCH(C1575,Categorie!$A$6:$A$65,0)),"Categoria non trovata",IF(G1575="","Categoria senza tipo",""))))))))</f>
        <v/>
      </c>
    </row>
    <row r="1576">
      <c r="A1576" s="29" t="n"/>
      <c r="B1576" s="17" t="n"/>
      <c r="C1576" s="17" t="n"/>
      <c r="D1576" s="16" t="n"/>
      <c r="E1576" s="30" t="n"/>
      <c r="F1576" s="17" t="n"/>
      <c r="G1576" s="31">
        <f>IF(C1576="","",IFERROR(INDEX(Categorie!$B$6:$B$65,MATCH(C1576,Categorie!$A$6:$A$65,0))&amp;"",""))</f>
        <v/>
      </c>
      <c r="H1576" s="32">
        <f>IF(AND(A1576="",C1576="",D1576=""),"",IF(D1576="","Manca l'importo",IF(NOT(ISNUMBER(D1576)),"Importo non valido",IF(NOT(ISNUMBER(A1576)),"Data mancante o non valida",IF(YEAR(A1576)&lt;&gt;Impostazioni!$C$4,"Fuori dall'anno",IF(C1576="","Manca la categoria",IF(ISNA(MATCH(C1576,Categorie!$A$6:$A$65,0)),"Categoria non trovata",IF(G1576="","Categoria senza tipo",""))))))))</f>
        <v/>
      </c>
    </row>
    <row r="1577">
      <c r="A1577" s="29" t="n"/>
      <c r="B1577" s="17" t="n"/>
      <c r="C1577" s="17" t="n"/>
      <c r="D1577" s="16" t="n"/>
      <c r="E1577" s="30" t="n"/>
      <c r="F1577" s="17" t="n"/>
      <c r="G1577" s="31">
        <f>IF(C1577="","",IFERROR(INDEX(Categorie!$B$6:$B$65,MATCH(C1577,Categorie!$A$6:$A$65,0))&amp;"",""))</f>
        <v/>
      </c>
      <c r="H1577" s="32">
        <f>IF(AND(A1577="",C1577="",D1577=""),"",IF(D1577="","Manca l'importo",IF(NOT(ISNUMBER(D1577)),"Importo non valido",IF(NOT(ISNUMBER(A1577)),"Data mancante o non valida",IF(YEAR(A1577)&lt;&gt;Impostazioni!$C$4,"Fuori dall'anno",IF(C1577="","Manca la categoria",IF(ISNA(MATCH(C1577,Categorie!$A$6:$A$65,0)),"Categoria non trovata",IF(G1577="","Categoria senza tipo",""))))))))</f>
        <v/>
      </c>
    </row>
    <row r="1578">
      <c r="A1578" s="29" t="n"/>
      <c r="B1578" s="17" t="n"/>
      <c r="C1578" s="17" t="n"/>
      <c r="D1578" s="16" t="n"/>
      <c r="E1578" s="30" t="n"/>
      <c r="F1578" s="17" t="n"/>
      <c r="G1578" s="31">
        <f>IF(C1578="","",IFERROR(INDEX(Categorie!$B$6:$B$65,MATCH(C1578,Categorie!$A$6:$A$65,0))&amp;"",""))</f>
        <v/>
      </c>
      <c r="H1578" s="32">
        <f>IF(AND(A1578="",C1578="",D1578=""),"",IF(D1578="","Manca l'importo",IF(NOT(ISNUMBER(D1578)),"Importo non valido",IF(NOT(ISNUMBER(A1578)),"Data mancante o non valida",IF(YEAR(A1578)&lt;&gt;Impostazioni!$C$4,"Fuori dall'anno",IF(C1578="","Manca la categoria",IF(ISNA(MATCH(C1578,Categorie!$A$6:$A$65,0)),"Categoria non trovata",IF(G1578="","Categoria senza tipo",""))))))))</f>
        <v/>
      </c>
    </row>
    <row r="1579">
      <c r="A1579" s="29" t="n"/>
      <c r="B1579" s="17" t="n"/>
      <c r="C1579" s="17" t="n"/>
      <c r="D1579" s="16" t="n"/>
      <c r="E1579" s="30" t="n"/>
      <c r="F1579" s="17" t="n"/>
      <c r="G1579" s="31">
        <f>IF(C1579="","",IFERROR(INDEX(Categorie!$B$6:$B$65,MATCH(C1579,Categorie!$A$6:$A$65,0))&amp;"",""))</f>
        <v/>
      </c>
      <c r="H1579" s="32">
        <f>IF(AND(A1579="",C1579="",D1579=""),"",IF(D1579="","Manca l'importo",IF(NOT(ISNUMBER(D1579)),"Importo non valido",IF(NOT(ISNUMBER(A1579)),"Data mancante o non valida",IF(YEAR(A1579)&lt;&gt;Impostazioni!$C$4,"Fuori dall'anno",IF(C1579="","Manca la categoria",IF(ISNA(MATCH(C1579,Categorie!$A$6:$A$65,0)),"Categoria non trovata",IF(G1579="","Categoria senza tipo",""))))))))</f>
        <v/>
      </c>
    </row>
    <row r="1580">
      <c r="A1580" s="29" t="n"/>
      <c r="B1580" s="17" t="n"/>
      <c r="C1580" s="17" t="n"/>
      <c r="D1580" s="16" t="n"/>
      <c r="E1580" s="30" t="n"/>
      <c r="F1580" s="17" t="n"/>
      <c r="G1580" s="31">
        <f>IF(C1580="","",IFERROR(INDEX(Categorie!$B$6:$B$65,MATCH(C1580,Categorie!$A$6:$A$65,0))&amp;"",""))</f>
        <v/>
      </c>
      <c r="H1580" s="32">
        <f>IF(AND(A1580="",C1580="",D1580=""),"",IF(D1580="","Manca l'importo",IF(NOT(ISNUMBER(D1580)),"Importo non valido",IF(NOT(ISNUMBER(A1580)),"Data mancante o non valida",IF(YEAR(A1580)&lt;&gt;Impostazioni!$C$4,"Fuori dall'anno",IF(C1580="","Manca la categoria",IF(ISNA(MATCH(C1580,Categorie!$A$6:$A$65,0)),"Categoria non trovata",IF(G1580="","Categoria senza tipo",""))))))))</f>
        <v/>
      </c>
    </row>
    <row r="1581">
      <c r="A1581" s="29" t="n"/>
      <c r="B1581" s="17" t="n"/>
      <c r="C1581" s="17" t="n"/>
      <c r="D1581" s="16" t="n"/>
      <c r="E1581" s="30" t="n"/>
      <c r="F1581" s="17" t="n"/>
      <c r="G1581" s="31">
        <f>IF(C1581="","",IFERROR(INDEX(Categorie!$B$6:$B$65,MATCH(C1581,Categorie!$A$6:$A$65,0))&amp;"",""))</f>
        <v/>
      </c>
      <c r="H1581" s="32">
        <f>IF(AND(A1581="",C1581="",D1581=""),"",IF(D1581="","Manca l'importo",IF(NOT(ISNUMBER(D1581)),"Importo non valido",IF(NOT(ISNUMBER(A1581)),"Data mancante o non valida",IF(YEAR(A1581)&lt;&gt;Impostazioni!$C$4,"Fuori dall'anno",IF(C1581="","Manca la categoria",IF(ISNA(MATCH(C1581,Categorie!$A$6:$A$65,0)),"Categoria non trovata",IF(G1581="","Categoria senza tipo",""))))))))</f>
        <v/>
      </c>
    </row>
    <row r="1582">
      <c r="A1582" s="29" t="n"/>
      <c r="B1582" s="17" t="n"/>
      <c r="C1582" s="17" t="n"/>
      <c r="D1582" s="16" t="n"/>
      <c r="E1582" s="30" t="n"/>
      <c r="F1582" s="17" t="n"/>
      <c r="G1582" s="31">
        <f>IF(C1582="","",IFERROR(INDEX(Categorie!$B$6:$B$65,MATCH(C1582,Categorie!$A$6:$A$65,0))&amp;"",""))</f>
        <v/>
      </c>
      <c r="H1582" s="32">
        <f>IF(AND(A1582="",C1582="",D1582=""),"",IF(D1582="","Manca l'importo",IF(NOT(ISNUMBER(D1582)),"Importo non valido",IF(NOT(ISNUMBER(A1582)),"Data mancante o non valida",IF(YEAR(A1582)&lt;&gt;Impostazioni!$C$4,"Fuori dall'anno",IF(C1582="","Manca la categoria",IF(ISNA(MATCH(C1582,Categorie!$A$6:$A$65,0)),"Categoria non trovata",IF(G1582="","Categoria senza tipo",""))))))))</f>
        <v/>
      </c>
    </row>
    <row r="1583">
      <c r="A1583" s="29" t="n"/>
      <c r="B1583" s="17" t="n"/>
      <c r="C1583" s="17" t="n"/>
      <c r="D1583" s="16" t="n"/>
      <c r="E1583" s="30" t="n"/>
      <c r="F1583" s="17" t="n"/>
      <c r="G1583" s="31">
        <f>IF(C1583="","",IFERROR(INDEX(Categorie!$B$6:$B$65,MATCH(C1583,Categorie!$A$6:$A$65,0))&amp;"",""))</f>
        <v/>
      </c>
      <c r="H1583" s="32">
        <f>IF(AND(A1583="",C1583="",D1583=""),"",IF(D1583="","Manca l'importo",IF(NOT(ISNUMBER(D1583)),"Importo non valido",IF(NOT(ISNUMBER(A1583)),"Data mancante o non valida",IF(YEAR(A1583)&lt;&gt;Impostazioni!$C$4,"Fuori dall'anno",IF(C1583="","Manca la categoria",IF(ISNA(MATCH(C1583,Categorie!$A$6:$A$65,0)),"Categoria non trovata",IF(G1583="","Categoria senza tipo",""))))))))</f>
        <v/>
      </c>
    </row>
    <row r="1584">
      <c r="A1584" s="29" t="n"/>
      <c r="B1584" s="17" t="n"/>
      <c r="C1584" s="17" t="n"/>
      <c r="D1584" s="16" t="n"/>
      <c r="E1584" s="30" t="n"/>
      <c r="F1584" s="17" t="n"/>
      <c r="G1584" s="31">
        <f>IF(C1584="","",IFERROR(INDEX(Categorie!$B$6:$B$65,MATCH(C1584,Categorie!$A$6:$A$65,0))&amp;"",""))</f>
        <v/>
      </c>
      <c r="H1584" s="32">
        <f>IF(AND(A1584="",C1584="",D1584=""),"",IF(D1584="","Manca l'importo",IF(NOT(ISNUMBER(D1584)),"Importo non valido",IF(NOT(ISNUMBER(A1584)),"Data mancante o non valida",IF(YEAR(A1584)&lt;&gt;Impostazioni!$C$4,"Fuori dall'anno",IF(C1584="","Manca la categoria",IF(ISNA(MATCH(C1584,Categorie!$A$6:$A$65,0)),"Categoria non trovata",IF(G1584="","Categoria senza tipo",""))))))))</f>
        <v/>
      </c>
    </row>
    <row r="1585">
      <c r="A1585" s="29" t="n"/>
      <c r="B1585" s="17" t="n"/>
      <c r="C1585" s="17" t="n"/>
      <c r="D1585" s="16" t="n"/>
      <c r="E1585" s="30" t="n"/>
      <c r="F1585" s="17" t="n"/>
      <c r="G1585" s="31">
        <f>IF(C1585="","",IFERROR(INDEX(Categorie!$B$6:$B$65,MATCH(C1585,Categorie!$A$6:$A$65,0))&amp;"",""))</f>
        <v/>
      </c>
      <c r="H1585" s="32">
        <f>IF(AND(A1585="",C1585="",D1585=""),"",IF(D1585="","Manca l'importo",IF(NOT(ISNUMBER(D1585)),"Importo non valido",IF(NOT(ISNUMBER(A1585)),"Data mancante o non valida",IF(YEAR(A1585)&lt;&gt;Impostazioni!$C$4,"Fuori dall'anno",IF(C1585="","Manca la categoria",IF(ISNA(MATCH(C1585,Categorie!$A$6:$A$65,0)),"Categoria non trovata",IF(G1585="","Categoria senza tipo",""))))))))</f>
        <v/>
      </c>
    </row>
    <row r="1586">
      <c r="A1586" s="29" t="n"/>
      <c r="B1586" s="17" t="n"/>
      <c r="C1586" s="17" t="n"/>
      <c r="D1586" s="16" t="n"/>
      <c r="E1586" s="30" t="n"/>
      <c r="F1586" s="17" t="n"/>
      <c r="G1586" s="31">
        <f>IF(C1586="","",IFERROR(INDEX(Categorie!$B$6:$B$65,MATCH(C1586,Categorie!$A$6:$A$65,0))&amp;"",""))</f>
        <v/>
      </c>
      <c r="H1586" s="32">
        <f>IF(AND(A1586="",C1586="",D1586=""),"",IF(D1586="","Manca l'importo",IF(NOT(ISNUMBER(D1586)),"Importo non valido",IF(NOT(ISNUMBER(A1586)),"Data mancante o non valida",IF(YEAR(A1586)&lt;&gt;Impostazioni!$C$4,"Fuori dall'anno",IF(C1586="","Manca la categoria",IF(ISNA(MATCH(C1586,Categorie!$A$6:$A$65,0)),"Categoria non trovata",IF(G1586="","Categoria senza tipo",""))))))))</f>
        <v/>
      </c>
    </row>
    <row r="1587">
      <c r="A1587" s="29" t="n"/>
      <c r="B1587" s="17" t="n"/>
      <c r="C1587" s="17" t="n"/>
      <c r="D1587" s="16" t="n"/>
      <c r="E1587" s="30" t="n"/>
      <c r="F1587" s="17" t="n"/>
      <c r="G1587" s="31">
        <f>IF(C1587="","",IFERROR(INDEX(Categorie!$B$6:$B$65,MATCH(C1587,Categorie!$A$6:$A$65,0))&amp;"",""))</f>
        <v/>
      </c>
      <c r="H1587" s="32">
        <f>IF(AND(A1587="",C1587="",D1587=""),"",IF(D1587="","Manca l'importo",IF(NOT(ISNUMBER(D1587)),"Importo non valido",IF(NOT(ISNUMBER(A1587)),"Data mancante o non valida",IF(YEAR(A1587)&lt;&gt;Impostazioni!$C$4,"Fuori dall'anno",IF(C1587="","Manca la categoria",IF(ISNA(MATCH(C1587,Categorie!$A$6:$A$65,0)),"Categoria non trovata",IF(G1587="","Categoria senza tipo",""))))))))</f>
        <v/>
      </c>
    </row>
    <row r="1588">
      <c r="A1588" s="29" t="n"/>
      <c r="B1588" s="17" t="n"/>
      <c r="C1588" s="17" t="n"/>
      <c r="D1588" s="16" t="n"/>
      <c r="E1588" s="30" t="n"/>
      <c r="F1588" s="17" t="n"/>
      <c r="G1588" s="31">
        <f>IF(C1588="","",IFERROR(INDEX(Categorie!$B$6:$B$65,MATCH(C1588,Categorie!$A$6:$A$65,0))&amp;"",""))</f>
        <v/>
      </c>
      <c r="H1588" s="32">
        <f>IF(AND(A1588="",C1588="",D1588=""),"",IF(D1588="","Manca l'importo",IF(NOT(ISNUMBER(D1588)),"Importo non valido",IF(NOT(ISNUMBER(A1588)),"Data mancante o non valida",IF(YEAR(A1588)&lt;&gt;Impostazioni!$C$4,"Fuori dall'anno",IF(C1588="","Manca la categoria",IF(ISNA(MATCH(C1588,Categorie!$A$6:$A$65,0)),"Categoria non trovata",IF(G1588="","Categoria senza tipo",""))))))))</f>
        <v/>
      </c>
    </row>
    <row r="1589">
      <c r="A1589" s="29" t="n"/>
      <c r="B1589" s="17" t="n"/>
      <c r="C1589" s="17" t="n"/>
      <c r="D1589" s="16" t="n"/>
      <c r="E1589" s="30" t="n"/>
      <c r="F1589" s="17" t="n"/>
      <c r="G1589" s="31">
        <f>IF(C1589="","",IFERROR(INDEX(Categorie!$B$6:$B$65,MATCH(C1589,Categorie!$A$6:$A$65,0))&amp;"",""))</f>
        <v/>
      </c>
      <c r="H1589" s="32">
        <f>IF(AND(A1589="",C1589="",D1589=""),"",IF(D1589="","Manca l'importo",IF(NOT(ISNUMBER(D1589)),"Importo non valido",IF(NOT(ISNUMBER(A1589)),"Data mancante o non valida",IF(YEAR(A1589)&lt;&gt;Impostazioni!$C$4,"Fuori dall'anno",IF(C1589="","Manca la categoria",IF(ISNA(MATCH(C1589,Categorie!$A$6:$A$65,0)),"Categoria non trovata",IF(G1589="","Categoria senza tipo",""))))))))</f>
        <v/>
      </c>
    </row>
    <row r="1590">
      <c r="A1590" s="29" t="n"/>
      <c r="B1590" s="17" t="n"/>
      <c r="C1590" s="17" t="n"/>
      <c r="D1590" s="16" t="n"/>
      <c r="E1590" s="30" t="n"/>
      <c r="F1590" s="17" t="n"/>
      <c r="G1590" s="31">
        <f>IF(C1590="","",IFERROR(INDEX(Categorie!$B$6:$B$65,MATCH(C1590,Categorie!$A$6:$A$65,0))&amp;"",""))</f>
        <v/>
      </c>
      <c r="H1590" s="32">
        <f>IF(AND(A1590="",C1590="",D1590=""),"",IF(D1590="","Manca l'importo",IF(NOT(ISNUMBER(D1590)),"Importo non valido",IF(NOT(ISNUMBER(A1590)),"Data mancante o non valida",IF(YEAR(A1590)&lt;&gt;Impostazioni!$C$4,"Fuori dall'anno",IF(C1590="","Manca la categoria",IF(ISNA(MATCH(C1590,Categorie!$A$6:$A$65,0)),"Categoria non trovata",IF(G1590="","Categoria senza tipo",""))))))))</f>
        <v/>
      </c>
    </row>
    <row r="1591">
      <c r="A1591" s="29" t="n"/>
      <c r="B1591" s="17" t="n"/>
      <c r="C1591" s="17" t="n"/>
      <c r="D1591" s="16" t="n"/>
      <c r="E1591" s="30" t="n"/>
      <c r="F1591" s="17" t="n"/>
      <c r="G1591" s="31">
        <f>IF(C1591="","",IFERROR(INDEX(Categorie!$B$6:$B$65,MATCH(C1591,Categorie!$A$6:$A$65,0))&amp;"",""))</f>
        <v/>
      </c>
      <c r="H1591" s="32">
        <f>IF(AND(A1591="",C1591="",D1591=""),"",IF(D1591="","Manca l'importo",IF(NOT(ISNUMBER(D1591)),"Importo non valido",IF(NOT(ISNUMBER(A1591)),"Data mancante o non valida",IF(YEAR(A1591)&lt;&gt;Impostazioni!$C$4,"Fuori dall'anno",IF(C1591="","Manca la categoria",IF(ISNA(MATCH(C1591,Categorie!$A$6:$A$65,0)),"Categoria non trovata",IF(G1591="","Categoria senza tipo",""))))))))</f>
        <v/>
      </c>
    </row>
    <row r="1592">
      <c r="A1592" s="29" t="n"/>
      <c r="B1592" s="17" t="n"/>
      <c r="C1592" s="17" t="n"/>
      <c r="D1592" s="16" t="n"/>
      <c r="E1592" s="30" t="n"/>
      <c r="F1592" s="17" t="n"/>
      <c r="G1592" s="31">
        <f>IF(C1592="","",IFERROR(INDEX(Categorie!$B$6:$B$65,MATCH(C1592,Categorie!$A$6:$A$65,0))&amp;"",""))</f>
        <v/>
      </c>
      <c r="H1592" s="32">
        <f>IF(AND(A1592="",C1592="",D1592=""),"",IF(D1592="","Manca l'importo",IF(NOT(ISNUMBER(D1592)),"Importo non valido",IF(NOT(ISNUMBER(A1592)),"Data mancante o non valida",IF(YEAR(A1592)&lt;&gt;Impostazioni!$C$4,"Fuori dall'anno",IF(C1592="","Manca la categoria",IF(ISNA(MATCH(C1592,Categorie!$A$6:$A$65,0)),"Categoria non trovata",IF(G1592="","Categoria senza tipo",""))))))))</f>
        <v/>
      </c>
    </row>
    <row r="1593">
      <c r="A1593" s="29" t="n"/>
      <c r="B1593" s="17" t="n"/>
      <c r="C1593" s="17" t="n"/>
      <c r="D1593" s="16" t="n"/>
      <c r="E1593" s="30" t="n"/>
      <c r="F1593" s="17" t="n"/>
      <c r="G1593" s="31">
        <f>IF(C1593="","",IFERROR(INDEX(Categorie!$B$6:$B$65,MATCH(C1593,Categorie!$A$6:$A$65,0))&amp;"",""))</f>
        <v/>
      </c>
      <c r="H1593" s="32">
        <f>IF(AND(A1593="",C1593="",D1593=""),"",IF(D1593="","Manca l'importo",IF(NOT(ISNUMBER(D1593)),"Importo non valido",IF(NOT(ISNUMBER(A1593)),"Data mancante o non valida",IF(YEAR(A1593)&lt;&gt;Impostazioni!$C$4,"Fuori dall'anno",IF(C1593="","Manca la categoria",IF(ISNA(MATCH(C1593,Categorie!$A$6:$A$65,0)),"Categoria non trovata",IF(G1593="","Categoria senza tipo",""))))))))</f>
        <v/>
      </c>
    </row>
    <row r="1594">
      <c r="A1594" s="29" t="n"/>
      <c r="B1594" s="17" t="n"/>
      <c r="C1594" s="17" t="n"/>
      <c r="D1594" s="16" t="n"/>
      <c r="E1594" s="30" t="n"/>
      <c r="F1594" s="17" t="n"/>
      <c r="G1594" s="31">
        <f>IF(C1594="","",IFERROR(INDEX(Categorie!$B$6:$B$65,MATCH(C1594,Categorie!$A$6:$A$65,0))&amp;"",""))</f>
        <v/>
      </c>
      <c r="H1594" s="32">
        <f>IF(AND(A1594="",C1594="",D1594=""),"",IF(D1594="","Manca l'importo",IF(NOT(ISNUMBER(D1594)),"Importo non valido",IF(NOT(ISNUMBER(A1594)),"Data mancante o non valida",IF(YEAR(A1594)&lt;&gt;Impostazioni!$C$4,"Fuori dall'anno",IF(C1594="","Manca la categoria",IF(ISNA(MATCH(C1594,Categorie!$A$6:$A$65,0)),"Categoria non trovata",IF(G1594="","Categoria senza tipo",""))))))))</f>
        <v/>
      </c>
    </row>
    <row r="1595">
      <c r="A1595" s="29" t="n"/>
      <c r="B1595" s="17" t="n"/>
      <c r="C1595" s="17" t="n"/>
      <c r="D1595" s="16" t="n"/>
      <c r="E1595" s="30" t="n"/>
      <c r="F1595" s="17" t="n"/>
      <c r="G1595" s="31">
        <f>IF(C1595="","",IFERROR(INDEX(Categorie!$B$6:$B$65,MATCH(C1595,Categorie!$A$6:$A$65,0))&amp;"",""))</f>
        <v/>
      </c>
      <c r="H1595" s="32">
        <f>IF(AND(A1595="",C1595="",D1595=""),"",IF(D1595="","Manca l'importo",IF(NOT(ISNUMBER(D1595)),"Importo non valido",IF(NOT(ISNUMBER(A1595)),"Data mancante o non valida",IF(YEAR(A1595)&lt;&gt;Impostazioni!$C$4,"Fuori dall'anno",IF(C1595="","Manca la categoria",IF(ISNA(MATCH(C1595,Categorie!$A$6:$A$65,0)),"Categoria non trovata",IF(G1595="","Categoria senza tipo",""))))))))</f>
        <v/>
      </c>
    </row>
    <row r="1596">
      <c r="A1596" s="29" t="n"/>
      <c r="B1596" s="17" t="n"/>
      <c r="C1596" s="17" t="n"/>
      <c r="D1596" s="16" t="n"/>
      <c r="E1596" s="30" t="n"/>
      <c r="F1596" s="17" t="n"/>
      <c r="G1596" s="31">
        <f>IF(C1596="","",IFERROR(INDEX(Categorie!$B$6:$B$65,MATCH(C1596,Categorie!$A$6:$A$65,0))&amp;"",""))</f>
        <v/>
      </c>
      <c r="H1596" s="32">
        <f>IF(AND(A1596="",C1596="",D1596=""),"",IF(D1596="","Manca l'importo",IF(NOT(ISNUMBER(D1596)),"Importo non valido",IF(NOT(ISNUMBER(A1596)),"Data mancante o non valida",IF(YEAR(A1596)&lt;&gt;Impostazioni!$C$4,"Fuori dall'anno",IF(C1596="","Manca la categoria",IF(ISNA(MATCH(C1596,Categorie!$A$6:$A$65,0)),"Categoria non trovata",IF(G1596="","Categoria senza tipo",""))))))))</f>
        <v/>
      </c>
    </row>
    <row r="1597">
      <c r="A1597" s="29" t="n"/>
      <c r="B1597" s="17" t="n"/>
      <c r="C1597" s="17" t="n"/>
      <c r="D1597" s="16" t="n"/>
      <c r="E1597" s="30" t="n"/>
      <c r="F1597" s="17" t="n"/>
      <c r="G1597" s="31">
        <f>IF(C1597="","",IFERROR(INDEX(Categorie!$B$6:$B$65,MATCH(C1597,Categorie!$A$6:$A$65,0))&amp;"",""))</f>
        <v/>
      </c>
      <c r="H1597" s="32">
        <f>IF(AND(A1597="",C1597="",D1597=""),"",IF(D1597="","Manca l'importo",IF(NOT(ISNUMBER(D1597)),"Importo non valido",IF(NOT(ISNUMBER(A1597)),"Data mancante o non valida",IF(YEAR(A1597)&lt;&gt;Impostazioni!$C$4,"Fuori dall'anno",IF(C1597="","Manca la categoria",IF(ISNA(MATCH(C1597,Categorie!$A$6:$A$65,0)),"Categoria non trovata",IF(G1597="","Categoria senza tipo",""))))))))</f>
        <v/>
      </c>
    </row>
    <row r="1598">
      <c r="A1598" s="29" t="n"/>
      <c r="B1598" s="17" t="n"/>
      <c r="C1598" s="17" t="n"/>
      <c r="D1598" s="16" t="n"/>
      <c r="E1598" s="30" t="n"/>
      <c r="F1598" s="17" t="n"/>
      <c r="G1598" s="31">
        <f>IF(C1598="","",IFERROR(INDEX(Categorie!$B$6:$B$65,MATCH(C1598,Categorie!$A$6:$A$65,0))&amp;"",""))</f>
        <v/>
      </c>
      <c r="H1598" s="32">
        <f>IF(AND(A1598="",C1598="",D1598=""),"",IF(D1598="","Manca l'importo",IF(NOT(ISNUMBER(D1598)),"Importo non valido",IF(NOT(ISNUMBER(A1598)),"Data mancante o non valida",IF(YEAR(A1598)&lt;&gt;Impostazioni!$C$4,"Fuori dall'anno",IF(C1598="","Manca la categoria",IF(ISNA(MATCH(C1598,Categorie!$A$6:$A$65,0)),"Categoria non trovata",IF(G1598="","Categoria senza tipo",""))))))))</f>
        <v/>
      </c>
    </row>
    <row r="1599">
      <c r="A1599" s="29" t="n"/>
      <c r="B1599" s="17" t="n"/>
      <c r="C1599" s="17" t="n"/>
      <c r="D1599" s="16" t="n"/>
      <c r="E1599" s="30" t="n"/>
      <c r="F1599" s="17" t="n"/>
      <c r="G1599" s="31">
        <f>IF(C1599="","",IFERROR(INDEX(Categorie!$B$6:$B$65,MATCH(C1599,Categorie!$A$6:$A$65,0))&amp;"",""))</f>
        <v/>
      </c>
      <c r="H1599" s="32">
        <f>IF(AND(A1599="",C1599="",D1599=""),"",IF(D1599="","Manca l'importo",IF(NOT(ISNUMBER(D1599)),"Importo non valido",IF(NOT(ISNUMBER(A1599)),"Data mancante o non valida",IF(YEAR(A1599)&lt;&gt;Impostazioni!$C$4,"Fuori dall'anno",IF(C1599="","Manca la categoria",IF(ISNA(MATCH(C1599,Categorie!$A$6:$A$65,0)),"Categoria non trovata",IF(G1599="","Categoria senza tipo",""))))))))</f>
        <v/>
      </c>
    </row>
    <row r="1600">
      <c r="A1600" s="29" t="n"/>
      <c r="B1600" s="17" t="n"/>
      <c r="C1600" s="17" t="n"/>
      <c r="D1600" s="16" t="n"/>
      <c r="E1600" s="30" t="n"/>
      <c r="F1600" s="17" t="n"/>
      <c r="G1600" s="31">
        <f>IF(C1600="","",IFERROR(INDEX(Categorie!$B$6:$B$65,MATCH(C1600,Categorie!$A$6:$A$65,0))&amp;"",""))</f>
        <v/>
      </c>
      <c r="H1600" s="32">
        <f>IF(AND(A1600="",C1600="",D1600=""),"",IF(D1600="","Manca l'importo",IF(NOT(ISNUMBER(D1600)),"Importo non valido",IF(NOT(ISNUMBER(A1600)),"Data mancante o non valida",IF(YEAR(A1600)&lt;&gt;Impostazioni!$C$4,"Fuori dall'anno",IF(C1600="","Manca la categoria",IF(ISNA(MATCH(C1600,Categorie!$A$6:$A$65,0)),"Categoria non trovata",IF(G1600="","Categoria senza tipo",""))))))))</f>
        <v/>
      </c>
    </row>
    <row r="1601">
      <c r="A1601" s="29" t="n"/>
      <c r="B1601" s="17" t="n"/>
      <c r="C1601" s="17" t="n"/>
      <c r="D1601" s="16" t="n"/>
      <c r="E1601" s="30" t="n"/>
      <c r="F1601" s="17" t="n"/>
      <c r="G1601" s="31">
        <f>IF(C1601="","",IFERROR(INDEX(Categorie!$B$6:$B$65,MATCH(C1601,Categorie!$A$6:$A$65,0))&amp;"",""))</f>
        <v/>
      </c>
      <c r="H1601" s="32">
        <f>IF(AND(A1601="",C1601="",D1601=""),"",IF(D1601="","Manca l'importo",IF(NOT(ISNUMBER(D1601)),"Importo non valido",IF(NOT(ISNUMBER(A1601)),"Data mancante o non valida",IF(YEAR(A1601)&lt;&gt;Impostazioni!$C$4,"Fuori dall'anno",IF(C1601="","Manca la categoria",IF(ISNA(MATCH(C1601,Categorie!$A$6:$A$65,0)),"Categoria non trovata",IF(G1601="","Categoria senza tipo",""))))))))</f>
        <v/>
      </c>
    </row>
    <row r="1602">
      <c r="A1602" s="29" t="n"/>
      <c r="B1602" s="17" t="n"/>
      <c r="C1602" s="17" t="n"/>
      <c r="D1602" s="16" t="n"/>
      <c r="E1602" s="30" t="n"/>
      <c r="F1602" s="17" t="n"/>
      <c r="G1602" s="31">
        <f>IF(C1602="","",IFERROR(INDEX(Categorie!$B$6:$B$65,MATCH(C1602,Categorie!$A$6:$A$65,0))&amp;"",""))</f>
        <v/>
      </c>
      <c r="H1602" s="32">
        <f>IF(AND(A1602="",C1602="",D1602=""),"",IF(D1602="","Manca l'importo",IF(NOT(ISNUMBER(D1602)),"Importo non valido",IF(NOT(ISNUMBER(A1602)),"Data mancante o non valida",IF(YEAR(A1602)&lt;&gt;Impostazioni!$C$4,"Fuori dall'anno",IF(C1602="","Manca la categoria",IF(ISNA(MATCH(C1602,Categorie!$A$6:$A$65,0)),"Categoria non trovata",IF(G1602="","Categoria senza tipo",""))))))))</f>
        <v/>
      </c>
    </row>
    <row r="1603">
      <c r="A1603" s="29" t="n"/>
      <c r="B1603" s="17" t="n"/>
      <c r="C1603" s="17" t="n"/>
      <c r="D1603" s="16" t="n"/>
      <c r="E1603" s="30" t="n"/>
      <c r="F1603" s="17" t="n"/>
      <c r="G1603" s="31">
        <f>IF(C1603="","",IFERROR(INDEX(Categorie!$B$6:$B$65,MATCH(C1603,Categorie!$A$6:$A$65,0))&amp;"",""))</f>
        <v/>
      </c>
      <c r="H1603" s="32">
        <f>IF(AND(A1603="",C1603="",D1603=""),"",IF(D1603="","Manca l'importo",IF(NOT(ISNUMBER(D1603)),"Importo non valido",IF(NOT(ISNUMBER(A1603)),"Data mancante o non valida",IF(YEAR(A1603)&lt;&gt;Impostazioni!$C$4,"Fuori dall'anno",IF(C1603="","Manca la categoria",IF(ISNA(MATCH(C1603,Categorie!$A$6:$A$65,0)),"Categoria non trovata",IF(G1603="","Categoria senza tipo",""))))))))</f>
        <v/>
      </c>
    </row>
    <row r="1604">
      <c r="A1604" s="29" t="n"/>
      <c r="B1604" s="17" t="n"/>
      <c r="C1604" s="17" t="n"/>
      <c r="D1604" s="16" t="n"/>
      <c r="E1604" s="30" t="n"/>
      <c r="F1604" s="17" t="n"/>
      <c r="G1604" s="31">
        <f>IF(C1604="","",IFERROR(INDEX(Categorie!$B$6:$B$65,MATCH(C1604,Categorie!$A$6:$A$65,0))&amp;"",""))</f>
        <v/>
      </c>
      <c r="H1604" s="32">
        <f>IF(AND(A1604="",C1604="",D1604=""),"",IF(D1604="","Manca l'importo",IF(NOT(ISNUMBER(D1604)),"Importo non valido",IF(NOT(ISNUMBER(A1604)),"Data mancante o non valida",IF(YEAR(A1604)&lt;&gt;Impostazioni!$C$4,"Fuori dall'anno",IF(C1604="","Manca la categoria",IF(ISNA(MATCH(C1604,Categorie!$A$6:$A$65,0)),"Categoria non trovata",IF(G1604="","Categoria senza tipo",""))))))))</f>
        <v/>
      </c>
    </row>
    <row r="1605">
      <c r="A1605" s="29" t="n"/>
      <c r="B1605" s="17" t="n"/>
      <c r="C1605" s="17" t="n"/>
      <c r="D1605" s="16" t="n"/>
      <c r="E1605" s="30" t="n"/>
      <c r="F1605" s="17" t="n"/>
      <c r="G1605" s="31">
        <f>IF(C1605="","",IFERROR(INDEX(Categorie!$B$6:$B$65,MATCH(C1605,Categorie!$A$6:$A$65,0))&amp;"",""))</f>
        <v/>
      </c>
      <c r="H1605" s="32">
        <f>IF(AND(A1605="",C1605="",D1605=""),"",IF(D1605="","Manca l'importo",IF(NOT(ISNUMBER(D1605)),"Importo non valido",IF(NOT(ISNUMBER(A1605)),"Data mancante o non valida",IF(YEAR(A1605)&lt;&gt;Impostazioni!$C$4,"Fuori dall'anno",IF(C1605="","Manca la categoria",IF(ISNA(MATCH(C1605,Categorie!$A$6:$A$65,0)),"Categoria non trovata",IF(G1605="","Categoria senza tipo",""))))))))</f>
        <v/>
      </c>
    </row>
    <row r="1606">
      <c r="A1606" s="29" t="n"/>
      <c r="B1606" s="17" t="n"/>
      <c r="C1606" s="17" t="n"/>
      <c r="D1606" s="16" t="n"/>
      <c r="E1606" s="30" t="n"/>
      <c r="F1606" s="17" t="n"/>
      <c r="G1606" s="31">
        <f>IF(C1606="","",IFERROR(INDEX(Categorie!$B$6:$B$65,MATCH(C1606,Categorie!$A$6:$A$65,0))&amp;"",""))</f>
        <v/>
      </c>
      <c r="H1606" s="32">
        <f>IF(AND(A1606="",C1606="",D1606=""),"",IF(D1606="","Manca l'importo",IF(NOT(ISNUMBER(D1606)),"Importo non valido",IF(NOT(ISNUMBER(A1606)),"Data mancante o non valida",IF(YEAR(A1606)&lt;&gt;Impostazioni!$C$4,"Fuori dall'anno",IF(C1606="","Manca la categoria",IF(ISNA(MATCH(C1606,Categorie!$A$6:$A$65,0)),"Categoria non trovata",IF(G1606="","Categoria senza tipo",""))))))))</f>
        <v/>
      </c>
    </row>
    <row r="1607">
      <c r="A1607" s="29" t="n"/>
      <c r="B1607" s="17" t="n"/>
      <c r="C1607" s="17" t="n"/>
      <c r="D1607" s="16" t="n"/>
      <c r="E1607" s="30" t="n"/>
      <c r="F1607" s="17" t="n"/>
      <c r="G1607" s="31">
        <f>IF(C1607="","",IFERROR(INDEX(Categorie!$B$6:$B$65,MATCH(C1607,Categorie!$A$6:$A$65,0))&amp;"",""))</f>
        <v/>
      </c>
      <c r="H1607" s="32">
        <f>IF(AND(A1607="",C1607="",D1607=""),"",IF(D1607="","Manca l'importo",IF(NOT(ISNUMBER(D1607)),"Importo non valido",IF(NOT(ISNUMBER(A1607)),"Data mancante o non valida",IF(YEAR(A1607)&lt;&gt;Impostazioni!$C$4,"Fuori dall'anno",IF(C1607="","Manca la categoria",IF(ISNA(MATCH(C1607,Categorie!$A$6:$A$65,0)),"Categoria non trovata",IF(G1607="","Categoria senza tipo",""))))))))</f>
        <v/>
      </c>
    </row>
    <row r="1608">
      <c r="A1608" s="29" t="n"/>
      <c r="B1608" s="17" t="n"/>
      <c r="C1608" s="17" t="n"/>
      <c r="D1608" s="16" t="n"/>
      <c r="E1608" s="30" t="n"/>
      <c r="F1608" s="17" t="n"/>
      <c r="G1608" s="31">
        <f>IF(C1608="","",IFERROR(INDEX(Categorie!$B$6:$B$65,MATCH(C1608,Categorie!$A$6:$A$65,0))&amp;"",""))</f>
        <v/>
      </c>
      <c r="H1608" s="32">
        <f>IF(AND(A1608="",C1608="",D1608=""),"",IF(D1608="","Manca l'importo",IF(NOT(ISNUMBER(D1608)),"Importo non valido",IF(NOT(ISNUMBER(A1608)),"Data mancante o non valida",IF(YEAR(A1608)&lt;&gt;Impostazioni!$C$4,"Fuori dall'anno",IF(C1608="","Manca la categoria",IF(ISNA(MATCH(C1608,Categorie!$A$6:$A$65,0)),"Categoria non trovata",IF(G1608="","Categoria senza tipo",""))))))))</f>
        <v/>
      </c>
    </row>
    <row r="1609">
      <c r="A1609" s="29" t="n"/>
      <c r="B1609" s="17" t="n"/>
      <c r="C1609" s="17" t="n"/>
      <c r="D1609" s="16" t="n"/>
      <c r="E1609" s="30" t="n"/>
      <c r="F1609" s="17" t="n"/>
      <c r="G1609" s="31">
        <f>IF(C1609="","",IFERROR(INDEX(Categorie!$B$6:$B$65,MATCH(C1609,Categorie!$A$6:$A$65,0))&amp;"",""))</f>
        <v/>
      </c>
      <c r="H1609" s="32">
        <f>IF(AND(A1609="",C1609="",D1609=""),"",IF(D1609="","Manca l'importo",IF(NOT(ISNUMBER(D1609)),"Importo non valido",IF(NOT(ISNUMBER(A1609)),"Data mancante o non valida",IF(YEAR(A1609)&lt;&gt;Impostazioni!$C$4,"Fuori dall'anno",IF(C1609="","Manca la categoria",IF(ISNA(MATCH(C1609,Categorie!$A$6:$A$65,0)),"Categoria non trovata",IF(G1609="","Categoria senza tipo",""))))))))</f>
        <v/>
      </c>
    </row>
    <row r="1610">
      <c r="A1610" s="29" t="n"/>
      <c r="B1610" s="17" t="n"/>
      <c r="C1610" s="17" t="n"/>
      <c r="D1610" s="16" t="n"/>
      <c r="E1610" s="30" t="n"/>
      <c r="F1610" s="17" t="n"/>
      <c r="G1610" s="31">
        <f>IF(C1610="","",IFERROR(INDEX(Categorie!$B$6:$B$65,MATCH(C1610,Categorie!$A$6:$A$65,0))&amp;"",""))</f>
        <v/>
      </c>
      <c r="H1610" s="32">
        <f>IF(AND(A1610="",C1610="",D1610=""),"",IF(D1610="","Manca l'importo",IF(NOT(ISNUMBER(D1610)),"Importo non valido",IF(NOT(ISNUMBER(A1610)),"Data mancante o non valida",IF(YEAR(A1610)&lt;&gt;Impostazioni!$C$4,"Fuori dall'anno",IF(C1610="","Manca la categoria",IF(ISNA(MATCH(C1610,Categorie!$A$6:$A$65,0)),"Categoria non trovata",IF(G1610="","Categoria senza tipo",""))))))))</f>
        <v/>
      </c>
    </row>
    <row r="1611">
      <c r="A1611" s="29" t="n"/>
      <c r="B1611" s="17" t="n"/>
      <c r="C1611" s="17" t="n"/>
      <c r="D1611" s="16" t="n"/>
      <c r="E1611" s="30" t="n"/>
      <c r="F1611" s="17" t="n"/>
      <c r="G1611" s="31">
        <f>IF(C1611="","",IFERROR(INDEX(Categorie!$B$6:$B$65,MATCH(C1611,Categorie!$A$6:$A$65,0))&amp;"",""))</f>
        <v/>
      </c>
      <c r="H1611" s="32">
        <f>IF(AND(A1611="",C1611="",D1611=""),"",IF(D1611="","Manca l'importo",IF(NOT(ISNUMBER(D1611)),"Importo non valido",IF(NOT(ISNUMBER(A1611)),"Data mancante o non valida",IF(YEAR(A1611)&lt;&gt;Impostazioni!$C$4,"Fuori dall'anno",IF(C1611="","Manca la categoria",IF(ISNA(MATCH(C1611,Categorie!$A$6:$A$65,0)),"Categoria non trovata",IF(G1611="","Categoria senza tipo",""))))))))</f>
        <v/>
      </c>
    </row>
    <row r="1612">
      <c r="A1612" s="29" t="n"/>
      <c r="B1612" s="17" t="n"/>
      <c r="C1612" s="17" t="n"/>
      <c r="D1612" s="16" t="n"/>
      <c r="E1612" s="30" t="n"/>
      <c r="F1612" s="17" t="n"/>
      <c r="G1612" s="31">
        <f>IF(C1612="","",IFERROR(INDEX(Categorie!$B$6:$B$65,MATCH(C1612,Categorie!$A$6:$A$65,0))&amp;"",""))</f>
        <v/>
      </c>
      <c r="H1612" s="32">
        <f>IF(AND(A1612="",C1612="",D1612=""),"",IF(D1612="","Manca l'importo",IF(NOT(ISNUMBER(D1612)),"Importo non valido",IF(NOT(ISNUMBER(A1612)),"Data mancante o non valida",IF(YEAR(A1612)&lt;&gt;Impostazioni!$C$4,"Fuori dall'anno",IF(C1612="","Manca la categoria",IF(ISNA(MATCH(C1612,Categorie!$A$6:$A$65,0)),"Categoria non trovata",IF(G1612="","Categoria senza tipo",""))))))))</f>
        <v/>
      </c>
    </row>
    <row r="1613">
      <c r="A1613" s="29" t="n"/>
      <c r="B1613" s="17" t="n"/>
      <c r="C1613" s="17" t="n"/>
      <c r="D1613" s="16" t="n"/>
      <c r="E1613" s="30" t="n"/>
      <c r="F1613" s="17" t="n"/>
      <c r="G1613" s="31">
        <f>IF(C1613="","",IFERROR(INDEX(Categorie!$B$6:$B$65,MATCH(C1613,Categorie!$A$6:$A$65,0))&amp;"",""))</f>
        <v/>
      </c>
      <c r="H1613" s="32">
        <f>IF(AND(A1613="",C1613="",D1613=""),"",IF(D1613="","Manca l'importo",IF(NOT(ISNUMBER(D1613)),"Importo non valido",IF(NOT(ISNUMBER(A1613)),"Data mancante o non valida",IF(YEAR(A1613)&lt;&gt;Impostazioni!$C$4,"Fuori dall'anno",IF(C1613="","Manca la categoria",IF(ISNA(MATCH(C1613,Categorie!$A$6:$A$65,0)),"Categoria non trovata",IF(G1613="","Categoria senza tipo",""))))))))</f>
        <v/>
      </c>
    </row>
    <row r="1614">
      <c r="A1614" s="29" t="n"/>
      <c r="B1614" s="17" t="n"/>
      <c r="C1614" s="17" t="n"/>
      <c r="D1614" s="16" t="n"/>
      <c r="E1614" s="30" t="n"/>
      <c r="F1614" s="17" t="n"/>
      <c r="G1614" s="31">
        <f>IF(C1614="","",IFERROR(INDEX(Categorie!$B$6:$B$65,MATCH(C1614,Categorie!$A$6:$A$65,0))&amp;"",""))</f>
        <v/>
      </c>
      <c r="H1614" s="32">
        <f>IF(AND(A1614="",C1614="",D1614=""),"",IF(D1614="","Manca l'importo",IF(NOT(ISNUMBER(D1614)),"Importo non valido",IF(NOT(ISNUMBER(A1614)),"Data mancante o non valida",IF(YEAR(A1614)&lt;&gt;Impostazioni!$C$4,"Fuori dall'anno",IF(C1614="","Manca la categoria",IF(ISNA(MATCH(C1614,Categorie!$A$6:$A$65,0)),"Categoria non trovata",IF(G1614="","Categoria senza tipo",""))))))))</f>
        <v/>
      </c>
    </row>
    <row r="1615">
      <c r="A1615" s="29" t="n"/>
      <c r="B1615" s="17" t="n"/>
      <c r="C1615" s="17" t="n"/>
      <c r="D1615" s="16" t="n"/>
      <c r="E1615" s="30" t="n"/>
      <c r="F1615" s="17" t="n"/>
      <c r="G1615" s="31">
        <f>IF(C1615="","",IFERROR(INDEX(Categorie!$B$6:$B$65,MATCH(C1615,Categorie!$A$6:$A$65,0))&amp;"",""))</f>
        <v/>
      </c>
      <c r="H1615" s="32">
        <f>IF(AND(A1615="",C1615="",D1615=""),"",IF(D1615="","Manca l'importo",IF(NOT(ISNUMBER(D1615)),"Importo non valido",IF(NOT(ISNUMBER(A1615)),"Data mancante o non valida",IF(YEAR(A1615)&lt;&gt;Impostazioni!$C$4,"Fuori dall'anno",IF(C1615="","Manca la categoria",IF(ISNA(MATCH(C1615,Categorie!$A$6:$A$65,0)),"Categoria non trovata",IF(G1615="","Categoria senza tipo",""))))))))</f>
        <v/>
      </c>
    </row>
    <row r="1616">
      <c r="A1616" s="29" t="n"/>
      <c r="B1616" s="17" t="n"/>
      <c r="C1616" s="17" t="n"/>
      <c r="D1616" s="16" t="n"/>
      <c r="E1616" s="30" t="n"/>
      <c r="F1616" s="17" t="n"/>
      <c r="G1616" s="31">
        <f>IF(C1616="","",IFERROR(INDEX(Categorie!$B$6:$B$65,MATCH(C1616,Categorie!$A$6:$A$65,0))&amp;"",""))</f>
        <v/>
      </c>
      <c r="H1616" s="32">
        <f>IF(AND(A1616="",C1616="",D1616=""),"",IF(D1616="","Manca l'importo",IF(NOT(ISNUMBER(D1616)),"Importo non valido",IF(NOT(ISNUMBER(A1616)),"Data mancante o non valida",IF(YEAR(A1616)&lt;&gt;Impostazioni!$C$4,"Fuori dall'anno",IF(C1616="","Manca la categoria",IF(ISNA(MATCH(C1616,Categorie!$A$6:$A$65,0)),"Categoria non trovata",IF(G1616="","Categoria senza tipo",""))))))))</f>
        <v/>
      </c>
    </row>
    <row r="1617">
      <c r="A1617" s="29" t="n"/>
      <c r="B1617" s="17" t="n"/>
      <c r="C1617" s="17" t="n"/>
      <c r="D1617" s="16" t="n"/>
      <c r="E1617" s="30" t="n"/>
      <c r="F1617" s="17" t="n"/>
      <c r="G1617" s="31">
        <f>IF(C1617="","",IFERROR(INDEX(Categorie!$B$6:$B$65,MATCH(C1617,Categorie!$A$6:$A$65,0))&amp;"",""))</f>
        <v/>
      </c>
      <c r="H1617" s="32">
        <f>IF(AND(A1617="",C1617="",D1617=""),"",IF(D1617="","Manca l'importo",IF(NOT(ISNUMBER(D1617)),"Importo non valido",IF(NOT(ISNUMBER(A1617)),"Data mancante o non valida",IF(YEAR(A1617)&lt;&gt;Impostazioni!$C$4,"Fuori dall'anno",IF(C1617="","Manca la categoria",IF(ISNA(MATCH(C1617,Categorie!$A$6:$A$65,0)),"Categoria non trovata",IF(G1617="","Categoria senza tipo",""))))))))</f>
        <v/>
      </c>
    </row>
    <row r="1618">
      <c r="A1618" s="29" t="n"/>
      <c r="B1618" s="17" t="n"/>
      <c r="C1618" s="17" t="n"/>
      <c r="D1618" s="16" t="n"/>
      <c r="E1618" s="30" t="n"/>
      <c r="F1618" s="17" t="n"/>
      <c r="G1618" s="31">
        <f>IF(C1618="","",IFERROR(INDEX(Categorie!$B$6:$B$65,MATCH(C1618,Categorie!$A$6:$A$65,0))&amp;"",""))</f>
        <v/>
      </c>
      <c r="H1618" s="32">
        <f>IF(AND(A1618="",C1618="",D1618=""),"",IF(D1618="","Manca l'importo",IF(NOT(ISNUMBER(D1618)),"Importo non valido",IF(NOT(ISNUMBER(A1618)),"Data mancante o non valida",IF(YEAR(A1618)&lt;&gt;Impostazioni!$C$4,"Fuori dall'anno",IF(C1618="","Manca la categoria",IF(ISNA(MATCH(C1618,Categorie!$A$6:$A$65,0)),"Categoria non trovata",IF(G1618="","Categoria senza tipo",""))))))))</f>
        <v/>
      </c>
    </row>
    <row r="1619">
      <c r="A1619" s="29" t="n"/>
      <c r="B1619" s="17" t="n"/>
      <c r="C1619" s="17" t="n"/>
      <c r="D1619" s="16" t="n"/>
      <c r="E1619" s="30" t="n"/>
      <c r="F1619" s="17" t="n"/>
      <c r="G1619" s="31">
        <f>IF(C1619="","",IFERROR(INDEX(Categorie!$B$6:$B$65,MATCH(C1619,Categorie!$A$6:$A$65,0))&amp;"",""))</f>
        <v/>
      </c>
      <c r="H1619" s="32">
        <f>IF(AND(A1619="",C1619="",D1619=""),"",IF(D1619="","Manca l'importo",IF(NOT(ISNUMBER(D1619)),"Importo non valido",IF(NOT(ISNUMBER(A1619)),"Data mancante o non valida",IF(YEAR(A1619)&lt;&gt;Impostazioni!$C$4,"Fuori dall'anno",IF(C1619="","Manca la categoria",IF(ISNA(MATCH(C1619,Categorie!$A$6:$A$65,0)),"Categoria non trovata",IF(G1619="","Categoria senza tipo",""))))))))</f>
        <v/>
      </c>
    </row>
    <row r="1620">
      <c r="A1620" s="29" t="n"/>
      <c r="B1620" s="17" t="n"/>
      <c r="C1620" s="17" t="n"/>
      <c r="D1620" s="16" t="n"/>
      <c r="E1620" s="30" t="n"/>
      <c r="F1620" s="17" t="n"/>
      <c r="G1620" s="31">
        <f>IF(C1620="","",IFERROR(INDEX(Categorie!$B$6:$B$65,MATCH(C1620,Categorie!$A$6:$A$65,0))&amp;"",""))</f>
        <v/>
      </c>
      <c r="H1620" s="32">
        <f>IF(AND(A1620="",C1620="",D1620=""),"",IF(D1620="","Manca l'importo",IF(NOT(ISNUMBER(D1620)),"Importo non valido",IF(NOT(ISNUMBER(A1620)),"Data mancante o non valida",IF(YEAR(A1620)&lt;&gt;Impostazioni!$C$4,"Fuori dall'anno",IF(C1620="","Manca la categoria",IF(ISNA(MATCH(C1620,Categorie!$A$6:$A$65,0)),"Categoria non trovata",IF(G1620="","Categoria senza tipo",""))))))))</f>
        <v/>
      </c>
    </row>
    <row r="1621">
      <c r="A1621" s="29" t="n"/>
      <c r="B1621" s="17" t="n"/>
      <c r="C1621" s="17" t="n"/>
      <c r="D1621" s="16" t="n"/>
      <c r="E1621" s="30" t="n"/>
      <c r="F1621" s="17" t="n"/>
      <c r="G1621" s="31">
        <f>IF(C1621="","",IFERROR(INDEX(Categorie!$B$6:$B$65,MATCH(C1621,Categorie!$A$6:$A$65,0))&amp;"",""))</f>
        <v/>
      </c>
      <c r="H1621" s="32">
        <f>IF(AND(A1621="",C1621="",D1621=""),"",IF(D1621="","Manca l'importo",IF(NOT(ISNUMBER(D1621)),"Importo non valido",IF(NOT(ISNUMBER(A1621)),"Data mancante o non valida",IF(YEAR(A1621)&lt;&gt;Impostazioni!$C$4,"Fuori dall'anno",IF(C1621="","Manca la categoria",IF(ISNA(MATCH(C1621,Categorie!$A$6:$A$65,0)),"Categoria non trovata",IF(G1621="","Categoria senza tipo",""))))))))</f>
        <v/>
      </c>
    </row>
    <row r="1622">
      <c r="A1622" s="29" t="n"/>
      <c r="B1622" s="17" t="n"/>
      <c r="C1622" s="17" t="n"/>
      <c r="D1622" s="16" t="n"/>
      <c r="E1622" s="30" t="n"/>
      <c r="F1622" s="17" t="n"/>
      <c r="G1622" s="31">
        <f>IF(C1622="","",IFERROR(INDEX(Categorie!$B$6:$B$65,MATCH(C1622,Categorie!$A$6:$A$65,0))&amp;"",""))</f>
        <v/>
      </c>
      <c r="H1622" s="32">
        <f>IF(AND(A1622="",C1622="",D1622=""),"",IF(D1622="","Manca l'importo",IF(NOT(ISNUMBER(D1622)),"Importo non valido",IF(NOT(ISNUMBER(A1622)),"Data mancante o non valida",IF(YEAR(A1622)&lt;&gt;Impostazioni!$C$4,"Fuori dall'anno",IF(C1622="","Manca la categoria",IF(ISNA(MATCH(C1622,Categorie!$A$6:$A$65,0)),"Categoria non trovata",IF(G1622="","Categoria senza tipo",""))))))))</f>
        <v/>
      </c>
    </row>
    <row r="1623">
      <c r="A1623" s="29" t="n"/>
      <c r="B1623" s="17" t="n"/>
      <c r="C1623" s="17" t="n"/>
      <c r="D1623" s="16" t="n"/>
      <c r="E1623" s="30" t="n"/>
      <c r="F1623" s="17" t="n"/>
      <c r="G1623" s="31">
        <f>IF(C1623="","",IFERROR(INDEX(Categorie!$B$6:$B$65,MATCH(C1623,Categorie!$A$6:$A$65,0))&amp;"",""))</f>
        <v/>
      </c>
      <c r="H1623" s="32">
        <f>IF(AND(A1623="",C1623="",D1623=""),"",IF(D1623="","Manca l'importo",IF(NOT(ISNUMBER(D1623)),"Importo non valido",IF(NOT(ISNUMBER(A1623)),"Data mancante o non valida",IF(YEAR(A1623)&lt;&gt;Impostazioni!$C$4,"Fuori dall'anno",IF(C1623="","Manca la categoria",IF(ISNA(MATCH(C1623,Categorie!$A$6:$A$65,0)),"Categoria non trovata",IF(G1623="","Categoria senza tipo",""))))))))</f>
        <v/>
      </c>
    </row>
    <row r="1624">
      <c r="A1624" s="29" t="n"/>
      <c r="B1624" s="17" t="n"/>
      <c r="C1624" s="17" t="n"/>
      <c r="D1624" s="16" t="n"/>
      <c r="E1624" s="30" t="n"/>
      <c r="F1624" s="17" t="n"/>
      <c r="G1624" s="31">
        <f>IF(C1624="","",IFERROR(INDEX(Categorie!$B$6:$B$65,MATCH(C1624,Categorie!$A$6:$A$65,0))&amp;"",""))</f>
        <v/>
      </c>
      <c r="H1624" s="32">
        <f>IF(AND(A1624="",C1624="",D1624=""),"",IF(D1624="","Manca l'importo",IF(NOT(ISNUMBER(D1624)),"Importo non valido",IF(NOT(ISNUMBER(A1624)),"Data mancante o non valida",IF(YEAR(A1624)&lt;&gt;Impostazioni!$C$4,"Fuori dall'anno",IF(C1624="","Manca la categoria",IF(ISNA(MATCH(C1624,Categorie!$A$6:$A$65,0)),"Categoria non trovata",IF(G1624="","Categoria senza tipo",""))))))))</f>
        <v/>
      </c>
    </row>
    <row r="1625">
      <c r="A1625" s="29" t="n"/>
      <c r="B1625" s="17" t="n"/>
      <c r="C1625" s="17" t="n"/>
      <c r="D1625" s="16" t="n"/>
      <c r="E1625" s="30" t="n"/>
      <c r="F1625" s="17" t="n"/>
      <c r="G1625" s="31">
        <f>IF(C1625="","",IFERROR(INDEX(Categorie!$B$6:$B$65,MATCH(C1625,Categorie!$A$6:$A$65,0))&amp;"",""))</f>
        <v/>
      </c>
      <c r="H1625" s="32">
        <f>IF(AND(A1625="",C1625="",D1625=""),"",IF(D1625="","Manca l'importo",IF(NOT(ISNUMBER(D1625)),"Importo non valido",IF(NOT(ISNUMBER(A1625)),"Data mancante o non valida",IF(YEAR(A1625)&lt;&gt;Impostazioni!$C$4,"Fuori dall'anno",IF(C1625="","Manca la categoria",IF(ISNA(MATCH(C1625,Categorie!$A$6:$A$65,0)),"Categoria non trovata",IF(G1625="","Categoria senza tipo",""))))))))</f>
        <v/>
      </c>
    </row>
    <row r="1626">
      <c r="A1626" s="29" t="n"/>
      <c r="B1626" s="17" t="n"/>
      <c r="C1626" s="17" t="n"/>
      <c r="D1626" s="16" t="n"/>
      <c r="E1626" s="30" t="n"/>
      <c r="F1626" s="17" t="n"/>
      <c r="G1626" s="31">
        <f>IF(C1626="","",IFERROR(INDEX(Categorie!$B$6:$B$65,MATCH(C1626,Categorie!$A$6:$A$65,0))&amp;"",""))</f>
        <v/>
      </c>
      <c r="H1626" s="32">
        <f>IF(AND(A1626="",C1626="",D1626=""),"",IF(D1626="","Manca l'importo",IF(NOT(ISNUMBER(D1626)),"Importo non valido",IF(NOT(ISNUMBER(A1626)),"Data mancante o non valida",IF(YEAR(A1626)&lt;&gt;Impostazioni!$C$4,"Fuori dall'anno",IF(C1626="","Manca la categoria",IF(ISNA(MATCH(C1626,Categorie!$A$6:$A$65,0)),"Categoria non trovata",IF(G1626="","Categoria senza tipo",""))))))))</f>
        <v/>
      </c>
    </row>
    <row r="1627">
      <c r="A1627" s="29" t="n"/>
      <c r="B1627" s="17" t="n"/>
      <c r="C1627" s="17" t="n"/>
      <c r="D1627" s="16" t="n"/>
      <c r="E1627" s="30" t="n"/>
      <c r="F1627" s="17" t="n"/>
      <c r="G1627" s="31">
        <f>IF(C1627="","",IFERROR(INDEX(Categorie!$B$6:$B$65,MATCH(C1627,Categorie!$A$6:$A$65,0))&amp;"",""))</f>
        <v/>
      </c>
      <c r="H1627" s="32">
        <f>IF(AND(A1627="",C1627="",D1627=""),"",IF(D1627="","Manca l'importo",IF(NOT(ISNUMBER(D1627)),"Importo non valido",IF(NOT(ISNUMBER(A1627)),"Data mancante o non valida",IF(YEAR(A1627)&lt;&gt;Impostazioni!$C$4,"Fuori dall'anno",IF(C1627="","Manca la categoria",IF(ISNA(MATCH(C1627,Categorie!$A$6:$A$65,0)),"Categoria non trovata",IF(G1627="","Categoria senza tipo",""))))))))</f>
        <v/>
      </c>
    </row>
    <row r="1628">
      <c r="A1628" s="29" t="n"/>
      <c r="B1628" s="17" t="n"/>
      <c r="C1628" s="17" t="n"/>
      <c r="D1628" s="16" t="n"/>
      <c r="E1628" s="30" t="n"/>
      <c r="F1628" s="17" t="n"/>
      <c r="G1628" s="31">
        <f>IF(C1628="","",IFERROR(INDEX(Categorie!$B$6:$B$65,MATCH(C1628,Categorie!$A$6:$A$65,0))&amp;"",""))</f>
        <v/>
      </c>
      <c r="H1628" s="32">
        <f>IF(AND(A1628="",C1628="",D1628=""),"",IF(D1628="","Manca l'importo",IF(NOT(ISNUMBER(D1628)),"Importo non valido",IF(NOT(ISNUMBER(A1628)),"Data mancante o non valida",IF(YEAR(A1628)&lt;&gt;Impostazioni!$C$4,"Fuori dall'anno",IF(C1628="","Manca la categoria",IF(ISNA(MATCH(C1628,Categorie!$A$6:$A$65,0)),"Categoria non trovata",IF(G1628="","Categoria senza tipo",""))))))))</f>
        <v/>
      </c>
    </row>
    <row r="1629">
      <c r="A1629" s="29" t="n"/>
      <c r="B1629" s="17" t="n"/>
      <c r="C1629" s="17" t="n"/>
      <c r="D1629" s="16" t="n"/>
      <c r="E1629" s="30" t="n"/>
      <c r="F1629" s="17" t="n"/>
      <c r="G1629" s="31">
        <f>IF(C1629="","",IFERROR(INDEX(Categorie!$B$6:$B$65,MATCH(C1629,Categorie!$A$6:$A$65,0))&amp;"",""))</f>
        <v/>
      </c>
      <c r="H1629" s="32">
        <f>IF(AND(A1629="",C1629="",D1629=""),"",IF(D1629="","Manca l'importo",IF(NOT(ISNUMBER(D1629)),"Importo non valido",IF(NOT(ISNUMBER(A1629)),"Data mancante o non valida",IF(YEAR(A1629)&lt;&gt;Impostazioni!$C$4,"Fuori dall'anno",IF(C1629="","Manca la categoria",IF(ISNA(MATCH(C1629,Categorie!$A$6:$A$65,0)),"Categoria non trovata",IF(G1629="","Categoria senza tipo",""))))))))</f>
        <v/>
      </c>
    </row>
    <row r="1630">
      <c r="A1630" s="29" t="n"/>
      <c r="B1630" s="17" t="n"/>
      <c r="C1630" s="17" t="n"/>
      <c r="D1630" s="16" t="n"/>
      <c r="E1630" s="30" t="n"/>
      <c r="F1630" s="17" t="n"/>
      <c r="G1630" s="31">
        <f>IF(C1630="","",IFERROR(INDEX(Categorie!$B$6:$B$65,MATCH(C1630,Categorie!$A$6:$A$65,0))&amp;"",""))</f>
        <v/>
      </c>
      <c r="H1630" s="32">
        <f>IF(AND(A1630="",C1630="",D1630=""),"",IF(D1630="","Manca l'importo",IF(NOT(ISNUMBER(D1630)),"Importo non valido",IF(NOT(ISNUMBER(A1630)),"Data mancante o non valida",IF(YEAR(A1630)&lt;&gt;Impostazioni!$C$4,"Fuori dall'anno",IF(C1630="","Manca la categoria",IF(ISNA(MATCH(C1630,Categorie!$A$6:$A$65,0)),"Categoria non trovata",IF(G1630="","Categoria senza tipo",""))))))))</f>
        <v/>
      </c>
    </row>
    <row r="1631">
      <c r="A1631" s="29" t="n"/>
      <c r="B1631" s="17" t="n"/>
      <c r="C1631" s="17" t="n"/>
      <c r="D1631" s="16" t="n"/>
      <c r="E1631" s="30" t="n"/>
      <c r="F1631" s="17" t="n"/>
      <c r="G1631" s="31">
        <f>IF(C1631="","",IFERROR(INDEX(Categorie!$B$6:$B$65,MATCH(C1631,Categorie!$A$6:$A$65,0))&amp;"",""))</f>
        <v/>
      </c>
      <c r="H1631" s="32">
        <f>IF(AND(A1631="",C1631="",D1631=""),"",IF(D1631="","Manca l'importo",IF(NOT(ISNUMBER(D1631)),"Importo non valido",IF(NOT(ISNUMBER(A1631)),"Data mancante o non valida",IF(YEAR(A1631)&lt;&gt;Impostazioni!$C$4,"Fuori dall'anno",IF(C1631="","Manca la categoria",IF(ISNA(MATCH(C1631,Categorie!$A$6:$A$65,0)),"Categoria non trovata",IF(G1631="","Categoria senza tipo",""))))))))</f>
        <v/>
      </c>
    </row>
    <row r="1632">
      <c r="A1632" s="29" t="n"/>
      <c r="B1632" s="17" t="n"/>
      <c r="C1632" s="17" t="n"/>
      <c r="D1632" s="16" t="n"/>
      <c r="E1632" s="30" t="n"/>
      <c r="F1632" s="17" t="n"/>
      <c r="G1632" s="31">
        <f>IF(C1632="","",IFERROR(INDEX(Categorie!$B$6:$B$65,MATCH(C1632,Categorie!$A$6:$A$65,0))&amp;"",""))</f>
        <v/>
      </c>
      <c r="H1632" s="32">
        <f>IF(AND(A1632="",C1632="",D1632=""),"",IF(D1632="","Manca l'importo",IF(NOT(ISNUMBER(D1632)),"Importo non valido",IF(NOT(ISNUMBER(A1632)),"Data mancante o non valida",IF(YEAR(A1632)&lt;&gt;Impostazioni!$C$4,"Fuori dall'anno",IF(C1632="","Manca la categoria",IF(ISNA(MATCH(C1632,Categorie!$A$6:$A$65,0)),"Categoria non trovata",IF(G1632="","Categoria senza tipo",""))))))))</f>
        <v/>
      </c>
    </row>
    <row r="1633">
      <c r="A1633" s="29" t="n"/>
      <c r="B1633" s="17" t="n"/>
      <c r="C1633" s="17" t="n"/>
      <c r="D1633" s="16" t="n"/>
      <c r="E1633" s="30" t="n"/>
      <c r="F1633" s="17" t="n"/>
      <c r="G1633" s="31">
        <f>IF(C1633="","",IFERROR(INDEX(Categorie!$B$6:$B$65,MATCH(C1633,Categorie!$A$6:$A$65,0))&amp;"",""))</f>
        <v/>
      </c>
      <c r="H1633" s="32">
        <f>IF(AND(A1633="",C1633="",D1633=""),"",IF(D1633="","Manca l'importo",IF(NOT(ISNUMBER(D1633)),"Importo non valido",IF(NOT(ISNUMBER(A1633)),"Data mancante o non valida",IF(YEAR(A1633)&lt;&gt;Impostazioni!$C$4,"Fuori dall'anno",IF(C1633="","Manca la categoria",IF(ISNA(MATCH(C1633,Categorie!$A$6:$A$65,0)),"Categoria non trovata",IF(G1633="","Categoria senza tipo",""))))))))</f>
        <v/>
      </c>
    </row>
    <row r="1634">
      <c r="A1634" s="29" t="n"/>
      <c r="B1634" s="17" t="n"/>
      <c r="C1634" s="17" t="n"/>
      <c r="D1634" s="16" t="n"/>
      <c r="E1634" s="30" t="n"/>
      <c r="F1634" s="17" t="n"/>
      <c r="G1634" s="31">
        <f>IF(C1634="","",IFERROR(INDEX(Categorie!$B$6:$B$65,MATCH(C1634,Categorie!$A$6:$A$65,0))&amp;"",""))</f>
        <v/>
      </c>
      <c r="H1634" s="32">
        <f>IF(AND(A1634="",C1634="",D1634=""),"",IF(D1634="","Manca l'importo",IF(NOT(ISNUMBER(D1634)),"Importo non valido",IF(NOT(ISNUMBER(A1634)),"Data mancante o non valida",IF(YEAR(A1634)&lt;&gt;Impostazioni!$C$4,"Fuori dall'anno",IF(C1634="","Manca la categoria",IF(ISNA(MATCH(C1634,Categorie!$A$6:$A$65,0)),"Categoria non trovata",IF(G1634="","Categoria senza tipo",""))))))))</f>
        <v/>
      </c>
    </row>
    <row r="1635">
      <c r="A1635" s="29" t="n"/>
      <c r="B1635" s="17" t="n"/>
      <c r="C1635" s="17" t="n"/>
      <c r="D1635" s="16" t="n"/>
      <c r="E1635" s="30" t="n"/>
      <c r="F1635" s="17" t="n"/>
      <c r="G1635" s="31">
        <f>IF(C1635="","",IFERROR(INDEX(Categorie!$B$6:$B$65,MATCH(C1635,Categorie!$A$6:$A$65,0))&amp;"",""))</f>
        <v/>
      </c>
      <c r="H1635" s="32">
        <f>IF(AND(A1635="",C1635="",D1635=""),"",IF(D1635="","Manca l'importo",IF(NOT(ISNUMBER(D1635)),"Importo non valido",IF(NOT(ISNUMBER(A1635)),"Data mancante o non valida",IF(YEAR(A1635)&lt;&gt;Impostazioni!$C$4,"Fuori dall'anno",IF(C1635="","Manca la categoria",IF(ISNA(MATCH(C1635,Categorie!$A$6:$A$65,0)),"Categoria non trovata",IF(G1635="","Categoria senza tipo",""))))))))</f>
        <v/>
      </c>
    </row>
    <row r="1636">
      <c r="A1636" s="29" t="n"/>
      <c r="B1636" s="17" t="n"/>
      <c r="C1636" s="17" t="n"/>
      <c r="D1636" s="16" t="n"/>
      <c r="E1636" s="30" t="n"/>
      <c r="F1636" s="17" t="n"/>
      <c r="G1636" s="31">
        <f>IF(C1636="","",IFERROR(INDEX(Categorie!$B$6:$B$65,MATCH(C1636,Categorie!$A$6:$A$65,0))&amp;"",""))</f>
        <v/>
      </c>
      <c r="H1636" s="32">
        <f>IF(AND(A1636="",C1636="",D1636=""),"",IF(D1636="","Manca l'importo",IF(NOT(ISNUMBER(D1636)),"Importo non valido",IF(NOT(ISNUMBER(A1636)),"Data mancante o non valida",IF(YEAR(A1636)&lt;&gt;Impostazioni!$C$4,"Fuori dall'anno",IF(C1636="","Manca la categoria",IF(ISNA(MATCH(C1636,Categorie!$A$6:$A$65,0)),"Categoria non trovata",IF(G1636="","Categoria senza tipo",""))))))))</f>
        <v/>
      </c>
    </row>
    <row r="1637">
      <c r="A1637" s="29" t="n"/>
      <c r="B1637" s="17" t="n"/>
      <c r="C1637" s="17" t="n"/>
      <c r="D1637" s="16" t="n"/>
      <c r="E1637" s="30" t="n"/>
      <c r="F1637" s="17" t="n"/>
      <c r="G1637" s="31">
        <f>IF(C1637="","",IFERROR(INDEX(Categorie!$B$6:$B$65,MATCH(C1637,Categorie!$A$6:$A$65,0))&amp;"",""))</f>
        <v/>
      </c>
      <c r="H1637" s="32">
        <f>IF(AND(A1637="",C1637="",D1637=""),"",IF(D1637="","Manca l'importo",IF(NOT(ISNUMBER(D1637)),"Importo non valido",IF(NOT(ISNUMBER(A1637)),"Data mancante o non valida",IF(YEAR(A1637)&lt;&gt;Impostazioni!$C$4,"Fuori dall'anno",IF(C1637="","Manca la categoria",IF(ISNA(MATCH(C1637,Categorie!$A$6:$A$65,0)),"Categoria non trovata",IF(G1637="","Categoria senza tipo",""))))))))</f>
        <v/>
      </c>
    </row>
    <row r="1638">
      <c r="A1638" s="29" t="n"/>
      <c r="B1638" s="17" t="n"/>
      <c r="C1638" s="17" t="n"/>
      <c r="D1638" s="16" t="n"/>
      <c r="E1638" s="30" t="n"/>
      <c r="F1638" s="17" t="n"/>
      <c r="G1638" s="31">
        <f>IF(C1638="","",IFERROR(INDEX(Categorie!$B$6:$B$65,MATCH(C1638,Categorie!$A$6:$A$65,0))&amp;"",""))</f>
        <v/>
      </c>
      <c r="H1638" s="32">
        <f>IF(AND(A1638="",C1638="",D1638=""),"",IF(D1638="","Manca l'importo",IF(NOT(ISNUMBER(D1638)),"Importo non valido",IF(NOT(ISNUMBER(A1638)),"Data mancante o non valida",IF(YEAR(A1638)&lt;&gt;Impostazioni!$C$4,"Fuori dall'anno",IF(C1638="","Manca la categoria",IF(ISNA(MATCH(C1638,Categorie!$A$6:$A$65,0)),"Categoria non trovata",IF(G1638="","Categoria senza tipo",""))))))))</f>
        <v/>
      </c>
    </row>
    <row r="1639">
      <c r="A1639" s="29" t="n"/>
      <c r="B1639" s="17" t="n"/>
      <c r="C1639" s="17" t="n"/>
      <c r="D1639" s="16" t="n"/>
      <c r="E1639" s="30" t="n"/>
      <c r="F1639" s="17" t="n"/>
      <c r="G1639" s="31">
        <f>IF(C1639="","",IFERROR(INDEX(Categorie!$B$6:$B$65,MATCH(C1639,Categorie!$A$6:$A$65,0))&amp;"",""))</f>
        <v/>
      </c>
      <c r="H1639" s="32">
        <f>IF(AND(A1639="",C1639="",D1639=""),"",IF(D1639="","Manca l'importo",IF(NOT(ISNUMBER(D1639)),"Importo non valido",IF(NOT(ISNUMBER(A1639)),"Data mancante o non valida",IF(YEAR(A1639)&lt;&gt;Impostazioni!$C$4,"Fuori dall'anno",IF(C1639="","Manca la categoria",IF(ISNA(MATCH(C1639,Categorie!$A$6:$A$65,0)),"Categoria non trovata",IF(G1639="","Categoria senza tipo",""))))))))</f>
        <v/>
      </c>
    </row>
    <row r="1640">
      <c r="A1640" s="29" t="n"/>
      <c r="B1640" s="17" t="n"/>
      <c r="C1640" s="17" t="n"/>
      <c r="D1640" s="16" t="n"/>
      <c r="E1640" s="30" t="n"/>
      <c r="F1640" s="17" t="n"/>
      <c r="G1640" s="31">
        <f>IF(C1640="","",IFERROR(INDEX(Categorie!$B$6:$B$65,MATCH(C1640,Categorie!$A$6:$A$65,0))&amp;"",""))</f>
        <v/>
      </c>
      <c r="H1640" s="32">
        <f>IF(AND(A1640="",C1640="",D1640=""),"",IF(D1640="","Manca l'importo",IF(NOT(ISNUMBER(D1640)),"Importo non valido",IF(NOT(ISNUMBER(A1640)),"Data mancante o non valida",IF(YEAR(A1640)&lt;&gt;Impostazioni!$C$4,"Fuori dall'anno",IF(C1640="","Manca la categoria",IF(ISNA(MATCH(C1640,Categorie!$A$6:$A$65,0)),"Categoria non trovata",IF(G1640="","Categoria senza tipo",""))))))))</f>
        <v/>
      </c>
    </row>
    <row r="1641">
      <c r="A1641" s="29" t="n"/>
      <c r="B1641" s="17" t="n"/>
      <c r="C1641" s="17" t="n"/>
      <c r="D1641" s="16" t="n"/>
      <c r="E1641" s="30" t="n"/>
      <c r="F1641" s="17" t="n"/>
      <c r="G1641" s="31">
        <f>IF(C1641="","",IFERROR(INDEX(Categorie!$B$6:$B$65,MATCH(C1641,Categorie!$A$6:$A$65,0))&amp;"",""))</f>
        <v/>
      </c>
      <c r="H1641" s="32">
        <f>IF(AND(A1641="",C1641="",D1641=""),"",IF(D1641="","Manca l'importo",IF(NOT(ISNUMBER(D1641)),"Importo non valido",IF(NOT(ISNUMBER(A1641)),"Data mancante o non valida",IF(YEAR(A1641)&lt;&gt;Impostazioni!$C$4,"Fuori dall'anno",IF(C1641="","Manca la categoria",IF(ISNA(MATCH(C1641,Categorie!$A$6:$A$65,0)),"Categoria non trovata",IF(G1641="","Categoria senza tipo",""))))))))</f>
        <v/>
      </c>
    </row>
    <row r="1642">
      <c r="A1642" s="29" t="n"/>
      <c r="B1642" s="17" t="n"/>
      <c r="C1642" s="17" t="n"/>
      <c r="D1642" s="16" t="n"/>
      <c r="E1642" s="30" t="n"/>
      <c r="F1642" s="17" t="n"/>
      <c r="G1642" s="31">
        <f>IF(C1642="","",IFERROR(INDEX(Categorie!$B$6:$B$65,MATCH(C1642,Categorie!$A$6:$A$65,0))&amp;"",""))</f>
        <v/>
      </c>
      <c r="H1642" s="32">
        <f>IF(AND(A1642="",C1642="",D1642=""),"",IF(D1642="","Manca l'importo",IF(NOT(ISNUMBER(D1642)),"Importo non valido",IF(NOT(ISNUMBER(A1642)),"Data mancante o non valida",IF(YEAR(A1642)&lt;&gt;Impostazioni!$C$4,"Fuori dall'anno",IF(C1642="","Manca la categoria",IF(ISNA(MATCH(C1642,Categorie!$A$6:$A$65,0)),"Categoria non trovata",IF(G1642="","Categoria senza tipo",""))))))))</f>
        <v/>
      </c>
    </row>
    <row r="1643">
      <c r="A1643" s="29" t="n"/>
      <c r="B1643" s="17" t="n"/>
      <c r="C1643" s="17" t="n"/>
      <c r="D1643" s="16" t="n"/>
      <c r="E1643" s="30" t="n"/>
      <c r="F1643" s="17" t="n"/>
      <c r="G1643" s="31">
        <f>IF(C1643="","",IFERROR(INDEX(Categorie!$B$6:$B$65,MATCH(C1643,Categorie!$A$6:$A$65,0))&amp;"",""))</f>
        <v/>
      </c>
      <c r="H1643" s="32">
        <f>IF(AND(A1643="",C1643="",D1643=""),"",IF(D1643="","Manca l'importo",IF(NOT(ISNUMBER(D1643)),"Importo non valido",IF(NOT(ISNUMBER(A1643)),"Data mancante o non valida",IF(YEAR(A1643)&lt;&gt;Impostazioni!$C$4,"Fuori dall'anno",IF(C1643="","Manca la categoria",IF(ISNA(MATCH(C1643,Categorie!$A$6:$A$65,0)),"Categoria non trovata",IF(G1643="","Categoria senza tipo",""))))))))</f>
        <v/>
      </c>
    </row>
    <row r="1644">
      <c r="A1644" s="29" t="n"/>
      <c r="B1644" s="17" t="n"/>
      <c r="C1644" s="17" t="n"/>
      <c r="D1644" s="16" t="n"/>
      <c r="E1644" s="30" t="n"/>
      <c r="F1644" s="17" t="n"/>
      <c r="G1644" s="31">
        <f>IF(C1644="","",IFERROR(INDEX(Categorie!$B$6:$B$65,MATCH(C1644,Categorie!$A$6:$A$65,0))&amp;"",""))</f>
        <v/>
      </c>
      <c r="H1644" s="32">
        <f>IF(AND(A1644="",C1644="",D1644=""),"",IF(D1644="","Manca l'importo",IF(NOT(ISNUMBER(D1644)),"Importo non valido",IF(NOT(ISNUMBER(A1644)),"Data mancante o non valida",IF(YEAR(A1644)&lt;&gt;Impostazioni!$C$4,"Fuori dall'anno",IF(C1644="","Manca la categoria",IF(ISNA(MATCH(C1644,Categorie!$A$6:$A$65,0)),"Categoria non trovata",IF(G1644="","Categoria senza tipo",""))))))))</f>
        <v/>
      </c>
    </row>
    <row r="1645">
      <c r="A1645" s="29" t="n"/>
      <c r="B1645" s="17" t="n"/>
      <c r="C1645" s="17" t="n"/>
      <c r="D1645" s="16" t="n"/>
      <c r="E1645" s="30" t="n"/>
      <c r="F1645" s="17" t="n"/>
      <c r="G1645" s="31">
        <f>IF(C1645="","",IFERROR(INDEX(Categorie!$B$6:$B$65,MATCH(C1645,Categorie!$A$6:$A$65,0))&amp;"",""))</f>
        <v/>
      </c>
      <c r="H1645" s="32">
        <f>IF(AND(A1645="",C1645="",D1645=""),"",IF(D1645="","Manca l'importo",IF(NOT(ISNUMBER(D1645)),"Importo non valido",IF(NOT(ISNUMBER(A1645)),"Data mancante o non valida",IF(YEAR(A1645)&lt;&gt;Impostazioni!$C$4,"Fuori dall'anno",IF(C1645="","Manca la categoria",IF(ISNA(MATCH(C1645,Categorie!$A$6:$A$65,0)),"Categoria non trovata",IF(G1645="","Categoria senza tipo",""))))))))</f>
        <v/>
      </c>
    </row>
    <row r="1646">
      <c r="A1646" s="29" t="n"/>
      <c r="B1646" s="17" t="n"/>
      <c r="C1646" s="17" t="n"/>
      <c r="D1646" s="16" t="n"/>
      <c r="E1646" s="30" t="n"/>
      <c r="F1646" s="17" t="n"/>
      <c r="G1646" s="31">
        <f>IF(C1646="","",IFERROR(INDEX(Categorie!$B$6:$B$65,MATCH(C1646,Categorie!$A$6:$A$65,0))&amp;"",""))</f>
        <v/>
      </c>
      <c r="H1646" s="32">
        <f>IF(AND(A1646="",C1646="",D1646=""),"",IF(D1646="","Manca l'importo",IF(NOT(ISNUMBER(D1646)),"Importo non valido",IF(NOT(ISNUMBER(A1646)),"Data mancante o non valida",IF(YEAR(A1646)&lt;&gt;Impostazioni!$C$4,"Fuori dall'anno",IF(C1646="","Manca la categoria",IF(ISNA(MATCH(C1646,Categorie!$A$6:$A$65,0)),"Categoria non trovata",IF(G1646="","Categoria senza tipo",""))))))))</f>
        <v/>
      </c>
    </row>
    <row r="1647">
      <c r="A1647" s="29" t="n"/>
      <c r="B1647" s="17" t="n"/>
      <c r="C1647" s="17" t="n"/>
      <c r="D1647" s="16" t="n"/>
      <c r="E1647" s="30" t="n"/>
      <c r="F1647" s="17" t="n"/>
      <c r="G1647" s="31">
        <f>IF(C1647="","",IFERROR(INDEX(Categorie!$B$6:$B$65,MATCH(C1647,Categorie!$A$6:$A$65,0))&amp;"",""))</f>
        <v/>
      </c>
      <c r="H1647" s="32">
        <f>IF(AND(A1647="",C1647="",D1647=""),"",IF(D1647="","Manca l'importo",IF(NOT(ISNUMBER(D1647)),"Importo non valido",IF(NOT(ISNUMBER(A1647)),"Data mancante o non valida",IF(YEAR(A1647)&lt;&gt;Impostazioni!$C$4,"Fuori dall'anno",IF(C1647="","Manca la categoria",IF(ISNA(MATCH(C1647,Categorie!$A$6:$A$65,0)),"Categoria non trovata",IF(G1647="","Categoria senza tipo",""))))))))</f>
        <v/>
      </c>
    </row>
    <row r="1648">
      <c r="A1648" s="29" t="n"/>
      <c r="B1648" s="17" t="n"/>
      <c r="C1648" s="17" t="n"/>
      <c r="D1648" s="16" t="n"/>
      <c r="E1648" s="30" t="n"/>
      <c r="F1648" s="17" t="n"/>
      <c r="G1648" s="31">
        <f>IF(C1648="","",IFERROR(INDEX(Categorie!$B$6:$B$65,MATCH(C1648,Categorie!$A$6:$A$65,0))&amp;"",""))</f>
        <v/>
      </c>
      <c r="H1648" s="32">
        <f>IF(AND(A1648="",C1648="",D1648=""),"",IF(D1648="","Manca l'importo",IF(NOT(ISNUMBER(D1648)),"Importo non valido",IF(NOT(ISNUMBER(A1648)),"Data mancante o non valida",IF(YEAR(A1648)&lt;&gt;Impostazioni!$C$4,"Fuori dall'anno",IF(C1648="","Manca la categoria",IF(ISNA(MATCH(C1648,Categorie!$A$6:$A$65,0)),"Categoria non trovata",IF(G1648="","Categoria senza tipo",""))))))))</f>
        <v/>
      </c>
    </row>
    <row r="1649">
      <c r="A1649" s="29" t="n"/>
      <c r="B1649" s="17" t="n"/>
      <c r="C1649" s="17" t="n"/>
      <c r="D1649" s="16" t="n"/>
      <c r="E1649" s="30" t="n"/>
      <c r="F1649" s="17" t="n"/>
      <c r="G1649" s="31">
        <f>IF(C1649="","",IFERROR(INDEX(Categorie!$B$6:$B$65,MATCH(C1649,Categorie!$A$6:$A$65,0))&amp;"",""))</f>
        <v/>
      </c>
      <c r="H1649" s="32">
        <f>IF(AND(A1649="",C1649="",D1649=""),"",IF(D1649="","Manca l'importo",IF(NOT(ISNUMBER(D1649)),"Importo non valido",IF(NOT(ISNUMBER(A1649)),"Data mancante o non valida",IF(YEAR(A1649)&lt;&gt;Impostazioni!$C$4,"Fuori dall'anno",IF(C1649="","Manca la categoria",IF(ISNA(MATCH(C1649,Categorie!$A$6:$A$65,0)),"Categoria non trovata",IF(G1649="","Categoria senza tipo",""))))))))</f>
        <v/>
      </c>
    </row>
    <row r="1650">
      <c r="A1650" s="29" t="n"/>
      <c r="B1650" s="17" t="n"/>
      <c r="C1650" s="17" t="n"/>
      <c r="D1650" s="16" t="n"/>
      <c r="E1650" s="30" t="n"/>
      <c r="F1650" s="17" t="n"/>
      <c r="G1650" s="31">
        <f>IF(C1650="","",IFERROR(INDEX(Categorie!$B$6:$B$65,MATCH(C1650,Categorie!$A$6:$A$65,0))&amp;"",""))</f>
        <v/>
      </c>
      <c r="H1650" s="32">
        <f>IF(AND(A1650="",C1650="",D1650=""),"",IF(D1650="","Manca l'importo",IF(NOT(ISNUMBER(D1650)),"Importo non valido",IF(NOT(ISNUMBER(A1650)),"Data mancante o non valida",IF(YEAR(A1650)&lt;&gt;Impostazioni!$C$4,"Fuori dall'anno",IF(C1650="","Manca la categoria",IF(ISNA(MATCH(C1650,Categorie!$A$6:$A$65,0)),"Categoria non trovata",IF(G1650="","Categoria senza tipo",""))))))))</f>
        <v/>
      </c>
    </row>
    <row r="1651">
      <c r="A1651" s="29" t="n"/>
      <c r="B1651" s="17" t="n"/>
      <c r="C1651" s="17" t="n"/>
      <c r="D1651" s="16" t="n"/>
      <c r="E1651" s="30" t="n"/>
      <c r="F1651" s="17" t="n"/>
      <c r="G1651" s="31">
        <f>IF(C1651="","",IFERROR(INDEX(Categorie!$B$6:$B$65,MATCH(C1651,Categorie!$A$6:$A$65,0))&amp;"",""))</f>
        <v/>
      </c>
      <c r="H1651" s="32">
        <f>IF(AND(A1651="",C1651="",D1651=""),"",IF(D1651="","Manca l'importo",IF(NOT(ISNUMBER(D1651)),"Importo non valido",IF(NOT(ISNUMBER(A1651)),"Data mancante o non valida",IF(YEAR(A1651)&lt;&gt;Impostazioni!$C$4,"Fuori dall'anno",IF(C1651="","Manca la categoria",IF(ISNA(MATCH(C1651,Categorie!$A$6:$A$65,0)),"Categoria non trovata",IF(G1651="","Categoria senza tipo",""))))))))</f>
        <v/>
      </c>
    </row>
    <row r="1652">
      <c r="A1652" s="29" t="n"/>
      <c r="B1652" s="17" t="n"/>
      <c r="C1652" s="17" t="n"/>
      <c r="D1652" s="16" t="n"/>
      <c r="E1652" s="30" t="n"/>
      <c r="F1652" s="17" t="n"/>
      <c r="G1652" s="31">
        <f>IF(C1652="","",IFERROR(INDEX(Categorie!$B$6:$B$65,MATCH(C1652,Categorie!$A$6:$A$65,0))&amp;"",""))</f>
        <v/>
      </c>
      <c r="H1652" s="32">
        <f>IF(AND(A1652="",C1652="",D1652=""),"",IF(D1652="","Manca l'importo",IF(NOT(ISNUMBER(D1652)),"Importo non valido",IF(NOT(ISNUMBER(A1652)),"Data mancante o non valida",IF(YEAR(A1652)&lt;&gt;Impostazioni!$C$4,"Fuori dall'anno",IF(C1652="","Manca la categoria",IF(ISNA(MATCH(C1652,Categorie!$A$6:$A$65,0)),"Categoria non trovata",IF(G1652="","Categoria senza tipo",""))))))))</f>
        <v/>
      </c>
    </row>
    <row r="1653">
      <c r="A1653" s="29" t="n"/>
      <c r="B1653" s="17" t="n"/>
      <c r="C1653" s="17" t="n"/>
      <c r="D1653" s="16" t="n"/>
      <c r="E1653" s="30" t="n"/>
      <c r="F1653" s="17" t="n"/>
      <c r="G1653" s="31">
        <f>IF(C1653="","",IFERROR(INDEX(Categorie!$B$6:$B$65,MATCH(C1653,Categorie!$A$6:$A$65,0))&amp;"",""))</f>
        <v/>
      </c>
      <c r="H1653" s="32">
        <f>IF(AND(A1653="",C1653="",D1653=""),"",IF(D1653="","Manca l'importo",IF(NOT(ISNUMBER(D1653)),"Importo non valido",IF(NOT(ISNUMBER(A1653)),"Data mancante o non valida",IF(YEAR(A1653)&lt;&gt;Impostazioni!$C$4,"Fuori dall'anno",IF(C1653="","Manca la categoria",IF(ISNA(MATCH(C1653,Categorie!$A$6:$A$65,0)),"Categoria non trovata",IF(G1653="","Categoria senza tipo",""))))))))</f>
        <v/>
      </c>
    </row>
    <row r="1654">
      <c r="A1654" s="29" t="n"/>
      <c r="B1654" s="17" t="n"/>
      <c r="C1654" s="17" t="n"/>
      <c r="D1654" s="16" t="n"/>
      <c r="E1654" s="30" t="n"/>
      <c r="F1654" s="17" t="n"/>
      <c r="G1654" s="31">
        <f>IF(C1654="","",IFERROR(INDEX(Categorie!$B$6:$B$65,MATCH(C1654,Categorie!$A$6:$A$65,0))&amp;"",""))</f>
        <v/>
      </c>
      <c r="H1654" s="32">
        <f>IF(AND(A1654="",C1654="",D1654=""),"",IF(D1654="","Manca l'importo",IF(NOT(ISNUMBER(D1654)),"Importo non valido",IF(NOT(ISNUMBER(A1654)),"Data mancante o non valida",IF(YEAR(A1654)&lt;&gt;Impostazioni!$C$4,"Fuori dall'anno",IF(C1654="","Manca la categoria",IF(ISNA(MATCH(C1654,Categorie!$A$6:$A$65,0)),"Categoria non trovata",IF(G1654="","Categoria senza tipo",""))))))))</f>
        <v/>
      </c>
    </row>
    <row r="1655">
      <c r="A1655" s="29" t="n"/>
      <c r="B1655" s="17" t="n"/>
      <c r="C1655" s="17" t="n"/>
      <c r="D1655" s="16" t="n"/>
      <c r="E1655" s="30" t="n"/>
      <c r="F1655" s="17" t="n"/>
      <c r="G1655" s="31">
        <f>IF(C1655="","",IFERROR(INDEX(Categorie!$B$6:$B$65,MATCH(C1655,Categorie!$A$6:$A$65,0))&amp;"",""))</f>
        <v/>
      </c>
      <c r="H1655" s="32">
        <f>IF(AND(A1655="",C1655="",D1655=""),"",IF(D1655="","Manca l'importo",IF(NOT(ISNUMBER(D1655)),"Importo non valido",IF(NOT(ISNUMBER(A1655)),"Data mancante o non valida",IF(YEAR(A1655)&lt;&gt;Impostazioni!$C$4,"Fuori dall'anno",IF(C1655="","Manca la categoria",IF(ISNA(MATCH(C1655,Categorie!$A$6:$A$65,0)),"Categoria non trovata",IF(G1655="","Categoria senza tipo",""))))))))</f>
        <v/>
      </c>
    </row>
    <row r="1656">
      <c r="A1656" s="29" t="n"/>
      <c r="B1656" s="17" t="n"/>
      <c r="C1656" s="17" t="n"/>
      <c r="D1656" s="16" t="n"/>
      <c r="E1656" s="30" t="n"/>
      <c r="F1656" s="17" t="n"/>
      <c r="G1656" s="31">
        <f>IF(C1656="","",IFERROR(INDEX(Categorie!$B$6:$B$65,MATCH(C1656,Categorie!$A$6:$A$65,0))&amp;"",""))</f>
        <v/>
      </c>
      <c r="H1656" s="32">
        <f>IF(AND(A1656="",C1656="",D1656=""),"",IF(D1656="","Manca l'importo",IF(NOT(ISNUMBER(D1656)),"Importo non valido",IF(NOT(ISNUMBER(A1656)),"Data mancante o non valida",IF(YEAR(A1656)&lt;&gt;Impostazioni!$C$4,"Fuori dall'anno",IF(C1656="","Manca la categoria",IF(ISNA(MATCH(C1656,Categorie!$A$6:$A$65,0)),"Categoria non trovata",IF(G1656="","Categoria senza tipo",""))))))))</f>
        <v/>
      </c>
    </row>
    <row r="1657">
      <c r="A1657" s="29" t="n"/>
      <c r="B1657" s="17" t="n"/>
      <c r="C1657" s="17" t="n"/>
      <c r="D1657" s="16" t="n"/>
      <c r="E1657" s="30" t="n"/>
      <c r="F1657" s="17" t="n"/>
      <c r="G1657" s="31">
        <f>IF(C1657="","",IFERROR(INDEX(Categorie!$B$6:$B$65,MATCH(C1657,Categorie!$A$6:$A$65,0))&amp;"",""))</f>
        <v/>
      </c>
      <c r="H1657" s="32">
        <f>IF(AND(A1657="",C1657="",D1657=""),"",IF(D1657="","Manca l'importo",IF(NOT(ISNUMBER(D1657)),"Importo non valido",IF(NOT(ISNUMBER(A1657)),"Data mancante o non valida",IF(YEAR(A1657)&lt;&gt;Impostazioni!$C$4,"Fuori dall'anno",IF(C1657="","Manca la categoria",IF(ISNA(MATCH(C1657,Categorie!$A$6:$A$65,0)),"Categoria non trovata",IF(G1657="","Categoria senza tipo",""))))))))</f>
        <v/>
      </c>
    </row>
    <row r="1658">
      <c r="A1658" s="29" t="n"/>
      <c r="B1658" s="17" t="n"/>
      <c r="C1658" s="17" t="n"/>
      <c r="D1658" s="16" t="n"/>
      <c r="E1658" s="30" t="n"/>
      <c r="F1658" s="17" t="n"/>
      <c r="G1658" s="31">
        <f>IF(C1658="","",IFERROR(INDEX(Categorie!$B$6:$B$65,MATCH(C1658,Categorie!$A$6:$A$65,0))&amp;"",""))</f>
        <v/>
      </c>
      <c r="H1658" s="32">
        <f>IF(AND(A1658="",C1658="",D1658=""),"",IF(D1658="","Manca l'importo",IF(NOT(ISNUMBER(D1658)),"Importo non valido",IF(NOT(ISNUMBER(A1658)),"Data mancante o non valida",IF(YEAR(A1658)&lt;&gt;Impostazioni!$C$4,"Fuori dall'anno",IF(C1658="","Manca la categoria",IF(ISNA(MATCH(C1658,Categorie!$A$6:$A$65,0)),"Categoria non trovata",IF(G1658="","Categoria senza tipo",""))))))))</f>
        <v/>
      </c>
    </row>
    <row r="1659">
      <c r="A1659" s="29" t="n"/>
      <c r="B1659" s="17" t="n"/>
      <c r="C1659" s="17" t="n"/>
      <c r="D1659" s="16" t="n"/>
      <c r="E1659" s="30" t="n"/>
      <c r="F1659" s="17" t="n"/>
      <c r="G1659" s="31">
        <f>IF(C1659="","",IFERROR(INDEX(Categorie!$B$6:$B$65,MATCH(C1659,Categorie!$A$6:$A$65,0))&amp;"",""))</f>
        <v/>
      </c>
      <c r="H1659" s="32">
        <f>IF(AND(A1659="",C1659="",D1659=""),"",IF(D1659="","Manca l'importo",IF(NOT(ISNUMBER(D1659)),"Importo non valido",IF(NOT(ISNUMBER(A1659)),"Data mancante o non valida",IF(YEAR(A1659)&lt;&gt;Impostazioni!$C$4,"Fuori dall'anno",IF(C1659="","Manca la categoria",IF(ISNA(MATCH(C1659,Categorie!$A$6:$A$65,0)),"Categoria non trovata",IF(G1659="","Categoria senza tipo",""))))))))</f>
        <v/>
      </c>
    </row>
    <row r="1660">
      <c r="A1660" s="29" t="n"/>
      <c r="B1660" s="17" t="n"/>
      <c r="C1660" s="17" t="n"/>
      <c r="D1660" s="16" t="n"/>
      <c r="E1660" s="30" t="n"/>
      <c r="F1660" s="17" t="n"/>
      <c r="G1660" s="31">
        <f>IF(C1660="","",IFERROR(INDEX(Categorie!$B$6:$B$65,MATCH(C1660,Categorie!$A$6:$A$65,0))&amp;"",""))</f>
        <v/>
      </c>
      <c r="H1660" s="32">
        <f>IF(AND(A1660="",C1660="",D1660=""),"",IF(D1660="","Manca l'importo",IF(NOT(ISNUMBER(D1660)),"Importo non valido",IF(NOT(ISNUMBER(A1660)),"Data mancante o non valida",IF(YEAR(A1660)&lt;&gt;Impostazioni!$C$4,"Fuori dall'anno",IF(C1660="","Manca la categoria",IF(ISNA(MATCH(C1660,Categorie!$A$6:$A$65,0)),"Categoria non trovata",IF(G1660="","Categoria senza tipo",""))))))))</f>
        <v/>
      </c>
    </row>
    <row r="1661">
      <c r="A1661" s="29" t="n"/>
      <c r="B1661" s="17" t="n"/>
      <c r="C1661" s="17" t="n"/>
      <c r="D1661" s="16" t="n"/>
      <c r="E1661" s="30" t="n"/>
      <c r="F1661" s="17" t="n"/>
      <c r="G1661" s="31">
        <f>IF(C1661="","",IFERROR(INDEX(Categorie!$B$6:$B$65,MATCH(C1661,Categorie!$A$6:$A$65,0))&amp;"",""))</f>
        <v/>
      </c>
      <c r="H1661" s="32">
        <f>IF(AND(A1661="",C1661="",D1661=""),"",IF(D1661="","Manca l'importo",IF(NOT(ISNUMBER(D1661)),"Importo non valido",IF(NOT(ISNUMBER(A1661)),"Data mancante o non valida",IF(YEAR(A1661)&lt;&gt;Impostazioni!$C$4,"Fuori dall'anno",IF(C1661="","Manca la categoria",IF(ISNA(MATCH(C1661,Categorie!$A$6:$A$65,0)),"Categoria non trovata",IF(G1661="","Categoria senza tipo",""))))))))</f>
        <v/>
      </c>
    </row>
    <row r="1662">
      <c r="A1662" s="29" t="n"/>
      <c r="B1662" s="17" t="n"/>
      <c r="C1662" s="17" t="n"/>
      <c r="D1662" s="16" t="n"/>
      <c r="E1662" s="30" t="n"/>
      <c r="F1662" s="17" t="n"/>
      <c r="G1662" s="31">
        <f>IF(C1662="","",IFERROR(INDEX(Categorie!$B$6:$B$65,MATCH(C1662,Categorie!$A$6:$A$65,0))&amp;"",""))</f>
        <v/>
      </c>
      <c r="H1662" s="32">
        <f>IF(AND(A1662="",C1662="",D1662=""),"",IF(D1662="","Manca l'importo",IF(NOT(ISNUMBER(D1662)),"Importo non valido",IF(NOT(ISNUMBER(A1662)),"Data mancante o non valida",IF(YEAR(A1662)&lt;&gt;Impostazioni!$C$4,"Fuori dall'anno",IF(C1662="","Manca la categoria",IF(ISNA(MATCH(C1662,Categorie!$A$6:$A$65,0)),"Categoria non trovata",IF(G1662="","Categoria senza tipo",""))))))))</f>
        <v/>
      </c>
    </row>
    <row r="1663">
      <c r="A1663" s="29" t="n"/>
      <c r="B1663" s="17" t="n"/>
      <c r="C1663" s="17" t="n"/>
      <c r="D1663" s="16" t="n"/>
      <c r="E1663" s="30" t="n"/>
      <c r="F1663" s="17" t="n"/>
      <c r="G1663" s="31">
        <f>IF(C1663="","",IFERROR(INDEX(Categorie!$B$6:$B$65,MATCH(C1663,Categorie!$A$6:$A$65,0))&amp;"",""))</f>
        <v/>
      </c>
      <c r="H1663" s="32">
        <f>IF(AND(A1663="",C1663="",D1663=""),"",IF(D1663="","Manca l'importo",IF(NOT(ISNUMBER(D1663)),"Importo non valido",IF(NOT(ISNUMBER(A1663)),"Data mancante o non valida",IF(YEAR(A1663)&lt;&gt;Impostazioni!$C$4,"Fuori dall'anno",IF(C1663="","Manca la categoria",IF(ISNA(MATCH(C1663,Categorie!$A$6:$A$65,0)),"Categoria non trovata",IF(G1663="","Categoria senza tipo",""))))))))</f>
        <v/>
      </c>
    </row>
    <row r="1664">
      <c r="A1664" s="29" t="n"/>
      <c r="B1664" s="17" t="n"/>
      <c r="C1664" s="17" t="n"/>
      <c r="D1664" s="16" t="n"/>
      <c r="E1664" s="30" t="n"/>
      <c r="F1664" s="17" t="n"/>
      <c r="G1664" s="31">
        <f>IF(C1664="","",IFERROR(INDEX(Categorie!$B$6:$B$65,MATCH(C1664,Categorie!$A$6:$A$65,0))&amp;"",""))</f>
        <v/>
      </c>
      <c r="H1664" s="32">
        <f>IF(AND(A1664="",C1664="",D1664=""),"",IF(D1664="","Manca l'importo",IF(NOT(ISNUMBER(D1664)),"Importo non valido",IF(NOT(ISNUMBER(A1664)),"Data mancante o non valida",IF(YEAR(A1664)&lt;&gt;Impostazioni!$C$4,"Fuori dall'anno",IF(C1664="","Manca la categoria",IF(ISNA(MATCH(C1664,Categorie!$A$6:$A$65,0)),"Categoria non trovata",IF(G1664="","Categoria senza tipo",""))))))))</f>
        <v/>
      </c>
    </row>
    <row r="1665">
      <c r="A1665" s="29" t="n"/>
      <c r="B1665" s="17" t="n"/>
      <c r="C1665" s="17" t="n"/>
      <c r="D1665" s="16" t="n"/>
      <c r="E1665" s="30" t="n"/>
      <c r="F1665" s="17" t="n"/>
      <c r="G1665" s="31">
        <f>IF(C1665="","",IFERROR(INDEX(Categorie!$B$6:$B$65,MATCH(C1665,Categorie!$A$6:$A$65,0))&amp;"",""))</f>
        <v/>
      </c>
      <c r="H1665" s="32">
        <f>IF(AND(A1665="",C1665="",D1665=""),"",IF(D1665="","Manca l'importo",IF(NOT(ISNUMBER(D1665)),"Importo non valido",IF(NOT(ISNUMBER(A1665)),"Data mancante o non valida",IF(YEAR(A1665)&lt;&gt;Impostazioni!$C$4,"Fuori dall'anno",IF(C1665="","Manca la categoria",IF(ISNA(MATCH(C1665,Categorie!$A$6:$A$65,0)),"Categoria non trovata",IF(G1665="","Categoria senza tipo",""))))))))</f>
        <v/>
      </c>
    </row>
    <row r="1666">
      <c r="A1666" s="29" t="n"/>
      <c r="B1666" s="17" t="n"/>
      <c r="C1666" s="17" t="n"/>
      <c r="D1666" s="16" t="n"/>
      <c r="E1666" s="30" t="n"/>
      <c r="F1666" s="17" t="n"/>
      <c r="G1666" s="31">
        <f>IF(C1666="","",IFERROR(INDEX(Categorie!$B$6:$B$65,MATCH(C1666,Categorie!$A$6:$A$65,0))&amp;"",""))</f>
        <v/>
      </c>
      <c r="H1666" s="32">
        <f>IF(AND(A1666="",C1666="",D1666=""),"",IF(D1666="","Manca l'importo",IF(NOT(ISNUMBER(D1666)),"Importo non valido",IF(NOT(ISNUMBER(A1666)),"Data mancante o non valida",IF(YEAR(A1666)&lt;&gt;Impostazioni!$C$4,"Fuori dall'anno",IF(C1666="","Manca la categoria",IF(ISNA(MATCH(C1666,Categorie!$A$6:$A$65,0)),"Categoria non trovata",IF(G1666="","Categoria senza tipo",""))))))))</f>
        <v/>
      </c>
    </row>
    <row r="1667">
      <c r="A1667" s="29" t="n"/>
      <c r="B1667" s="17" t="n"/>
      <c r="C1667" s="17" t="n"/>
      <c r="D1667" s="16" t="n"/>
      <c r="E1667" s="30" t="n"/>
      <c r="F1667" s="17" t="n"/>
      <c r="G1667" s="31">
        <f>IF(C1667="","",IFERROR(INDEX(Categorie!$B$6:$B$65,MATCH(C1667,Categorie!$A$6:$A$65,0))&amp;"",""))</f>
        <v/>
      </c>
      <c r="H1667" s="32">
        <f>IF(AND(A1667="",C1667="",D1667=""),"",IF(D1667="","Manca l'importo",IF(NOT(ISNUMBER(D1667)),"Importo non valido",IF(NOT(ISNUMBER(A1667)),"Data mancante o non valida",IF(YEAR(A1667)&lt;&gt;Impostazioni!$C$4,"Fuori dall'anno",IF(C1667="","Manca la categoria",IF(ISNA(MATCH(C1667,Categorie!$A$6:$A$65,0)),"Categoria non trovata",IF(G1667="","Categoria senza tipo",""))))))))</f>
        <v/>
      </c>
    </row>
    <row r="1668">
      <c r="A1668" s="29" t="n"/>
      <c r="B1668" s="17" t="n"/>
      <c r="C1668" s="17" t="n"/>
      <c r="D1668" s="16" t="n"/>
      <c r="E1668" s="30" t="n"/>
      <c r="F1668" s="17" t="n"/>
      <c r="G1668" s="31">
        <f>IF(C1668="","",IFERROR(INDEX(Categorie!$B$6:$B$65,MATCH(C1668,Categorie!$A$6:$A$65,0))&amp;"",""))</f>
        <v/>
      </c>
      <c r="H1668" s="32">
        <f>IF(AND(A1668="",C1668="",D1668=""),"",IF(D1668="","Manca l'importo",IF(NOT(ISNUMBER(D1668)),"Importo non valido",IF(NOT(ISNUMBER(A1668)),"Data mancante o non valida",IF(YEAR(A1668)&lt;&gt;Impostazioni!$C$4,"Fuori dall'anno",IF(C1668="","Manca la categoria",IF(ISNA(MATCH(C1668,Categorie!$A$6:$A$65,0)),"Categoria non trovata",IF(G1668="","Categoria senza tipo",""))))))))</f>
        <v/>
      </c>
    </row>
    <row r="1669">
      <c r="A1669" s="29" t="n"/>
      <c r="B1669" s="17" t="n"/>
      <c r="C1669" s="17" t="n"/>
      <c r="D1669" s="16" t="n"/>
      <c r="E1669" s="30" t="n"/>
      <c r="F1669" s="17" t="n"/>
      <c r="G1669" s="31">
        <f>IF(C1669="","",IFERROR(INDEX(Categorie!$B$6:$B$65,MATCH(C1669,Categorie!$A$6:$A$65,0))&amp;"",""))</f>
        <v/>
      </c>
      <c r="H1669" s="32">
        <f>IF(AND(A1669="",C1669="",D1669=""),"",IF(D1669="","Manca l'importo",IF(NOT(ISNUMBER(D1669)),"Importo non valido",IF(NOT(ISNUMBER(A1669)),"Data mancante o non valida",IF(YEAR(A1669)&lt;&gt;Impostazioni!$C$4,"Fuori dall'anno",IF(C1669="","Manca la categoria",IF(ISNA(MATCH(C1669,Categorie!$A$6:$A$65,0)),"Categoria non trovata",IF(G1669="","Categoria senza tipo",""))))))))</f>
        <v/>
      </c>
    </row>
    <row r="1670">
      <c r="A1670" s="29" t="n"/>
      <c r="B1670" s="17" t="n"/>
      <c r="C1670" s="17" t="n"/>
      <c r="D1670" s="16" t="n"/>
      <c r="E1670" s="30" t="n"/>
      <c r="F1670" s="17" t="n"/>
      <c r="G1670" s="31">
        <f>IF(C1670="","",IFERROR(INDEX(Categorie!$B$6:$B$65,MATCH(C1670,Categorie!$A$6:$A$65,0))&amp;"",""))</f>
        <v/>
      </c>
      <c r="H1670" s="32">
        <f>IF(AND(A1670="",C1670="",D1670=""),"",IF(D1670="","Manca l'importo",IF(NOT(ISNUMBER(D1670)),"Importo non valido",IF(NOT(ISNUMBER(A1670)),"Data mancante o non valida",IF(YEAR(A1670)&lt;&gt;Impostazioni!$C$4,"Fuori dall'anno",IF(C1670="","Manca la categoria",IF(ISNA(MATCH(C1670,Categorie!$A$6:$A$65,0)),"Categoria non trovata",IF(G1670="","Categoria senza tipo",""))))))))</f>
        <v/>
      </c>
    </row>
    <row r="1671">
      <c r="A1671" s="29" t="n"/>
      <c r="B1671" s="17" t="n"/>
      <c r="C1671" s="17" t="n"/>
      <c r="D1671" s="16" t="n"/>
      <c r="E1671" s="30" t="n"/>
      <c r="F1671" s="17" t="n"/>
      <c r="G1671" s="31">
        <f>IF(C1671="","",IFERROR(INDEX(Categorie!$B$6:$B$65,MATCH(C1671,Categorie!$A$6:$A$65,0))&amp;"",""))</f>
        <v/>
      </c>
      <c r="H1671" s="32">
        <f>IF(AND(A1671="",C1671="",D1671=""),"",IF(D1671="","Manca l'importo",IF(NOT(ISNUMBER(D1671)),"Importo non valido",IF(NOT(ISNUMBER(A1671)),"Data mancante o non valida",IF(YEAR(A1671)&lt;&gt;Impostazioni!$C$4,"Fuori dall'anno",IF(C1671="","Manca la categoria",IF(ISNA(MATCH(C1671,Categorie!$A$6:$A$65,0)),"Categoria non trovata",IF(G1671="","Categoria senza tipo",""))))))))</f>
        <v/>
      </c>
    </row>
    <row r="1672">
      <c r="A1672" s="29" t="n"/>
      <c r="B1672" s="17" t="n"/>
      <c r="C1672" s="17" t="n"/>
      <c r="D1672" s="16" t="n"/>
      <c r="E1672" s="30" t="n"/>
      <c r="F1672" s="17" t="n"/>
      <c r="G1672" s="31">
        <f>IF(C1672="","",IFERROR(INDEX(Categorie!$B$6:$B$65,MATCH(C1672,Categorie!$A$6:$A$65,0))&amp;"",""))</f>
        <v/>
      </c>
      <c r="H1672" s="32">
        <f>IF(AND(A1672="",C1672="",D1672=""),"",IF(D1672="","Manca l'importo",IF(NOT(ISNUMBER(D1672)),"Importo non valido",IF(NOT(ISNUMBER(A1672)),"Data mancante o non valida",IF(YEAR(A1672)&lt;&gt;Impostazioni!$C$4,"Fuori dall'anno",IF(C1672="","Manca la categoria",IF(ISNA(MATCH(C1672,Categorie!$A$6:$A$65,0)),"Categoria non trovata",IF(G1672="","Categoria senza tipo",""))))))))</f>
        <v/>
      </c>
    </row>
    <row r="1673">
      <c r="A1673" s="29" t="n"/>
      <c r="B1673" s="17" t="n"/>
      <c r="C1673" s="17" t="n"/>
      <c r="D1673" s="16" t="n"/>
      <c r="E1673" s="30" t="n"/>
      <c r="F1673" s="17" t="n"/>
      <c r="G1673" s="31">
        <f>IF(C1673="","",IFERROR(INDEX(Categorie!$B$6:$B$65,MATCH(C1673,Categorie!$A$6:$A$65,0))&amp;"",""))</f>
        <v/>
      </c>
      <c r="H1673" s="32">
        <f>IF(AND(A1673="",C1673="",D1673=""),"",IF(D1673="","Manca l'importo",IF(NOT(ISNUMBER(D1673)),"Importo non valido",IF(NOT(ISNUMBER(A1673)),"Data mancante o non valida",IF(YEAR(A1673)&lt;&gt;Impostazioni!$C$4,"Fuori dall'anno",IF(C1673="","Manca la categoria",IF(ISNA(MATCH(C1673,Categorie!$A$6:$A$65,0)),"Categoria non trovata",IF(G1673="","Categoria senza tipo",""))))))))</f>
        <v/>
      </c>
    </row>
    <row r="1674">
      <c r="A1674" s="29" t="n"/>
      <c r="B1674" s="17" t="n"/>
      <c r="C1674" s="17" t="n"/>
      <c r="D1674" s="16" t="n"/>
      <c r="E1674" s="30" t="n"/>
      <c r="F1674" s="17" t="n"/>
      <c r="G1674" s="31">
        <f>IF(C1674="","",IFERROR(INDEX(Categorie!$B$6:$B$65,MATCH(C1674,Categorie!$A$6:$A$65,0))&amp;"",""))</f>
        <v/>
      </c>
      <c r="H1674" s="32">
        <f>IF(AND(A1674="",C1674="",D1674=""),"",IF(D1674="","Manca l'importo",IF(NOT(ISNUMBER(D1674)),"Importo non valido",IF(NOT(ISNUMBER(A1674)),"Data mancante o non valida",IF(YEAR(A1674)&lt;&gt;Impostazioni!$C$4,"Fuori dall'anno",IF(C1674="","Manca la categoria",IF(ISNA(MATCH(C1674,Categorie!$A$6:$A$65,0)),"Categoria non trovata",IF(G1674="","Categoria senza tipo",""))))))))</f>
        <v/>
      </c>
    </row>
    <row r="1675">
      <c r="A1675" s="29" t="n"/>
      <c r="B1675" s="17" t="n"/>
      <c r="C1675" s="17" t="n"/>
      <c r="D1675" s="16" t="n"/>
      <c r="E1675" s="30" t="n"/>
      <c r="F1675" s="17" t="n"/>
      <c r="G1675" s="31">
        <f>IF(C1675="","",IFERROR(INDEX(Categorie!$B$6:$B$65,MATCH(C1675,Categorie!$A$6:$A$65,0))&amp;"",""))</f>
        <v/>
      </c>
      <c r="H1675" s="32">
        <f>IF(AND(A1675="",C1675="",D1675=""),"",IF(D1675="","Manca l'importo",IF(NOT(ISNUMBER(D1675)),"Importo non valido",IF(NOT(ISNUMBER(A1675)),"Data mancante o non valida",IF(YEAR(A1675)&lt;&gt;Impostazioni!$C$4,"Fuori dall'anno",IF(C1675="","Manca la categoria",IF(ISNA(MATCH(C1675,Categorie!$A$6:$A$65,0)),"Categoria non trovata",IF(G1675="","Categoria senza tipo",""))))))))</f>
        <v/>
      </c>
    </row>
    <row r="1676">
      <c r="A1676" s="29" t="n"/>
      <c r="B1676" s="17" t="n"/>
      <c r="C1676" s="17" t="n"/>
      <c r="D1676" s="16" t="n"/>
      <c r="E1676" s="30" t="n"/>
      <c r="F1676" s="17" t="n"/>
      <c r="G1676" s="31">
        <f>IF(C1676="","",IFERROR(INDEX(Categorie!$B$6:$B$65,MATCH(C1676,Categorie!$A$6:$A$65,0))&amp;"",""))</f>
        <v/>
      </c>
      <c r="H1676" s="32">
        <f>IF(AND(A1676="",C1676="",D1676=""),"",IF(D1676="","Manca l'importo",IF(NOT(ISNUMBER(D1676)),"Importo non valido",IF(NOT(ISNUMBER(A1676)),"Data mancante o non valida",IF(YEAR(A1676)&lt;&gt;Impostazioni!$C$4,"Fuori dall'anno",IF(C1676="","Manca la categoria",IF(ISNA(MATCH(C1676,Categorie!$A$6:$A$65,0)),"Categoria non trovata",IF(G1676="","Categoria senza tipo",""))))))))</f>
        <v/>
      </c>
    </row>
    <row r="1677">
      <c r="A1677" s="29" t="n"/>
      <c r="B1677" s="17" t="n"/>
      <c r="C1677" s="17" t="n"/>
      <c r="D1677" s="16" t="n"/>
      <c r="E1677" s="30" t="n"/>
      <c r="F1677" s="17" t="n"/>
      <c r="G1677" s="31">
        <f>IF(C1677="","",IFERROR(INDEX(Categorie!$B$6:$B$65,MATCH(C1677,Categorie!$A$6:$A$65,0))&amp;"",""))</f>
        <v/>
      </c>
      <c r="H1677" s="32">
        <f>IF(AND(A1677="",C1677="",D1677=""),"",IF(D1677="","Manca l'importo",IF(NOT(ISNUMBER(D1677)),"Importo non valido",IF(NOT(ISNUMBER(A1677)),"Data mancante o non valida",IF(YEAR(A1677)&lt;&gt;Impostazioni!$C$4,"Fuori dall'anno",IF(C1677="","Manca la categoria",IF(ISNA(MATCH(C1677,Categorie!$A$6:$A$65,0)),"Categoria non trovata",IF(G1677="","Categoria senza tipo",""))))))))</f>
        <v/>
      </c>
    </row>
    <row r="1678">
      <c r="A1678" s="29" t="n"/>
      <c r="B1678" s="17" t="n"/>
      <c r="C1678" s="17" t="n"/>
      <c r="D1678" s="16" t="n"/>
      <c r="E1678" s="30" t="n"/>
      <c r="F1678" s="17" t="n"/>
      <c r="G1678" s="31">
        <f>IF(C1678="","",IFERROR(INDEX(Categorie!$B$6:$B$65,MATCH(C1678,Categorie!$A$6:$A$65,0))&amp;"",""))</f>
        <v/>
      </c>
      <c r="H1678" s="32">
        <f>IF(AND(A1678="",C1678="",D1678=""),"",IF(D1678="","Manca l'importo",IF(NOT(ISNUMBER(D1678)),"Importo non valido",IF(NOT(ISNUMBER(A1678)),"Data mancante o non valida",IF(YEAR(A1678)&lt;&gt;Impostazioni!$C$4,"Fuori dall'anno",IF(C1678="","Manca la categoria",IF(ISNA(MATCH(C1678,Categorie!$A$6:$A$65,0)),"Categoria non trovata",IF(G1678="","Categoria senza tipo",""))))))))</f>
        <v/>
      </c>
    </row>
    <row r="1679">
      <c r="A1679" s="29" t="n"/>
      <c r="B1679" s="17" t="n"/>
      <c r="C1679" s="17" t="n"/>
      <c r="D1679" s="16" t="n"/>
      <c r="E1679" s="30" t="n"/>
      <c r="F1679" s="17" t="n"/>
      <c r="G1679" s="31">
        <f>IF(C1679="","",IFERROR(INDEX(Categorie!$B$6:$B$65,MATCH(C1679,Categorie!$A$6:$A$65,0))&amp;"",""))</f>
        <v/>
      </c>
      <c r="H1679" s="32">
        <f>IF(AND(A1679="",C1679="",D1679=""),"",IF(D1679="","Manca l'importo",IF(NOT(ISNUMBER(D1679)),"Importo non valido",IF(NOT(ISNUMBER(A1679)),"Data mancante o non valida",IF(YEAR(A1679)&lt;&gt;Impostazioni!$C$4,"Fuori dall'anno",IF(C1679="","Manca la categoria",IF(ISNA(MATCH(C1679,Categorie!$A$6:$A$65,0)),"Categoria non trovata",IF(G1679="","Categoria senza tipo",""))))))))</f>
        <v/>
      </c>
    </row>
    <row r="1680">
      <c r="A1680" s="29" t="n"/>
      <c r="B1680" s="17" t="n"/>
      <c r="C1680" s="17" t="n"/>
      <c r="D1680" s="16" t="n"/>
      <c r="E1680" s="30" t="n"/>
      <c r="F1680" s="17" t="n"/>
      <c r="G1680" s="31">
        <f>IF(C1680="","",IFERROR(INDEX(Categorie!$B$6:$B$65,MATCH(C1680,Categorie!$A$6:$A$65,0))&amp;"",""))</f>
        <v/>
      </c>
      <c r="H1680" s="32">
        <f>IF(AND(A1680="",C1680="",D1680=""),"",IF(D1680="","Manca l'importo",IF(NOT(ISNUMBER(D1680)),"Importo non valido",IF(NOT(ISNUMBER(A1680)),"Data mancante o non valida",IF(YEAR(A1680)&lt;&gt;Impostazioni!$C$4,"Fuori dall'anno",IF(C1680="","Manca la categoria",IF(ISNA(MATCH(C1680,Categorie!$A$6:$A$65,0)),"Categoria non trovata",IF(G1680="","Categoria senza tipo",""))))))))</f>
        <v/>
      </c>
    </row>
    <row r="1681">
      <c r="A1681" s="29" t="n"/>
      <c r="B1681" s="17" t="n"/>
      <c r="C1681" s="17" t="n"/>
      <c r="D1681" s="16" t="n"/>
      <c r="E1681" s="30" t="n"/>
      <c r="F1681" s="17" t="n"/>
      <c r="G1681" s="31">
        <f>IF(C1681="","",IFERROR(INDEX(Categorie!$B$6:$B$65,MATCH(C1681,Categorie!$A$6:$A$65,0))&amp;"",""))</f>
        <v/>
      </c>
      <c r="H1681" s="32">
        <f>IF(AND(A1681="",C1681="",D1681=""),"",IF(D1681="","Manca l'importo",IF(NOT(ISNUMBER(D1681)),"Importo non valido",IF(NOT(ISNUMBER(A1681)),"Data mancante o non valida",IF(YEAR(A1681)&lt;&gt;Impostazioni!$C$4,"Fuori dall'anno",IF(C1681="","Manca la categoria",IF(ISNA(MATCH(C1681,Categorie!$A$6:$A$65,0)),"Categoria non trovata",IF(G1681="","Categoria senza tipo",""))))))))</f>
        <v/>
      </c>
    </row>
    <row r="1682">
      <c r="A1682" s="29" t="n"/>
      <c r="B1682" s="17" t="n"/>
      <c r="C1682" s="17" t="n"/>
      <c r="D1682" s="16" t="n"/>
      <c r="E1682" s="30" t="n"/>
      <c r="F1682" s="17" t="n"/>
      <c r="G1682" s="31">
        <f>IF(C1682="","",IFERROR(INDEX(Categorie!$B$6:$B$65,MATCH(C1682,Categorie!$A$6:$A$65,0))&amp;"",""))</f>
        <v/>
      </c>
      <c r="H1682" s="32">
        <f>IF(AND(A1682="",C1682="",D1682=""),"",IF(D1682="","Manca l'importo",IF(NOT(ISNUMBER(D1682)),"Importo non valido",IF(NOT(ISNUMBER(A1682)),"Data mancante o non valida",IF(YEAR(A1682)&lt;&gt;Impostazioni!$C$4,"Fuori dall'anno",IF(C1682="","Manca la categoria",IF(ISNA(MATCH(C1682,Categorie!$A$6:$A$65,0)),"Categoria non trovata",IF(G1682="","Categoria senza tipo",""))))))))</f>
        <v/>
      </c>
    </row>
    <row r="1683">
      <c r="A1683" s="29" t="n"/>
      <c r="B1683" s="17" t="n"/>
      <c r="C1683" s="17" t="n"/>
      <c r="D1683" s="16" t="n"/>
      <c r="E1683" s="30" t="n"/>
      <c r="F1683" s="17" t="n"/>
      <c r="G1683" s="31">
        <f>IF(C1683="","",IFERROR(INDEX(Categorie!$B$6:$B$65,MATCH(C1683,Categorie!$A$6:$A$65,0))&amp;"",""))</f>
        <v/>
      </c>
      <c r="H1683" s="32">
        <f>IF(AND(A1683="",C1683="",D1683=""),"",IF(D1683="","Manca l'importo",IF(NOT(ISNUMBER(D1683)),"Importo non valido",IF(NOT(ISNUMBER(A1683)),"Data mancante o non valida",IF(YEAR(A1683)&lt;&gt;Impostazioni!$C$4,"Fuori dall'anno",IF(C1683="","Manca la categoria",IF(ISNA(MATCH(C1683,Categorie!$A$6:$A$65,0)),"Categoria non trovata",IF(G1683="","Categoria senza tipo",""))))))))</f>
        <v/>
      </c>
    </row>
    <row r="1684">
      <c r="A1684" s="29" t="n"/>
      <c r="B1684" s="17" t="n"/>
      <c r="C1684" s="17" t="n"/>
      <c r="D1684" s="16" t="n"/>
      <c r="E1684" s="30" t="n"/>
      <c r="F1684" s="17" t="n"/>
      <c r="G1684" s="31">
        <f>IF(C1684="","",IFERROR(INDEX(Categorie!$B$6:$B$65,MATCH(C1684,Categorie!$A$6:$A$65,0))&amp;"",""))</f>
        <v/>
      </c>
      <c r="H1684" s="32">
        <f>IF(AND(A1684="",C1684="",D1684=""),"",IF(D1684="","Manca l'importo",IF(NOT(ISNUMBER(D1684)),"Importo non valido",IF(NOT(ISNUMBER(A1684)),"Data mancante o non valida",IF(YEAR(A1684)&lt;&gt;Impostazioni!$C$4,"Fuori dall'anno",IF(C1684="","Manca la categoria",IF(ISNA(MATCH(C1684,Categorie!$A$6:$A$65,0)),"Categoria non trovata",IF(G1684="","Categoria senza tipo",""))))))))</f>
        <v/>
      </c>
    </row>
    <row r="1685">
      <c r="A1685" s="29" t="n"/>
      <c r="B1685" s="17" t="n"/>
      <c r="C1685" s="17" t="n"/>
      <c r="D1685" s="16" t="n"/>
      <c r="E1685" s="30" t="n"/>
      <c r="F1685" s="17" t="n"/>
      <c r="G1685" s="31">
        <f>IF(C1685="","",IFERROR(INDEX(Categorie!$B$6:$B$65,MATCH(C1685,Categorie!$A$6:$A$65,0))&amp;"",""))</f>
        <v/>
      </c>
      <c r="H1685" s="32">
        <f>IF(AND(A1685="",C1685="",D1685=""),"",IF(D1685="","Manca l'importo",IF(NOT(ISNUMBER(D1685)),"Importo non valido",IF(NOT(ISNUMBER(A1685)),"Data mancante o non valida",IF(YEAR(A1685)&lt;&gt;Impostazioni!$C$4,"Fuori dall'anno",IF(C1685="","Manca la categoria",IF(ISNA(MATCH(C1685,Categorie!$A$6:$A$65,0)),"Categoria non trovata",IF(G1685="","Categoria senza tipo",""))))))))</f>
        <v/>
      </c>
    </row>
    <row r="1686">
      <c r="A1686" s="29" t="n"/>
      <c r="B1686" s="17" t="n"/>
      <c r="C1686" s="17" t="n"/>
      <c r="D1686" s="16" t="n"/>
      <c r="E1686" s="30" t="n"/>
      <c r="F1686" s="17" t="n"/>
      <c r="G1686" s="31">
        <f>IF(C1686="","",IFERROR(INDEX(Categorie!$B$6:$B$65,MATCH(C1686,Categorie!$A$6:$A$65,0))&amp;"",""))</f>
        <v/>
      </c>
      <c r="H1686" s="32">
        <f>IF(AND(A1686="",C1686="",D1686=""),"",IF(D1686="","Manca l'importo",IF(NOT(ISNUMBER(D1686)),"Importo non valido",IF(NOT(ISNUMBER(A1686)),"Data mancante o non valida",IF(YEAR(A1686)&lt;&gt;Impostazioni!$C$4,"Fuori dall'anno",IF(C1686="","Manca la categoria",IF(ISNA(MATCH(C1686,Categorie!$A$6:$A$65,0)),"Categoria non trovata",IF(G1686="","Categoria senza tipo",""))))))))</f>
        <v/>
      </c>
    </row>
    <row r="1687">
      <c r="A1687" s="29" t="n"/>
      <c r="B1687" s="17" t="n"/>
      <c r="C1687" s="17" t="n"/>
      <c r="D1687" s="16" t="n"/>
      <c r="E1687" s="30" t="n"/>
      <c r="F1687" s="17" t="n"/>
      <c r="G1687" s="31">
        <f>IF(C1687="","",IFERROR(INDEX(Categorie!$B$6:$B$65,MATCH(C1687,Categorie!$A$6:$A$65,0))&amp;"",""))</f>
        <v/>
      </c>
      <c r="H1687" s="32">
        <f>IF(AND(A1687="",C1687="",D1687=""),"",IF(D1687="","Manca l'importo",IF(NOT(ISNUMBER(D1687)),"Importo non valido",IF(NOT(ISNUMBER(A1687)),"Data mancante o non valida",IF(YEAR(A1687)&lt;&gt;Impostazioni!$C$4,"Fuori dall'anno",IF(C1687="","Manca la categoria",IF(ISNA(MATCH(C1687,Categorie!$A$6:$A$65,0)),"Categoria non trovata",IF(G1687="","Categoria senza tipo",""))))))))</f>
        <v/>
      </c>
    </row>
    <row r="1688">
      <c r="A1688" s="29" t="n"/>
      <c r="B1688" s="17" t="n"/>
      <c r="C1688" s="17" t="n"/>
      <c r="D1688" s="16" t="n"/>
      <c r="E1688" s="30" t="n"/>
      <c r="F1688" s="17" t="n"/>
      <c r="G1688" s="31">
        <f>IF(C1688="","",IFERROR(INDEX(Categorie!$B$6:$B$65,MATCH(C1688,Categorie!$A$6:$A$65,0))&amp;"",""))</f>
        <v/>
      </c>
      <c r="H1688" s="32">
        <f>IF(AND(A1688="",C1688="",D1688=""),"",IF(D1688="","Manca l'importo",IF(NOT(ISNUMBER(D1688)),"Importo non valido",IF(NOT(ISNUMBER(A1688)),"Data mancante o non valida",IF(YEAR(A1688)&lt;&gt;Impostazioni!$C$4,"Fuori dall'anno",IF(C1688="","Manca la categoria",IF(ISNA(MATCH(C1688,Categorie!$A$6:$A$65,0)),"Categoria non trovata",IF(G1688="","Categoria senza tipo",""))))))))</f>
        <v/>
      </c>
    </row>
    <row r="1689">
      <c r="A1689" s="29" t="n"/>
      <c r="B1689" s="17" t="n"/>
      <c r="C1689" s="17" t="n"/>
      <c r="D1689" s="16" t="n"/>
      <c r="E1689" s="30" t="n"/>
      <c r="F1689" s="17" t="n"/>
      <c r="G1689" s="31">
        <f>IF(C1689="","",IFERROR(INDEX(Categorie!$B$6:$B$65,MATCH(C1689,Categorie!$A$6:$A$65,0))&amp;"",""))</f>
        <v/>
      </c>
      <c r="H1689" s="32">
        <f>IF(AND(A1689="",C1689="",D1689=""),"",IF(D1689="","Manca l'importo",IF(NOT(ISNUMBER(D1689)),"Importo non valido",IF(NOT(ISNUMBER(A1689)),"Data mancante o non valida",IF(YEAR(A1689)&lt;&gt;Impostazioni!$C$4,"Fuori dall'anno",IF(C1689="","Manca la categoria",IF(ISNA(MATCH(C1689,Categorie!$A$6:$A$65,0)),"Categoria non trovata",IF(G1689="","Categoria senza tipo",""))))))))</f>
        <v/>
      </c>
    </row>
    <row r="1690">
      <c r="A1690" s="29" t="n"/>
      <c r="B1690" s="17" t="n"/>
      <c r="C1690" s="17" t="n"/>
      <c r="D1690" s="16" t="n"/>
      <c r="E1690" s="30" t="n"/>
      <c r="F1690" s="17" t="n"/>
      <c r="G1690" s="31">
        <f>IF(C1690="","",IFERROR(INDEX(Categorie!$B$6:$B$65,MATCH(C1690,Categorie!$A$6:$A$65,0))&amp;"",""))</f>
        <v/>
      </c>
      <c r="H1690" s="32">
        <f>IF(AND(A1690="",C1690="",D1690=""),"",IF(D1690="","Manca l'importo",IF(NOT(ISNUMBER(D1690)),"Importo non valido",IF(NOT(ISNUMBER(A1690)),"Data mancante o non valida",IF(YEAR(A1690)&lt;&gt;Impostazioni!$C$4,"Fuori dall'anno",IF(C1690="","Manca la categoria",IF(ISNA(MATCH(C1690,Categorie!$A$6:$A$65,0)),"Categoria non trovata",IF(G1690="","Categoria senza tipo",""))))))))</f>
        <v/>
      </c>
    </row>
    <row r="1691">
      <c r="A1691" s="29" t="n"/>
      <c r="B1691" s="17" t="n"/>
      <c r="C1691" s="17" t="n"/>
      <c r="D1691" s="16" t="n"/>
      <c r="E1691" s="30" t="n"/>
      <c r="F1691" s="17" t="n"/>
      <c r="G1691" s="31">
        <f>IF(C1691="","",IFERROR(INDEX(Categorie!$B$6:$B$65,MATCH(C1691,Categorie!$A$6:$A$65,0))&amp;"",""))</f>
        <v/>
      </c>
      <c r="H1691" s="32">
        <f>IF(AND(A1691="",C1691="",D1691=""),"",IF(D1691="","Manca l'importo",IF(NOT(ISNUMBER(D1691)),"Importo non valido",IF(NOT(ISNUMBER(A1691)),"Data mancante o non valida",IF(YEAR(A1691)&lt;&gt;Impostazioni!$C$4,"Fuori dall'anno",IF(C1691="","Manca la categoria",IF(ISNA(MATCH(C1691,Categorie!$A$6:$A$65,0)),"Categoria non trovata",IF(G1691="","Categoria senza tipo",""))))))))</f>
        <v/>
      </c>
    </row>
    <row r="1692">
      <c r="A1692" s="29" t="n"/>
      <c r="B1692" s="17" t="n"/>
      <c r="C1692" s="17" t="n"/>
      <c r="D1692" s="16" t="n"/>
      <c r="E1692" s="30" t="n"/>
      <c r="F1692" s="17" t="n"/>
      <c r="G1692" s="31">
        <f>IF(C1692="","",IFERROR(INDEX(Categorie!$B$6:$B$65,MATCH(C1692,Categorie!$A$6:$A$65,0))&amp;"",""))</f>
        <v/>
      </c>
      <c r="H1692" s="32">
        <f>IF(AND(A1692="",C1692="",D1692=""),"",IF(D1692="","Manca l'importo",IF(NOT(ISNUMBER(D1692)),"Importo non valido",IF(NOT(ISNUMBER(A1692)),"Data mancante o non valida",IF(YEAR(A1692)&lt;&gt;Impostazioni!$C$4,"Fuori dall'anno",IF(C1692="","Manca la categoria",IF(ISNA(MATCH(C1692,Categorie!$A$6:$A$65,0)),"Categoria non trovata",IF(G1692="","Categoria senza tipo",""))))))))</f>
        <v/>
      </c>
    </row>
    <row r="1693">
      <c r="A1693" s="29" t="n"/>
      <c r="B1693" s="17" t="n"/>
      <c r="C1693" s="17" t="n"/>
      <c r="D1693" s="16" t="n"/>
      <c r="E1693" s="30" t="n"/>
      <c r="F1693" s="17" t="n"/>
      <c r="G1693" s="31">
        <f>IF(C1693="","",IFERROR(INDEX(Categorie!$B$6:$B$65,MATCH(C1693,Categorie!$A$6:$A$65,0))&amp;"",""))</f>
        <v/>
      </c>
      <c r="H1693" s="32">
        <f>IF(AND(A1693="",C1693="",D1693=""),"",IF(D1693="","Manca l'importo",IF(NOT(ISNUMBER(D1693)),"Importo non valido",IF(NOT(ISNUMBER(A1693)),"Data mancante o non valida",IF(YEAR(A1693)&lt;&gt;Impostazioni!$C$4,"Fuori dall'anno",IF(C1693="","Manca la categoria",IF(ISNA(MATCH(C1693,Categorie!$A$6:$A$65,0)),"Categoria non trovata",IF(G1693="","Categoria senza tipo",""))))))))</f>
        <v/>
      </c>
    </row>
    <row r="1694">
      <c r="A1694" s="29" t="n"/>
      <c r="B1694" s="17" t="n"/>
      <c r="C1694" s="17" t="n"/>
      <c r="D1694" s="16" t="n"/>
      <c r="E1694" s="30" t="n"/>
      <c r="F1694" s="17" t="n"/>
      <c r="G1694" s="31">
        <f>IF(C1694="","",IFERROR(INDEX(Categorie!$B$6:$B$65,MATCH(C1694,Categorie!$A$6:$A$65,0))&amp;"",""))</f>
        <v/>
      </c>
      <c r="H1694" s="32">
        <f>IF(AND(A1694="",C1694="",D1694=""),"",IF(D1694="","Manca l'importo",IF(NOT(ISNUMBER(D1694)),"Importo non valido",IF(NOT(ISNUMBER(A1694)),"Data mancante o non valida",IF(YEAR(A1694)&lt;&gt;Impostazioni!$C$4,"Fuori dall'anno",IF(C1694="","Manca la categoria",IF(ISNA(MATCH(C1694,Categorie!$A$6:$A$65,0)),"Categoria non trovata",IF(G1694="","Categoria senza tipo",""))))))))</f>
        <v/>
      </c>
    </row>
    <row r="1695">
      <c r="A1695" s="29" t="n"/>
      <c r="B1695" s="17" t="n"/>
      <c r="C1695" s="17" t="n"/>
      <c r="D1695" s="16" t="n"/>
      <c r="E1695" s="30" t="n"/>
      <c r="F1695" s="17" t="n"/>
      <c r="G1695" s="31">
        <f>IF(C1695="","",IFERROR(INDEX(Categorie!$B$6:$B$65,MATCH(C1695,Categorie!$A$6:$A$65,0))&amp;"",""))</f>
        <v/>
      </c>
      <c r="H1695" s="32">
        <f>IF(AND(A1695="",C1695="",D1695=""),"",IF(D1695="","Manca l'importo",IF(NOT(ISNUMBER(D1695)),"Importo non valido",IF(NOT(ISNUMBER(A1695)),"Data mancante o non valida",IF(YEAR(A1695)&lt;&gt;Impostazioni!$C$4,"Fuori dall'anno",IF(C1695="","Manca la categoria",IF(ISNA(MATCH(C1695,Categorie!$A$6:$A$65,0)),"Categoria non trovata",IF(G1695="","Categoria senza tipo",""))))))))</f>
        <v/>
      </c>
    </row>
    <row r="1696">
      <c r="A1696" s="29" t="n"/>
      <c r="B1696" s="17" t="n"/>
      <c r="C1696" s="17" t="n"/>
      <c r="D1696" s="16" t="n"/>
      <c r="E1696" s="30" t="n"/>
      <c r="F1696" s="17" t="n"/>
      <c r="G1696" s="31">
        <f>IF(C1696="","",IFERROR(INDEX(Categorie!$B$6:$B$65,MATCH(C1696,Categorie!$A$6:$A$65,0))&amp;"",""))</f>
        <v/>
      </c>
      <c r="H1696" s="32">
        <f>IF(AND(A1696="",C1696="",D1696=""),"",IF(D1696="","Manca l'importo",IF(NOT(ISNUMBER(D1696)),"Importo non valido",IF(NOT(ISNUMBER(A1696)),"Data mancante o non valida",IF(YEAR(A1696)&lt;&gt;Impostazioni!$C$4,"Fuori dall'anno",IF(C1696="","Manca la categoria",IF(ISNA(MATCH(C1696,Categorie!$A$6:$A$65,0)),"Categoria non trovata",IF(G1696="","Categoria senza tipo",""))))))))</f>
        <v/>
      </c>
    </row>
    <row r="1697">
      <c r="A1697" s="29" t="n"/>
      <c r="B1697" s="17" t="n"/>
      <c r="C1697" s="17" t="n"/>
      <c r="D1697" s="16" t="n"/>
      <c r="E1697" s="30" t="n"/>
      <c r="F1697" s="17" t="n"/>
      <c r="G1697" s="31">
        <f>IF(C1697="","",IFERROR(INDEX(Categorie!$B$6:$B$65,MATCH(C1697,Categorie!$A$6:$A$65,0))&amp;"",""))</f>
        <v/>
      </c>
      <c r="H1697" s="32">
        <f>IF(AND(A1697="",C1697="",D1697=""),"",IF(D1697="","Manca l'importo",IF(NOT(ISNUMBER(D1697)),"Importo non valido",IF(NOT(ISNUMBER(A1697)),"Data mancante o non valida",IF(YEAR(A1697)&lt;&gt;Impostazioni!$C$4,"Fuori dall'anno",IF(C1697="","Manca la categoria",IF(ISNA(MATCH(C1697,Categorie!$A$6:$A$65,0)),"Categoria non trovata",IF(G1697="","Categoria senza tipo",""))))))))</f>
        <v/>
      </c>
    </row>
    <row r="1698">
      <c r="A1698" s="29" t="n"/>
      <c r="B1698" s="17" t="n"/>
      <c r="C1698" s="17" t="n"/>
      <c r="D1698" s="16" t="n"/>
      <c r="E1698" s="30" t="n"/>
      <c r="F1698" s="17" t="n"/>
      <c r="G1698" s="31">
        <f>IF(C1698="","",IFERROR(INDEX(Categorie!$B$6:$B$65,MATCH(C1698,Categorie!$A$6:$A$65,0))&amp;"",""))</f>
        <v/>
      </c>
      <c r="H1698" s="32">
        <f>IF(AND(A1698="",C1698="",D1698=""),"",IF(D1698="","Manca l'importo",IF(NOT(ISNUMBER(D1698)),"Importo non valido",IF(NOT(ISNUMBER(A1698)),"Data mancante o non valida",IF(YEAR(A1698)&lt;&gt;Impostazioni!$C$4,"Fuori dall'anno",IF(C1698="","Manca la categoria",IF(ISNA(MATCH(C1698,Categorie!$A$6:$A$65,0)),"Categoria non trovata",IF(G1698="","Categoria senza tipo",""))))))))</f>
        <v/>
      </c>
    </row>
    <row r="1699">
      <c r="A1699" s="29" t="n"/>
      <c r="B1699" s="17" t="n"/>
      <c r="C1699" s="17" t="n"/>
      <c r="D1699" s="16" t="n"/>
      <c r="E1699" s="30" t="n"/>
      <c r="F1699" s="17" t="n"/>
      <c r="G1699" s="31">
        <f>IF(C1699="","",IFERROR(INDEX(Categorie!$B$6:$B$65,MATCH(C1699,Categorie!$A$6:$A$65,0))&amp;"",""))</f>
        <v/>
      </c>
      <c r="H1699" s="32">
        <f>IF(AND(A1699="",C1699="",D1699=""),"",IF(D1699="","Manca l'importo",IF(NOT(ISNUMBER(D1699)),"Importo non valido",IF(NOT(ISNUMBER(A1699)),"Data mancante o non valida",IF(YEAR(A1699)&lt;&gt;Impostazioni!$C$4,"Fuori dall'anno",IF(C1699="","Manca la categoria",IF(ISNA(MATCH(C1699,Categorie!$A$6:$A$65,0)),"Categoria non trovata",IF(G1699="","Categoria senza tipo",""))))))))</f>
        <v/>
      </c>
    </row>
    <row r="1700">
      <c r="A1700" s="29" t="n"/>
      <c r="B1700" s="17" t="n"/>
      <c r="C1700" s="17" t="n"/>
      <c r="D1700" s="16" t="n"/>
      <c r="E1700" s="30" t="n"/>
      <c r="F1700" s="17" t="n"/>
      <c r="G1700" s="31">
        <f>IF(C1700="","",IFERROR(INDEX(Categorie!$B$6:$B$65,MATCH(C1700,Categorie!$A$6:$A$65,0))&amp;"",""))</f>
        <v/>
      </c>
      <c r="H1700" s="32">
        <f>IF(AND(A1700="",C1700="",D1700=""),"",IF(D1700="","Manca l'importo",IF(NOT(ISNUMBER(D1700)),"Importo non valido",IF(NOT(ISNUMBER(A1700)),"Data mancante o non valida",IF(YEAR(A1700)&lt;&gt;Impostazioni!$C$4,"Fuori dall'anno",IF(C1700="","Manca la categoria",IF(ISNA(MATCH(C1700,Categorie!$A$6:$A$65,0)),"Categoria non trovata",IF(G1700="","Categoria senza tipo",""))))))))</f>
        <v/>
      </c>
    </row>
    <row r="1701">
      <c r="A1701" s="29" t="n"/>
      <c r="B1701" s="17" t="n"/>
      <c r="C1701" s="17" t="n"/>
      <c r="D1701" s="16" t="n"/>
      <c r="E1701" s="30" t="n"/>
      <c r="F1701" s="17" t="n"/>
      <c r="G1701" s="31">
        <f>IF(C1701="","",IFERROR(INDEX(Categorie!$B$6:$B$65,MATCH(C1701,Categorie!$A$6:$A$65,0))&amp;"",""))</f>
        <v/>
      </c>
      <c r="H1701" s="32">
        <f>IF(AND(A1701="",C1701="",D1701=""),"",IF(D1701="","Manca l'importo",IF(NOT(ISNUMBER(D1701)),"Importo non valido",IF(NOT(ISNUMBER(A1701)),"Data mancante o non valida",IF(YEAR(A1701)&lt;&gt;Impostazioni!$C$4,"Fuori dall'anno",IF(C1701="","Manca la categoria",IF(ISNA(MATCH(C1701,Categorie!$A$6:$A$65,0)),"Categoria non trovata",IF(G1701="","Categoria senza tipo",""))))))))</f>
        <v/>
      </c>
    </row>
    <row r="1702">
      <c r="A1702" s="29" t="n"/>
      <c r="B1702" s="17" t="n"/>
      <c r="C1702" s="17" t="n"/>
      <c r="D1702" s="16" t="n"/>
      <c r="E1702" s="30" t="n"/>
      <c r="F1702" s="17" t="n"/>
      <c r="G1702" s="31">
        <f>IF(C1702="","",IFERROR(INDEX(Categorie!$B$6:$B$65,MATCH(C1702,Categorie!$A$6:$A$65,0))&amp;"",""))</f>
        <v/>
      </c>
      <c r="H1702" s="32">
        <f>IF(AND(A1702="",C1702="",D1702=""),"",IF(D1702="","Manca l'importo",IF(NOT(ISNUMBER(D1702)),"Importo non valido",IF(NOT(ISNUMBER(A1702)),"Data mancante o non valida",IF(YEAR(A1702)&lt;&gt;Impostazioni!$C$4,"Fuori dall'anno",IF(C1702="","Manca la categoria",IF(ISNA(MATCH(C1702,Categorie!$A$6:$A$65,0)),"Categoria non trovata",IF(G1702="","Categoria senza tipo",""))))))))</f>
        <v/>
      </c>
    </row>
    <row r="1703">
      <c r="A1703" s="29" t="n"/>
      <c r="B1703" s="17" t="n"/>
      <c r="C1703" s="17" t="n"/>
      <c r="D1703" s="16" t="n"/>
      <c r="E1703" s="30" t="n"/>
      <c r="F1703" s="17" t="n"/>
      <c r="G1703" s="31">
        <f>IF(C1703="","",IFERROR(INDEX(Categorie!$B$6:$B$65,MATCH(C1703,Categorie!$A$6:$A$65,0))&amp;"",""))</f>
        <v/>
      </c>
      <c r="H1703" s="32">
        <f>IF(AND(A1703="",C1703="",D1703=""),"",IF(D1703="","Manca l'importo",IF(NOT(ISNUMBER(D1703)),"Importo non valido",IF(NOT(ISNUMBER(A1703)),"Data mancante o non valida",IF(YEAR(A1703)&lt;&gt;Impostazioni!$C$4,"Fuori dall'anno",IF(C1703="","Manca la categoria",IF(ISNA(MATCH(C1703,Categorie!$A$6:$A$65,0)),"Categoria non trovata",IF(G1703="","Categoria senza tipo",""))))))))</f>
        <v/>
      </c>
    </row>
    <row r="1704">
      <c r="A1704" s="29" t="n"/>
      <c r="B1704" s="17" t="n"/>
      <c r="C1704" s="17" t="n"/>
      <c r="D1704" s="16" t="n"/>
      <c r="E1704" s="30" t="n"/>
      <c r="F1704" s="17" t="n"/>
      <c r="G1704" s="31">
        <f>IF(C1704="","",IFERROR(INDEX(Categorie!$B$6:$B$65,MATCH(C1704,Categorie!$A$6:$A$65,0))&amp;"",""))</f>
        <v/>
      </c>
      <c r="H1704" s="32">
        <f>IF(AND(A1704="",C1704="",D1704=""),"",IF(D1704="","Manca l'importo",IF(NOT(ISNUMBER(D1704)),"Importo non valido",IF(NOT(ISNUMBER(A1704)),"Data mancante o non valida",IF(YEAR(A1704)&lt;&gt;Impostazioni!$C$4,"Fuori dall'anno",IF(C1704="","Manca la categoria",IF(ISNA(MATCH(C1704,Categorie!$A$6:$A$65,0)),"Categoria non trovata",IF(G1704="","Categoria senza tipo",""))))))))</f>
        <v/>
      </c>
    </row>
    <row r="1705">
      <c r="A1705" s="29" t="n"/>
      <c r="B1705" s="17" t="n"/>
      <c r="C1705" s="17" t="n"/>
      <c r="D1705" s="16" t="n"/>
      <c r="E1705" s="30" t="n"/>
      <c r="F1705" s="17" t="n"/>
      <c r="G1705" s="31">
        <f>IF(C1705="","",IFERROR(INDEX(Categorie!$B$6:$B$65,MATCH(C1705,Categorie!$A$6:$A$65,0))&amp;"",""))</f>
        <v/>
      </c>
      <c r="H1705" s="32">
        <f>IF(AND(A1705="",C1705="",D1705=""),"",IF(D1705="","Manca l'importo",IF(NOT(ISNUMBER(D1705)),"Importo non valido",IF(NOT(ISNUMBER(A1705)),"Data mancante o non valida",IF(YEAR(A1705)&lt;&gt;Impostazioni!$C$4,"Fuori dall'anno",IF(C1705="","Manca la categoria",IF(ISNA(MATCH(C1705,Categorie!$A$6:$A$65,0)),"Categoria non trovata",IF(G1705="","Categoria senza tipo",""))))))))</f>
        <v/>
      </c>
    </row>
    <row r="1706">
      <c r="A1706" s="29" t="n"/>
      <c r="B1706" s="17" t="n"/>
      <c r="C1706" s="17" t="n"/>
      <c r="D1706" s="16" t="n"/>
      <c r="E1706" s="30" t="n"/>
      <c r="F1706" s="17" t="n"/>
      <c r="G1706" s="31">
        <f>IF(C1706="","",IFERROR(INDEX(Categorie!$B$6:$B$65,MATCH(C1706,Categorie!$A$6:$A$65,0))&amp;"",""))</f>
        <v/>
      </c>
      <c r="H1706" s="32">
        <f>IF(AND(A1706="",C1706="",D1706=""),"",IF(D1706="","Manca l'importo",IF(NOT(ISNUMBER(D1706)),"Importo non valido",IF(NOT(ISNUMBER(A1706)),"Data mancante o non valida",IF(YEAR(A1706)&lt;&gt;Impostazioni!$C$4,"Fuori dall'anno",IF(C1706="","Manca la categoria",IF(ISNA(MATCH(C1706,Categorie!$A$6:$A$65,0)),"Categoria non trovata",IF(G1706="","Categoria senza tipo",""))))))))</f>
        <v/>
      </c>
    </row>
    <row r="1707">
      <c r="A1707" s="29" t="n"/>
      <c r="B1707" s="17" t="n"/>
      <c r="C1707" s="17" t="n"/>
      <c r="D1707" s="16" t="n"/>
      <c r="E1707" s="30" t="n"/>
      <c r="F1707" s="17" t="n"/>
      <c r="G1707" s="31">
        <f>IF(C1707="","",IFERROR(INDEX(Categorie!$B$6:$B$65,MATCH(C1707,Categorie!$A$6:$A$65,0))&amp;"",""))</f>
        <v/>
      </c>
      <c r="H1707" s="32">
        <f>IF(AND(A1707="",C1707="",D1707=""),"",IF(D1707="","Manca l'importo",IF(NOT(ISNUMBER(D1707)),"Importo non valido",IF(NOT(ISNUMBER(A1707)),"Data mancante o non valida",IF(YEAR(A1707)&lt;&gt;Impostazioni!$C$4,"Fuori dall'anno",IF(C1707="","Manca la categoria",IF(ISNA(MATCH(C1707,Categorie!$A$6:$A$65,0)),"Categoria non trovata",IF(G1707="","Categoria senza tipo",""))))))))</f>
        <v/>
      </c>
    </row>
    <row r="1708">
      <c r="A1708" s="29" t="n"/>
      <c r="B1708" s="17" t="n"/>
      <c r="C1708" s="17" t="n"/>
      <c r="D1708" s="16" t="n"/>
      <c r="E1708" s="30" t="n"/>
      <c r="F1708" s="17" t="n"/>
      <c r="G1708" s="31">
        <f>IF(C1708="","",IFERROR(INDEX(Categorie!$B$6:$B$65,MATCH(C1708,Categorie!$A$6:$A$65,0))&amp;"",""))</f>
        <v/>
      </c>
      <c r="H1708" s="32">
        <f>IF(AND(A1708="",C1708="",D1708=""),"",IF(D1708="","Manca l'importo",IF(NOT(ISNUMBER(D1708)),"Importo non valido",IF(NOT(ISNUMBER(A1708)),"Data mancante o non valida",IF(YEAR(A1708)&lt;&gt;Impostazioni!$C$4,"Fuori dall'anno",IF(C1708="","Manca la categoria",IF(ISNA(MATCH(C1708,Categorie!$A$6:$A$65,0)),"Categoria non trovata",IF(G1708="","Categoria senza tipo",""))))))))</f>
        <v/>
      </c>
    </row>
    <row r="1709">
      <c r="A1709" s="29" t="n"/>
      <c r="B1709" s="17" t="n"/>
      <c r="C1709" s="17" t="n"/>
      <c r="D1709" s="16" t="n"/>
      <c r="E1709" s="30" t="n"/>
      <c r="F1709" s="17" t="n"/>
      <c r="G1709" s="31">
        <f>IF(C1709="","",IFERROR(INDEX(Categorie!$B$6:$B$65,MATCH(C1709,Categorie!$A$6:$A$65,0))&amp;"",""))</f>
        <v/>
      </c>
      <c r="H1709" s="32">
        <f>IF(AND(A1709="",C1709="",D1709=""),"",IF(D1709="","Manca l'importo",IF(NOT(ISNUMBER(D1709)),"Importo non valido",IF(NOT(ISNUMBER(A1709)),"Data mancante o non valida",IF(YEAR(A1709)&lt;&gt;Impostazioni!$C$4,"Fuori dall'anno",IF(C1709="","Manca la categoria",IF(ISNA(MATCH(C1709,Categorie!$A$6:$A$65,0)),"Categoria non trovata",IF(G1709="","Categoria senza tipo",""))))))))</f>
        <v/>
      </c>
    </row>
    <row r="1710">
      <c r="A1710" s="29" t="n"/>
      <c r="B1710" s="17" t="n"/>
      <c r="C1710" s="17" t="n"/>
      <c r="D1710" s="16" t="n"/>
      <c r="E1710" s="30" t="n"/>
      <c r="F1710" s="17" t="n"/>
      <c r="G1710" s="31">
        <f>IF(C1710="","",IFERROR(INDEX(Categorie!$B$6:$B$65,MATCH(C1710,Categorie!$A$6:$A$65,0))&amp;"",""))</f>
        <v/>
      </c>
      <c r="H1710" s="32">
        <f>IF(AND(A1710="",C1710="",D1710=""),"",IF(D1710="","Manca l'importo",IF(NOT(ISNUMBER(D1710)),"Importo non valido",IF(NOT(ISNUMBER(A1710)),"Data mancante o non valida",IF(YEAR(A1710)&lt;&gt;Impostazioni!$C$4,"Fuori dall'anno",IF(C1710="","Manca la categoria",IF(ISNA(MATCH(C1710,Categorie!$A$6:$A$65,0)),"Categoria non trovata",IF(G1710="","Categoria senza tipo",""))))))))</f>
        <v/>
      </c>
    </row>
    <row r="1711">
      <c r="A1711" s="29" t="n"/>
      <c r="B1711" s="17" t="n"/>
      <c r="C1711" s="17" t="n"/>
      <c r="D1711" s="16" t="n"/>
      <c r="E1711" s="30" t="n"/>
      <c r="F1711" s="17" t="n"/>
      <c r="G1711" s="31">
        <f>IF(C1711="","",IFERROR(INDEX(Categorie!$B$6:$B$65,MATCH(C1711,Categorie!$A$6:$A$65,0))&amp;"",""))</f>
        <v/>
      </c>
      <c r="H1711" s="32">
        <f>IF(AND(A1711="",C1711="",D1711=""),"",IF(D1711="","Manca l'importo",IF(NOT(ISNUMBER(D1711)),"Importo non valido",IF(NOT(ISNUMBER(A1711)),"Data mancante o non valida",IF(YEAR(A1711)&lt;&gt;Impostazioni!$C$4,"Fuori dall'anno",IF(C1711="","Manca la categoria",IF(ISNA(MATCH(C1711,Categorie!$A$6:$A$65,0)),"Categoria non trovata",IF(G1711="","Categoria senza tipo",""))))))))</f>
        <v/>
      </c>
    </row>
    <row r="1712">
      <c r="A1712" s="29" t="n"/>
      <c r="B1712" s="17" t="n"/>
      <c r="C1712" s="17" t="n"/>
      <c r="D1712" s="16" t="n"/>
      <c r="E1712" s="30" t="n"/>
      <c r="F1712" s="17" t="n"/>
      <c r="G1712" s="31">
        <f>IF(C1712="","",IFERROR(INDEX(Categorie!$B$6:$B$65,MATCH(C1712,Categorie!$A$6:$A$65,0))&amp;"",""))</f>
        <v/>
      </c>
      <c r="H1712" s="32">
        <f>IF(AND(A1712="",C1712="",D1712=""),"",IF(D1712="","Manca l'importo",IF(NOT(ISNUMBER(D1712)),"Importo non valido",IF(NOT(ISNUMBER(A1712)),"Data mancante o non valida",IF(YEAR(A1712)&lt;&gt;Impostazioni!$C$4,"Fuori dall'anno",IF(C1712="","Manca la categoria",IF(ISNA(MATCH(C1712,Categorie!$A$6:$A$65,0)),"Categoria non trovata",IF(G1712="","Categoria senza tipo",""))))))))</f>
        <v/>
      </c>
    </row>
    <row r="1713">
      <c r="A1713" s="29" t="n"/>
      <c r="B1713" s="17" t="n"/>
      <c r="C1713" s="17" t="n"/>
      <c r="D1713" s="16" t="n"/>
      <c r="E1713" s="30" t="n"/>
      <c r="F1713" s="17" t="n"/>
      <c r="G1713" s="31">
        <f>IF(C1713="","",IFERROR(INDEX(Categorie!$B$6:$B$65,MATCH(C1713,Categorie!$A$6:$A$65,0))&amp;"",""))</f>
        <v/>
      </c>
      <c r="H1713" s="32">
        <f>IF(AND(A1713="",C1713="",D1713=""),"",IF(D1713="","Manca l'importo",IF(NOT(ISNUMBER(D1713)),"Importo non valido",IF(NOT(ISNUMBER(A1713)),"Data mancante o non valida",IF(YEAR(A1713)&lt;&gt;Impostazioni!$C$4,"Fuori dall'anno",IF(C1713="","Manca la categoria",IF(ISNA(MATCH(C1713,Categorie!$A$6:$A$65,0)),"Categoria non trovata",IF(G1713="","Categoria senza tipo",""))))))))</f>
        <v/>
      </c>
    </row>
    <row r="1714">
      <c r="A1714" s="29" t="n"/>
      <c r="B1714" s="17" t="n"/>
      <c r="C1714" s="17" t="n"/>
      <c r="D1714" s="16" t="n"/>
      <c r="E1714" s="30" t="n"/>
      <c r="F1714" s="17" t="n"/>
      <c r="G1714" s="31">
        <f>IF(C1714="","",IFERROR(INDEX(Categorie!$B$6:$B$65,MATCH(C1714,Categorie!$A$6:$A$65,0))&amp;"",""))</f>
        <v/>
      </c>
      <c r="H1714" s="32">
        <f>IF(AND(A1714="",C1714="",D1714=""),"",IF(D1714="","Manca l'importo",IF(NOT(ISNUMBER(D1714)),"Importo non valido",IF(NOT(ISNUMBER(A1714)),"Data mancante o non valida",IF(YEAR(A1714)&lt;&gt;Impostazioni!$C$4,"Fuori dall'anno",IF(C1714="","Manca la categoria",IF(ISNA(MATCH(C1714,Categorie!$A$6:$A$65,0)),"Categoria non trovata",IF(G1714="","Categoria senza tipo",""))))))))</f>
        <v/>
      </c>
    </row>
    <row r="1715">
      <c r="A1715" s="29" t="n"/>
      <c r="B1715" s="17" t="n"/>
      <c r="C1715" s="17" t="n"/>
      <c r="D1715" s="16" t="n"/>
      <c r="E1715" s="30" t="n"/>
      <c r="F1715" s="17" t="n"/>
      <c r="G1715" s="31">
        <f>IF(C1715="","",IFERROR(INDEX(Categorie!$B$6:$B$65,MATCH(C1715,Categorie!$A$6:$A$65,0))&amp;"",""))</f>
        <v/>
      </c>
      <c r="H1715" s="32">
        <f>IF(AND(A1715="",C1715="",D1715=""),"",IF(D1715="","Manca l'importo",IF(NOT(ISNUMBER(D1715)),"Importo non valido",IF(NOT(ISNUMBER(A1715)),"Data mancante o non valida",IF(YEAR(A1715)&lt;&gt;Impostazioni!$C$4,"Fuori dall'anno",IF(C1715="","Manca la categoria",IF(ISNA(MATCH(C1715,Categorie!$A$6:$A$65,0)),"Categoria non trovata",IF(G1715="","Categoria senza tipo",""))))))))</f>
        <v/>
      </c>
    </row>
    <row r="1716">
      <c r="A1716" s="29" t="n"/>
      <c r="B1716" s="17" t="n"/>
      <c r="C1716" s="17" t="n"/>
      <c r="D1716" s="16" t="n"/>
      <c r="E1716" s="30" t="n"/>
      <c r="F1716" s="17" t="n"/>
      <c r="G1716" s="31">
        <f>IF(C1716="","",IFERROR(INDEX(Categorie!$B$6:$B$65,MATCH(C1716,Categorie!$A$6:$A$65,0))&amp;"",""))</f>
        <v/>
      </c>
      <c r="H1716" s="32">
        <f>IF(AND(A1716="",C1716="",D1716=""),"",IF(D1716="","Manca l'importo",IF(NOT(ISNUMBER(D1716)),"Importo non valido",IF(NOT(ISNUMBER(A1716)),"Data mancante o non valida",IF(YEAR(A1716)&lt;&gt;Impostazioni!$C$4,"Fuori dall'anno",IF(C1716="","Manca la categoria",IF(ISNA(MATCH(C1716,Categorie!$A$6:$A$65,0)),"Categoria non trovata",IF(G1716="","Categoria senza tipo",""))))))))</f>
        <v/>
      </c>
    </row>
    <row r="1717">
      <c r="A1717" s="29" t="n"/>
      <c r="B1717" s="17" t="n"/>
      <c r="C1717" s="17" t="n"/>
      <c r="D1717" s="16" t="n"/>
      <c r="E1717" s="30" t="n"/>
      <c r="F1717" s="17" t="n"/>
      <c r="G1717" s="31">
        <f>IF(C1717="","",IFERROR(INDEX(Categorie!$B$6:$B$65,MATCH(C1717,Categorie!$A$6:$A$65,0))&amp;"",""))</f>
        <v/>
      </c>
      <c r="H1717" s="32">
        <f>IF(AND(A1717="",C1717="",D1717=""),"",IF(D1717="","Manca l'importo",IF(NOT(ISNUMBER(D1717)),"Importo non valido",IF(NOT(ISNUMBER(A1717)),"Data mancante o non valida",IF(YEAR(A1717)&lt;&gt;Impostazioni!$C$4,"Fuori dall'anno",IF(C1717="","Manca la categoria",IF(ISNA(MATCH(C1717,Categorie!$A$6:$A$65,0)),"Categoria non trovata",IF(G1717="","Categoria senza tipo",""))))))))</f>
        <v/>
      </c>
    </row>
    <row r="1718">
      <c r="A1718" s="29" t="n"/>
      <c r="B1718" s="17" t="n"/>
      <c r="C1718" s="17" t="n"/>
      <c r="D1718" s="16" t="n"/>
      <c r="E1718" s="30" t="n"/>
      <c r="F1718" s="17" t="n"/>
      <c r="G1718" s="31">
        <f>IF(C1718="","",IFERROR(INDEX(Categorie!$B$6:$B$65,MATCH(C1718,Categorie!$A$6:$A$65,0))&amp;"",""))</f>
        <v/>
      </c>
      <c r="H1718" s="32">
        <f>IF(AND(A1718="",C1718="",D1718=""),"",IF(D1718="","Manca l'importo",IF(NOT(ISNUMBER(D1718)),"Importo non valido",IF(NOT(ISNUMBER(A1718)),"Data mancante o non valida",IF(YEAR(A1718)&lt;&gt;Impostazioni!$C$4,"Fuori dall'anno",IF(C1718="","Manca la categoria",IF(ISNA(MATCH(C1718,Categorie!$A$6:$A$65,0)),"Categoria non trovata",IF(G1718="","Categoria senza tipo",""))))))))</f>
        <v/>
      </c>
    </row>
    <row r="1719">
      <c r="A1719" s="29" t="n"/>
      <c r="B1719" s="17" t="n"/>
      <c r="C1719" s="17" t="n"/>
      <c r="D1719" s="16" t="n"/>
      <c r="E1719" s="30" t="n"/>
      <c r="F1719" s="17" t="n"/>
      <c r="G1719" s="31">
        <f>IF(C1719="","",IFERROR(INDEX(Categorie!$B$6:$B$65,MATCH(C1719,Categorie!$A$6:$A$65,0))&amp;"",""))</f>
        <v/>
      </c>
      <c r="H1719" s="32">
        <f>IF(AND(A1719="",C1719="",D1719=""),"",IF(D1719="","Manca l'importo",IF(NOT(ISNUMBER(D1719)),"Importo non valido",IF(NOT(ISNUMBER(A1719)),"Data mancante o non valida",IF(YEAR(A1719)&lt;&gt;Impostazioni!$C$4,"Fuori dall'anno",IF(C1719="","Manca la categoria",IF(ISNA(MATCH(C1719,Categorie!$A$6:$A$65,0)),"Categoria non trovata",IF(G1719="","Categoria senza tipo",""))))))))</f>
        <v/>
      </c>
    </row>
    <row r="1720">
      <c r="A1720" s="29" t="n"/>
      <c r="B1720" s="17" t="n"/>
      <c r="C1720" s="17" t="n"/>
      <c r="D1720" s="16" t="n"/>
      <c r="E1720" s="30" t="n"/>
      <c r="F1720" s="17" t="n"/>
      <c r="G1720" s="31">
        <f>IF(C1720="","",IFERROR(INDEX(Categorie!$B$6:$B$65,MATCH(C1720,Categorie!$A$6:$A$65,0))&amp;"",""))</f>
        <v/>
      </c>
      <c r="H1720" s="32">
        <f>IF(AND(A1720="",C1720="",D1720=""),"",IF(D1720="","Manca l'importo",IF(NOT(ISNUMBER(D1720)),"Importo non valido",IF(NOT(ISNUMBER(A1720)),"Data mancante o non valida",IF(YEAR(A1720)&lt;&gt;Impostazioni!$C$4,"Fuori dall'anno",IF(C1720="","Manca la categoria",IF(ISNA(MATCH(C1720,Categorie!$A$6:$A$65,0)),"Categoria non trovata",IF(G1720="","Categoria senza tipo",""))))))))</f>
        <v/>
      </c>
    </row>
    <row r="1721">
      <c r="A1721" s="29" t="n"/>
      <c r="B1721" s="17" t="n"/>
      <c r="C1721" s="17" t="n"/>
      <c r="D1721" s="16" t="n"/>
      <c r="E1721" s="30" t="n"/>
      <c r="F1721" s="17" t="n"/>
      <c r="G1721" s="31">
        <f>IF(C1721="","",IFERROR(INDEX(Categorie!$B$6:$B$65,MATCH(C1721,Categorie!$A$6:$A$65,0))&amp;"",""))</f>
        <v/>
      </c>
      <c r="H1721" s="32">
        <f>IF(AND(A1721="",C1721="",D1721=""),"",IF(D1721="","Manca l'importo",IF(NOT(ISNUMBER(D1721)),"Importo non valido",IF(NOT(ISNUMBER(A1721)),"Data mancante o non valida",IF(YEAR(A1721)&lt;&gt;Impostazioni!$C$4,"Fuori dall'anno",IF(C1721="","Manca la categoria",IF(ISNA(MATCH(C1721,Categorie!$A$6:$A$65,0)),"Categoria non trovata",IF(G1721="","Categoria senza tipo",""))))))))</f>
        <v/>
      </c>
    </row>
    <row r="1722">
      <c r="A1722" s="29" t="n"/>
      <c r="B1722" s="17" t="n"/>
      <c r="C1722" s="17" t="n"/>
      <c r="D1722" s="16" t="n"/>
      <c r="E1722" s="30" t="n"/>
      <c r="F1722" s="17" t="n"/>
      <c r="G1722" s="31">
        <f>IF(C1722="","",IFERROR(INDEX(Categorie!$B$6:$B$65,MATCH(C1722,Categorie!$A$6:$A$65,0))&amp;"",""))</f>
        <v/>
      </c>
      <c r="H1722" s="32">
        <f>IF(AND(A1722="",C1722="",D1722=""),"",IF(D1722="","Manca l'importo",IF(NOT(ISNUMBER(D1722)),"Importo non valido",IF(NOT(ISNUMBER(A1722)),"Data mancante o non valida",IF(YEAR(A1722)&lt;&gt;Impostazioni!$C$4,"Fuori dall'anno",IF(C1722="","Manca la categoria",IF(ISNA(MATCH(C1722,Categorie!$A$6:$A$65,0)),"Categoria non trovata",IF(G1722="","Categoria senza tipo",""))))))))</f>
        <v/>
      </c>
    </row>
    <row r="1723">
      <c r="A1723" s="29" t="n"/>
      <c r="B1723" s="17" t="n"/>
      <c r="C1723" s="17" t="n"/>
      <c r="D1723" s="16" t="n"/>
      <c r="E1723" s="30" t="n"/>
      <c r="F1723" s="17" t="n"/>
      <c r="G1723" s="31">
        <f>IF(C1723="","",IFERROR(INDEX(Categorie!$B$6:$B$65,MATCH(C1723,Categorie!$A$6:$A$65,0))&amp;"",""))</f>
        <v/>
      </c>
      <c r="H1723" s="32">
        <f>IF(AND(A1723="",C1723="",D1723=""),"",IF(D1723="","Manca l'importo",IF(NOT(ISNUMBER(D1723)),"Importo non valido",IF(NOT(ISNUMBER(A1723)),"Data mancante o non valida",IF(YEAR(A1723)&lt;&gt;Impostazioni!$C$4,"Fuori dall'anno",IF(C1723="","Manca la categoria",IF(ISNA(MATCH(C1723,Categorie!$A$6:$A$65,0)),"Categoria non trovata",IF(G1723="","Categoria senza tipo",""))))))))</f>
        <v/>
      </c>
    </row>
    <row r="1724">
      <c r="A1724" s="29" t="n"/>
      <c r="B1724" s="17" t="n"/>
      <c r="C1724" s="17" t="n"/>
      <c r="D1724" s="16" t="n"/>
      <c r="E1724" s="30" t="n"/>
      <c r="F1724" s="17" t="n"/>
      <c r="G1724" s="31">
        <f>IF(C1724="","",IFERROR(INDEX(Categorie!$B$6:$B$65,MATCH(C1724,Categorie!$A$6:$A$65,0))&amp;"",""))</f>
        <v/>
      </c>
      <c r="H1724" s="32">
        <f>IF(AND(A1724="",C1724="",D1724=""),"",IF(D1724="","Manca l'importo",IF(NOT(ISNUMBER(D1724)),"Importo non valido",IF(NOT(ISNUMBER(A1724)),"Data mancante o non valida",IF(YEAR(A1724)&lt;&gt;Impostazioni!$C$4,"Fuori dall'anno",IF(C1724="","Manca la categoria",IF(ISNA(MATCH(C1724,Categorie!$A$6:$A$65,0)),"Categoria non trovata",IF(G1724="","Categoria senza tipo",""))))))))</f>
        <v/>
      </c>
    </row>
    <row r="1725">
      <c r="A1725" s="29" t="n"/>
      <c r="B1725" s="17" t="n"/>
      <c r="C1725" s="17" t="n"/>
      <c r="D1725" s="16" t="n"/>
      <c r="E1725" s="30" t="n"/>
      <c r="F1725" s="17" t="n"/>
      <c r="G1725" s="31">
        <f>IF(C1725="","",IFERROR(INDEX(Categorie!$B$6:$B$65,MATCH(C1725,Categorie!$A$6:$A$65,0))&amp;"",""))</f>
        <v/>
      </c>
      <c r="H1725" s="32">
        <f>IF(AND(A1725="",C1725="",D1725=""),"",IF(D1725="","Manca l'importo",IF(NOT(ISNUMBER(D1725)),"Importo non valido",IF(NOT(ISNUMBER(A1725)),"Data mancante o non valida",IF(YEAR(A1725)&lt;&gt;Impostazioni!$C$4,"Fuori dall'anno",IF(C1725="","Manca la categoria",IF(ISNA(MATCH(C1725,Categorie!$A$6:$A$65,0)),"Categoria non trovata",IF(G1725="","Categoria senza tipo",""))))))))</f>
        <v/>
      </c>
    </row>
    <row r="1726">
      <c r="A1726" s="29" t="n"/>
      <c r="B1726" s="17" t="n"/>
      <c r="C1726" s="17" t="n"/>
      <c r="D1726" s="16" t="n"/>
      <c r="E1726" s="30" t="n"/>
      <c r="F1726" s="17" t="n"/>
      <c r="G1726" s="31">
        <f>IF(C1726="","",IFERROR(INDEX(Categorie!$B$6:$B$65,MATCH(C1726,Categorie!$A$6:$A$65,0))&amp;"",""))</f>
        <v/>
      </c>
      <c r="H1726" s="32">
        <f>IF(AND(A1726="",C1726="",D1726=""),"",IF(D1726="","Manca l'importo",IF(NOT(ISNUMBER(D1726)),"Importo non valido",IF(NOT(ISNUMBER(A1726)),"Data mancante o non valida",IF(YEAR(A1726)&lt;&gt;Impostazioni!$C$4,"Fuori dall'anno",IF(C1726="","Manca la categoria",IF(ISNA(MATCH(C1726,Categorie!$A$6:$A$65,0)),"Categoria non trovata",IF(G1726="","Categoria senza tipo",""))))))))</f>
        <v/>
      </c>
    </row>
    <row r="1727">
      <c r="A1727" s="29" t="n"/>
      <c r="B1727" s="17" t="n"/>
      <c r="C1727" s="17" t="n"/>
      <c r="D1727" s="16" t="n"/>
      <c r="E1727" s="30" t="n"/>
      <c r="F1727" s="17" t="n"/>
      <c r="G1727" s="31">
        <f>IF(C1727="","",IFERROR(INDEX(Categorie!$B$6:$B$65,MATCH(C1727,Categorie!$A$6:$A$65,0))&amp;"",""))</f>
        <v/>
      </c>
      <c r="H1727" s="32">
        <f>IF(AND(A1727="",C1727="",D1727=""),"",IF(D1727="","Manca l'importo",IF(NOT(ISNUMBER(D1727)),"Importo non valido",IF(NOT(ISNUMBER(A1727)),"Data mancante o non valida",IF(YEAR(A1727)&lt;&gt;Impostazioni!$C$4,"Fuori dall'anno",IF(C1727="","Manca la categoria",IF(ISNA(MATCH(C1727,Categorie!$A$6:$A$65,0)),"Categoria non trovata",IF(G1727="","Categoria senza tipo",""))))))))</f>
        <v/>
      </c>
    </row>
    <row r="1728">
      <c r="A1728" s="29" t="n"/>
      <c r="B1728" s="17" t="n"/>
      <c r="C1728" s="17" t="n"/>
      <c r="D1728" s="16" t="n"/>
      <c r="E1728" s="30" t="n"/>
      <c r="F1728" s="17" t="n"/>
      <c r="G1728" s="31">
        <f>IF(C1728="","",IFERROR(INDEX(Categorie!$B$6:$B$65,MATCH(C1728,Categorie!$A$6:$A$65,0))&amp;"",""))</f>
        <v/>
      </c>
      <c r="H1728" s="32">
        <f>IF(AND(A1728="",C1728="",D1728=""),"",IF(D1728="","Manca l'importo",IF(NOT(ISNUMBER(D1728)),"Importo non valido",IF(NOT(ISNUMBER(A1728)),"Data mancante o non valida",IF(YEAR(A1728)&lt;&gt;Impostazioni!$C$4,"Fuori dall'anno",IF(C1728="","Manca la categoria",IF(ISNA(MATCH(C1728,Categorie!$A$6:$A$65,0)),"Categoria non trovata",IF(G1728="","Categoria senza tipo",""))))))))</f>
        <v/>
      </c>
    </row>
    <row r="1729">
      <c r="A1729" s="29" t="n"/>
      <c r="B1729" s="17" t="n"/>
      <c r="C1729" s="17" t="n"/>
      <c r="D1729" s="16" t="n"/>
      <c r="E1729" s="30" t="n"/>
      <c r="F1729" s="17" t="n"/>
      <c r="G1729" s="31">
        <f>IF(C1729="","",IFERROR(INDEX(Categorie!$B$6:$B$65,MATCH(C1729,Categorie!$A$6:$A$65,0))&amp;"",""))</f>
        <v/>
      </c>
      <c r="H1729" s="32">
        <f>IF(AND(A1729="",C1729="",D1729=""),"",IF(D1729="","Manca l'importo",IF(NOT(ISNUMBER(D1729)),"Importo non valido",IF(NOT(ISNUMBER(A1729)),"Data mancante o non valida",IF(YEAR(A1729)&lt;&gt;Impostazioni!$C$4,"Fuori dall'anno",IF(C1729="","Manca la categoria",IF(ISNA(MATCH(C1729,Categorie!$A$6:$A$65,0)),"Categoria non trovata",IF(G1729="","Categoria senza tipo",""))))))))</f>
        <v/>
      </c>
    </row>
    <row r="1730">
      <c r="A1730" s="29" t="n"/>
      <c r="B1730" s="17" t="n"/>
      <c r="C1730" s="17" t="n"/>
      <c r="D1730" s="16" t="n"/>
      <c r="E1730" s="30" t="n"/>
      <c r="F1730" s="17" t="n"/>
      <c r="G1730" s="31">
        <f>IF(C1730="","",IFERROR(INDEX(Categorie!$B$6:$B$65,MATCH(C1730,Categorie!$A$6:$A$65,0))&amp;"",""))</f>
        <v/>
      </c>
      <c r="H1730" s="32">
        <f>IF(AND(A1730="",C1730="",D1730=""),"",IF(D1730="","Manca l'importo",IF(NOT(ISNUMBER(D1730)),"Importo non valido",IF(NOT(ISNUMBER(A1730)),"Data mancante o non valida",IF(YEAR(A1730)&lt;&gt;Impostazioni!$C$4,"Fuori dall'anno",IF(C1730="","Manca la categoria",IF(ISNA(MATCH(C1730,Categorie!$A$6:$A$65,0)),"Categoria non trovata",IF(G1730="","Categoria senza tipo",""))))))))</f>
        <v/>
      </c>
    </row>
    <row r="1731">
      <c r="A1731" s="29" t="n"/>
      <c r="B1731" s="17" t="n"/>
      <c r="C1731" s="17" t="n"/>
      <c r="D1731" s="16" t="n"/>
      <c r="E1731" s="30" t="n"/>
      <c r="F1731" s="17" t="n"/>
      <c r="G1731" s="31">
        <f>IF(C1731="","",IFERROR(INDEX(Categorie!$B$6:$B$65,MATCH(C1731,Categorie!$A$6:$A$65,0))&amp;"",""))</f>
        <v/>
      </c>
      <c r="H1731" s="32">
        <f>IF(AND(A1731="",C1731="",D1731=""),"",IF(D1731="","Manca l'importo",IF(NOT(ISNUMBER(D1731)),"Importo non valido",IF(NOT(ISNUMBER(A1731)),"Data mancante o non valida",IF(YEAR(A1731)&lt;&gt;Impostazioni!$C$4,"Fuori dall'anno",IF(C1731="","Manca la categoria",IF(ISNA(MATCH(C1731,Categorie!$A$6:$A$65,0)),"Categoria non trovata",IF(G1731="","Categoria senza tipo",""))))))))</f>
        <v/>
      </c>
    </row>
    <row r="1732">
      <c r="A1732" s="29" t="n"/>
      <c r="B1732" s="17" t="n"/>
      <c r="C1732" s="17" t="n"/>
      <c r="D1732" s="16" t="n"/>
      <c r="E1732" s="30" t="n"/>
      <c r="F1732" s="17" t="n"/>
      <c r="G1732" s="31">
        <f>IF(C1732="","",IFERROR(INDEX(Categorie!$B$6:$B$65,MATCH(C1732,Categorie!$A$6:$A$65,0))&amp;"",""))</f>
        <v/>
      </c>
      <c r="H1732" s="32">
        <f>IF(AND(A1732="",C1732="",D1732=""),"",IF(D1732="","Manca l'importo",IF(NOT(ISNUMBER(D1732)),"Importo non valido",IF(NOT(ISNUMBER(A1732)),"Data mancante o non valida",IF(YEAR(A1732)&lt;&gt;Impostazioni!$C$4,"Fuori dall'anno",IF(C1732="","Manca la categoria",IF(ISNA(MATCH(C1732,Categorie!$A$6:$A$65,0)),"Categoria non trovata",IF(G1732="","Categoria senza tipo",""))))))))</f>
        <v/>
      </c>
    </row>
    <row r="1733">
      <c r="A1733" s="29" t="n"/>
      <c r="B1733" s="17" t="n"/>
      <c r="C1733" s="17" t="n"/>
      <c r="D1733" s="16" t="n"/>
      <c r="E1733" s="30" t="n"/>
      <c r="F1733" s="17" t="n"/>
      <c r="G1733" s="31">
        <f>IF(C1733="","",IFERROR(INDEX(Categorie!$B$6:$B$65,MATCH(C1733,Categorie!$A$6:$A$65,0))&amp;"",""))</f>
        <v/>
      </c>
      <c r="H1733" s="32">
        <f>IF(AND(A1733="",C1733="",D1733=""),"",IF(D1733="","Manca l'importo",IF(NOT(ISNUMBER(D1733)),"Importo non valido",IF(NOT(ISNUMBER(A1733)),"Data mancante o non valida",IF(YEAR(A1733)&lt;&gt;Impostazioni!$C$4,"Fuori dall'anno",IF(C1733="","Manca la categoria",IF(ISNA(MATCH(C1733,Categorie!$A$6:$A$65,0)),"Categoria non trovata",IF(G1733="","Categoria senza tipo",""))))))))</f>
        <v/>
      </c>
    </row>
    <row r="1734">
      <c r="A1734" s="29" t="n"/>
      <c r="B1734" s="17" t="n"/>
      <c r="C1734" s="17" t="n"/>
      <c r="D1734" s="16" t="n"/>
      <c r="E1734" s="30" t="n"/>
      <c r="F1734" s="17" t="n"/>
      <c r="G1734" s="31">
        <f>IF(C1734="","",IFERROR(INDEX(Categorie!$B$6:$B$65,MATCH(C1734,Categorie!$A$6:$A$65,0))&amp;"",""))</f>
        <v/>
      </c>
      <c r="H1734" s="32">
        <f>IF(AND(A1734="",C1734="",D1734=""),"",IF(D1734="","Manca l'importo",IF(NOT(ISNUMBER(D1734)),"Importo non valido",IF(NOT(ISNUMBER(A1734)),"Data mancante o non valida",IF(YEAR(A1734)&lt;&gt;Impostazioni!$C$4,"Fuori dall'anno",IF(C1734="","Manca la categoria",IF(ISNA(MATCH(C1734,Categorie!$A$6:$A$65,0)),"Categoria non trovata",IF(G1734="","Categoria senza tipo",""))))))))</f>
        <v/>
      </c>
    </row>
    <row r="1735">
      <c r="A1735" s="29" t="n"/>
      <c r="B1735" s="17" t="n"/>
      <c r="C1735" s="17" t="n"/>
      <c r="D1735" s="16" t="n"/>
      <c r="E1735" s="30" t="n"/>
      <c r="F1735" s="17" t="n"/>
      <c r="G1735" s="31">
        <f>IF(C1735="","",IFERROR(INDEX(Categorie!$B$6:$B$65,MATCH(C1735,Categorie!$A$6:$A$65,0))&amp;"",""))</f>
        <v/>
      </c>
      <c r="H1735" s="32">
        <f>IF(AND(A1735="",C1735="",D1735=""),"",IF(D1735="","Manca l'importo",IF(NOT(ISNUMBER(D1735)),"Importo non valido",IF(NOT(ISNUMBER(A1735)),"Data mancante o non valida",IF(YEAR(A1735)&lt;&gt;Impostazioni!$C$4,"Fuori dall'anno",IF(C1735="","Manca la categoria",IF(ISNA(MATCH(C1735,Categorie!$A$6:$A$65,0)),"Categoria non trovata",IF(G1735="","Categoria senza tipo",""))))))))</f>
        <v/>
      </c>
    </row>
    <row r="1736">
      <c r="A1736" s="29" t="n"/>
      <c r="B1736" s="17" t="n"/>
      <c r="C1736" s="17" t="n"/>
      <c r="D1736" s="16" t="n"/>
      <c r="E1736" s="30" t="n"/>
      <c r="F1736" s="17" t="n"/>
      <c r="G1736" s="31">
        <f>IF(C1736="","",IFERROR(INDEX(Categorie!$B$6:$B$65,MATCH(C1736,Categorie!$A$6:$A$65,0))&amp;"",""))</f>
        <v/>
      </c>
      <c r="H1736" s="32">
        <f>IF(AND(A1736="",C1736="",D1736=""),"",IF(D1736="","Manca l'importo",IF(NOT(ISNUMBER(D1736)),"Importo non valido",IF(NOT(ISNUMBER(A1736)),"Data mancante o non valida",IF(YEAR(A1736)&lt;&gt;Impostazioni!$C$4,"Fuori dall'anno",IF(C1736="","Manca la categoria",IF(ISNA(MATCH(C1736,Categorie!$A$6:$A$65,0)),"Categoria non trovata",IF(G1736="","Categoria senza tipo",""))))))))</f>
        <v/>
      </c>
    </row>
    <row r="1737">
      <c r="A1737" s="29" t="n"/>
      <c r="B1737" s="17" t="n"/>
      <c r="C1737" s="17" t="n"/>
      <c r="D1737" s="16" t="n"/>
      <c r="E1737" s="30" t="n"/>
      <c r="F1737" s="17" t="n"/>
      <c r="G1737" s="31">
        <f>IF(C1737="","",IFERROR(INDEX(Categorie!$B$6:$B$65,MATCH(C1737,Categorie!$A$6:$A$65,0))&amp;"",""))</f>
        <v/>
      </c>
      <c r="H1737" s="32">
        <f>IF(AND(A1737="",C1737="",D1737=""),"",IF(D1737="","Manca l'importo",IF(NOT(ISNUMBER(D1737)),"Importo non valido",IF(NOT(ISNUMBER(A1737)),"Data mancante o non valida",IF(YEAR(A1737)&lt;&gt;Impostazioni!$C$4,"Fuori dall'anno",IF(C1737="","Manca la categoria",IF(ISNA(MATCH(C1737,Categorie!$A$6:$A$65,0)),"Categoria non trovata",IF(G1737="","Categoria senza tipo",""))))))))</f>
        <v/>
      </c>
    </row>
    <row r="1738">
      <c r="A1738" s="29" t="n"/>
      <c r="B1738" s="17" t="n"/>
      <c r="C1738" s="17" t="n"/>
      <c r="D1738" s="16" t="n"/>
      <c r="E1738" s="30" t="n"/>
      <c r="F1738" s="17" t="n"/>
      <c r="G1738" s="31">
        <f>IF(C1738="","",IFERROR(INDEX(Categorie!$B$6:$B$65,MATCH(C1738,Categorie!$A$6:$A$65,0))&amp;"",""))</f>
        <v/>
      </c>
      <c r="H1738" s="32">
        <f>IF(AND(A1738="",C1738="",D1738=""),"",IF(D1738="","Manca l'importo",IF(NOT(ISNUMBER(D1738)),"Importo non valido",IF(NOT(ISNUMBER(A1738)),"Data mancante o non valida",IF(YEAR(A1738)&lt;&gt;Impostazioni!$C$4,"Fuori dall'anno",IF(C1738="","Manca la categoria",IF(ISNA(MATCH(C1738,Categorie!$A$6:$A$65,0)),"Categoria non trovata",IF(G1738="","Categoria senza tipo",""))))))))</f>
        <v/>
      </c>
    </row>
    <row r="1739">
      <c r="A1739" s="29" t="n"/>
      <c r="B1739" s="17" t="n"/>
      <c r="C1739" s="17" t="n"/>
      <c r="D1739" s="16" t="n"/>
      <c r="E1739" s="30" t="n"/>
      <c r="F1739" s="17" t="n"/>
      <c r="G1739" s="31">
        <f>IF(C1739="","",IFERROR(INDEX(Categorie!$B$6:$B$65,MATCH(C1739,Categorie!$A$6:$A$65,0))&amp;"",""))</f>
        <v/>
      </c>
      <c r="H1739" s="32">
        <f>IF(AND(A1739="",C1739="",D1739=""),"",IF(D1739="","Manca l'importo",IF(NOT(ISNUMBER(D1739)),"Importo non valido",IF(NOT(ISNUMBER(A1739)),"Data mancante o non valida",IF(YEAR(A1739)&lt;&gt;Impostazioni!$C$4,"Fuori dall'anno",IF(C1739="","Manca la categoria",IF(ISNA(MATCH(C1739,Categorie!$A$6:$A$65,0)),"Categoria non trovata",IF(G1739="","Categoria senza tipo",""))))))))</f>
        <v/>
      </c>
    </row>
    <row r="1740">
      <c r="A1740" s="29" t="n"/>
      <c r="B1740" s="17" t="n"/>
      <c r="C1740" s="17" t="n"/>
      <c r="D1740" s="16" t="n"/>
      <c r="E1740" s="30" t="n"/>
      <c r="F1740" s="17" t="n"/>
      <c r="G1740" s="31">
        <f>IF(C1740="","",IFERROR(INDEX(Categorie!$B$6:$B$65,MATCH(C1740,Categorie!$A$6:$A$65,0))&amp;"",""))</f>
        <v/>
      </c>
      <c r="H1740" s="32">
        <f>IF(AND(A1740="",C1740="",D1740=""),"",IF(D1740="","Manca l'importo",IF(NOT(ISNUMBER(D1740)),"Importo non valido",IF(NOT(ISNUMBER(A1740)),"Data mancante o non valida",IF(YEAR(A1740)&lt;&gt;Impostazioni!$C$4,"Fuori dall'anno",IF(C1740="","Manca la categoria",IF(ISNA(MATCH(C1740,Categorie!$A$6:$A$65,0)),"Categoria non trovata",IF(G1740="","Categoria senza tipo",""))))))))</f>
        <v/>
      </c>
    </row>
    <row r="1741">
      <c r="A1741" s="29" t="n"/>
      <c r="B1741" s="17" t="n"/>
      <c r="C1741" s="17" t="n"/>
      <c r="D1741" s="16" t="n"/>
      <c r="E1741" s="30" t="n"/>
      <c r="F1741" s="17" t="n"/>
      <c r="G1741" s="31">
        <f>IF(C1741="","",IFERROR(INDEX(Categorie!$B$6:$B$65,MATCH(C1741,Categorie!$A$6:$A$65,0))&amp;"",""))</f>
        <v/>
      </c>
      <c r="H1741" s="32">
        <f>IF(AND(A1741="",C1741="",D1741=""),"",IF(D1741="","Manca l'importo",IF(NOT(ISNUMBER(D1741)),"Importo non valido",IF(NOT(ISNUMBER(A1741)),"Data mancante o non valida",IF(YEAR(A1741)&lt;&gt;Impostazioni!$C$4,"Fuori dall'anno",IF(C1741="","Manca la categoria",IF(ISNA(MATCH(C1741,Categorie!$A$6:$A$65,0)),"Categoria non trovata",IF(G1741="","Categoria senza tipo",""))))))))</f>
        <v/>
      </c>
    </row>
    <row r="1742">
      <c r="A1742" s="29" t="n"/>
      <c r="B1742" s="17" t="n"/>
      <c r="C1742" s="17" t="n"/>
      <c r="D1742" s="16" t="n"/>
      <c r="E1742" s="30" t="n"/>
      <c r="F1742" s="17" t="n"/>
      <c r="G1742" s="31">
        <f>IF(C1742="","",IFERROR(INDEX(Categorie!$B$6:$B$65,MATCH(C1742,Categorie!$A$6:$A$65,0))&amp;"",""))</f>
        <v/>
      </c>
      <c r="H1742" s="32">
        <f>IF(AND(A1742="",C1742="",D1742=""),"",IF(D1742="","Manca l'importo",IF(NOT(ISNUMBER(D1742)),"Importo non valido",IF(NOT(ISNUMBER(A1742)),"Data mancante o non valida",IF(YEAR(A1742)&lt;&gt;Impostazioni!$C$4,"Fuori dall'anno",IF(C1742="","Manca la categoria",IF(ISNA(MATCH(C1742,Categorie!$A$6:$A$65,0)),"Categoria non trovata",IF(G1742="","Categoria senza tipo",""))))))))</f>
        <v/>
      </c>
    </row>
    <row r="1743">
      <c r="A1743" s="29" t="n"/>
      <c r="B1743" s="17" t="n"/>
      <c r="C1743" s="17" t="n"/>
      <c r="D1743" s="16" t="n"/>
      <c r="E1743" s="30" t="n"/>
      <c r="F1743" s="17" t="n"/>
      <c r="G1743" s="31">
        <f>IF(C1743="","",IFERROR(INDEX(Categorie!$B$6:$B$65,MATCH(C1743,Categorie!$A$6:$A$65,0))&amp;"",""))</f>
        <v/>
      </c>
      <c r="H1743" s="32">
        <f>IF(AND(A1743="",C1743="",D1743=""),"",IF(D1743="","Manca l'importo",IF(NOT(ISNUMBER(D1743)),"Importo non valido",IF(NOT(ISNUMBER(A1743)),"Data mancante o non valida",IF(YEAR(A1743)&lt;&gt;Impostazioni!$C$4,"Fuori dall'anno",IF(C1743="","Manca la categoria",IF(ISNA(MATCH(C1743,Categorie!$A$6:$A$65,0)),"Categoria non trovata",IF(G1743="","Categoria senza tipo",""))))))))</f>
        <v/>
      </c>
    </row>
    <row r="1744">
      <c r="A1744" s="29" t="n"/>
      <c r="B1744" s="17" t="n"/>
      <c r="C1744" s="17" t="n"/>
      <c r="D1744" s="16" t="n"/>
      <c r="E1744" s="30" t="n"/>
      <c r="F1744" s="17" t="n"/>
      <c r="G1744" s="31">
        <f>IF(C1744="","",IFERROR(INDEX(Categorie!$B$6:$B$65,MATCH(C1744,Categorie!$A$6:$A$65,0))&amp;"",""))</f>
        <v/>
      </c>
      <c r="H1744" s="32">
        <f>IF(AND(A1744="",C1744="",D1744=""),"",IF(D1744="","Manca l'importo",IF(NOT(ISNUMBER(D1744)),"Importo non valido",IF(NOT(ISNUMBER(A1744)),"Data mancante o non valida",IF(YEAR(A1744)&lt;&gt;Impostazioni!$C$4,"Fuori dall'anno",IF(C1744="","Manca la categoria",IF(ISNA(MATCH(C1744,Categorie!$A$6:$A$65,0)),"Categoria non trovata",IF(G1744="","Categoria senza tipo",""))))))))</f>
        <v/>
      </c>
    </row>
    <row r="1745">
      <c r="A1745" s="29" t="n"/>
      <c r="B1745" s="17" t="n"/>
      <c r="C1745" s="17" t="n"/>
      <c r="D1745" s="16" t="n"/>
      <c r="E1745" s="30" t="n"/>
      <c r="F1745" s="17" t="n"/>
      <c r="G1745" s="31">
        <f>IF(C1745="","",IFERROR(INDEX(Categorie!$B$6:$B$65,MATCH(C1745,Categorie!$A$6:$A$65,0))&amp;"",""))</f>
        <v/>
      </c>
      <c r="H1745" s="32">
        <f>IF(AND(A1745="",C1745="",D1745=""),"",IF(D1745="","Manca l'importo",IF(NOT(ISNUMBER(D1745)),"Importo non valido",IF(NOT(ISNUMBER(A1745)),"Data mancante o non valida",IF(YEAR(A1745)&lt;&gt;Impostazioni!$C$4,"Fuori dall'anno",IF(C1745="","Manca la categoria",IF(ISNA(MATCH(C1745,Categorie!$A$6:$A$65,0)),"Categoria non trovata",IF(G1745="","Categoria senza tipo",""))))))))</f>
        <v/>
      </c>
    </row>
    <row r="1746">
      <c r="A1746" s="29" t="n"/>
      <c r="B1746" s="17" t="n"/>
      <c r="C1746" s="17" t="n"/>
      <c r="D1746" s="16" t="n"/>
      <c r="E1746" s="30" t="n"/>
      <c r="F1746" s="17" t="n"/>
      <c r="G1746" s="31">
        <f>IF(C1746="","",IFERROR(INDEX(Categorie!$B$6:$B$65,MATCH(C1746,Categorie!$A$6:$A$65,0))&amp;"",""))</f>
        <v/>
      </c>
      <c r="H1746" s="32">
        <f>IF(AND(A1746="",C1746="",D1746=""),"",IF(D1746="","Manca l'importo",IF(NOT(ISNUMBER(D1746)),"Importo non valido",IF(NOT(ISNUMBER(A1746)),"Data mancante o non valida",IF(YEAR(A1746)&lt;&gt;Impostazioni!$C$4,"Fuori dall'anno",IF(C1746="","Manca la categoria",IF(ISNA(MATCH(C1746,Categorie!$A$6:$A$65,0)),"Categoria non trovata",IF(G1746="","Categoria senza tipo",""))))))))</f>
        <v/>
      </c>
    </row>
    <row r="1747">
      <c r="A1747" s="29" t="n"/>
      <c r="B1747" s="17" t="n"/>
      <c r="C1747" s="17" t="n"/>
      <c r="D1747" s="16" t="n"/>
      <c r="E1747" s="30" t="n"/>
      <c r="F1747" s="17" t="n"/>
      <c r="G1747" s="31">
        <f>IF(C1747="","",IFERROR(INDEX(Categorie!$B$6:$B$65,MATCH(C1747,Categorie!$A$6:$A$65,0))&amp;"",""))</f>
        <v/>
      </c>
      <c r="H1747" s="32">
        <f>IF(AND(A1747="",C1747="",D1747=""),"",IF(D1747="","Manca l'importo",IF(NOT(ISNUMBER(D1747)),"Importo non valido",IF(NOT(ISNUMBER(A1747)),"Data mancante o non valida",IF(YEAR(A1747)&lt;&gt;Impostazioni!$C$4,"Fuori dall'anno",IF(C1747="","Manca la categoria",IF(ISNA(MATCH(C1747,Categorie!$A$6:$A$65,0)),"Categoria non trovata",IF(G1747="","Categoria senza tipo",""))))))))</f>
        <v/>
      </c>
    </row>
    <row r="1748">
      <c r="A1748" s="29" t="n"/>
      <c r="B1748" s="17" t="n"/>
      <c r="C1748" s="17" t="n"/>
      <c r="D1748" s="16" t="n"/>
      <c r="E1748" s="30" t="n"/>
      <c r="F1748" s="17" t="n"/>
      <c r="G1748" s="31">
        <f>IF(C1748="","",IFERROR(INDEX(Categorie!$B$6:$B$65,MATCH(C1748,Categorie!$A$6:$A$65,0))&amp;"",""))</f>
        <v/>
      </c>
      <c r="H1748" s="32">
        <f>IF(AND(A1748="",C1748="",D1748=""),"",IF(D1748="","Manca l'importo",IF(NOT(ISNUMBER(D1748)),"Importo non valido",IF(NOT(ISNUMBER(A1748)),"Data mancante o non valida",IF(YEAR(A1748)&lt;&gt;Impostazioni!$C$4,"Fuori dall'anno",IF(C1748="","Manca la categoria",IF(ISNA(MATCH(C1748,Categorie!$A$6:$A$65,0)),"Categoria non trovata",IF(G1748="","Categoria senza tipo",""))))))))</f>
        <v/>
      </c>
    </row>
    <row r="1749">
      <c r="A1749" s="29" t="n"/>
      <c r="B1749" s="17" t="n"/>
      <c r="C1749" s="17" t="n"/>
      <c r="D1749" s="16" t="n"/>
      <c r="E1749" s="30" t="n"/>
      <c r="F1749" s="17" t="n"/>
      <c r="G1749" s="31">
        <f>IF(C1749="","",IFERROR(INDEX(Categorie!$B$6:$B$65,MATCH(C1749,Categorie!$A$6:$A$65,0))&amp;"",""))</f>
        <v/>
      </c>
      <c r="H1749" s="32">
        <f>IF(AND(A1749="",C1749="",D1749=""),"",IF(D1749="","Manca l'importo",IF(NOT(ISNUMBER(D1749)),"Importo non valido",IF(NOT(ISNUMBER(A1749)),"Data mancante o non valida",IF(YEAR(A1749)&lt;&gt;Impostazioni!$C$4,"Fuori dall'anno",IF(C1749="","Manca la categoria",IF(ISNA(MATCH(C1749,Categorie!$A$6:$A$65,0)),"Categoria non trovata",IF(G1749="","Categoria senza tipo",""))))))))</f>
        <v/>
      </c>
    </row>
    <row r="1750">
      <c r="A1750" s="29" t="n"/>
      <c r="B1750" s="17" t="n"/>
      <c r="C1750" s="17" t="n"/>
      <c r="D1750" s="16" t="n"/>
      <c r="E1750" s="30" t="n"/>
      <c r="F1750" s="17" t="n"/>
      <c r="G1750" s="31">
        <f>IF(C1750="","",IFERROR(INDEX(Categorie!$B$6:$B$65,MATCH(C1750,Categorie!$A$6:$A$65,0))&amp;"",""))</f>
        <v/>
      </c>
      <c r="H1750" s="32">
        <f>IF(AND(A1750="",C1750="",D1750=""),"",IF(D1750="","Manca l'importo",IF(NOT(ISNUMBER(D1750)),"Importo non valido",IF(NOT(ISNUMBER(A1750)),"Data mancante o non valida",IF(YEAR(A1750)&lt;&gt;Impostazioni!$C$4,"Fuori dall'anno",IF(C1750="","Manca la categoria",IF(ISNA(MATCH(C1750,Categorie!$A$6:$A$65,0)),"Categoria non trovata",IF(G1750="","Categoria senza tipo",""))))))))</f>
        <v/>
      </c>
    </row>
    <row r="1751">
      <c r="A1751" s="29" t="n"/>
      <c r="B1751" s="17" t="n"/>
      <c r="C1751" s="17" t="n"/>
      <c r="D1751" s="16" t="n"/>
      <c r="E1751" s="30" t="n"/>
      <c r="F1751" s="17" t="n"/>
      <c r="G1751" s="31">
        <f>IF(C1751="","",IFERROR(INDEX(Categorie!$B$6:$B$65,MATCH(C1751,Categorie!$A$6:$A$65,0))&amp;"",""))</f>
        <v/>
      </c>
      <c r="H1751" s="32">
        <f>IF(AND(A1751="",C1751="",D1751=""),"",IF(D1751="","Manca l'importo",IF(NOT(ISNUMBER(D1751)),"Importo non valido",IF(NOT(ISNUMBER(A1751)),"Data mancante o non valida",IF(YEAR(A1751)&lt;&gt;Impostazioni!$C$4,"Fuori dall'anno",IF(C1751="","Manca la categoria",IF(ISNA(MATCH(C1751,Categorie!$A$6:$A$65,0)),"Categoria non trovata",IF(G1751="","Categoria senza tipo",""))))))))</f>
        <v/>
      </c>
    </row>
    <row r="1752">
      <c r="A1752" s="29" t="n"/>
      <c r="B1752" s="17" t="n"/>
      <c r="C1752" s="17" t="n"/>
      <c r="D1752" s="16" t="n"/>
      <c r="E1752" s="30" t="n"/>
      <c r="F1752" s="17" t="n"/>
      <c r="G1752" s="31">
        <f>IF(C1752="","",IFERROR(INDEX(Categorie!$B$6:$B$65,MATCH(C1752,Categorie!$A$6:$A$65,0))&amp;"",""))</f>
        <v/>
      </c>
      <c r="H1752" s="32">
        <f>IF(AND(A1752="",C1752="",D1752=""),"",IF(D1752="","Manca l'importo",IF(NOT(ISNUMBER(D1752)),"Importo non valido",IF(NOT(ISNUMBER(A1752)),"Data mancante o non valida",IF(YEAR(A1752)&lt;&gt;Impostazioni!$C$4,"Fuori dall'anno",IF(C1752="","Manca la categoria",IF(ISNA(MATCH(C1752,Categorie!$A$6:$A$65,0)),"Categoria non trovata",IF(G1752="","Categoria senza tipo",""))))))))</f>
        <v/>
      </c>
    </row>
    <row r="1753">
      <c r="A1753" s="29" t="n"/>
      <c r="B1753" s="17" t="n"/>
      <c r="C1753" s="17" t="n"/>
      <c r="D1753" s="16" t="n"/>
      <c r="E1753" s="30" t="n"/>
      <c r="F1753" s="17" t="n"/>
      <c r="G1753" s="31">
        <f>IF(C1753="","",IFERROR(INDEX(Categorie!$B$6:$B$65,MATCH(C1753,Categorie!$A$6:$A$65,0))&amp;"",""))</f>
        <v/>
      </c>
      <c r="H1753" s="32">
        <f>IF(AND(A1753="",C1753="",D1753=""),"",IF(D1753="","Manca l'importo",IF(NOT(ISNUMBER(D1753)),"Importo non valido",IF(NOT(ISNUMBER(A1753)),"Data mancante o non valida",IF(YEAR(A1753)&lt;&gt;Impostazioni!$C$4,"Fuori dall'anno",IF(C1753="","Manca la categoria",IF(ISNA(MATCH(C1753,Categorie!$A$6:$A$65,0)),"Categoria non trovata",IF(G1753="","Categoria senza tipo",""))))))))</f>
        <v/>
      </c>
    </row>
    <row r="1754">
      <c r="A1754" s="29" t="n"/>
      <c r="B1754" s="17" t="n"/>
      <c r="C1754" s="17" t="n"/>
      <c r="D1754" s="16" t="n"/>
      <c r="E1754" s="30" t="n"/>
      <c r="F1754" s="17" t="n"/>
      <c r="G1754" s="31">
        <f>IF(C1754="","",IFERROR(INDEX(Categorie!$B$6:$B$65,MATCH(C1754,Categorie!$A$6:$A$65,0))&amp;"",""))</f>
        <v/>
      </c>
      <c r="H1754" s="32">
        <f>IF(AND(A1754="",C1754="",D1754=""),"",IF(D1754="","Manca l'importo",IF(NOT(ISNUMBER(D1754)),"Importo non valido",IF(NOT(ISNUMBER(A1754)),"Data mancante o non valida",IF(YEAR(A1754)&lt;&gt;Impostazioni!$C$4,"Fuori dall'anno",IF(C1754="","Manca la categoria",IF(ISNA(MATCH(C1754,Categorie!$A$6:$A$65,0)),"Categoria non trovata",IF(G1754="","Categoria senza tipo",""))))))))</f>
        <v/>
      </c>
    </row>
    <row r="1755">
      <c r="A1755" s="29" t="n"/>
      <c r="B1755" s="17" t="n"/>
      <c r="C1755" s="17" t="n"/>
      <c r="D1755" s="16" t="n"/>
      <c r="E1755" s="30" t="n"/>
      <c r="F1755" s="17" t="n"/>
      <c r="G1755" s="31">
        <f>IF(C1755="","",IFERROR(INDEX(Categorie!$B$6:$B$65,MATCH(C1755,Categorie!$A$6:$A$65,0))&amp;"",""))</f>
        <v/>
      </c>
      <c r="H1755" s="32">
        <f>IF(AND(A1755="",C1755="",D1755=""),"",IF(D1755="","Manca l'importo",IF(NOT(ISNUMBER(D1755)),"Importo non valido",IF(NOT(ISNUMBER(A1755)),"Data mancante o non valida",IF(YEAR(A1755)&lt;&gt;Impostazioni!$C$4,"Fuori dall'anno",IF(C1755="","Manca la categoria",IF(ISNA(MATCH(C1755,Categorie!$A$6:$A$65,0)),"Categoria non trovata",IF(G1755="","Categoria senza tipo",""))))))))</f>
        <v/>
      </c>
    </row>
    <row r="1756">
      <c r="A1756" s="29" t="n"/>
      <c r="B1756" s="17" t="n"/>
      <c r="C1756" s="17" t="n"/>
      <c r="D1756" s="16" t="n"/>
      <c r="E1756" s="30" t="n"/>
      <c r="F1756" s="17" t="n"/>
      <c r="G1756" s="31">
        <f>IF(C1756="","",IFERROR(INDEX(Categorie!$B$6:$B$65,MATCH(C1756,Categorie!$A$6:$A$65,0))&amp;"",""))</f>
        <v/>
      </c>
      <c r="H1756" s="32">
        <f>IF(AND(A1756="",C1756="",D1756=""),"",IF(D1756="","Manca l'importo",IF(NOT(ISNUMBER(D1756)),"Importo non valido",IF(NOT(ISNUMBER(A1756)),"Data mancante o non valida",IF(YEAR(A1756)&lt;&gt;Impostazioni!$C$4,"Fuori dall'anno",IF(C1756="","Manca la categoria",IF(ISNA(MATCH(C1756,Categorie!$A$6:$A$65,0)),"Categoria non trovata",IF(G1756="","Categoria senza tipo",""))))))))</f>
        <v/>
      </c>
    </row>
    <row r="1757">
      <c r="A1757" s="29" t="n"/>
      <c r="B1757" s="17" t="n"/>
      <c r="C1757" s="17" t="n"/>
      <c r="D1757" s="16" t="n"/>
      <c r="E1757" s="30" t="n"/>
      <c r="F1757" s="17" t="n"/>
      <c r="G1757" s="31">
        <f>IF(C1757="","",IFERROR(INDEX(Categorie!$B$6:$B$65,MATCH(C1757,Categorie!$A$6:$A$65,0))&amp;"",""))</f>
        <v/>
      </c>
      <c r="H1757" s="32">
        <f>IF(AND(A1757="",C1757="",D1757=""),"",IF(D1757="","Manca l'importo",IF(NOT(ISNUMBER(D1757)),"Importo non valido",IF(NOT(ISNUMBER(A1757)),"Data mancante o non valida",IF(YEAR(A1757)&lt;&gt;Impostazioni!$C$4,"Fuori dall'anno",IF(C1757="","Manca la categoria",IF(ISNA(MATCH(C1757,Categorie!$A$6:$A$65,0)),"Categoria non trovata",IF(G1757="","Categoria senza tipo",""))))))))</f>
        <v/>
      </c>
    </row>
    <row r="1758">
      <c r="A1758" s="29" t="n"/>
      <c r="B1758" s="17" t="n"/>
      <c r="C1758" s="17" t="n"/>
      <c r="D1758" s="16" t="n"/>
      <c r="E1758" s="30" t="n"/>
      <c r="F1758" s="17" t="n"/>
      <c r="G1758" s="31">
        <f>IF(C1758="","",IFERROR(INDEX(Categorie!$B$6:$B$65,MATCH(C1758,Categorie!$A$6:$A$65,0))&amp;"",""))</f>
        <v/>
      </c>
      <c r="H1758" s="32">
        <f>IF(AND(A1758="",C1758="",D1758=""),"",IF(D1758="","Manca l'importo",IF(NOT(ISNUMBER(D1758)),"Importo non valido",IF(NOT(ISNUMBER(A1758)),"Data mancante o non valida",IF(YEAR(A1758)&lt;&gt;Impostazioni!$C$4,"Fuori dall'anno",IF(C1758="","Manca la categoria",IF(ISNA(MATCH(C1758,Categorie!$A$6:$A$65,0)),"Categoria non trovata",IF(G1758="","Categoria senza tipo",""))))))))</f>
        <v/>
      </c>
    </row>
    <row r="1759">
      <c r="A1759" s="29" t="n"/>
      <c r="B1759" s="17" t="n"/>
      <c r="C1759" s="17" t="n"/>
      <c r="D1759" s="16" t="n"/>
      <c r="E1759" s="30" t="n"/>
      <c r="F1759" s="17" t="n"/>
      <c r="G1759" s="31">
        <f>IF(C1759="","",IFERROR(INDEX(Categorie!$B$6:$B$65,MATCH(C1759,Categorie!$A$6:$A$65,0))&amp;"",""))</f>
        <v/>
      </c>
      <c r="H1759" s="32">
        <f>IF(AND(A1759="",C1759="",D1759=""),"",IF(D1759="","Manca l'importo",IF(NOT(ISNUMBER(D1759)),"Importo non valido",IF(NOT(ISNUMBER(A1759)),"Data mancante o non valida",IF(YEAR(A1759)&lt;&gt;Impostazioni!$C$4,"Fuori dall'anno",IF(C1759="","Manca la categoria",IF(ISNA(MATCH(C1759,Categorie!$A$6:$A$65,0)),"Categoria non trovata",IF(G1759="","Categoria senza tipo",""))))))))</f>
        <v/>
      </c>
    </row>
    <row r="1760">
      <c r="A1760" s="29" t="n"/>
      <c r="B1760" s="17" t="n"/>
      <c r="C1760" s="17" t="n"/>
      <c r="D1760" s="16" t="n"/>
      <c r="E1760" s="30" t="n"/>
      <c r="F1760" s="17" t="n"/>
      <c r="G1760" s="31">
        <f>IF(C1760="","",IFERROR(INDEX(Categorie!$B$6:$B$65,MATCH(C1760,Categorie!$A$6:$A$65,0))&amp;"",""))</f>
        <v/>
      </c>
      <c r="H1760" s="32">
        <f>IF(AND(A1760="",C1760="",D1760=""),"",IF(D1760="","Manca l'importo",IF(NOT(ISNUMBER(D1760)),"Importo non valido",IF(NOT(ISNUMBER(A1760)),"Data mancante o non valida",IF(YEAR(A1760)&lt;&gt;Impostazioni!$C$4,"Fuori dall'anno",IF(C1760="","Manca la categoria",IF(ISNA(MATCH(C1760,Categorie!$A$6:$A$65,0)),"Categoria non trovata",IF(G1760="","Categoria senza tipo",""))))))))</f>
        <v/>
      </c>
    </row>
    <row r="1761">
      <c r="A1761" s="29" t="n"/>
      <c r="B1761" s="17" t="n"/>
      <c r="C1761" s="17" t="n"/>
      <c r="D1761" s="16" t="n"/>
      <c r="E1761" s="30" t="n"/>
      <c r="F1761" s="17" t="n"/>
      <c r="G1761" s="31">
        <f>IF(C1761="","",IFERROR(INDEX(Categorie!$B$6:$B$65,MATCH(C1761,Categorie!$A$6:$A$65,0))&amp;"",""))</f>
        <v/>
      </c>
      <c r="H1761" s="32">
        <f>IF(AND(A1761="",C1761="",D1761=""),"",IF(D1761="","Manca l'importo",IF(NOT(ISNUMBER(D1761)),"Importo non valido",IF(NOT(ISNUMBER(A1761)),"Data mancante o non valida",IF(YEAR(A1761)&lt;&gt;Impostazioni!$C$4,"Fuori dall'anno",IF(C1761="","Manca la categoria",IF(ISNA(MATCH(C1761,Categorie!$A$6:$A$65,0)),"Categoria non trovata",IF(G1761="","Categoria senza tipo",""))))))))</f>
        <v/>
      </c>
    </row>
    <row r="1762">
      <c r="A1762" s="29" t="n"/>
      <c r="B1762" s="17" t="n"/>
      <c r="C1762" s="17" t="n"/>
      <c r="D1762" s="16" t="n"/>
      <c r="E1762" s="30" t="n"/>
      <c r="F1762" s="17" t="n"/>
      <c r="G1762" s="31">
        <f>IF(C1762="","",IFERROR(INDEX(Categorie!$B$6:$B$65,MATCH(C1762,Categorie!$A$6:$A$65,0))&amp;"",""))</f>
        <v/>
      </c>
      <c r="H1762" s="32">
        <f>IF(AND(A1762="",C1762="",D1762=""),"",IF(D1762="","Manca l'importo",IF(NOT(ISNUMBER(D1762)),"Importo non valido",IF(NOT(ISNUMBER(A1762)),"Data mancante o non valida",IF(YEAR(A1762)&lt;&gt;Impostazioni!$C$4,"Fuori dall'anno",IF(C1762="","Manca la categoria",IF(ISNA(MATCH(C1762,Categorie!$A$6:$A$65,0)),"Categoria non trovata",IF(G1762="","Categoria senza tipo",""))))))))</f>
        <v/>
      </c>
    </row>
    <row r="1763">
      <c r="A1763" s="29" t="n"/>
      <c r="B1763" s="17" t="n"/>
      <c r="C1763" s="17" t="n"/>
      <c r="D1763" s="16" t="n"/>
      <c r="E1763" s="30" t="n"/>
      <c r="F1763" s="17" t="n"/>
      <c r="G1763" s="31">
        <f>IF(C1763="","",IFERROR(INDEX(Categorie!$B$6:$B$65,MATCH(C1763,Categorie!$A$6:$A$65,0))&amp;"",""))</f>
        <v/>
      </c>
      <c r="H1763" s="32">
        <f>IF(AND(A1763="",C1763="",D1763=""),"",IF(D1763="","Manca l'importo",IF(NOT(ISNUMBER(D1763)),"Importo non valido",IF(NOT(ISNUMBER(A1763)),"Data mancante o non valida",IF(YEAR(A1763)&lt;&gt;Impostazioni!$C$4,"Fuori dall'anno",IF(C1763="","Manca la categoria",IF(ISNA(MATCH(C1763,Categorie!$A$6:$A$65,0)),"Categoria non trovata",IF(G1763="","Categoria senza tipo",""))))))))</f>
        <v/>
      </c>
    </row>
    <row r="1764">
      <c r="A1764" s="29" t="n"/>
      <c r="B1764" s="17" t="n"/>
      <c r="C1764" s="17" t="n"/>
      <c r="D1764" s="16" t="n"/>
      <c r="E1764" s="30" t="n"/>
      <c r="F1764" s="17" t="n"/>
      <c r="G1764" s="31">
        <f>IF(C1764="","",IFERROR(INDEX(Categorie!$B$6:$B$65,MATCH(C1764,Categorie!$A$6:$A$65,0))&amp;"",""))</f>
        <v/>
      </c>
      <c r="H1764" s="32">
        <f>IF(AND(A1764="",C1764="",D1764=""),"",IF(D1764="","Manca l'importo",IF(NOT(ISNUMBER(D1764)),"Importo non valido",IF(NOT(ISNUMBER(A1764)),"Data mancante o non valida",IF(YEAR(A1764)&lt;&gt;Impostazioni!$C$4,"Fuori dall'anno",IF(C1764="","Manca la categoria",IF(ISNA(MATCH(C1764,Categorie!$A$6:$A$65,0)),"Categoria non trovata",IF(G1764="","Categoria senza tipo",""))))))))</f>
        <v/>
      </c>
    </row>
    <row r="1765">
      <c r="A1765" s="29" t="n"/>
      <c r="B1765" s="17" t="n"/>
      <c r="C1765" s="17" t="n"/>
      <c r="D1765" s="16" t="n"/>
      <c r="E1765" s="30" t="n"/>
      <c r="F1765" s="17" t="n"/>
      <c r="G1765" s="31">
        <f>IF(C1765="","",IFERROR(INDEX(Categorie!$B$6:$B$65,MATCH(C1765,Categorie!$A$6:$A$65,0))&amp;"",""))</f>
        <v/>
      </c>
      <c r="H1765" s="32">
        <f>IF(AND(A1765="",C1765="",D1765=""),"",IF(D1765="","Manca l'importo",IF(NOT(ISNUMBER(D1765)),"Importo non valido",IF(NOT(ISNUMBER(A1765)),"Data mancante o non valida",IF(YEAR(A1765)&lt;&gt;Impostazioni!$C$4,"Fuori dall'anno",IF(C1765="","Manca la categoria",IF(ISNA(MATCH(C1765,Categorie!$A$6:$A$65,0)),"Categoria non trovata",IF(G1765="","Categoria senza tipo",""))))))))</f>
        <v/>
      </c>
    </row>
    <row r="1766">
      <c r="A1766" s="29" t="n"/>
      <c r="B1766" s="17" t="n"/>
      <c r="C1766" s="17" t="n"/>
      <c r="D1766" s="16" t="n"/>
      <c r="E1766" s="30" t="n"/>
      <c r="F1766" s="17" t="n"/>
      <c r="G1766" s="31">
        <f>IF(C1766="","",IFERROR(INDEX(Categorie!$B$6:$B$65,MATCH(C1766,Categorie!$A$6:$A$65,0))&amp;"",""))</f>
        <v/>
      </c>
      <c r="H1766" s="32">
        <f>IF(AND(A1766="",C1766="",D1766=""),"",IF(D1766="","Manca l'importo",IF(NOT(ISNUMBER(D1766)),"Importo non valido",IF(NOT(ISNUMBER(A1766)),"Data mancante o non valida",IF(YEAR(A1766)&lt;&gt;Impostazioni!$C$4,"Fuori dall'anno",IF(C1766="","Manca la categoria",IF(ISNA(MATCH(C1766,Categorie!$A$6:$A$65,0)),"Categoria non trovata",IF(G1766="","Categoria senza tipo",""))))))))</f>
        <v/>
      </c>
    </row>
    <row r="1767">
      <c r="A1767" s="29" t="n"/>
      <c r="B1767" s="17" t="n"/>
      <c r="C1767" s="17" t="n"/>
      <c r="D1767" s="16" t="n"/>
      <c r="E1767" s="30" t="n"/>
      <c r="F1767" s="17" t="n"/>
      <c r="G1767" s="31">
        <f>IF(C1767="","",IFERROR(INDEX(Categorie!$B$6:$B$65,MATCH(C1767,Categorie!$A$6:$A$65,0))&amp;"",""))</f>
        <v/>
      </c>
      <c r="H1767" s="32">
        <f>IF(AND(A1767="",C1767="",D1767=""),"",IF(D1767="","Manca l'importo",IF(NOT(ISNUMBER(D1767)),"Importo non valido",IF(NOT(ISNUMBER(A1767)),"Data mancante o non valida",IF(YEAR(A1767)&lt;&gt;Impostazioni!$C$4,"Fuori dall'anno",IF(C1767="","Manca la categoria",IF(ISNA(MATCH(C1767,Categorie!$A$6:$A$65,0)),"Categoria non trovata",IF(G1767="","Categoria senza tipo",""))))))))</f>
        <v/>
      </c>
    </row>
    <row r="1768">
      <c r="A1768" s="29" t="n"/>
      <c r="B1768" s="17" t="n"/>
      <c r="C1768" s="17" t="n"/>
      <c r="D1768" s="16" t="n"/>
      <c r="E1768" s="30" t="n"/>
      <c r="F1768" s="17" t="n"/>
      <c r="G1768" s="31">
        <f>IF(C1768="","",IFERROR(INDEX(Categorie!$B$6:$B$65,MATCH(C1768,Categorie!$A$6:$A$65,0))&amp;"",""))</f>
        <v/>
      </c>
      <c r="H1768" s="32">
        <f>IF(AND(A1768="",C1768="",D1768=""),"",IF(D1768="","Manca l'importo",IF(NOT(ISNUMBER(D1768)),"Importo non valido",IF(NOT(ISNUMBER(A1768)),"Data mancante o non valida",IF(YEAR(A1768)&lt;&gt;Impostazioni!$C$4,"Fuori dall'anno",IF(C1768="","Manca la categoria",IF(ISNA(MATCH(C1768,Categorie!$A$6:$A$65,0)),"Categoria non trovata",IF(G1768="","Categoria senza tipo",""))))))))</f>
        <v/>
      </c>
    </row>
    <row r="1769">
      <c r="A1769" s="29" t="n"/>
      <c r="B1769" s="17" t="n"/>
      <c r="C1769" s="17" t="n"/>
      <c r="D1769" s="16" t="n"/>
      <c r="E1769" s="30" t="n"/>
      <c r="F1769" s="17" t="n"/>
      <c r="G1769" s="31">
        <f>IF(C1769="","",IFERROR(INDEX(Categorie!$B$6:$B$65,MATCH(C1769,Categorie!$A$6:$A$65,0))&amp;"",""))</f>
        <v/>
      </c>
      <c r="H1769" s="32">
        <f>IF(AND(A1769="",C1769="",D1769=""),"",IF(D1769="","Manca l'importo",IF(NOT(ISNUMBER(D1769)),"Importo non valido",IF(NOT(ISNUMBER(A1769)),"Data mancante o non valida",IF(YEAR(A1769)&lt;&gt;Impostazioni!$C$4,"Fuori dall'anno",IF(C1769="","Manca la categoria",IF(ISNA(MATCH(C1769,Categorie!$A$6:$A$65,0)),"Categoria non trovata",IF(G1769="","Categoria senza tipo",""))))))))</f>
        <v/>
      </c>
    </row>
    <row r="1770">
      <c r="A1770" s="29" t="n"/>
      <c r="B1770" s="17" t="n"/>
      <c r="C1770" s="17" t="n"/>
      <c r="D1770" s="16" t="n"/>
      <c r="E1770" s="30" t="n"/>
      <c r="F1770" s="17" t="n"/>
      <c r="G1770" s="31">
        <f>IF(C1770="","",IFERROR(INDEX(Categorie!$B$6:$B$65,MATCH(C1770,Categorie!$A$6:$A$65,0))&amp;"",""))</f>
        <v/>
      </c>
      <c r="H1770" s="32">
        <f>IF(AND(A1770="",C1770="",D1770=""),"",IF(D1770="","Manca l'importo",IF(NOT(ISNUMBER(D1770)),"Importo non valido",IF(NOT(ISNUMBER(A1770)),"Data mancante o non valida",IF(YEAR(A1770)&lt;&gt;Impostazioni!$C$4,"Fuori dall'anno",IF(C1770="","Manca la categoria",IF(ISNA(MATCH(C1770,Categorie!$A$6:$A$65,0)),"Categoria non trovata",IF(G1770="","Categoria senza tipo",""))))))))</f>
        <v/>
      </c>
    </row>
    <row r="1771">
      <c r="A1771" s="29" t="n"/>
      <c r="B1771" s="17" t="n"/>
      <c r="C1771" s="17" t="n"/>
      <c r="D1771" s="16" t="n"/>
      <c r="E1771" s="30" t="n"/>
      <c r="F1771" s="17" t="n"/>
      <c r="G1771" s="31">
        <f>IF(C1771="","",IFERROR(INDEX(Categorie!$B$6:$B$65,MATCH(C1771,Categorie!$A$6:$A$65,0))&amp;"",""))</f>
        <v/>
      </c>
      <c r="H1771" s="32">
        <f>IF(AND(A1771="",C1771="",D1771=""),"",IF(D1771="","Manca l'importo",IF(NOT(ISNUMBER(D1771)),"Importo non valido",IF(NOT(ISNUMBER(A1771)),"Data mancante o non valida",IF(YEAR(A1771)&lt;&gt;Impostazioni!$C$4,"Fuori dall'anno",IF(C1771="","Manca la categoria",IF(ISNA(MATCH(C1771,Categorie!$A$6:$A$65,0)),"Categoria non trovata",IF(G1771="","Categoria senza tipo",""))))))))</f>
        <v/>
      </c>
    </row>
    <row r="1772">
      <c r="A1772" s="29" t="n"/>
      <c r="B1772" s="17" t="n"/>
      <c r="C1772" s="17" t="n"/>
      <c r="D1772" s="16" t="n"/>
      <c r="E1772" s="30" t="n"/>
      <c r="F1772" s="17" t="n"/>
      <c r="G1772" s="31">
        <f>IF(C1772="","",IFERROR(INDEX(Categorie!$B$6:$B$65,MATCH(C1772,Categorie!$A$6:$A$65,0))&amp;"",""))</f>
        <v/>
      </c>
      <c r="H1772" s="32">
        <f>IF(AND(A1772="",C1772="",D1772=""),"",IF(D1772="","Manca l'importo",IF(NOT(ISNUMBER(D1772)),"Importo non valido",IF(NOT(ISNUMBER(A1772)),"Data mancante o non valida",IF(YEAR(A1772)&lt;&gt;Impostazioni!$C$4,"Fuori dall'anno",IF(C1772="","Manca la categoria",IF(ISNA(MATCH(C1772,Categorie!$A$6:$A$65,0)),"Categoria non trovata",IF(G1772="","Categoria senza tipo",""))))))))</f>
        <v/>
      </c>
    </row>
    <row r="1773">
      <c r="A1773" s="29" t="n"/>
      <c r="B1773" s="17" t="n"/>
      <c r="C1773" s="17" t="n"/>
      <c r="D1773" s="16" t="n"/>
      <c r="E1773" s="30" t="n"/>
      <c r="F1773" s="17" t="n"/>
      <c r="G1773" s="31">
        <f>IF(C1773="","",IFERROR(INDEX(Categorie!$B$6:$B$65,MATCH(C1773,Categorie!$A$6:$A$65,0))&amp;"",""))</f>
        <v/>
      </c>
      <c r="H1773" s="32">
        <f>IF(AND(A1773="",C1773="",D1773=""),"",IF(D1773="","Manca l'importo",IF(NOT(ISNUMBER(D1773)),"Importo non valido",IF(NOT(ISNUMBER(A1773)),"Data mancante o non valida",IF(YEAR(A1773)&lt;&gt;Impostazioni!$C$4,"Fuori dall'anno",IF(C1773="","Manca la categoria",IF(ISNA(MATCH(C1773,Categorie!$A$6:$A$65,0)),"Categoria non trovata",IF(G1773="","Categoria senza tipo",""))))))))</f>
        <v/>
      </c>
    </row>
    <row r="1774">
      <c r="A1774" s="29" t="n"/>
      <c r="B1774" s="17" t="n"/>
      <c r="C1774" s="17" t="n"/>
      <c r="D1774" s="16" t="n"/>
      <c r="E1774" s="30" t="n"/>
      <c r="F1774" s="17" t="n"/>
      <c r="G1774" s="31">
        <f>IF(C1774="","",IFERROR(INDEX(Categorie!$B$6:$B$65,MATCH(C1774,Categorie!$A$6:$A$65,0))&amp;"",""))</f>
        <v/>
      </c>
      <c r="H1774" s="32">
        <f>IF(AND(A1774="",C1774="",D1774=""),"",IF(D1774="","Manca l'importo",IF(NOT(ISNUMBER(D1774)),"Importo non valido",IF(NOT(ISNUMBER(A1774)),"Data mancante o non valida",IF(YEAR(A1774)&lt;&gt;Impostazioni!$C$4,"Fuori dall'anno",IF(C1774="","Manca la categoria",IF(ISNA(MATCH(C1774,Categorie!$A$6:$A$65,0)),"Categoria non trovata",IF(G1774="","Categoria senza tipo",""))))))))</f>
        <v/>
      </c>
    </row>
    <row r="1775">
      <c r="A1775" s="29" t="n"/>
      <c r="B1775" s="17" t="n"/>
      <c r="C1775" s="17" t="n"/>
      <c r="D1775" s="16" t="n"/>
      <c r="E1775" s="30" t="n"/>
      <c r="F1775" s="17" t="n"/>
      <c r="G1775" s="31">
        <f>IF(C1775="","",IFERROR(INDEX(Categorie!$B$6:$B$65,MATCH(C1775,Categorie!$A$6:$A$65,0))&amp;"",""))</f>
        <v/>
      </c>
      <c r="H1775" s="32">
        <f>IF(AND(A1775="",C1775="",D1775=""),"",IF(D1775="","Manca l'importo",IF(NOT(ISNUMBER(D1775)),"Importo non valido",IF(NOT(ISNUMBER(A1775)),"Data mancante o non valida",IF(YEAR(A1775)&lt;&gt;Impostazioni!$C$4,"Fuori dall'anno",IF(C1775="","Manca la categoria",IF(ISNA(MATCH(C1775,Categorie!$A$6:$A$65,0)),"Categoria non trovata",IF(G1775="","Categoria senza tipo",""))))))))</f>
        <v/>
      </c>
    </row>
    <row r="1776">
      <c r="A1776" s="29" t="n"/>
      <c r="B1776" s="17" t="n"/>
      <c r="C1776" s="17" t="n"/>
      <c r="D1776" s="16" t="n"/>
      <c r="E1776" s="30" t="n"/>
      <c r="F1776" s="17" t="n"/>
      <c r="G1776" s="31">
        <f>IF(C1776="","",IFERROR(INDEX(Categorie!$B$6:$B$65,MATCH(C1776,Categorie!$A$6:$A$65,0))&amp;"",""))</f>
        <v/>
      </c>
      <c r="H1776" s="32">
        <f>IF(AND(A1776="",C1776="",D1776=""),"",IF(D1776="","Manca l'importo",IF(NOT(ISNUMBER(D1776)),"Importo non valido",IF(NOT(ISNUMBER(A1776)),"Data mancante o non valida",IF(YEAR(A1776)&lt;&gt;Impostazioni!$C$4,"Fuori dall'anno",IF(C1776="","Manca la categoria",IF(ISNA(MATCH(C1776,Categorie!$A$6:$A$65,0)),"Categoria non trovata",IF(G1776="","Categoria senza tipo",""))))))))</f>
        <v/>
      </c>
    </row>
    <row r="1777">
      <c r="A1777" s="29" t="n"/>
      <c r="B1777" s="17" t="n"/>
      <c r="C1777" s="17" t="n"/>
      <c r="D1777" s="16" t="n"/>
      <c r="E1777" s="30" t="n"/>
      <c r="F1777" s="17" t="n"/>
      <c r="G1777" s="31">
        <f>IF(C1777="","",IFERROR(INDEX(Categorie!$B$6:$B$65,MATCH(C1777,Categorie!$A$6:$A$65,0))&amp;"",""))</f>
        <v/>
      </c>
      <c r="H1777" s="32">
        <f>IF(AND(A1777="",C1777="",D1777=""),"",IF(D1777="","Manca l'importo",IF(NOT(ISNUMBER(D1777)),"Importo non valido",IF(NOT(ISNUMBER(A1777)),"Data mancante o non valida",IF(YEAR(A1777)&lt;&gt;Impostazioni!$C$4,"Fuori dall'anno",IF(C1777="","Manca la categoria",IF(ISNA(MATCH(C1777,Categorie!$A$6:$A$65,0)),"Categoria non trovata",IF(G1777="","Categoria senza tipo",""))))))))</f>
        <v/>
      </c>
    </row>
    <row r="1778">
      <c r="A1778" s="29" t="n"/>
      <c r="B1778" s="17" t="n"/>
      <c r="C1778" s="17" t="n"/>
      <c r="D1778" s="16" t="n"/>
      <c r="E1778" s="30" t="n"/>
      <c r="F1778" s="17" t="n"/>
      <c r="G1778" s="31">
        <f>IF(C1778="","",IFERROR(INDEX(Categorie!$B$6:$B$65,MATCH(C1778,Categorie!$A$6:$A$65,0))&amp;"",""))</f>
        <v/>
      </c>
      <c r="H1778" s="32">
        <f>IF(AND(A1778="",C1778="",D1778=""),"",IF(D1778="","Manca l'importo",IF(NOT(ISNUMBER(D1778)),"Importo non valido",IF(NOT(ISNUMBER(A1778)),"Data mancante o non valida",IF(YEAR(A1778)&lt;&gt;Impostazioni!$C$4,"Fuori dall'anno",IF(C1778="","Manca la categoria",IF(ISNA(MATCH(C1778,Categorie!$A$6:$A$65,0)),"Categoria non trovata",IF(G1778="","Categoria senza tipo",""))))))))</f>
        <v/>
      </c>
    </row>
    <row r="1779">
      <c r="A1779" s="29" t="n"/>
      <c r="B1779" s="17" t="n"/>
      <c r="C1779" s="17" t="n"/>
      <c r="D1779" s="16" t="n"/>
      <c r="E1779" s="30" t="n"/>
      <c r="F1779" s="17" t="n"/>
      <c r="G1779" s="31">
        <f>IF(C1779="","",IFERROR(INDEX(Categorie!$B$6:$B$65,MATCH(C1779,Categorie!$A$6:$A$65,0))&amp;"",""))</f>
        <v/>
      </c>
      <c r="H1779" s="32">
        <f>IF(AND(A1779="",C1779="",D1779=""),"",IF(D1779="","Manca l'importo",IF(NOT(ISNUMBER(D1779)),"Importo non valido",IF(NOT(ISNUMBER(A1779)),"Data mancante o non valida",IF(YEAR(A1779)&lt;&gt;Impostazioni!$C$4,"Fuori dall'anno",IF(C1779="","Manca la categoria",IF(ISNA(MATCH(C1779,Categorie!$A$6:$A$65,0)),"Categoria non trovata",IF(G1779="","Categoria senza tipo",""))))))))</f>
        <v/>
      </c>
    </row>
    <row r="1780">
      <c r="A1780" s="29" t="n"/>
      <c r="B1780" s="17" t="n"/>
      <c r="C1780" s="17" t="n"/>
      <c r="D1780" s="16" t="n"/>
      <c r="E1780" s="30" t="n"/>
      <c r="F1780" s="17" t="n"/>
      <c r="G1780" s="31">
        <f>IF(C1780="","",IFERROR(INDEX(Categorie!$B$6:$B$65,MATCH(C1780,Categorie!$A$6:$A$65,0))&amp;"",""))</f>
        <v/>
      </c>
      <c r="H1780" s="32">
        <f>IF(AND(A1780="",C1780="",D1780=""),"",IF(D1780="","Manca l'importo",IF(NOT(ISNUMBER(D1780)),"Importo non valido",IF(NOT(ISNUMBER(A1780)),"Data mancante o non valida",IF(YEAR(A1780)&lt;&gt;Impostazioni!$C$4,"Fuori dall'anno",IF(C1780="","Manca la categoria",IF(ISNA(MATCH(C1780,Categorie!$A$6:$A$65,0)),"Categoria non trovata",IF(G1780="","Categoria senza tipo",""))))))))</f>
        <v/>
      </c>
    </row>
    <row r="1781">
      <c r="A1781" s="29" t="n"/>
      <c r="B1781" s="17" t="n"/>
      <c r="C1781" s="17" t="n"/>
      <c r="D1781" s="16" t="n"/>
      <c r="E1781" s="30" t="n"/>
      <c r="F1781" s="17" t="n"/>
      <c r="G1781" s="31">
        <f>IF(C1781="","",IFERROR(INDEX(Categorie!$B$6:$B$65,MATCH(C1781,Categorie!$A$6:$A$65,0))&amp;"",""))</f>
        <v/>
      </c>
      <c r="H1781" s="32">
        <f>IF(AND(A1781="",C1781="",D1781=""),"",IF(D1781="","Manca l'importo",IF(NOT(ISNUMBER(D1781)),"Importo non valido",IF(NOT(ISNUMBER(A1781)),"Data mancante o non valida",IF(YEAR(A1781)&lt;&gt;Impostazioni!$C$4,"Fuori dall'anno",IF(C1781="","Manca la categoria",IF(ISNA(MATCH(C1781,Categorie!$A$6:$A$65,0)),"Categoria non trovata",IF(G1781="","Categoria senza tipo",""))))))))</f>
        <v/>
      </c>
    </row>
    <row r="1782">
      <c r="A1782" s="29" t="n"/>
      <c r="B1782" s="17" t="n"/>
      <c r="C1782" s="17" t="n"/>
      <c r="D1782" s="16" t="n"/>
      <c r="E1782" s="30" t="n"/>
      <c r="F1782" s="17" t="n"/>
      <c r="G1782" s="31">
        <f>IF(C1782="","",IFERROR(INDEX(Categorie!$B$6:$B$65,MATCH(C1782,Categorie!$A$6:$A$65,0))&amp;"",""))</f>
        <v/>
      </c>
      <c r="H1782" s="32">
        <f>IF(AND(A1782="",C1782="",D1782=""),"",IF(D1782="","Manca l'importo",IF(NOT(ISNUMBER(D1782)),"Importo non valido",IF(NOT(ISNUMBER(A1782)),"Data mancante o non valida",IF(YEAR(A1782)&lt;&gt;Impostazioni!$C$4,"Fuori dall'anno",IF(C1782="","Manca la categoria",IF(ISNA(MATCH(C1782,Categorie!$A$6:$A$65,0)),"Categoria non trovata",IF(G1782="","Categoria senza tipo",""))))))))</f>
        <v/>
      </c>
    </row>
    <row r="1783">
      <c r="A1783" s="29" t="n"/>
      <c r="B1783" s="17" t="n"/>
      <c r="C1783" s="17" t="n"/>
      <c r="D1783" s="16" t="n"/>
      <c r="E1783" s="30" t="n"/>
      <c r="F1783" s="17" t="n"/>
      <c r="G1783" s="31">
        <f>IF(C1783="","",IFERROR(INDEX(Categorie!$B$6:$B$65,MATCH(C1783,Categorie!$A$6:$A$65,0))&amp;"",""))</f>
        <v/>
      </c>
      <c r="H1783" s="32">
        <f>IF(AND(A1783="",C1783="",D1783=""),"",IF(D1783="","Manca l'importo",IF(NOT(ISNUMBER(D1783)),"Importo non valido",IF(NOT(ISNUMBER(A1783)),"Data mancante o non valida",IF(YEAR(A1783)&lt;&gt;Impostazioni!$C$4,"Fuori dall'anno",IF(C1783="","Manca la categoria",IF(ISNA(MATCH(C1783,Categorie!$A$6:$A$65,0)),"Categoria non trovata",IF(G1783="","Categoria senza tipo",""))))))))</f>
        <v/>
      </c>
    </row>
    <row r="1784">
      <c r="A1784" s="29" t="n"/>
      <c r="B1784" s="17" t="n"/>
      <c r="C1784" s="17" t="n"/>
      <c r="D1784" s="16" t="n"/>
      <c r="E1784" s="30" t="n"/>
      <c r="F1784" s="17" t="n"/>
      <c r="G1784" s="31">
        <f>IF(C1784="","",IFERROR(INDEX(Categorie!$B$6:$B$65,MATCH(C1784,Categorie!$A$6:$A$65,0))&amp;"",""))</f>
        <v/>
      </c>
      <c r="H1784" s="32">
        <f>IF(AND(A1784="",C1784="",D1784=""),"",IF(D1784="","Manca l'importo",IF(NOT(ISNUMBER(D1784)),"Importo non valido",IF(NOT(ISNUMBER(A1784)),"Data mancante o non valida",IF(YEAR(A1784)&lt;&gt;Impostazioni!$C$4,"Fuori dall'anno",IF(C1784="","Manca la categoria",IF(ISNA(MATCH(C1784,Categorie!$A$6:$A$65,0)),"Categoria non trovata",IF(G1784="","Categoria senza tipo",""))))))))</f>
        <v/>
      </c>
    </row>
    <row r="1785">
      <c r="A1785" s="29" t="n"/>
      <c r="B1785" s="17" t="n"/>
      <c r="C1785" s="17" t="n"/>
      <c r="D1785" s="16" t="n"/>
      <c r="E1785" s="30" t="n"/>
      <c r="F1785" s="17" t="n"/>
      <c r="G1785" s="31">
        <f>IF(C1785="","",IFERROR(INDEX(Categorie!$B$6:$B$65,MATCH(C1785,Categorie!$A$6:$A$65,0))&amp;"",""))</f>
        <v/>
      </c>
      <c r="H1785" s="32">
        <f>IF(AND(A1785="",C1785="",D1785=""),"",IF(D1785="","Manca l'importo",IF(NOT(ISNUMBER(D1785)),"Importo non valido",IF(NOT(ISNUMBER(A1785)),"Data mancante o non valida",IF(YEAR(A1785)&lt;&gt;Impostazioni!$C$4,"Fuori dall'anno",IF(C1785="","Manca la categoria",IF(ISNA(MATCH(C1785,Categorie!$A$6:$A$65,0)),"Categoria non trovata",IF(G1785="","Categoria senza tipo",""))))))))</f>
        <v/>
      </c>
    </row>
    <row r="1786">
      <c r="A1786" s="29" t="n"/>
      <c r="B1786" s="17" t="n"/>
      <c r="C1786" s="17" t="n"/>
      <c r="D1786" s="16" t="n"/>
      <c r="E1786" s="30" t="n"/>
      <c r="F1786" s="17" t="n"/>
      <c r="G1786" s="31">
        <f>IF(C1786="","",IFERROR(INDEX(Categorie!$B$6:$B$65,MATCH(C1786,Categorie!$A$6:$A$65,0))&amp;"",""))</f>
        <v/>
      </c>
      <c r="H1786" s="32">
        <f>IF(AND(A1786="",C1786="",D1786=""),"",IF(D1786="","Manca l'importo",IF(NOT(ISNUMBER(D1786)),"Importo non valido",IF(NOT(ISNUMBER(A1786)),"Data mancante o non valida",IF(YEAR(A1786)&lt;&gt;Impostazioni!$C$4,"Fuori dall'anno",IF(C1786="","Manca la categoria",IF(ISNA(MATCH(C1786,Categorie!$A$6:$A$65,0)),"Categoria non trovata",IF(G1786="","Categoria senza tipo",""))))))))</f>
        <v/>
      </c>
    </row>
    <row r="1787">
      <c r="A1787" s="29" t="n"/>
      <c r="B1787" s="17" t="n"/>
      <c r="C1787" s="17" t="n"/>
      <c r="D1787" s="16" t="n"/>
      <c r="E1787" s="30" t="n"/>
      <c r="F1787" s="17" t="n"/>
      <c r="G1787" s="31">
        <f>IF(C1787="","",IFERROR(INDEX(Categorie!$B$6:$B$65,MATCH(C1787,Categorie!$A$6:$A$65,0))&amp;"",""))</f>
        <v/>
      </c>
      <c r="H1787" s="32">
        <f>IF(AND(A1787="",C1787="",D1787=""),"",IF(D1787="","Manca l'importo",IF(NOT(ISNUMBER(D1787)),"Importo non valido",IF(NOT(ISNUMBER(A1787)),"Data mancante o non valida",IF(YEAR(A1787)&lt;&gt;Impostazioni!$C$4,"Fuori dall'anno",IF(C1787="","Manca la categoria",IF(ISNA(MATCH(C1787,Categorie!$A$6:$A$65,0)),"Categoria non trovata",IF(G1787="","Categoria senza tipo",""))))))))</f>
        <v/>
      </c>
    </row>
    <row r="1788">
      <c r="A1788" s="29" t="n"/>
      <c r="B1788" s="17" t="n"/>
      <c r="C1788" s="17" t="n"/>
      <c r="D1788" s="16" t="n"/>
      <c r="E1788" s="30" t="n"/>
      <c r="F1788" s="17" t="n"/>
      <c r="G1788" s="31">
        <f>IF(C1788="","",IFERROR(INDEX(Categorie!$B$6:$B$65,MATCH(C1788,Categorie!$A$6:$A$65,0))&amp;"",""))</f>
        <v/>
      </c>
      <c r="H1788" s="32">
        <f>IF(AND(A1788="",C1788="",D1788=""),"",IF(D1788="","Manca l'importo",IF(NOT(ISNUMBER(D1788)),"Importo non valido",IF(NOT(ISNUMBER(A1788)),"Data mancante o non valida",IF(YEAR(A1788)&lt;&gt;Impostazioni!$C$4,"Fuori dall'anno",IF(C1788="","Manca la categoria",IF(ISNA(MATCH(C1788,Categorie!$A$6:$A$65,0)),"Categoria non trovata",IF(G1788="","Categoria senza tipo",""))))))))</f>
        <v/>
      </c>
    </row>
    <row r="1789">
      <c r="A1789" s="29" t="n"/>
      <c r="B1789" s="17" t="n"/>
      <c r="C1789" s="17" t="n"/>
      <c r="D1789" s="16" t="n"/>
      <c r="E1789" s="30" t="n"/>
      <c r="F1789" s="17" t="n"/>
      <c r="G1789" s="31">
        <f>IF(C1789="","",IFERROR(INDEX(Categorie!$B$6:$B$65,MATCH(C1789,Categorie!$A$6:$A$65,0))&amp;"",""))</f>
        <v/>
      </c>
      <c r="H1789" s="32">
        <f>IF(AND(A1789="",C1789="",D1789=""),"",IF(D1789="","Manca l'importo",IF(NOT(ISNUMBER(D1789)),"Importo non valido",IF(NOT(ISNUMBER(A1789)),"Data mancante o non valida",IF(YEAR(A1789)&lt;&gt;Impostazioni!$C$4,"Fuori dall'anno",IF(C1789="","Manca la categoria",IF(ISNA(MATCH(C1789,Categorie!$A$6:$A$65,0)),"Categoria non trovata",IF(G1789="","Categoria senza tipo",""))))))))</f>
        <v/>
      </c>
    </row>
    <row r="1790">
      <c r="A1790" s="29" t="n"/>
      <c r="B1790" s="17" t="n"/>
      <c r="C1790" s="17" t="n"/>
      <c r="D1790" s="16" t="n"/>
      <c r="E1790" s="30" t="n"/>
      <c r="F1790" s="17" t="n"/>
      <c r="G1790" s="31">
        <f>IF(C1790="","",IFERROR(INDEX(Categorie!$B$6:$B$65,MATCH(C1790,Categorie!$A$6:$A$65,0))&amp;"",""))</f>
        <v/>
      </c>
      <c r="H1790" s="32">
        <f>IF(AND(A1790="",C1790="",D1790=""),"",IF(D1790="","Manca l'importo",IF(NOT(ISNUMBER(D1790)),"Importo non valido",IF(NOT(ISNUMBER(A1790)),"Data mancante o non valida",IF(YEAR(A1790)&lt;&gt;Impostazioni!$C$4,"Fuori dall'anno",IF(C1790="","Manca la categoria",IF(ISNA(MATCH(C1790,Categorie!$A$6:$A$65,0)),"Categoria non trovata",IF(G1790="","Categoria senza tipo",""))))))))</f>
        <v/>
      </c>
    </row>
    <row r="1791">
      <c r="A1791" s="29" t="n"/>
      <c r="B1791" s="17" t="n"/>
      <c r="C1791" s="17" t="n"/>
      <c r="D1791" s="16" t="n"/>
      <c r="E1791" s="30" t="n"/>
      <c r="F1791" s="17" t="n"/>
      <c r="G1791" s="31">
        <f>IF(C1791="","",IFERROR(INDEX(Categorie!$B$6:$B$65,MATCH(C1791,Categorie!$A$6:$A$65,0))&amp;"",""))</f>
        <v/>
      </c>
      <c r="H1791" s="32">
        <f>IF(AND(A1791="",C1791="",D1791=""),"",IF(D1791="","Manca l'importo",IF(NOT(ISNUMBER(D1791)),"Importo non valido",IF(NOT(ISNUMBER(A1791)),"Data mancante o non valida",IF(YEAR(A1791)&lt;&gt;Impostazioni!$C$4,"Fuori dall'anno",IF(C1791="","Manca la categoria",IF(ISNA(MATCH(C1791,Categorie!$A$6:$A$65,0)),"Categoria non trovata",IF(G1791="","Categoria senza tipo",""))))))))</f>
        <v/>
      </c>
    </row>
    <row r="1792">
      <c r="A1792" s="29" t="n"/>
      <c r="B1792" s="17" t="n"/>
      <c r="C1792" s="17" t="n"/>
      <c r="D1792" s="16" t="n"/>
      <c r="E1792" s="30" t="n"/>
      <c r="F1792" s="17" t="n"/>
      <c r="G1792" s="31">
        <f>IF(C1792="","",IFERROR(INDEX(Categorie!$B$6:$B$65,MATCH(C1792,Categorie!$A$6:$A$65,0))&amp;"",""))</f>
        <v/>
      </c>
      <c r="H1792" s="32">
        <f>IF(AND(A1792="",C1792="",D1792=""),"",IF(D1792="","Manca l'importo",IF(NOT(ISNUMBER(D1792)),"Importo non valido",IF(NOT(ISNUMBER(A1792)),"Data mancante o non valida",IF(YEAR(A1792)&lt;&gt;Impostazioni!$C$4,"Fuori dall'anno",IF(C1792="","Manca la categoria",IF(ISNA(MATCH(C1792,Categorie!$A$6:$A$65,0)),"Categoria non trovata",IF(G1792="","Categoria senza tipo",""))))))))</f>
        <v/>
      </c>
    </row>
    <row r="1793">
      <c r="A1793" s="29" t="n"/>
      <c r="B1793" s="17" t="n"/>
      <c r="C1793" s="17" t="n"/>
      <c r="D1793" s="16" t="n"/>
      <c r="E1793" s="30" t="n"/>
      <c r="F1793" s="17" t="n"/>
      <c r="G1793" s="31">
        <f>IF(C1793="","",IFERROR(INDEX(Categorie!$B$6:$B$65,MATCH(C1793,Categorie!$A$6:$A$65,0))&amp;"",""))</f>
        <v/>
      </c>
      <c r="H1793" s="32">
        <f>IF(AND(A1793="",C1793="",D1793=""),"",IF(D1793="","Manca l'importo",IF(NOT(ISNUMBER(D1793)),"Importo non valido",IF(NOT(ISNUMBER(A1793)),"Data mancante o non valida",IF(YEAR(A1793)&lt;&gt;Impostazioni!$C$4,"Fuori dall'anno",IF(C1793="","Manca la categoria",IF(ISNA(MATCH(C1793,Categorie!$A$6:$A$65,0)),"Categoria non trovata",IF(G1793="","Categoria senza tipo",""))))))))</f>
        <v/>
      </c>
    </row>
    <row r="1794">
      <c r="A1794" s="29" t="n"/>
      <c r="B1794" s="17" t="n"/>
      <c r="C1794" s="17" t="n"/>
      <c r="D1794" s="16" t="n"/>
      <c r="E1794" s="30" t="n"/>
      <c r="F1794" s="17" t="n"/>
      <c r="G1794" s="31">
        <f>IF(C1794="","",IFERROR(INDEX(Categorie!$B$6:$B$65,MATCH(C1794,Categorie!$A$6:$A$65,0))&amp;"",""))</f>
        <v/>
      </c>
      <c r="H1794" s="32">
        <f>IF(AND(A1794="",C1794="",D1794=""),"",IF(D1794="","Manca l'importo",IF(NOT(ISNUMBER(D1794)),"Importo non valido",IF(NOT(ISNUMBER(A1794)),"Data mancante o non valida",IF(YEAR(A1794)&lt;&gt;Impostazioni!$C$4,"Fuori dall'anno",IF(C1794="","Manca la categoria",IF(ISNA(MATCH(C1794,Categorie!$A$6:$A$65,0)),"Categoria non trovata",IF(G1794="","Categoria senza tipo",""))))))))</f>
        <v/>
      </c>
    </row>
    <row r="1795">
      <c r="A1795" s="29" t="n"/>
      <c r="B1795" s="17" t="n"/>
      <c r="C1795" s="17" t="n"/>
      <c r="D1795" s="16" t="n"/>
      <c r="E1795" s="30" t="n"/>
      <c r="F1795" s="17" t="n"/>
      <c r="G1795" s="31">
        <f>IF(C1795="","",IFERROR(INDEX(Categorie!$B$6:$B$65,MATCH(C1795,Categorie!$A$6:$A$65,0))&amp;"",""))</f>
        <v/>
      </c>
      <c r="H1795" s="32">
        <f>IF(AND(A1795="",C1795="",D1795=""),"",IF(D1795="","Manca l'importo",IF(NOT(ISNUMBER(D1795)),"Importo non valido",IF(NOT(ISNUMBER(A1795)),"Data mancante o non valida",IF(YEAR(A1795)&lt;&gt;Impostazioni!$C$4,"Fuori dall'anno",IF(C1795="","Manca la categoria",IF(ISNA(MATCH(C1795,Categorie!$A$6:$A$65,0)),"Categoria non trovata",IF(G1795="","Categoria senza tipo",""))))))))</f>
        <v/>
      </c>
    </row>
    <row r="1796">
      <c r="A1796" s="29" t="n"/>
      <c r="B1796" s="17" t="n"/>
      <c r="C1796" s="17" t="n"/>
      <c r="D1796" s="16" t="n"/>
      <c r="E1796" s="30" t="n"/>
      <c r="F1796" s="17" t="n"/>
      <c r="G1796" s="31">
        <f>IF(C1796="","",IFERROR(INDEX(Categorie!$B$6:$B$65,MATCH(C1796,Categorie!$A$6:$A$65,0))&amp;"",""))</f>
        <v/>
      </c>
      <c r="H1796" s="32">
        <f>IF(AND(A1796="",C1796="",D1796=""),"",IF(D1796="","Manca l'importo",IF(NOT(ISNUMBER(D1796)),"Importo non valido",IF(NOT(ISNUMBER(A1796)),"Data mancante o non valida",IF(YEAR(A1796)&lt;&gt;Impostazioni!$C$4,"Fuori dall'anno",IF(C1796="","Manca la categoria",IF(ISNA(MATCH(C1796,Categorie!$A$6:$A$65,0)),"Categoria non trovata",IF(G1796="","Categoria senza tipo",""))))))))</f>
        <v/>
      </c>
    </row>
    <row r="1797">
      <c r="A1797" s="29" t="n"/>
      <c r="B1797" s="17" t="n"/>
      <c r="C1797" s="17" t="n"/>
      <c r="D1797" s="16" t="n"/>
      <c r="E1797" s="30" t="n"/>
      <c r="F1797" s="17" t="n"/>
      <c r="G1797" s="31">
        <f>IF(C1797="","",IFERROR(INDEX(Categorie!$B$6:$B$65,MATCH(C1797,Categorie!$A$6:$A$65,0))&amp;"",""))</f>
        <v/>
      </c>
      <c r="H1797" s="32">
        <f>IF(AND(A1797="",C1797="",D1797=""),"",IF(D1797="","Manca l'importo",IF(NOT(ISNUMBER(D1797)),"Importo non valido",IF(NOT(ISNUMBER(A1797)),"Data mancante o non valida",IF(YEAR(A1797)&lt;&gt;Impostazioni!$C$4,"Fuori dall'anno",IF(C1797="","Manca la categoria",IF(ISNA(MATCH(C1797,Categorie!$A$6:$A$65,0)),"Categoria non trovata",IF(G1797="","Categoria senza tipo",""))))))))</f>
        <v/>
      </c>
    </row>
    <row r="1798">
      <c r="A1798" s="29" t="n"/>
      <c r="B1798" s="17" t="n"/>
      <c r="C1798" s="17" t="n"/>
      <c r="D1798" s="16" t="n"/>
      <c r="E1798" s="30" t="n"/>
      <c r="F1798" s="17" t="n"/>
      <c r="G1798" s="31">
        <f>IF(C1798="","",IFERROR(INDEX(Categorie!$B$6:$B$65,MATCH(C1798,Categorie!$A$6:$A$65,0))&amp;"",""))</f>
        <v/>
      </c>
      <c r="H1798" s="32">
        <f>IF(AND(A1798="",C1798="",D1798=""),"",IF(D1798="","Manca l'importo",IF(NOT(ISNUMBER(D1798)),"Importo non valido",IF(NOT(ISNUMBER(A1798)),"Data mancante o non valida",IF(YEAR(A1798)&lt;&gt;Impostazioni!$C$4,"Fuori dall'anno",IF(C1798="","Manca la categoria",IF(ISNA(MATCH(C1798,Categorie!$A$6:$A$65,0)),"Categoria non trovata",IF(G1798="","Categoria senza tipo",""))))))))</f>
        <v/>
      </c>
    </row>
    <row r="1799">
      <c r="A1799" s="29" t="n"/>
      <c r="B1799" s="17" t="n"/>
      <c r="C1799" s="17" t="n"/>
      <c r="D1799" s="16" t="n"/>
      <c r="E1799" s="30" t="n"/>
      <c r="F1799" s="17" t="n"/>
      <c r="G1799" s="31">
        <f>IF(C1799="","",IFERROR(INDEX(Categorie!$B$6:$B$65,MATCH(C1799,Categorie!$A$6:$A$65,0))&amp;"",""))</f>
        <v/>
      </c>
      <c r="H1799" s="32">
        <f>IF(AND(A1799="",C1799="",D1799=""),"",IF(D1799="","Manca l'importo",IF(NOT(ISNUMBER(D1799)),"Importo non valido",IF(NOT(ISNUMBER(A1799)),"Data mancante o non valida",IF(YEAR(A1799)&lt;&gt;Impostazioni!$C$4,"Fuori dall'anno",IF(C1799="","Manca la categoria",IF(ISNA(MATCH(C1799,Categorie!$A$6:$A$65,0)),"Categoria non trovata",IF(G1799="","Categoria senza tipo",""))))))))</f>
        <v/>
      </c>
    </row>
    <row r="1800">
      <c r="A1800" s="29" t="n"/>
      <c r="B1800" s="17" t="n"/>
      <c r="C1800" s="17" t="n"/>
      <c r="D1800" s="16" t="n"/>
      <c r="E1800" s="30" t="n"/>
      <c r="F1800" s="17" t="n"/>
      <c r="G1800" s="31">
        <f>IF(C1800="","",IFERROR(INDEX(Categorie!$B$6:$B$65,MATCH(C1800,Categorie!$A$6:$A$65,0))&amp;"",""))</f>
        <v/>
      </c>
      <c r="H1800" s="32">
        <f>IF(AND(A1800="",C1800="",D1800=""),"",IF(D1800="","Manca l'importo",IF(NOT(ISNUMBER(D1800)),"Importo non valido",IF(NOT(ISNUMBER(A1800)),"Data mancante o non valida",IF(YEAR(A1800)&lt;&gt;Impostazioni!$C$4,"Fuori dall'anno",IF(C1800="","Manca la categoria",IF(ISNA(MATCH(C1800,Categorie!$A$6:$A$65,0)),"Categoria non trovata",IF(G1800="","Categoria senza tipo",""))))))))</f>
        <v/>
      </c>
    </row>
    <row r="1801">
      <c r="A1801" s="29" t="n"/>
      <c r="B1801" s="17" t="n"/>
      <c r="C1801" s="17" t="n"/>
      <c r="D1801" s="16" t="n"/>
      <c r="E1801" s="30" t="n"/>
      <c r="F1801" s="17" t="n"/>
      <c r="G1801" s="31">
        <f>IF(C1801="","",IFERROR(INDEX(Categorie!$B$6:$B$65,MATCH(C1801,Categorie!$A$6:$A$65,0))&amp;"",""))</f>
        <v/>
      </c>
      <c r="H1801" s="32">
        <f>IF(AND(A1801="",C1801="",D1801=""),"",IF(D1801="","Manca l'importo",IF(NOT(ISNUMBER(D1801)),"Importo non valido",IF(NOT(ISNUMBER(A1801)),"Data mancante o non valida",IF(YEAR(A1801)&lt;&gt;Impostazioni!$C$4,"Fuori dall'anno",IF(C1801="","Manca la categoria",IF(ISNA(MATCH(C1801,Categorie!$A$6:$A$65,0)),"Categoria non trovata",IF(G1801="","Categoria senza tipo",""))))))))</f>
        <v/>
      </c>
    </row>
    <row r="1802">
      <c r="A1802" s="29" t="n"/>
      <c r="B1802" s="17" t="n"/>
      <c r="C1802" s="17" t="n"/>
      <c r="D1802" s="16" t="n"/>
      <c r="E1802" s="30" t="n"/>
      <c r="F1802" s="17" t="n"/>
      <c r="G1802" s="31">
        <f>IF(C1802="","",IFERROR(INDEX(Categorie!$B$6:$B$65,MATCH(C1802,Categorie!$A$6:$A$65,0))&amp;"",""))</f>
        <v/>
      </c>
      <c r="H1802" s="32">
        <f>IF(AND(A1802="",C1802="",D1802=""),"",IF(D1802="","Manca l'importo",IF(NOT(ISNUMBER(D1802)),"Importo non valido",IF(NOT(ISNUMBER(A1802)),"Data mancante o non valida",IF(YEAR(A1802)&lt;&gt;Impostazioni!$C$4,"Fuori dall'anno",IF(C1802="","Manca la categoria",IF(ISNA(MATCH(C1802,Categorie!$A$6:$A$65,0)),"Categoria non trovata",IF(G1802="","Categoria senza tipo",""))))))))</f>
        <v/>
      </c>
    </row>
    <row r="1803">
      <c r="A1803" s="29" t="n"/>
      <c r="B1803" s="17" t="n"/>
      <c r="C1803" s="17" t="n"/>
      <c r="D1803" s="16" t="n"/>
      <c r="E1803" s="30" t="n"/>
      <c r="F1803" s="17" t="n"/>
      <c r="G1803" s="31">
        <f>IF(C1803="","",IFERROR(INDEX(Categorie!$B$6:$B$65,MATCH(C1803,Categorie!$A$6:$A$65,0))&amp;"",""))</f>
        <v/>
      </c>
      <c r="H1803" s="32">
        <f>IF(AND(A1803="",C1803="",D1803=""),"",IF(D1803="","Manca l'importo",IF(NOT(ISNUMBER(D1803)),"Importo non valido",IF(NOT(ISNUMBER(A1803)),"Data mancante o non valida",IF(YEAR(A1803)&lt;&gt;Impostazioni!$C$4,"Fuori dall'anno",IF(C1803="","Manca la categoria",IF(ISNA(MATCH(C1803,Categorie!$A$6:$A$65,0)),"Categoria non trovata",IF(G1803="","Categoria senza tipo",""))))))))</f>
        <v/>
      </c>
    </row>
    <row r="1804">
      <c r="A1804" s="29" t="n"/>
      <c r="B1804" s="17" t="n"/>
      <c r="C1804" s="17" t="n"/>
      <c r="D1804" s="16" t="n"/>
      <c r="E1804" s="30" t="n"/>
      <c r="F1804" s="17" t="n"/>
      <c r="G1804" s="31">
        <f>IF(C1804="","",IFERROR(INDEX(Categorie!$B$6:$B$65,MATCH(C1804,Categorie!$A$6:$A$65,0))&amp;"",""))</f>
        <v/>
      </c>
      <c r="H1804" s="32">
        <f>IF(AND(A1804="",C1804="",D1804=""),"",IF(D1804="","Manca l'importo",IF(NOT(ISNUMBER(D1804)),"Importo non valido",IF(NOT(ISNUMBER(A1804)),"Data mancante o non valida",IF(YEAR(A1804)&lt;&gt;Impostazioni!$C$4,"Fuori dall'anno",IF(C1804="","Manca la categoria",IF(ISNA(MATCH(C1804,Categorie!$A$6:$A$65,0)),"Categoria non trovata",IF(G1804="","Categoria senza tipo",""))))))))</f>
        <v/>
      </c>
    </row>
    <row r="1805">
      <c r="A1805" s="29" t="n"/>
      <c r="B1805" s="17" t="n"/>
      <c r="C1805" s="17" t="n"/>
      <c r="D1805" s="16" t="n"/>
      <c r="E1805" s="30" t="n"/>
      <c r="F1805" s="17" t="n"/>
      <c r="G1805" s="31">
        <f>IF(C1805="","",IFERROR(INDEX(Categorie!$B$6:$B$65,MATCH(C1805,Categorie!$A$6:$A$65,0))&amp;"",""))</f>
        <v/>
      </c>
      <c r="H1805" s="32">
        <f>IF(AND(A1805="",C1805="",D1805=""),"",IF(D1805="","Manca l'importo",IF(NOT(ISNUMBER(D1805)),"Importo non valido",IF(NOT(ISNUMBER(A1805)),"Data mancante o non valida",IF(YEAR(A1805)&lt;&gt;Impostazioni!$C$4,"Fuori dall'anno",IF(C1805="","Manca la categoria",IF(ISNA(MATCH(C1805,Categorie!$A$6:$A$65,0)),"Categoria non trovata",IF(G1805="","Categoria senza tipo",""))))))))</f>
        <v/>
      </c>
    </row>
    <row r="1806">
      <c r="A1806" s="29" t="n"/>
      <c r="B1806" s="17" t="n"/>
      <c r="C1806" s="17" t="n"/>
      <c r="D1806" s="16" t="n"/>
      <c r="E1806" s="30" t="n"/>
      <c r="F1806" s="17" t="n"/>
      <c r="G1806" s="31">
        <f>IF(C1806="","",IFERROR(INDEX(Categorie!$B$6:$B$65,MATCH(C1806,Categorie!$A$6:$A$65,0))&amp;"",""))</f>
        <v/>
      </c>
      <c r="H1806" s="32">
        <f>IF(AND(A1806="",C1806="",D1806=""),"",IF(D1806="","Manca l'importo",IF(NOT(ISNUMBER(D1806)),"Importo non valido",IF(NOT(ISNUMBER(A1806)),"Data mancante o non valida",IF(YEAR(A1806)&lt;&gt;Impostazioni!$C$4,"Fuori dall'anno",IF(C1806="","Manca la categoria",IF(ISNA(MATCH(C1806,Categorie!$A$6:$A$65,0)),"Categoria non trovata",IF(G1806="","Categoria senza tipo",""))))))))</f>
        <v/>
      </c>
    </row>
    <row r="1807">
      <c r="A1807" s="29" t="n"/>
      <c r="B1807" s="17" t="n"/>
      <c r="C1807" s="17" t="n"/>
      <c r="D1807" s="16" t="n"/>
      <c r="E1807" s="30" t="n"/>
      <c r="F1807" s="17" t="n"/>
      <c r="G1807" s="31">
        <f>IF(C1807="","",IFERROR(INDEX(Categorie!$B$6:$B$65,MATCH(C1807,Categorie!$A$6:$A$65,0))&amp;"",""))</f>
        <v/>
      </c>
      <c r="H1807" s="32">
        <f>IF(AND(A1807="",C1807="",D1807=""),"",IF(D1807="","Manca l'importo",IF(NOT(ISNUMBER(D1807)),"Importo non valido",IF(NOT(ISNUMBER(A1807)),"Data mancante o non valida",IF(YEAR(A1807)&lt;&gt;Impostazioni!$C$4,"Fuori dall'anno",IF(C1807="","Manca la categoria",IF(ISNA(MATCH(C1807,Categorie!$A$6:$A$65,0)),"Categoria non trovata",IF(G1807="","Categoria senza tipo",""))))))))</f>
        <v/>
      </c>
    </row>
    <row r="1808">
      <c r="A1808" s="29" t="n"/>
      <c r="B1808" s="17" t="n"/>
      <c r="C1808" s="17" t="n"/>
      <c r="D1808" s="16" t="n"/>
      <c r="E1808" s="30" t="n"/>
      <c r="F1808" s="17" t="n"/>
      <c r="G1808" s="31">
        <f>IF(C1808="","",IFERROR(INDEX(Categorie!$B$6:$B$65,MATCH(C1808,Categorie!$A$6:$A$65,0))&amp;"",""))</f>
        <v/>
      </c>
      <c r="H1808" s="32">
        <f>IF(AND(A1808="",C1808="",D1808=""),"",IF(D1808="","Manca l'importo",IF(NOT(ISNUMBER(D1808)),"Importo non valido",IF(NOT(ISNUMBER(A1808)),"Data mancante o non valida",IF(YEAR(A1808)&lt;&gt;Impostazioni!$C$4,"Fuori dall'anno",IF(C1808="","Manca la categoria",IF(ISNA(MATCH(C1808,Categorie!$A$6:$A$65,0)),"Categoria non trovata",IF(G1808="","Categoria senza tipo",""))))))))</f>
        <v/>
      </c>
    </row>
    <row r="1809">
      <c r="A1809" s="29" t="n"/>
      <c r="B1809" s="17" t="n"/>
      <c r="C1809" s="17" t="n"/>
      <c r="D1809" s="16" t="n"/>
      <c r="E1809" s="30" t="n"/>
      <c r="F1809" s="17" t="n"/>
      <c r="G1809" s="31">
        <f>IF(C1809="","",IFERROR(INDEX(Categorie!$B$6:$B$65,MATCH(C1809,Categorie!$A$6:$A$65,0))&amp;"",""))</f>
        <v/>
      </c>
      <c r="H1809" s="32">
        <f>IF(AND(A1809="",C1809="",D1809=""),"",IF(D1809="","Manca l'importo",IF(NOT(ISNUMBER(D1809)),"Importo non valido",IF(NOT(ISNUMBER(A1809)),"Data mancante o non valida",IF(YEAR(A1809)&lt;&gt;Impostazioni!$C$4,"Fuori dall'anno",IF(C1809="","Manca la categoria",IF(ISNA(MATCH(C1809,Categorie!$A$6:$A$65,0)),"Categoria non trovata",IF(G1809="","Categoria senza tipo",""))))))))</f>
        <v/>
      </c>
    </row>
    <row r="1810">
      <c r="A1810" s="29" t="n"/>
      <c r="B1810" s="17" t="n"/>
      <c r="C1810" s="17" t="n"/>
      <c r="D1810" s="16" t="n"/>
      <c r="E1810" s="30" t="n"/>
      <c r="F1810" s="17" t="n"/>
      <c r="G1810" s="31">
        <f>IF(C1810="","",IFERROR(INDEX(Categorie!$B$6:$B$65,MATCH(C1810,Categorie!$A$6:$A$65,0))&amp;"",""))</f>
        <v/>
      </c>
      <c r="H1810" s="32">
        <f>IF(AND(A1810="",C1810="",D1810=""),"",IF(D1810="","Manca l'importo",IF(NOT(ISNUMBER(D1810)),"Importo non valido",IF(NOT(ISNUMBER(A1810)),"Data mancante o non valida",IF(YEAR(A1810)&lt;&gt;Impostazioni!$C$4,"Fuori dall'anno",IF(C1810="","Manca la categoria",IF(ISNA(MATCH(C1810,Categorie!$A$6:$A$65,0)),"Categoria non trovata",IF(G1810="","Categoria senza tipo",""))))))))</f>
        <v/>
      </c>
    </row>
    <row r="1811">
      <c r="A1811" s="29" t="n"/>
      <c r="B1811" s="17" t="n"/>
      <c r="C1811" s="17" t="n"/>
      <c r="D1811" s="16" t="n"/>
      <c r="E1811" s="30" t="n"/>
      <c r="F1811" s="17" t="n"/>
      <c r="G1811" s="31">
        <f>IF(C1811="","",IFERROR(INDEX(Categorie!$B$6:$B$65,MATCH(C1811,Categorie!$A$6:$A$65,0))&amp;"",""))</f>
        <v/>
      </c>
      <c r="H1811" s="32">
        <f>IF(AND(A1811="",C1811="",D1811=""),"",IF(D1811="","Manca l'importo",IF(NOT(ISNUMBER(D1811)),"Importo non valido",IF(NOT(ISNUMBER(A1811)),"Data mancante o non valida",IF(YEAR(A1811)&lt;&gt;Impostazioni!$C$4,"Fuori dall'anno",IF(C1811="","Manca la categoria",IF(ISNA(MATCH(C1811,Categorie!$A$6:$A$65,0)),"Categoria non trovata",IF(G1811="","Categoria senza tipo",""))))))))</f>
        <v/>
      </c>
    </row>
    <row r="1812">
      <c r="A1812" s="29" t="n"/>
      <c r="B1812" s="17" t="n"/>
      <c r="C1812" s="17" t="n"/>
      <c r="D1812" s="16" t="n"/>
      <c r="E1812" s="30" t="n"/>
      <c r="F1812" s="17" t="n"/>
      <c r="G1812" s="31">
        <f>IF(C1812="","",IFERROR(INDEX(Categorie!$B$6:$B$65,MATCH(C1812,Categorie!$A$6:$A$65,0))&amp;"",""))</f>
        <v/>
      </c>
      <c r="H1812" s="32">
        <f>IF(AND(A1812="",C1812="",D1812=""),"",IF(D1812="","Manca l'importo",IF(NOT(ISNUMBER(D1812)),"Importo non valido",IF(NOT(ISNUMBER(A1812)),"Data mancante o non valida",IF(YEAR(A1812)&lt;&gt;Impostazioni!$C$4,"Fuori dall'anno",IF(C1812="","Manca la categoria",IF(ISNA(MATCH(C1812,Categorie!$A$6:$A$65,0)),"Categoria non trovata",IF(G1812="","Categoria senza tipo",""))))))))</f>
        <v/>
      </c>
    </row>
    <row r="1813">
      <c r="A1813" s="29" t="n"/>
      <c r="B1813" s="17" t="n"/>
      <c r="C1813" s="17" t="n"/>
      <c r="D1813" s="16" t="n"/>
      <c r="E1813" s="30" t="n"/>
      <c r="F1813" s="17" t="n"/>
      <c r="G1813" s="31">
        <f>IF(C1813="","",IFERROR(INDEX(Categorie!$B$6:$B$65,MATCH(C1813,Categorie!$A$6:$A$65,0))&amp;"",""))</f>
        <v/>
      </c>
      <c r="H1813" s="32">
        <f>IF(AND(A1813="",C1813="",D1813=""),"",IF(D1813="","Manca l'importo",IF(NOT(ISNUMBER(D1813)),"Importo non valido",IF(NOT(ISNUMBER(A1813)),"Data mancante o non valida",IF(YEAR(A1813)&lt;&gt;Impostazioni!$C$4,"Fuori dall'anno",IF(C1813="","Manca la categoria",IF(ISNA(MATCH(C1813,Categorie!$A$6:$A$65,0)),"Categoria non trovata",IF(G1813="","Categoria senza tipo",""))))))))</f>
        <v/>
      </c>
    </row>
    <row r="1814">
      <c r="A1814" s="29" t="n"/>
      <c r="B1814" s="17" t="n"/>
      <c r="C1814" s="17" t="n"/>
      <c r="D1814" s="16" t="n"/>
      <c r="E1814" s="30" t="n"/>
      <c r="F1814" s="17" t="n"/>
      <c r="G1814" s="31">
        <f>IF(C1814="","",IFERROR(INDEX(Categorie!$B$6:$B$65,MATCH(C1814,Categorie!$A$6:$A$65,0))&amp;"",""))</f>
        <v/>
      </c>
      <c r="H1814" s="32">
        <f>IF(AND(A1814="",C1814="",D1814=""),"",IF(D1814="","Manca l'importo",IF(NOT(ISNUMBER(D1814)),"Importo non valido",IF(NOT(ISNUMBER(A1814)),"Data mancante o non valida",IF(YEAR(A1814)&lt;&gt;Impostazioni!$C$4,"Fuori dall'anno",IF(C1814="","Manca la categoria",IF(ISNA(MATCH(C1814,Categorie!$A$6:$A$65,0)),"Categoria non trovata",IF(G1814="","Categoria senza tipo",""))))))))</f>
        <v/>
      </c>
    </row>
    <row r="1815">
      <c r="A1815" s="29" t="n"/>
      <c r="B1815" s="17" t="n"/>
      <c r="C1815" s="17" t="n"/>
      <c r="D1815" s="16" t="n"/>
      <c r="E1815" s="30" t="n"/>
      <c r="F1815" s="17" t="n"/>
      <c r="G1815" s="31">
        <f>IF(C1815="","",IFERROR(INDEX(Categorie!$B$6:$B$65,MATCH(C1815,Categorie!$A$6:$A$65,0))&amp;"",""))</f>
        <v/>
      </c>
      <c r="H1815" s="32">
        <f>IF(AND(A1815="",C1815="",D1815=""),"",IF(D1815="","Manca l'importo",IF(NOT(ISNUMBER(D1815)),"Importo non valido",IF(NOT(ISNUMBER(A1815)),"Data mancante o non valida",IF(YEAR(A1815)&lt;&gt;Impostazioni!$C$4,"Fuori dall'anno",IF(C1815="","Manca la categoria",IF(ISNA(MATCH(C1815,Categorie!$A$6:$A$65,0)),"Categoria non trovata",IF(G1815="","Categoria senza tipo",""))))))))</f>
        <v/>
      </c>
    </row>
    <row r="1816">
      <c r="A1816" s="29" t="n"/>
      <c r="B1816" s="17" t="n"/>
      <c r="C1816" s="17" t="n"/>
      <c r="D1816" s="16" t="n"/>
      <c r="E1816" s="30" t="n"/>
      <c r="F1816" s="17" t="n"/>
      <c r="G1816" s="31">
        <f>IF(C1816="","",IFERROR(INDEX(Categorie!$B$6:$B$65,MATCH(C1816,Categorie!$A$6:$A$65,0))&amp;"",""))</f>
        <v/>
      </c>
      <c r="H1816" s="32">
        <f>IF(AND(A1816="",C1816="",D1816=""),"",IF(D1816="","Manca l'importo",IF(NOT(ISNUMBER(D1816)),"Importo non valido",IF(NOT(ISNUMBER(A1816)),"Data mancante o non valida",IF(YEAR(A1816)&lt;&gt;Impostazioni!$C$4,"Fuori dall'anno",IF(C1816="","Manca la categoria",IF(ISNA(MATCH(C1816,Categorie!$A$6:$A$65,0)),"Categoria non trovata",IF(G1816="","Categoria senza tipo",""))))))))</f>
        <v/>
      </c>
    </row>
    <row r="1817">
      <c r="A1817" s="29" t="n"/>
      <c r="B1817" s="17" t="n"/>
      <c r="C1817" s="17" t="n"/>
      <c r="D1817" s="16" t="n"/>
      <c r="E1817" s="30" t="n"/>
      <c r="F1817" s="17" t="n"/>
      <c r="G1817" s="31">
        <f>IF(C1817="","",IFERROR(INDEX(Categorie!$B$6:$B$65,MATCH(C1817,Categorie!$A$6:$A$65,0))&amp;"",""))</f>
        <v/>
      </c>
      <c r="H1817" s="32">
        <f>IF(AND(A1817="",C1817="",D1817=""),"",IF(D1817="","Manca l'importo",IF(NOT(ISNUMBER(D1817)),"Importo non valido",IF(NOT(ISNUMBER(A1817)),"Data mancante o non valida",IF(YEAR(A1817)&lt;&gt;Impostazioni!$C$4,"Fuori dall'anno",IF(C1817="","Manca la categoria",IF(ISNA(MATCH(C1817,Categorie!$A$6:$A$65,0)),"Categoria non trovata",IF(G1817="","Categoria senza tipo",""))))))))</f>
        <v/>
      </c>
    </row>
    <row r="1818">
      <c r="A1818" s="29" t="n"/>
      <c r="B1818" s="17" t="n"/>
      <c r="C1818" s="17" t="n"/>
      <c r="D1818" s="16" t="n"/>
      <c r="E1818" s="30" t="n"/>
      <c r="F1818" s="17" t="n"/>
      <c r="G1818" s="31">
        <f>IF(C1818="","",IFERROR(INDEX(Categorie!$B$6:$B$65,MATCH(C1818,Categorie!$A$6:$A$65,0))&amp;"",""))</f>
        <v/>
      </c>
      <c r="H1818" s="32">
        <f>IF(AND(A1818="",C1818="",D1818=""),"",IF(D1818="","Manca l'importo",IF(NOT(ISNUMBER(D1818)),"Importo non valido",IF(NOT(ISNUMBER(A1818)),"Data mancante o non valida",IF(YEAR(A1818)&lt;&gt;Impostazioni!$C$4,"Fuori dall'anno",IF(C1818="","Manca la categoria",IF(ISNA(MATCH(C1818,Categorie!$A$6:$A$65,0)),"Categoria non trovata",IF(G1818="","Categoria senza tipo",""))))))))</f>
        <v/>
      </c>
    </row>
    <row r="1819">
      <c r="A1819" s="29" t="n"/>
      <c r="B1819" s="17" t="n"/>
      <c r="C1819" s="17" t="n"/>
      <c r="D1819" s="16" t="n"/>
      <c r="E1819" s="30" t="n"/>
      <c r="F1819" s="17" t="n"/>
      <c r="G1819" s="31">
        <f>IF(C1819="","",IFERROR(INDEX(Categorie!$B$6:$B$65,MATCH(C1819,Categorie!$A$6:$A$65,0))&amp;"",""))</f>
        <v/>
      </c>
      <c r="H1819" s="32">
        <f>IF(AND(A1819="",C1819="",D1819=""),"",IF(D1819="","Manca l'importo",IF(NOT(ISNUMBER(D1819)),"Importo non valido",IF(NOT(ISNUMBER(A1819)),"Data mancante o non valida",IF(YEAR(A1819)&lt;&gt;Impostazioni!$C$4,"Fuori dall'anno",IF(C1819="","Manca la categoria",IF(ISNA(MATCH(C1819,Categorie!$A$6:$A$65,0)),"Categoria non trovata",IF(G1819="","Categoria senza tipo",""))))))))</f>
        <v/>
      </c>
    </row>
    <row r="1820">
      <c r="A1820" s="29" t="n"/>
      <c r="B1820" s="17" t="n"/>
      <c r="C1820" s="17" t="n"/>
      <c r="D1820" s="16" t="n"/>
      <c r="E1820" s="30" t="n"/>
      <c r="F1820" s="17" t="n"/>
      <c r="G1820" s="31">
        <f>IF(C1820="","",IFERROR(INDEX(Categorie!$B$6:$B$65,MATCH(C1820,Categorie!$A$6:$A$65,0))&amp;"",""))</f>
        <v/>
      </c>
      <c r="H1820" s="32">
        <f>IF(AND(A1820="",C1820="",D1820=""),"",IF(D1820="","Manca l'importo",IF(NOT(ISNUMBER(D1820)),"Importo non valido",IF(NOT(ISNUMBER(A1820)),"Data mancante o non valida",IF(YEAR(A1820)&lt;&gt;Impostazioni!$C$4,"Fuori dall'anno",IF(C1820="","Manca la categoria",IF(ISNA(MATCH(C1820,Categorie!$A$6:$A$65,0)),"Categoria non trovata",IF(G1820="","Categoria senza tipo",""))))))))</f>
        <v/>
      </c>
    </row>
    <row r="1821">
      <c r="A1821" s="29" t="n"/>
      <c r="B1821" s="17" t="n"/>
      <c r="C1821" s="17" t="n"/>
      <c r="D1821" s="16" t="n"/>
      <c r="E1821" s="30" t="n"/>
      <c r="F1821" s="17" t="n"/>
      <c r="G1821" s="31">
        <f>IF(C1821="","",IFERROR(INDEX(Categorie!$B$6:$B$65,MATCH(C1821,Categorie!$A$6:$A$65,0))&amp;"",""))</f>
        <v/>
      </c>
      <c r="H1821" s="32">
        <f>IF(AND(A1821="",C1821="",D1821=""),"",IF(D1821="","Manca l'importo",IF(NOT(ISNUMBER(D1821)),"Importo non valido",IF(NOT(ISNUMBER(A1821)),"Data mancante o non valida",IF(YEAR(A1821)&lt;&gt;Impostazioni!$C$4,"Fuori dall'anno",IF(C1821="","Manca la categoria",IF(ISNA(MATCH(C1821,Categorie!$A$6:$A$65,0)),"Categoria non trovata",IF(G1821="","Categoria senza tipo",""))))))))</f>
        <v/>
      </c>
    </row>
    <row r="1822">
      <c r="A1822" s="29" t="n"/>
      <c r="B1822" s="17" t="n"/>
      <c r="C1822" s="17" t="n"/>
      <c r="D1822" s="16" t="n"/>
      <c r="E1822" s="30" t="n"/>
      <c r="F1822" s="17" t="n"/>
      <c r="G1822" s="31">
        <f>IF(C1822="","",IFERROR(INDEX(Categorie!$B$6:$B$65,MATCH(C1822,Categorie!$A$6:$A$65,0))&amp;"",""))</f>
        <v/>
      </c>
      <c r="H1822" s="32">
        <f>IF(AND(A1822="",C1822="",D1822=""),"",IF(D1822="","Manca l'importo",IF(NOT(ISNUMBER(D1822)),"Importo non valido",IF(NOT(ISNUMBER(A1822)),"Data mancante o non valida",IF(YEAR(A1822)&lt;&gt;Impostazioni!$C$4,"Fuori dall'anno",IF(C1822="","Manca la categoria",IF(ISNA(MATCH(C1822,Categorie!$A$6:$A$65,0)),"Categoria non trovata",IF(G1822="","Categoria senza tipo",""))))))))</f>
        <v/>
      </c>
    </row>
    <row r="1823">
      <c r="A1823" s="29" t="n"/>
      <c r="B1823" s="17" t="n"/>
      <c r="C1823" s="17" t="n"/>
      <c r="D1823" s="16" t="n"/>
      <c r="E1823" s="30" t="n"/>
      <c r="F1823" s="17" t="n"/>
      <c r="G1823" s="31">
        <f>IF(C1823="","",IFERROR(INDEX(Categorie!$B$6:$B$65,MATCH(C1823,Categorie!$A$6:$A$65,0))&amp;"",""))</f>
        <v/>
      </c>
      <c r="H1823" s="32">
        <f>IF(AND(A1823="",C1823="",D1823=""),"",IF(D1823="","Manca l'importo",IF(NOT(ISNUMBER(D1823)),"Importo non valido",IF(NOT(ISNUMBER(A1823)),"Data mancante o non valida",IF(YEAR(A1823)&lt;&gt;Impostazioni!$C$4,"Fuori dall'anno",IF(C1823="","Manca la categoria",IF(ISNA(MATCH(C1823,Categorie!$A$6:$A$65,0)),"Categoria non trovata",IF(G1823="","Categoria senza tipo",""))))))))</f>
        <v/>
      </c>
    </row>
    <row r="1824">
      <c r="A1824" s="29" t="n"/>
      <c r="B1824" s="17" t="n"/>
      <c r="C1824" s="17" t="n"/>
      <c r="D1824" s="16" t="n"/>
      <c r="E1824" s="30" t="n"/>
      <c r="F1824" s="17" t="n"/>
      <c r="G1824" s="31">
        <f>IF(C1824="","",IFERROR(INDEX(Categorie!$B$6:$B$65,MATCH(C1824,Categorie!$A$6:$A$65,0))&amp;"",""))</f>
        <v/>
      </c>
      <c r="H1824" s="32">
        <f>IF(AND(A1824="",C1824="",D1824=""),"",IF(D1824="","Manca l'importo",IF(NOT(ISNUMBER(D1824)),"Importo non valido",IF(NOT(ISNUMBER(A1824)),"Data mancante o non valida",IF(YEAR(A1824)&lt;&gt;Impostazioni!$C$4,"Fuori dall'anno",IF(C1824="","Manca la categoria",IF(ISNA(MATCH(C1824,Categorie!$A$6:$A$65,0)),"Categoria non trovata",IF(G1824="","Categoria senza tipo",""))))))))</f>
        <v/>
      </c>
    </row>
    <row r="1825">
      <c r="A1825" s="29" t="n"/>
      <c r="B1825" s="17" t="n"/>
      <c r="C1825" s="17" t="n"/>
      <c r="D1825" s="16" t="n"/>
      <c r="E1825" s="30" t="n"/>
      <c r="F1825" s="17" t="n"/>
      <c r="G1825" s="31">
        <f>IF(C1825="","",IFERROR(INDEX(Categorie!$B$6:$B$65,MATCH(C1825,Categorie!$A$6:$A$65,0))&amp;"",""))</f>
        <v/>
      </c>
      <c r="H1825" s="32">
        <f>IF(AND(A1825="",C1825="",D1825=""),"",IF(D1825="","Manca l'importo",IF(NOT(ISNUMBER(D1825)),"Importo non valido",IF(NOT(ISNUMBER(A1825)),"Data mancante o non valida",IF(YEAR(A1825)&lt;&gt;Impostazioni!$C$4,"Fuori dall'anno",IF(C1825="","Manca la categoria",IF(ISNA(MATCH(C1825,Categorie!$A$6:$A$65,0)),"Categoria non trovata",IF(G1825="","Categoria senza tipo",""))))))))</f>
        <v/>
      </c>
    </row>
    <row r="1826">
      <c r="A1826" s="29" t="n"/>
      <c r="B1826" s="17" t="n"/>
      <c r="C1826" s="17" t="n"/>
      <c r="D1826" s="16" t="n"/>
      <c r="E1826" s="30" t="n"/>
      <c r="F1826" s="17" t="n"/>
      <c r="G1826" s="31">
        <f>IF(C1826="","",IFERROR(INDEX(Categorie!$B$6:$B$65,MATCH(C1826,Categorie!$A$6:$A$65,0))&amp;"",""))</f>
        <v/>
      </c>
      <c r="H1826" s="32">
        <f>IF(AND(A1826="",C1826="",D1826=""),"",IF(D1826="","Manca l'importo",IF(NOT(ISNUMBER(D1826)),"Importo non valido",IF(NOT(ISNUMBER(A1826)),"Data mancante o non valida",IF(YEAR(A1826)&lt;&gt;Impostazioni!$C$4,"Fuori dall'anno",IF(C1826="","Manca la categoria",IF(ISNA(MATCH(C1826,Categorie!$A$6:$A$65,0)),"Categoria non trovata",IF(G1826="","Categoria senza tipo",""))))))))</f>
        <v/>
      </c>
    </row>
    <row r="1827">
      <c r="A1827" s="29" t="n"/>
      <c r="B1827" s="17" t="n"/>
      <c r="C1827" s="17" t="n"/>
      <c r="D1827" s="16" t="n"/>
      <c r="E1827" s="30" t="n"/>
      <c r="F1827" s="17" t="n"/>
      <c r="G1827" s="31">
        <f>IF(C1827="","",IFERROR(INDEX(Categorie!$B$6:$B$65,MATCH(C1827,Categorie!$A$6:$A$65,0))&amp;"",""))</f>
        <v/>
      </c>
      <c r="H1827" s="32">
        <f>IF(AND(A1827="",C1827="",D1827=""),"",IF(D1827="","Manca l'importo",IF(NOT(ISNUMBER(D1827)),"Importo non valido",IF(NOT(ISNUMBER(A1827)),"Data mancante o non valida",IF(YEAR(A1827)&lt;&gt;Impostazioni!$C$4,"Fuori dall'anno",IF(C1827="","Manca la categoria",IF(ISNA(MATCH(C1827,Categorie!$A$6:$A$65,0)),"Categoria non trovata",IF(G1827="","Categoria senza tipo",""))))))))</f>
        <v/>
      </c>
    </row>
    <row r="1828">
      <c r="A1828" s="29" t="n"/>
      <c r="B1828" s="17" t="n"/>
      <c r="C1828" s="17" t="n"/>
      <c r="D1828" s="16" t="n"/>
      <c r="E1828" s="30" t="n"/>
      <c r="F1828" s="17" t="n"/>
      <c r="G1828" s="31">
        <f>IF(C1828="","",IFERROR(INDEX(Categorie!$B$6:$B$65,MATCH(C1828,Categorie!$A$6:$A$65,0))&amp;"",""))</f>
        <v/>
      </c>
      <c r="H1828" s="32">
        <f>IF(AND(A1828="",C1828="",D1828=""),"",IF(D1828="","Manca l'importo",IF(NOT(ISNUMBER(D1828)),"Importo non valido",IF(NOT(ISNUMBER(A1828)),"Data mancante o non valida",IF(YEAR(A1828)&lt;&gt;Impostazioni!$C$4,"Fuori dall'anno",IF(C1828="","Manca la categoria",IF(ISNA(MATCH(C1828,Categorie!$A$6:$A$65,0)),"Categoria non trovata",IF(G1828="","Categoria senza tipo",""))))))))</f>
        <v/>
      </c>
    </row>
    <row r="1829">
      <c r="A1829" s="29" t="n"/>
      <c r="B1829" s="17" t="n"/>
      <c r="C1829" s="17" t="n"/>
      <c r="D1829" s="16" t="n"/>
      <c r="E1829" s="30" t="n"/>
      <c r="F1829" s="17" t="n"/>
      <c r="G1829" s="31">
        <f>IF(C1829="","",IFERROR(INDEX(Categorie!$B$6:$B$65,MATCH(C1829,Categorie!$A$6:$A$65,0))&amp;"",""))</f>
        <v/>
      </c>
      <c r="H1829" s="32">
        <f>IF(AND(A1829="",C1829="",D1829=""),"",IF(D1829="","Manca l'importo",IF(NOT(ISNUMBER(D1829)),"Importo non valido",IF(NOT(ISNUMBER(A1829)),"Data mancante o non valida",IF(YEAR(A1829)&lt;&gt;Impostazioni!$C$4,"Fuori dall'anno",IF(C1829="","Manca la categoria",IF(ISNA(MATCH(C1829,Categorie!$A$6:$A$65,0)),"Categoria non trovata",IF(G1829="","Categoria senza tipo",""))))))))</f>
        <v/>
      </c>
    </row>
    <row r="1830">
      <c r="A1830" s="29" t="n"/>
      <c r="B1830" s="17" t="n"/>
      <c r="C1830" s="17" t="n"/>
      <c r="D1830" s="16" t="n"/>
      <c r="E1830" s="30" t="n"/>
      <c r="F1830" s="17" t="n"/>
      <c r="G1830" s="31">
        <f>IF(C1830="","",IFERROR(INDEX(Categorie!$B$6:$B$65,MATCH(C1830,Categorie!$A$6:$A$65,0))&amp;"",""))</f>
        <v/>
      </c>
      <c r="H1830" s="32">
        <f>IF(AND(A1830="",C1830="",D1830=""),"",IF(D1830="","Manca l'importo",IF(NOT(ISNUMBER(D1830)),"Importo non valido",IF(NOT(ISNUMBER(A1830)),"Data mancante o non valida",IF(YEAR(A1830)&lt;&gt;Impostazioni!$C$4,"Fuori dall'anno",IF(C1830="","Manca la categoria",IF(ISNA(MATCH(C1830,Categorie!$A$6:$A$65,0)),"Categoria non trovata",IF(G1830="","Categoria senza tipo",""))))))))</f>
        <v/>
      </c>
    </row>
    <row r="1831">
      <c r="A1831" s="29" t="n"/>
      <c r="B1831" s="17" t="n"/>
      <c r="C1831" s="17" t="n"/>
      <c r="D1831" s="16" t="n"/>
      <c r="E1831" s="30" t="n"/>
      <c r="F1831" s="17" t="n"/>
      <c r="G1831" s="31">
        <f>IF(C1831="","",IFERROR(INDEX(Categorie!$B$6:$B$65,MATCH(C1831,Categorie!$A$6:$A$65,0))&amp;"",""))</f>
        <v/>
      </c>
      <c r="H1831" s="32">
        <f>IF(AND(A1831="",C1831="",D1831=""),"",IF(D1831="","Manca l'importo",IF(NOT(ISNUMBER(D1831)),"Importo non valido",IF(NOT(ISNUMBER(A1831)),"Data mancante o non valida",IF(YEAR(A1831)&lt;&gt;Impostazioni!$C$4,"Fuori dall'anno",IF(C1831="","Manca la categoria",IF(ISNA(MATCH(C1831,Categorie!$A$6:$A$65,0)),"Categoria non trovata",IF(G1831="","Categoria senza tipo",""))))))))</f>
        <v/>
      </c>
    </row>
    <row r="1832">
      <c r="A1832" s="29" t="n"/>
      <c r="B1832" s="17" t="n"/>
      <c r="C1832" s="17" t="n"/>
      <c r="D1832" s="16" t="n"/>
      <c r="E1832" s="30" t="n"/>
      <c r="F1832" s="17" t="n"/>
      <c r="G1832" s="31">
        <f>IF(C1832="","",IFERROR(INDEX(Categorie!$B$6:$B$65,MATCH(C1832,Categorie!$A$6:$A$65,0))&amp;"",""))</f>
        <v/>
      </c>
      <c r="H1832" s="32">
        <f>IF(AND(A1832="",C1832="",D1832=""),"",IF(D1832="","Manca l'importo",IF(NOT(ISNUMBER(D1832)),"Importo non valido",IF(NOT(ISNUMBER(A1832)),"Data mancante o non valida",IF(YEAR(A1832)&lt;&gt;Impostazioni!$C$4,"Fuori dall'anno",IF(C1832="","Manca la categoria",IF(ISNA(MATCH(C1832,Categorie!$A$6:$A$65,0)),"Categoria non trovata",IF(G1832="","Categoria senza tipo",""))))))))</f>
        <v/>
      </c>
    </row>
    <row r="1833">
      <c r="A1833" s="29" t="n"/>
      <c r="B1833" s="17" t="n"/>
      <c r="C1833" s="17" t="n"/>
      <c r="D1833" s="16" t="n"/>
      <c r="E1833" s="30" t="n"/>
      <c r="F1833" s="17" t="n"/>
      <c r="G1833" s="31">
        <f>IF(C1833="","",IFERROR(INDEX(Categorie!$B$6:$B$65,MATCH(C1833,Categorie!$A$6:$A$65,0))&amp;"",""))</f>
        <v/>
      </c>
      <c r="H1833" s="32">
        <f>IF(AND(A1833="",C1833="",D1833=""),"",IF(D1833="","Manca l'importo",IF(NOT(ISNUMBER(D1833)),"Importo non valido",IF(NOT(ISNUMBER(A1833)),"Data mancante o non valida",IF(YEAR(A1833)&lt;&gt;Impostazioni!$C$4,"Fuori dall'anno",IF(C1833="","Manca la categoria",IF(ISNA(MATCH(C1833,Categorie!$A$6:$A$65,0)),"Categoria non trovata",IF(G1833="","Categoria senza tipo",""))))))))</f>
        <v/>
      </c>
    </row>
    <row r="1834">
      <c r="A1834" s="29" t="n"/>
      <c r="B1834" s="17" t="n"/>
      <c r="C1834" s="17" t="n"/>
      <c r="D1834" s="16" t="n"/>
      <c r="E1834" s="30" t="n"/>
      <c r="F1834" s="17" t="n"/>
      <c r="G1834" s="31">
        <f>IF(C1834="","",IFERROR(INDEX(Categorie!$B$6:$B$65,MATCH(C1834,Categorie!$A$6:$A$65,0))&amp;"",""))</f>
        <v/>
      </c>
      <c r="H1834" s="32">
        <f>IF(AND(A1834="",C1834="",D1834=""),"",IF(D1834="","Manca l'importo",IF(NOT(ISNUMBER(D1834)),"Importo non valido",IF(NOT(ISNUMBER(A1834)),"Data mancante o non valida",IF(YEAR(A1834)&lt;&gt;Impostazioni!$C$4,"Fuori dall'anno",IF(C1834="","Manca la categoria",IF(ISNA(MATCH(C1834,Categorie!$A$6:$A$65,0)),"Categoria non trovata",IF(G1834="","Categoria senza tipo",""))))))))</f>
        <v/>
      </c>
    </row>
    <row r="1835">
      <c r="A1835" s="29" t="n"/>
      <c r="B1835" s="17" t="n"/>
      <c r="C1835" s="17" t="n"/>
      <c r="D1835" s="16" t="n"/>
      <c r="E1835" s="30" t="n"/>
      <c r="F1835" s="17" t="n"/>
      <c r="G1835" s="31">
        <f>IF(C1835="","",IFERROR(INDEX(Categorie!$B$6:$B$65,MATCH(C1835,Categorie!$A$6:$A$65,0))&amp;"",""))</f>
        <v/>
      </c>
      <c r="H1835" s="32">
        <f>IF(AND(A1835="",C1835="",D1835=""),"",IF(D1835="","Manca l'importo",IF(NOT(ISNUMBER(D1835)),"Importo non valido",IF(NOT(ISNUMBER(A1835)),"Data mancante o non valida",IF(YEAR(A1835)&lt;&gt;Impostazioni!$C$4,"Fuori dall'anno",IF(C1835="","Manca la categoria",IF(ISNA(MATCH(C1835,Categorie!$A$6:$A$65,0)),"Categoria non trovata",IF(G1835="","Categoria senza tipo",""))))))))</f>
        <v/>
      </c>
    </row>
    <row r="1836">
      <c r="A1836" s="29" t="n"/>
      <c r="B1836" s="17" t="n"/>
      <c r="C1836" s="17" t="n"/>
      <c r="D1836" s="16" t="n"/>
      <c r="E1836" s="30" t="n"/>
      <c r="F1836" s="17" t="n"/>
      <c r="G1836" s="31">
        <f>IF(C1836="","",IFERROR(INDEX(Categorie!$B$6:$B$65,MATCH(C1836,Categorie!$A$6:$A$65,0))&amp;"",""))</f>
        <v/>
      </c>
      <c r="H1836" s="32">
        <f>IF(AND(A1836="",C1836="",D1836=""),"",IF(D1836="","Manca l'importo",IF(NOT(ISNUMBER(D1836)),"Importo non valido",IF(NOT(ISNUMBER(A1836)),"Data mancante o non valida",IF(YEAR(A1836)&lt;&gt;Impostazioni!$C$4,"Fuori dall'anno",IF(C1836="","Manca la categoria",IF(ISNA(MATCH(C1836,Categorie!$A$6:$A$65,0)),"Categoria non trovata",IF(G1836="","Categoria senza tipo",""))))))))</f>
        <v/>
      </c>
    </row>
    <row r="1837">
      <c r="A1837" s="29" t="n"/>
      <c r="B1837" s="17" t="n"/>
      <c r="C1837" s="17" t="n"/>
      <c r="D1837" s="16" t="n"/>
      <c r="E1837" s="30" t="n"/>
      <c r="F1837" s="17" t="n"/>
      <c r="G1837" s="31">
        <f>IF(C1837="","",IFERROR(INDEX(Categorie!$B$6:$B$65,MATCH(C1837,Categorie!$A$6:$A$65,0))&amp;"",""))</f>
        <v/>
      </c>
      <c r="H1837" s="32">
        <f>IF(AND(A1837="",C1837="",D1837=""),"",IF(D1837="","Manca l'importo",IF(NOT(ISNUMBER(D1837)),"Importo non valido",IF(NOT(ISNUMBER(A1837)),"Data mancante o non valida",IF(YEAR(A1837)&lt;&gt;Impostazioni!$C$4,"Fuori dall'anno",IF(C1837="","Manca la categoria",IF(ISNA(MATCH(C1837,Categorie!$A$6:$A$65,0)),"Categoria non trovata",IF(G1837="","Categoria senza tipo",""))))))))</f>
        <v/>
      </c>
    </row>
    <row r="1838">
      <c r="A1838" s="29" t="n"/>
      <c r="B1838" s="17" t="n"/>
      <c r="C1838" s="17" t="n"/>
      <c r="D1838" s="16" t="n"/>
      <c r="E1838" s="30" t="n"/>
      <c r="F1838" s="17" t="n"/>
      <c r="G1838" s="31">
        <f>IF(C1838="","",IFERROR(INDEX(Categorie!$B$6:$B$65,MATCH(C1838,Categorie!$A$6:$A$65,0))&amp;"",""))</f>
        <v/>
      </c>
      <c r="H1838" s="32">
        <f>IF(AND(A1838="",C1838="",D1838=""),"",IF(D1838="","Manca l'importo",IF(NOT(ISNUMBER(D1838)),"Importo non valido",IF(NOT(ISNUMBER(A1838)),"Data mancante o non valida",IF(YEAR(A1838)&lt;&gt;Impostazioni!$C$4,"Fuori dall'anno",IF(C1838="","Manca la categoria",IF(ISNA(MATCH(C1838,Categorie!$A$6:$A$65,0)),"Categoria non trovata",IF(G1838="","Categoria senza tipo",""))))))))</f>
        <v/>
      </c>
    </row>
    <row r="1839">
      <c r="A1839" s="29" t="n"/>
      <c r="B1839" s="17" t="n"/>
      <c r="C1839" s="17" t="n"/>
      <c r="D1839" s="16" t="n"/>
      <c r="E1839" s="30" t="n"/>
      <c r="F1839" s="17" t="n"/>
      <c r="G1839" s="31">
        <f>IF(C1839="","",IFERROR(INDEX(Categorie!$B$6:$B$65,MATCH(C1839,Categorie!$A$6:$A$65,0))&amp;"",""))</f>
        <v/>
      </c>
      <c r="H1839" s="32">
        <f>IF(AND(A1839="",C1839="",D1839=""),"",IF(D1839="","Manca l'importo",IF(NOT(ISNUMBER(D1839)),"Importo non valido",IF(NOT(ISNUMBER(A1839)),"Data mancante o non valida",IF(YEAR(A1839)&lt;&gt;Impostazioni!$C$4,"Fuori dall'anno",IF(C1839="","Manca la categoria",IF(ISNA(MATCH(C1839,Categorie!$A$6:$A$65,0)),"Categoria non trovata",IF(G1839="","Categoria senza tipo",""))))))))</f>
        <v/>
      </c>
    </row>
    <row r="1840">
      <c r="A1840" s="29" t="n"/>
      <c r="B1840" s="17" t="n"/>
      <c r="C1840" s="17" t="n"/>
      <c r="D1840" s="16" t="n"/>
      <c r="E1840" s="30" t="n"/>
      <c r="F1840" s="17" t="n"/>
      <c r="G1840" s="31">
        <f>IF(C1840="","",IFERROR(INDEX(Categorie!$B$6:$B$65,MATCH(C1840,Categorie!$A$6:$A$65,0))&amp;"",""))</f>
        <v/>
      </c>
      <c r="H1840" s="32">
        <f>IF(AND(A1840="",C1840="",D1840=""),"",IF(D1840="","Manca l'importo",IF(NOT(ISNUMBER(D1840)),"Importo non valido",IF(NOT(ISNUMBER(A1840)),"Data mancante o non valida",IF(YEAR(A1840)&lt;&gt;Impostazioni!$C$4,"Fuori dall'anno",IF(C1840="","Manca la categoria",IF(ISNA(MATCH(C1840,Categorie!$A$6:$A$65,0)),"Categoria non trovata",IF(G1840="","Categoria senza tipo",""))))))))</f>
        <v/>
      </c>
    </row>
    <row r="1841">
      <c r="A1841" s="29" t="n"/>
      <c r="B1841" s="17" t="n"/>
      <c r="C1841" s="17" t="n"/>
      <c r="D1841" s="16" t="n"/>
      <c r="E1841" s="30" t="n"/>
      <c r="F1841" s="17" t="n"/>
      <c r="G1841" s="31">
        <f>IF(C1841="","",IFERROR(INDEX(Categorie!$B$6:$B$65,MATCH(C1841,Categorie!$A$6:$A$65,0))&amp;"",""))</f>
        <v/>
      </c>
      <c r="H1841" s="32">
        <f>IF(AND(A1841="",C1841="",D1841=""),"",IF(D1841="","Manca l'importo",IF(NOT(ISNUMBER(D1841)),"Importo non valido",IF(NOT(ISNUMBER(A1841)),"Data mancante o non valida",IF(YEAR(A1841)&lt;&gt;Impostazioni!$C$4,"Fuori dall'anno",IF(C1841="","Manca la categoria",IF(ISNA(MATCH(C1841,Categorie!$A$6:$A$65,0)),"Categoria non trovata",IF(G1841="","Categoria senza tipo",""))))))))</f>
        <v/>
      </c>
    </row>
    <row r="1842">
      <c r="A1842" s="29" t="n"/>
      <c r="B1842" s="17" t="n"/>
      <c r="C1842" s="17" t="n"/>
      <c r="D1842" s="16" t="n"/>
      <c r="E1842" s="30" t="n"/>
      <c r="F1842" s="17" t="n"/>
      <c r="G1842" s="31">
        <f>IF(C1842="","",IFERROR(INDEX(Categorie!$B$6:$B$65,MATCH(C1842,Categorie!$A$6:$A$65,0))&amp;"",""))</f>
        <v/>
      </c>
      <c r="H1842" s="32">
        <f>IF(AND(A1842="",C1842="",D1842=""),"",IF(D1842="","Manca l'importo",IF(NOT(ISNUMBER(D1842)),"Importo non valido",IF(NOT(ISNUMBER(A1842)),"Data mancante o non valida",IF(YEAR(A1842)&lt;&gt;Impostazioni!$C$4,"Fuori dall'anno",IF(C1842="","Manca la categoria",IF(ISNA(MATCH(C1842,Categorie!$A$6:$A$65,0)),"Categoria non trovata",IF(G1842="","Categoria senza tipo",""))))))))</f>
        <v/>
      </c>
    </row>
    <row r="1843">
      <c r="A1843" s="29" t="n"/>
      <c r="B1843" s="17" t="n"/>
      <c r="C1843" s="17" t="n"/>
      <c r="D1843" s="16" t="n"/>
      <c r="E1843" s="30" t="n"/>
      <c r="F1843" s="17" t="n"/>
      <c r="G1843" s="31">
        <f>IF(C1843="","",IFERROR(INDEX(Categorie!$B$6:$B$65,MATCH(C1843,Categorie!$A$6:$A$65,0))&amp;"",""))</f>
        <v/>
      </c>
      <c r="H1843" s="32">
        <f>IF(AND(A1843="",C1843="",D1843=""),"",IF(D1843="","Manca l'importo",IF(NOT(ISNUMBER(D1843)),"Importo non valido",IF(NOT(ISNUMBER(A1843)),"Data mancante o non valida",IF(YEAR(A1843)&lt;&gt;Impostazioni!$C$4,"Fuori dall'anno",IF(C1843="","Manca la categoria",IF(ISNA(MATCH(C1843,Categorie!$A$6:$A$65,0)),"Categoria non trovata",IF(G1843="","Categoria senza tipo",""))))))))</f>
        <v/>
      </c>
    </row>
    <row r="1844">
      <c r="A1844" s="29" t="n"/>
      <c r="B1844" s="17" t="n"/>
      <c r="C1844" s="17" t="n"/>
      <c r="D1844" s="16" t="n"/>
      <c r="E1844" s="30" t="n"/>
      <c r="F1844" s="17" t="n"/>
      <c r="G1844" s="31">
        <f>IF(C1844="","",IFERROR(INDEX(Categorie!$B$6:$B$65,MATCH(C1844,Categorie!$A$6:$A$65,0))&amp;"",""))</f>
        <v/>
      </c>
      <c r="H1844" s="32">
        <f>IF(AND(A1844="",C1844="",D1844=""),"",IF(D1844="","Manca l'importo",IF(NOT(ISNUMBER(D1844)),"Importo non valido",IF(NOT(ISNUMBER(A1844)),"Data mancante o non valida",IF(YEAR(A1844)&lt;&gt;Impostazioni!$C$4,"Fuori dall'anno",IF(C1844="","Manca la categoria",IF(ISNA(MATCH(C1844,Categorie!$A$6:$A$65,0)),"Categoria non trovata",IF(G1844="","Categoria senza tipo",""))))))))</f>
        <v/>
      </c>
    </row>
    <row r="1845">
      <c r="A1845" s="29" t="n"/>
      <c r="B1845" s="17" t="n"/>
      <c r="C1845" s="17" t="n"/>
      <c r="D1845" s="16" t="n"/>
      <c r="E1845" s="30" t="n"/>
      <c r="F1845" s="17" t="n"/>
      <c r="G1845" s="31">
        <f>IF(C1845="","",IFERROR(INDEX(Categorie!$B$6:$B$65,MATCH(C1845,Categorie!$A$6:$A$65,0))&amp;"",""))</f>
        <v/>
      </c>
      <c r="H1845" s="32">
        <f>IF(AND(A1845="",C1845="",D1845=""),"",IF(D1845="","Manca l'importo",IF(NOT(ISNUMBER(D1845)),"Importo non valido",IF(NOT(ISNUMBER(A1845)),"Data mancante o non valida",IF(YEAR(A1845)&lt;&gt;Impostazioni!$C$4,"Fuori dall'anno",IF(C1845="","Manca la categoria",IF(ISNA(MATCH(C1845,Categorie!$A$6:$A$65,0)),"Categoria non trovata",IF(G1845="","Categoria senza tipo",""))))))))</f>
        <v/>
      </c>
    </row>
    <row r="1846">
      <c r="A1846" s="29" t="n"/>
      <c r="B1846" s="17" t="n"/>
      <c r="C1846" s="17" t="n"/>
      <c r="D1846" s="16" t="n"/>
      <c r="E1846" s="30" t="n"/>
      <c r="F1846" s="17" t="n"/>
      <c r="G1846" s="31">
        <f>IF(C1846="","",IFERROR(INDEX(Categorie!$B$6:$B$65,MATCH(C1846,Categorie!$A$6:$A$65,0))&amp;"",""))</f>
        <v/>
      </c>
      <c r="H1846" s="32">
        <f>IF(AND(A1846="",C1846="",D1846=""),"",IF(D1846="","Manca l'importo",IF(NOT(ISNUMBER(D1846)),"Importo non valido",IF(NOT(ISNUMBER(A1846)),"Data mancante o non valida",IF(YEAR(A1846)&lt;&gt;Impostazioni!$C$4,"Fuori dall'anno",IF(C1846="","Manca la categoria",IF(ISNA(MATCH(C1846,Categorie!$A$6:$A$65,0)),"Categoria non trovata",IF(G1846="","Categoria senza tipo",""))))))))</f>
        <v/>
      </c>
    </row>
    <row r="1847">
      <c r="A1847" s="29" t="n"/>
      <c r="B1847" s="17" t="n"/>
      <c r="C1847" s="17" t="n"/>
      <c r="D1847" s="16" t="n"/>
      <c r="E1847" s="30" t="n"/>
      <c r="F1847" s="17" t="n"/>
      <c r="G1847" s="31">
        <f>IF(C1847="","",IFERROR(INDEX(Categorie!$B$6:$B$65,MATCH(C1847,Categorie!$A$6:$A$65,0))&amp;"",""))</f>
        <v/>
      </c>
      <c r="H1847" s="32">
        <f>IF(AND(A1847="",C1847="",D1847=""),"",IF(D1847="","Manca l'importo",IF(NOT(ISNUMBER(D1847)),"Importo non valido",IF(NOT(ISNUMBER(A1847)),"Data mancante o non valida",IF(YEAR(A1847)&lt;&gt;Impostazioni!$C$4,"Fuori dall'anno",IF(C1847="","Manca la categoria",IF(ISNA(MATCH(C1847,Categorie!$A$6:$A$65,0)),"Categoria non trovata",IF(G1847="","Categoria senza tipo",""))))))))</f>
        <v/>
      </c>
    </row>
    <row r="1848">
      <c r="A1848" s="29" t="n"/>
      <c r="B1848" s="17" t="n"/>
      <c r="C1848" s="17" t="n"/>
      <c r="D1848" s="16" t="n"/>
      <c r="E1848" s="30" t="n"/>
      <c r="F1848" s="17" t="n"/>
      <c r="G1848" s="31">
        <f>IF(C1848="","",IFERROR(INDEX(Categorie!$B$6:$B$65,MATCH(C1848,Categorie!$A$6:$A$65,0))&amp;"",""))</f>
        <v/>
      </c>
      <c r="H1848" s="32">
        <f>IF(AND(A1848="",C1848="",D1848=""),"",IF(D1848="","Manca l'importo",IF(NOT(ISNUMBER(D1848)),"Importo non valido",IF(NOT(ISNUMBER(A1848)),"Data mancante o non valida",IF(YEAR(A1848)&lt;&gt;Impostazioni!$C$4,"Fuori dall'anno",IF(C1848="","Manca la categoria",IF(ISNA(MATCH(C1848,Categorie!$A$6:$A$65,0)),"Categoria non trovata",IF(G1848="","Categoria senza tipo",""))))))))</f>
        <v/>
      </c>
    </row>
    <row r="1849">
      <c r="A1849" s="29" t="n"/>
      <c r="B1849" s="17" t="n"/>
      <c r="C1849" s="17" t="n"/>
      <c r="D1849" s="16" t="n"/>
      <c r="E1849" s="30" t="n"/>
      <c r="F1849" s="17" t="n"/>
      <c r="G1849" s="31">
        <f>IF(C1849="","",IFERROR(INDEX(Categorie!$B$6:$B$65,MATCH(C1849,Categorie!$A$6:$A$65,0))&amp;"",""))</f>
        <v/>
      </c>
      <c r="H1849" s="32">
        <f>IF(AND(A1849="",C1849="",D1849=""),"",IF(D1849="","Manca l'importo",IF(NOT(ISNUMBER(D1849)),"Importo non valido",IF(NOT(ISNUMBER(A1849)),"Data mancante o non valida",IF(YEAR(A1849)&lt;&gt;Impostazioni!$C$4,"Fuori dall'anno",IF(C1849="","Manca la categoria",IF(ISNA(MATCH(C1849,Categorie!$A$6:$A$65,0)),"Categoria non trovata",IF(G1849="","Categoria senza tipo",""))))))))</f>
        <v/>
      </c>
    </row>
    <row r="1850">
      <c r="A1850" s="29" t="n"/>
      <c r="B1850" s="17" t="n"/>
      <c r="C1850" s="17" t="n"/>
      <c r="D1850" s="16" t="n"/>
      <c r="E1850" s="30" t="n"/>
      <c r="F1850" s="17" t="n"/>
      <c r="G1850" s="31">
        <f>IF(C1850="","",IFERROR(INDEX(Categorie!$B$6:$B$65,MATCH(C1850,Categorie!$A$6:$A$65,0))&amp;"",""))</f>
        <v/>
      </c>
      <c r="H1850" s="32">
        <f>IF(AND(A1850="",C1850="",D1850=""),"",IF(D1850="","Manca l'importo",IF(NOT(ISNUMBER(D1850)),"Importo non valido",IF(NOT(ISNUMBER(A1850)),"Data mancante o non valida",IF(YEAR(A1850)&lt;&gt;Impostazioni!$C$4,"Fuori dall'anno",IF(C1850="","Manca la categoria",IF(ISNA(MATCH(C1850,Categorie!$A$6:$A$65,0)),"Categoria non trovata",IF(G1850="","Categoria senza tipo",""))))))))</f>
        <v/>
      </c>
    </row>
    <row r="1851">
      <c r="A1851" s="29" t="n"/>
      <c r="B1851" s="17" t="n"/>
      <c r="C1851" s="17" t="n"/>
      <c r="D1851" s="16" t="n"/>
      <c r="E1851" s="30" t="n"/>
      <c r="F1851" s="17" t="n"/>
      <c r="G1851" s="31">
        <f>IF(C1851="","",IFERROR(INDEX(Categorie!$B$6:$B$65,MATCH(C1851,Categorie!$A$6:$A$65,0))&amp;"",""))</f>
        <v/>
      </c>
      <c r="H1851" s="32">
        <f>IF(AND(A1851="",C1851="",D1851=""),"",IF(D1851="","Manca l'importo",IF(NOT(ISNUMBER(D1851)),"Importo non valido",IF(NOT(ISNUMBER(A1851)),"Data mancante o non valida",IF(YEAR(A1851)&lt;&gt;Impostazioni!$C$4,"Fuori dall'anno",IF(C1851="","Manca la categoria",IF(ISNA(MATCH(C1851,Categorie!$A$6:$A$65,0)),"Categoria non trovata",IF(G1851="","Categoria senza tipo",""))))))))</f>
        <v/>
      </c>
    </row>
    <row r="1852">
      <c r="A1852" s="29" t="n"/>
      <c r="B1852" s="17" t="n"/>
      <c r="C1852" s="17" t="n"/>
      <c r="D1852" s="16" t="n"/>
      <c r="E1852" s="30" t="n"/>
      <c r="F1852" s="17" t="n"/>
      <c r="G1852" s="31">
        <f>IF(C1852="","",IFERROR(INDEX(Categorie!$B$6:$B$65,MATCH(C1852,Categorie!$A$6:$A$65,0))&amp;"",""))</f>
        <v/>
      </c>
      <c r="H1852" s="32">
        <f>IF(AND(A1852="",C1852="",D1852=""),"",IF(D1852="","Manca l'importo",IF(NOT(ISNUMBER(D1852)),"Importo non valido",IF(NOT(ISNUMBER(A1852)),"Data mancante o non valida",IF(YEAR(A1852)&lt;&gt;Impostazioni!$C$4,"Fuori dall'anno",IF(C1852="","Manca la categoria",IF(ISNA(MATCH(C1852,Categorie!$A$6:$A$65,0)),"Categoria non trovata",IF(G1852="","Categoria senza tipo",""))))))))</f>
        <v/>
      </c>
    </row>
    <row r="1853">
      <c r="A1853" s="29" t="n"/>
      <c r="B1853" s="17" t="n"/>
      <c r="C1853" s="17" t="n"/>
      <c r="D1853" s="16" t="n"/>
      <c r="E1853" s="30" t="n"/>
      <c r="F1853" s="17" t="n"/>
      <c r="G1853" s="31">
        <f>IF(C1853="","",IFERROR(INDEX(Categorie!$B$6:$B$65,MATCH(C1853,Categorie!$A$6:$A$65,0))&amp;"",""))</f>
        <v/>
      </c>
      <c r="H1853" s="32">
        <f>IF(AND(A1853="",C1853="",D1853=""),"",IF(D1853="","Manca l'importo",IF(NOT(ISNUMBER(D1853)),"Importo non valido",IF(NOT(ISNUMBER(A1853)),"Data mancante o non valida",IF(YEAR(A1853)&lt;&gt;Impostazioni!$C$4,"Fuori dall'anno",IF(C1853="","Manca la categoria",IF(ISNA(MATCH(C1853,Categorie!$A$6:$A$65,0)),"Categoria non trovata",IF(G1853="","Categoria senza tipo",""))))))))</f>
        <v/>
      </c>
    </row>
    <row r="1854">
      <c r="A1854" s="29" t="n"/>
      <c r="B1854" s="17" t="n"/>
      <c r="C1854" s="17" t="n"/>
      <c r="D1854" s="16" t="n"/>
      <c r="E1854" s="30" t="n"/>
      <c r="F1854" s="17" t="n"/>
      <c r="G1854" s="31">
        <f>IF(C1854="","",IFERROR(INDEX(Categorie!$B$6:$B$65,MATCH(C1854,Categorie!$A$6:$A$65,0))&amp;"",""))</f>
        <v/>
      </c>
      <c r="H1854" s="32">
        <f>IF(AND(A1854="",C1854="",D1854=""),"",IF(D1854="","Manca l'importo",IF(NOT(ISNUMBER(D1854)),"Importo non valido",IF(NOT(ISNUMBER(A1854)),"Data mancante o non valida",IF(YEAR(A1854)&lt;&gt;Impostazioni!$C$4,"Fuori dall'anno",IF(C1854="","Manca la categoria",IF(ISNA(MATCH(C1854,Categorie!$A$6:$A$65,0)),"Categoria non trovata",IF(G1854="","Categoria senza tipo",""))))))))</f>
        <v/>
      </c>
    </row>
    <row r="1855">
      <c r="A1855" s="29" t="n"/>
      <c r="B1855" s="17" t="n"/>
      <c r="C1855" s="17" t="n"/>
      <c r="D1855" s="16" t="n"/>
      <c r="E1855" s="30" t="n"/>
      <c r="F1855" s="17" t="n"/>
      <c r="G1855" s="31">
        <f>IF(C1855="","",IFERROR(INDEX(Categorie!$B$6:$B$65,MATCH(C1855,Categorie!$A$6:$A$65,0))&amp;"",""))</f>
        <v/>
      </c>
      <c r="H1855" s="32">
        <f>IF(AND(A1855="",C1855="",D1855=""),"",IF(D1855="","Manca l'importo",IF(NOT(ISNUMBER(D1855)),"Importo non valido",IF(NOT(ISNUMBER(A1855)),"Data mancante o non valida",IF(YEAR(A1855)&lt;&gt;Impostazioni!$C$4,"Fuori dall'anno",IF(C1855="","Manca la categoria",IF(ISNA(MATCH(C1855,Categorie!$A$6:$A$65,0)),"Categoria non trovata",IF(G1855="","Categoria senza tipo",""))))))))</f>
        <v/>
      </c>
    </row>
    <row r="1856">
      <c r="A1856" s="29" t="n"/>
      <c r="B1856" s="17" t="n"/>
      <c r="C1856" s="17" t="n"/>
      <c r="D1856" s="16" t="n"/>
      <c r="E1856" s="30" t="n"/>
      <c r="F1856" s="17" t="n"/>
      <c r="G1856" s="31">
        <f>IF(C1856="","",IFERROR(INDEX(Categorie!$B$6:$B$65,MATCH(C1856,Categorie!$A$6:$A$65,0))&amp;"",""))</f>
        <v/>
      </c>
      <c r="H1856" s="32">
        <f>IF(AND(A1856="",C1856="",D1856=""),"",IF(D1856="","Manca l'importo",IF(NOT(ISNUMBER(D1856)),"Importo non valido",IF(NOT(ISNUMBER(A1856)),"Data mancante o non valida",IF(YEAR(A1856)&lt;&gt;Impostazioni!$C$4,"Fuori dall'anno",IF(C1856="","Manca la categoria",IF(ISNA(MATCH(C1856,Categorie!$A$6:$A$65,0)),"Categoria non trovata",IF(G1856="","Categoria senza tipo",""))))))))</f>
        <v/>
      </c>
    </row>
    <row r="1857">
      <c r="A1857" s="29" t="n"/>
      <c r="B1857" s="17" t="n"/>
      <c r="C1857" s="17" t="n"/>
      <c r="D1857" s="16" t="n"/>
      <c r="E1857" s="30" t="n"/>
      <c r="F1857" s="17" t="n"/>
      <c r="G1857" s="31">
        <f>IF(C1857="","",IFERROR(INDEX(Categorie!$B$6:$B$65,MATCH(C1857,Categorie!$A$6:$A$65,0))&amp;"",""))</f>
        <v/>
      </c>
      <c r="H1857" s="32">
        <f>IF(AND(A1857="",C1857="",D1857=""),"",IF(D1857="","Manca l'importo",IF(NOT(ISNUMBER(D1857)),"Importo non valido",IF(NOT(ISNUMBER(A1857)),"Data mancante o non valida",IF(YEAR(A1857)&lt;&gt;Impostazioni!$C$4,"Fuori dall'anno",IF(C1857="","Manca la categoria",IF(ISNA(MATCH(C1857,Categorie!$A$6:$A$65,0)),"Categoria non trovata",IF(G1857="","Categoria senza tipo",""))))))))</f>
        <v/>
      </c>
    </row>
    <row r="1858">
      <c r="A1858" s="29" t="n"/>
      <c r="B1858" s="17" t="n"/>
      <c r="C1858" s="17" t="n"/>
      <c r="D1858" s="16" t="n"/>
      <c r="E1858" s="30" t="n"/>
      <c r="F1858" s="17" t="n"/>
      <c r="G1858" s="31">
        <f>IF(C1858="","",IFERROR(INDEX(Categorie!$B$6:$B$65,MATCH(C1858,Categorie!$A$6:$A$65,0))&amp;"",""))</f>
        <v/>
      </c>
      <c r="H1858" s="32">
        <f>IF(AND(A1858="",C1858="",D1858=""),"",IF(D1858="","Manca l'importo",IF(NOT(ISNUMBER(D1858)),"Importo non valido",IF(NOT(ISNUMBER(A1858)),"Data mancante o non valida",IF(YEAR(A1858)&lt;&gt;Impostazioni!$C$4,"Fuori dall'anno",IF(C1858="","Manca la categoria",IF(ISNA(MATCH(C1858,Categorie!$A$6:$A$65,0)),"Categoria non trovata",IF(G1858="","Categoria senza tipo",""))))))))</f>
        <v/>
      </c>
    </row>
    <row r="1859">
      <c r="A1859" s="29" t="n"/>
      <c r="B1859" s="17" t="n"/>
      <c r="C1859" s="17" t="n"/>
      <c r="D1859" s="16" t="n"/>
      <c r="E1859" s="30" t="n"/>
      <c r="F1859" s="17" t="n"/>
      <c r="G1859" s="31">
        <f>IF(C1859="","",IFERROR(INDEX(Categorie!$B$6:$B$65,MATCH(C1859,Categorie!$A$6:$A$65,0))&amp;"",""))</f>
        <v/>
      </c>
      <c r="H1859" s="32">
        <f>IF(AND(A1859="",C1859="",D1859=""),"",IF(D1859="","Manca l'importo",IF(NOT(ISNUMBER(D1859)),"Importo non valido",IF(NOT(ISNUMBER(A1859)),"Data mancante o non valida",IF(YEAR(A1859)&lt;&gt;Impostazioni!$C$4,"Fuori dall'anno",IF(C1859="","Manca la categoria",IF(ISNA(MATCH(C1859,Categorie!$A$6:$A$65,0)),"Categoria non trovata",IF(G1859="","Categoria senza tipo",""))))))))</f>
        <v/>
      </c>
    </row>
    <row r="1860">
      <c r="A1860" s="29" t="n"/>
      <c r="B1860" s="17" t="n"/>
      <c r="C1860" s="17" t="n"/>
      <c r="D1860" s="16" t="n"/>
      <c r="E1860" s="30" t="n"/>
      <c r="F1860" s="17" t="n"/>
      <c r="G1860" s="31">
        <f>IF(C1860="","",IFERROR(INDEX(Categorie!$B$6:$B$65,MATCH(C1860,Categorie!$A$6:$A$65,0))&amp;"",""))</f>
        <v/>
      </c>
      <c r="H1860" s="32">
        <f>IF(AND(A1860="",C1860="",D1860=""),"",IF(D1860="","Manca l'importo",IF(NOT(ISNUMBER(D1860)),"Importo non valido",IF(NOT(ISNUMBER(A1860)),"Data mancante o non valida",IF(YEAR(A1860)&lt;&gt;Impostazioni!$C$4,"Fuori dall'anno",IF(C1860="","Manca la categoria",IF(ISNA(MATCH(C1860,Categorie!$A$6:$A$65,0)),"Categoria non trovata",IF(G1860="","Categoria senza tipo",""))))))))</f>
        <v/>
      </c>
    </row>
    <row r="1861">
      <c r="A1861" s="29" t="n"/>
      <c r="B1861" s="17" t="n"/>
      <c r="C1861" s="17" t="n"/>
      <c r="D1861" s="16" t="n"/>
      <c r="E1861" s="30" t="n"/>
      <c r="F1861" s="17" t="n"/>
      <c r="G1861" s="31">
        <f>IF(C1861="","",IFERROR(INDEX(Categorie!$B$6:$B$65,MATCH(C1861,Categorie!$A$6:$A$65,0))&amp;"",""))</f>
        <v/>
      </c>
      <c r="H1861" s="32">
        <f>IF(AND(A1861="",C1861="",D1861=""),"",IF(D1861="","Manca l'importo",IF(NOT(ISNUMBER(D1861)),"Importo non valido",IF(NOT(ISNUMBER(A1861)),"Data mancante o non valida",IF(YEAR(A1861)&lt;&gt;Impostazioni!$C$4,"Fuori dall'anno",IF(C1861="","Manca la categoria",IF(ISNA(MATCH(C1861,Categorie!$A$6:$A$65,0)),"Categoria non trovata",IF(G1861="","Categoria senza tipo",""))))))))</f>
        <v/>
      </c>
    </row>
    <row r="1862">
      <c r="A1862" s="29" t="n"/>
      <c r="B1862" s="17" t="n"/>
      <c r="C1862" s="17" t="n"/>
      <c r="D1862" s="16" t="n"/>
      <c r="E1862" s="30" t="n"/>
      <c r="F1862" s="17" t="n"/>
      <c r="G1862" s="31">
        <f>IF(C1862="","",IFERROR(INDEX(Categorie!$B$6:$B$65,MATCH(C1862,Categorie!$A$6:$A$65,0))&amp;"",""))</f>
        <v/>
      </c>
      <c r="H1862" s="32">
        <f>IF(AND(A1862="",C1862="",D1862=""),"",IF(D1862="","Manca l'importo",IF(NOT(ISNUMBER(D1862)),"Importo non valido",IF(NOT(ISNUMBER(A1862)),"Data mancante o non valida",IF(YEAR(A1862)&lt;&gt;Impostazioni!$C$4,"Fuori dall'anno",IF(C1862="","Manca la categoria",IF(ISNA(MATCH(C1862,Categorie!$A$6:$A$65,0)),"Categoria non trovata",IF(G1862="","Categoria senza tipo",""))))))))</f>
        <v/>
      </c>
    </row>
    <row r="1863">
      <c r="A1863" s="29" t="n"/>
      <c r="B1863" s="17" t="n"/>
      <c r="C1863" s="17" t="n"/>
      <c r="D1863" s="16" t="n"/>
      <c r="E1863" s="30" t="n"/>
      <c r="F1863" s="17" t="n"/>
      <c r="G1863" s="31">
        <f>IF(C1863="","",IFERROR(INDEX(Categorie!$B$6:$B$65,MATCH(C1863,Categorie!$A$6:$A$65,0))&amp;"",""))</f>
        <v/>
      </c>
      <c r="H1863" s="32">
        <f>IF(AND(A1863="",C1863="",D1863=""),"",IF(D1863="","Manca l'importo",IF(NOT(ISNUMBER(D1863)),"Importo non valido",IF(NOT(ISNUMBER(A1863)),"Data mancante o non valida",IF(YEAR(A1863)&lt;&gt;Impostazioni!$C$4,"Fuori dall'anno",IF(C1863="","Manca la categoria",IF(ISNA(MATCH(C1863,Categorie!$A$6:$A$65,0)),"Categoria non trovata",IF(G1863="","Categoria senza tipo",""))))))))</f>
        <v/>
      </c>
    </row>
    <row r="1864">
      <c r="A1864" s="29" t="n"/>
      <c r="B1864" s="17" t="n"/>
      <c r="C1864" s="17" t="n"/>
      <c r="D1864" s="16" t="n"/>
      <c r="E1864" s="30" t="n"/>
      <c r="F1864" s="17" t="n"/>
      <c r="G1864" s="31">
        <f>IF(C1864="","",IFERROR(INDEX(Categorie!$B$6:$B$65,MATCH(C1864,Categorie!$A$6:$A$65,0))&amp;"",""))</f>
        <v/>
      </c>
      <c r="H1864" s="32">
        <f>IF(AND(A1864="",C1864="",D1864=""),"",IF(D1864="","Manca l'importo",IF(NOT(ISNUMBER(D1864)),"Importo non valido",IF(NOT(ISNUMBER(A1864)),"Data mancante o non valida",IF(YEAR(A1864)&lt;&gt;Impostazioni!$C$4,"Fuori dall'anno",IF(C1864="","Manca la categoria",IF(ISNA(MATCH(C1864,Categorie!$A$6:$A$65,0)),"Categoria non trovata",IF(G1864="","Categoria senza tipo",""))))))))</f>
        <v/>
      </c>
    </row>
    <row r="1865">
      <c r="A1865" s="29" t="n"/>
      <c r="B1865" s="17" t="n"/>
      <c r="C1865" s="17" t="n"/>
      <c r="D1865" s="16" t="n"/>
      <c r="E1865" s="30" t="n"/>
      <c r="F1865" s="17" t="n"/>
      <c r="G1865" s="31">
        <f>IF(C1865="","",IFERROR(INDEX(Categorie!$B$6:$B$65,MATCH(C1865,Categorie!$A$6:$A$65,0))&amp;"",""))</f>
        <v/>
      </c>
      <c r="H1865" s="32">
        <f>IF(AND(A1865="",C1865="",D1865=""),"",IF(D1865="","Manca l'importo",IF(NOT(ISNUMBER(D1865)),"Importo non valido",IF(NOT(ISNUMBER(A1865)),"Data mancante o non valida",IF(YEAR(A1865)&lt;&gt;Impostazioni!$C$4,"Fuori dall'anno",IF(C1865="","Manca la categoria",IF(ISNA(MATCH(C1865,Categorie!$A$6:$A$65,0)),"Categoria non trovata",IF(G1865="","Categoria senza tipo",""))))))))</f>
        <v/>
      </c>
    </row>
    <row r="1866">
      <c r="A1866" s="29" t="n"/>
      <c r="B1866" s="17" t="n"/>
      <c r="C1866" s="17" t="n"/>
      <c r="D1866" s="16" t="n"/>
      <c r="E1866" s="30" t="n"/>
      <c r="F1866" s="17" t="n"/>
      <c r="G1866" s="31">
        <f>IF(C1866="","",IFERROR(INDEX(Categorie!$B$6:$B$65,MATCH(C1866,Categorie!$A$6:$A$65,0))&amp;"",""))</f>
        <v/>
      </c>
      <c r="H1866" s="32">
        <f>IF(AND(A1866="",C1866="",D1866=""),"",IF(D1866="","Manca l'importo",IF(NOT(ISNUMBER(D1866)),"Importo non valido",IF(NOT(ISNUMBER(A1866)),"Data mancante o non valida",IF(YEAR(A1866)&lt;&gt;Impostazioni!$C$4,"Fuori dall'anno",IF(C1866="","Manca la categoria",IF(ISNA(MATCH(C1866,Categorie!$A$6:$A$65,0)),"Categoria non trovata",IF(G1866="","Categoria senza tipo",""))))))))</f>
        <v/>
      </c>
    </row>
    <row r="1867">
      <c r="A1867" s="29" t="n"/>
      <c r="B1867" s="17" t="n"/>
      <c r="C1867" s="17" t="n"/>
      <c r="D1867" s="16" t="n"/>
      <c r="E1867" s="30" t="n"/>
      <c r="F1867" s="17" t="n"/>
      <c r="G1867" s="31">
        <f>IF(C1867="","",IFERROR(INDEX(Categorie!$B$6:$B$65,MATCH(C1867,Categorie!$A$6:$A$65,0))&amp;"",""))</f>
        <v/>
      </c>
      <c r="H1867" s="32">
        <f>IF(AND(A1867="",C1867="",D1867=""),"",IF(D1867="","Manca l'importo",IF(NOT(ISNUMBER(D1867)),"Importo non valido",IF(NOT(ISNUMBER(A1867)),"Data mancante o non valida",IF(YEAR(A1867)&lt;&gt;Impostazioni!$C$4,"Fuori dall'anno",IF(C1867="","Manca la categoria",IF(ISNA(MATCH(C1867,Categorie!$A$6:$A$65,0)),"Categoria non trovata",IF(G1867="","Categoria senza tipo",""))))))))</f>
        <v/>
      </c>
    </row>
    <row r="1868">
      <c r="A1868" s="29" t="n"/>
      <c r="B1868" s="17" t="n"/>
      <c r="C1868" s="17" t="n"/>
      <c r="D1868" s="16" t="n"/>
      <c r="E1868" s="30" t="n"/>
      <c r="F1868" s="17" t="n"/>
      <c r="G1868" s="31">
        <f>IF(C1868="","",IFERROR(INDEX(Categorie!$B$6:$B$65,MATCH(C1868,Categorie!$A$6:$A$65,0))&amp;"",""))</f>
        <v/>
      </c>
      <c r="H1868" s="32">
        <f>IF(AND(A1868="",C1868="",D1868=""),"",IF(D1868="","Manca l'importo",IF(NOT(ISNUMBER(D1868)),"Importo non valido",IF(NOT(ISNUMBER(A1868)),"Data mancante o non valida",IF(YEAR(A1868)&lt;&gt;Impostazioni!$C$4,"Fuori dall'anno",IF(C1868="","Manca la categoria",IF(ISNA(MATCH(C1868,Categorie!$A$6:$A$65,0)),"Categoria non trovata",IF(G1868="","Categoria senza tipo",""))))))))</f>
        <v/>
      </c>
    </row>
    <row r="1869">
      <c r="A1869" s="29" t="n"/>
      <c r="B1869" s="17" t="n"/>
      <c r="C1869" s="17" t="n"/>
      <c r="D1869" s="16" t="n"/>
      <c r="E1869" s="30" t="n"/>
      <c r="F1869" s="17" t="n"/>
      <c r="G1869" s="31">
        <f>IF(C1869="","",IFERROR(INDEX(Categorie!$B$6:$B$65,MATCH(C1869,Categorie!$A$6:$A$65,0))&amp;"",""))</f>
        <v/>
      </c>
      <c r="H1869" s="32">
        <f>IF(AND(A1869="",C1869="",D1869=""),"",IF(D1869="","Manca l'importo",IF(NOT(ISNUMBER(D1869)),"Importo non valido",IF(NOT(ISNUMBER(A1869)),"Data mancante o non valida",IF(YEAR(A1869)&lt;&gt;Impostazioni!$C$4,"Fuori dall'anno",IF(C1869="","Manca la categoria",IF(ISNA(MATCH(C1869,Categorie!$A$6:$A$65,0)),"Categoria non trovata",IF(G1869="","Categoria senza tipo",""))))))))</f>
        <v/>
      </c>
    </row>
    <row r="1870">
      <c r="A1870" s="29" t="n"/>
      <c r="B1870" s="17" t="n"/>
      <c r="C1870" s="17" t="n"/>
      <c r="D1870" s="16" t="n"/>
      <c r="E1870" s="30" t="n"/>
      <c r="F1870" s="17" t="n"/>
      <c r="G1870" s="31">
        <f>IF(C1870="","",IFERROR(INDEX(Categorie!$B$6:$B$65,MATCH(C1870,Categorie!$A$6:$A$65,0))&amp;"",""))</f>
        <v/>
      </c>
      <c r="H1870" s="32">
        <f>IF(AND(A1870="",C1870="",D1870=""),"",IF(D1870="","Manca l'importo",IF(NOT(ISNUMBER(D1870)),"Importo non valido",IF(NOT(ISNUMBER(A1870)),"Data mancante o non valida",IF(YEAR(A1870)&lt;&gt;Impostazioni!$C$4,"Fuori dall'anno",IF(C1870="","Manca la categoria",IF(ISNA(MATCH(C1870,Categorie!$A$6:$A$65,0)),"Categoria non trovata",IF(G1870="","Categoria senza tipo",""))))))))</f>
        <v/>
      </c>
    </row>
    <row r="1871">
      <c r="A1871" s="29" t="n"/>
      <c r="B1871" s="17" t="n"/>
      <c r="C1871" s="17" t="n"/>
      <c r="D1871" s="16" t="n"/>
      <c r="E1871" s="30" t="n"/>
      <c r="F1871" s="17" t="n"/>
      <c r="G1871" s="31">
        <f>IF(C1871="","",IFERROR(INDEX(Categorie!$B$6:$B$65,MATCH(C1871,Categorie!$A$6:$A$65,0))&amp;"",""))</f>
        <v/>
      </c>
      <c r="H1871" s="32">
        <f>IF(AND(A1871="",C1871="",D1871=""),"",IF(D1871="","Manca l'importo",IF(NOT(ISNUMBER(D1871)),"Importo non valido",IF(NOT(ISNUMBER(A1871)),"Data mancante o non valida",IF(YEAR(A1871)&lt;&gt;Impostazioni!$C$4,"Fuori dall'anno",IF(C1871="","Manca la categoria",IF(ISNA(MATCH(C1871,Categorie!$A$6:$A$65,0)),"Categoria non trovata",IF(G1871="","Categoria senza tipo",""))))))))</f>
        <v/>
      </c>
    </row>
    <row r="1872">
      <c r="A1872" s="29" t="n"/>
      <c r="B1872" s="17" t="n"/>
      <c r="C1872" s="17" t="n"/>
      <c r="D1872" s="16" t="n"/>
      <c r="E1872" s="30" t="n"/>
      <c r="F1872" s="17" t="n"/>
      <c r="G1872" s="31">
        <f>IF(C1872="","",IFERROR(INDEX(Categorie!$B$6:$B$65,MATCH(C1872,Categorie!$A$6:$A$65,0))&amp;"",""))</f>
        <v/>
      </c>
      <c r="H1872" s="32">
        <f>IF(AND(A1872="",C1872="",D1872=""),"",IF(D1872="","Manca l'importo",IF(NOT(ISNUMBER(D1872)),"Importo non valido",IF(NOT(ISNUMBER(A1872)),"Data mancante o non valida",IF(YEAR(A1872)&lt;&gt;Impostazioni!$C$4,"Fuori dall'anno",IF(C1872="","Manca la categoria",IF(ISNA(MATCH(C1872,Categorie!$A$6:$A$65,0)),"Categoria non trovata",IF(G1872="","Categoria senza tipo",""))))))))</f>
        <v/>
      </c>
    </row>
    <row r="1873">
      <c r="A1873" s="29" t="n"/>
      <c r="B1873" s="17" t="n"/>
      <c r="C1873" s="17" t="n"/>
      <c r="D1873" s="16" t="n"/>
      <c r="E1873" s="30" t="n"/>
      <c r="F1873" s="17" t="n"/>
      <c r="G1873" s="31">
        <f>IF(C1873="","",IFERROR(INDEX(Categorie!$B$6:$B$65,MATCH(C1873,Categorie!$A$6:$A$65,0))&amp;"",""))</f>
        <v/>
      </c>
      <c r="H1873" s="32">
        <f>IF(AND(A1873="",C1873="",D1873=""),"",IF(D1873="","Manca l'importo",IF(NOT(ISNUMBER(D1873)),"Importo non valido",IF(NOT(ISNUMBER(A1873)),"Data mancante o non valida",IF(YEAR(A1873)&lt;&gt;Impostazioni!$C$4,"Fuori dall'anno",IF(C1873="","Manca la categoria",IF(ISNA(MATCH(C1873,Categorie!$A$6:$A$65,0)),"Categoria non trovata",IF(G1873="","Categoria senza tipo",""))))))))</f>
        <v/>
      </c>
    </row>
    <row r="1874">
      <c r="A1874" s="29" t="n"/>
      <c r="B1874" s="17" t="n"/>
      <c r="C1874" s="17" t="n"/>
      <c r="D1874" s="16" t="n"/>
      <c r="E1874" s="30" t="n"/>
      <c r="F1874" s="17" t="n"/>
      <c r="G1874" s="31">
        <f>IF(C1874="","",IFERROR(INDEX(Categorie!$B$6:$B$65,MATCH(C1874,Categorie!$A$6:$A$65,0))&amp;"",""))</f>
        <v/>
      </c>
      <c r="H1874" s="32">
        <f>IF(AND(A1874="",C1874="",D1874=""),"",IF(D1874="","Manca l'importo",IF(NOT(ISNUMBER(D1874)),"Importo non valido",IF(NOT(ISNUMBER(A1874)),"Data mancante o non valida",IF(YEAR(A1874)&lt;&gt;Impostazioni!$C$4,"Fuori dall'anno",IF(C1874="","Manca la categoria",IF(ISNA(MATCH(C1874,Categorie!$A$6:$A$65,0)),"Categoria non trovata",IF(G1874="","Categoria senza tipo",""))))))))</f>
        <v/>
      </c>
    </row>
    <row r="1875">
      <c r="A1875" s="29" t="n"/>
      <c r="B1875" s="17" t="n"/>
      <c r="C1875" s="17" t="n"/>
      <c r="D1875" s="16" t="n"/>
      <c r="E1875" s="30" t="n"/>
      <c r="F1875" s="17" t="n"/>
      <c r="G1875" s="31">
        <f>IF(C1875="","",IFERROR(INDEX(Categorie!$B$6:$B$65,MATCH(C1875,Categorie!$A$6:$A$65,0))&amp;"",""))</f>
        <v/>
      </c>
      <c r="H1875" s="32">
        <f>IF(AND(A1875="",C1875="",D1875=""),"",IF(D1875="","Manca l'importo",IF(NOT(ISNUMBER(D1875)),"Importo non valido",IF(NOT(ISNUMBER(A1875)),"Data mancante o non valida",IF(YEAR(A1875)&lt;&gt;Impostazioni!$C$4,"Fuori dall'anno",IF(C1875="","Manca la categoria",IF(ISNA(MATCH(C1875,Categorie!$A$6:$A$65,0)),"Categoria non trovata",IF(G1875="","Categoria senza tipo",""))))))))</f>
        <v/>
      </c>
    </row>
    <row r="1876">
      <c r="A1876" s="29" t="n"/>
      <c r="B1876" s="17" t="n"/>
      <c r="C1876" s="17" t="n"/>
      <c r="D1876" s="16" t="n"/>
      <c r="E1876" s="30" t="n"/>
      <c r="F1876" s="17" t="n"/>
      <c r="G1876" s="31">
        <f>IF(C1876="","",IFERROR(INDEX(Categorie!$B$6:$B$65,MATCH(C1876,Categorie!$A$6:$A$65,0))&amp;"",""))</f>
        <v/>
      </c>
      <c r="H1876" s="32">
        <f>IF(AND(A1876="",C1876="",D1876=""),"",IF(D1876="","Manca l'importo",IF(NOT(ISNUMBER(D1876)),"Importo non valido",IF(NOT(ISNUMBER(A1876)),"Data mancante o non valida",IF(YEAR(A1876)&lt;&gt;Impostazioni!$C$4,"Fuori dall'anno",IF(C1876="","Manca la categoria",IF(ISNA(MATCH(C1876,Categorie!$A$6:$A$65,0)),"Categoria non trovata",IF(G1876="","Categoria senza tipo",""))))))))</f>
        <v/>
      </c>
    </row>
    <row r="1877">
      <c r="A1877" s="29" t="n"/>
      <c r="B1877" s="17" t="n"/>
      <c r="C1877" s="17" t="n"/>
      <c r="D1877" s="16" t="n"/>
      <c r="E1877" s="30" t="n"/>
      <c r="F1877" s="17" t="n"/>
      <c r="G1877" s="31">
        <f>IF(C1877="","",IFERROR(INDEX(Categorie!$B$6:$B$65,MATCH(C1877,Categorie!$A$6:$A$65,0))&amp;"",""))</f>
        <v/>
      </c>
      <c r="H1877" s="32">
        <f>IF(AND(A1877="",C1877="",D1877=""),"",IF(D1877="","Manca l'importo",IF(NOT(ISNUMBER(D1877)),"Importo non valido",IF(NOT(ISNUMBER(A1877)),"Data mancante o non valida",IF(YEAR(A1877)&lt;&gt;Impostazioni!$C$4,"Fuori dall'anno",IF(C1877="","Manca la categoria",IF(ISNA(MATCH(C1877,Categorie!$A$6:$A$65,0)),"Categoria non trovata",IF(G1877="","Categoria senza tipo",""))))))))</f>
        <v/>
      </c>
    </row>
    <row r="1878">
      <c r="A1878" s="29" t="n"/>
      <c r="B1878" s="17" t="n"/>
      <c r="C1878" s="17" t="n"/>
      <c r="D1878" s="16" t="n"/>
      <c r="E1878" s="30" t="n"/>
      <c r="F1878" s="17" t="n"/>
      <c r="G1878" s="31">
        <f>IF(C1878="","",IFERROR(INDEX(Categorie!$B$6:$B$65,MATCH(C1878,Categorie!$A$6:$A$65,0))&amp;"",""))</f>
        <v/>
      </c>
      <c r="H1878" s="32">
        <f>IF(AND(A1878="",C1878="",D1878=""),"",IF(D1878="","Manca l'importo",IF(NOT(ISNUMBER(D1878)),"Importo non valido",IF(NOT(ISNUMBER(A1878)),"Data mancante o non valida",IF(YEAR(A1878)&lt;&gt;Impostazioni!$C$4,"Fuori dall'anno",IF(C1878="","Manca la categoria",IF(ISNA(MATCH(C1878,Categorie!$A$6:$A$65,0)),"Categoria non trovata",IF(G1878="","Categoria senza tipo",""))))))))</f>
        <v/>
      </c>
    </row>
    <row r="1879">
      <c r="A1879" s="29" t="n"/>
      <c r="B1879" s="17" t="n"/>
      <c r="C1879" s="17" t="n"/>
      <c r="D1879" s="16" t="n"/>
      <c r="E1879" s="30" t="n"/>
      <c r="F1879" s="17" t="n"/>
      <c r="G1879" s="31">
        <f>IF(C1879="","",IFERROR(INDEX(Categorie!$B$6:$B$65,MATCH(C1879,Categorie!$A$6:$A$65,0))&amp;"",""))</f>
        <v/>
      </c>
      <c r="H1879" s="32">
        <f>IF(AND(A1879="",C1879="",D1879=""),"",IF(D1879="","Manca l'importo",IF(NOT(ISNUMBER(D1879)),"Importo non valido",IF(NOT(ISNUMBER(A1879)),"Data mancante o non valida",IF(YEAR(A1879)&lt;&gt;Impostazioni!$C$4,"Fuori dall'anno",IF(C1879="","Manca la categoria",IF(ISNA(MATCH(C1879,Categorie!$A$6:$A$65,0)),"Categoria non trovata",IF(G1879="","Categoria senza tipo",""))))))))</f>
        <v/>
      </c>
    </row>
    <row r="1880">
      <c r="A1880" s="29" t="n"/>
      <c r="B1880" s="17" t="n"/>
      <c r="C1880" s="17" t="n"/>
      <c r="D1880" s="16" t="n"/>
      <c r="E1880" s="30" t="n"/>
      <c r="F1880" s="17" t="n"/>
      <c r="G1880" s="31">
        <f>IF(C1880="","",IFERROR(INDEX(Categorie!$B$6:$B$65,MATCH(C1880,Categorie!$A$6:$A$65,0))&amp;"",""))</f>
        <v/>
      </c>
      <c r="H1880" s="32">
        <f>IF(AND(A1880="",C1880="",D1880=""),"",IF(D1880="","Manca l'importo",IF(NOT(ISNUMBER(D1880)),"Importo non valido",IF(NOT(ISNUMBER(A1880)),"Data mancante o non valida",IF(YEAR(A1880)&lt;&gt;Impostazioni!$C$4,"Fuori dall'anno",IF(C1880="","Manca la categoria",IF(ISNA(MATCH(C1880,Categorie!$A$6:$A$65,0)),"Categoria non trovata",IF(G1880="","Categoria senza tipo",""))))))))</f>
        <v/>
      </c>
    </row>
    <row r="1881">
      <c r="A1881" s="29" t="n"/>
      <c r="B1881" s="17" t="n"/>
      <c r="C1881" s="17" t="n"/>
      <c r="D1881" s="16" t="n"/>
      <c r="E1881" s="30" t="n"/>
      <c r="F1881" s="17" t="n"/>
      <c r="G1881" s="31">
        <f>IF(C1881="","",IFERROR(INDEX(Categorie!$B$6:$B$65,MATCH(C1881,Categorie!$A$6:$A$65,0))&amp;"",""))</f>
        <v/>
      </c>
      <c r="H1881" s="32">
        <f>IF(AND(A1881="",C1881="",D1881=""),"",IF(D1881="","Manca l'importo",IF(NOT(ISNUMBER(D1881)),"Importo non valido",IF(NOT(ISNUMBER(A1881)),"Data mancante o non valida",IF(YEAR(A1881)&lt;&gt;Impostazioni!$C$4,"Fuori dall'anno",IF(C1881="","Manca la categoria",IF(ISNA(MATCH(C1881,Categorie!$A$6:$A$65,0)),"Categoria non trovata",IF(G1881="","Categoria senza tipo",""))))))))</f>
        <v/>
      </c>
    </row>
    <row r="1882">
      <c r="A1882" s="29" t="n"/>
      <c r="B1882" s="17" t="n"/>
      <c r="C1882" s="17" t="n"/>
      <c r="D1882" s="16" t="n"/>
      <c r="E1882" s="30" t="n"/>
      <c r="F1882" s="17" t="n"/>
      <c r="G1882" s="31">
        <f>IF(C1882="","",IFERROR(INDEX(Categorie!$B$6:$B$65,MATCH(C1882,Categorie!$A$6:$A$65,0))&amp;"",""))</f>
        <v/>
      </c>
      <c r="H1882" s="32">
        <f>IF(AND(A1882="",C1882="",D1882=""),"",IF(D1882="","Manca l'importo",IF(NOT(ISNUMBER(D1882)),"Importo non valido",IF(NOT(ISNUMBER(A1882)),"Data mancante o non valida",IF(YEAR(A1882)&lt;&gt;Impostazioni!$C$4,"Fuori dall'anno",IF(C1882="","Manca la categoria",IF(ISNA(MATCH(C1882,Categorie!$A$6:$A$65,0)),"Categoria non trovata",IF(G1882="","Categoria senza tipo",""))))))))</f>
        <v/>
      </c>
    </row>
    <row r="1883">
      <c r="A1883" s="29" t="n"/>
      <c r="B1883" s="17" t="n"/>
      <c r="C1883" s="17" t="n"/>
      <c r="D1883" s="16" t="n"/>
      <c r="E1883" s="30" t="n"/>
      <c r="F1883" s="17" t="n"/>
      <c r="G1883" s="31">
        <f>IF(C1883="","",IFERROR(INDEX(Categorie!$B$6:$B$65,MATCH(C1883,Categorie!$A$6:$A$65,0))&amp;"",""))</f>
        <v/>
      </c>
      <c r="H1883" s="32">
        <f>IF(AND(A1883="",C1883="",D1883=""),"",IF(D1883="","Manca l'importo",IF(NOT(ISNUMBER(D1883)),"Importo non valido",IF(NOT(ISNUMBER(A1883)),"Data mancante o non valida",IF(YEAR(A1883)&lt;&gt;Impostazioni!$C$4,"Fuori dall'anno",IF(C1883="","Manca la categoria",IF(ISNA(MATCH(C1883,Categorie!$A$6:$A$65,0)),"Categoria non trovata",IF(G1883="","Categoria senza tipo",""))))))))</f>
        <v/>
      </c>
    </row>
    <row r="1884">
      <c r="A1884" s="29" t="n"/>
      <c r="B1884" s="17" t="n"/>
      <c r="C1884" s="17" t="n"/>
      <c r="D1884" s="16" t="n"/>
      <c r="E1884" s="30" t="n"/>
      <c r="F1884" s="17" t="n"/>
      <c r="G1884" s="31">
        <f>IF(C1884="","",IFERROR(INDEX(Categorie!$B$6:$B$65,MATCH(C1884,Categorie!$A$6:$A$65,0))&amp;"",""))</f>
        <v/>
      </c>
      <c r="H1884" s="32">
        <f>IF(AND(A1884="",C1884="",D1884=""),"",IF(D1884="","Manca l'importo",IF(NOT(ISNUMBER(D1884)),"Importo non valido",IF(NOT(ISNUMBER(A1884)),"Data mancante o non valida",IF(YEAR(A1884)&lt;&gt;Impostazioni!$C$4,"Fuori dall'anno",IF(C1884="","Manca la categoria",IF(ISNA(MATCH(C1884,Categorie!$A$6:$A$65,0)),"Categoria non trovata",IF(G1884="","Categoria senza tipo",""))))))))</f>
        <v/>
      </c>
    </row>
    <row r="1885">
      <c r="A1885" s="29" t="n"/>
      <c r="B1885" s="17" t="n"/>
      <c r="C1885" s="17" t="n"/>
      <c r="D1885" s="16" t="n"/>
      <c r="E1885" s="30" t="n"/>
      <c r="F1885" s="17" t="n"/>
      <c r="G1885" s="31">
        <f>IF(C1885="","",IFERROR(INDEX(Categorie!$B$6:$B$65,MATCH(C1885,Categorie!$A$6:$A$65,0))&amp;"",""))</f>
        <v/>
      </c>
      <c r="H1885" s="32">
        <f>IF(AND(A1885="",C1885="",D1885=""),"",IF(D1885="","Manca l'importo",IF(NOT(ISNUMBER(D1885)),"Importo non valido",IF(NOT(ISNUMBER(A1885)),"Data mancante o non valida",IF(YEAR(A1885)&lt;&gt;Impostazioni!$C$4,"Fuori dall'anno",IF(C1885="","Manca la categoria",IF(ISNA(MATCH(C1885,Categorie!$A$6:$A$65,0)),"Categoria non trovata",IF(G1885="","Categoria senza tipo",""))))))))</f>
        <v/>
      </c>
    </row>
    <row r="1886">
      <c r="A1886" s="29" t="n"/>
      <c r="B1886" s="17" t="n"/>
      <c r="C1886" s="17" t="n"/>
      <c r="D1886" s="16" t="n"/>
      <c r="E1886" s="30" t="n"/>
      <c r="F1886" s="17" t="n"/>
      <c r="G1886" s="31">
        <f>IF(C1886="","",IFERROR(INDEX(Categorie!$B$6:$B$65,MATCH(C1886,Categorie!$A$6:$A$65,0))&amp;"",""))</f>
        <v/>
      </c>
      <c r="H1886" s="32">
        <f>IF(AND(A1886="",C1886="",D1886=""),"",IF(D1886="","Manca l'importo",IF(NOT(ISNUMBER(D1886)),"Importo non valido",IF(NOT(ISNUMBER(A1886)),"Data mancante o non valida",IF(YEAR(A1886)&lt;&gt;Impostazioni!$C$4,"Fuori dall'anno",IF(C1886="","Manca la categoria",IF(ISNA(MATCH(C1886,Categorie!$A$6:$A$65,0)),"Categoria non trovata",IF(G1886="","Categoria senza tipo",""))))))))</f>
        <v/>
      </c>
    </row>
    <row r="1887">
      <c r="A1887" s="29" t="n"/>
      <c r="B1887" s="17" t="n"/>
      <c r="C1887" s="17" t="n"/>
      <c r="D1887" s="16" t="n"/>
      <c r="E1887" s="30" t="n"/>
      <c r="F1887" s="17" t="n"/>
      <c r="G1887" s="31">
        <f>IF(C1887="","",IFERROR(INDEX(Categorie!$B$6:$B$65,MATCH(C1887,Categorie!$A$6:$A$65,0))&amp;"",""))</f>
        <v/>
      </c>
      <c r="H1887" s="32">
        <f>IF(AND(A1887="",C1887="",D1887=""),"",IF(D1887="","Manca l'importo",IF(NOT(ISNUMBER(D1887)),"Importo non valido",IF(NOT(ISNUMBER(A1887)),"Data mancante o non valida",IF(YEAR(A1887)&lt;&gt;Impostazioni!$C$4,"Fuori dall'anno",IF(C1887="","Manca la categoria",IF(ISNA(MATCH(C1887,Categorie!$A$6:$A$65,0)),"Categoria non trovata",IF(G1887="","Categoria senza tipo",""))))))))</f>
        <v/>
      </c>
    </row>
    <row r="1888">
      <c r="A1888" s="29" t="n"/>
      <c r="B1888" s="17" t="n"/>
      <c r="C1888" s="17" t="n"/>
      <c r="D1888" s="16" t="n"/>
      <c r="E1888" s="30" t="n"/>
      <c r="F1888" s="17" t="n"/>
      <c r="G1888" s="31">
        <f>IF(C1888="","",IFERROR(INDEX(Categorie!$B$6:$B$65,MATCH(C1888,Categorie!$A$6:$A$65,0))&amp;"",""))</f>
        <v/>
      </c>
      <c r="H1888" s="32">
        <f>IF(AND(A1888="",C1888="",D1888=""),"",IF(D1888="","Manca l'importo",IF(NOT(ISNUMBER(D1888)),"Importo non valido",IF(NOT(ISNUMBER(A1888)),"Data mancante o non valida",IF(YEAR(A1888)&lt;&gt;Impostazioni!$C$4,"Fuori dall'anno",IF(C1888="","Manca la categoria",IF(ISNA(MATCH(C1888,Categorie!$A$6:$A$65,0)),"Categoria non trovata",IF(G1888="","Categoria senza tipo",""))))))))</f>
        <v/>
      </c>
    </row>
    <row r="1889">
      <c r="A1889" s="29" t="n"/>
      <c r="B1889" s="17" t="n"/>
      <c r="C1889" s="17" t="n"/>
      <c r="D1889" s="16" t="n"/>
      <c r="E1889" s="30" t="n"/>
      <c r="F1889" s="17" t="n"/>
      <c r="G1889" s="31">
        <f>IF(C1889="","",IFERROR(INDEX(Categorie!$B$6:$B$65,MATCH(C1889,Categorie!$A$6:$A$65,0))&amp;"",""))</f>
        <v/>
      </c>
      <c r="H1889" s="32">
        <f>IF(AND(A1889="",C1889="",D1889=""),"",IF(D1889="","Manca l'importo",IF(NOT(ISNUMBER(D1889)),"Importo non valido",IF(NOT(ISNUMBER(A1889)),"Data mancante o non valida",IF(YEAR(A1889)&lt;&gt;Impostazioni!$C$4,"Fuori dall'anno",IF(C1889="","Manca la categoria",IF(ISNA(MATCH(C1889,Categorie!$A$6:$A$65,0)),"Categoria non trovata",IF(G1889="","Categoria senza tipo",""))))))))</f>
        <v/>
      </c>
    </row>
    <row r="1890">
      <c r="A1890" s="29" t="n"/>
      <c r="B1890" s="17" t="n"/>
      <c r="C1890" s="17" t="n"/>
      <c r="D1890" s="16" t="n"/>
      <c r="E1890" s="30" t="n"/>
      <c r="F1890" s="17" t="n"/>
      <c r="G1890" s="31">
        <f>IF(C1890="","",IFERROR(INDEX(Categorie!$B$6:$B$65,MATCH(C1890,Categorie!$A$6:$A$65,0))&amp;"",""))</f>
        <v/>
      </c>
      <c r="H1890" s="32">
        <f>IF(AND(A1890="",C1890="",D1890=""),"",IF(D1890="","Manca l'importo",IF(NOT(ISNUMBER(D1890)),"Importo non valido",IF(NOT(ISNUMBER(A1890)),"Data mancante o non valida",IF(YEAR(A1890)&lt;&gt;Impostazioni!$C$4,"Fuori dall'anno",IF(C1890="","Manca la categoria",IF(ISNA(MATCH(C1890,Categorie!$A$6:$A$65,0)),"Categoria non trovata",IF(G1890="","Categoria senza tipo",""))))))))</f>
        <v/>
      </c>
    </row>
    <row r="1891">
      <c r="A1891" s="29" t="n"/>
      <c r="B1891" s="17" t="n"/>
      <c r="C1891" s="17" t="n"/>
      <c r="D1891" s="16" t="n"/>
      <c r="E1891" s="30" t="n"/>
      <c r="F1891" s="17" t="n"/>
      <c r="G1891" s="31">
        <f>IF(C1891="","",IFERROR(INDEX(Categorie!$B$6:$B$65,MATCH(C1891,Categorie!$A$6:$A$65,0))&amp;"",""))</f>
        <v/>
      </c>
      <c r="H1891" s="32">
        <f>IF(AND(A1891="",C1891="",D1891=""),"",IF(D1891="","Manca l'importo",IF(NOT(ISNUMBER(D1891)),"Importo non valido",IF(NOT(ISNUMBER(A1891)),"Data mancante o non valida",IF(YEAR(A1891)&lt;&gt;Impostazioni!$C$4,"Fuori dall'anno",IF(C1891="","Manca la categoria",IF(ISNA(MATCH(C1891,Categorie!$A$6:$A$65,0)),"Categoria non trovata",IF(G1891="","Categoria senza tipo",""))))))))</f>
        <v/>
      </c>
    </row>
    <row r="1892">
      <c r="A1892" s="29" t="n"/>
      <c r="B1892" s="17" t="n"/>
      <c r="C1892" s="17" t="n"/>
      <c r="D1892" s="16" t="n"/>
      <c r="E1892" s="30" t="n"/>
      <c r="F1892" s="17" t="n"/>
      <c r="G1892" s="31">
        <f>IF(C1892="","",IFERROR(INDEX(Categorie!$B$6:$B$65,MATCH(C1892,Categorie!$A$6:$A$65,0))&amp;"",""))</f>
        <v/>
      </c>
      <c r="H1892" s="32">
        <f>IF(AND(A1892="",C1892="",D1892=""),"",IF(D1892="","Manca l'importo",IF(NOT(ISNUMBER(D1892)),"Importo non valido",IF(NOT(ISNUMBER(A1892)),"Data mancante o non valida",IF(YEAR(A1892)&lt;&gt;Impostazioni!$C$4,"Fuori dall'anno",IF(C1892="","Manca la categoria",IF(ISNA(MATCH(C1892,Categorie!$A$6:$A$65,0)),"Categoria non trovata",IF(G1892="","Categoria senza tipo",""))))))))</f>
        <v/>
      </c>
    </row>
    <row r="1893">
      <c r="A1893" s="29" t="n"/>
      <c r="B1893" s="17" t="n"/>
      <c r="C1893" s="17" t="n"/>
      <c r="D1893" s="16" t="n"/>
      <c r="E1893" s="30" t="n"/>
      <c r="F1893" s="17" t="n"/>
      <c r="G1893" s="31">
        <f>IF(C1893="","",IFERROR(INDEX(Categorie!$B$6:$B$65,MATCH(C1893,Categorie!$A$6:$A$65,0))&amp;"",""))</f>
        <v/>
      </c>
      <c r="H1893" s="32">
        <f>IF(AND(A1893="",C1893="",D1893=""),"",IF(D1893="","Manca l'importo",IF(NOT(ISNUMBER(D1893)),"Importo non valido",IF(NOT(ISNUMBER(A1893)),"Data mancante o non valida",IF(YEAR(A1893)&lt;&gt;Impostazioni!$C$4,"Fuori dall'anno",IF(C1893="","Manca la categoria",IF(ISNA(MATCH(C1893,Categorie!$A$6:$A$65,0)),"Categoria non trovata",IF(G1893="","Categoria senza tipo",""))))))))</f>
        <v/>
      </c>
    </row>
    <row r="1894">
      <c r="A1894" s="29" t="n"/>
      <c r="B1894" s="17" t="n"/>
      <c r="C1894" s="17" t="n"/>
      <c r="D1894" s="16" t="n"/>
      <c r="E1894" s="30" t="n"/>
      <c r="F1894" s="17" t="n"/>
      <c r="G1894" s="31">
        <f>IF(C1894="","",IFERROR(INDEX(Categorie!$B$6:$B$65,MATCH(C1894,Categorie!$A$6:$A$65,0))&amp;"",""))</f>
        <v/>
      </c>
      <c r="H1894" s="32">
        <f>IF(AND(A1894="",C1894="",D1894=""),"",IF(D1894="","Manca l'importo",IF(NOT(ISNUMBER(D1894)),"Importo non valido",IF(NOT(ISNUMBER(A1894)),"Data mancante o non valida",IF(YEAR(A1894)&lt;&gt;Impostazioni!$C$4,"Fuori dall'anno",IF(C1894="","Manca la categoria",IF(ISNA(MATCH(C1894,Categorie!$A$6:$A$65,0)),"Categoria non trovata",IF(G1894="","Categoria senza tipo",""))))))))</f>
        <v/>
      </c>
    </row>
    <row r="1895">
      <c r="A1895" s="29" t="n"/>
      <c r="B1895" s="17" t="n"/>
      <c r="C1895" s="17" t="n"/>
      <c r="D1895" s="16" t="n"/>
      <c r="E1895" s="30" t="n"/>
      <c r="F1895" s="17" t="n"/>
      <c r="G1895" s="31">
        <f>IF(C1895="","",IFERROR(INDEX(Categorie!$B$6:$B$65,MATCH(C1895,Categorie!$A$6:$A$65,0))&amp;"",""))</f>
        <v/>
      </c>
      <c r="H1895" s="32">
        <f>IF(AND(A1895="",C1895="",D1895=""),"",IF(D1895="","Manca l'importo",IF(NOT(ISNUMBER(D1895)),"Importo non valido",IF(NOT(ISNUMBER(A1895)),"Data mancante o non valida",IF(YEAR(A1895)&lt;&gt;Impostazioni!$C$4,"Fuori dall'anno",IF(C1895="","Manca la categoria",IF(ISNA(MATCH(C1895,Categorie!$A$6:$A$65,0)),"Categoria non trovata",IF(G1895="","Categoria senza tipo",""))))))))</f>
        <v/>
      </c>
    </row>
    <row r="1896">
      <c r="A1896" s="29" t="n"/>
      <c r="B1896" s="17" t="n"/>
      <c r="C1896" s="17" t="n"/>
      <c r="D1896" s="16" t="n"/>
      <c r="E1896" s="30" t="n"/>
      <c r="F1896" s="17" t="n"/>
      <c r="G1896" s="31">
        <f>IF(C1896="","",IFERROR(INDEX(Categorie!$B$6:$B$65,MATCH(C1896,Categorie!$A$6:$A$65,0))&amp;"",""))</f>
        <v/>
      </c>
      <c r="H1896" s="32">
        <f>IF(AND(A1896="",C1896="",D1896=""),"",IF(D1896="","Manca l'importo",IF(NOT(ISNUMBER(D1896)),"Importo non valido",IF(NOT(ISNUMBER(A1896)),"Data mancante o non valida",IF(YEAR(A1896)&lt;&gt;Impostazioni!$C$4,"Fuori dall'anno",IF(C1896="","Manca la categoria",IF(ISNA(MATCH(C1896,Categorie!$A$6:$A$65,0)),"Categoria non trovata",IF(G1896="","Categoria senza tipo",""))))))))</f>
        <v/>
      </c>
    </row>
    <row r="1897">
      <c r="A1897" s="29" t="n"/>
      <c r="B1897" s="17" t="n"/>
      <c r="C1897" s="17" t="n"/>
      <c r="D1897" s="16" t="n"/>
      <c r="E1897" s="30" t="n"/>
      <c r="F1897" s="17" t="n"/>
      <c r="G1897" s="31">
        <f>IF(C1897="","",IFERROR(INDEX(Categorie!$B$6:$B$65,MATCH(C1897,Categorie!$A$6:$A$65,0))&amp;"",""))</f>
        <v/>
      </c>
      <c r="H1897" s="32">
        <f>IF(AND(A1897="",C1897="",D1897=""),"",IF(D1897="","Manca l'importo",IF(NOT(ISNUMBER(D1897)),"Importo non valido",IF(NOT(ISNUMBER(A1897)),"Data mancante o non valida",IF(YEAR(A1897)&lt;&gt;Impostazioni!$C$4,"Fuori dall'anno",IF(C1897="","Manca la categoria",IF(ISNA(MATCH(C1897,Categorie!$A$6:$A$65,0)),"Categoria non trovata",IF(G1897="","Categoria senza tipo",""))))))))</f>
        <v/>
      </c>
    </row>
    <row r="1898">
      <c r="A1898" s="29" t="n"/>
      <c r="B1898" s="17" t="n"/>
      <c r="C1898" s="17" t="n"/>
      <c r="D1898" s="16" t="n"/>
      <c r="E1898" s="30" t="n"/>
      <c r="F1898" s="17" t="n"/>
      <c r="G1898" s="31">
        <f>IF(C1898="","",IFERROR(INDEX(Categorie!$B$6:$B$65,MATCH(C1898,Categorie!$A$6:$A$65,0))&amp;"",""))</f>
        <v/>
      </c>
      <c r="H1898" s="32">
        <f>IF(AND(A1898="",C1898="",D1898=""),"",IF(D1898="","Manca l'importo",IF(NOT(ISNUMBER(D1898)),"Importo non valido",IF(NOT(ISNUMBER(A1898)),"Data mancante o non valida",IF(YEAR(A1898)&lt;&gt;Impostazioni!$C$4,"Fuori dall'anno",IF(C1898="","Manca la categoria",IF(ISNA(MATCH(C1898,Categorie!$A$6:$A$65,0)),"Categoria non trovata",IF(G1898="","Categoria senza tipo",""))))))))</f>
        <v/>
      </c>
    </row>
    <row r="1899">
      <c r="A1899" s="29" t="n"/>
      <c r="B1899" s="17" t="n"/>
      <c r="C1899" s="17" t="n"/>
      <c r="D1899" s="16" t="n"/>
      <c r="E1899" s="30" t="n"/>
      <c r="F1899" s="17" t="n"/>
      <c r="G1899" s="31">
        <f>IF(C1899="","",IFERROR(INDEX(Categorie!$B$6:$B$65,MATCH(C1899,Categorie!$A$6:$A$65,0))&amp;"",""))</f>
        <v/>
      </c>
      <c r="H1899" s="32">
        <f>IF(AND(A1899="",C1899="",D1899=""),"",IF(D1899="","Manca l'importo",IF(NOT(ISNUMBER(D1899)),"Importo non valido",IF(NOT(ISNUMBER(A1899)),"Data mancante o non valida",IF(YEAR(A1899)&lt;&gt;Impostazioni!$C$4,"Fuori dall'anno",IF(C1899="","Manca la categoria",IF(ISNA(MATCH(C1899,Categorie!$A$6:$A$65,0)),"Categoria non trovata",IF(G1899="","Categoria senza tipo",""))))))))</f>
        <v/>
      </c>
    </row>
    <row r="1900">
      <c r="A1900" s="29" t="n"/>
      <c r="B1900" s="17" t="n"/>
      <c r="C1900" s="17" t="n"/>
      <c r="D1900" s="16" t="n"/>
      <c r="E1900" s="30" t="n"/>
      <c r="F1900" s="17" t="n"/>
      <c r="G1900" s="31">
        <f>IF(C1900="","",IFERROR(INDEX(Categorie!$B$6:$B$65,MATCH(C1900,Categorie!$A$6:$A$65,0))&amp;"",""))</f>
        <v/>
      </c>
      <c r="H1900" s="32">
        <f>IF(AND(A1900="",C1900="",D1900=""),"",IF(D1900="","Manca l'importo",IF(NOT(ISNUMBER(D1900)),"Importo non valido",IF(NOT(ISNUMBER(A1900)),"Data mancante o non valida",IF(YEAR(A1900)&lt;&gt;Impostazioni!$C$4,"Fuori dall'anno",IF(C1900="","Manca la categoria",IF(ISNA(MATCH(C1900,Categorie!$A$6:$A$65,0)),"Categoria non trovata",IF(G1900="","Categoria senza tipo",""))))))))</f>
        <v/>
      </c>
    </row>
    <row r="1901">
      <c r="A1901" s="29" t="n"/>
      <c r="B1901" s="17" t="n"/>
      <c r="C1901" s="17" t="n"/>
      <c r="D1901" s="16" t="n"/>
      <c r="E1901" s="30" t="n"/>
      <c r="F1901" s="17" t="n"/>
      <c r="G1901" s="31">
        <f>IF(C1901="","",IFERROR(INDEX(Categorie!$B$6:$B$65,MATCH(C1901,Categorie!$A$6:$A$65,0))&amp;"",""))</f>
        <v/>
      </c>
      <c r="H1901" s="32">
        <f>IF(AND(A1901="",C1901="",D1901=""),"",IF(D1901="","Manca l'importo",IF(NOT(ISNUMBER(D1901)),"Importo non valido",IF(NOT(ISNUMBER(A1901)),"Data mancante o non valida",IF(YEAR(A1901)&lt;&gt;Impostazioni!$C$4,"Fuori dall'anno",IF(C1901="","Manca la categoria",IF(ISNA(MATCH(C1901,Categorie!$A$6:$A$65,0)),"Categoria non trovata",IF(G1901="","Categoria senza tipo",""))))))))</f>
        <v/>
      </c>
    </row>
    <row r="1902">
      <c r="A1902" s="29" t="n"/>
      <c r="B1902" s="17" t="n"/>
      <c r="C1902" s="17" t="n"/>
      <c r="D1902" s="16" t="n"/>
      <c r="E1902" s="30" t="n"/>
      <c r="F1902" s="17" t="n"/>
      <c r="G1902" s="31">
        <f>IF(C1902="","",IFERROR(INDEX(Categorie!$B$6:$B$65,MATCH(C1902,Categorie!$A$6:$A$65,0))&amp;"",""))</f>
        <v/>
      </c>
      <c r="H1902" s="32">
        <f>IF(AND(A1902="",C1902="",D1902=""),"",IF(D1902="","Manca l'importo",IF(NOT(ISNUMBER(D1902)),"Importo non valido",IF(NOT(ISNUMBER(A1902)),"Data mancante o non valida",IF(YEAR(A1902)&lt;&gt;Impostazioni!$C$4,"Fuori dall'anno",IF(C1902="","Manca la categoria",IF(ISNA(MATCH(C1902,Categorie!$A$6:$A$65,0)),"Categoria non trovata",IF(G1902="","Categoria senza tipo",""))))))))</f>
        <v/>
      </c>
    </row>
    <row r="1903">
      <c r="A1903" s="29" t="n"/>
      <c r="B1903" s="17" t="n"/>
      <c r="C1903" s="17" t="n"/>
      <c r="D1903" s="16" t="n"/>
      <c r="E1903" s="30" t="n"/>
      <c r="F1903" s="17" t="n"/>
      <c r="G1903" s="31">
        <f>IF(C1903="","",IFERROR(INDEX(Categorie!$B$6:$B$65,MATCH(C1903,Categorie!$A$6:$A$65,0))&amp;"",""))</f>
        <v/>
      </c>
      <c r="H1903" s="32">
        <f>IF(AND(A1903="",C1903="",D1903=""),"",IF(D1903="","Manca l'importo",IF(NOT(ISNUMBER(D1903)),"Importo non valido",IF(NOT(ISNUMBER(A1903)),"Data mancante o non valida",IF(YEAR(A1903)&lt;&gt;Impostazioni!$C$4,"Fuori dall'anno",IF(C1903="","Manca la categoria",IF(ISNA(MATCH(C1903,Categorie!$A$6:$A$65,0)),"Categoria non trovata",IF(G1903="","Categoria senza tipo",""))))))))</f>
        <v/>
      </c>
    </row>
    <row r="1904">
      <c r="A1904" s="29" t="n"/>
      <c r="B1904" s="17" t="n"/>
      <c r="C1904" s="17" t="n"/>
      <c r="D1904" s="16" t="n"/>
      <c r="E1904" s="30" t="n"/>
      <c r="F1904" s="17" t="n"/>
      <c r="G1904" s="31">
        <f>IF(C1904="","",IFERROR(INDEX(Categorie!$B$6:$B$65,MATCH(C1904,Categorie!$A$6:$A$65,0))&amp;"",""))</f>
        <v/>
      </c>
      <c r="H1904" s="32">
        <f>IF(AND(A1904="",C1904="",D1904=""),"",IF(D1904="","Manca l'importo",IF(NOT(ISNUMBER(D1904)),"Importo non valido",IF(NOT(ISNUMBER(A1904)),"Data mancante o non valida",IF(YEAR(A1904)&lt;&gt;Impostazioni!$C$4,"Fuori dall'anno",IF(C1904="","Manca la categoria",IF(ISNA(MATCH(C1904,Categorie!$A$6:$A$65,0)),"Categoria non trovata",IF(G1904="","Categoria senza tipo",""))))))))</f>
        <v/>
      </c>
    </row>
    <row r="1905">
      <c r="A1905" s="29" t="n"/>
      <c r="B1905" s="17" t="n"/>
      <c r="C1905" s="17" t="n"/>
      <c r="D1905" s="16" t="n"/>
      <c r="E1905" s="30" t="n"/>
      <c r="F1905" s="17" t="n"/>
      <c r="G1905" s="31">
        <f>IF(C1905="","",IFERROR(INDEX(Categorie!$B$6:$B$65,MATCH(C1905,Categorie!$A$6:$A$65,0))&amp;"",""))</f>
        <v/>
      </c>
      <c r="H1905" s="32">
        <f>IF(AND(A1905="",C1905="",D1905=""),"",IF(D1905="","Manca l'importo",IF(NOT(ISNUMBER(D1905)),"Importo non valido",IF(NOT(ISNUMBER(A1905)),"Data mancante o non valida",IF(YEAR(A1905)&lt;&gt;Impostazioni!$C$4,"Fuori dall'anno",IF(C1905="","Manca la categoria",IF(ISNA(MATCH(C1905,Categorie!$A$6:$A$65,0)),"Categoria non trovata",IF(G1905="","Categoria senza tipo",""))))))))</f>
        <v/>
      </c>
    </row>
    <row r="1906">
      <c r="A1906" s="29" t="n"/>
      <c r="B1906" s="17" t="n"/>
      <c r="C1906" s="17" t="n"/>
      <c r="D1906" s="16" t="n"/>
      <c r="E1906" s="30" t="n"/>
      <c r="F1906" s="17" t="n"/>
      <c r="G1906" s="31">
        <f>IF(C1906="","",IFERROR(INDEX(Categorie!$B$6:$B$65,MATCH(C1906,Categorie!$A$6:$A$65,0))&amp;"",""))</f>
        <v/>
      </c>
      <c r="H1906" s="32">
        <f>IF(AND(A1906="",C1906="",D1906=""),"",IF(D1906="","Manca l'importo",IF(NOT(ISNUMBER(D1906)),"Importo non valido",IF(NOT(ISNUMBER(A1906)),"Data mancante o non valida",IF(YEAR(A1906)&lt;&gt;Impostazioni!$C$4,"Fuori dall'anno",IF(C1906="","Manca la categoria",IF(ISNA(MATCH(C1906,Categorie!$A$6:$A$65,0)),"Categoria non trovata",IF(G1906="","Categoria senza tipo",""))))))))</f>
        <v/>
      </c>
    </row>
    <row r="1907">
      <c r="A1907" s="29" t="n"/>
      <c r="B1907" s="17" t="n"/>
      <c r="C1907" s="17" t="n"/>
      <c r="D1907" s="16" t="n"/>
      <c r="E1907" s="30" t="n"/>
      <c r="F1907" s="17" t="n"/>
      <c r="G1907" s="31">
        <f>IF(C1907="","",IFERROR(INDEX(Categorie!$B$6:$B$65,MATCH(C1907,Categorie!$A$6:$A$65,0))&amp;"",""))</f>
        <v/>
      </c>
      <c r="H1907" s="32">
        <f>IF(AND(A1907="",C1907="",D1907=""),"",IF(D1907="","Manca l'importo",IF(NOT(ISNUMBER(D1907)),"Importo non valido",IF(NOT(ISNUMBER(A1907)),"Data mancante o non valida",IF(YEAR(A1907)&lt;&gt;Impostazioni!$C$4,"Fuori dall'anno",IF(C1907="","Manca la categoria",IF(ISNA(MATCH(C1907,Categorie!$A$6:$A$65,0)),"Categoria non trovata",IF(G1907="","Categoria senza tipo",""))))))))</f>
        <v/>
      </c>
    </row>
    <row r="1908">
      <c r="A1908" s="29" t="n"/>
      <c r="B1908" s="17" t="n"/>
      <c r="C1908" s="17" t="n"/>
      <c r="D1908" s="16" t="n"/>
      <c r="E1908" s="30" t="n"/>
      <c r="F1908" s="17" t="n"/>
      <c r="G1908" s="31">
        <f>IF(C1908="","",IFERROR(INDEX(Categorie!$B$6:$B$65,MATCH(C1908,Categorie!$A$6:$A$65,0))&amp;"",""))</f>
        <v/>
      </c>
      <c r="H1908" s="32">
        <f>IF(AND(A1908="",C1908="",D1908=""),"",IF(D1908="","Manca l'importo",IF(NOT(ISNUMBER(D1908)),"Importo non valido",IF(NOT(ISNUMBER(A1908)),"Data mancante o non valida",IF(YEAR(A1908)&lt;&gt;Impostazioni!$C$4,"Fuori dall'anno",IF(C1908="","Manca la categoria",IF(ISNA(MATCH(C1908,Categorie!$A$6:$A$65,0)),"Categoria non trovata",IF(G1908="","Categoria senza tipo",""))))))))</f>
        <v/>
      </c>
    </row>
    <row r="1909">
      <c r="A1909" s="29" t="n"/>
      <c r="B1909" s="17" t="n"/>
      <c r="C1909" s="17" t="n"/>
      <c r="D1909" s="16" t="n"/>
      <c r="E1909" s="30" t="n"/>
      <c r="F1909" s="17" t="n"/>
      <c r="G1909" s="31">
        <f>IF(C1909="","",IFERROR(INDEX(Categorie!$B$6:$B$65,MATCH(C1909,Categorie!$A$6:$A$65,0))&amp;"",""))</f>
        <v/>
      </c>
      <c r="H1909" s="32">
        <f>IF(AND(A1909="",C1909="",D1909=""),"",IF(D1909="","Manca l'importo",IF(NOT(ISNUMBER(D1909)),"Importo non valido",IF(NOT(ISNUMBER(A1909)),"Data mancante o non valida",IF(YEAR(A1909)&lt;&gt;Impostazioni!$C$4,"Fuori dall'anno",IF(C1909="","Manca la categoria",IF(ISNA(MATCH(C1909,Categorie!$A$6:$A$65,0)),"Categoria non trovata",IF(G1909="","Categoria senza tipo",""))))))))</f>
        <v/>
      </c>
    </row>
    <row r="1910">
      <c r="A1910" s="29" t="n"/>
      <c r="B1910" s="17" t="n"/>
      <c r="C1910" s="17" t="n"/>
      <c r="D1910" s="16" t="n"/>
      <c r="E1910" s="30" t="n"/>
      <c r="F1910" s="17" t="n"/>
      <c r="G1910" s="31">
        <f>IF(C1910="","",IFERROR(INDEX(Categorie!$B$6:$B$65,MATCH(C1910,Categorie!$A$6:$A$65,0))&amp;"",""))</f>
        <v/>
      </c>
      <c r="H1910" s="32">
        <f>IF(AND(A1910="",C1910="",D1910=""),"",IF(D1910="","Manca l'importo",IF(NOT(ISNUMBER(D1910)),"Importo non valido",IF(NOT(ISNUMBER(A1910)),"Data mancante o non valida",IF(YEAR(A1910)&lt;&gt;Impostazioni!$C$4,"Fuori dall'anno",IF(C1910="","Manca la categoria",IF(ISNA(MATCH(C1910,Categorie!$A$6:$A$65,0)),"Categoria non trovata",IF(G1910="","Categoria senza tipo",""))))))))</f>
        <v/>
      </c>
    </row>
    <row r="1911">
      <c r="A1911" s="29" t="n"/>
      <c r="B1911" s="17" t="n"/>
      <c r="C1911" s="17" t="n"/>
      <c r="D1911" s="16" t="n"/>
      <c r="E1911" s="30" t="n"/>
      <c r="F1911" s="17" t="n"/>
      <c r="G1911" s="31">
        <f>IF(C1911="","",IFERROR(INDEX(Categorie!$B$6:$B$65,MATCH(C1911,Categorie!$A$6:$A$65,0))&amp;"",""))</f>
        <v/>
      </c>
      <c r="H1911" s="32">
        <f>IF(AND(A1911="",C1911="",D1911=""),"",IF(D1911="","Manca l'importo",IF(NOT(ISNUMBER(D1911)),"Importo non valido",IF(NOT(ISNUMBER(A1911)),"Data mancante o non valida",IF(YEAR(A1911)&lt;&gt;Impostazioni!$C$4,"Fuori dall'anno",IF(C1911="","Manca la categoria",IF(ISNA(MATCH(C1911,Categorie!$A$6:$A$65,0)),"Categoria non trovata",IF(G1911="","Categoria senza tipo",""))))))))</f>
        <v/>
      </c>
    </row>
    <row r="1912">
      <c r="A1912" s="29" t="n"/>
      <c r="B1912" s="17" t="n"/>
      <c r="C1912" s="17" t="n"/>
      <c r="D1912" s="16" t="n"/>
      <c r="E1912" s="30" t="n"/>
      <c r="F1912" s="17" t="n"/>
      <c r="G1912" s="31">
        <f>IF(C1912="","",IFERROR(INDEX(Categorie!$B$6:$B$65,MATCH(C1912,Categorie!$A$6:$A$65,0))&amp;"",""))</f>
        <v/>
      </c>
      <c r="H1912" s="32">
        <f>IF(AND(A1912="",C1912="",D1912=""),"",IF(D1912="","Manca l'importo",IF(NOT(ISNUMBER(D1912)),"Importo non valido",IF(NOT(ISNUMBER(A1912)),"Data mancante o non valida",IF(YEAR(A1912)&lt;&gt;Impostazioni!$C$4,"Fuori dall'anno",IF(C1912="","Manca la categoria",IF(ISNA(MATCH(C1912,Categorie!$A$6:$A$65,0)),"Categoria non trovata",IF(G1912="","Categoria senza tipo",""))))))))</f>
        <v/>
      </c>
    </row>
    <row r="1913">
      <c r="A1913" s="29" t="n"/>
      <c r="B1913" s="17" t="n"/>
      <c r="C1913" s="17" t="n"/>
      <c r="D1913" s="16" t="n"/>
      <c r="E1913" s="30" t="n"/>
      <c r="F1913" s="17" t="n"/>
      <c r="G1913" s="31">
        <f>IF(C1913="","",IFERROR(INDEX(Categorie!$B$6:$B$65,MATCH(C1913,Categorie!$A$6:$A$65,0))&amp;"",""))</f>
        <v/>
      </c>
      <c r="H1913" s="32">
        <f>IF(AND(A1913="",C1913="",D1913=""),"",IF(D1913="","Manca l'importo",IF(NOT(ISNUMBER(D1913)),"Importo non valido",IF(NOT(ISNUMBER(A1913)),"Data mancante o non valida",IF(YEAR(A1913)&lt;&gt;Impostazioni!$C$4,"Fuori dall'anno",IF(C1913="","Manca la categoria",IF(ISNA(MATCH(C1913,Categorie!$A$6:$A$65,0)),"Categoria non trovata",IF(G1913="","Categoria senza tipo",""))))))))</f>
        <v/>
      </c>
    </row>
    <row r="1914">
      <c r="A1914" s="29" t="n"/>
      <c r="B1914" s="17" t="n"/>
      <c r="C1914" s="17" t="n"/>
      <c r="D1914" s="16" t="n"/>
      <c r="E1914" s="30" t="n"/>
      <c r="F1914" s="17" t="n"/>
      <c r="G1914" s="31">
        <f>IF(C1914="","",IFERROR(INDEX(Categorie!$B$6:$B$65,MATCH(C1914,Categorie!$A$6:$A$65,0))&amp;"",""))</f>
        <v/>
      </c>
      <c r="H1914" s="32">
        <f>IF(AND(A1914="",C1914="",D1914=""),"",IF(D1914="","Manca l'importo",IF(NOT(ISNUMBER(D1914)),"Importo non valido",IF(NOT(ISNUMBER(A1914)),"Data mancante o non valida",IF(YEAR(A1914)&lt;&gt;Impostazioni!$C$4,"Fuori dall'anno",IF(C1914="","Manca la categoria",IF(ISNA(MATCH(C1914,Categorie!$A$6:$A$65,0)),"Categoria non trovata",IF(G1914="","Categoria senza tipo",""))))))))</f>
        <v/>
      </c>
    </row>
    <row r="1915">
      <c r="A1915" s="29" t="n"/>
      <c r="B1915" s="17" t="n"/>
      <c r="C1915" s="17" t="n"/>
      <c r="D1915" s="16" t="n"/>
      <c r="E1915" s="30" t="n"/>
      <c r="F1915" s="17" t="n"/>
      <c r="G1915" s="31">
        <f>IF(C1915="","",IFERROR(INDEX(Categorie!$B$6:$B$65,MATCH(C1915,Categorie!$A$6:$A$65,0))&amp;"",""))</f>
        <v/>
      </c>
      <c r="H1915" s="32">
        <f>IF(AND(A1915="",C1915="",D1915=""),"",IF(D1915="","Manca l'importo",IF(NOT(ISNUMBER(D1915)),"Importo non valido",IF(NOT(ISNUMBER(A1915)),"Data mancante o non valida",IF(YEAR(A1915)&lt;&gt;Impostazioni!$C$4,"Fuori dall'anno",IF(C1915="","Manca la categoria",IF(ISNA(MATCH(C1915,Categorie!$A$6:$A$65,0)),"Categoria non trovata",IF(G1915="","Categoria senza tipo",""))))))))</f>
        <v/>
      </c>
    </row>
    <row r="1916">
      <c r="A1916" s="29" t="n"/>
      <c r="B1916" s="17" t="n"/>
      <c r="C1916" s="17" t="n"/>
      <c r="D1916" s="16" t="n"/>
      <c r="E1916" s="30" t="n"/>
      <c r="F1916" s="17" t="n"/>
      <c r="G1916" s="31">
        <f>IF(C1916="","",IFERROR(INDEX(Categorie!$B$6:$B$65,MATCH(C1916,Categorie!$A$6:$A$65,0))&amp;"",""))</f>
        <v/>
      </c>
      <c r="H1916" s="32">
        <f>IF(AND(A1916="",C1916="",D1916=""),"",IF(D1916="","Manca l'importo",IF(NOT(ISNUMBER(D1916)),"Importo non valido",IF(NOT(ISNUMBER(A1916)),"Data mancante o non valida",IF(YEAR(A1916)&lt;&gt;Impostazioni!$C$4,"Fuori dall'anno",IF(C1916="","Manca la categoria",IF(ISNA(MATCH(C1916,Categorie!$A$6:$A$65,0)),"Categoria non trovata",IF(G1916="","Categoria senza tipo",""))))))))</f>
        <v/>
      </c>
    </row>
    <row r="1917">
      <c r="A1917" s="29" t="n"/>
      <c r="B1917" s="17" t="n"/>
      <c r="C1917" s="17" t="n"/>
      <c r="D1917" s="16" t="n"/>
      <c r="E1917" s="30" t="n"/>
      <c r="F1917" s="17" t="n"/>
      <c r="G1917" s="31">
        <f>IF(C1917="","",IFERROR(INDEX(Categorie!$B$6:$B$65,MATCH(C1917,Categorie!$A$6:$A$65,0))&amp;"",""))</f>
        <v/>
      </c>
      <c r="H1917" s="32">
        <f>IF(AND(A1917="",C1917="",D1917=""),"",IF(D1917="","Manca l'importo",IF(NOT(ISNUMBER(D1917)),"Importo non valido",IF(NOT(ISNUMBER(A1917)),"Data mancante o non valida",IF(YEAR(A1917)&lt;&gt;Impostazioni!$C$4,"Fuori dall'anno",IF(C1917="","Manca la categoria",IF(ISNA(MATCH(C1917,Categorie!$A$6:$A$65,0)),"Categoria non trovata",IF(G1917="","Categoria senza tipo",""))))))))</f>
        <v/>
      </c>
    </row>
    <row r="1918">
      <c r="A1918" s="29" t="n"/>
      <c r="B1918" s="17" t="n"/>
      <c r="C1918" s="17" t="n"/>
      <c r="D1918" s="16" t="n"/>
      <c r="E1918" s="30" t="n"/>
      <c r="F1918" s="17" t="n"/>
      <c r="G1918" s="31">
        <f>IF(C1918="","",IFERROR(INDEX(Categorie!$B$6:$B$65,MATCH(C1918,Categorie!$A$6:$A$65,0))&amp;"",""))</f>
        <v/>
      </c>
      <c r="H1918" s="32">
        <f>IF(AND(A1918="",C1918="",D1918=""),"",IF(D1918="","Manca l'importo",IF(NOT(ISNUMBER(D1918)),"Importo non valido",IF(NOT(ISNUMBER(A1918)),"Data mancante o non valida",IF(YEAR(A1918)&lt;&gt;Impostazioni!$C$4,"Fuori dall'anno",IF(C1918="","Manca la categoria",IF(ISNA(MATCH(C1918,Categorie!$A$6:$A$65,0)),"Categoria non trovata",IF(G1918="","Categoria senza tipo",""))))))))</f>
        <v/>
      </c>
    </row>
    <row r="1919">
      <c r="A1919" s="29" t="n"/>
      <c r="B1919" s="17" t="n"/>
      <c r="C1919" s="17" t="n"/>
      <c r="D1919" s="16" t="n"/>
      <c r="E1919" s="30" t="n"/>
      <c r="F1919" s="17" t="n"/>
      <c r="G1919" s="31">
        <f>IF(C1919="","",IFERROR(INDEX(Categorie!$B$6:$B$65,MATCH(C1919,Categorie!$A$6:$A$65,0))&amp;"",""))</f>
        <v/>
      </c>
      <c r="H1919" s="32">
        <f>IF(AND(A1919="",C1919="",D1919=""),"",IF(D1919="","Manca l'importo",IF(NOT(ISNUMBER(D1919)),"Importo non valido",IF(NOT(ISNUMBER(A1919)),"Data mancante o non valida",IF(YEAR(A1919)&lt;&gt;Impostazioni!$C$4,"Fuori dall'anno",IF(C1919="","Manca la categoria",IF(ISNA(MATCH(C1919,Categorie!$A$6:$A$65,0)),"Categoria non trovata",IF(G1919="","Categoria senza tipo",""))))))))</f>
        <v/>
      </c>
    </row>
    <row r="1920">
      <c r="A1920" s="29" t="n"/>
      <c r="B1920" s="17" t="n"/>
      <c r="C1920" s="17" t="n"/>
      <c r="D1920" s="16" t="n"/>
      <c r="E1920" s="30" t="n"/>
      <c r="F1920" s="17" t="n"/>
      <c r="G1920" s="31">
        <f>IF(C1920="","",IFERROR(INDEX(Categorie!$B$6:$B$65,MATCH(C1920,Categorie!$A$6:$A$65,0))&amp;"",""))</f>
        <v/>
      </c>
      <c r="H1920" s="32">
        <f>IF(AND(A1920="",C1920="",D1920=""),"",IF(D1920="","Manca l'importo",IF(NOT(ISNUMBER(D1920)),"Importo non valido",IF(NOT(ISNUMBER(A1920)),"Data mancante o non valida",IF(YEAR(A1920)&lt;&gt;Impostazioni!$C$4,"Fuori dall'anno",IF(C1920="","Manca la categoria",IF(ISNA(MATCH(C1920,Categorie!$A$6:$A$65,0)),"Categoria non trovata",IF(G1920="","Categoria senza tipo",""))))))))</f>
        <v/>
      </c>
    </row>
    <row r="1921">
      <c r="A1921" s="29" t="n"/>
      <c r="B1921" s="17" t="n"/>
      <c r="C1921" s="17" t="n"/>
      <c r="D1921" s="16" t="n"/>
      <c r="E1921" s="30" t="n"/>
      <c r="F1921" s="17" t="n"/>
      <c r="G1921" s="31">
        <f>IF(C1921="","",IFERROR(INDEX(Categorie!$B$6:$B$65,MATCH(C1921,Categorie!$A$6:$A$65,0))&amp;"",""))</f>
        <v/>
      </c>
      <c r="H1921" s="32">
        <f>IF(AND(A1921="",C1921="",D1921=""),"",IF(D1921="","Manca l'importo",IF(NOT(ISNUMBER(D1921)),"Importo non valido",IF(NOT(ISNUMBER(A1921)),"Data mancante o non valida",IF(YEAR(A1921)&lt;&gt;Impostazioni!$C$4,"Fuori dall'anno",IF(C1921="","Manca la categoria",IF(ISNA(MATCH(C1921,Categorie!$A$6:$A$65,0)),"Categoria non trovata",IF(G1921="","Categoria senza tipo",""))))))))</f>
        <v/>
      </c>
    </row>
    <row r="1922">
      <c r="A1922" s="29" t="n"/>
      <c r="B1922" s="17" t="n"/>
      <c r="C1922" s="17" t="n"/>
      <c r="D1922" s="16" t="n"/>
      <c r="E1922" s="30" t="n"/>
      <c r="F1922" s="17" t="n"/>
      <c r="G1922" s="31">
        <f>IF(C1922="","",IFERROR(INDEX(Categorie!$B$6:$B$65,MATCH(C1922,Categorie!$A$6:$A$65,0))&amp;"",""))</f>
        <v/>
      </c>
      <c r="H1922" s="32">
        <f>IF(AND(A1922="",C1922="",D1922=""),"",IF(D1922="","Manca l'importo",IF(NOT(ISNUMBER(D1922)),"Importo non valido",IF(NOT(ISNUMBER(A1922)),"Data mancante o non valida",IF(YEAR(A1922)&lt;&gt;Impostazioni!$C$4,"Fuori dall'anno",IF(C1922="","Manca la categoria",IF(ISNA(MATCH(C1922,Categorie!$A$6:$A$65,0)),"Categoria non trovata",IF(G1922="","Categoria senza tipo",""))))))))</f>
        <v/>
      </c>
    </row>
    <row r="1923">
      <c r="A1923" s="29" t="n"/>
      <c r="B1923" s="17" t="n"/>
      <c r="C1923" s="17" t="n"/>
      <c r="D1923" s="16" t="n"/>
      <c r="E1923" s="30" t="n"/>
      <c r="F1923" s="17" t="n"/>
      <c r="G1923" s="31">
        <f>IF(C1923="","",IFERROR(INDEX(Categorie!$B$6:$B$65,MATCH(C1923,Categorie!$A$6:$A$65,0))&amp;"",""))</f>
        <v/>
      </c>
      <c r="H1923" s="32">
        <f>IF(AND(A1923="",C1923="",D1923=""),"",IF(D1923="","Manca l'importo",IF(NOT(ISNUMBER(D1923)),"Importo non valido",IF(NOT(ISNUMBER(A1923)),"Data mancante o non valida",IF(YEAR(A1923)&lt;&gt;Impostazioni!$C$4,"Fuori dall'anno",IF(C1923="","Manca la categoria",IF(ISNA(MATCH(C1923,Categorie!$A$6:$A$65,0)),"Categoria non trovata",IF(G1923="","Categoria senza tipo",""))))))))</f>
        <v/>
      </c>
    </row>
    <row r="1924">
      <c r="A1924" s="29" t="n"/>
      <c r="B1924" s="17" t="n"/>
      <c r="C1924" s="17" t="n"/>
      <c r="D1924" s="16" t="n"/>
      <c r="E1924" s="30" t="n"/>
      <c r="F1924" s="17" t="n"/>
      <c r="G1924" s="31">
        <f>IF(C1924="","",IFERROR(INDEX(Categorie!$B$6:$B$65,MATCH(C1924,Categorie!$A$6:$A$65,0))&amp;"",""))</f>
        <v/>
      </c>
      <c r="H1924" s="32">
        <f>IF(AND(A1924="",C1924="",D1924=""),"",IF(D1924="","Manca l'importo",IF(NOT(ISNUMBER(D1924)),"Importo non valido",IF(NOT(ISNUMBER(A1924)),"Data mancante o non valida",IF(YEAR(A1924)&lt;&gt;Impostazioni!$C$4,"Fuori dall'anno",IF(C1924="","Manca la categoria",IF(ISNA(MATCH(C1924,Categorie!$A$6:$A$65,0)),"Categoria non trovata",IF(G1924="","Categoria senza tipo",""))))))))</f>
        <v/>
      </c>
    </row>
    <row r="1925">
      <c r="A1925" s="29" t="n"/>
      <c r="B1925" s="17" t="n"/>
      <c r="C1925" s="17" t="n"/>
      <c r="D1925" s="16" t="n"/>
      <c r="E1925" s="30" t="n"/>
      <c r="F1925" s="17" t="n"/>
      <c r="G1925" s="31">
        <f>IF(C1925="","",IFERROR(INDEX(Categorie!$B$6:$B$65,MATCH(C1925,Categorie!$A$6:$A$65,0))&amp;"",""))</f>
        <v/>
      </c>
      <c r="H1925" s="32">
        <f>IF(AND(A1925="",C1925="",D1925=""),"",IF(D1925="","Manca l'importo",IF(NOT(ISNUMBER(D1925)),"Importo non valido",IF(NOT(ISNUMBER(A1925)),"Data mancante o non valida",IF(YEAR(A1925)&lt;&gt;Impostazioni!$C$4,"Fuori dall'anno",IF(C1925="","Manca la categoria",IF(ISNA(MATCH(C1925,Categorie!$A$6:$A$65,0)),"Categoria non trovata",IF(G1925="","Categoria senza tipo",""))))))))</f>
        <v/>
      </c>
    </row>
    <row r="1926">
      <c r="A1926" s="29" t="n"/>
      <c r="B1926" s="17" t="n"/>
      <c r="C1926" s="17" t="n"/>
      <c r="D1926" s="16" t="n"/>
      <c r="E1926" s="30" t="n"/>
      <c r="F1926" s="17" t="n"/>
      <c r="G1926" s="31">
        <f>IF(C1926="","",IFERROR(INDEX(Categorie!$B$6:$B$65,MATCH(C1926,Categorie!$A$6:$A$65,0))&amp;"",""))</f>
        <v/>
      </c>
      <c r="H1926" s="32">
        <f>IF(AND(A1926="",C1926="",D1926=""),"",IF(D1926="","Manca l'importo",IF(NOT(ISNUMBER(D1926)),"Importo non valido",IF(NOT(ISNUMBER(A1926)),"Data mancante o non valida",IF(YEAR(A1926)&lt;&gt;Impostazioni!$C$4,"Fuori dall'anno",IF(C1926="","Manca la categoria",IF(ISNA(MATCH(C1926,Categorie!$A$6:$A$65,0)),"Categoria non trovata",IF(G1926="","Categoria senza tipo",""))))))))</f>
        <v/>
      </c>
    </row>
    <row r="1927">
      <c r="A1927" s="29" t="n"/>
      <c r="B1927" s="17" t="n"/>
      <c r="C1927" s="17" t="n"/>
      <c r="D1927" s="16" t="n"/>
      <c r="E1927" s="30" t="n"/>
      <c r="F1927" s="17" t="n"/>
      <c r="G1927" s="31">
        <f>IF(C1927="","",IFERROR(INDEX(Categorie!$B$6:$B$65,MATCH(C1927,Categorie!$A$6:$A$65,0))&amp;"",""))</f>
        <v/>
      </c>
      <c r="H1927" s="32">
        <f>IF(AND(A1927="",C1927="",D1927=""),"",IF(D1927="","Manca l'importo",IF(NOT(ISNUMBER(D1927)),"Importo non valido",IF(NOT(ISNUMBER(A1927)),"Data mancante o non valida",IF(YEAR(A1927)&lt;&gt;Impostazioni!$C$4,"Fuori dall'anno",IF(C1927="","Manca la categoria",IF(ISNA(MATCH(C1927,Categorie!$A$6:$A$65,0)),"Categoria non trovata",IF(G1927="","Categoria senza tipo",""))))))))</f>
        <v/>
      </c>
    </row>
    <row r="1928">
      <c r="A1928" s="29" t="n"/>
      <c r="B1928" s="17" t="n"/>
      <c r="C1928" s="17" t="n"/>
      <c r="D1928" s="16" t="n"/>
      <c r="E1928" s="30" t="n"/>
      <c r="F1928" s="17" t="n"/>
      <c r="G1928" s="31">
        <f>IF(C1928="","",IFERROR(INDEX(Categorie!$B$6:$B$65,MATCH(C1928,Categorie!$A$6:$A$65,0))&amp;"",""))</f>
        <v/>
      </c>
      <c r="H1928" s="32">
        <f>IF(AND(A1928="",C1928="",D1928=""),"",IF(D1928="","Manca l'importo",IF(NOT(ISNUMBER(D1928)),"Importo non valido",IF(NOT(ISNUMBER(A1928)),"Data mancante o non valida",IF(YEAR(A1928)&lt;&gt;Impostazioni!$C$4,"Fuori dall'anno",IF(C1928="","Manca la categoria",IF(ISNA(MATCH(C1928,Categorie!$A$6:$A$65,0)),"Categoria non trovata",IF(G1928="","Categoria senza tipo",""))))))))</f>
        <v/>
      </c>
    </row>
    <row r="1929">
      <c r="A1929" s="29" t="n"/>
      <c r="B1929" s="17" t="n"/>
      <c r="C1929" s="17" t="n"/>
      <c r="D1929" s="16" t="n"/>
      <c r="E1929" s="30" t="n"/>
      <c r="F1929" s="17" t="n"/>
      <c r="G1929" s="31">
        <f>IF(C1929="","",IFERROR(INDEX(Categorie!$B$6:$B$65,MATCH(C1929,Categorie!$A$6:$A$65,0))&amp;"",""))</f>
        <v/>
      </c>
      <c r="H1929" s="32">
        <f>IF(AND(A1929="",C1929="",D1929=""),"",IF(D1929="","Manca l'importo",IF(NOT(ISNUMBER(D1929)),"Importo non valido",IF(NOT(ISNUMBER(A1929)),"Data mancante o non valida",IF(YEAR(A1929)&lt;&gt;Impostazioni!$C$4,"Fuori dall'anno",IF(C1929="","Manca la categoria",IF(ISNA(MATCH(C1929,Categorie!$A$6:$A$65,0)),"Categoria non trovata",IF(G1929="","Categoria senza tipo",""))))))))</f>
        <v/>
      </c>
    </row>
    <row r="1930">
      <c r="A1930" s="29" t="n"/>
      <c r="B1930" s="17" t="n"/>
      <c r="C1930" s="17" t="n"/>
      <c r="D1930" s="16" t="n"/>
      <c r="E1930" s="30" t="n"/>
      <c r="F1930" s="17" t="n"/>
      <c r="G1930" s="31">
        <f>IF(C1930="","",IFERROR(INDEX(Categorie!$B$6:$B$65,MATCH(C1930,Categorie!$A$6:$A$65,0))&amp;"",""))</f>
        <v/>
      </c>
      <c r="H1930" s="32">
        <f>IF(AND(A1930="",C1930="",D1930=""),"",IF(D1930="","Manca l'importo",IF(NOT(ISNUMBER(D1930)),"Importo non valido",IF(NOT(ISNUMBER(A1930)),"Data mancante o non valida",IF(YEAR(A1930)&lt;&gt;Impostazioni!$C$4,"Fuori dall'anno",IF(C1930="","Manca la categoria",IF(ISNA(MATCH(C1930,Categorie!$A$6:$A$65,0)),"Categoria non trovata",IF(G1930="","Categoria senza tipo",""))))))))</f>
        <v/>
      </c>
    </row>
    <row r="1931">
      <c r="A1931" s="29" t="n"/>
      <c r="B1931" s="17" t="n"/>
      <c r="C1931" s="17" t="n"/>
      <c r="D1931" s="16" t="n"/>
      <c r="E1931" s="30" t="n"/>
      <c r="F1931" s="17" t="n"/>
      <c r="G1931" s="31">
        <f>IF(C1931="","",IFERROR(INDEX(Categorie!$B$6:$B$65,MATCH(C1931,Categorie!$A$6:$A$65,0))&amp;"",""))</f>
        <v/>
      </c>
      <c r="H1931" s="32">
        <f>IF(AND(A1931="",C1931="",D1931=""),"",IF(D1931="","Manca l'importo",IF(NOT(ISNUMBER(D1931)),"Importo non valido",IF(NOT(ISNUMBER(A1931)),"Data mancante o non valida",IF(YEAR(A1931)&lt;&gt;Impostazioni!$C$4,"Fuori dall'anno",IF(C1931="","Manca la categoria",IF(ISNA(MATCH(C1931,Categorie!$A$6:$A$65,0)),"Categoria non trovata",IF(G1931="","Categoria senza tipo",""))))))))</f>
        <v/>
      </c>
    </row>
    <row r="1932">
      <c r="A1932" s="29" t="n"/>
      <c r="B1932" s="17" t="n"/>
      <c r="C1932" s="17" t="n"/>
      <c r="D1932" s="16" t="n"/>
      <c r="E1932" s="30" t="n"/>
      <c r="F1932" s="17" t="n"/>
      <c r="G1932" s="31">
        <f>IF(C1932="","",IFERROR(INDEX(Categorie!$B$6:$B$65,MATCH(C1932,Categorie!$A$6:$A$65,0))&amp;"",""))</f>
        <v/>
      </c>
      <c r="H1932" s="32">
        <f>IF(AND(A1932="",C1932="",D1932=""),"",IF(D1932="","Manca l'importo",IF(NOT(ISNUMBER(D1932)),"Importo non valido",IF(NOT(ISNUMBER(A1932)),"Data mancante o non valida",IF(YEAR(A1932)&lt;&gt;Impostazioni!$C$4,"Fuori dall'anno",IF(C1932="","Manca la categoria",IF(ISNA(MATCH(C1932,Categorie!$A$6:$A$65,0)),"Categoria non trovata",IF(G1932="","Categoria senza tipo",""))))))))</f>
        <v/>
      </c>
    </row>
    <row r="1933">
      <c r="A1933" s="29" t="n"/>
      <c r="B1933" s="17" t="n"/>
      <c r="C1933" s="17" t="n"/>
      <c r="D1933" s="16" t="n"/>
      <c r="E1933" s="30" t="n"/>
      <c r="F1933" s="17" t="n"/>
      <c r="G1933" s="31">
        <f>IF(C1933="","",IFERROR(INDEX(Categorie!$B$6:$B$65,MATCH(C1933,Categorie!$A$6:$A$65,0))&amp;"",""))</f>
        <v/>
      </c>
      <c r="H1933" s="32">
        <f>IF(AND(A1933="",C1933="",D1933=""),"",IF(D1933="","Manca l'importo",IF(NOT(ISNUMBER(D1933)),"Importo non valido",IF(NOT(ISNUMBER(A1933)),"Data mancante o non valida",IF(YEAR(A1933)&lt;&gt;Impostazioni!$C$4,"Fuori dall'anno",IF(C1933="","Manca la categoria",IF(ISNA(MATCH(C1933,Categorie!$A$6:$A$65,0)),"Categoria non trovata",IF(G1933="","Categoria senza tipo",""))))))))</f>
        <v/>
      </c>
    </row>
    <row r="1934">
      <c r="A1934" s="29" t="n"/>
      <c r="B1934" s="17" t="n"/>
      <c r="C1934" s="17" t="n"/>
      <c r="D1934" s="16" t="n"/>
      <c r="E1934" s="30" t="n"/>
      <c r="F1934" s="17" t="n"/>
      <c r="G1934" s="31">
        <f>IF(C1934="","",IFERROR(INDEX(Categorie!$B$6:$B$65,MATCH(C1934,Categorie!$A$6:$A$65,0))&amp;"",""))</f>
        <v/>
      </c>
      <c r="H1934" s="32">
        <f>IF(AND(A1934="",C1934="",D1934=""),"",IF(D1934="","Manca l'importo",IF(NOT(ISNUMBER(D1934)),"Importo non valido",IF(NOT(ISNUMBER(A1934)),"Data mancante o non valida",IF(YEAR(A1934)&lt;&gt;Impostazioni!$C$4,"Fuori dall'anno",IF(C1934="","Manca la categoria",IF(ISNA(MATCH(C1934,Categorie!$A$6:$A$65,0)),"Categoria non trovata",IF(G1934="","Categoria senza tipo",""))))))))</f>
        <v/>
      </c>
    </row>
    <row r="1935">
      <c r="A1935" s="29" t="n"/>
      <c r="B1935" s="17" t="n"/>
      <c r="C1935" s="17" t="n"/>
      <c r="D1935" s="16" t="n"/>
      <c r="E1935" s="30" t="n"/>
      <c r="F1935" s="17" t="n"/>
      <c r="G1935" s="31">
        <f>IF(C1935="","",IFERROR(INDEX(Categorie!$B$6:$B$65,MATCH(C1935,Categorie!$A$6:$A$65,0))&amp;"",""))</f>
        <v/>
      </c>
      <c r="H1935" s="32">
        <f>IF(AND(A1935="",C1935="",D1935=""),"",IF(D1935="","Manca l'importo",IF(NOT(ISNUMBER(D1935)),"Importo non valido",IF(NOT(ISNUMBER(A1935)),"Data mancante o non valida",IF(YEAR(A1935)&lt;&gt;Impostazioni!$C$4,"Fuori dall'anno",IF(C1935="","Manca la categoria",IF(ISNA(MATCH(C1935,Categorie!$A$6:$A$65,0)),"Categoria non trovata",IF(G1935="","Categoria senza tipo",""))))))))</f>
        <v/>
      </c>
    </row>
    <row r="1936">
      <c r="A1936" s="29" t="n"/>
      <c r="B1936" s="17" t="n"/>
      <c r="C1936" s="17" t="n"/>
      <c r="D1936" s="16" t="n"/>
      <c r="E1936" s="30" t="n"/>
      <c r="F1936" s="17" t="n"/>
      <c r="G1936" s="31">
        <f>IF(C1936="","",IFERROR(INDEX(Categorie!$B$6:$B$65,MATCH(C1936,Categorie!$A$6:$A$65,0))&amp;"",""))</f>
        <v/>
      </c>
      <c r="H1936" s="32">
        <f>IF(AND(A1936="",C1936="",D1936=""),"",IF(D1936="","Manca l'importo",IF(NOT(ISNUMBER(D1936)),"Importo non valido",IF(NOT(ISNUMBER(A1936)),"Data mancante o non valida",IF(YEAR(A1936)&lt;&gt;Impostazioni!$C$4,"Fuori dall'anno",IF(C1936="","Manca la categoria",IF(ISNA(MATCH(C1936,Categorie!$A$6:$A$65,0)),"Categoria non trovata",IF(G1936="","Categoria senza tipo",""))))))))</f>
        <v/>
      </c>
    </row>
    <row r="1937">
      <c r="A1937" s="29" t="n"/>
      <c r="B1937" s="17" t="n"/>
      <c r="C1937" s="17" t="n"/>
      <c r="D1937" s="16" t="n"/>
      <c r="E1937" s="30" t="n"/>
      <c r="F1937" s="17" t="n"/>
      <c r="G1937" s="31">
        <f>IF(C1937="","",IFERROR(INDEX(Categorie!$B$6:$B$65,MATCH(C1937,Categorie!$A$6:$A$65,0))&amp;"",""))</f>
        <v/>
      </c>
      <c r="H1937" s="32">
        <f>IF(AND(A1937="",C1937="",D1937=""),"",IF(D1937="","Manca l'importo",IF(NOT(ISNUMBER(D1937)),"Importo non valido",IF(NOT(ISNUMBER(A1937)),"Data mancante o non valida",IF(YEAR(A1937)&lt;&gt;Impostazioni!$C$4,"Fuori dall'anno",IF(C1937="","Manca la categoria",IF(ISNA(MATCH(C1937,Categorie!$A$6:$A$65,0)),"Categoria non trovata",IF(G1937="","Categoria senza tipo",""))))))))</f>
        <v/>
      </c>
    </row>
    <row r="1938">
      <c r="A1938" s="29" t="n"/>
      <c r="B1938" s="17" t="n"/>
      <c r="C1938" s="17" t="n"/>
      <c r="D1938" s="16" t="n"/>
      <c r="E1938" s="30" t="n"/>
      <c r="F1938" s="17" t="n"/>
      <c r="G1938" s="31">
        <f>IF(C1938="","",IFERROR(INDEX(Categorie!$B$6:$B$65,MATCH(C1938,Categorie!$A$6:$A$65,0))&amp;"",""))</f>
        <v/>
      </c>
      <c r="H1938" s="32">
        <f>IF(AND(A1938="",C1938="",D1938=""),"",IF(D1938="","Manca l'importo",IF(NOT(ISNUMBER(D1938)),"Importo non valido",IF(NOT(ISNUMBER(A1938)),"Data mancante o non valida",IF(YEAR(A1938)&lt;&gt;Impostazioni!$C$4,"Fuori dall'anno",IF(C1938="","Manca la categoria",IF(ISNA(MATCH(C1938,Categorie!$A$6:$A$65,0)),"Categoria non trovata",IF(G1938="","Categoria senza tipo",""))))))))</f>
        <v/>
      </c>
    </row>
    <row r="1939">
      <c r="A1939" s="29" t="n"/>
      <c r="B1939" s="17" t="n"/>
      <c r="C1939" s="17" t="n"/>
      <c r="D1939" s="16" t="n"/>
      <c r="E1939" s="30" t="n"/>
      <c r="F1939" s="17" t="n"/>
      <c r="G1939" s="31">
        <f>IF(C1939="","",IFERROR(INDEX(Categorie!$B$6:$B$65,MATCH(C1939,Categorie!$A$6:$A$65,0))&amp;"",""))</f>
        <v/>
      </c>
      <c r="H1939" s="32">
        <f>IF(AND(A1939="",C1939="",D1939=""),"",IF(D1939="","Manca l'importo",IF(NOT(ISNUMBER(D1939)),"Importo non valido",IF(NOT(ISNUMBER(A1939)),"Data mancante o non valida",IF(YEAR(A1939)&lt;&gt;Impostazioni!$C$4,"Fuori dall'anno",IF(C1939="","Manca la categoria",IF(ISNA(MATCH(C1939,Categorie!$A$6:$A$65,0)),"Categoria non trovata",IF(G1939="","Categoria senza tipo",""))))))))</f>
        <v/>
      </c>
    </row>
    <row r="1940">
      <c r="A1940" s="29" t="n"/>
      <c r="B1940" s="17" t="n"/>
      <c r="C1940" s="17" t="n"/>
      <c r="D1940" s="16" t="n"/>
      <c r="E1940" s="30" t="n"/>
      <c r="F1940" s="17" t="n"/>
      <c r="G1940" s="31">
        <f>IF(C1940="","",IFERROR(INDEX(Categorie!$B$6:$B$65,MATCH(C1940,Categorie!$A$6:$A$65,0))&amp;"",""))</f>
        <v/>
      </c>
      <c r="H1940" s="32">
        <f>IF(AND(A1940="",C1940="",D1940=""),"",IF(D1940="","Manca l'importo",IF(NOT(ISNUMBER(D1940)),"Importo non valido",IF(NOT(ISNUMBER(A1940)),"Data mancante o non valida",IF(YEAR(A1940)&lt;&gt;Impostazioni!$C$4,"Fuori dall'anno",IF(C1940="","Manca la categoria",IF(ISNA(MATCH(C1940,Categorie!$A$6:$A$65,0)),"Categoria non trovata",IF(G1940="","Categoria senza tipo",""))))))))</f>
        <v/>
      </c>
    </row>
    <row r="1941">
      <c r="A1941" s="29" t="n"/>
      <c r="B1941" s="17" t="n"/>
      <c r="C1941" s="17" t="n"/>
      <c r="D1941" s="16" t="n"/>
      <c r="E1941" s="30" t="n"/>
      <c r="F1941" s="17" t="n"/>
      <c r="G1941" s="31">
        <f>IF(C1941="","",IFERROR(INDEX(Categorie!$B$6:$B$65,MATCH(C1941,Categorie!$A$6:$A$65,0))&amp;"",""))</f>
        <v/>
      </c>
      <c r="H1941" s="32">
        <f>IF(AND(A1941="",C1941="",D1941=""),"",IF(D1941="","Manca l'importo",IF(NOT(ISNUMBER(D1941)),"Importo non valido",IF(NOT(ISNUMBER(A1941)),"Data mancante o non valida",IF(YEAR(A1941)&lt;&gt;Impostazioni!$C$4,"Fuori dall'anno",IF(C1941="","Manca la categoria",IF(ISNA(MATCH(C1941,Categorie!$A$6:$A$65,0)),"Categoria non trovata",IF(G1941="","Categoria senza tipo",""))))))))</f>
        <v/>
      </c>
    </row>
    <row r="1942">
      <c r="A1942" s="29" t="n"/>
      <c r="B1942" s="17" t="n"/>
      <c r="C1942" s="17" t="n"/>
      <c r="D1942" s="16" t="n"/>
      <c r="E1942" s="30" t="n"/>
      <c r="F1942" s="17" t="n"/>
      <c r="G1942" s="31">
        <f>IF(C1942="","",IFERROR(INDEX(Categorie!$B$6:$B$65,MATCH(C1942,Categorie!$A$6:$A$65,0))&amp;"",""))</f>
        <v/>
      </c>
      <c r="H1942" s="32">
        <f>IF(AND(A1942="",C1942="",D1942=""),"",IF(D1942="","Manca l'importo",IF(NOT(ISNUMBER(D1942)),"Importo non valido",IF(NOT(ISNUMBER(A1942)),"Data mancante o non valida",IF(YEAR(A1942)&lt;&gt;Impostazioni!$C$4,"Fuori dall'anno",IF(C1942="","Manca la categoria",IF(ISNA(MATCH(C1942,Categorie!$A$6:$A$65,0)),"Categoria non trovata",IF(G1942="","Categoria senza tipo",""))))))))</f>
        <v/>
      </c>
    </row>
    <row r="1943">
      <c r="A1943" s="29" t="n"/>
      <c r="B1943" s="17" t="n"/>
      <c r="C1943" s="17" t="n"/>
      <c r="D1943" s="16" t="n"/>
      <c r="E1943" s="30" t="n"/>
      <c r="F1943" s="17" t="n"/>
      <c r="G1943" s="31">
        <f>IF(C1943="","",IFERROR(INDEX(Categorie!$B$6:$B$65,MATCH(C1943,Categorie!$A$6:$A$65,0))&amp;"",""))</f>
        <v/>
      </c>
      <c r="H1943" s="32">
        <f>IF(AND(A1943="",C1943="",D1943=""),"",IF(D1943="","Manca l'importo",IF(NOT(ISNUMBER(D1943)),"Importo non valido",IF(NOT(ISNUMBER(A1943)),"Data mancante o non valida",IF(YEAR(A1943)&lt;&gt;Impostazioni!$C$4,"Fuori dall'anno",IF(C1943="","Manca la categoria",IF(ISNA(MATCH(C1943,Categorie!$A$6:$A$65,0)),"Categoria non trovata",IF(G1943="","Categoria senza tipo",""))))))))</f>
        <v/>
      </c>
    </row>
    <row r="1944">
      <c r="A1944" s="29" t="n"/>
      <c r="B1944" s="17" t="n"/>
      <c r="C1944" s="17" t="n"/>
      <c r="D1944" s="16" t="n"/>
      <c r="E1944" s="30" t="n"/>
      <c r="F1944" s="17" t="n"/>
      <c r="G1944" s="31">
        <f>IF(C1944="","",IFERROR(INDEX(Categorie!$B$6:$B$65,MATCH(C1944,Categorie!$A$6:$A$65,0))&amp;"",""))</f>
        <v/>
      </c>
      <c r="H1944" s="32">
        <f>IF(AND(A1944="",C1944="",D1944=""),"",IF(D1944="","Manca l'importo",IF(NOT(ISNUMBER(D1944)),"Importo non valido",IF(NOT(ISNUMBER(A1944)),"Data mancante o non valida",IF(YEAR(A1944)&lt;&gt;Impostazioni!$C$4,"Fuori dall'anno",IF(C1944="","Manca la categoria",IF(ISNA(MATCH(C1944,Categorie!$A$6:$A$65,0)),"Categoria non trovata",IF(G1944="","Categoria senza tipo",""))))))))</f>
        <v/>
      </c>
    </row>
    <row r="1945">
      <c r="A1945" s="29" t="n"/>
      <c r="B1945" s="17" t="n"/>
      <c r="C1945" s="17" t="n"/>
      <c r="D1945" s="16" t="n"/>
      <c r="E1945" s="30" t="n"/>
      <c r="F1945" s="17" t="n"/>
      <c r="G1945" s="31">
        <f>IF(C1945="","",IFERROR(INDEX(Categorie!$B$6:$B$65,MATCH(C1945,Categorie!$A$6:$A$65,0))&amp;"",""))</f>
        <v/>
      </c>
      <c r="H1945" s="32">
        <f>IF(AND(A1945="",C1945="",D1945=""),"",IF(D1945="","Manca l'importo",IF(NOT(ISNUMBER(D1945)),"Importo non valido",IF(NOT(ISNUMBER(A1945)),"Data mancante o non valida",IF(YEAR(A1945)&lt;&gt;Impostazioni!$C$4,"Fuori dall'anno",IF(C1945="","Manca la categoria",IF(ISNA(MATCH(C1945,Categorie!$A$6:$A$65,0)),"Categoria non trovata",IF(G1945="","Categoria senza tipo",""))))))))</f>
        <v/>
      </c>
    </row>
    <row r="1946">
      <c r="A1946" s="29" t="n"/>
      <c r="B1946" s="17" t="n"/>
      <c r="C1946" s="17" t="n"/>
      <c r="D1946" s="16" t="n"/>
      <c r="E1946" s="30" t="n"/>
      <c r="F1946" s="17" t="n"/>
      <c r="G1946" s="31">
        <f>IF(C1946="","",IFERROR(INDEX(Categorie!$B$6:$B$65,MATCH(C1946,Categorie!$A$6:$A$65,0))&amp;"",""))</f>
        <v/>
      </c>
      <c r="H1946" s="32">
        <f>IF(AND(A1946="",C1946="",D1946=""),"",IF(D1946="","Manca l'importo",IF(NOT(ISNUMBER(D1946)),"Importo non valido",IF(NOT(ISNUMBER(A1946)),"Data mancante o non valida",IF(YEAR(A1946)&lt;&gt;Impostazioni!$C$4,"Fuori dall'anno",IF(C1946="","Manca la categoria",IF(ISNA(MATCH(C1946,Categorie!$A$6:$A$65,0)),"Categoria non trovata",IF(G1946="","Categoria senza tipo",""))))))))</f>
        <v/>
      </c>
    </row>
    <row r="1947">
      <c r="A1947" s="29" t="n"/>
      <c r="B1947" s="17" t="n"/>
      <c r="C1947" s="17" t="n"/>
      <c r="D1947" s="16" t="n"/>
      <c r="E1947" s="30" t="n"/>
      <c r="F1947" s="17" t="n"/>
      <c r="G1947" s="31">
        <f>IF(C1947="","",IFERROR(INDEX(Categorie!$B$6:$B$65,MATCH(C1947,Categorie!$A$6:$A$65,0))&amp;"",""))</f>
        <v/>
      </c>
      <c r="H1947" s="32">
        <f>IF(AND(A1947="",C1947="",D1947=""),"",IF(D1947="","Manca l'importo",IF(NOT(ISNUMBER(D1947)),"Importo non valido",IF(NOT(ISNUMBER(A1947)),"Data mancante o non valida",IF(YEAR(A1947)&lt;&gt;Impostazioni!$C$4,"Fuori dall'anno",IF(C1947="","Manca la categoria",IF(ISNA(MATCH(C1947,Categorie!$A$6:$A$65,0)),"Categoria non trovata",IF(G1947="","Categoria senza tipo",""))))))))</f>
        <v/>
      </c>
    </row>
    <row r="1948">
      <c r="A1948" s="29" t="n"/>
      <c r="B1948" s="17" t="n"/>
      <c r="C1948" s="17" t="n"/>
      <c r="D1948" s="16" t="n"/>
      <c r="E1948" s="30" t="n"/>
      <c r="F1948" s="17" t="n"/>
      <c r="G1948" s="31">
        <f>IF(C1948="","",IFERROR(INDEX(Categorie!$B$6:$B$65,MATCH(C1948,Categorie!$A$6:$A$65,0))&amp;"",""))</f>
        <v/>
      </c>
      <c r="H1948" s="32">
        <f>IF(AND(A1948="",C1948="",D1948=""),"",IF(D1948="","Manca l'importo",IF(NOT(ISNUMBER(D1948)),"Importo non valido",IF(NOT(ISNUMBER(A1948)),"Data mancante o non valida",IF(YEAR(A1948)&lt;&gt;Impostazioni!$C$4,"Fuori dall'anno",IF(C1948="","Manca la categoria",IF(ISNA(MATCH(C1948,Categorie!$A$6:$A$65,0)),"Categoria non trovata",IF(G1948="","Categoria senza tipo",""))))))))</f>
        <v/>
      </c>
    </row>
    <row r="1949">
      <c r="A1949" s="29" t="n"/>
      <c r="B1949" s="17" t="n"/>
      <c r="C1949" s="17" t="n"/>
      <c r="D1949" s="16" t="n"/>
      <c r="E1949" s="30" t="n"/>
      <c r="F1949" s="17" t="n"/>
      <c r="G1949" s="31">
        <f>IF(C1949="","",IFERROR(INDEX(Categorie!$B$6:$B$65,MATCH(C1949,Categorie!$A$6:$A$65,0))&amp;"",""))</f>
        <v/>
      </c>
      <c r="H1949" s="32">
        <f>IF(AND(A1949="",C1949="",D1949=""),"",IF(D1949="","Manca l'importo",IF(NOT(ISNUMBER(D1949)),"Importo non valido",IF(NOT(ISNUMBER(A1949)),"Data mancante o non valida",IF(YEAR(A1949)&lt;&gt;Impostazioni!$C$4,"Fuori dall'anno",IF(C1949="","Manca la categoria",IF(ISNA(MATCH(C1949,Categorie!$A$6:$A$65,0)),"Categoria non trovata",IF(G1949="","Categoria senza tipo",""))))))))</f>
        <v/>
      </c>
    </row>
    <row r="1950">
      <c r="A1950" s="29" t="n"/>
      <c r="B1950" s="17" t="n"/>
      <c r="C1950" s="17" t="n"/>
      <c r="D1950" s="16" t="n"/>
      <c r="E1950" s="30" t="n"/>
      <c r="F1950" s="17" t="n"/>
      <c r="G1950" s="31">
        <f>IF(C1950="","",IFERROR(INDEX(Categorie!$B$6:$B$65,MATCH(C1950,Categorie!$A$6:$A$65,0))&amp;"",""))</f>
        <v/>
      </c>
      <c r="H1950" s="32">
        <f>IF(AND(A1950="",C1950="",D1950=""),"",IF(D1950="","Manca l'importo",IF(NOT(ISNUMBER(D1950)),"Importo non valido",IF(NOT(ISNUMBER(A1950)),"Data mancante o non valida",IF(YEAR(A1950)&lt;&gt;Impostazioni!$C$4,"Fuori dall'anno",IF(C1950="","Manca la categoria",IF(ISNA(MATCH(C1950,Categorie!$A$6:$A$65,0)),"Categoria non trovata",IF(G1950="","Categoria senza tipo",""))))))))</f>
        <v/>
      </c>
    </row>
    <row r="1951">
      <c r="A1951" s="29" t="n"/>
      <c r="B1951" s="17" t="n"/>
      <c r="C1951" s="17" t="n"/>
      <c r="D1951" s="16" t="n"/>
      <c r="E1951" s="30" t="n"/>
      <c r="F1951" s="17" t="n"/>
      <c r="G1951" s="31">
        <f>IF(C1951="","",IFERROR(INDEX(Categorie!$B$6:$B$65,MATCH(C1951,Categorie!$A$6:$A$65,0))&amp;"",""))</f>
        <v/>
      </c>
      <c r="H1951" s="32">
        <f>IF(AND(A1951="",C1951="",D1951=""),"",IF(D1951="","Manca l'importo",IF(NOT(ISNUMBER(D1951)),"Importo non valido",IF(NOT(ISNUMBER(A1951)),"Data mancante o non valida",IF(YEAR(A1951)&lt;&gt;Impostazioni!$C$4,"Fuori dall'anno",IF(C1951="","Manca la categoria",IF(ISNA(MATCH(C1951,Categorie!$A$6:$A$65,0)),"Categoria non trovata",IF(G1951="","Categoria senza tipo",""))))))))</f>
        <v/>
      </c>
    </row>
    <row r="1952">
      <c r="A1952" s="29" t="n"/>
      <c r="B1952" s="17" t="n"/>
      <c r="C1952" s="17" t="n"/>
      <c r="D1952" s="16" t="n"/>
      <c r="E1952" s="30" t="n"/>
      <c r="F1952" s="17" t="n"/>
      <c r="G1952" s="31">
        <f>IF(C1952="","",IFERROR(INDEX(Categorie!$B$6:$B$65,MATCH(C1952,Categorie!$A$6:$A$65,0))&amp;"",""))</f>
        <v/>
      </c>
      <c r="H1952" s="32">
        <f>IF(AND(A1952="",C1952="",D1952=""),"",IF(D1952="","Manca l'importo",IF(NOT(ISNUMBER(D1952)),"Importo non valido",IF(NOT(ISNUMBER(A1952)),"Data mancante o non valida",IF(YEAR(A1952)&lt;&gt;Impostazioni!$C$4,"Fuori dall'anno",IF(C1952="","Manca la categoria",IF(ISNA(MATCH(C1952,Categorie!$A$6:$A$65,0)),"Categoria non trovata",IF(G1952="","Categoria senza tipo",""))))))))</f>
        <v/>
      </c>
    </row>
    <row r="1953">
      <c r="A1953" s="29" t="n"/>
      <c r="B1953" s="17" t="n"/>
      <c r="C1953" s="17" t="n"/>
      <c r="D1953" s="16" t="n"/>
      <c r="E1953" s="30" t="n"/>
      <c r="F1953" s="17" t="n"/>
      <c r="G1953" s="31">
        <f>IF(C1953="","",IFERROR(INDEX(Categorie!$B$6:$B$65,MATCH(C1953,Categorie!$A$6:$A$65,0))&amp;"",""))</f>
        <v/>
      </c>
      <c r="H1953" s="32">
        <f>IF(AND(A1953="",C1953="",D1953=""),"",IF(D1953="","Manca l'importo",IF(NOT(ISNUMBER(D1953)),"Importo non valido",IF(NOT(ISNUMBER(A1953)),"Data mancante o non valida",IF(YEAR(A1953)&lt;&gt;Impostazioni!$C$4,"Fuori dall'anno",IF(C1953="","Manca la categoria",IF(ISNA(MATCH(C1953,Categorie!$A$6:$A$65,0)),"Categoria non trovata",IF(G1953="","Categoria senza tipo",""))))))))</f>
        <v/>
      </c>
    </row>
    <row r="1954">
      <c r="A1954" s="29" t="n"/>
      <c r="B1954" s="17" t="n"/>
      <c r="C1954" s="17" t="n"/>
      <c r="D1954" s="16" t="n"/>
      <c r="E1954" s="30" t="n"/>
      <c r="F1954" s="17" t="n"/>
      <c r="G1954" s="31">
        <f>IF(C1954="","",IFERROR(INDEX(Categorie!$B$6:$B$65,MATCH(C1954,Categorie!$A$6:$A$65,0))&amp;"",""))</f>
        <v/>
      </c>
      <c r="H1954" s="32">
        <f>IF(AND(A1954="",C1954="",D1954=""),"",IF(D1954="","Manca l'importo",IF(NOT(ISNUMBER(D1954)),"Importo non valido",IF(NOT(ISNUMBER(A1954)),"Data mancante o non valida",IF(YEAR(A1954)&lt;&gt;Impostazioni!$C$4,"Fuori dall'anno",IF(C1954="","Manca la categoria",IF(ISNA(MATCH(C1954,Categorie!$A$6:$A$65,0)),"Categoria non trovata",IF(G1954="","Categoria senza tipo",""))))))))</f>
        <v/>
      </c>
    </row>
    <row r="1955">
      <c r="A1955" s="29" t="n"/>
      <c r="B1955" s="17" t="n"/>
      <c r="C1955" s="17" t="n"/>
      <c r="D1955" s="16" t="n"/>
      <c r="E1955" s="30" t="n"/>
      <c r="F1955" s="17" t="n"/>
      <c r="G1955" s="31">
        <f>IF(C1955="","",IFERROR(INDEX(Categorie!$B$6:$B$65,MATCH(C1955,Categorie!$A$6:$A$65,0))&amp;"",""))</f>
        <v/>
      </c>
      <c r="H1955" s="32">
        <f>IF(AND(A1955="",C1955="",D1955=""),"",IF(D1955="","Manca l'importo",IF(NOT(ISNUMBER(D1955)),"Importo non valido",IF(NOT(ISNUMBER(A1955)),"Data mancante o non valida",IF(YEAR(A1955)&lt;&gt;Impostazioni!$C$4,"Fuori dall'anno",IF(C1955="","Manca la categoria",IF(ISNA(MATCH(C1955,Categorie!$A$6:$A$65,0)),"Categoria non trovata",IF(G1955="","Categoria senza tipo",""))))))))</f>
        <v/>
      </c>
    </row>
    <row r="1956">
      <c r="A1956" s="29" t="n"/>
      <c r="B1956" s="17" t="n"/>
      <c r="C1956" s="17" t="n"/>
      <c r="D1956" s="16" t="n"/>
      <c r="E1956" s="30" t="n"/>
      <c r="F1956" s="17" t="n"/>
      <c r="G1956" s="31">
        <f>IF(C1956="","",IFERROR(INDEX(Categorie!$B$6:$B$65,MATCH(C1956,Categorie!$A$6:$A$65,0))&amp;"",""))</f>
        <v/>
      </c>
      <c r="H1956" s="32">
        <f>IF(AND(A1956="",C1956="",D1956=""),"",IF(D1956="","Manca l'importo",IF(NOT(ISNUMBER(D1956)),"Importo non valido",IF(NOT(ISNUMBER(A1956)),"Data mancante o non valida",IF(YEAR(A1956)&lt;&gt;Impostazioni!$C$4,"Fuori dall'anno",IF(C1956="","Manca la categoria",IF(ISNA(MATCH(C1956,Categorie!$A$6:$A$65,0)),"Categoria non trovata",IF(G1956="","Categoria senza tipo",""))))))))</f>
        <v/>
      </c>
    </row>
    <row r="1957">
      <c r="A1957" s="29" t="n"/>
      <c r="B1957" s="17" t="n"/>
      <c r="C1957" s="17" t="n"/>
      <c r="D1957" s="16" t="n"/>
      <c r="E1957" s="30" t="n"/>
      <c r="F1957" s="17" t="n"/>
      <c r="G1957" s="31">
        <f>IF(C1957="","",IFERROR(INDEX(Categorie!$B$6:$B$65,MATCH(C1957,Categorie!$A$6:$A$65,0))&amp;"",""))</f>
        <v/>
      </c>
      <c r="H1957" s="32">
        <f>IF(AND(A1957="",C1957="",D1957=""),"",IF(D1957="","Manca l'importo",IF(NOT(ISNUMBER(D1957)),"Importo non valido",IF(NOT(ISNUMBER(A1957)),"Data mancante o non valida",IF(YEAR(A1957)&lt;&gt;Impostazioni!$C$4,"Fuori dall'anno",IF(C1957="","Manca la categoria",IF(ISNA(MATCH(C1957,Categorie!$A$6:$A$65,0)),"Categoria non trovata",IF(G1957="","Categoria senza tipo",""))))))))</f>
        <v/>
      </c>
    </row>
    <row r="1958">
      <c r="A1958" s="29" t="n"/>
      <c r="B1958" s="17" t="n"/>
      <c r="C1958" s="17" t="n"/>
      <c r="D1958" s="16" t="n"/>
      <c r="E1958" s="30" t="n"/>
      <c r="F1958" s="17" t="n"/>
      <c r="G1958" s="31">
        <f>IF(C1958="","",IFERROR(INDEX(Categorie!$B$6:$B$65,MATCH(C1958,Categorie!$A$6:$A$65,0))&amp;"",""))</f>
        <v/>
      </c>
      <c r="H1958" s="32">
        <f>IF(AND(A1958="",C1958="",D1958=""),"",IF(D1958="","Manca l'importo",IF(NOT(ISNUMBER(D1958)),"Importo non valido",IF(NOT(ISNUMBER(A1958)),"Data mancante o non valida",IF(YEAR(A1958)&lt;&gt;Impostazioni!$C$4,"Fuori dall'anno",IF(C1958="","Manca la categoria",IF(ISNA(MATCH(C1958,Categorie!$A$6:$A$65,0)),"Categoria non trovata",IF(G1958="","Categoria senza tipo",""))))))))</f>
        <v/>
      </c>
    </row>
    <row r="1959">
      <c r="A1959" s="29" t="n"/>
      <c r="B1959" s="17" t="n"/>
      <c r="C1959" s="17" t="n"/>
      <c r="D1959" s="16" t="n"/>
      <c r="E1959" s="30" t="n"/>
      <c r="F1959" s="17" t="n"/>
      <c r="G1959" s="31">
        <f>IF(C1959="","",IFERROR(INDEX(Categorie!$B$6:$B$65,MATCH(C1959,Categorie!$A$6:$A$65,0))&amp;"",""))</f>
        <v/>
      </c>
      <c r="H1959" s="32">
        <f>IF(AND(A1959="",C1959="",D1959=""),"",IF(D1959="","Manca l'importo",IF(NOT(ISNUMBER(D1959)),"Importo non valido",IF(NOT(ISNUMBER(A1959)),"Data mancante o non valida",IF(YEAR(A1959)&lt;&gt;Impostazioni!$C$4,"Fuori dall'anno",IF(C1959="","Manca la categoria",IF(ISNA(MATCH(C1959,Categorie!$A$6:$A$65,0)),"Categoria non trovata",IF(G1959="","Categoria senza tipo",""))))))))</f>
        <v/>
      </c>
    </row>
    <row r="1960">
      <c r="A1960" s="29" t="n"/>
      <c r="B1960" s="17" t="n"/>
      <c r="C1960" s="17" t="n"/>
      <c r="D1960" s="16" t="n"/>
      <c r="E1960" s="30" t="n"/>
      <c r="F1960" s="17" t="n"/>
      <c r="G1960" s="31">
        <f>IF(C1960="","",IFERROR(INDEX(Categorie!$B$6:$B$65,MATCH(C1960,Categorie!$A$6:$A$65,0))&amp;"",""))</f>
        <v/>
      </c>
      <c r="H1960" s="32">
        <f>IF(AND(A1960="",C1960="",D1960=""),"",IF(D1960="","Manca l'importo",IF(NOT(ISNUMBER(D1960)),"Importo non valido",IF(NOT(ISNUMBER(A1960)),"Data mancante o non valida",IF(YEAR(A1960)&lt;&gt;Impostazioni!$C$4,"Fuori dall'anno",IF(C1960="","Manca la categoria",IF(ISNA(MATCH(C1960,Categorie!$A$6:$A$65,0)),"Categoria non trovata",IF(G1960="","Categoria senza tipo",""))))))))</f>
        <v/>
      </c>
    </row>
    <row r="1961">
      <c r="A1961" s="29" t="n"/>
      <c r="B1961" s="17" t="n"/>
      <c r="C1961" s="17" t="n"/>
      <c r="D1961" s="16" t="n"/>
      <c r="E1961" s="30" t="n"/>
      <c r="F1961" s="17" t="n"/>
      <c r="G1961" s="31">
        <f>IF(C1961="","",IFERROR(INDEX(Categorie!$B$6:$B$65,MATCH(C1961,Categorie!$A$6:$A$65,0))&amp;"",""))</f>
        <v/>
      </c>
      <c r="H1961" s="32">
        <f>IF(AND(A1961="",C1961="",D1961=""),"",IF(D1961="","Manca l'importo",IF(NOT(ISNUMBER(D1961)),"Importo non valido",IF(NOT(ISNUMBER(A1961)),"Data mancante o non valida",IF(YEAR(A1961)&lt;&gt;Impostazioni!$C$4,"Fuori dall'anno",IF(C1961="","Manca la categoria",IF(ISNA(MATCH(C1961,Categorie!$A$6:$A$65,0)),"Categoria non trovata",IF(G1961="","Categoria senza tipo",""))))))))</f>
        <v/>
      </c>
    </row>
    <row r="1962">
      <c r="A1962" s="29" t="n"/>
      <c r="B1962" s="17" t="n"/>
      <c r="C1962" s="17" t="n"/>
      <c r="D1962" s="16" t="n"/>
      <c r="E1962" s="30" t="n"/>
      <c r="F1962" s="17" t="n"/>
      <c r="G1962" s="31">
        <f>IF(C1962="","",IFERROR(INDEX(Categorie!$B$6:$B$65,MATCH(C1962,Categorie!$A$6:$A$65,0))&amp;"",""))</f>
        <v/>
      </c>
      <c r="H1962" s="32">
        <f>IF(AND(A1962="",C1962="",D1962=""),"",IF(D1962="","Manca l'importo",IF(NOT(ISNUMBER(D1962)),"Importo non valido",IF(NOT(ISNUMBER(A1962)),"Data mancante o non valida",IF(YEAR(A1962)&lt;&gt;Impostazioni!$C$4,"Fuori dall'anno",IF(C1962="","Manca la categoria",IF(ISNA(MATCH(C1962,Categorie!$A$6:$A$65,0)),"Categoria non trovata",IF(G1962="","Categoria senza tipo",""))))))))</f>
        <v/>
      </c>
    </row>
    <row r="1963">
      <c r="A1963" s="29" t="n"/>
      <c r="B1963" s="17" t="n"/>
      <c r="C1963" s="17" t="n"/>
      <c r="D1963" s="16" t="n"/>
      <c r="E1963" s="30" t="n"/>
      <c r="F1963" s="17" t="n"/>
      <c r="G1963" s="31">
        <f>IF(C1963="","",IFERROR(INDEX(Categorie!$B$6:$B$65,MATCH(C1963,Categorie!$A$6:$A$65,0))&amp;"",""))</f>
        <v/>
      </c>
      <c r="H1963" s="32">
        <f>IF(AND(A1963="",C1963="",D1963=""),"",IF(D1963="","Manca l'importo",IF(NOT(ISNUMBER(D1963)),"Importo non valido",IF(NOT(ISNUMBER(A1963)),"Data mancante o non valida",IF(YEAR(A1963)&lt;&gt;Impostazioni!$C$4,"Fuori dall'anno",IF(C1963="","Manca la categoria",IF(ISNA(MATCH(C1963,Categorie!$A$6:$A$65,0)),"Categoria non trovata",IF(G1963="","Categoria senza tipo",""))))))))</f>
        <v/>
      </c>
    </row>
    <row r="1964">
      <c r="A1964" s="29" t="n"/>
      <c r="B1964" s="17" t="n"/>
      <c r="C1964" s="17" t="n"/>
      <c r="D1964" s="16" t="n"/>
      <c r="E1964" s="30" t="n"/>
      <c r="F1964" s="17" t="n"/>
      <c r="G1964" s="31">
        <f>IF(C1964="","",IFERROR(INDEX(Categorie!$B$6:$B$65,MATCH(C1964,Categorie!$A$6:$A$65,0))&amp;"",""))</f>
        <v/>
      </c>
      <c r="H1964" s="32">
        <f>IF(AND(A1964="",C1964="",D1964=""),"",IF(D1964="","Manca l'importo",IF(NOT(ISNUMBER(D1964)),"Importo non valido",IF(NOT(ISNUMBER(A1964)),"Data mancante o non valida",IF(YEAR(A1964)&lt;&gt;Impostazioni!$C$4,"Fuori dall'anno",IF(C1964="","Manca la categoria",IF(ISNA(MATCH(C1964,Categorie!$A$6:$A$65,0)),"Categoria non trovata",IF(G1964="","Categoria senza tipo",""))))))))</f>
        <v/>
      </c>
    </row>
    <row r="1965">
      <c r="A1965" s="29" t="n"/>
      <c r="B1965" s="17" t="n"/>
      <c r="C1965" s="17" t="n"/>
      <c r="D1965" s="16" t="n"/>
      <c r="E1965" s="30" t="n"/>
      <c r="F1965" s="17" t="n"/>
      <c r="G1965" s="31">
        <f>IF(C1965="","",IFERROR(INDEX(Categorie!$B$6:$B$65,MATCH(C1965,Categorie!$A$6:$A$65,0))&amp;"",""))</f>
        <v/>
      </c>
      <c r="H1965" s="32">
        <f>IF(AND(A1965="",C1965="",D1965=""),"",IF(D1965="","Manca l'importo",IF(NOT(ISNUMBER(D1965)),"Importo non valido",IF(NOT(ISNUMBER(A1965)),"Data mancante o non valida",IF(YEAR(A1965)&lt;&gt;Impostazioni!$C$4,"Fuori dall'anno",IF(C1965="","Manca la categoria",IF(ISNA(MATCH(C1965,Categorie!$A$6:$A$65,0)),"Categoria non trovata",IF(G1965="","Categoria senza tipo",""))))))))</f>
        <v/>
      </c>
    </row>
    <row r="1966">
      <c r="A1966" s="29" t="n"/>
      <c r="B1966" s="17" t="n"/>
      <c r="C1966" s="17" t="n"/>
      <c r="D1966" s="16" t="n"/>
      <c r="E1966" s="30" t="n"/>
      <c r="F1966" s="17" t="n"/>
      <c r="G1966" s="31">
        <f>IF(C1966="","",IFERROR(INDEX(Categorie!$B$6:$B$65,MATCH(C1966,Categorie!$A$6:$A$65,0))&amp;"",""))</f>
        <v/>
      </c>
      <c r="H1966" s="32">
        <f>IF(AND(A1966="",C1966="",D1966=""),"",IF(D1966="","Manca l'importo",IF(NOT(ISNUMBER(D1966)),"Importo non valido",IF(NOT(ISNUMBER(A1966)),"Data mancante o non valida",IF(YEAR(A1966)&lt;&gt;Impostazioni!$C$4,"Fuori dall'anno",IF(C1966="","Manca la categoria",IF(ISNA(MATCH(C1966,Categorie!$A$6:$A$65,0)),"Categoria non trovata",IF(G1966="","Categoria senza tipo",""))))))))</f>
        <v/>
      </c>
    </row>
    <row r="1967">
      <c r="A1967" s="29" t="n"/>
      <c r="B1967" s="17" t="n"/>
      <c r="C1967" s="17" t="n"/>
      <c r="D1967" s="16" t="n"/>
      <c r="E1967" s="30" t="n"/>
      <c r="F1967" s="17" t="n"/>
      <c r="G1967" s="31">
        <f>IF(C1967="","",IFERROR(INDEX(Categorie!$B$6:$B$65,MATCH(C1967,Categorie!$A$6:$A$65,0))&amp;"",""))</f>
        <v/>
      </c>
      <c r="H1967" s="32">
        <f>IF(AND(A1967="",C1967="",D1967=""),"",IF(D1967="","Manca l'importo",IF(NOT(ISNUMBER(D1967)),"Importo non valido",IF(NOT(ISNUMBER(A1967)),"Data mancante o non valida",IF(YEAR(A1967)&lt;&gt;Impostazioni!$C$4,"Fuori dall'anno",IF(C1967="","Manca la categoria",IF(ISNA(MATCH(C1967,Categorie!$A$6:$A$65,0)),"Categoria non trovata",IF(G1967="","Categoria senza tipo",""))))))))</f>
        <v/>
      </c>
    </row>
    <row r="1968">
      <c r="A1968" s="29" t="n"/>
      <c r="B1968" s="17" t="n"/>
      <c r="C1968" s="17" t="n"/>
      <c r="D1968" s="16" t="n"/>
      <c r="E1968" s="30" t="n"/>
      <c r="F1968" s="17" t="n"/>
      <c r="G1968" s="31">
        <f>IF(C1968="","",IFERROR(INDEX(Categorie!$B$6:$B$65,MATCH(C1968,Categorie!$A$6:$A$65,0))&amp;"",""))</f>
        <v/>
      </c>
      <c r="H1968" s="32">
        <f>IF(AND(A1968="",C1968="",D1968=""),"",IF(D1968="","Manca l'importo",IF(NOT(ISNUMBER(D1968)),"Importo non valido",IF(NOT(ISNUMBER(A1968)),"Data mancante o non valida",IF(YEAR(A1968)&lt;&gt;Impostazioni!$C$4,"Fuori dall'anno",IF(C1968="","Manca la categoria",IF(ISNA(MATCH(C1968,Categorie!$A$6:$A$65,0)),"Categoria non trovata",IF(G1968="","Categoria senza tipo",""))))))))</f>
        <v/>
      </c>
    </row>
    <row r="1969">
      <c r="A1969" s="29" t="n"/>
      <c r="B1969" s="17" t="n"/>
      <c r="C1969" s="17" t="n"/>
      <c r="D1969" s="16" t="n"/>
      <c r="E1969" s="30" t="n"/>
      <c r="F1969" s="17" t="n"/>
      <c r="G1969" s="31">
        <f>IF(C1969="","",IFERROR(INDEX(Categorie!$B$6:$B$65,MATCH(C1969,Categorie!$A$6:$A$65,0))&amp;"",""))</f>
        <v/>
      </c>
      <c r="H1969" s="32">
        <f>IF(AND(A1969="",C1969="",D1969=""),"",IF(D1969="","Manca l'importo",IF(NOT(ISNUMBER(D1969)),"Importo non valido",IF(NOT(ISNUMBER(A1969)),"Data mancante o non valida",IF(YEAR(A1969)&lt;&gt;Impostazioni!$C$4,"Fuori dall'anno",IF(C1969="","Manca la categoria",IF(ISNA(MATCH(C1969,Categorie!$A$6:$A$65,0)),"Categoria non trovata",IF(G1969="","Categoria senza tipo",""))))))))</f>
        <v/>
      </c>
    </row>
    <row r="1970">
      <c r="A1970" s="29" t="n"/>
      <c r="B1970" s="17" t="n"/>
      <c r="C1970" s="17" t="n"/>
      <c r="D1970" s="16" t="n"/>
      <c r="E1970" s="30" t="n"/>
      <c r="F1970" s="17" t="n"/>
      <c r="G1970" s="31">
        <f>IF(C1970="","",IFERROR(INDEX(Categorie!$B$6:$B$65,MATCH(C1970,Categorie!$A$6:$A$65,0))&amp;"",""))</f>
        <v/>
      </c>
      <c r="H1970" s="32">
        <f>IF(AND(A1970="",C1970="",D1970=""),"",IF(D1970="","Manca l'importo",IF(NOT(ISNUMBER(D1970)),"Importo non valido",IF(NOT(ISNUMBER(A1970)),"Data mancante o non valida",IF(YEAR(A1970)&lt;&gt;Impostazioni!$C$4,"Fuori dall'anno",IF(C1970="","Manca la categoria",IF(ISNA(MATCH(C1970,Categorie!$A$6:$A$65,0)),"Categoria non trovata",IF(G1970="","Categoria senza tipo",""))))))))</f>
        <v/>
      </c>
    </row>
    <row r="1971">
      <c r="A1971" s="29" t="n"/>
      <c r="B1971" s="17" t="n"/>
      <c r="C1971" s="17" t="n"/>
      <c r="D1971" s="16" t="n"/>
      <c r="E1971" s="30" t="n"/>
      <c r="F1971" s="17" t="n"/>
      <c r="G1971" s="31">
        <f>IF(C1971="","",IFERROR(INDEX(Categorie!$B$6:$B$65,MATCH(C1971,Categorie!$A$6:$A$65,0))&amp;"",""))</f>
        <v/>
      </c>
      <c r="H1971" s="32">
        <f>IF(AND(A1971="",C1971="",D1971=""),"",IF(D1971="","Manca l'importo",IF(NOT(ISNUMBER(D1971)),"Importo non valido",IF(NOT(ISNUMBER(A1971)),"Data mancante o non valida",IF(YEAR(A1971)&lt;&gt;Impostazioni!$C$4,"Fuori dall'anno",IF(C1971="","Manca la categoria",IF(ISNA(MATCH(C1971,Categorie!$A$6:$A$65,0)),"Categoria non trovata",IF(G1971="","Categoria senza tipo",""))))))))</f>
        <v/>
      </c>
    </row>
    <row r="1972">
      <c r="A1972" s="29" t="n"/>
      <c r="B1972" s="17" t="n"/>
      <c r="C1972" s="17" t="n"/>
      <c r="D1972" s="16" t="n"/>
      <c r="E1972" s="30" t="n"/>
      <c r="F1972" s="17" t="n"/>
      <c r="G1972" s="31">
        <f>IF(C1972="","",IFERROR(INDEX(Categorie!$B$6:$B$65,MATCH(C1972,Categorie!$A$6:$A$65,0))&amp;"",""))</f>
        <v/>
      </c>
      <c r="H1972" s="32">
        <f>IF(AND(A1972="",C1972="",D1972=""),"",IF(D1972="","Manca l'importo",IF(NOT(ISNUMBER(D1972)),"Importo non valido",IF(NOT(ISNUMBER(A1972)),"Data mancante o non valida",IF(YEAR(A1972)&lt;&gt;Impostazioni!$C$4,"Fuori dall'anno",IF(C1972="","Manca la categoria",IF(ISNA(MATCH(C1972,Categorie!$A$6:$A$65,0)),"Categoria non trovata",IF(G1972="","Categoria senza tipo",""))))))))</f>
        <v/>
      </c>
    </row>
    <row r="1973">
      <c r="A1973" s="29" t="n"/>
      <c r="B1973" s="17" t="n"/>
      <c r="C1973" s="17" t="n"/>
      <c r="D1973" s="16" t="n"/>
      <c r="E1973" s="30" t="n"/>
      <c r="F1973" s="17" t="n"/>
      <c r="G1973" s="31">
        <f>IF(C1973="","",IFERROR(INDEX(Categorie!$B$6:$B$65,MATCH(C1973,Categorie!$A$6:$A$65,0))&amp;"",""))</f>
        <v/>
      </c>
      <c r="H1973" s="32">
        <f>IF(AND(A1973="",C1973="",D1973=""),"",IF(D1973="","Manca l'importo",IF(NOT(ISNUMBER(D1973)),"Importo non valido",IF(NOT(ISNUMBER(A1973)),"Data mancante o non valida",IF(YEAR(A1973)&lt;&gt;Impostazioni!$C$4,"Fuori dall'anno",IF(C1973="","Manca la categoria",IF(ISNA(MATCH(C1973,Categorie!$A$6:$A$65,0)),"Categoria non trovata",IF(G1973="","Categoria senza tipo",""))))))))</f>
        <v/>
      </c>
    </row>
    <row r="1974">
      <c r="A1974" s="29" t="n"/>
      <c r="B1974" s="17" t="n"/>
      <c r="C1974" s="17" t="n"/>
      <c r="D1974" s="16" t="n"/>
      <c r="E1974" s="30" t="n"/>
      <c r="F1974" s="17" t="n"/>
      <c r="G1974" s="31">
        <f>IF(C1974="","",IFERROR(INDEX(Categorie!$B$6:$B$65,MATCH(C1974,Categorie!$A$6:$A$65,0))&amp;"",""))</f>
        <v/>
      </c>
      <c r="H1974" s="32">
        <f>IF(AND(A1974="",C1974="",D1974=""),"",IF(D1974="","Manca l'importo",IF(NOT(ISNUMBER(D1974)),"Importo non valido",IF(NOT(ISNUMBER(A1974)),"Data mancante o non valida",IF(YEAR(A1974)&lt;&gt;Impostazioni!$C$4,"Fuori dall'anno",IF(C1974="","Manca la categoria",IF(ISNA(MATCH(C1974,Categorie!$A$6:$A$65,0)),"Categoria non trovata",IF(G1974="","Categoria senza tipo",""))))))))</f>
        <v/>
      </c>
    </row>
    <row r="1975">
      <c r="A1975" s="29" t="n"/>
      <c r="B1975" s="17" t="n"/>
      <c r="C1975" s="17" t="n"/>
      <c r="D1975" s="16" t="n"/>
      <c r="E1975" s="30" t="n"/>
      <c r="F1975" s="17" t="n"/>
      <c r="G1975" s="31">
        <f>IF(C1975="","",IFERROR(INDEX(Categorie!$B$6:$B$65,MATCH(C1975,Categorie!$A$6:$A$65,0))&amp;"",""))</f>
        <v/>
      </c>
      <c r="H1975" s="32">
        <f>IF(AND(A1975="",C1975="",D1975=""),"",IF(D1975="","Manca l'importo",IF(NOT(ISNUMBER(D1975)),"Importo non valido",IF(NOT(ISNUMBER(A1975)),"Data mancante o non valida",IF(YEAR(A1975)&lt;&gt;Impostazioni!$C$4,"Fuori dall'anno",IF(C1975="","Manca la categoria",IF(ISNA(MATCH(C1975,Categorie!$A$6:$A$65,0)),"Categoria non trovata",IF(G1975="","Categoria senza tipo",""))))))))</f>
        <v/>
      </c>
    </row>
    <row r="1976">
      <c r="A1976" s="29" t="n"/>
      <c r="B1976" s="17" t="n"/>
      <c r="C1976" s="17" t="n"/>
      <c r="D1976" s="16" t="n"/>
      <c r="E1976" s="30" t="n"/>
      <c r="F1976" s="17" t="n"/>
      <c r="G1976" s="31">
        <f>IF(C1976="","",IFERROR(INDEX(Categorie!$B$6:$B$65,MATCH(C1976,Categorie!$A$6:$A$65,0))&amp;"",""))</f>
        <v/>
      </c>
      <c r="H1976" s="32">
        <f>IF(AND(A1976="",C1976="",D1976=""),"",IF(D1976="","Manca l'importo",IF(NOT(ISNUMBER(D1976)),"Importo non valido",IF(NOT(ISNUMBER(A1976)),"Data mancante o non valida",IF(YEAR(A1976)&lt;&gt;Impostazioni!$C$4,"Fuori dall'anno",IF(C1976="","Manca la categoria",IF(ISNA(MATCH(C1976,Categorie!$A$6:$A$65,0)),"Categoria non trovata",IF(G1976="","Categoria senza tipo",""))))))))</f>
        <v/>
      </c>
    </row>
    <row r="1977">
      <c r="A1977" s="29" t="n"/>
      <c r="B1977" s="17" t="n"/>
      <c r="C1977" s="17" t="n"/>
      <c r="D1977" s="16" t="n"/>
      <c r="E1977" s="30" t="n"/>
      <c r="F1977" s="17" t="n"/>
      <c r="G1977" s="31">
        <f>IF(C1977="","",IFERROR(INDEX(Categorie!$B$6:$B$65,MATCH(C1977,Categorie!$A$6:$A$65,0))&amp;"",""))</f>
        <v/>
      </c>
      <c r="H1977" s="32">
        <f>IF(AND(A1977="",C1977="",D1977=""),"",IF(D1977="","Manca l'importo",IF(NOT(ISNUMBER(D1977)),"Importo non valido",IF(NOT(ISNUMBER(A1977)),"Data mancante o non valida",IF(YEAR(A1977)&lt;&gt;Impostazioni!$C$4,"Fuori dall'anno",IF(C1977="","Manca la categoria",IF(ISNA(MATCH(C1977,Categorie!$A$6:$A$65,0)),"Categoria non trovata",IF(G1977="","Categoria senza tipo",""))))))))</f>
        <v/>
      </c>
    </row>
    <row r="1978">
      <c r="A1978" s="29" t="n"/>
      <c r="B1978" s="17" t="n"/>
      <c r="C1978" s="17" t="n"/>
      <c r="D1978" s="16" t="n"/>
      <c r="E1978" s="30" t="n"/>
      <c r="F1978" s="17" t="n"/>
      <c r="G1978" s="31">
        <f>IF(C1978="","",IFERROR(INDEX(Categorie!$B$6:$B$65,MATCH(C1978,Categorie!$A$6:$A$65,0))&amp;"",""))</f>
        <v/>
      </c>
      <c r="H1978" s="32">
        <f>IF(AND(A1978="",C1978="",D1978=""),"",IF(D1978="","Manca l'importo",IF(NOT(ISNUMBER(D1978)),"Importo non valido",IF(NOT(ISNUMBER(A1978)),"Data mancante o non valida",IF(YEAR(A1978)&lt;&gt;Impostazioni!$C$4,"Fuori dall'anno",IF(C1978="","Manca la categoria",IF(ISNA(MATCH(C1978,Categorie!$A$6:$A$65,0)),"Categoria non trovata",IF(G1978="","Categoria senza tipo",""))))))))</f>
        <v/>
      </c>
    </row>
    <row r="1979">
      <c r="A1979" s="29" t="n"/>
      <c r="B1979" s="17" t="n"/>
      <c r="C1979" s="17" t="n"/>
      <c r="D1979" s="16" t="n"/>
      <c r="E1979" s="30" t="n"/>
      <c r="F1979" s="17" t="n"/>
      <c r="G1979" s="31">
        <f>IF(C1979="","",IFERROR(INDEX(Categorie!$B$6:$B$65,MATCH(C1979,Categorie!$A$6:$A$65,0))&amp;"",""))</f>
        <v/>
      </c>
      <c r="H1979" s="32">
        <f>IF(AND(A1979="",C1979="",D1979=""),"",IF(D1979="","Manca l'importo",IF(NOT(ISNUMBER(D1979)),"Importo non valido",IF(NOT(ISNUMBER(A1979)),"Data mancante o non valida",IF(YEAR(A1979)&lt;&gt;Impostazioni!$C$4,"Fuori dall'anno",IF(C1979="","Manca la categoria",IF(ISNA(MATCH(C1979,Categorie!$A$6:$A$65,0)),"Categoria non trovata",IF(G1979="","Categoria senza tipo",""))))))))</f>
        <v/>
      </c>
    </row>
    <row r="1980">
      <c r="A1980" s="29" t="n"/>
      <c r="B1980" s="17" t="n"/>
      <c r="C1980" s="17" t="n"/>
      <c r="D1980" s="16" t="n"/>
      <c r="E1980" s="30" t="n"/>
      <c r="F1980" s="17" t="n"/>
      <c r="G1980" s="31">
        <f>IF(C1980="","",IFERROR(INDEX(Categorie!$B$6:$B$65,MATCH(C1980,Categorie!$A$6:$A$65,0))&amp;"",""))</f>
        <v/>
      </c>
      <c r="H1980" s="32">
        <f>IF(AND(A1980="",C1980="",D1980=""),"",IF(D1980="","Manca l'importo",IF(NOT(ISNUMBER(D1980)),"Importo non valido",IF(NOT(ISNUMBER(A1980)),"Data mancante o non valida",IF(YEAR(A1980)&lt;&gt;Impostazioni!$C$4,"Fuori dall'anno",IF(C1980="","Manca la categoria",IF(ISNA(MATCH(C1980,Categorie!$A$6:$A$65,0)),"Categoria non trovata",IF(G1980="","Categoria senza tipo",""))))))))</f>
        <v/>
      </c>
    </row>
    <row r="1981">
      <c r="A1981" s="29" t="n"/>
      <c r="B1981" s="17" t="n"/>
      <c r="C1981" s="17" t="n"/>
      <c r="D1981" s="16" t="n"/>
      <c r="E1981" s="30" t="n"/>
      <c r="F1981" s="17" t="n"/>
      <c r="G1981" s="31">
        <f>IF(C1981="","",IFERROR(INDEX(Categorie!$B$6:$B$65,MATCH(C1981,Categorie!$A$6:$A$65,0))&amp;"",""))</f>
        <v/>
      </c>
      <c r="H1981" s="32">
        <f>IF(AND(A1981="",C1981="",D1981=""),"",IF(D1981="","Manca l'importo",IF(NOT(ISNUMBER(D1981)),"Importo non valido",IF(NOT(ISNUMBER(A1981)),"Data mancante o non valida",IF(YEAR(A1981)&lt;&gt;Impostazioni!$C$4,"Fuori dall'anno",IF(C1981="","Manca la categoria",IF(ISNA(MATCH(C1981,Categorie!$A$6:$A$65,0)),"Categoria non trovata",IF(G1981="","Categoria senza tipo",""))))))))</f>
        <v/>
      </c>
    </row>
    <row r="1982">
      <c r="A1982" s="29" t="n"/>
      <c r="B1982" s="17" t="n"/>
      <c r="C1982" s="17" t="n"/>
      <c r="D1982" s="16" t="n"/>
      <c r="E1982" s="30" t="n"/>
      <c r="F1982" s="17" t="n"/>
      <c r="G1982" s="31">
        <f>IF(C1982="","",IFERROR(INDEX(Categorie!$B$6:$B$65,MATCH(C1982,Categorie!$A$6:$A$65,0))&amp;"",""))</f>
        <v/>
      </c>
      <c r="H1982" s="32">
        <f>IF(AND(A1982="",C1982="",D1982=""),"",IF(D1982="","Manca l'importo",IF(NOT(ISNUMBER(D1982)),"Importo non valido",IF(NOT(ISNUMBER(A1982)),"Data mancante o non valida",IF(YEAR(A1982)&lt;&gt;Impostazioni!$C$4,"Fuori dall'anno",IF(C1982="","Manca la categoria",IF(ISNA(MATCH(C1982,Categorie!$A$6:$A$65,0)),"Categoria non trovata",IF(G1982="","Categoria senza tipo",""))))))))</f>
        <v/>
      </c>
    </row>
    <row r="1983">
      <c r="A1983" s="29" t="n"/>
      <c r="B1983" s="17" t="n"/>
      <c r="C1983" s="17" t="n"/>
      <c r="D1983" s="16" t="n"/>
      <c r="E1983" s="30" t="n"/>
      <c r="F1983" s="17" t="n"/>
      <c r="G1983" s="31">
        <f>IF(C1983="","",IFERROR(INDEX(Categorie!$B$6:$B$65,MATCH(C1983,Categorie!$A$6:$A$65,0))&amp;"",""))</f>
        <v/>
      </c>
      <c r="H1983" s="32">
        <f>IF(AND(A1983="",C1983="",D1983=""),"",IF(D1983="","Manca l'importo",IF(NOT(ISNUMBER(D1983)),"Importo non valido",IF(NOT(ISNUMBER(A1983)),"Data mancante o non valida",IF(YEAR(A1983)&lt;&gt;Impostazioni!$C$4,"Fuori dall'anno",IF(C1983="","Manca la categoria",IF(ISNA(MATCH(C1983,Categorie!$A$6:$A$65,0)),"Categoria non trovata",IF(G1983="","Categoria senza tipo",""))))))))</f>
        <v/>
      </c>
    </row>
    <row r="1984">
      <c r="A1984" s="29" t="n"/>
      <c r="B1984" s="17" t="n"/>
      <c r="C1984" s="17" t="n"/>
      <c r="D1984" s="16" t="n"/>
      <c r="E1984" s="30" t="n"/>
      <c r="F1984" s="17" t="n"/>
      <c r="G1984" s="31">
        <f>IF(C1984="","",IFERROR(INDEX(Categorie!$B$6:$B$65,MATCH(C1984,Categorie!$A$6:$A$65,0))&amp;"",""))</f>
        <v/>
      </c>
      <c r="H1984" s="32">
        <f>IF(AND(A1984="",C1984="",D1984=""),"",IF(D1984="","Manca l'importo",IF(NOT(ISNUMBER(D1984)),"Importo non valido",IF(NOT(ISNUMBER(A1984)),"Data mancante o non valida",IF(YEAR(A1984)&lt;&gt;Impostazioni!$C$4,"Fuori dall'anno",IF(C1984="","Manca la categoria",IF(ISNA(MATCH(C1984,Categorie!$A$6:$A$65,0)),"Categoria non trovata",IF(G1984="","Categoria senza tipo",""))))))))</f>
        <v/>
      </c>
    </row>
    <row r="1985">
      <c r="A1985" s="29" t="n"/>
      <c r="B1985" s="17" t="n"/>
      <c r="C1985" s="17" t="n"/>
      <c r="D1985" s="16" t="n"/>
      <c r="E1985" s="30" t="n"/>
      <c r="F1985" s="17" t="n"/>
      <c r="G1985" s="31">
        <f>IF(C1985="","",IFERROR(INDEX(Categorie!$B$6:$B$65,MATCH(C1985,Categorie!$A$6:$A$65,0))&amp;"",""))</f>
        <v/>
      </c>
      <c r="H1985" s="32">
        <f>IF(AND(A1985="",C1985="",D1985=""),"",IF(D1985="","Manca l'importo",IF(NOT(ISNUMBER(D1985)),"Importo non valido",IF(NOT(ISNUMBER(A1985)),"Data mancante o non valida",IF(YEAR(A1985)&lt;&gt;Impostazioni!$C$4,"Fuori dall'anno",IF(C1985="","Manca la categoria",IF(ISNA(MATCH(C1985,Categorie!$A$6:$A$65,0)),"Categoria non trovata",IF(G1985="","Categoria senza tipo",""))))))))</f>
        <v/>
      </c>
    </row>
    <row r="1986">
      <c r="A1986" s="29" t="n"/>
      <c r="B1986" s="17" t="n"/>
      <c r="C1986" s="17" t="n"/>
      <c r="D1986" s="16" t="n"/>
      <c r="E1986" s="30" t="n"/>
      <c r="F1986" s="17" t="n"/>
      <c r="G1986" s="31">
        <f>IF(C1986="","",IFERROR(INDEX(Categorie!$B$6:$B$65,MATCH(C1986,Categorie!$A$6:$A$65,0))&amp;"",""))</f>
        <v/>
      </c>
      <c r="H1986" s="32">
        <f>IF(AND(A1986="",C1986="",D1986=""),"",IF(D1986="","Manca l'importo",IF(NOT(ISNUMBER(D1986)),"Importo non valido",IF(NOT(ISNUMBER(A1986)),"Data mancante o non valida",IF(YEAR(A1986)&lt;&gt;Impostazioni!$C$4,"Fuori dall'anno",IF(C1986="","Manca la categoria",IF(ISNA(MATCH(C1986,Categorie!$A$6:$A$65,0)),"Categoria non trovata",IF(G1986="","Categoria senza tipo",""))))))))</f>
        <v/>
      </c>
    </row>
    <row r="1987">
      <c r="A1987" s="29" t="n"/>
      <c r="B1987" s="17" t="n"/>
      <c r="C1987" s="17" t="n"/>
      <c r="D1987" s="16" t="n"/>
      <c r="E1987" s="30" t="n"/>
      <c r="F1987" s="17" t="n"/>
      <c r="G1987" s="31">
        <f>IF(C1987="","",IFERROR(INDEX(Categorie!$B$6:$B$65,MATCH(C1987,Categorie!$A$6:$A$65,0))&amp;"",""))</f>
        <v/>
      </c>
      <c r="H1987" s="32">
        <f>IF(AND(A1987="",C1987="",D1987=""),"",IF(D1987="","Manca l'importo",IF(NOT(ISNUMBER(D1987)),"Importo non valido",IF(NOT(ISNUMBER(A1987)),"Data mancante o non valida",IF(YEAR(A1987)&lt;&gt;Impostazioni!$C$4,"Fuori dall'anno",IF(C1987="","Manca la categoria",IF(ISNA(MATCH(C1987,Categorie!$A$6:$A$65,0)),"Categoria non trovata",IF(G1987="","Categoria senza tipo",""))))))))</f>
        <v/>
      </c>
    </row>
    <row r="1988">
      <c r="A1988" s="29" t="n"/>
      <c r="B1988" s="17" t="n"/>
      <c r="C1988" s="17" t="n"/>
      <c r="D1988" s="16" t="n"/>
      <c r="E1988" s="30" t="n"/>
      <c r="F1988" s="17" t="n"/>
      <c r="G1988" s="31">
        <f>IF(C1988="","",IFERROR(INDEX(Categorie!$B$6:$B$65,MATCH(C1988,Categorie!$A$6:$A$65,0))&amp;"",""))</f>
        <v/>
      </c>
      <c r="H1988" s="32">
        <f>IF(AND(A1988="",C1988="",D1988=""),"",IF(D1988="","Manca l'importo",IF(NOT(ISNUMBER(D1988)),"Importo non valido",IF(NOT(ISNUMBER(A1988)),"Data mancante o non valida",IF(YEAR(A1988)&lt;&gt;Impostazioni!$C$4,"Fuori dall'anno",IF(C1988="","Manca la categoria",IF(ISNA(MATCH(C1988,Categorie!$A$6:$A$65,0)),"Categoria non trovata",IF(G1988="","Categoria senza tipo",""))))))))</f>
        <v/>
      </c>
    </row>
    <row r="1989">
      <c r="A1989" s="29" t="n"/>
      <c r="B1989" s="17" t="n"/>
      <c r="C1989" s="17" t="n"/>
      <c r="D1989" s="16" t="n"/>
      <c r="E1989" s="30" t="n"/>
      <c r="F1989" s="17" t="n"/>
      <c r="G1989" s="31">
        <f>IF(C1989="","",IFERROR(INDEX(Categorie!$B$6:$B$65,MATCH(C1989,Categorie!$A$6:$A$65,0))&amp;"",""))</f>
        <v/>
      </c>
      <c r="H1989" s="32">
        <f>IF(AND(A1989="",C1989="",D1989=""),"",IF(D1989="","Manca l'importo",IF(NOT(ISNUMBER(D1989)),"Importo non valido",IF(NOT(ISNUMBER(A1989)),"Data mancante o non valida",IF(YEAR(A1989)&lt;&gt;Impostazioni!$C$4,"Fuori dall'anno",IF(C1989="","Manca la categoria",IF(ISNA(MATCH(C1989,Categorie!$A$6:$A$65,0)),"Categoria non trovata",IF(G1989="","Categoria senza tipo",""))))))))</f>
        <v/>
      </c>
    </row>
    <row r="1990">
      <c r="A1990" s="29" t="n"/>
      <c r="B1990" s="17" t="n"/>
      <c r="C1990" s="17" t="n"/>
      <c r="D1990" s="16" t="n"/>
      <c r="E1990" s="30" t="n"/>
      <c r="F1990" s="17" t="n"/>
      <c r="G1990" s="31">
        <f>IF(C1990="","",IFERROR(INDEX(Categorie!$B$6:$B$65,MATCH(C1990,Categorie!$A$6:$A$65,0))&amp;"",""))</f>
        <v/>
      </c>
      <c r="H1990" s="32">
        <f>IF(AND(A1990="",C1990="",D1990=""),"",IF(D1990="","Manca l'importo",IF(NOT(ISNUMBER(D1990)),"Importo non valido",IF(NOT(ISNUMBER(A1990)),"Data mancante o non valida",IF(YEAR(A1990)&lt;&gt;Impostazioni!$C$4,"Fuori dall'anno",IF(C1990="","Manca la categoria",IF(ISNA(MATCH(C1990,Categorie!$A$6:$A$65,0)),"Categoria non trovata",IF(G1990="","Categoria senza tipo",""))))))))</f>
        <v/>
      </c>
    </row>
    <row r="1991">
      <c r="A1991" s="29" t="n"/>
      <c r="B1991" s="17" t="n"/>
      <c r="C1991" s="17" t="n"/>
      <c r="D1991" s="16" t="n"/>
      <c r="E1991" s="30" t="n"/>
      <c r="F1991" s="17" t="n"/>
      <c r="G1991" s="31">
        <f>IF(C1991="","",IFERROR(INDEX(Categorie!$B$6:$B$65,MATCH(C1991,Categorie!$A$6:$A$65,0))&amp;"",""))</f>
        <v/>
      </c>
      <c r="H1991" s="32">
        <f>IF(AND(A1991="",C1991="",D1991=""),"",IF(D1991="","Manca l'importo",IF(NOT(ISNUMBER(D1991)),"Importo non valido",IF(NOT(ISNUMBER(A1991)),"Data mancante o non valida",IF(YEAR(A1991)&lt;&gt;Impostazioni!$C$4,"Fuori dall'anno",IF(C1991="","Manca la categoria",IF(ISNA(MATCH(C1991,Categorie!$A$6:$A$65,0)),"Categoria non trovata",IF(G1991="","Categoria senza tipo",""))))))))</f>
        <v/>
      </c>
    </row>
    <row r="1992">
      <c r="A1992" s="29" t="n"/>
      <c r="B1992" s="17" t="n"/>
      <c r="C1992" s="17" t="n"/>
      <c r="D1992" s="16" t="n"/>
      <c r="E1992" s="30" t="n"/>
      <c r="F1992" s="17" t="n"/>
      <c r="G1992" s="31">
        <f>IF(C1992="","",IFERROR(INDEX(Categorie!$B$6:$B$65,MATCH(C1992,Categorie!$A$6:$A$65,0))&amp;"",""))</f>
        <v/>
      </c>
      <c r="H1992" s="32">
        <f>IF(AND(A1992="",C1992="",D1992=""),"",IF(D1992="","Manca l'importo",IF(NOT(ISNUMBER(D1992)),"Importo non valido",IF(NOT(ISNUMBER(A1992)),"Data mancante o non valida",IF(YEAR(A1992)&lt;&gt;Impostazioni!$C$4,"Fuori dall'anno",IF(C1992="","Manca la categoria",IF(ISNA(MATCH(C1992,Categorie!$A$6:$A$65,0)),"Categoria non trovata",IF(G1992="","Categoria senza tipo",""))))))))</f>
        <v/>
      </c>
    </row>
    <row r="1993">
      <c r="A1993" s="29" t="n"/>
      <c r="B1993" s="17" t="n"/>
      <c r="C1993" s="17" t="n"/>
      <c r="D1993" s="16" t="n"/>
      <c r="E1993" s="30" t="n"/>
      <c r="F1993" s="17" t="n"/>
      <c r="G1993" s="31">
        <f>IF(C1993="","",IFERROR(INDEX(Categorie!$B$6:$B$65,MATCH(C1993,Categorie!$A$6:$A$65,0))&amp;"",""))</f>
        <v/>
      </c>
      <c r="H1993" s="32">
        <f>IF(AND(A1993="",C1993="",D1993=""),"",IF(D1993="","Manca l'importo",IF(NOT(ISNUMBER(D1993)),"Importo non valido",IF(NOT(ISNUMBER(A1993)),"Data mancante o non valida",IF(YEAR(A1993)&lt;&gt;Impostazioni!$C$4,"Fuori dall'anno",IF(C1993="","Manca la categoria",IF(ISNA(MATCH(C1993,Categorie!$A$6:$A$65,0)),"Categoria non trovata",IF(G1993="","Categoria senza tipo",""))))))))</f>
        <v/>
      </c>
    </row>
    <row r="1994">
      <c r="A1994" s="29" t="n"/>
      <c r="B1994" s="17" t="n"/>
      <c r="C1994" s="17" t="n"/>
      <c r="D1994" s="16" t="n"/>
      <c r="E1994" s="30" t="n"/>
      <c r="F1994" s="17" t="n"/>
      <c r="G1994" s="31">
        <f>IF(C1994="","",IFERROR(INDEX(Categorie!$B$6:$B$65,MATCH(C1994,Categorie!$A$6:$A$65,0))&amp;"",""))</f>
        <v/>
      </c>
      <c r="H1994" s="32">
        <f>IF(AND(A1994="",C1994="",D1994=""),"",IF(D1994="","Manca l'importo",IF(NOT(ISNUMBER(D1994)),"Importo non valido",IF(NOT(ISNUMBER(A1994)),"Data mancante o non valida",IF(YEAR(A1994)&lt;&gt;Impostazioni!$C$4,"Fuori dall'anno",IF(C1994="","Manca la categoria",IF(ISNA(MATCH(C1994,Categorie!$A$6:$A$65,0)),"Categoria non trovata",IF(G1994="","Categoria senza tipo",""))))))))</f>
        <v/>
      </c>
    </row>
    <row r="1995">
      <c r="A1995" s="29" t="n"/>
      <c r="B1995" s="17" t="n"/>
      <c r="C1995" s="17" t="n"/>
      <c r="D1995" s="16" t="n"/>
      <c r="E1995" s="30" t="n"/>
      <c r="F1995" s="17" t="n"/>
      <c r="G1995" s="31">
        <f>IF(C1995="","",IFERROR(INDEX(Categorie!$B$6:$B$65,MATCH(C1995,Categorie!$A$6:$A$65,0))&amp;"",""))</f>
        <v/>
      </c>
      <c r="H1995" s="32">
        <f>IF(AND(A1995="",C1995="",D1995=""),"",IF(D1995="","Manca l'importo",IF(NOT(ISNUMBER(D1995)),"Importo non valido",IF(NOT(ISNUMBER(A1995)),"Data mancante o non valida",IF(YEAR(A1995)&lt;&gt;Impostazioni!$C$4,"Fuori dall'anno",IF(C1995="","Manca la categoria",IF(ISNA(MATCH(C1995,Categorie!$A$6:$A$65,0)),"Categoria non trovata",IF(G1995="","Categoria senza tipo",""))))))))</f>
        <v/>
      </c>
    </row>
    <row r="1996">
      <c r="A1996" s="29" t="n"/>
      <c r="B1996" s="17" t="n"/>
      <c r="C1996" s="17" t="n"/>
      <c r="D1996" s="16" t="n"/>
      <c r="E1996" s="30" t="n"/>
      <c r="F1996" s="17" t="n"/>
      <c r="G1996" s="31">
        <f>IF(C1996="","",IFERROR(INDEX(Categorie!$B$6:$B$65,MATCH(C1996,Categorie!$A$6:$A$65,0))&amp;"",""))</f>
        <v/>
      </c>
      <c r="H1996" s="32">
        <f>IF(AND(A1996="",C1996="",D1996=""),"",IF(D1996="","Manca l'importo",IF(NOT(ISNUMBER(D1996)),"Importo non valido",IF(NOT(ISNUMBER(A1996)),"Data mancante o non valida",IF(YEAR(A1996)&lt;&gt;Impostazioni!$C$4,"Fuori dall'anno",IF(C1996="","Manca la categoria",IF(ISNA(MATCH(C1996,Categorie!$A$6:$A$65,0)),"Categoria non trovata",IF(G1996="","Categoria senza tipo",""))))))))</f>
        <v/>
      </c>
    </row>
    <row r="1997">
      <c r="A1997" s="29" t="n"/>
      <c r="B1997" s="17" t="n"/>
      <c r="C1997" s="17" t="n"/>
      <c r="D1997" s="16" t="n"/>
      <c r="E1997" s="30" t="n"/>
      <c r="F1997" s="17" t="n"/>
      <c r="G1997" s="31">
        <f>IF(C1997="","",IFERROR(INDEX(Categorie!$B$6:$B$65,MATCH(C1997,Categorie!$A$6:$A$65,0))&amp;"",""))</f>
        <v/>
      </c>
      <c r="H1997" s="32">
        <f>IF(AND(A1997="",C1997="",D1997=""),"",IF(D1997="","Manca l'importo",IF(NOT(ISNUMBER(D1997)),"Importo non valido",IF(NOT(ISNUMBER(A1997)),"Data mancante o non valida",IF(YEAR(A1997)&lt;&gt;Impostazioni!$C$4,"Fuori dall'anno",IF(C1997="","Manca la categoria",IF(ISNA(MATCH(C1997,Categorie!$A$6:$A$65,0)),"Categoria non trovata",IF(G1997="","Categoria senza tipo",""))))))))</f>
        <v/>
      </c>
    </row>
    <row r="1998">
      <c r="A1998" s="29" t="n"/>
      <c r="B1998" s="17" t="n"/>
      <c r="C1998" s="17" t="n"/>
      <c r="D1998" s="16" t="n"/>
      <c r="E1998" s="30" t="n"/>
      <c r="F1998" s="17" t="n"/>
      <c r="G1998" s="31">
        <f>IF(C1998="","",IFERROR(INDEX(Categorie!$B$6:$B$65,MATCH(C1998,Categorie!$A$6:$A$65,0))&amp;"",""))</f>
        <v/>
      </c>
      <c r="H1998" s="32">
        <f>IF(AND(A1998="",C1998="",D1998=""),"",IF(D1998="","Manca l'importo",IF(NOT(ISNUMBER(D1998)),"Importo non valido",IF(NOT(ISNUMBER(A1998)),"Data mancante o non valida",IF(YEAR(A1998)&lt;&gt;Impostazioni!$C$4,"Fuori dall'anno",IF(C1998="","Manca la categoria",IF(ISNA(MATCH(C1998,Categorie!$A$6:$A$65,0)),"Categoria non trovata",IF(G1998="","Categoria senza tipo",""))))))))</f>
        <v/>
      </c>
    </row>
    <row r="1999">
      <c r="A1999" s="29" t="n"/>
      <c r="B1999" s="17" t="n"/>
      <c r="C1999" s="17" t="n"/>
      <c r="D1999" s="16" t="n"/>
      <c r="E1999" s="30" t="n"/>
      <c r="F1999" s="17" t="n"/>
      <c r="G1999" s="31">
        <f>IF(C1999="","",IFERROR(INDEX(Categorie!$B$6:$B$65,MATCH(C1999,Categorie!$A$6:$A$65,0))&amp;"",""))</f>
        <v/>
      </c>
      <c r="H1999" s="32">
        <f>IF(AND(A1999="",C1999="",D1999=""),"",IF(D1999="","Manca l'importo",IF(NOT(ISNUMBER(D1999)),"Importo non valido",IF(NOT(ISNUMBER(A1999)),"Data mancante o non valida",IF(YEAR(A1999)&lt;&gt;Impostazioni!$C$4,"Fuori dall'anno",IF(C1999="","Manca la categoria",IF(ISNA(MATCH(C1999,Categorie!$A$6:$A$65,0)),"Categoria non trovata",IF(G1999="","Categoria senza tipo",""))))))))</f>
        <v/>
      </c>
    </row>
    <row r="2000">
      <c r="A2000" s="29" t="n"/>
      <c r="B2000" s="17" t="n"/>
      <c r="C2000" s="17" t="n"/>
      <c r="D2000" s="16" t="n"/>
      <c r="E2000" s="30" t="n"/>
      <c r="F2000" s="17" t="n"/>
      <c r="G2000" s="31">
        <f>IF(C2000="","",IFERROR(INDEX(Categorie!$B$6:$B$65,MATCH(C2000,Categorie!$A$6:$A$65,0))&amp;"",""))</f>
        <v/>
      </c>
      <c r="H2000" s="32">
        <f>IF(AND(A2000="",C2000="",D2000=""),"",IF(D2000="","Manca l'importo",IF(NOT(ISNUMBER(D2000)),"Importo non valido",IF(NOT(ISNUMBER(A2000)),"Data mancante o non valida",IF(YEAR(A2000)&lt;&gt;Impostazioni!$C$4,"Fuori dall'anno",IF(C2000="","Manca la categoria",IF(ISNA(MATCH(C2000,Categorie!$A$6:$A$65,0)),"Categoria non trovata",IF(G2000="","Categoria senza tipo",""))))))))</f>
        <v/>
      </c>
    </row>
    <row r="2001">
      <c r="A2001" s="29" t="n"/>
      <c r="B2001" s="17" t="n"/>
      <c r="C2001" s="17" t="n"/>
      <c r="D2001" s="16" t="n"/>
      <c r="E2001" s="30" t="n"/>
      <c r="F2001" s="17" t="n"/>
      <c r="G2001" s="31">
        <f>IF(C2001="","",IFERROR(INDEX(Categorie!$B$6:$B$65,MATCH(C2001,Categorie!$A$6:$A$65,0))&amp;"",""))</f>
        <v/>
      </c>
      <c r="H2001" s="32">
        <f>IF(AND(A2001="",C2001="",D2001=""),"",IF(D2001="","Manca l'importo",IF(NOT(ISNUMBER(D2001)),"Importo non valido",IF(NOT(ISNUMBER(A2001)),"Data mancante o non valida",IF(YEAR(A2001)&lt;&gt;Impostazioni!$C$4,"Fuori dall'anno",IF(C2001="","Manca la categoria",IF(ISNA(MATCH(C2001,Categorie!$A$6:$A$65,0)),"Categoria non trovata",IF(G2001="","Categoria senza tipo",""))))))))</f>
        <v/>
      </c>
    </row>
    <row r="2002">
      <c r="A2002" s="29" t="n"/>
      <c r="B2002" s="17" t="n"/>
      <c r="C2002" s="17" t="n"/>
      <c r="D2002" s="16" t="n"/>
      <c r="E2002" s="30" t="n"/>
      <c r="F2002" s="17" t="n"/>
      <c r="G2002" s="31">
        <f>IF(C2002="","",IFERROR(INDEX(Categorie!$B$6:$B$65,MATCH(C2002,Categorie!$A$6:$A$65,0))&amp;"",""))</f>
        <v/>
      </c>
      <c r="H2002" s="32">
        <f>IF(AND(A2002="",C2002="",D2002=""),"",IF(D2002="","Manca l'importo",IF(NOT(ISNUMBER(D2002)),"Importo non valido",IF(NOT(ISNUMBER(A2002)),"Data mancante o non valida",IF(YEAR(A2002)&lt;&gt;Impostazioni!$C$4,"Fuori dall'anno",IF(C2002="","Manca la categoria",IF(ISNA(MATCH(C2002,Categorie!$A$6:$A$65,0)),"Categoria non trovata",IF(G2002="","Categoria senza tipo",""))))))))</f>
        <v/>
      </c>
    </row>
    <row r="2003">
      <c r="A2003" s="29" t="n"/>
      <c r="B2003" s="17" t="n"/>
      <c r="C2003" s="17" t="n"/>
      <c r="D2003" s="16" t="n"/>
      <c r="E2003" s="30" t="n"/>
      <c r="F2003" s="17" t="n"/>
      <c r="G2003" s="31">
        <f>IF(C2003="","",IFERROR(INDEX(Categorie!$B$6:$B$65,MATCH(C2003,Categorie!$A$6:$A$65,0))&amp;"",""))</f>
        <v/>
      </c>
      <c r="H2003" s="32">
        <f>IF(AND(A2003="",C2003="",D2003=""),"",IF(D2003="","Manca l'importo",IF(NOT(ISNUMBER(D2003)),"Importo non valido",IF(NOT(ISNUMBER(A2003)),"Data mancante o non valida",IF(YEAR(A2003)&lt;&gt;Impostazioni!$C$4,"Fuori dall'anno",IF(C2003="","Manca la categoria",IF(ISNA(MATCH(C2003,Categorie!$A$6:$A$65,0)),"Categoria non trovata",IF(G2003="","Categoria senza tipo",""))))))))</f>
        <v/>
      </c>
    </row>
    <row r="2004">
      <c r="A2004" s="29" t="n"/>
      <c r="B2004" s="17" t="n"/>
      <c r="C2004" s="17" t="n"/>
      <c r="D2004" s="16" t="n"/>
      <c r="E2004" s="30" t="n"/>
      <c r="F2004" s="17" t="n"/>
      <c r="G2004" s="31">
        <f>IF(C2004="","",IFERROR(INDEX(Categorie!$B$6:$B$65,MATCH(C2004,Categorie!$A$6:$A$65,0))&amp;"",""))</f>
        <v/>
      </c>
      <c r="H2004" s="32">
        <f>IF(AND(A2004="",C2004="",D2004=""),"",IF(D2004="","Manca l'importo",IF(NOT(ISNUMBER(D2004)),"Importo non valido",IF(NOT(ISNUMBER(A2004)),"Data mancante o non valida",IF(YEAR(A2004)&lt;&gt;Impostazioni!$C$4,"Fuori dall'anno",IF(C2004="","Manca la categoria",IF(ISNA(MATCH(C2004,Categorie!$A$6:$A$65,0)),"Categoria non trovata",IF(G2004="","Categoria senza tipo",""))))))))</f>
        <v/>
      </c>
    </row>
    <row r="2005">
      <c r="A2005" s="29" t="n"/>
      <c r="B2005" s="17" t="n"/>
      <c r="C2005" s="17" t="n"/>
      <c r="D2005" s="16" t="n"/>
      <c r="E2005" s="30" t="n"/>
      <c r="F2005" s="17" t="n"/>
      <c r="G2005" s="31">
        <f>IF(C2005="","",IFERROR(INDEX(Categorie!$B$6:$B$65,MATCH(C2005,Categorie!$A$6:$A$65,0))&amp;"",""))</f>
        <v/>
      </c>
      <c r="H2005" s="32">
        <f>IF(AND(A2005="",C2005="",D2005=""),"",IF(D2005="","Manca l'importo",IF(NOT(ISNUMBER(D2005)),"Importo non valido",IF(NOT(ISNUMBER(A2005)),"Data mancante o non valida",IF(YEAR(A2005)&lt;&gt;Impostazioni!$C$4,"Fuori dall'anno",IF(C2005="","Manca la categoria",IF(ISNA(MATCH(C2005,Categorie!$A$6:$A$65,0)),"Categoria non trovata",IF(G2005="","Categoria senza tipo",""))))))))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5:H2005"/>
  <conditionalFormatting sqref="H3">
    <cfRule type="expression" priority="1" dxfId="0">
      <formula>$H$3&gt;0</formula>
    </cfRule>
  </conditionalFormatting>
  <conditionalFormatting sqref="H6:H2005">
    <cfRule type="expression" priority="2" dxfId="0">
      <formula>LEN($H6)&gt;0</formula>
    </cfRule>
  </conditionalFormatting>
  <dataValidations count="5">
    <dataValidation sqref="A6:A2005" showDropDown="0" showInputMessage="0" showErrorMessage="1" allowBlank="1" errorTitle="Data non valida" error="Inserisci una data nel formato gg/mm/aaaa." type="date" operator="between">
      <formula1>36526</formula1>
      <formula2>73050</formula2>
    </dataValidation>
    <dataValidation sqref="C6:C2005" showDropDown="0" showInputMessage="0" showErrorMessage="1" allowBlank="1" errorTitle="Categoria non valida" error="Scegli una categoria dal menu. Per aggiungerne una nuova usa il foglio Categorie." type="list">
      <formula1>Categorie!$A$6:$A$65</formula1>
    </dataValidation>
    <dataValidation sqref="D6:D2005" showDropDown="0" showInputMessage="0" showErrorMessage="1" allowBlank="1" errorTitle="Valore non valido" error="Inserisci un numero (es. 125,50)." type="decimal" operator="between">
      <formula1>-100000000</formula1>
      <formula2>100000000</formula2>
    </dataValidation>
    <dataValidation sqref="E6:E2005" showDropDown="0" showInputMessage="0" showErrorMessage="1" allowBlank="1" errorTitle="Conto non valido" error="Scegli dal menu. I conti si modificano nel foglio Impostazioni." type="list">
      <formula1>Impostazioni!$C$24:$C$31</formula1>
    </dataValidation>
    <dataValidation sqref="F6:F2005" showDropDown="0" showInputMessage="0" showErrorMessage="1" allowBlank="1" errorTitle="Nome non valido" error="Scegli dal menu. I nomi si inseriscono nel foglio Impostazioni." type="list">
      <formula1>Impostazioni!$C$16:$C$21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E3C766"/>
    <outlinePr summaryBelow="1" summaryRight="1"/>
    <pageSetUpPr fitToPage="1"/>
  </sheetPr>
  <dimension ref="A1:P73"/>
  <sheetViews>
    <sheetView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3" customWidth="1" min="16" max="16"/>
  </cols>
  <sheetData>
    <row r="1" ht="30" customHeight="1">
      <c r="A1" s="12" t="inlineStr">
        <is>
          <t>Budget</t>
        </is>
      </c>
    </row>
    <row r="2">
      <c r="A2" s="2" t="inlineStr">
        <is>
          <t>Scrivi in colonna C l'importo tipico mensile: i mesi si compilano da soli. Per un mese diverso (TARI, bollo, assicurazioni) scrivi l'importo nella cella del mese.</t>
        </is>
      </c>
    </row>
    <row r="3">
      <c r="A3" s="2" t="inlineStr">
        <is>
          <t>Per tornare all'importo tipico copia la cella di un mese non modificato. Le righe di riepilogo in alto si calcolano da sole.</t>
        </is>
      </c>
    </row>
    <row r="4" hidden="1">
      <c r="D4" s="33" t="n">
        <v>1</v>
      </c>
      <c r="E4" s="33" t="n">
        <v>2</v>
      </c>
      <c r="F4" s="33" t="n">
        <v>3</v>
      </c>
      <c r="G4" s="33" t="n">
        <v>4</v>
      </c>
      <c r="H4" s="33" t="n">
        <v>5</v>
      </c>
      <c r="I4" s="33" t="n">
        <v>6</v>
      </c>
      <c r="J4" s="33" t="n">
        <v>7</v>
      </c>
      <c r="K4" s="33" t="n">
        <v>8</v>
      </c>
      <c r="L4" s="33" t="n">
        <v>9</v>
      </c>
      <c r="M4" s="33" t="n">
        <v>10</v>
      </c>
      <c r="N4" s="33" t="n">
        <v>11</v>
      </c>
      <c r="O4" s="33" t="n">
        <v>12</v>
      </c>
    </row>
    <row r="5" ht="30" customHeight="1">
      <c r="A5" s="24" t="inlineStr">
        <is>
          <t>Voce</t>
        </is>
      </c>
      <c r="B5" s="24" t="inlineStr">
        <is>
          <t>Tipo</t>
        </is>
      </c>
      <c r="C5" s="24" t="inlineStr">
        <is>
          <t>Importo tipico mensile</t>
        </is>
      </c>
      <c r="D5" s="24" t="inlineStr">
        <is>
          <t>Gen</t>
        </is>
      </c>
      <c r="E5" s="24" t="inlineStr">
        <is>
          <t>Feb</t>
        </is>
      </c>
      <c r="F5" s="24" t="inlineStr">
        <is>
          <t>Mar</t>
        </is>
      </c>
      <c r="G5" s="24" t="inlineStr">
        <is>
          <t>Apr</t>
        </is>
      </c>
      <c r="H5" s="24" t="inlineStr">
        <is>
          <t>Mag</t>
        </is>
      </c>
      <c r="I5" s="24" t="inlineStr">
        <is>
          <t>Giu</t>
        </is>
      </c>
      <c r="J5" s="24" t="inlineStr">
        <is>
          <t>Lug</t>
        </is>
      </c>
      <c r="K5" s="24" t="inlineStr">
        <is>
          <t>Ago</t>
        </is>
      </c>
      <c r="L5" s="24" t="inlineStr">
        <is>
          <t>Set</t>
        </is>
      </c>
      <c r="M5" s="24" t="inlineStr">
        <is>
          <t>Ott</t>
        </is>
      </c>
      <c r="N5" s="24" t="inlineStr">
        <is>
          <t>Nov</t>
        </is>
      </c>
      <c r="O5" s="24" t="inlineStr">
        <is>
          <t>Dic</t>
        </is>
      </c>
      <c r="P5" s="24" t="inlineStr">
        <is>
          <t>Totale anno</t>
        </is>
      </c>
    </row>
    <row r="6">
      <c r="A6" s="34" t="inlineStr">
        <is>
          <t>Entrate</t>
        </is>
      </c>
      <c r="B6" s="35" t="inlineStr">
        <is>
          <t>Entrata</t>
        </is>
      </c>
      <c r="C6" s="36">
        <f>SUMIFS(C$14:C$73,$B$14:$B$73,"Entrata")</f>
        <v/>
      </c>
      <c r="D6" s="36">
        <f>SUMIFS(D$14:D$73,$B$14:$B$73,"Entrata")</f>
        <v/>
      </c>
      <c r="E6" s="36">
        <f>SUMIFS(E$14:E$73,$B$14:$B$73,"Entrata")</f>
        <v/>
      </c>
      <c r="F6" s="36">
        <f>SUMIFS(F$14:F$73,$B$14:$B$73,"Entrata")</f>
        <v/>
      </c>
      <c r="G6" s="36">
        <f>SUMIFS(G$14:G$73,$B$14:$B$73,"Entrata")</f>
        <v/>
      </c>
      <c r="H6" s="36">
        <f>SUMIFS(H$14:H$73,$B$14:$B$73,"Entrata")</f>
        <v/>
      </c>
      <c r="I6" s="36">
        <f>SUMIFS(I$14:I$73,$B$14:$B$73,"Entrata")</f>
        <v/>
      </c>
      <c r="J6" s="36">
        <f>SUMIFS(J$14:J$73,$B$14:$B$73,"Entrata")</f>
        <v/>
      </c>
      <c r="K6" s="36">
        <f>SUMIFS(K$14:K$73,$B$14:$B$73,"Entrata")</f>
        <v/>
      </c>
      <c r="L6" s="36">
        <f>SUMIFS(L$14:L$73,$B$14:$B$73,"Entrata")</f>
        <v/>
      </c>
      <c r="M6" s="36">
        <f>SUMIFS(M$14:M$73,$B$14:$B$73,"Entrata")</f>
        <v/>
      </c>
      <c r="N6" s="36">
        <f>SUMIFS(N$14:N$73,$B$14:$B$73,"Entrata")</f>
        <v/>
      </c>
      <c r="O6" s="36">
        <f>SUMIFS(O$14:O$73,$B$14:$B$73,"Entrata")</f>
        <v/>
      </c>
      <c r="P6" s="36">
        <f>SUMIFS(P$14:P$73,$B$14:$B$73,"Entrata")</f>
        <v/>
      </c>
    </row>
    <row r="7">
      <c r="A7" s="34" t="inlineStr">
        <is>
          <t>Spese fisse</t>
        </is>
      </c>
      <c r="B7" s="35" t="inlineStr">
        <is>
          <t>Spesa fissa</t>
        </is>
      </c>
      <c r="C7" s="36">
        <f>SUMIFS(C$14:C$73,$B$14:$B$73,"Spesa fissa")</f>
        <v/>
      </c>
      <c r="D7" s="36">
        <f>SUMIFS(D$14:D$73,$B$14:$B$73,"Spesa fissa")</f>
        <v/>
      </c>
      <c r="E7" s="36">
        <f>SUMIFS(E$14:E$73,$B$14:$B$73,"Spesa fissa")</f>
        <v/>
      </c>
      <c r="F7" s="36">
        <f>SUMIFS(F$14:F$73,$B$14:$B$73,"Spesa fissa")</f>
        <v/>
      </c>
      <c r="G7" s="36">
        <f>SUMIFS(G$14:G$73,$B$14:$B$73,"Spesa fissa")</f>
        <v/>
      </c>
      <c r="H7" s="36">
        <f>SUMIFS(H$14:H$73,$B$14:$B$73,"Spesa fissa")</f>
        <v/>
      </c>
      <c r="I7" s="36">
        <f>SUMIFS(I$14:I$73,$B$14:$B$73,"Spesa fissa")</f>
        <v/>
      </c>
      <c r="J7" s="36">
        <f>SUMIFS(J$14:J$73,$B$14:$B$73,"Spesa fissa")</f>
        <v/>
      </c>
      <c r="K7" s="36">
        <f>SUMIFS(K$14:K$73,$B$14:$B$73,"Spesa fissa")</f>
        <v/>
      </c>
      <c r="L7" s="36">
        <f>SUMIFS(L$14:L$73,$B$14:$B$73,"Spesa fissa")</f>
        <v/>
      </c>
      <c r="M7" s="36">
        <f>SUMIFS(M$14:M$73,$B$14:$B$73,"Spesa fissa")</f>
        <v/>
      </c>
      <c r="N7" s="36">
        <f>SUMIFS(N$14:N$73,$B$14:$B$73,"Spesa fissa")</f>
        <v/>
      </c>
      <c r="O7" s="36">
        <f>SUMIFS(O$14:O$73,$B$14:$B$73,"Spesa fissa")</f>
        <v/>
      </c>
      <c r="P7" s="36">
        <f>SUMIFS(P$14:P$73,$B$14:$B$73,"Spesa fissa")</f>
        <v/>
      </c>
    </row>
    <row r="8">
      <c r="A8" s="34" t="inlineStr">
        <is>
          <t>Spese variabili</t>
        </is>
      </c>
      <c r="B8" s="35" t="inlineStr">
        <is>
          <t>Spesa variabile</t>
        </is>
      </c>
      <c r="C8" s="36">
        <f>SUMIFS(C$14:C$73,$B$14:$B$73,"Spesa variabile")</f>
        <v/>
      </c>
      <c r="D8" s="36">
        <f>SUMIFS(D$14:D$73,$B$14:$B$73,"Spesa variabile")</f>
        <v/>
      </c>
      <c r="E8" s="36">
        <f>SUMIFS(E$14:E$73,$B$14:$B$73,"Spesa variabile")</f>
        <v/>
      </c>
      <c r="F8" s="36">
        <f>SUMIFS(F$14:F$73,$B$14:$B$73,"Spesa variabile")</f>
        <v/>
      </c>
      <c r="G8" s="36">
        <f>SUMIFS(G$14:G$73,$B$14:$B$73,"Spesa variabile")</f>
        <v/>
      </c>
      <c r="H8" s="36">
        <f>SUMIFS(H$14:H$73,$B$14:$B$73,"Spesa variabile")</f>
        <v/>
      </c>
      <c r="I8" s="36">
        <f>SUMIFS(I$14:I$73,$B$14:$B$73,"Spesa variabile")</f>
        <v/>
      </c>
      <c r="J8" s="36">
        <f>SUMIFS(J$14:J$73,$B$14:$B$73,"Spesa variabile")</f>
        <v/>
      </c>
      <c r="K8" s="36">
        <f>SUMIFS(K$14:K$73,$B$14:$B$73,"Spesa variabile")</f>
        <v/>
      </c>
      <c r="L8" s="36">
        <f>SUMIFS(L$14:L$73,$B$14:$B$73,"Spesa variabile")</f>
        <v/>
      </c>
      <c r="M8" s="36">
        <f>SUMIFS(M$14:M$73,$B$14:$B$73,"Spesa variabile")</f>
        <v/>
      </c>
      <c r="N8" s="36">
        <f>SUMIFS(N$14:N$73,$B$14:$B$73,"Spesa variabile")</f>
        <v/>
      </c>
      <c r="O8" s="36">
        <f>SUMIFS(O$14:O$73,$B$14:$B$73,"Spesa variabile")</f>
        <v/>
      </c>
      <c r="P8" s="36">
        <f>SUMIFS(P$14:P$73,$B$14:$B$73,"Spesa variabile")</f>
        <v/>
      </c>
    </row>
    <row r="9">
      <c r="A9" s="37" t="inlineStr">
        <is>
          <t>Totale spese</t>
        </is>
      </c>
      <c r="B9" s="38" t="inlineStr">
        <is>
          <t>Spesa totale</t>
        </is>
      </c>
      <c r="C9" s="39">
        <f>C7+C8</f>
        <v/>
      </c>
      <c r="D9" s="39">
        <f>D7+D8</f>
        <v/>
      </c>
      <c r="E9" s="39">
        <f>E7+E8</f>
        <v/>
      </c>
      <c r="F9" s="39">
        <f>F7+F8</f>
        <v/>
      </c>
      <c r="G9" s="39">
        <f>G7+G8</f>
        <v/>
      </c>
      <c r="H9" s="39">
        <f>H7+H8</f>
        <v/>
      </c>
      <c r="I9" s="39">
        <f>I7+I8</f>
        <v/>
      </c>
      <c r="J9" s="39">
        <f>J7+J8</f>
        <v/>
      </c>
      <c r="K9" s="39">
        <f>K7+K8</f>
        <v/>
      </c>
      <c r="L9" s="39">
        <f>L7+L8</f>
        <v/>
      </c>
      <c r="M9" s="39">
        <f>M7+M8</f>
        <v/>
      </c>
      <c r="N9" s="39">
        <f>N7+N8</f>
        <v/>
      </c>
      <c r="O9" s="39">
        <f>O7+O8</f>
        <v/>
      </c>
      <c r="P9" s="39">
        <f>P7+P8</f>
        <v/>
      </c>
    </row>
    <row r="10">
      <c r="A10" s="34" t="inlineStr">
        <is>
          <t>Risparmio e investimenti</t>
        </is>
      </c>
      <c r="B10" s="35" t="inlineStr">
        <is>
          <t>Risparmio e investimenti</t>
        </is>
      </c>
      <c r="C10" s="36">
        <f>SUMIFS(C$14:C$73,$B$14:$B$73,"Risparmio e investimenti")</f>
        <v/>
      </c>
      <c r="D10" s="36">
        <f>SUMIFS(D$14:D$73,$B$14:$B$73,"Risparmio e investimenti")</f>
        <v/>
      </c>
      <c r="E10" s="36">
        <f>SUMIFS(E$14:E$73,$B$14:$B$73,"Risparmio e investimenti")</f>
        <v/>
      </c>
      <c r="F10" s="36">
        <f>SUMIFS(F$14:F$73,$B$14:$B$73,"Risparmio e investimenti")</f>
        <v/>
      </c>
      <c r="G10" s="36">
        <f>SUMIFS(G$14:G$73,$B$14:$B$73,"Risparmio e investimenti")</f>
        <v/>
      </c>
      <c r="H10" s="36">
        <f>SUMIFS(H$14:H$73,$B$14:$B$73,"Risparmio e investimenti")</f>
        <v/>
      </c>
      <c r="I10" s="36">
        <f>SUMIFS(I$14:I$73,$B$14:$B$73,"Risparmio e investimenti")</f>
        <v/>
      </c>
      <c r="J10" s="36">
        <f>SUMIFS(J$14:J$73,$B$14:$B$73,"Risparmio e investimenti")</f>
        <v/>
      </c>
      <c r="K10" s="36">
        <f>SUMIFS(K$14:K$73,$B$14:$B$73,"Risparmio e investimenti")</f>
        <v/>
      </c>
      <c r="L10" s="36">
        <f>SUMIFS(L$14:L$73,$B$14:$B$73,"Risparmio e investimenti")</f>
        <v/>
      </c>
      <c r="M10" s="36">
        <f>SUMIFS(M$14:M$73,$B$14:$B$73,"Risparmio e investimenti")</f>
        <v/>
      </c>
      <c r="N10" s="36">
        <f>SUMIFS(N$14:N$73,$B$14:$B$73,"Risparmio e investimenti")</f>
        <v/>
      </c>
      <c r="O10" s="36">
        <f>SUMIFS(O$14:O$73,$B$14:$B$73,"Risparmio e investimenti")</f>
        <v/>
      </c>
      <c r="P10" s="36">
        <f>SUMIFS(P$14:P$73,$B$14:$B$73,"Risparmio e investimenti")</f>
        <v/>
      </c>
    </row>
    <row r="11">
      <c r="A11" s="37" t="inlineStr">
        <is>
          <t>Avanzo (entrate − spese − risparmio)</t>
        </is>
      </c>
      <c r="B11" s="38" t="inlineStr">
        <is>
          <t>Risultato</t>
        </is>
      </c>
      <c r="C11" s="39">
        <f>C6-C9-C10</f>
        <v/>
      </c>
      <c r="D11" s="39">
        <f>D6-D9-D10</f>
        <v/>
      </c>
      <c r="E11" s="39">
        <f>E6-E9-E10</f>
        <v/>
      </c>
      <c r="F11" s="39">
        <f>F6-F9-F10</f>
        <v/>
      </c>
      <c r="G11" s="39">
        <f>G6-G9-G10</f>
        <v/>
      </c>
      <c r="H11" s="39">
        <f>H6-H9-H10</f>
        <v/>
      </c>
      <c r="I11" s="39">
        <f>I6-I9-I10</f>
        <v/>
      </c>
      <c r="J11" s="39">
        <f>J6-J9-J10</f>
        <v/>
      </c>
      <c r="K11" s="39">
        <f>K6-K9-K10</f>
        <v/>
      </c>
      <c r="L11" s="39">
        <f>L6-L9-L10</f>
        <v/>
      </c>
      <c r="M11" s="39">
        <f>M6-M9-M10</f>
        <v/>
      </c>
      <c r="N11" s="39">
        <f>N6-N9-N10</f>
        <v/>
      </c>
      <c r="O11" s="39">
        <f>O6-O9-O10</f>
        <v/>
      </c>
      <c r="P11" s="39">
        <f>P6-P9-P10</f>
        <v/>
      </c>
    </row>
    <row r="12">
      <c r="A12" s="37" t="inlineStr">
        <is>
          <t>Saldo di cassa previsto a fine mese</t>
        </is>
      </c>
      <c r="B12" s="38" t="inlineStr">
        <is>
          <t>Saldo</t>
        </is>
      </c>
      <c r="C12" s="37" t="n"/>
      <c r="D12" s="39">
        <f>Impostazioni!$C$5+D11</f>
        <v/>
      </c>
      <c r="E12" s="39">
        <f>D12+E11</f>
        <v/>
      </c>
      <c r="F12" s="39">
        <f>E12+F11</f>
        <v/>
      </c>
      <c r="G12" s="39">
        <f>F12+G11</f>
        <v/>
      </c>
      <c r="H12" s="39">
        <f>G12+H11</f>
        <v/>
      </c>
      <c r="I12" s="39">
        <f>H12+I11</f>
        <v/>
      </c>
      <c r="J12" s="39">
        <f>I12+J11</f>
        <v/>
      </c>
      <c r="K12" s="39">
        <f>J12+K11</f>
        <v/>
      </c>
      <c r="L12" s="39">
        <f>K12+L11</f>
        <v/>
      </c>
      <c r="M12" s="39">
        <f>L12+M11</f>
        <v/>
      </c>
      <c r="N12" s="39">
        <f>M12+N11</f>
        <v/>
      </c>
      <c r="O12" s="39">
        <f>N12+O11</f>
        <v/>
      </c>
      <c r="P12" s="39">
        <f>O12</f>
        <v/>
      </c>
    </row>
    <row r="13">
      <c r="A13" s="40" t="inlineStr">
        <is>
          <t>Dettaglio per categoria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</row>
    <row r="14">
      <c r="A14" s="42">
        <f>IF(Categorie!$A6="","",Categorie!$A6)</f>
        <v/>
      </c>
      <c r="B14" s="35">
        <f>IF(A14="","",Categorie!$B6&amp;"")</f>
        <v/>
      </c>
      <c r="C14" s="43" t="n">
        <v>1850</v>
      </c>
      <c r="D14" s="44">
        <f>$C14</f>
        <v/>
      </c>
      <c r="E14" s="44">
        <f>$C14</f>
        <v/>
      </c>
      <c r="F14" s="44">
        <f>$C14</f>
        <v/>
      </c>
      <c r="G14" s="44">
        <f>$C14</f>
        <v/>
      </c>
      <c r="H14" s="44">
        <f>$C14</f>
        <v/>
      </c>
      <c r="I14" s="44">
        <f>$C14</f>
        <v/>
      </c>
      <c r="J14" s="44">
        <f>$C14</f>
        <v/>
      </c>
      <c r="K14" s="44">
        <f>$C14</f>
        <v/>
      </c>
      <c r="L14" s="44">
        <f>$C14</f>
        <v/>
      </c>
      <c r="M14" s="44">
        <f>$C14</f>
        <v/>
      </c>
      <c r="N14" s="44">
        <f>$C14</f>
        <v/>
      </c>
      <c r="O14" s="44">
        <f>$C14</f>
        <v/>
      </c>
      <c r="P14" s="45">
        <f>SUM(D14:O14)</f>
        <v/>
      </c>
    </row>
    <row r="15">
      <c r="A15" s="42">
        <f>IF(Categorie!$A7="","",Categorie!$A7)</f>
        <v/>
      </c>
      <c r="B15" s="35">
        <f>IF(A15="","",Categorie!$B7&amp;"")</f>
        <v/>
      </c>
      <c r="C15" s="43" t="n">
        <v>1480</v>
      </c>
      <c r="D15" s="44">
        <f>$C15</f>
        <v/>
      </c>
      <c r="E15" s="44">
        <f>$C15</f>
        <v/>
      </c>
      <c r="F15" s="44">
        <f>$C15</f>
        <v/>
      </c>
      <c r="G15" s="44">
        <f>$C15</f>
        <v/>
      </c>
      <c r="H15" s="44">
        <f>$C15</f>
        <v/>
      </c>
      <c r="I15" s="44">
        <f>$C15</f>
        <v/>
      </c>
      <c r="J15" s="44">
        <f>$C15</f>
        <v/>
      </c>
      <c r="K15" s="44">
        <f>$C15</f>
        <v/>
      </c>
      <c r="L15" s="44">
        <f>$C15</f>
        <v/>
      </c>
      <c r="M15" s="44">
        <f>$C15</f>
        <v/>
      </c>
      <c r="N15" s="44">
        <f>$C15</f>
        <v/>
      </c>
      <c r="O15" s="44">
        <f>$C15</f>
        <v/>
      </c>
      <c r="P15" s="45">
        <f>SUM(D15:O15)</f>
        <v/>
      </c>
    </row>
    <row r="16">
      <c r="A16" s="42">
        <f>IF(Categorie!$A8="","",Categorie!$A8)</f>
        <v/>
      </c>
      <c r="B16" s="35">
        <f>IF(A16="","",Categorie!$B8&amp;"")</f>
        <v/>
      </c>
      <c r="C16" s="43" t="n"/>
      <c r="D16" s="44">
        <f>$C16</f>
        <v/>
      </c>
      <c r="E16" s="44">
        <f>$C16</f>
        <v/>
      </c>
      <c r="F16" s="44">
        <f>$C16</f>
        <v/>
      </c>
      <c r="G16" s="44">
        <f>$C16</f>
        <v/>
      </c>
      <c r="H16" s="44">
        <f>$C16</f>
        <v/>
      </c>
      <c r="I16" s="44">
        <f>$C16</f>
        <v/>
      </c>
      <c r="J16" s="44">
        <f>$C16</f>
        <v/>
      </c>
      <c r="K16" s="44">
        <f>$C16</f>
        <v/>
      </c>
      <c r="L16" s="44">
        <f>$C16</f>
        <v/>
      </c>
      <c r="M16" s="44">
        <f>$C16</f>
        <v/>
      </c>
      <c r="N16" s="44">
        <f>$C16</f>
        <v/>
      </c>
      <c r="O16" s="44" t="n">
        <v>3200</v>
      </c>
      <c r="P16" s="45">
        <f>SUM(D16:O16)</f>
        <v/>
      </c>
    </row>
    <row r="17">
      <c r="A17" s="42">
        <f>IF(Categorie!$A9="","",Categorie!$A9)</f>
        <v/>
      </c>
      <c r="B17" s="35">
        <f>IF(A17="","",Categorie!$B9&amp;"")</f>
        <v/>
      </c>
      <c r="C17" s="43" t="n">
        <v>145</v>
      </c>
      <c r="D17" s="44">
        <f>$C17</f>
        <v/>
      </c>
      <c r="E17" s="44">
        <f>$C17</f>
        <v/>
      </c>
      <c r="F17" s="44">
        <f>$C17</f>
        <v/>
      </c>
      <c r="G17" s="44">
        <f>$C17</f>
        <v/>
      </c>
      <c r="H17" s="44">
        <f>$C17</f>
        <v/>
      </c>
      <c r="I17" s="44">
        <f>$C17</f>
        <v/>
      </c>
      <c r="J17" s="44">
        <f>$C17</f>
        <v/>
      </c>
      <c r="K17" s="44">
        <f>$C17</f>
        <v/>
      </c>
      <c r="L17" s="44">
        <f>$C17</f>
        <v/>
      </c>
      <c r="M17" s="44">
        <f>$C17</f>
        <v/>
      </c>
      <c r="N17" s="44">
        <f>$C17</f>
        <v/>
      </c>
      <c r="O17" s="44">
        <f>$C17</f>
        <v/>
      </c>
      <c r="P17" s="45">
        <f>SUM(D17:O17)</f>
        <v/>
      </c>
    </row>
    <row r="18">
      <c r="A18" s="42">
        <f>IF(Categorie!$A10="","",Categorie!$A10)</f>
        <v/>
      </c>
      <c r="B18" s="35">
        <f>IF(A18="","",Categorie!$B10&amp;"")</f>
        <v/>
      </c>
      <c r="C18" s="43" t="n"/>
      <c r="D18" s="44">
        <f>$C18</f>
        <v/>
      </c>
      <c r="E18" s="44">
        <f>$C18</f>
        <v/>
      </c>
      <c r="F18" s="44">
        <f>$C18</f>
        <v/>
      </c>
      <c r="G18" s="44">
        <f>$C18</f>
        <v/>
      </c>
      <c r="H18" s="44">
        <f>$C18</f>
        <v/>
      </c>
      <c r="I18" s="44">
        <f>$C18</f>
        <v/>
      </c>
      <c r="J18" s="44">
        <f>$C18</f>
        <v/>
      </c>
      <c r="K18" s="44">
        <f>$C18</f>
        <v/>
      </c>
      <c r="L18" s="44">
        <f>$C18</f>
        <v/>
      </c>
      <c r="M18" s="44">
        <f>$C18</f>
        <v/>
      </c>
      <c r="N18" s="44">
        <f>$C18</f>
        <v/>
      </c>
      <c r="O18" s="44">
        <f>$C18</f>
        <v/>
      </c>
      <c r="P18" s="45">
        <f>SUM(D18:O18)</f>
        <v/>
      </c>
    </row>
    <row r="19">
      <c r="A19" s="42">
        <f>IF(Categorie!$A11="","",Categorie!$A11)</f>
        <v/>
      </c>
      <c r="B19" s="35">
        <f>IF(A19="","",Categorie!$B11&amp;"")</f>
        <v/>
      </c>
      <c r="C19" s="43" t="n"/>
      <c r="D19" s="44">
        <f>$C19</f>
        <v/>
      </c>
      <c r="E19" s="44">
        <f>$C19</f>
        <v/>
      </c>
      <c r="F19" s="44">
        <f>$C19</f>
        <v/>
      </c>
      <c r="G19" s="44">
        <f>$C19</f>
        <v/>
      </c>
      <c r="H19" s="44">
        <f>$C19</f>
        <v/>
      </c>
      <c r="I19" s="44">
        <f>$C19</f>
        <v/>
      </c>
      <c r="J19" s="44" t="n">
        <v>350</v>
      </c>
      <c r="K19" s="44">
        <f>$C19</f>
        <v/>
      </c>
      <c r="L19" s="44">
        <f>$C19</f>
        <v/>
      </c>
      <c r="M19" s="44">
        <f>$C19</f>
        <v/>
      </c>
      <c r="N19" s="44">
        <f>$C19</f>
        <v/>
      </c>
      <c r="O19" s="44">
        <f>$C19</f>
        <v/>
      </c>
      <c r="P19" s="45">
        <f>SUM(D19:O19)</f>
        <v/>
      </c>
    </row>
    <row r="20">
      <c r="A20" s="42">
        <f>IF(Categorie!$A12="","",Categorie!$A12)</f>
        <v/>
      </c>
      <c r="B20" s="35">
        <f>IF(A20="","",Categorie!$B12&amp;"")</f>
        <v/>
      </c>
      <c r="C20" s="43" t="n">
        <v>680</v>
      </c>
      <c r="D20" s="44">
        <f>$C20</f>
        <v/>
      </c>
      <c r="E20" s="44">
        <f>$C20</f>
        <v/>
      </c>
      <c r="F20" s="44">
        <f>$C20</f>
        <v/>
      </c>
      <c r="G20" s="44">
        <f>$C20</f>
        <v/>
      </c>
      <c r="H20" s="44">
        <f>$C20</f>
        <v/>
      </c>
      <c r="I20" s="44">
        <f>$C20</f>
        <v/>
      </c>
      <c r="J20" s="44">
        <f>$C20</f>
        <v/>
      </c>
      <c r="K20" s="44">
        <f>$C20</f>
        <v/>
      </c>
      <c r="L20" s="44">
        <f>$C20</f>
        <v/>
      </c>
      <c r="M20" s="44">
        <f>$C20</f>
        <v/>
      </c>
      <c r="N20" s="44">
        <f>$C20</f>
        <v/>
      </c>
      <c r="O20" s="44">
        <f>$C20</f>
        <v/>
      </c>
      <c r="P20" s="45">
        <f>SUM(D20:O20)</f>
        <v/>
      </c>
    </row>
    <row r="21">
      <c r="A21" s="42">
        <f>IF(Categorie!$A13="","",Categorie!$A13)</f>
        <v/>
      </c>
      <c r="B21" s="35">
        <f>IF(A21="","",Categorie!$B13&amp;"")</f>
        <v/>
      </c>
      <c r="C21" s="43" t="n"/>
      <c r="D21" s="44" t="n">
        <v>270</v>
      </c>
      <c r="E21" s="44">
        <f>$C21</f>
        <v/>
      </c>
      <c r="F21" s="44">
        <f>$C21</f>
        <v/>
      </c>
      <c r="G21" s="44" t="n">
        <v>270</v>
      </c>
      <c r="H21" s="44">
        <f>$C21</f>
        <v/>
      </c>
      <c r="I21" s="44">
        <f>$C21</f>
        <v/>
      </c>
      <c r="J21" s="44" t="n">
        <v>270</v>
      </c>
      <c r="K21" s="44">
        <f>$C21</f>
        <v/>
      </c>
      <c r="L21" s="44">
        <f>$C21</f>
        <v/>
      </c>
      <c r="M21" s="44" t="n">
        <v>270</v>
      </c>
      <c r="N21" s="44">
        <f>$C21</f>
        <v/>
      </c>
      <c r="O21" s="44">
        <f>$C21</f>
        <v/>
      </c>
      <c r="P21" s="45">
        <f>SUM(D21:O21)</f>
        <v/>
      </c>
    </row>
    <row r="22">
      <c r="A22" s="42">
        <f>IF(Categorie!$A14="","",Categorie!$A14)</f>
        <v/>
      </c>
      <c r="B22" s="35">
        <f>IF(A22="","",Categorie!$B14&amp;"")</f>
        <v/>
      </c>
      <c r="C22" s="43" t="n">
        <v>75</v>
      </c>
      <c r="D22" s="44">
        <f>$C22</f>
        <v/>
      </c>
      <c r="E22" s="44">
        <f>$C22</f>
        <v/>
      </c>
      <c r="F22" s="44">
        <f>$C22</f>
        <v/>
      </c>
      <c r="G22" s="44">
        <f>$C22</f>
        <v/>
      </c>
      <c r="H22" s="44">
        <f>$C22</f>
        <v/>
      </c>
      <c r="I22" s="44">
        <f>$C22</f>
        <v/>
      </c>
      <c r="J22" s="44">
        <f>$C22</f>
        <v/>
      </c>
      <c r="K22" s="44">
        <f>$C22</f>
        <v/>
      </c>
      <c r="L22" s="44">
        <f>$C22</f>
        <v/>
      </c>
      <c r="M22" s="44">
        <f>$C22</f>
        <v/>
      </c>
      <c r="N22" s="44">
        <f>$C22</f>
        <v/>
      </c>
      <c r="O22" s="44">
        <f>$C22</f>
        <v/>
      </c>
      <c r="P22" s="45">
        <f>SUM(D22:O22)</f>
        <v/>
      </c>
    </row>
    <row r="23">
      <c r="A23" s="42">
        <f>IF(Categorie!$A15="","",Categorie!$A15)</f>
        <v/>
      </c>
      <c r="B23" s="35">
        <f>IF(A23="","",Categorie!$B15&amp;"")</f>
        <v/>
      </c>
      <c r="C23" s="43" t="n"/>
      <c r="D23" s="44" t="n">
        <v>160</v>
      </c>
      <c r="E23" s="44" t="n">
        <v>150</v>
      </c>
      <c r="F23" s="44" t="n">
        <v>120</v>
      </c>
      <c r="G23" s="44" t="n">
        <v>80</v>
      </c>
      <c r="H23" s="44" t="n">
        <v>45</v>
      </c>
      <c r="I23" s="44" t="n">
        <v>30</v>
      </c>
      <c r="J23" s="44" t="n">
        <v>25</v>
      </c>
      <c r="K23" s="44" t="n">
        <v>25</v>
      </c>
      <c r="L23" s="44" t="n">
        <v>30</v>
      </c>
      <c r="M23" s="44" t="n">
        <v>60</v>
      </c>
      <c r="N23" s="44" t="n">
        <v>110</v>
      </c>
      <c r="O23" s="44" t="n">
        <v>160</v>
      </c>
      <c r="P23" s="45">
        <f>SUM(D23:O23)</f>
        <v/>
      </c>
    </row>
    <row r="24">
      <c r="A24" s="42">
        <f>IF(Categorie!$A16="","",Categorie!$A16)</f>
        <v/>
      </c>
      <c r="B24" s="35">
        <f>IF(A24="","",Categorie!$B16&amp;"")</f>
        <v/>
      </c>
      <c r="C24" s="43" t="n"/>
      <c r="D24" s="44">
        <f>$C24</f>
        <v/>
      </c>
      <c r="E24" s="44" t="n">
        <v>95</v>
      </c>
      <c r="F24" s="44">
        <f>$C24</f>
        <v/>
      </c>
      <c r="G24" s="44">
        <f>$C24</f>
        <v/>
      </c>
      <c r="H24" s="44" t="n">
        <v>95</v>
      </c>
      <c r="I24" s="44">
        <f>$C24</f>
        <v/>
      </c>
      <c r="J24" s="44">
        <f>$C24</f>
        <v/>
      </c>
      <c r="K24" s="44" t="n">
        <v>95</v>
      </c>
      <c r="L24" s="44">
        <f>$C24</f>
        <v/>
      </c>
      <c r="M24" s="44">
        <f>$C24</f>
        <v/>
      </c>
      <c r="N24" s="44" t="n">
        <v>95</v>
      </c>
      <c r="O24" s="44">
        <f>$C24</f>
        <v/>
      </c>
      <c r="P24" s="45">
        <f>SUM(D24:O24)</f>
        <v/>
      </c>
    </row>
    <row r="25">
      <c r="A25" s="42">
        <f>IF(Categorie!$A17="","",Categorie!$A17)</f>
        <v/>
      </c>
      <c r="B25" s="35">
        <f>IF(A25="","",Categorie!$B17&amp;"")</f>
        <v/>
      </c>
      <c r="C25" s="43" t="n"/>
      <c r="D25" s="44">
        <f>$C25</f>
        <v/>
      </c>
      <c r="E25" s="44">
        <f>$C25</f>
        <v/>
      </c>
      <c r="F25" s="44">
        <f>$C25</f>
        <v/>
      </c>
      <c r="G25" s="44" t="n">
        <v>110</v>
      </c>
      <c r="H25" s="44">
        <f>$C25</f>
        <v/>
      </c>
      <c r="I25" s="44">
        <f>$C25</f>
        <v/>
      </c>
      <c r="J25" s="44" t="n">
        <v>110</v>
      </c>
      <c r="K25" s="44">
        <f>$C25</f>
        <v/>
      </c>
      <c r="L25" s="44">
        <f>$C25</f>
        <v/>
      </c>
      <c r="M25" s="44">
        <f>$C25</f>
        <v/>
      </c>
      <c r="N25" s="44" t="n">
        <v>110</v>
      </c>
      <c r="O25" s="44">
        <f>$C25</f>
        <v/>
      </c>
      <c r="P25" s="45">
        <f>SUM(D25:O25)</f>
        <v/>
      </c>
    </row>
    <row r="26">
      <c r="A26" s="42">
        <f>IF(Categorie!$A18="","",Categorie!$A18)</f>
        <v/>
      </c>
      <c r="B26" s="35">
        <f>IF(A26="","",Categorie!$B18&amp;"")</f>
        <v/>
      </c>
      <c r="C26" s="43" t="n">
        <v>46</v>
      </c>
      <c r="D26" s="44">
        <f>$C26</f>
        <v/>
      </c>
      <c r="E26" s="44">
        <f>$C26</f>
        <v/>
      </c>
      <c r="F26" s="44">
        <f>$C26</f>
        <v/>
      </c>
      <c r="G26" s="44">
        <f>$C26</f>
        <v/>
      </c>
      <c r="H26" s="44">
        <f>$C26</f>
        <v/>
      </c>
      <c r="I26" s="44">
        <f>$C26</f>
        <v/>
      </c>
      <c r="J26" s="44">
        <f>$C26</f>
        <v/>
      </c>
      <c r="K26" s="44">
        <f>$C26</f>
        <v/>
      </c>
      <c r="L26" s="44">
        <f>$C26</f>
        <v/>
      </c>
      <c r="M26" s="44">
        <f>$C26</f>
        <v/>
      </c>
      <c r="N26" s="44">
        <f>$C26</f>
        <v/>
      </c>
      <c r="O26" s="44">
        <f>$C26</f>
        <v/>
      </c>
      <c r="P26" s="45">
        <f>SUM(D26:O26)</f>
        <v/>
      </c>
    </row>
    <row r="27">
      <c r="A27" s="42">
        <f>IF(Categorie!$A19="","",Categorie!$A19)</f>
        <v/>
      </c>
      <c r="B27" s="35">
        <f>IF(A27="","",Categorie!$B19&amp;"")</f>
        <v/>
      </c>
      <c r="C27" s="43" t="n"/>
      <c r="D27" s="44">
        <f>$C27</f>
        <v/>
      </c>
      <c r="E27" s="44">
        <f>$C27</f>
        <v/>
      </c>
      <c r="F27" s="44" t="n">
        <v>480</v>
      </c>
      <c r="G27" s="44">
        <f>$C27</f>
        <v/>
      </c>
      <c r="H27" s="44">
        <f>$C27</f>
        <v/>
      </c>
      <c r="I27" s="44" t="n">
        <v>170</v>
      </c>
      <c r="J27" s="44">
        <f>$C27</f>
        <v/>
      </c>
      <c r="K27" s="44">
        <f>$C27</f>
        <v/>
      </c>
      <c r="L27" s="44">
        <f>$C27</f>
        <v/>
      </c>
      <c r="M27" s="44">
        <f>$C27</f>
        <v/>
      </c>
      <c r="N27" s="44">
        <f>$C27</f>
        <v/>
      </c>
      <c r="O27" s="44">
        <f>$C27</f>
        <v/>
      </c>
      <c r="P27" s="45">
        <f>SUM(D27:O27)</f>
        <v/>
      </c>
    </row>
    <row r="28">
      <c r="A28" s="42">
        <f>IF(Categorie!$A20="","",Categorie!$A20)</f>
        <v/>
      </c>
      <c r="B28" s="35">
        <f>IF(A28="","",Categorie!$B20&amp;"")</f>
        <v/>
      </c>
      <c r="C28" s="43" t="n"/>
      <c r="D28" s="44">
        <f>$C28</f>
        <v/>
      </c>
      <c r="E28" s="44">
        <f>$C28</f>
        <v/>
      </c>
      <c r="F28" s="44">
        <f>$C28</f>
        <v/>
      </c>
      <c r="G28" s="44" t="n">
        <v>235</v>
      </c>
      <c r="H28" s="44">
        <f>$C28</f>
        <v/>
      </c>
      <c r="I28" s="44">
        <f>$C28</f>
        <v/>
      </c>
      <c r="J28" s="44">
        <f>$C28</f>
        <v/>
      </c>
      <c r="K28" s="44">
        <f>$C28</f>
        <v/>
      </c>
      <c r="L28" s="44">
        <f>$C28</f>
        <v/>
      </c>
      <c r="M28" s="44">
        <f>$C28</f>
        <v/>
      </c>
      <c r="N28" s="44">
        <f>$C28</f>
        <v/>
      </c>
      <c r="O28" s="44">
        <f>$C28</f>
        <v/>
      </c>
      <c r="P28" s="45">
        <f>SUM(D28:O28)</f>
        <v/>
      </c>
    </row>
    <row r="29">
      <c r="A29" s="42">
        <f>IF(Categorie!$A21="","",Categorie!$A21)</f>
        <v/>
      </c>
      <c r="B29" s="35">
        <f>IF(A29="","",Categorie!$B21&amp;"")</f>
        <v/>
      </c>
      <c r="C29" s="43" t="n">
        <v>25</v>
      </c>
      <c r="D29" s="44">
        <f>$C29</f>
        <v/>
      </c>
      <c r="E29" s="44">
        <f>$C29</f>
        <v/>
      </c>
      <c r="F29" s="44">
        <f>$C29</f>
        <v/>
      </c>
      <c r="G29" s="44">
        <f>$C29</f>
        <v/>
      </c>
      <c r="H29" s="44">
        <f>$C29</f>
        <v/>
      </c>
      <c r="I29" s="44">
        <f>$C29</f>
        <v/>
      </c>
      <c r="J29" s="44">
        <f>$C29</f>
        <v/>
      </c>
      <c r="K29" s="44">
        <f>$C29</f>
        <v/>
      </c>
      <c r="L29" s="44" t="n">
        <v>315</v>
      </c>
      <c r="M29" s="44">
        <f>$C29</f>
        <v/>
      </c>
      <c r="N29" s="44">
        <f>$C29</f>
        <v/>
      </c>
      <c r="O29" s="44">
        <f>$C29</f>
        <v/>
      </c>
      <c r="P29" s="45">
        <f>SUM(D29:O29)</f>
        <v/>
      </c>
    </row>
    <row r="30">
      <c r="A30" s="42">
        <f>IF(Categorie!$A22="","",Categorie!$A22)</f>
        <v/>
      </c>
      <c r="B30" s="35">
        <f>IF(A30="","",Categorie!$B22&amp;"")</f>
        <v/>
      </c>
      <c r="C30" s="43" t="n">
        <v>310</v>
      </c>
      <c r="D30" s="44">
        <f>$C30</f>
        <v/>
      </c>
      <c r="E30" s="44">
        <f>$C30</f>
        <v/>
      </c>
      <c r="F30" s="44">
        <f>$C30</f>
        <v/>
      </c>
      <c r="G30" s="44">
        <f>$C30</f>
        <v/>
      </c>
      <c r="H30" s="44">
        <f>$C30</f>
        <v/>
      </c>
      <c r="I30" s="44">
        <f>$C30</f>
        <v/>
      </c>
      <c r="J30" s="44">
        <f>$C30</f>
        <v/>
      </c>
      <c r="K30" s="44">
        <f>$C30</f>
        <v/>
      </c>
      <c r="L30" s="44">
        <f>$C30</f>
        <v/>
      </c>
      <c r="M30" s="44">
        <f>$C30</f>
        <v/>
      </c>
      <c r="N30" s="44">
        <f>$C30</f>
        <v/>
      </c>
      <c r="O30" s="44">
        <f>$C30</f>
        <v/>
      </c>
      <c r="P30" s="45">
        <f>SUM(D30:O30)</f>
        <v/>
      </c>
    </row>
    <row r="31">
      <c r="A31" s="42">
        <f>IF(Categorie!$A23="","",Categorie!$A23)</f>
        <v/>
      </c>
      <c r="B31" s="35">
        <f>IF(A31="","",Categorie!$B23&amp;"")</f>
        <v/>
      </c>
      <c r="C31" s="43" t="n">
        <v>520</v>
      </c>
      <c r="D31" s="44">
        <f>$C31</f>
        <v/>
      </c>
      <c r="E31" s="44">
        <f>$C31</f>
        <v/>
      </c>
      <c r="F31" s="44">
        <f>$C31</f>
        <v/>
      </c>
      <c r="G31" s="44">
        <f>$C31</f>
        <v/>
      </c>
      <c r="H31" s="44">
        <f>$C31</f>
        <v/>
      </c>
      <c r="I31" s="44">
        <f>$C31</f>
        <v/>
      </c>
      <c r="J31" s="44">
        <f>$C31</f>
        <v/>
      </c>
      <c r="K31" s="44">
        <f>$C31</f>
        <v/>
      </c>
      <c r="L31" s="44">
        <f>$C31</f>
        <v/>
      </c>
      <c r="M31" s="44">
        <f>$C31</f>
        <v/>
      </c>
      <c r="N31" s="44">
        <f>$C31</f>
        <v/>
      </c>
      <c r="O31" s="44" t="n">
        <v>620</v>
      </c>
      <c r="P31" s="45">
        <f>SUM(D31:O31)</f>
        <v/>
      </c>
    </row>
    <row r="32">
      <c r="A32" s="42">
        <f>IF(Categorie!$A24="","",Categorie!$A24)</f>
        <v/>
      </c>
      <c r="B32" s="35">
        <f>IF(A32="","",Categorie!$B24&amp;"")</f>
        <v/>
      </c>
      <c r="C32" s="43" t="n">
        <v>170</v>
      </c>
      <c r="D32" s="44">
        <f>$C32</f>
        <v/>
      </c>
      <c r="E32" s="44">
        <f>$C32</f>
        <v/>
      </c>
      <c r="F32" s="44">
        <f>$C32</f>
        <v/>
      </c>
      <c r="G32" s="44">
        <f>$C32</f>
        <v/>
      </c>
      <c r="H32" s="44">
        <f>$C32</f>
        <v/>
      </c>
      <c r="I32" s="44">
        <f>$C32</f>
        <v/>
      </c>
      <c r="J32" s="44">
        <f>$C32</f>
        <v/>
      </c>
      <c r="K32" s="44" t="n">
        <v>220</v>
      </c>
      <c r="L32" s="44">
        <f>$C32</f>
        <v/>
      </c>
      <c r="M32" s="44">
        <f>$C32</f>
        <v/>
      </c>
      <c r="N32" s="44">
        <f>$C32</f>
        <v/>
      </c>
      <c r="O32" s="44">
        <f>$C32</f>
        <v/>
      </c>
      <c r="P32" s="45">
        <f>SUM(D32:O32)</f>
        <v/>
      </c>
    </row>
    <row r="33">
      <c r="A33" s="42">
        <f>IF(Categorie!$A25="","",Categorie!$A25)</f>
        <v/>
      </c>
      <c r="B33" s="35">
        <f>IF(A33="","",Categorie!$B25&amp;"")</f>
        <v/>
      </c>
      <c r="C33" s="43" t="n">
        <v>35</v>
      </c>
      <c r="D33" s="44">
        <f>$C33</f>
        <v/>
      </c>
      <c r="E33" s="44">
        <f>$C33</f>
        <v/>
      </c>
      <c r="F33" s="44">
        <f>$C33</f>
        <v/>
      </c>
      <c r="G33" s="44">
        <f>$C33</f>
        <v/>
      </c>
      <c r="H33" s="44">
        <f>$C33</f>
        <v/>
      </c>
      <c r="I33" s="44">
        <f>$C33</f>
        <v/>
      </c>
      <c r="J33" s="44">
        <f>$C33</f>
        <v/>
      </c>
      <c r="K33" s="44">
        <f>$C33</f>
        <v/>
      </c>
      <c r="L33" s="44">
        <f>$C33</f>
        <v/>
      </c>
      <c r="M33" s="44">
        <f>$C33</f>
        <v/>
      </c>
      <c r="N33" s="44">
        <f>$C33</f>
        <v/>
      </c>
      <c r="O33" s="44">
        <f>$C33</f>
        <v/>
      </c>
      <c r="P33" s="45">
        <f>SUM(D33:O33)</f>
        <v/>
      </c>
    </row>
    <row r="34">
      <c r="A34" s="42">
        <f>IF(Categorie!$A26="","",Categorie!$A26)</f>
        <v/>
      </c>
      <c r="B34" s="35">
        <f>IF(A34="","",Categorie!$B26&amp;"")</f>
        <v/>
      </c>
      <c r="C34" s="43" t="n">
        <v>50</v>
      </c>
      <c r="D34" s="44">
        <f>$C34</f>
        <v/>
      </c>
      <c r="E34" s="44">
        <f>$C34</f>
        <v/>
      </c>
      <c r="F34" s="44">
        <f>$C34</f>
        <v/>
      </c>
      <c r="G34" s="44">
        <f>$C34</f>
        <v/>
      </c>
      <c r="H34" s="44">
        <f>$C34</f>
        <v/>
      </c>
      <c r="I34" s="44">
        <f>$C34</f>
        <v/>
      </c>
      <c r="J34" s="44">
        <f>$C34</f>
        <v/>
      </c>
      <c r="K34" s="44">
        <f>$C34</f>
        <v/>
      </c>
      <c r="L34" s="44">
        <f>$C34</f>
        <v/>
      </c>
      <c r="M34" s="44">
        <f>$C34</f>
        <v/>
      </c>
      <c r="N34" s="44">
        <f>$C34</f>
        <v/>
      </c>
      <c r="O34" s="44">
        <f>$C34</f>
        <v/>
      </c>
      <c r="P34" s="45">
        <f>SUM(D34:O34)</f>
        <v/>
      </c>
    </row>
    <row r="35">
      <c r="A35" s="42">
        <f>IF(Categorie!$A27="","",Categorie!$A27)</f>
        <v/>
      </c>
      <c r="B35" s="35">
        <f>IF(A35="","",Categorie!$B27&amp;"")</f>
        <v/>
      </c>
      <c r="C35" s="43" t="n">
        <v>80</v>
      </c>
      <c r="D35" s="44">
        <f>$C35</f>
        <v/>
      </c>
      <c r="E35" s="44">
        <f>$C35</f>
        <v/>
      </c>
      <c r="F35" s="44">
        <f>$C35</f>
        <v/>
      </c>
      <c r="G35" s="44">
        <f>$C35</f>
        <v/>
      </c>
      <c r="H35" s="44">
        <f>$C35</f>
        <v/>
      </c>
      <c r="I35" s="44">
        <f>$C35</f>
        <v/>
      </c>
      <c r="J35" s="44" t="n">
        <v>320</v>
      </c>
      <c r="K35" s="44" t="n">
        <v>0</v>
      </c>
      <c r="L35" s="44" t="n">
        <v>420</v>
      </c>
      <c r="M35" s="44">
        <f>$C35</f>
        <v/>
      </c>
      <c r="N35" s="44">
        <f>$C35</f>
        <v/>
      </c>
      <c r="O35" s="44">
        <f>$C35</f>
        <v/>
      </c>
      <c r="P35" s="45">
        <f>SUM(D35:O35)</f>
        <v/>
      </c>
    </row>
    <row r="36">
      <c r="A36" s="42">
        <f>IF(Categorie!$A28="","",Categorie!$A28)</f>
        <v/>
      </c>
      <c r="B36" s="35">
        <f>IF(A36="","",Categorie!$B28&amp;"")</f>
        <v/>
      </c>
      <c r="C36" s="43" t="n">
        <v>30</v>
      </c>
      <c r="D36" s="44">
        <f>$C36</f>
        <v/>
      </c>
      <c r="E36" s="44">
        <f>$C36</f>
        <v/>
      </c>
      <c r="F36" s="44">
        <f>$C36</f>
        <v/>
      </c>
      <c r="G36" s="44">
        <f>$C36</f>
        <v/>
      </c>
      <c r="H36" s="44">
        <f>$C36</f>
        <v/>
      </c>
      <c r="I36" s="44">
        <f>$C36</f>
        <v/>
      </c>
      <c r="J36" s="44">
        <f>$C36</f>
        <v/>
      </c>
      <c r="K36" s="44">
        <f>$C36</f>
        <v/>
      </c>
      <c r="L36" s="44">
        <f>$C36</f>
        <v/>
      </c>
      <c r="M36" s="44">
        <f>$C36</f>
        <v/>
      </c>
      <c r="N36" s="44">
        <f>$C36</f>
        <v/>
      </c>
      <c r="O36" s="44">
        <f>$C36</f>
        <v/>
      </c>
      <c r="P36" s="45">
        <f>SUM(D36:O36)</f>
        <v/>
      </c>
    </row>
    <row r="37">
      <c r="A37" s="42">
        <f>IF(Categorie!$A29="","",Categorie!$A29)</f>
        <v/>
      </c>
      <c r="B37" s="35">
        <f>IF(A37="","",Categorie!$B29&amp;"")</f>
        <v/>
      </c>
      <c r="C37" s="43" t="n">
        <v>60</v>
      </c>
      <c r="D37" s="44">
        <f>$C37</f>
        <v/>
      </c>
      <c r="E37" s="44">
        <f>$C37</f>
        <v/>
      </c>
      <c r="F37" s="44">
        <f>$C37</f>
        <v/>
      </c>
      <c r="G37" s="44">
        <f>$C37</f>
        <v/>
      </c>
      <c r="H37" s="44">
        <f>$C37</f>
        <v/>
      </c>
      <c r="I37" s="44">
        <f>$C37</f>
        <v/>
      </c>
      <c r="J37" s="44">
        <f>$C37</f>
        <v/>
      </c>
      <c r="K37" s="44">
        <f>$C37</f>
        <v/>
      </c>
      <c r="L37" s="44">
        <f>$C37</f>
        <v/>
      </c>
      <c r="M37" s="44">
        <f>$C37</f>
        <v/>
      </c>
      <c r="N37" s="44">
        <f>$C37</f>
        <v/>
      </c>
      <c r="O37" s="44">
        <f>$C37</f>
        <v/>
      </c>
      <c r="P37" s="45">
        <f>SUM(D37:O37)</f>
        <v/>
      </c>
    </row>
    <row r="38">
      <c r="A38" s="42">
        <f>IF(Categorie!$A30="","",Categorie!$A30)</f>
        <v/>
      </c>
      <c r="B38" s="35">
        <f>IF(A38="","",Categorie!$B30&amp;"")</f>
        <v/>
      </c>
      <c r="C38" s="43" t="n">
        <v>150</v>
      </c>
      <c r="D38" s="44">
        <f>$C38</f>
        <v/>
      </c>
      <c r="E38" s="44">
        <f>$C38</f>
        <v/>
      </c>
      <c r="F38" s="44">
        <f>$C38</f>
        <v/>
      </c>
      <c r="G38" s="44">
        <f>$C38</f>
        <v/>
      </c>
      <c r="H38" s="44">
        <f>$C38</f>
        <v/>
      </c>
      <c r="I38" s="44">
        <f>$C38</f>
        <v/>
      </c>
      <c r="J38" s="44">
        <f>$C38</f>
        <v/>
      </c>
      <c r="K38" s="44">
        <f>$C38</f>
        <v/>
      </c>
      <c r="L38" s="44">
        <f>$C38</f>
        <v/>
      </c>
      <c r="M38" s="44">
        <f>$C38</f>
        <v/>
      </c>
      <c r="N38" s="44">
        <f>$C38</f>
        <v/>
      </c>
      <c r="O38" s="44" t="n">
        <v>220</v>
      </c>
      <c r="P38" s="45">
        <f>SUM(D38:O38)</f>
        <v/>
      </c>
    </row>
    <row r="39">
      <c r="A39" s="42">
        <f>IF(Categorie!$A31="","",Categorie!$A31)</f>
        <v/>
      </c>
      <c r="B39" s="35">
        <f>IF(A39="","",Categorie!$B31&amp;"")</f>
        <v/>
      </c>
      <c r="C39" s="43" t="n">
        <v>30</v>
      </c>
      <c r="D39" s="44">
        <f>$C39</f>
        <v/>
      </c>
      <c r="E39" s="44">
        <f>$C39</f>
        <v/>
      </c>
      <c r="F39" s="44">
        <f>$C39</f>
        <v/>
      </c>
      <c r="G39" s="44">
        <f>$C39</f>
        <v/>
      </c>
      <c r="H39" s="44">
        <f>$C39</f>
        <v/>
      </c>
      <c r="I39" s="44">
        <f>$C39</f>
        <v/>
      </c>
      <c r="J39" s="44">
        <f>$C39</f>
        <v/>
      </c>
      <c r="K39" s="44">
        <f>$C39</f>
        <v/>
      </c>
      <c r="L39" s="44">
        <f>$C39</f>
        <v/>
      </c>
      <c r="M39" s="44">
        <f>$C39</f>
        <v/>
      </c>
      <c r="N39" s="44">
        <f>$C39</f>
        <v/>
      </c>
      <c r="O39" s="44" t="n">
        <v>300</v>
      </c>
      <c r="P39" s="45">
        <f>SUM(D39:O39)</f>
        <v/>
      </c>
    </row>
    <row r="40">
      <c r="A40" s="42">
        <f>IF(Categorie!$A32="","",Categorie!$A32)</f>
        <v/>
      </c>
      <c r="B40" s="35">
        <f>IF(A40="","",Categorie!$B32&amp;"")</f>
        <v/>
      </c>
      <c r="C40" s="43" t="n"/>
      <c r="D40" s="44">
        <f>$C40</f>
        <v/>
      </c>
      <c r="E40" s="44">
        <f>$C40</f>
        <v/>
      </c>
      <c r="F40" s="44">
        <f>$C40</f>
        <v/>
      </c>
      <c r="G40" s="44" t="n">
        <v>300</v>
      </c>
      <c r="H40" s="44">
        <f>$C40</f>
        <v/>
      </c>
      <c r="I40" s="44">
        <f>$C40</f>
        <v/>
      </c>
      <c r="J40" s="44" t="n">
        <v>400</v>
      </c>
      <c r="K40" s="44" t="n">
        <v>1100</v>
      </c>
      <c r="L40" s="44">
        <f>$C40</f>
        <v/>
      </c>
      <c r="M40" s="44">
        <f>$C40</f>
        <v/>
      </c>
      <c r="N40" s="44">
        <f>$C40</f>
        <v/>
      </c>
      <c r="O40" s="44">
        <f>$C40</f>
        <v/>
      </c>
      <c r="P40" s="45">
        <f>SUM(D40:O40)</f>
        <v/>
      </c>
    </row>
    <row r="41">
      <c r="A41" s="42">
        <f>IF(Categorie!$A33="","",Categorie!$A33)</f>
        <v/>
      </c>
      <c r="B41" s="35">
        <f>IF(A41="","",Categorie!$B33&amp;"")</f>
        <v/>
      </c>
      <c r="C41" s="43" t="n">
        <v>60</v>
      </c>
      <c r="D41" s="44">
        <f>$C41</f>
        <v/>
      </c>
      <c r="E41" s="44">
        <f>$C41</f>
        <v/>
      </c>
      <c r="F41" s="44">
        <f>$C41</f>
        <v/>
      </c>
      <c r="G41" s="44">
        <f>$C41</f>
        <v/>
      </c>
      <c r="H41" s="44">
        <f>$C41</f>
        <v/>
      </c>
      <c r="I41" s="44">
        <f>$C41</f>
        <v/>
      </c>
      <c r="J41" s="44">
        <f>$C41</f>
        <v/>
      </c>
      <c r="K41" s="44">
        <f>$C41</f>
        <v/>
      </c>
      <c r="L41" s="44">
        <f>$C41</f>
        <v/>
      </c>
      <c r="M41" s="44">
        <f>$C41</f>
        <v/>
      </c>
      <c r="N41" s="44">
        <f>$C41</f>
        <v/>
      </c>
      <c r="O41" s="44">
        <f>$C41</f>
        <v/>
      </c>
      <c r="P41" s="45">
        <f>SUM(D41:O41)</f>
        <v/>
      </c>
    </row>
    <row r="42">
      <c r="A42" s="42">
        <f>IF(Categorie!$A34="","",Categorie!$A34)</f>
        <v/>
      </c>
      <c r="B42" s="35">
        <f>IF(A42="","",Categorie!$B34&amp;"")</f>
        <v/>
      </c>
      <c r="C42" s="43" t="n">
        <v>150</v>
      </c>
      <c r="D42" s="44">
        <f>$C42</f>
        <v/>
      </c>
      <c r="E42" s="44">
        <f>$C42</f>
        <v/>
      </c>
      <c r="F42" s="44">
        <f>$C42</f>
        <v/>
      </c>
      <c r="G42" s="44">
        <f>$C42</f>
        <v/>
      </c>
      <c r="H42" s="44">
        <f>$C42</f>
        <v/>
      </c>
      <c r="I42" s="44">
        <f>$C42</f>
        <v/>
      </c>
      <c r="J42" s="44">
        <f>$C42</f>
        <v/>
      </c>
      <c r="K42" s="44">
        <f>$C42</f>
        <v/>
      </c>
      <c r="L42" s="44">
        <f>$C42</f>
        <v/>
      </c>
      <c r="M42" s="44">
        <f>$C42</f>
        <v/>
      </c>
      <c r="N42" s="44">
        <f>$C42</f>
        <v/>
      </c>
      <c r="O42" s="44">
        <f>$C42</f>
        <v/>
      </c>
      <c r="P42" s="45">
        <f>SUM(D42:O42)</f>
        <v/>
      </c>
    </row>
    <row r="43">
      <c r="A43" s="42">
        <f>IF(Categorie!$A35="","",Categorie!$A35)</f>
        <v/>
      </c>
      <c r="B43" s="35">
        <f>IF(A43="","",Categorie!$B35&amp;"")</f>
        <v/>
      </c>
      <c r="C43" s="43" t="n">
        <v>200</v>
      </c>
      <c r="D43" s="44">
        <f>$C43</f>
        <v/>
      </c>
      <c r="E43" s="44">
        <f>$C43</f>
        <v/>
      </c>
      <c r="F43" s="44">
        <f>$C43</f>
        <v/>
      </c>
      <c r="G43" s="44">
        <f>$C43</f>
        <v/>
      </c>
      <c r="H43" s="44">
        <f>$C43</f>
        <v/>
      </c>
      <c r="I43" s="44">
        <f>$C43</f>
        <v/>
      </c>
      <c r="J43" s="44">
        <f>$C43</f>
        <v/>
      </c>
      <c r="K43" s="44">
        <f>$C43</f>
        <v/>
      </c>
      <c r="L43" s="44">
        <f>$C43</f>
        <v/>
      </c>
      <c r="M43" s="44">
        <f>$C43</f>
        <v/>
      </c>
      <c r="N43" s="44">
        <f>$C43</f>
        <v/>
      </c>
      <c r="O43" s="44">
        <f>$C43</f>
        <v/>
      </c>
      <c r="P43" s="45">
        <f>SUM(D43:O43)</f>
        <v/>
      </c>
    </row>
    <row r="44">
      <c r="A44" s="42">
        <f>IF(Categorie!$A36="","",Categorie!$A36)</f>
        <v/>
      </c>
      <c r="B44" s="35">
        <f>IF(A44="","",Categorie!$B36&amp;"")</f>
        <v/>
      </c>
      <c r="C44" s="43" t="n">
        <v>100</v>
      </c>
      <c r="D44" s="44">
        <f>$C44</f>
        <v/>
      </c>
      <c r="E44" s="44">
        <f>$C44</f>
        <v/>
      </c>
      <c r="F44" s="44">
        <f>$C44</f>
        <v/>
      </c>
      <c r="G44" s="44">
        <f>$C44</f>
        <v/>
      </c>
      <c r="H44" s="44">
        <f>$C44</f>
        <v/>
      </c>
      <c r="I44" s="44">
        <f>$C44</f>
        <v/>
      </c>
      <c r="J44" s="44">
        <f>$C44</f>
        <v/>
      </c>
      <c r="K44" s="44">
        <f>$C44</f>
        <v/>
      </c>
      <c r="L44" s="44">
        <f>$C44</f>
        <v/>
      </c>
      <c r="M44" s="44">
        <f>$C44</f>
        <v/>
      </c>
      <c r="N44" s="44">
        <f>$C44</f>
        <v/>
      </c>
      <c r="O44" s="44">
        <f>$C44</f>
        <v/>
      </c>
      <c r="P44" s="45">
        <f>SUM(D44:O44)</f>
        <v/>
      </c>
    </row>
    <row r="45">
      <c r="A45" s="42">
        <f>IF(Categorie!$A37="","",Categorie!$A37)</f>
        <v/>
      </c>
      <c r="B45" s="35">
        <f>IF(A45="","",Categorie!$B37&amp;"")</f>
        <v/>
      </c>
      <c r="C45" s="43" t="n"/>
      <c r="D45" s="44">
        <f>$C45</f>
        <v/>
      </c>
      <c r="E45" s="44">
        <f>$C45</f>
        <v/>
      </c>
      <c r="F45" s="44">
        <f>$C45</f>
        <v/>
      </c>
      <c r="G45" s="44">
        <f>$C45</f>
        <v/>
      </c>
      <c r="H45" s="44">
        <f>$C45</f>
        <v/>
      </c>
      <c r="I45" s="44">
        <f>$C45</f>
        <v/>
      </c>
      <c r="J45" s="44">
        <f>$C45</f>
        <v/>
      </c>
      <c r="K45" s="44">
        <f>$C45</f>
        <v/>
      </c>
      <c r="L45" s="44">
        <f>$C45</f>
        <v/>
      </c>
      <c r="M45" s="44">
        <f>$C45</f>
        <v/>
      </c>
      <c r="N45" s="44">
        <f>$C45</f>
        <v/>
      </c>
      <c r="O45" s="44">
        <f>$C45</f>
        <v/>
      </c>
      <c r="P45" s="45">
        <f>SUM(D45:O45)</f>
        <v/>
      </c>
    </row>
    <row r="46">
      <c r="A46" s="42">
        <f>IF(Categorie!$A38="","",Categorie!$A38)</f>
        <v/>
      </c>
      <c r="B46" s="35">
        <f>IF(A46="","",Categorie!$B38&amp;"")</f>
        <v/>
      </c>
      <c r="C46" s="43" t="n"/>
      <c r="D46" s="44">
        <f>$C46</f>
        <v/>
      </c>
      <c r="E46" s="44">
        <f>$C46</f>
        <v/>
      </c>
      <c r="F46" s="44">
        <f>$C46</f>
        <v/>
      </c>
      <c r="G46" s="44">
        <f>$C46</f>
        <v/>
      </c>
      <c r="H46" s="44">
        <f>$C46</f>
        <v/>
      </c>
      <c r="I46" s="44">
        <f>$C46</f>
        <v/>
      </c>
      <c r="J46" s="44">
        <f>$C46</f>
        <v/>
      </c>
      <c r="K46" s="44">
        <f>$C46</f>
        <v/>
      </c>
      <c r="L46" s="44">
        <f>$C46</f>
        <v/>
      </c>
      <c r="M46" s="44">
        <f>$C46</f>
        <v/>
      </c>
      <c r="N46" s="44">
        <f>$C46</f>
        <v/>
      </c>
      <c r="O46" s="44">
        <f>$C46</f>
        <v/>
      </c>
      <c r="P46" s="45">
        <f>SUM(D46:O46)</f>
        <v/>
      </c>
    </row>
    <row r="47">
      <c r="A47" s="42">
        <f>IF(Categorie!$A39="","",Categorie!$A39)</f>
        <v/>
      </c>
      <c r="B47" s="35">
        <f>IF(A47="","",Categorie!$B39&amp;"")</f>
        <v/>
      </c>
      <c r="C47" s="43" t="n"/>
      <c r="D47" s="44">
        <f>$C47</f>
        <v/>
      </c>
      <c r="E47" s="44">
        <f>$C47</f>
        <v/>
      </c>
      <c r="F47" s="44">
        <f>$C47</f>
        <v/>
      </c>
      <c r="G47" s="44">
        <f>$C47</f>
        <v/>
      </c>
      <c r="H47" s="44">
        <f>$C47</f>
        <v/>
      </c>
      <c r="I47" s="44">
        <f>$C47</f>
        <v/>
      </c>
      <c r="J47" s="44">
        <f>$C47</f>
        <v/>
      </c>
      <c r="K47" s="44">
        <f>$C47</f>
        <v/>
      </c>
      <c r="L47" s="44">
        <f>$C47</f>
        <v/>
      </c>
      <c r="M47" s="44">
        <f>$C47</f>
        <v/>
      </c>
      <c r="N47" s="44">
        <f>$C47</f>
        <v/>
      </c>
      <c r="O47" s="44">
        <f>$C47</f>
        <v/>
      </c>
      <c r="P47" s="45">
        <f>SUM(D47:O47)</f>
        <v/>
      </c>
    </row>
    <row r="48">
      <c r="A48" s="42">
        <f>IF(Categorie!$A40="","",Categorie!$A40)</f>
        <v/>
      </c>
      <c r="B48" s="35">
        <f>IF(A48="","",Categorie!$B40&amp;"")</f>
        <v/>
      </c>
      <c r="C48" s="43" t="n"/>
      <c r="D48" s="44">
        <f>$C48</f>
        <v/>
      </c>
      <c r="E48" s="44">
        <f>$C48</f>
        <v/>
      </c>
      <c r="F48" s="44">
        <f>$C48</f>
        <v/>
      </c>
      <c r="G48" s="44">
        <f>$C48</f>
        <v/>
      </c>
      <c r="H48" s="44">
        <f>$C48</f>
        <v/>
      </c>
      <c r="I48" s="44">
        <f>$C48</f>
        <v/>
      </c>
      <c r="J48" s="44">
        <f>$C48</f>
        <v/>
      </c>
      <c r="K48" s="44">
        <f>$C48</f>
        <v/>
      </c>
      <c r="L48" s="44">
        <f>$C48</f>
        <v/>
      </c>
      <c r="M48" s="44">
        <f>$C48</f>
        <v/>
      </c>
      <c r="N48" s="44">
        <f>$C48</f>
        <v/>
      </c>
      <c r="O48" s="44">
        <f>$C48</f>
        <v/>
      </c>
      <c r="P48" s="45">
        <f>SUM(D48:O48)</f>
        <v/>
      </c>
    </row>
    <row r="49">
      <c r="A49" s="42">
        <f>IF(Categorie!$A41="","",Categorie!$A41)</f>
        <v/>
      </c>
      <c r="B49" s="35">
        <f>IF(A49="","",Categorie!$B41&amp;"")</f>
        <v/>
      </c>
      <c r="C49" s="43" t="n"/>
      <c r="D49" s="44">
        <f>$C49</f>
        <v/>
      </c>
      <c r="E49" s="44">
        <f>$C49</f>
        <v/>
      </c>
      <c r="F49" s="44">
        <f>$C49</f>
        <v/>
      </c>
      <c r="G49" s="44">
        <f>$C49</f>
        <v/>
      </c>
      <c r="H49" s="44">
        <f>$C49</f>
        <v/>
      </c>
      <c r="I49" s="44">
        <f>$C49</f>
        <v/>
      </c>
      <c r="J49" s="44">
        <f>$C49</f>
        <v/>
      </c>
      <c r="K49" s="44">
        <f>$C49</f>
        <v/>
      </c>
      <c r="L49" s="44">
        <f>$C49</f>
        <v/>
      </c>
      <c r="M49" s="44">
        <f>$C49</f>
        <v/>
      </c>
      <c r="N49" s="44">
        <f>$C49</f>
        <v/>
      </c>
      <c r="O49" s="44">
        <f>$C49</f>
        <v/>
      </c>
      <c r="P49" s="45">
        <f>SUM(D49:O49)</f>
        <v/>
      </c>
    </row>
    <row r="50">
      <c r="A50" s="42">
        <f>IF(Categorie!$A42="","",Categorie!$A42)</f>
        <v/>
      </c>
      <c r="B50" s="35">
        <f>IF(A50="","",Categorie!$B42&amp;"")</f>
        <v/>
      </c>
      <c r="C50" s="43" t="n"/>
      <c r="D50" s="44">
        <f>$C50</f>
        <v/>
      </c>
      <c r="E50" s="44">
        <f>$C50</f>
        <v/>
      </c>
      <c r="F50" s="44">
        <f>$C50</f>
        <v/>
      </c>
      <c r="G50" s="44">
        <f>$C50</f>
        <v/>
      </c>
      <c r="H50" s="44">
        <f>$C50</f>
        <v/>
      </c>
      <c r="I50" s="44">
        <f>$C50</f>
        <v/>
      </c>
      <c r="J50" s="44">
        <f>$C50</f>
        <v/>
      </c>
      <c r="K50" s="44">
        <f>$C50</f>
        <v/>
      </c>
      <c r="L50" s="44">
        <f>$C50</f>
        <v/>
      </c>
      <c r="M50" s="44">
        <f>$C50</f>
        <v/>
      </c>
      <c r="N50" s="44">
        <f>$C50</f>
        <v/>
      </c>
      <c r="O50" s="44">
        <f>$C50</f>
        <v/>
      </c>
      <c r="P50" s="45">
        <f>SUM(D50:O50)</f>
        <v/>
      </c>
    </row>
    <row r="51">
      <c r="A51" s="42">
        <f>IF(Categorie!$A43="","",Categorie!$A43)</f>
        <v/>
      </c>
      <c r="B51" s="35">
        <f>IF(A51="","",Categorie!$B43&amp;"")</f>
        <v/>
      </c>
      <c r="C51" s="43" t="n"/>
      <c r="D51" s="44">
        <f>$C51</f>
        <v/>
      </c>
      <c r="E51" s="44">
        <f>$C51</f>
        <v/>
      </c>
      <c r="F51" s="44">
        <f>$C51</f>
        <v/>
      </c>
      <c r="G51" s="44">
        <f>$C51</f>
        <v/>
      </c>
      <c r="H51" s="44">
        <f>$C51</f>
        <v/>
      </c>
      <c r="I51" s="44">
        <f>$C51</f>
        <v/>
      </c>
      <c r="J51" s="44">
        <f>$C51</f>
        <v/>
      </c>
      <c r="K51" s="44">
        <f>$C51</f>
        <v/>
      </c>
      <c r="L51" s="44">
        <f>$C51</f>
        <v/>
      </c>
      <c r="M51" s="44">
        <f>$C51</f>
        <v/>
      </c>
      <c r="N51" s="44">
        <f>$C51</f>
        <v/>
      </c>
      <c r="O51" s="44">
        <f>$C51</f>
        <v/>
      </c>
      <c r="P51" s="45">
        <f>SUM(D51:O51)</f>
        <v/>
      </c>
    </row>
    <row r="52">
      <c r="A52" s="42">
        <f>IF(Categorie!$A44="","",Categorie!$A44)</f>
        <v/>
      </c>
      <c r="B52" s="35">
        <f>IF(A52="","",Categorie!$B44&amp;"")</f>
        <v/>
      </c>
      <c r="C52" s="43" t="n"/>
      <c r="D52" s="44">
        <f>$C52</f>
        <v/>
      </c>
      <c r="E52" s="44">
        <f>$C52</f>
        <v/>
      </c>
      <c r="F52" s="44">
        <f>$C52</f>
        <v/>
      </c>
      <c r="G52" s="44">
        <f>$C52</f>
        <v/>
      </c>
      <c r="H52" s="44">
        <f>$C52</f>
        <v/>
      </c>
      <c r="I52" s="44">
        <f>$C52</f>
        <v/>
      </c>
      <c r="J52" s="44">
        <f>$C52</f>
        <v/>
      </c>
      <c r="K52" s="44">
        <f>$C52</f>
        <v/>
      </c>
      <c r="L52" s="44">
        <f>$C52</f>
        <v/>
      </c>
      <c r="M52" s="44">
        <f>$C52</f>
        <v/>
      </c>
      <c r="N52" s="44">
        <f>$C52</f>
        <v/>
      </c>
      <c r="O52" s="44">
        <f>$C52</f>
        <v/>
      </c>
      <c r="P52" s="45">
        <f>SUM(D52:O52)</f>
        <v/>
      </c>
    </row>
    <row r="53">
      <c r="A53" s="42">
        <f>IF(Categorie!$A45="","",Categorie!$A45)</f>
        <v/>
      </c>
      <c r="B53" s="35">
        <f>IF(A53="","",Categorie!$B45&amp;"")</f>
        <v/>
      </c>
      <c r="C53" s="43" t="n"/>
      <c r="D53" s="44">
        <f>$C53</f>
        <v/>
      </c>
      <c r="E53" s="44">
        <f>$C53</f>
        <v/>
      </c>
      <c r="F53" s="44">
        <f>$C53</f>
        <v/>
      </c>
      <c r="G53" s="44">
        <f>$C53</f>
        <v/>
      </c>
      <c r="H53" s="44">
        <f>$C53</f>
        <v/>
      </c>
      <c r="I53" s="44">
        <f>$C53</f>
        <v/>
      </c>
      <c r="J53" s="44">
        <f>$C53</f>
        <v/>
      </c>
      <c r="K53" s="44">
        <f>$C53</f>
        <v/>
      </c>
      <c r="L53" s="44">
        <f>$C53</f>
        <v/>
      </c>
      <c r="M53" s="44">
        <f>$C53</f>
        <v/>
      </c>
      <c r="N53" s="44">
        <f>$C53</f>
        <v/>
      </c>
      <c r="O53" s="44">
        <f>$C53</f>
        <v/>
      </c>
      <c r="P53" s="45">
        <f>SUM(D53:O53)</f>
        <v/>
      </c>
    </row>
    <row r="54">
      <c r="A54" s="42">
        <f>IF(Categorie!$A46="","",Categorie!$A46)</f>
        <v/>
      </c>
      <c r="B54" s="35">
        <f>IF(A54="","",Categorie!$B46&amp;"")</f>
        <v/>
      </c>
      <c r="C54" s="43" t="n"/>
      <c r="D54" s="44">
        <f>$C54</f>
        <v/>
      </c>
      <c r="E54" s="44">
        <f>$C54</f>
        <v/>
      </c>
      <c r="F54" s="44">
        <f>$C54</f>
        <v/>
      </c>
      <c r="G54" s="44">
        <f>$C54</f>
        <v/>
      </c>
      <c r="H54" s="44">
        <f>$C54</f>
        <v/>
      </c>
      <c r="I54" s="44">
        <f>$C54</f>
        <v/>
      </c>
      <c r="J54" s="44">
        <f>$C54</f>
        <v/>
      </c>
      <c r="K54" s="44">
        <f>$C54</f>
        <v/>
      </c>
      <c r="L54" s="44">
        <f>$C54</f>
        <v/>
      </c>
      <c r="M54" s="44">
        <f>$C54</f>
        <v/>
      </c>
      <c r="N54" s="44">
        <f>$C54</f>
        <v/>
      </c>
      <c r="O54" s="44">
        <f>$C54</f>
        <v/>
      </c>
      <c r="P54" s="45">
        <f>SUM(D54:O54)</f>
        <v/>
      </c>
    </row>
    <row r="55">
      <c r="A55" s="42">
        <f>IF(Categorie!$A47="","",Categorie!$A47)</f>
        <v/>
      </c>
      <c r="B55" s="35">
        <f>IF(A55="","",Categorie!$B47&amp;"")</f>
        <v/>
      </c>
      <c r="C55" s="43" t="n"/>
      <c r="D55" s="44">
        <f>$C55</f>
        <v/>
      </c>
      <c r="E55" s="44">
        <f>$C55</f>
        <v/>
      </c>
      <c r="F55" s="44">
        <f>$C55</f>
        <v/>
      </c>
      <c r="G55" s="44">
        <f>$C55</f>
        <v/>
      </c>
      <c r="H55" s="44">
        <f>$C55</f>
        <v/>
      </c>
      <c r="I55" s="44">
        <f>$C55</f>
        <v/>
      </c>
      <c r="J55" s="44">
        <f>$C55</f>
        <v/>
      </c>
      <c r="K55" s="44">
        <f>$C55</f>
        <v/>
      </c>
      <c r="L55" s="44">
        <f>$C55</f>
        <v/>
      </c>
      <c r="M55" s="44">
        <f>$C55</f>
        <v/>
      </c>
      <c r="N55" s="44">
        <f>$C55</f>
        <v/>
      </c>
      <c r="O55" s="44">
        <f>$C55</f>
        <v/>
      </c>
      <c r="P55" s="45">
        <f>SUM(D55:O55)</f>
        <v/>
      </c>
    </row>
    <row r="56">
      <c r="A56" s="42">
        <f>IF(Categorie!$A48="","",Categorie!$A48)</f>
        <v/>
      </c>
      <c r="B56" s="35">
        <f>IF(A56="","",Categorie!$B48&amp;"")</f>
        <v/>
      </c>
      <c r="C56" s="43" t="n"/>
      <c r="D56" s="44">
        <f>$C56</f>
        <v/>
      </c>
      <c r="E56" s="44">
        <f>$C56</f>
        <v/>
      </c>
      <c r="F56" s="44">
        <f>$C56</f>
        <v/>
      </c>
      <c r="G56" s="44">
        <f>$C56</f>
        <v/>
      </c>
      <c r="H56" s="44">
        <f>$C56</f>
        <v/>
      </c>
      <c r="I56" s="44">
        <f>$C56</f>
        <v/>
      </c>
      <c r="J56" s="44">
        <f>$C56</f>
        <v/>
      </c>
      <c r="K56" s="44">
        <f>$C56</f>
        <v/>
      </c>
      <c r="L56" s="44">
        <f>$C56</f>
        <v/>
      </c>
      <c r="M56" s="44">
        <f>$C56</f>
        <v/>
      </c>
      <c r="N56" s="44">
        <f>$C56</f>
        <v/>
      </c>
      <c r="O56" s="44">
        <f>$C56</f>
        <v/>
      </c>
      <c r="P56" s="45">
        <f>SUM(D56:O56)</f>
        <v/>
      </c>
    </row>
    <row r="57">
      <c r="A57" s="42">
        <f>IF(Categorie!$A49="","",Categorie!$A49)</f>
        <v/>
      </c>
      <c r="B57" s="35">
        <f>IF(A57="","",Categorie!$B49&amp;"")</f>
        <v/>
      </c>
      <c r="C57" s="43" t="n"/>
      <c r="D57" s="44">
        <f>$C57</f>
        <v/>
      </c>
      <c r="E57" s="44">
        <f>$C57</f>
        <v/>
      </c>
      <c r="F57" s="44">
        <f>$C57</f>
        <v/>
      </c>
      <c r="G57" s="44">
        <f>$C57</f>
        <v/>
      </c>
      <c r="H57" s="44">
        <f>$C57</f>
        <v/>
      </c>
      <c r="I57" s="44">
        <f>$C57</f>
        <v/>
      </c>
      <c r="J57" s="44">
        <f>$C57</f>
        <v/>
      </c>
      <c r="K57" s="44">
        <f>$C57</f>
        <v/>
      </c>
      <c r="L57" s="44">
        <f>$C57</f>
        <v/>
      </c>
      <c r="M57" s="44">
        <f>$C57</f>
        <v/>
      </c>
      <c r="N57" s="44">
        <f>$C57</f>
        <v/>
      </c>
      <c r="O57" s="44">
        <f>$C57</f>
        <v/>
      </c>
      <c r="P57" s="45">
        <f>SUM(D57:O57)</f>
        <v/>
      </c>
    </row>
    <row r="58">
      <c r="A58" s="42">
        <f>IF(Categorie!$A50="","",Categorie!$A50)</f>
        <v/>
      </c>
      <c r="B58" s="35">
        <f>IF(A58="","",Categorie!$B50&amp;"")</f>
        <v/>
      </c>
      <c r="C58" s="43" t="n"/>
      <c r="D58" s="44">
        <f>$C58</f>
        <v/>
      </c>
      <c r="E58" s="44">
        <f>$C58</f>
        <v/>
      </c>
      <c r="F58" s="44">
        <f>$C58</f>
        <v/>
      </c>
      <c r="G58" s="44">
        <f>$C58</f>
        <v/>
      </c>
      <c r="H58" s="44">
        <f>$C58</f>
        <v/>
      </c>
      <c r="I58" s="44">
        <f>$C58</f>
        <v/>
      </c>
      <c r="J58" s="44">
        <f>$C58</f>
        <v/>
      </c>
      <c r="K58" s="44">
        <f>$C58</f>
        <v/>
      </c>
      <c r="L58" s="44">
        <f>$C58</f>
        <v/>
      </c>
      <c r="M58" s="44">
        <f>$C58</f>
        <v/>
      </c>
      <c r="N58" s="44">
        <f>$C58</f>
        <v/>
      </c>
      <c r="O58" s="44">
        <f>$C58</f>
        <v/>
      </c>
      <c r="P58" s="45">
        <f>SUM(D58:O58)</f>
        <v/>
      </c>
    </row>
    <row r="59">
      <c r="A59" s="42">
        <f>IF(Categorie!$A51="","",Categorie!$A51)</f>
        <v/>
      </c>
      <c r="B59" s="35">
        <f>IF(A59="","",Categorie!$B51&amp;"")</f>
        <v/>
      </c>
      <c r="C59" s="43" t="n"/>
      <c r="D59" s="44">
        <f>$C59</f>
        <v/>
      </c>
      <c r="E59" s="44">
        <f>$C59</f>
        <v/>
      </c>
      <c r="F59" s="44">
        <f>$C59</f>
        <v/>
      </c>
      <c r="G59" s="44">
        <f>$C59</f>
        <v/>
      </c>
      <c r="H59" s="44">
        <f>$C59</f>
        <v/>
      </c>
      <c r="I59" s="44">
        <f>$C59</f>
        <v/>
      </c>
      <c r="J59" s="44">
        <f>$C59</f>
        <v/>
      </c>
      <c r="K59" s="44">
        <f>$C59</f>
        <v/>
      </c>
      <c r="L59" s="44">
        <f>$C59</f>
        <v/>
      </c>
      <c r="M59" s="44">
        <f>$C59</f>
        <v/>
      </c>
      <c r="N59" s="44">
        <f>$C59</f>
        <v/>
      </c>
      <c r="O59" s="44">
        <f>$C59</f>
        <v/>
      </c>
      <c r="P59" s="45">
        <f>SUM(D59:O59)</f>
        <v/>
      </c>
    </row>
    <row r="60">
      <c r="A60" s="42">
        <f>IF(Categorie!$A52="","",Categorie!$A52)</f>
        <v/>
      </c>
      <c r="B60" s="35">
        <f>IF(A60="","",Categorie!$B52&amp;"")</f>
        <v/>
      </c>
      <c r="C60" s="43" t="n"/>
      <c r="D60" s="44">
        <f>$C60</f>
        <v/>
      </c>
      <c r="E60" s="44">
        <f>$C60</f>
        <v/>
      </c>
      <c r="F60" s="44">
        <f>$C60</f>
        <v/>
      </c>
      <c r="G60" s="44">
        <f>$C60</f>
        <v/>
      </c>
      <c r="H60" s="44">
        <f>$C60</f>
        <v/>
      </c>
      <c r="I60" s="44">
        <f>$C60</f>
        <v/>
      </c>
      <c r="J60" s="44">
        <f>$C60</f>
        <v/>
      </c>
      <c r="K60" s="44">
        <f>$C60</f>
        <v/>
      </c>
      <c r="L60" s="44">
        <f>$C60</f>
        <v/>
      </c>
      <c r="M60" s="44">
        <f>$C60</f>
        <v/>
      </c>
      <c r="N60" s="44">
        <f>$C60</f>
        <v/>
      </c>
      <c r="O60" s="44">
        <f>$C60</f>
        <v/>
      </c>
      <c r="P60" s="45">
        <f>SUM(D60:O60)</f>
        <v/>
      </c>
    </row>
    <row r="61">
      <c r="A61" s="42">
        <f>IF(Categorie!$A53="","",Categorie!$A53)</f>
        <v/>
      </c>
      <c r="B61" s="35">
        <f>IF(A61="","",Categorie!$B53&amp;"")</f>
        <v/>
      </c>
      <c r="C61" s="43" t="n"/>
      <c r="D61" s="44">
        <f>$C61</f>
        <v/>
      </c>
      <c r="E61" s="44">
        <f>$C61</f>
        <v/>
      </c>
      <c r="F61" s="44">
        <f>$C61</f>
        <v/>
      </c>
      <c r="G61" s="44">
        <f>$C61</f>
        <v/>
      </c>
      <c r="H61" s="44">
        <f>$C61</f>
        <v/>
      </c>
      <c r="I61" s="44">
        <f>$C61</f>
        <v/>
      </c>
      <c r="J61" s="44">
        <f>$C61</f>
        <v/>
      </c>
      <c r="K61" s="44">
        <f>$C61</f>
        <v/>
      </c>
      <c r="L61" s="44">
        <f>$C61</f>
        <v/>
      </c>
      <c r="M61" s="44">
        <f>$C61</f>
        <v/>
      </c>
      <c r="N61" s="44">
        <f>$C61</f>
        <v/>
      </c>
      <c r="O61" s="44">
        <f>$C61</f>
        <v/>
      </c>
      <c r="P61" s="45">
        <f>SUM(D61:O61)</f>
        <v/>
      </c>
    </row>
    <row r="62">
      <c r="A62" s="42">
        <f>IF(Categorie!$A54="","",Categorie!$A54)</f>
        <v/>
      </c>
      <c r="B62" s="35">
        <f>IF(A62="","",Categorie!$B54&amp;"")</f>
        <v/>
      </c>
      <c r="C62" s="43" t="n"/>
      <c r="D62" s="44">
        <f>$C62</f>
        <v/>
      </c>
      <c r="E62" s="44">
        <f>$C62</f>
        <v/>
      </c>
      <c r="F62" s="44">
        <f>$C62</f>
        <v/>
      </c>
      <c r="G62" s="44">
        <f>$C62</f>
        <v/>
      </c>
      <c r="H62" s="44">
        <f>$C62</f>
        <v/>
      </c>
      <c r="I62" s="44">
        <f>$C62</f>
        <v/>
      </c>
      <c r="J62" s="44">
        <f>$C62</f>
        <v/>
      </c>
      <c r="K62" s="44">
        <f>$C62</f>
        <v/>
      </c>
      <c r="L62" s="44">
        <f>$C62</f>
        <v/>
      </c>
      <c r="M62" s="44">
        <f>$C62</f>
        <v/>
      </c>
      <c r="N62" s="44">
        <f>$C62</f>
        <v/>
      </c>
      <c r="O62" s="44">
        <f>$C62</f>
        <v/>
      </c>
      <c r="P62" s="45">
        <f>SUM(D62:O62)</f>
        <v/>
      </c>
    </row>
    <row r="63">
      <c r="A63" s="42">
        <f>IF(Categorie!$A55="","",Categorie!$A55)</f>
        <v/>
      </c>
      <c r="B63" s="35">
        <f>IF(A63="","",Categorie!$B55&amp;"")</f>
        <v/>
      </c>
      <c r="C63" s="43" t="n"/>
      <c r="D63" s="44">
        <f>$C63</f>
        <v/>
      </c>
      <c r="E63" s="44">
        <f>$C63</f>
        <v/>
      </c>
      <c r="F63" s="44">
        <f>$C63</f>
        <v/>
      </c>
      <c r="G63" s="44">
        <f>$C63</f>
        <v/>
      </c>
      <c r="H63" s="44">
        <f>$C63</f>
        <v/>
      </c>
      <c r="I63" s="44">
        <f>$C63</f>
        <v/>
      </c>
      <c r="J63" s="44">
        <f>$C63</f>
        <v/>
      </c>
      <c r="K63" s="44">
        <f>$C63</f>
        <v/>
      </c>
      <c r="L63" s="44">
        <f>$C63</f>
        <v/>
      </c>
      <c r="M63" s="44">
        <f>$C63</f>
        <v/>
      </c>
      <c r="N63" s="44">
        <f>$C63</f>
        <v/>
      </c>
      <c r="O63" s="44">
        <f>$C63</f>
        <v/>
      </c>
      <c r="P63" s="45">
        <f>SUM(D63:O63)</f>
        <v/>
      </c>
    </row>
    <row r="64">
      <c r="A64" s="42">
        <f>IF(Categorie!$A56="","",Categorie!$A56)</f>
        <v/>
      </c>
      <c r="B64" s="35">
        <f>IF(A64="","",Categorie!$B56&amp;"")</f>
        <v/>
      </c>
      <c r="C64" s="43" t="n"/>
      <c r="D64" s="44">
        <f>$C64</f>
        <v/>
      </c>
      <c r="E64" s="44">
        <f>$C64</f>
        <v/>
      </c>
      <c r="F64" s="44">
        <f>$C64</f>
        <v/>
      </c>
      <c r="G64" s="44">
        <f>$C64</f>
        <v/>
      </c>
      <c r="H64" s="44">
        <f>$C64</f>
        <v/>
      </c>
      <c r="I64" s="44">
        <f>$C64</f>
        <v/>
      </c>
      <c r="J64" s="44">
        <f>$C64</f>
        <v/>
      </c>
      <c r="K64" s="44">
        <f>$C64</f>
        <v/>
      </c>
      <c r="L64" s="44">
        <f>$C64</f>
        <v/>
      </c>
      <c r="M64" s="44">
        <f>$C64</f>
        <v/>
      </c>
      <c r="N64" s="44">
        <f>$C64</f>
        <v/>
      </c>
      <c r="O64" s="44">
        <f>$C64</f>
        <v/>
      </c>
      <c r="P64" s="45">
        <f>SUM(D64:O64)</f>
        <v/>
      </c>
    </row>
    <row r="65">
      <c r="A65" s="42">
        <f>IF(Categorie!$A57="","",Categorie!$A57)</f>
        <v/>
      </c>
      <c r="B65" s="35">
        <f>IF(A65="","",Categorie!$B57&amp;"")</f>
        <v/>
      </c>
      <c r="C65" s="43" t="n"/>
      <c r="D65" s="44">
        <f>$C65</f>
        <v/>
      </c>
      <c r="E65" s="44">
        <f>$C65</f>
        <v/>
      </c>
      <c r="F65" s="44">
        <f>$C65</f>
        <v/>
      </c>
      <c r="G65" s="44">
        <f>$C65</f>
        <v/>
      </c>
      <c r="H65" s="44">
        <f>$C65</f>
        <v/>
      </c>
      <c r="I65" s="44">
        <f>$C65</f>
        <v/>
      </c>
      <c r="J65" s="44">
        <f>$C65</f>
        <v/>
      </c>
      <c r="K65" s="44">
        <f>$C65</f>
        <v/>
      </c>
      <c r="L65" s="44">
        <f>$C65</f>
        <v/>
      </c>
      <c r="M65" s="44">
        <f>$C65</f>
        <v/>
      </c>
      <c r="N65" s="44">
        <f>$C65</f>
        <v/>
      </c>
      <c r="O65" s="44">
        <f>$C65</f>
        <v/>
      </c>
      <c r="P65" s="45">
        <f>SUM(D65:O65)</f>
        <v/>
      </c>
    </row>
    <row r="66">
      <c r="A66" s="42">
        <f>IF(Categorie!$A58="","",Categorie!$A58)</f>
        <v/>
      </c>
      <c r="B66" s="35">
        <f>IF(A66="","",Categorie!$B58&amp;"")</f>
        <v/>
      </c>
      <c r="C66" s="43" t="n"/>
      <c r="D66" s="44">
        <f>$C66</f>
        <v/>
      </c>
      <c r="E66" s="44">
        <f>$C66</f>
        <v/>
      </c>
      <c r="F66" s="44">
        <f>$C66</f>
        <v/>
      </c>
      <c r="G66" s="44">
        <f>$C66</f>
        <v/>
      </c>
      <c r="H66" s="44">
        <f>$C66</f>
        <v/>
      </c>
      <c r="I66" s="44">
        <f>$C66</f>
        <v/>
      </c>
      <c r="J66" s="44">
        <f>$C66</f>
        <v/>
      </c>
      <c r="K66" s="44">
        <f>$C66</f>
        <v/>
      </c>
      <c r="L66" s="44">
        <f>$C66</f>
        <v/>
      </c>
      <c r="M66" s="44">
        <f>$C66</f>
        <v/>
      </c>
      <c r="N66" s="44">
        <f>$C66</f>
        <v/>
      </c>
      <c r="O66" s="44">
        <f>$C66</f>
        <v/>
      </c>
      <c r="P66" s="45">
        <f>SUM(D66:O66)</f>
        <v/>
      </c>
    </row>
    <row r="67">
      <c r="A67" s="42">
        <f>IF(Categorie!$A59="","",Categorie!$A59)</f>
        <v/>
      </c>
      <c r="B67" s="35">
        <f>IF(A67="","",Categorie!$B59&amp;"")</f>
        <v/>
      </c>
      <c r="C67" s="43" t="n"/>
      <c r="D67" s="44">
        <f>$C67</f>
        <v/>
      </c>
      <c r="E67" s="44">
        <f>$C67</f>
        <v/>
      </c>
      <c r="F67" s="44">
        <f>$C67</f>
        <v/>
      </c>
      <c r="G67" s="44">
        <f>$C67</f>
        <v/>
      </c>
      <c r="H67" s="44">
        <f>$C67</f>
        <v/>
      </c>
      <c r="I67" s="44">
        <f>$C67</f>
        <v/>
      </c>
      <c r="J67" s="44">
        <f>$C67</f>
        <v/>
      </c>
      <c r="K67" s="44">
        <f>$C67</f>
        <v/>
      </c>
      <c r="L67" s="44">
        <f>$C67</f>
        <v/>
      </c>
      <c r="M67" s="44">
        <f>$C67</f>
        <v/>
      </c>
      <c r="N67" s="44">
        <f>$C67</f>
        <v/>
      </c>
      <c r="O67" s="44">
        <f>$C67</f>
        <v/>
      </c>
      <c r="P67" s="45">
        <f>SUM(D67:O67)</f>
        <v/>
      </c>
    </row>
    <row r="68">
      <c r="A68" s="42">
        <f>IF(Categorie!$A60="","",Categorie!$A60)</f>
        <v/>
      </c>
      <c r="B68" s="35">
        <f>IF(A68="","",Categorie!$B60&amp;"")</f>
        <v/>
      </c>
      <c r="C68" s="43" t="n"/>
      <c r="D68" s="44">
        <f>$C68</f>
        <v/>
      </c>
      <c r="E68" s="44">
        <f>$C68</f>
        <v/>
      </c>
      <c r="F68" s="44">
        <f>$C68</f>
        <v/>
      </c>
      <c r="G68" s="44">
        <f>$C68</f>
        <v/>
      </c>
      <c r="H68" s="44">
        <f>$C68</f>
        <v/>
      </c>
      <c r="I68" s="44">
        <f>$C68</f>
        <v/>
      </c>
      <c r="J68" s="44">
        <f>$C68</f>
        <v/>
      </c>
      <c r="K68" s="44">
        <f>$C68</f>
        <v/>
      </c>
      <c r="L68" s="44">
        <f>$C68</f>
        <v/>
      </c>
      <c r="M68" s="44">
        <f>$C68</f>
        <v/>
      </c>
      <c r="N68" s="44">
        <f>$C68</f>
        <v/>
      </c>
      <c r="O68" s="44">
        <f>$C68</f>
        <v/>
      </c>
      <c r="P68" s="45">
        <f>SUM(D68:O68)</f>
        <v/>
      </c>
    </row>
    <row r="69">
      <c r="A69" s="42">
        <f>IF(Categorie!$A61="","",Categorie!$A61)</f>
        <v/>
      </c>
      <c r="B69" s="35">
        <f>IF(A69="","",Categorie!$B61&amp;"")</f>
        <v/>
      </c>
      <c r="C69" s="43" t="n"/>
      <c r="D69" s="44">
        <f>$C69</f>
        <v/>
      </c>
      <c r="E69" s="44">
        <f>$C69</f>
        <v/>
      </c>
      <c r="F69" s="44">
        <f>$C69</f>
        <v/>
      </c>
      <c r="G69" s="44">
        <f>$C69</f>
        <v/>
      </c>
      <c r="H69" s="44">
        <f>$C69</f>
        <v/>
      </c>
      <c r="I69" s="44">
        <f>$C69</f>
        <v/>
      </c>
      <c r="J69" s="44">
        <f>$C69</f>
        <v/>
      </c>
      <c r="K69" s="44">
        <f>$C69</f>
        <v/>
      </c>
      <c r="L69" s="44">
        <f>$C69</f>
        <v/>
      </c>
      <c r="M69" s="44">
        <f>$C69</f>
        <v/>
      </c>
      <c r="N69" s="44">
        <f>$C69</f>
        <v/>
      </c>
      <c r="O69" s="44">
        <f>$C69</f>
        <v/>
      </c>
      <c r="P69" s="45">
        <f>SUM(D69:O69)</f>
        <v/>
      </c>
    </row>
    <row r="70">
      <c r="A70" s="42">
        <f>IF(Categorie!$A62="","",Categorie!$A62)</f>
        <v/>
      </c>
      <c r="B70" s="35">
        <f>IF(A70="","",Categorie!$B62&amp;"")</f>
        <v/>
      </c>
      <c r="C70" s="43" t="n"/>
      <c r="D70" s="44">
        <f>$C70</f>
        <v/>
      </c>
      <c r="E70" s="44">
        <f>$C70</f>
        <v/>
      </c>
      <c r="F70" s="44">
        <f>$C70</f>
        <v/>
      </c>
      <c r="G70" s="44">
        <f>$C70</f>
        <v/>
      </c>
      <c r="H70" s="44">
        <f>$C70</f>
        <v/>
      </c>
      <c r="I70" s="44">
        <f>$C70</f>
        <v/>
      </c>
      <c r="J70" s="44">
        <f>$C70</f>
        <v/>
      </c>
      <c r="K70" s="44">
        <f>$C70</f>
        <v/>
      </c>
      <c r="L70" s="44">
        <f>$C70</f>
        <v/>
      </c>
      <c r="M70" s="44">
        <f>$C70</f>
        <v/>
      </c>
      <c r="N70" s="44">
        <f>$C70</f>
        <v/>
      </c>
      <c r="O70" s="44">
        <f>$C70</f>
        <v/>
      </c>
      <c r="P70" s="45">
        <f>SUM(D70:O70)</f>
        <v/>
      </c>
    </row>
    <row r="71">
      <c r="A71" s="42">
        <f>IF(Categorie!$A63="","",Categorie!$A63)</f>
        <v/>
      </c>
      <c r="B71" s="35">
        <f>IF(A71="","",Categorie!$B63&amp;"")</f>
        <v/>
      </c>
      <c r="C71" s="43" t="n"/>
      <c r="D71" s="44">
        <f>$C71</f>
        <v/>
      </c>
      <c r="E71" s="44">
        <f>$C71</f>
        <v/>
      </c>
      <c r="F71" s="44">
        <f>$C71</f>
        <v/>
      </c>
      <c r="G71" s="44">
        <f>$C71</f>
        <v/>
      </c>
      <c r="H71" s="44">
        <f>$C71</f>
        <v/>
      </c>
      <c r="I71" s="44">
        <f>$C71</f>
        <v/>
      </c>
      <c r="J71" s="44">
        <f>$C71</f>
        <v/>
      </c>
      <c r="K71" s="44">
        <f>$C71</f>
        <v/>
      </c>
      <c r="L71" s="44">
        <f>$C71</f>
        <v/>
      </c>
      <c r="M71" s="44">
        <f>$C71</f>
        <v/>
      </c>
      <c r="N71" s="44">
        <f>$C71</f>
        <v/>
      </c>
      <c r="O71" s="44">
        <f>$C71</f>
        <v/>
      </c>
      <c r="P71" s="45">
        <f>SUM(D71:O71)</f>
        <v/>
      </c>
    </row>
    <row r="72">
      <c r="A72" s="42">
        <f>IF(Categorie!$A64="","",Categorie!$A64)</f>
        <v/>
      </c>
      <c r="B72" s="35">
        <f>IF(A72="","",Categorie!$B64&amp;"")</f>
        <v/>
      </c>
      <c r="C72" s="43" t="n"/>
      <c r="D72" s="44">
        <f>$C72</f>
        <v/>
      </c>
      <c r="E72" s="44">
        <f>$C72</f>
        <v/>
      </c>
      <c r="F72" s="44">
        <f>$C72</f>
        <v/>
      </c>
      <c r="G72" s="44">
        <f>$C72</f>
        <v/>
      </c>
      <c r="H72" s="44">
        <f>$C72</f>
        <v/>
      </c>
      <c r="I72" s="44">
        <f>$C72</f>
        <v/>
      </c>
      <c r="J72" s="44">
        <f>$C72</f>
        <v/>
      </c>
      <c r="K72" s="44">
        <f>$C72</f>
        <v/>
      </c>
      <c r="L72" s="44">
        <f>$C72</f>
        <v/>
      </c>
      <c r="M72" s="44">
        <f>$C72</f>
        <v/>
      </c>
      <c r="N72" s="44">
        <f>$C72</f>
        <v/>
      </c>
      <c r="O72" s="44">
        <f>$C72</f>
        <v/>
      </c>
      <c r="P72" s="45">
        <f>SUM(D72:O72)</f>
        <v/>
      </c>
    </row>
    <row r="73">
      <c r="A73" s="42">
        <f>IF(Categorie!$A65="","",Categorie!$A65)</f>
        <v/>
      </c>
      <c r="B73" s="35">
        <f>IF(A73="","",Categorie!$B65&amp;"")</f>
        <v/>
      </c>
      <c r="C73" s="43" t="n"/>
      <c r="D73" s="44">
        <f>$C73</f>
        <v/>
      </c>
      <c r="E73" s="44">
        <f>$C73</f>
        <v/>
      </c>
      <c r="F73" s="44">
        <f>$C73</f>
        <v/>
      </c>
      <c r="G73" s="44">
        <f>$C73</f>
        <v/>
      </c>
      <c r="H73" s="44">
        <f>$C73</f>
        <v/>
      </c>
      <c r="I73" s="44">
        <f>$C73</f>
        <v/>
      </c>
      <c r="J73" s="44">
        <f>$C73</f>
        <v/>
      </c>
      <c r="K73" s="44">
        <f>$C73</f>
        <v/>
      </c>
      <c r="L73" s="44">
        <f>$C73</f>
        <v/>
      </c>
      <c r="M73" s="44">
        <f>$C73</f>
        <v/>
      </c>
      <c r="N73" s="44">
        <f>$C73</f>
        <v/>
      </c>
      <c r="O73" s="44">
        <f>$C73</f>
        <v/>
      </c>
      <c r="P73" s="45">
        <f>SUM(D73:O73)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dataValidations count="1">
    <dataValidation sqref="C14:O73" showDropDown="0" showInputMessage="0" showErrorMessage="1" allowBlank="1" errorTitle="Valore non valido" error="Inserisci un numero (es. 125,50)." type="decimal" operator="between">
      <formula1>-100000000</formula1>
      <formula2>100000000</formula2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73"/>
  <sheetViews>
    <sheetView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3" customWidth="1" min="15" max="15"/>
    <col width="13" customWidth="1" min="16" max="16"/>
    <col width="13" customWidth="1" min="17" max="17"/>
    <col width="10" customWidth="1" min="18" max="18"/>
    <col width="2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hidden="1" width="8" customWidth="1" min="26" max="26"/>
  </cols>
  <sheetData>
    <row r="1" ht="30" customHeight="1">
      <c r="A1" s="12" t="inlineStr">
        <is>
          <t>Mensile: consuntivo e differenze dal budget</t>
        </is>
      </c>
    </row>
    <row r="2">
      <c r="A2" s="2" t="inlineStr">
        <is>
          <t>Somme dei movimenti per categoria e mese. Differenza = consuntivo − budget: verde se va bene, rosso se va male.</t>
        </is>
      </c>
    </row>
    <row r="3">
      <c r="A3" s="46">
        <f>"Mese di riferimento: "&amp;Impostazioni!$C$13&amp;" (si cambia in Impostazioni)"</f>
        <v/>
      </c>
    </row>
    <row r="4" hidden="1">
      <c r="C4" s="33" t="n">
        <v>1</v>
      </c>
      <c r="D4" s="33" t="n">
        <v>2</v>
      </c>
      <c r="E4" s="33" t="n">
        <v>3</v>
      </c>
      <c r="F4" s="33" t="n">
        <v>4</v>
      </c>
      <c r="G4" s="33" t="n">
        <v>5</v>
      </c>
      <c r="H4" s="33" t="n">
        <v>6</v>
      </c>
      <c r="I4" s="33" t="n">
        <v>7</v>
      </c>
      <c r="J4" s="33" t="n">
        <v>8</v>
      </c>
      <c r="K4" s="33" t="n">
        <v>9</v>
      </c>
      <c r="L4" s="33" t="n">
        <v>10</v>
      </c>
      <c r="M4" s="33" t="n">
        <v>11</v>
      </c>
      <c r="N4" s="33" t="n">
        <v>12</v>
      </c>
    </row>
    <row r="5" ht="42" customHeight="1">
      <c r="A5" s="24" t="inlineStr">
        <is>
          <t>Voce</t>
        </is>
      </c>
      <c r="B5" s="24" t="inlineStr">
        <is>
          <t>Tipo</t>
        </is>
      </c>
      <c r="C5" s="24" t="inlineStr">
        <is>
          <t>Gen</t>
        </is>
      </c>
      <c r="D5" s="24" t="inlineStr">
        <is>
          <t>Feb</t>
        </is>
      </c>
      <c r="E5" s="24" t="inlineStr">
        <is>
          <t>Mar</t>
        </is>
      </c>
      <c r="F5" s="24" t="inlineStr">
        <is>
          <t>Apr</t>
        </is>
      </c>
      <c r="G5" s="24" t="inlineStr">
        <is>
          <t>Mag</t>
        </is>
      </c>
      <c r="H5" s="24" t="inlineStr">
        <is>
          <t>Giu</t>
        </is>
      </c>
      <c r="I5" s="24" t="inlineStr">
        <is>
          <t>Lug</t>
        </is>
      </c>
      <c r="J5" s="24" t="inlineStr">
        <is>
          <t>Ago</t>
        </is>
      </c>
      <c r="K5" s="24" t="inlineStr">
        <is>
          <t>Set</t>
        </is>
      </c>
      <c r="L5" s="24" t="inlineStr">
        <is>
          <t>Ott</t>
        </is>
      </c>
      <c r="M5" s="24" t="inlineStr">
        <is>
          <t>Nov</t>
        </is>
      </c>
      <c r="N5" s="24" t="inlineStr">
        <is>
          <t>Dic</t>
        </is>
      </c>
      <c r="O5" s="24" t="inlineStr">
        <is>
          <t>Totale anno</t>
        </is>
      </c>
      <c r="P5" s="24" t="inlineStr">
        <is>
          <t>Budget anno</t>
        </is>
      </c>
      <c r="Q5" s="24" t="inlineStr">
        <is>
          <t>Differenza anno</t>
        </is>
      </c>
      <c r="R5" s="24" t="inlineStr">
        <is>
          <t>% del budget</t>
        </is>
      </c>
      <c r="T5" s="24">
        <f>"Budget "&amp;LOWER(Impostazioni!$C$13)</f>
        <v/>
      </c>
      <c r="U5" s="24">
        <f>"Consuntivo "&amp;LOWER(Impostazioni!$C$13)</f>
        <v/>
      </c>
      <c r="V5" s="24">
        <f>"Differenza "&amp;LOWER(Impostazioni!$C$13)</f>
        <v/>
      </c>
      <c r="W5" s="24" t="inlineStr">
        <is>
          <t>Budget da inizio anno</t>
        </is>
      </c>
      <c r="X5" s="24" t="inlineStr">
        <is>
          <t>Consuntivo da inizio anno</t>
        </is>
      </c>
      <c r="Y5" s="24" t="inlineStr">
        <is>
          <t>Differenza da inizio anno</t>
        </is>
      </c>
      <c r="Z5" s="24" t="inlineStr">
        <is>
          <t>Ordine (tecnico)</t>
        </is>
      </c>
    </row>
    <row r="6">
      <c r="A6" s="34" t="inlineStr">
        <is>
          <t>Entrate</t>
        </is>
      </c>
      <c r="B6" s="35" t="inlineStr">
        <is>
          <t>Entrata</t>
        </is>
      </c>
      <c r="C6" s="36">
        <f>SUMIFS(C$14:C$73,$B$14:$B$73,"Entrata")</f>
        <v/>
      </c>
      <c r="D6" s="36">
        <f>SUMIFS(D$14:D$73,$B$14:$B$73,"Entrata")</f>
        <v/>
      </c>
      <c r="E6" s="36">
        <f>SUMIFS(E$14:E$73,$B$14:$B$73,"Entrata")</f>
        <v/>
      </c>
      <c r="F6" s="36">
        <f>SUMIFS(F$14:F$73,$B$14:$B$73,"Entrata")</f>
        <v/>
      </c>
      <c r="G6" s="36">
        <f>SUMIFS(G$14:G$73,$B$14:$B$73,"Entrata")</f>
        <v/>
      </c>
      <c r="H6" s="36">
        <f>SUMIFS(H$14:H$73,$B$14:$B$73,"Entrata")</f>
        <v/>
      </c>
      <c r="I6" s="36">
        <f>SUMIFS(I$14:I$73,$B$14:$B$73,"Entrata")</f>
        <v/>
      </c>
      <c r="J6" s="36">
        <f>SUMIFS(J$14:J$73,$B$14:$B$73,"Entrata")</f>
        <v/>
      </c>
      <c r="K6" s="36">
        <f>SUMIFS(K$14:K$73,$B$14:$B$73,"Entrata")</f>
        <v/>
      </c>
      <c r="L6" s="36">
        <f>SUMIFS(L$14:L$73,$B$14:$B$73,"Entrata")</f>
        <v/>
      </c>
      <c r="M6" s="36">
        <f>SUMIFS(M$14:M$73,$B$14:$B$73,"Entrata")</f>
        <v/>
      </c>
      <c r="N6" s="36">
        <f>SUMIFS(N$14:N$73,$B$14:$B$73,"Entrata")</f>
        <v/>
      </c>
      <c r="O6" s="36">
        <f>SUMIFS(O$14:O$73,$B$14:$B$73,"Entrata")</f>
        <v/>
      </c>
      <c r="P6" s="36">
        <f>SUMIFS(P$14:P$73,$B$14:$B$73,"Entrata")</f>
        <v/>
      </c>
      <c r="Q6" s="36">
        <f>O6-P6</f>
        <v/>
      </c>
      <c r="R6" s="47">
        <f>IF(P6=0,"",O6/P6)</f>
        <v/>
      </c>
      <c r="S6" s="48" t="n"/>
      <c r="T6" s="36">
        <f>SUMIFS(T$14:T$73,$B$14:$B$73,"Entrata")</f>
        <v/>
      </c>
      <c r="U6" s="36">
        <f>SUMIFS(U$14:U$73,$B$14:$B$73,"Entrata")</f>
        <v/>
      </c>
      <c r="V6" s="36">
        <f>U6-T6</f>
        <v/>
      </c>
      <c r="W6" s="36">
        <f>SUMIFS(W$14:W$73,$B$14:$B$73,"Entrata")</f>
        <v/>
      </c>
      <c r="X6" s="36">
        <f>SUMIFS(X$14:X$73,$B$14:$B$73,"Entrata")</f>
        <v/>
      </c>
      <c r="Y6" s="36">
        <f>X6-W6</f>
        <v/>
      </c>
    </row>
    <row r="7">
      <c r="A7" s="34" t="inlineStr">
        <is>
          <t>Spese fisse</t>
        </is>
      </c>
      <c r="B7" s="35" t="inlineStr">
        <is>
          <t>Spesa fissa</t>
        </is>
      </c>
      <c r="C7" s="36">
        <f>SUMIFS(C$14:C$73,$B$14:$B$73,"Spesa fissa")</f>
        <v/>
      </c>
      <c r="D7" s="36">
        <f>SUMIFS(D$14:D$73,$B$14:$B$73,"Spesa fissa")</f>
        <v/>
      </c>
      <c r="E7" s="36">
        <f>SUMIFS(E$14:E$73,$B$14:$B$73,"Spesa fissa")</f>
        <v/>
      </c>
      <c r="F7" s="36">
        <f>SUMIFS(F$14:F$73,$B$14:$B$73,"Spesa fissa")</f>
        <v/>
      </c>
      <c r="G7" s="36">
        <f>SUMIFS(G$14:G$73,$B$14:$B$73,"Spesa fissa")</f>
        <v/>
      </c>
      <c r="H7" s="36">
        <f>SUMIFS(H$14:H$73,$B$14:$B$73,"Spesa fissa")</f>
        <v/>
      </c>
      <c r="I7" s="36">
        <f>SUMIFS(I$14:I$73,$B$14:$B$73,"Spesa fissa")</f>
        <v/>
      </c>
      <c r="J7" s="36">
        <f>SUMIFS(J$14:J$73,$B$14:$B$73,"Spesa fissa")</f>
        <v/>
      </c>
      <c r="K7" s="36">
        <f>SUMIFS(K$14:K$73,$B$14:$B$73,"Spesa fissa")</f>
        <v/>
      </c>
      <c r="L7" s="36">
        <f>SUMIFS(L$14:L$73,$B$14:$B$73,"Spesa fissa")</f>
        <v/>
      </c>
      <c r="M7" s="36">
        <f>SUMIFS(M$14:M$73,$B$14:$B$73,"Spesa fissa")</f>
        <v/>
      </c>
      <c r="N7" s="36">
        <f>SUMIFS(N$14:N$73,$B$14:$B$73,"Spesa fissa")</f>
        <v/>
      </c>
      <c r="O7" s="36">
        <f>SUMIFS(O$14:O$73,$B$14:$B$73,"Spesa fissa")</f>
        <v/>
      </c>
      <c r="P7" s="36">
        <f>SUMIFS(P$14:P$73,$B$14:$B$73,"Spesa fissa")</f>
        <v/>
      </c>
      <c r="Q7" s="36">
        <f>O7-P7</f>
        <v/>
      </c>
      <c r="R7" s="47">
        <f>IF(P7=0,"",O7/P7)</f>
        <v/>
      </c>
      <c r="S7" s="48" t="n"/>
      <c r="T7" s="36">
        <f>SUMIFS(T$14:T$73,$B$14:$B$73,"Spesa fissa")</f>
        <v/>
      </c>
      <c r="U7" s="36">
        <f>SUMIFS(U$14:U$73,$B$14:$B$73,"Spesa fissa")</f>
        <v/>
      </c>
      <c r="V7" s="36">
        <f>U7-T7</f>
        <v/>
      </c>
      <c r="W7" s="36">
        <f>SUMIFS(W$14:W$73,$B$14:$B$73,"Spesa fissa")</f>
        <v/>
      </c>
      <c r="X7" s="36">
        <f>SUMIFS(X$14:X$73,$B$14:$B$73,"Spesa fissa")</f>
        <v/>
      </c>
      <c r="Y7" s="36">
        <f>X7-W7</f>
        <v/>
      </c>
    </row>
    <row r="8">
      <c r="A8" s="34" t="inlineStr">
        <is>
          <t>Spese variabili</t>
        </is>
      </c>
      <c r="B8" s="35" t="inlineStr">
        <is>
          <t>Spesa variabile</t>
        </is>
      </c>
      <c r="C8" s="36">
        <f>SUMIFS(C$14:C$73,$B$14:$B$73,"Spesa variabile")</f>
        <v/>
      </c>
      <c r="D8" s="36">
        <f>SUMIFS(D$14:D$73,$B$14:$B$73,"Spesa variabile")</f>
        <v/>
      </c>
      <c r="E8" s="36">
        <f>SUMIFS(E$14:E$73,$B$14:$B$73,"Spesa variabile")</f>
        <v/>
      </c>
      <c r="F8" s="36">
        <f>SUMIFS(F$14:F$73,$B$14:$B$73,"Spesa variabile")</f>
        <v/>
      </c>
      <c r="G8" s="36">
        <f>SUMIFS(G$14:G$73,$B$14:$B$73,"Spesa variabile")</f>
        <v/>
      </c>
      <c r="H8" s="36">
        <f>SUMIFS(H$14:H$73,$B$14:$B$73,"Spesa variabile")</f>
        <v/>
      </c>
      <c r="I8" s="36">
        <f>SUMIFS(I$14:I$73,$B$14:$B$73,"Spesa variabile")</f>
        <v/>
      </c>
      <c r="J8" s="36">
        <f>SUMIFS(J$14:J$73,$B$14:$B$73,"Spesa variabile")</f>
        <v/>
      </c>
      <c r="K8" s="36">
        <f>SUMIFS(K$14:K$73,$B$14:$B$73,"Spesa variabile")</f>
        <v/>
      </c>
      <c r="L8" s="36">
        <f>SUMIFS(L$14:L$73,$B$14:$B$73,"Spesa variabile")</f>
        <v/>
      </c>
      <c r="M8" s="36">
        <f>SUMIFS(M$14:M$73,$B$14:$B$73,"Spesa variabile")</f>
        <v/>
      </c>
      <c r="N8" s="36">
        <f>SUMIFS(N$14:N$73,$B$14:$B$73,"Spesa variabile")</f>
        <v/>
      </c>
      <c r="O8" s="36">
        <f>SUMIFS(O$14:O$73,$B$14:$B$73,"Spesa variabile")</f>
        <v/>
      </c>
      <c r="P8" s="36">
        <f>SUMIFS(P$14:P$73,$B$14:$B$73,"Spesa variabile")</f>
        <v/>
      </c>
      <c r="Q8" s="36">
        <f>O8-P8</f>
        <v/>
      </c>
      <c r="R8" s="47">
        <f>IF(P8=0,"",O8/P8)</f>
        <v/>
      </c>
      <c r="S8" s="48" t="n"/>
      <c r="T8" s="36">
        <f>SUMIFS(T$14:T$73,$B$14:$B$73,"Spesa variabile")</f>
        <v/>
      </c>
      <c r="U8" s="36">
        <f>SUMIFS(U$14:U$73,$B$14:$B$73,"Spesa variabile")</f>
        <v/>
      </c>
      <c r="V8" s="36">
        <f>U8-T8</f>
        <v/>
      </c>
      <c r="W8" s="36">
        <f>SUMIFS(W$14:W$73,$B$14:$B$73,"Spesa variabile")</f>
        <v/>
      </c>
      <c r="X8" s="36">
        <f>SUMIFS(X$14:X$73,$B$14:$B$73,"Spesa variabile")</f>
        <v/>
      </c>
      <c r="Y8" s="36">
        <f>X8-W8</f>
        <v/>
      </c>
    </row>
    <row r="9">
      <c r="A9" s="37" t="inlineStr">
        <is>
          <t>Totale spese</t>
        </is>
      </c>
      <c r="B9" s="38" t="inlineStr">
        <is>
          <t>Spesa totale</t>
        </is>
      </c>
      <c r="C9" s="39">
        <f>C7+C8</f>
        <v/>
      </c>
      <c r="D9" s="39">
        <f>D7+D8</f>
        <v/>
      </c>
      <c r="E9" s="39">
        <f>E7+E8</f>
        <v/>
      </c>
      <c r="F9" s="39">
        <f>F7+F8</f>
        <v/>
      </c>
      <c r="G9" s="39">
        <f>G7+G8</f>
        <v/>
      </c>
      <c r="H9" s="39">
        <f>H7+H8</f>
        <v/>
      </c>
      <c r="I9" s="39">
        <f>I7+I8</f>
        <v/>
      </c>
      <c r="J9" s="39">
        <f>J7+J8</f>
        <v/>
      </c>
      <c r="K9" s="39">
        <f>K7+K8</f>
        <v/>
      </c>
      <c r="L9" s="39">
        <f>L7+L8</f>
        <v/>
      </c>
      <c r="M9" s="39">
        <f>M7+M8</f>
        <v/>
      </c>
      <c r="N9" s="39">
        <f>N7+N8</f>
        <v/>
      </c>
      <c r="O9" s="39">
        <f>O7+O8</f>
        <v/>
      </c>
      <c r="P9" s="39">
        <f>P7+P8</f>
        <v/>
      </c>
      <c r="Q9" s="39">
        <f>O9-P9</f>
        <v/>
      </c>
      <c r="R9" s="49">
        <f>IF(P9=0,"",O9/P9)</f>
        <v/>
      </c>
      <c r="S9" s="50" t="n"/>
      <c r="T9" s="39">
        <f>T7+T8</f>
        <v/>
      </c>
      <c r="U9" s="39">
        <f>U7+U8</f>
        <v/>
      </c>
      <c r="V9" s="39">
        <f>U9-T9</f>
        <v/>
      </c>
      <c r="W9" s="39">
        <f>W7+W8</f>
        <v/>
      </c>
      <c r="X9" s="39">
        <f>X7+X8</f>
        <v/>
      </c>
      <c r="Y9" s="39">
        <f>X9-W9</f>
        <v/>
      </c>
    </row>
    <row r="10">
      <c r="A10" s="34" t="inlineStr">
        <is>
          <t>Risparmio e investimenti</t>
        </is>
      </c>
      <c r="B10" s="35" t="inlineStr">
        <is>
          <t>Risparmio e investimenti</t>
        </is>
      </c>
      <c r="C10" s="36">
        <f>SUMIFS(C$14:C$73,$B$14:$B$73,"Risparmio e investimenti")</f>
        <v/>
      </c>
      <c r="D10" s="36">
        <f>SUMIFS(D$14:D$73,$B$14:$B$73,"Risparmio e investimenti")</f>
        <v/>
      </c>
      <c r="E10" s="36">
        <f>SUMIFS(E$14:E$73,$B$14:$B$73,"Risparmio e investimenti")</f>
        <v/>
      </c>
      <c r="F10" s="36">
        <f>SUMIFS(F$14:F$73,$B$14:$B$73,"Risparmio e investimenti")</f>
        <v/>
      </c>
      <c r="G10" s="36">
        <f>SUMIFS(G$14:G$73,$B$14:$B$73,"Risparmio e investimenti")</f>
        <v/>
      </c>
      <c r="H10" s="36">
        <f>SUMIFS(H$14:H$73,$B$14:$B$73,"Risparmio e investimenti")</f>
        <v/>
      </c>
      <c r="I10" s="36">
        <f>SUMIFS(I$14:I$73,$B$14:$B$73,"Risparmio e investimenti")</f>
        <v/>
      </c>
      <c r="J10" s="36">
        <f>SUMIFS(J$14:J$73,$B$14:$B$73,"Risparmio e investimenti")</f>
        <v/>
      </c>
      <c r="K10" s="36">
        <f>SUMIFS(K$14:K$73,$B$14:$B$73,"Risparmio e investimenti")</f>
        <v/>
      </c>
      <c r="L10" s="36">
        <f>SUMIFS(L$14:L$73,$B$14:$B$73,"Risparmio e investimenti")</f>
        <v/>
      </c>
      <c r="M10" s="36">
        <f>SUMIFS(M$14:M$73,$B$14:$B$73,"Risparmio e investimenti")</f>
        <v/>
      </c>
      <c r="N10" s="36">
        <f>SUMIFS(N$14:N$73,$B$14:$B$73,"Risparmio e investimenti")</f>
        <v/>
      </c>
      <c r="O10" s="36">
        <f>SUMIFS(O$14:O$73,$B$14:$B$73,"Risparmio e investimenti")</f>
        <v/>
      </c>
      <c r="P10" s="36">
        <f>SUMIFS(P$14:P$73,$B$14:$B$73,"Risparmio e investimenti")</f>
        <v/>
      </c>
      <c r="Q10" s="36">
        <f>O10-P10</f>
        <v/>
      </c>
      <c r="R10" s="47">
        <f>IF(P10=0,"",O10/P10)</f>
        <v/>
      </c>
      <c r="S10" s="48" t="n"/>
      <c r="T10" s="36">
        <f>SUMIFS(T$14:T$73,$B$14:$B$73,"Risparmio e investimenti")</f>
        <v/>
      </c>
      <c r="U10" s="36">
        <f>SUMIFS(U$14:U$73,$B$14:$B$73,"Risparmio e investimenti")</f>
        <v/>
      </c>
      <c r="V10" s="36">
        <f>U10-T10</f>
        <v/>
      </c>
      <c r="W10" s="36">
        <f>SUMIFS(W$14:W$73,$B$14:$B$73,"Risparmio e investimenti")</f>
        <v/>
      </c>
      <c r="X10" s="36">
        <f>SUMIFS(X$14:X$73,$B$14:$B$73,"Risparmio e investimenti")</f>
        <v/>
      </c>
      <c r="Y10" s="36">
        <f>X10-W10</f>
        <v/>
      </c>
    </row>
    <row r="11">
      <c r="A11" s="37" t="inlineStr">
        <is>
          <t>Avanzo (entrate − spese − risparmio)</t>
        </is>
      </c>
      <c r="B11" s="38" t="inlineStr">
        <is>
          <t>Risultato</t>
        </is>
      </c>
      <c r="C11" s="39">
        <f>C6-C9-C10</f>
        <v/>
      </c>
      <c r="D11" s="39">
        <f>D6-D9-D10</f>
        <v/>
      </c>
      <c r="E11" s="39">
        <f>E6-E9-E10</f>
        <v/>
      </c>
      <c r="F11" s="39">
        <f>F6-F9-F10</f>
        <v/>
      </c>
      <c r="G11" s="39">
        <f>G6-G9-G10</f>
        <v/>
      </c>
      <c r="H11" s="39">
        <f>H6-H9-H10</f>
        <v/>
      </c>
      <c r="I11" s="39">
        <f>I6-I9-I10</f>
        <v/>
      </c>
      <c r="J11" s="39">
        <f>J6-J9-J10</f>
        <v/>
      </c>
      <c r="K11" s="39">
        <f>K6-K9-K10</f>
        <v/>
      </c>
      <c r="L11" s="39">
        <f>L6-L9-L10</f>
        <v/>
      </c>
      <c r="M11" s="39">
        <f>M6-M9-M10</f>
        <v/>
      </c>
      <c r="N11" s="39">
        <f>N6-N9-N10</f>
        <v/>
      </c>
      <c r="O11" s="39">
        <f>O6-O9-O10</f>
        <v/>
      </c>
      <c r="P11" s="39">
        <f>P6-P9-P10</f>
        <v/>
      </c>
      <c r="Q11" s="39">
        <f>O11-P11</f>
        <v/>
      </c>
      <c r="R11" s="49">
        <f>IF(P11=0,"",O11/P11)</f>
        <v/>
      </c>
      <c r="S11" s="50" t="n"/>
      <c r="T11" s="39">
        <f>T6-T9-T10</f>
        <v/>
      </c>
      <c r="U11" s="39">
        <f>U6-U9-U10</f>
        <v/>
      </c>
      <c r="V11" s="39">
        <f>U11-T11</f>
        <v/>
      </c>
      <c r="W11" s="39">
        <f>W6-W9-W10</f>
        <v/>
      </c>
      <c r="X11" s="39">
        <f>X6-X9-X10</f>
        <v/>
      </c>
      <c r="Y11" s="39">
        <f>X11-W11</f>
        <v/>
      </c>
    </row>
    <row r="12">
      <c r="A12" s="37" t="inlineStr">
        <is>
          <t>Saldo di cassa a fine mese</t>
        </is>
      </c>
      <c r="B12" s="38" t="inlineStr">
        <is>
          <t>Saldo</t>
        </is>
      </c>
      <c r="C12" s="39">
        <f>Impostazioni!$C$5+C11</f>
        <v/>
      </c>
      <c r="D12" s="39">
        <f>C12+D11</f>
        <v/>
      </c>
      <c r="E12" s="39">
        <f>D12+E11</f>
        <v/>
      </c>
      <c r="F12" s="39">
        <f>E12+F11</f>
        <v/>
      </c>
      <c r="G12" s="39">
        <f>F12+G11</f>
        <v/>
      </c>
      <c r="H12" s="39">
        <f>G12+H11</f>
        <v/>
      </c>
      <c r="I12" s="39">
        <f>H12+I11</f>
        <v/>
      </c>
      <c r="J12" s="39">
        <f>I12+J11</f>
        <v/>
      </c>
      <c r="K12" s="39">
        <f>J12+K11</f>
        <v/>
      </c>
      <c r="L12" s="39">
        <f>K12+L11</f>
        <v/>
      </c>
      <c r="M12" s="39">
        <f>L12+M11</f>
        <v/>
      </c>
      <c r="N12" s="39">
        <f>M12+N11</f>
        <v/>
      </c>
      <c r="O12" s="39">
        <f>N12</f>
        <v/>
      </c>
      <c r="P12" s="39">
        <f>Budget!P12</f>
        <v/>
      </c>
      <c r="Q12" s="39">
        <f>O12-P12</f>
        <v/>
      </c>
      <c r="R12" s="37" t="n"/>
      <c r="S12" s="50" t="n"/>
      <c r="T12" s="39">
        <f>INDEX(Budget!$D$12:$O$12,Impostazioni!$C$12)</f>
        <v/>
      </c>
      <c r="U12" s="39">
        <f>INDEX($C$12:$N$12,Impostazioni!$C$12)</f>
        <v/>
      </c>
      <c r="V12" s="39">
        <f>U12-T12</f>
        <v/>
      </c>
      <c r="W12" s="37" t="n"/>
      <c r="X12" s="37" t="n"/>
      <c r="Y12" s="37" t="n"/>
    </row>
    <row r="13">
      <c r="A13" s="40" t="inlineStr">
        <is>
          <t>Dettaglio per categoria</t>
        </is>
      </c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T13" s="40">
        <f>"Mese di riferimento: "&amp;LOWER(Impostazioni!$C$13)</f>
        <v/>
      </c>
      <c r="U13" s="41" t="n"/>
      <c r="V13" s="41" t="n"/>
      <c r="W13" s="40" t="inlineStr">
        <is>
          <t>Da gennaio al mese di riferimento</t>
        </is>
      </c>
      <c r="X13" s="41" t="n"/>
      <c r="Y13" s="41" t="n"/>
      <c r="Z13" s="41" t="n"/>
    </row>
    <row r="14">
      <c r="A14" s="42">
        <f>IF(Categorie!$A6="","",Categorie!$A6)</f>
        <v/>
      </c>
      <c r="B14" s="35">
        <f>IF(A14="","",Categorie!$B6&amp;"")</f>
        <v/>
      </c>
      <c r="C14" s="36">
        <f>IF($A14="",0,SUMIFS(Movimenti!$D$6:$D$2005,Movimenti!$C$6:$C$2005,$A14,Movimenti!$A$6:$A$2005,"&gt;="&amp;DATE(Impostazioni!$C$4,C$4,1),Movimenti!$A$6:$A$2005,"&lt;"&amp;DATE(Impostazioni!$C$4,C$4+1,1)))</f>
        <v/>
      </c>
      <c r="D14" s="36">
        <f>IF($A14="",0,SUMIFS(Movimenti!$D$6:$D$2005,Movimenti!$C$6:$C$2005,$A14,Movimenti!$A$6:$A$2005,"&gt;="&amp;DATE(Impostazioni!$C$4,D$4,1),Movimenti!$A$6:$A$2005,"&lt;"&amp;DATE(Impostazioni!$C$4,D$4+1,1)))</f>
        <v/>
      </c>
      <c r="E14" s="36">
        <f>IF($A14="",0,SUMIFS(Movimenti!$D$6:$D$2005,Movimenti!$C$6:$C$2005,$A14,Movimenti!$A$6:$A$2005,"&gt;="&amp;DATE(Impostazioni!$C$4,E$4,1),Movimenti!$A$6:$A$2005,"&lt;"&amp;DATE(Impostazioni!$C$4,E$4+1,1)))</f>
        <v/>
      </c>
      <c r="F14" s="36">
        <f>IF($A14="",0,SUMIFS(Movimenti!$D$6:$D$2005,Movimenti!$C$6:$C$2005,$A14,Movimenti!$A$6:$A$2005,"&gt;="&amp;DATE(Impostazioni!$C$4,F$4,1),Movimenti!$A$6:$A$2005,"&lt;"&amp;DATE(Impostazioni!$C$4,F$4+1,1)))</f>
        <v/>
      </c>
      <c r="G14" s="36">
        <f>IF($A14="",0,SUMIFS(Movimenti!$D$6:$D$2005,Movimenti!$C$6:$C$2005,$A14,Movimenti!$A$6:$A$2005,"&gt;="&amp;DATE(Impostazioni!$C$4,G$4,1),Movimenti!$A$6:$A$2005,"&lt;"&amp;DATE(Impostazioni!$C$4,G$4+1,1)))</f>
        <v/>
      </c>
      <c r="H14" s="36">
        <f>IF($A14="",0,SUMIFS(Movimenti!$D$6:$D$2005,Movimenti!$C$6:$C$2005,$A14,Movimenti!$A$6:$A$2005,"&gt;="&amp;DATE(Impostazioni!$C$4,H$4,1),Movimenti!$A$6:$A$2005,"&lt;"&amp;DATE(Impostazioni!$C$4,H$4+1,1)))</f>
        <v/>
      </c>
      <c r="I14" s="36">
        <f>IF($A14="",0,SUMIFS(Movimenti!$D$6:$D$2005,Movimenti!$C$6:$C$2005,$A14,Movimenti!$A$6:$A$2005,"&gt;="&amp;DATE(Impostazioni!$C$4,I$4,1),Movimenti!$A$6:$A$2005,"&lt;"&amp;DATE(Impostazioni!$C$4,I$4+1,1)))</f>
        <v/>
      </c>
      <c r="J14" s="36">
        <f>IF($A14="",0,SUMIFS(Movimenti!$D$6:$D$2005,Movimenti!$C$6:$C$2005,$A14,Movimenti!$A$6:$A$2005,"&gt;="&amp;DATE(Impostazioni!$C$4,J$4,1),Movimenti!$A$6:$A$2005,"&lt;"&amp;DATE(Impostazioni!$C$4,J$4+1,1)))</f>
        <v/>
      </c>
      <c r="K14" s="36">
        <f>IF($A14="",0,SUMIFS(Movimenti!$D$6:$D$2005,Movimenti!$C$6:$C$2005,$A14,Movimenti!$A$6:$A$2005,"&gt;="&amp;DATE(Impostazioni!$C$4,K$4,1),Movimenti!$A$6:$A$2005,"&lt;"&amp;DATE(Impostazioni!$C$4,K$4+1,1)))</f>
        <v/>
      </c>
      <c r="L14" s="36">
        <f>IF($A14="",0,SUMIFS(Movimenti!$D$6:$D$2005,Movimenti!$C$6:$C$2005,$A14,Movimenti!$A$6:$A$2005,"&gt;="&amp;DATE(Impostazioni!$C$4,L$4,1),Movimenti!$A$6:$A$2005,"&lt;"&amp;DATE(Impostazioni!$C$4,L$4+1,1)))</f>
        <v/>
      </c>
      <c r="M14" s="36">
        <f>IF($A14="",0,SUMIFS(Movimenti!$D$6:$D$2005,Movimenti!$C$6:$C$2005,$A14,Movimenti!$A$6:$A$2005,"&gt;="&amp;DATE(Impostazioni!$C$4,M$4,1),Movimenti!$A$6:$A$2005,"&lt;"&amp;DATE(Impostazioni!$C$4,M$4+1,1)))</f>
        <v/>
      </c>
      <c r="N14" s="36">
        <f>IF($A14="",0,SUMIFS(Movimenti!$D$6:$D$2005,Movimenti!$C$6:$C$2005,$A14,Movimenti!$A$6:$A$2005,"&gt;="&amp;DATE(Impostazioni!$C$4,N$4,1),Movimenti!$A$6:$A$2005,"&lt;"&amp;DATE(Impostazioni!$C$4,N$4+1,1)))</f>
        <v/>
      </c>
      <c r="O14" s="45">
        <f>SUM(C14:N14)</f>
        <v/>
      </c>
      <c r="P14" s="36">
        <f>Budget!P14</f>
        <v/>
      </c>
      <c r="Q14" s="36">
        <f>O14-P14</f>
        <v/>
      </c>
      <c r="R14" s="47">
        <f>IF(P14=0,"",O14/P14)</f>
        <v/>
      </c>
      <c r="T14" s="36">
        <f>INDEX(Budget!$D14:$O14,Impostazioni!$C$12)</f>
        <v/>
      </c>
      <c r="U14" s="36">
        <f>INDEX($C14:$N14,Impostazioni!$C$12)</f>
        <v/>
      </c>
      <c r="V14" s="36">
        <f>U14-T14</f>
        <v/>
      </c>
      <c r="W14" s="36">
        <f>SUMIFS(Budget!$D14:$O14,Budget!$D$4:$O$4,"&lt;="&amp;Impostazioni!$C$12)</f>
        <v/>
      </c>
      <c r="X14" s="36">
        <f>SUMIFS($C14:$N14,$C$4:$N$4,"&lt;="&amp;Impostazioni!$C$12)</f>
        <v/>
      </c>
      <c r="Y14" s="36">
        <f>X14-W14</f>
        <v/>
      </c>
      <c r="Z14" s="51">
        <f>IF(AND(O14&gt;0,LEFT(B14,5)="Spesa"),O14-ROW()/10000000,0)</f>
        <v/>
      </c>
    </row>
    <row r="15">
      <c r="A15" s="42">
        <f>IF(Categorie!$A7="","",Categorie!$A7)</f>
        <v/>
      </c>
      <c r="B15" s="35">
        <f>IF(A15="","",Categorie!$B7&amp;"")</f>
        <v/>
      </c>
      <c r="C15" s="36">
        <f>IF($A15="",0,SUMIFS(Movimenti!$D$6:$D$2005,Movimenti!$C$6:$C$2005,$A15,Movimenti!$A$6:$A$2005,"&gt;="&amp;DATE(Impostazioni!$C$4,C$4,1),Movimenti!$A$6:$A$2005,"&lt;"&amp;DATE(Impostazioni!$C$4,C$4+1,1)))</f>
        <v/>
      </c>
      <c r="D15" s="36">
        <f>IF($A15="",0,SUMIFS(Movimenti!$D$6:$D$2005,Movimenti!$C$6:$C$2005,$A15,Movimenti!$A$6:$A$2005,"&gt;="&amp;DATE(Impostazioni!$C$4,D$4,1),Movimenti!$A$6:$A$2005,"&lt;"&amp;DATE(Impostazioni!$C$4,D$4+1,1)))</f>
        <v/>
      </c>
      <c r="E15" s="36">
        <f>IF($A15="",0,SUMIFS(Movimenti!$D$6:$D$2005,Movimenti!$C$6:$C$2005,$A15,Movimenti!$A$6:$A$2005,"&gt;="&amp;DATE(Impostazioni!$C$4,E$4,1),Movimenti!$A$6:$A$2005,"&lt;"&amp;DATE(Impostazioni!$C$4,E$4+1,1)))</f>
        <v/>
      </c>
      <c r="F15" s="36">
        <f>IF($A15="",0,SUMIFS(Movimenti!$D$6:$D$2005,Movimenti!$C$6:$C$2005,$A15,Movimenti!$A$6:$A$2005,"&gt;="&amp;DATE(Impostazioni!$C$4,F$4,1),Movimenti!$A$6:$A$2005,"&lt;"&amp;DATE(Impostazioni!$C$4,F$4+1,1)))</f>
        <v/>
      </c>
      <c r="G15" s="36">
        <f>IF($A15="",0,SUMIFS(Movimenti!$D$6:$D$2005,Movimenti!$C$6:$C$2005,$A15,Movimenti!$A$6:$A$2005,"&gt;="&amp;DATE(Impostazioni!$C$4,G$4,1),Movimenti!$A$6:$A$2005,"&lt;"&amp;DATE(Impostazioni!$C$4,G$4+1,1)))</f>
        <v/>
      </c>
      <c r="H15" s="36">
        <f>IF($A15="",0,SUMIFS(Movimenti!$D$6:$D$2005,Movimenti!$C$6:$C$2005,$A15,Movimenti!$A$6:$A$2005,"&gt;="&amp;DATE(Impostazioni!$C$4,H$4,1),Movimenti!$A$6:$A$2005,"&lt;"&amp;DATE(Impostazioni!$C$4,H$4+1,1)))</f>
        <v/>
      </c>
      <c r="I15" s="36">
        <f>IF($A15="",0,SUMIFS(Movimenti!$D$6:$D$2005,Movimenti!$C$6:$C$2005,$A15,Movimenti!$A$6:$A$2005,"&gt;="&amp;DATE(Impostazioni!$C$4,I$4,1),Movimenti!$A$6:$A$2005,"&lt;"&amp;DATE(Impostazioni!$C$4,I$4+1,1)))</f>
        <v/>
      </c>
      <c r="J15" s="36">
        <f>IF($A15="",0,SUMIFS(Movimenti!$D$6:$D$2005,Movimenti!$C$6:$C$2005,$A15,Movimenti!$A$6:$A$2005,"&gt;="&amp;DATE(Impostazioni!$C$4,J$4,1),Movimenti!$A$6:$A$2005,"&lt;"&amp;DATE(Impostazioni!$C$4,J$4+1,1)))</f>
        <v/>
      </c>
      <c r="K15" s="36">
        <f>IF($A15="",0,SUMIFS(Movimenti!$D$6:$D$2005,Movimenti!$C$6:$C$2005,$A15,Movimenti!$A$6:$A$2005,"&gt;="&amp;DATE(Impostazioni!$C$4,K$4,1),Movimenti!$A$6:$A$2005,"&lt;"&amp;DATE(Impostazioni!$C$4,K$4+1,1)))</f>
        <v/>
      </c>
      <c r="L15" s="36">
        <f>IF($A15="",0,SUMIFS(Movimenti!$D$6:$D$2005,Movimenti!$C$6:$C$2005,$A15,Movimenti!$A$6:$A$2005,"&gt;="&amp;DATE(Impostazioni!$C$4,L$4,1),Movimenti!$A$6:$A$2005,"&lt;"&amp;DATE(Impostazioni!$C$4,L$4+1,1)))</f>
        <v/>
      </c>
      <c r="M15" s="36">
        <f>IF($A15="",0,SUMIFS(Movimenti!$D$6:$D$2005,Movimenti!$C$6:$C$2005,$A15,Movimenti!$A$6:$A$2005,"&gt;="&amp;DATE(Impostazioni!$C$4,M$4,1),Movimenti!$A$6:$A$2005,"&lt;"&amp;DATE(Impostazioni!$C$4,M$4+1,1)))</f>
        <v/>
      </c>
      <c r="N15" s="36">
        <f>IF($A15="",0,SUMIFS(Movimenti!$D$6:$D$2005,Movimenti!$C$6:$C$2005,$A15,Movimenti!$A$6:$A$2005,"&gt;="&amp;DATE(Impostazioni!$C$4,N$4,1),Movimenti!$A$6:$A$2005,"&lt;"&amp;DATE(Impostazioni!$C$4,N$4+1,1)))</f>
        <v/>
      </c>
      <c r="O15" s="45">
        <f>SUM(C15:N15)</f>
        <v/>
      </c>
      <c r="P15" s="36">
        <f>Budget!P15</f>
        <v/>
      </c>
      <c r="Q15" s="36">
        <f>O15-P15</f>
        <v/>
      </c>
      <c r="R15" s="47">
        <f>IF(P15=0,"",O15/P15)</f>
        <v/>
      </c>
      <c r="T15" s="36">
        <f>INDEX(Budget!$D15:$O15,Impostazioni!$C$12)</f>
        <v/>
      </c>
      <c r="U15" s="36">
        <f>INDEX($C15:$N15,Impostazioni!$C$12)</f>
        <v/>
      </c>
      <c r="V15" s="36">
        <f>U15-T15</f>
        <v/>
      </c>
      <c r="W15" s="36">
        <f>SUMIFS(Budget!$D15:$O15,Budget!$D$4:$O$4,"&lt;="&amp;Impostazioni!$C$12)</f>
        <v/>
      </c>
      <c r="X15" s="36">
        <f>SUMIFS($C15:$N15,$C$4:$N$4,"&lt;="&amp;Impostazioni!$C$12)</f>
        <v/>
      </c>
      <c r="Y15" s="36">
        <f>X15-W15</f>
        <v/>
      </c>
      <c r="Z15" s="51">
        <f>IF(AND(O15&gt;0,LEFT(B15,5)="Spesa"),O15-ROW()/10000000,0)</f>
        <v/>
      </c>
    </row>
    <row r="16">
      <c r="A16" s="42">
        <f>IF(Categorie!$A8="","",Categorie!$A8)</f>
        <v/>
      </c>
      <c r="B16" s="35">
        <f>IF(A16="","",Categorie!$B8&amp;"")</f>
        <v/>
      </c>
      <c r="C16" s="36">
        <f>IF($A16="",0,SUMIFS(Movimenti!$D$6:$D$2005,Movimenti!$C$6:$C$2005,$A16,Movimenti!$A$6:$A$2005,"&gt;="&amp;DATE(Impostazioni!$C$4,C$4,1),Movimenti!$A$6:$A$2005,"&lt;"&amp;DATE(Impostazioni!$C$4,C$4+1,1)))</f>
        <v/>
      </c>
      <c r="D16" s="36">
        <f>IF($A16="",0,SUMIFS(Movimenti!$D$6:$D$2005,Movimenti!$C$6:$C$2005,$A16,Movimenti!$A$6:$A$2005,"&gt;="&amp;DATE(Impostazioni!$C$4,D$4,1),Movimenti!$A$6:$A$2005,"&lt;"&amp;DATE(Impostazioni!$C$4,D$4+1,1)))</f>
        <v/>
      </c>
      <c r="E16" s="36">
        <f>IF($A16="",0,SUMIFS(Movimenti!$D$6:$D$2005,Movimenti!$C$6:$C$2005,$A16,Movimenti!$A$6:$A$2005,"&gt;="&amp;DATE(Impostazioni!$C$4,E$4,1),Movimenti!$A$6:$A$2005,"&lt;"&amp;DATE(Impostazioni!$C$4,E$4+1,1)))</f>
        <v/>
      </c>
      <c r="F16" s="36">
        <f>IF($A16="",0,SUMIFS(Movimenti!$D$6:$D$2005,Movimenti!$C$6:$C$2005,$A16,Movimenti!$A$6:$A$2005,"&gt;="&amp;DATE(Impostazioni!$C$4,F$4,1),Movimenti!$A$6:$A$2005,"&lt;"&amp;DATE(Impostazioni!$C$4,F$4+1,1)))</f>
        <v/>
      </c>
      <c r="G16" s="36">
        <f>IF($A16="",0,SUMIFS(Movimenti!$D$6:$D$2005,Movimenti!$C$6:$C$2005,$A16,Movimenti!$A$6:$A$2005,"&gt;="&amp;DATE(Impostazioni!$C$4,G$4,1),Movimenti!$A$6:$A$2005,"&lt;"&amp;DATE(Impostazioni!$C$4,G$4+1,1)))</f>
        <v/>
      </c>
      <c r="H16" s="36">
        <f>IF($A16="",0,SUMIFS(Movimenti!$D$6:$D$2005,Movimenti!$C$6:$C$2005,$A16,Movimenti!$A$6:$A$2005,"&gt;="&amp;DATE(Impostazioni!$C$4,H$4,1),Movimenti!$A$6:$A$2005,"&lt;"&amp;DATE(Impostazioni!$C$4,H$4+1,1)))</f>
        <v/>
      </c>
      <c r="I16" s="36">
        <f>IF($A16="",0,SUMIFS(Movimenti!$D$6:$D$2005,Movimenti!$C$6:$C$2005,$A16,Movimenti!$A$6:$A$2005,"&gt;="&amp;DATE(Impostazioni!$C$4,I$4,1),Movimenti!$A$6:$A$2005,"&lt;"&amp;DATE(Impostazioni!$C$4,I$4+1,1)))</f>
        <v/>
      </c>
      <c r="J16" s="36">
        <f>IF($A16="",0,SUMIFS(Movimenti!$D$6:$D$2005,Movimenti!$C$6:$C$2005,$A16,Movimenti!$A$6:$A$2005,"&gt;="&amp;DATE(Impostazioni!$C$4,J$4,1),Movimenti!$A$6:$A$2005,"&lt;"&amp;DATE(Impostazioni!$C$4,J$4+1,1)))</f>
        <v/>
      </c>
      <c r="K16" s="36">
        <f>IF($A16="",0,SUMIFS(Movimenti!$D$6:$D$2005,Movimenti!$C$6:$C$2005,$A16,Movimenti!$A$6:$A$2005,"&gt;="&amp;DATE(Impostazioni!$C$4,K$4,1),Movimenti!$A$6:$A$2005,"&lt;"&amp;DATE(Impostazioni!$C$4,K$4+1,1)))</f>
        <v/>
      </c>
      <c r="L16" s="36">
        <f>IF($A16="",0,SUMIFS(Movimenti!$D$6:$D$2005,Movimenti!$C$6:$C$2005,$A16,Movimenti!$A$6:$A$2005,"&gt;="&amp;DATE(Impostazioni!$C$4,L$4,1),Movimenti!$A$6:$A$2005,"&lt;"&amp;DATE(Impostazioni!$C$4,L$4+1,1)))</f>
        <v/>
      </c>
      <c r="M16" s="36">
        <f>IF($A16="",0,SUMIFS(Movimenti!$D$6:$D$2005,Movimenti!$C$6:$C$2005,$A16,Movimenti!$A$6:$A$2005,"&gt;="&amp;DATE(Impostazioni!$C$4,M$4,1),Movimenti!$A$6:$A$2005,"&lt;"&amp;DATE(Impostazioni!$C$4,M$4+1,1)))</f>
        <v/>
      </c>
      <c r="N16" s="36">
        <f>IF($A16="",0,SUMIFS(Movimenti!$D$6:$D$2005,Movimenti!$C$6:$C$2005,$A16,Movimenti!$A$6:$A$2005,"&gt;="&amp;DATE(Impostazioni!$C$4,N$4,1),Movimenti!$A$6:$A$2005,"&lt;"&amp;DATE(Impostazioni!$C$4,N$4+1,1)))</f>
        <v/>
      </c>
      <c r="O16" s="45">
        <f>SUM(C16:N16)</f>
        <v/>
      </c>
      <c r="P16" s="36">
        <f>Budget!P16</f>
        <v/>
      </c>
      <c r="Q16" s="36">
        <f>O16-P16</f>
        <v/>
      </c>
      <c r="R16" s="47">
        <f>IF(P16=0,"",O16/P16)</f>
        <v/>
      </c>
      <c r="T16" s="36">
        <f>INDEX(Budget!$D16:$O16,Impostazioni!$C$12)</f>
        <v/>
      </c>
      <c r="U16" s="36">
        <f>INDEX($C16:$N16,Impostazioni!$C$12)</f>
        <v/>
      </c>
      <c r="V16" s="36">
        <f>U16-T16</f>
        <v/>
      </c>
      <c r="W16" s="36">
        <f>SUMIFS(Budget!$D16:$O16,Budget!$D$4:$O$4,"&lt;="&amp;Impostazioni!$C$12)</f>
        <v/>
      </c>
      <c r="X16" s="36">
        <f>SUMIFS($C16:$N16,$C$4:$N$4,"&lt;="&amp;Impostazioni!$C$12)</f>
        <v/>
      </c>
      <c r="Y16" s="36">
        <f>X16-W16</f>
        <v/>
      </c>
      <c r="Z16" s="51">
        <f>IF(AND(O16&gt;0,LEFT(B16,5)="Spesa"),O16-ROW()/10000000,0)</f>
        <v/>
      </c>
    </row>
    <row r="17">
      <c r="A17" s="42">
        <f>IF(Categorie!$A9="","",Categorie!$A9)</f>
        <v/>
      </c>
      <c r="B17" s="35">
        <f>IF(A17="","",Categorie!$B9&amp;"")</f>
        <v/>
      </c>
      <c r="C17" s="36">
        <f>IF($A17="",0,SUMIFS(Movimenti!$D$6:$D$2005,Movimenti!$C$6:$C$2005,$A17,Movimenti!$A$6:$A$2005,"&gt;="&amp;DATE(Impostazioni!$C$4,C$4,1),Movimenti!$A$6:$A$2005,"&lt;"&amp;DATE(Impostazioni!$C$4,C$4+1,1)))</f>
        <v/>
      </c>
      <c r="D17" s="36">
        <f>IF($A17="",0,SUMIFS(Movimenti!$D$6:$D$2005,Movimenti!$C$6:$C$2005,$A17,Movimenti!$A$6:$A$2005,"&gt;="&amp;DATE(Impostazioni!$C$4,D$4,1),Movimenti!$A$6:$A$2005,"&lt;"&amp;DATE(Impostazioni!$C$4,D$4+1,1)))</f>
        <v/>
      </c>
      <c r="E17" s="36">
        <f>IF($A17="",0,SUMIFS(Movimenti!$D$6:$D$2005,Movimenti!$C$6:$C$2005,$A17,Movimenti!$A$6:$A$2005,"&gt;="&amp;DATE(Impostazioni!$C$4,E$4,1),Movimenti!$A$6:$A$2005,"&lt;"&amp;DATE(Impostazioni!$C$4,E$4+1,1)))</f>
        <v/>
      </c>
      <c r="F17" s="36">
        <f>IF($A17="",0,SUMIFS(Movimenti!$D$6:$D$2005,Movimenti!$C$6:$C$2005,$A17,Movimenti!$A$6:$A$2005,"&gt;="&amp;DATE(Impostazioni!$C$4,F$4,1),Movimenti!$A$6:$A$2005,"&lt;"&amp;DATE(Impostazioni!$C$4,F$4+1,1)))</f>
        <v/>
      </c>
      <c r="G17" s="36">
        <f>IF($A17="",0,SUMIFS(Movimenti!$D$6:$D$2005,Movimenti!$C$6:$C$2005,$A17,Movimenti!$A$6:$A$2005,"&gt;="&amp;DATE(Impostazioni!$C$4,G$4,1),Movimenti!$A$6:$A$2005,"&lt;"&amp;DATE(Impostazioni!$C$4,G$4+1,1)))</f>
        <v/>
      </c>
      <c r="H17" s="36">
        <f>IF($A17="",0,SUMIFS(Movimenti!$D$6:$D$2005,Movimenti!$C$6:$C$2005,$A17,Movimenti!$A$6:$A$2005,"&gt;="&amp;DATE(Impostazioni!$C$4,H$4,1),Movimenti!$A$6:$A$2005,"&lt;"&amp;DATE(Impostazioni!$C$4,H$4+1,1)))</f>
        <v/>
      </c>
      <c r="I17" s="36">
        <f>IF($A17="",0,SUMIFS(Movimenti!$D$6:$D$2005,Movimenti!$C$6:$C$2005,$A17,Movimenti!$A$6:$A$2005,"&gt;="&amp;DATE(Impostazioni!$C$4,I$4,1),Movimenti!$A$6:$A$2005,"&lt;"&amp;DATE(Impostazioni!$C$4,I$4+1,1)))</f>
        <v/>
      </c>
      <c r="J17" s="36">
        <f>IF($A17="",0,SUMIFS(Movimenti!$D$6:$D$2005,Movimenti!$C$6:$C$2005,$A17,Movimenti!$A$6:$A$2005,"&gt;="&amp;DATE(Impostazioni!$C$4,J$4,1),Movimenti!$A$6:$A$2005,"&lt;"&amp;DATE(Impostazioni!$C$4,J$4+1,1)))</f>
        <v/>
      </c>
      <c r="K17" s="36">
        <f>IF($A17="",0,SUMIFS(Movimenti!$D$6:$D$2005,Movimenti!$C$6:$C$2005,$A17,Movimenti!$A$6:$A$2005,"&gt;="&amp;DATE(Impostazioni!$C$4,K$4,1),Movimenti!$A$6:$A$2005,"&lt;"&amp;DATE(Impostazioni!$C$4,K$4+1,1)))</f>
        <v/>
      </c>
      <c r="L17" s="36">
        <f>IF($A17="",0,SUMIFS(Movimenti!$D$6:$D$2005,Movimenti!$C$6:$C$2005,$A17,Movimenti!$A$6:$A$2005,"&gt;="&amp;DATE(Impostazioni!$C$4,L$4,1),Movimenti!$A$6:$A$2005,"&lt;"&amp;DATE(Impostazioni!$C$4,L$4+1,1)))</f>
        <v/>
      </c>
      <c r="M17" s="36">
        <f>IF($A17="",0,SUMIFS(Movimenti!$D$6:$D$2005,Movimenti!$C$6:$C$2005,$A17,Movimenti!$A$6:$A$2005,"&gt;="&amp;DATE(Impostazioni!$C$4,M$4,1),Movimenti!$A$6:$A$2005,"&lt;"&amp;DATE(Impostazioni!$C$4,M$4+1,1)))</f>
        <v/>
      </c>
      <c r="N17" s="36">
        <f>IF($A17="",0,SUMIFS(Movimenti!$D$6:$D$2005,Movimenti!$C$6:$C$2005,$A17,Movimenti!$A$6:$A$2005,"&gt;="&amp;DATE(Impostazioni!$C$4,N$4,1),Movimenti!$A$6:$A$2005,"&lt;"&amp;DATE(Impostazioni!$C$4,N$4+1,1)))</f>
        <v/>
      </c>
      <c r="O17" s="45">
        <f>SUM(C17:N17)</f>
        <v/>
      </c>
      <c r="P17" s="36">
        <f>Budget!P17</f>
        <v/>
      </c>
      <c r="Q17" s="36">
        <f>O17-P17</f>
        <v/>
      </c>
      <c r="R17" s="47">
        <f>IF(P17=0,"",O17/P17)</f>
        <v/>
      </c>
      <c r="T17" s="36">
        <f>INDEX(Budget!$D17:$O17,Impostazioni!$C$12)</f>
        <v/>
      </c>
      <c r="U17" s="36">
        <f>INDEX($C17:$N17,Impostazioni!$C$12)</f>
        <v/>
      </c>
      <c r="V17" s="36">
        <f>U17-T17</f>
        <v/>
      </c>
      <c r="W17" s="36">
        <f>SUMIFS(Budget!$D17:$O17,Budget!$D$4:$O$4,"&lt;="&amp;Impostazioni!$C$12)</f>
        <v/>
      </c>
      <c r="X17" s="36">
        <f>SUMIFS($C17:$N17,$C$4:$N$4,"&lt;="&amp;Impostazioni!$C$12)</f>
        <v/>
      </c>
      <c r="Y17" s="36">
        <f>X17-W17</f>
        <v/>
      </c>
      <c r="Z17" s="51">
        <f>IF(AND(O17&gt;0,LEFT(B17,5)="Spesa"),O17-ROW()/10000000,0)</f>
        <v/>
      </c>
    </row>
    <row r="18">
      <c r="A18" s="42">
        <f>IF(Categorie!$A10="","",Categorie!$A10)</f>
        <v/>
      </c>
      <c r="B18" s="35">
        <f>IF(A18="","",Categorie!$B10&amp;"")</f>
        <v/>
      </c>
      <c r="C18" s="36">
        <f>IF($A18="",0,SUMIFS(Movimenti!$D$6:$D$2005,Movimenti!$C$6:$C$2005,$A18,Movimenti!$A$6:$A$2005,"&gt;="&amp;DATE(Impostazioni!$C$4,C$4,1),Movimenti!$A$6:$A$2005,"&lt;"&amp;DATE(Impostazioni!$C$4,C$4+1,1)))</f>
        <v/>
      </c>
      <c r="D18" s="36">
        <f>IF($A18="",0,SUMIFS(Movimenti!$D$6:$D$2005,Movimenti!$C$6:$C$2005,$A18,Movimenti!$A$6:$A$2005,"&gt;="&amp;DATE(Impostazioni!$C$4,D$4,1),Movimenti!$A$6:$A$2005,"&lt;"&amp;DATE(Impostazioni!$C$4,D$4+1,1)))</f>
        <v/>
      </c>
      <c r="E18" s="36">
        <f>IF($A18="",0,SUMIFS(Movimenti!$D$6:$D$2005,Movimenti!$C$6:$C$2005,$A18,Movimenti!$A$6:$A$2005,"&gt;="&amp;DATE(Impostazioni!$C$4,E$4,1),Movimenti!$A$6:$A$2005,"&lt;"&amp;DATE(Impostazioni!$C$4,E$4+1,1)))</f>
        <v/>
      </c>
      <c r="F18" s="36">
        <f>IF($A18="",0,SUMIFS(Movimenti!$D$6:$D$2005,Movimenti!$C$6:$C$2005,$A18,Movimenti!$A$6:$A$2005,"&gt;="&amp;DATE(Impostazioni!$C$4,F$4,1),Movimenti!$A$6:$A$2005,"&lt;"&amp;DATE(Impostazioni!$C$4,F$4+1,1)))</f>
        <v/>
      </c>
      <c r="G18" s="36">
        <f>IF($A18="",0,SUMIFS(Movimenti!$D$6:$D$2005,Movimenti!$C$6:$C$2005,$A18,Movimenti!$A$6:$A$2005,"&gt;="&amp;DATE(Impostazioni!$C$4,G$4,1),Movimenti!$A$6:$A$2005,"&lt;"&amp;DATE(Impostazioni!$C$4,G$4+1,1)))</f>
        <v/>
      </c>
      <c r="H18" s="36">
        <f>IF($A18="",0,SUMIFS(Movimenti!$D$6:$D$2005,Movimenti!$C$6:$C$2005,$A18,Movimenti!$A$6:$A$2005,"&gt;="&amp;DATE(Impostazioni!$C$4,H$4,1),Movimenti!$A$6:$A$2005,"&lt;"&amp;DATE(Impostazioni!$C$4,H$4+1,1)))</f>
        <v/>
      </c>
      <c r="I18" s="36">
        <f>IF($A18="",0,SUMIFS(Movimenti!$D$6:$D$2005,Movimenti!$C$6:$C$2005,$A18,Movimenti!$A$6:$A$2005,"&gt;="&amp;DATE(Impostazioni!$C$4,I$4,1),Movimenti!$A$6:$A$2005,"&lt;"&amp;DATE(Impostazioni!$C$4,I$4+1,1)))</f>
        <v/>
      </c>
      <c r="J18" s="36">
        <f>IF($A18="",0,SUMIFS(Movimenti!$D$6:$D$2005,Movimenti!$C$6:$C$2005,$A18,Movimenti!$A$6:$A$2005,"&gt;="&amp;DATE(Impostazioni!$C$4,J$4,1),Movimenti!$A$6:$A$2005,"&lt;"&amp;DATE(Impostazioni!$C$4,J$4+1,1)))</f>
        <v/>
      </c>
      <c r="K18" s="36">
        <f>IF($A18="",0,SUMIFS(Movimenti!$D$6:$D$2005,Movimenti!$C$6:$C$2005,$A18,Movimenti!$A$6:$A$2005,"&gt;="&amp;DATE(Impostazioni!$C$4,K$4,1),Movimenti!$A$6:$A$2005,"&lt;"&amp;DATE(Impostazioni!$C$4,K$4+1,1)))</f>
        <v/>
      </c>
      <c r="L18" s="36">
        <f>IF($A18="",0,SUMIFS(Movimenti!$D$6:$D$2005,Movimenti!$C$6:$C$2005,$A18,Movimenti!$A$6:$A$2005,"&gt;="&amp;DATE(Impostazioni!$C$4,L$4,1),Movimenti!$A$6:$A$2005,"&lt;"&amp;DATE(Impostazioni!$C$4,L$4+1,1)))</f>
        <v/>
      </c>
      <c r="M18" s="36">
        <f>IF($A18="",0,SUMIFS(Movimenti!$D$6:$D$2005,Movimenti!$C$6:$C$2005,$A18,Movimenti!$A$6:$A$2005,"&gt;="&amp;DATE(Impostazioni!$C$4,M$4,1),Movimenti!$A$6:$A$2005,"&lt;"&amp;DATE(Impostazioni!$C$4,M$4+1,1)))</f>
        <v/>
      </c>
      <c r="N18" s="36">
        <f>IF($A18="",0,SUMIFS(Movimenti!$D$6:$D$2005,Movimenti!$C$6:$C$2005,$A18,Movimenti!$A$6:$A$2005,"&gt;="&amp;DATE(Impostazioni!$C$4,N$4,1),Movimenti!$A$6:$A$2005,"&lt;"&amp;DATE(Impostazioni!$C$4,N$4+1,1)))</f>
        <v/>
      </c>
      <c r="O18" s="45">
        <f>SUM(C18:N18)</f>
        <v/>
      </c>
      <c r="P18" s="36">
        <f>Budget!P18</f>
        <v/>
      </c>
      <c r="Q18" s="36">
        <f>O18-P18</f>
        <v/>
      </c>
      <c r="R18" s="47">
        <f>IF(P18=0,"",O18/P18)</f>
        <v/>
      </c>
      <c r="T18" s="36">
        <f>INDEX(Budget!$D18:$O18,Impostazioni!$C$12)</f>
        <v/>
      </c>
      <c r="U18" s="36">
        <f>INDEX($C18:$N18,Impostazioni!$C$12)</f>
        <v/>
      </c>
      <c r="V18" s="36">
        <f>U18-T18</f>
        <v/>
      </c>
      <c r="W18" s="36">
        <f>SUMIFS(Budget!$D18:$O18,Budget!$D$4:$O$4,"&lt;="&amp;Impostazioni!$C$12)</f>
        <v/>
      </c>
      <c r="X18" s="36">
        <f>SUMIFS($C18:$N18,$C$4:$N$4,"&lt;="&amp;Impostazioni!$C$12)</f>
        <v/>
      </c>
      <c r="Y18" s="36">
        <f>X18-W18</f>
        <v/>
      </c>
      <c r="Z18" s="51">
        <f>IF(AND(O18&gt;0,LEFT(B18,5)="Spesa"),O18-ROW()/10000000,0)</f>
        <v/>
      </c>
    </row>
    <row r="19">
      <c r="A19" s="42">
        <f>IF(Categorie!$A11="","",Categorie!$A11)</f>
        <v/>
      </c>
      <c r="B19" s="35">
        <f>IF(A19="","",Categorie!$B11&amp;"")</f>
        <v/>
      </c>
      <c r="C19" s="36">
        <f>IF($A19="",0,SUMIFS(Movimenti!$D$6:$D$2005,Movimenti!$C$6:$C$2005,$A19,Movimenti!$A$6:$A$2005,"&gt;="&amp;DATE(Impostazioni!$C$4,C$4,1),Movimenti!$A$6:$A$2005,"&lt;"&amp;DATE(Impostazioni!$C$4,C$4+1,1)))</f>
        <v/>
      </c>
      <c r="D19" s="36">
        <f>IF($A19="",0,SUMIFS(Movimenti!$D$6:$D$2005,Movimenti!$C$6:$C$2005,$A19,Movimenti!$A$6:$A$2005,"&gt;="&amp;DATE(Impostazioni!$C$4,D$4,1),Movimenti!$A$6:$A$2005,"&lt;"&amp;DATE(Impostazioni!$C$4,D$4+1,1)))</f>
        <v/>
      </c>
      <c r="E19" s="36">
        <f>IF($A19="",0,SUMIFS(Movimenti!$D$6:$D$2005,Movimenti!$C$6:$C$2005,$A19,Movimenti!$A$6:$A$2005,"&gt;="&amp;DATE(Impostazioni!$C$4,E$4,1),Movimenti!$A$6:$A$2005,"&lt;"&amp;DATE(Impostazioni!$C$4,E$4+1,1)))</f>
        <v/>
      </c>
      <c r="F19" s="36">
        <f>IF($A19="",0,SUMIFS(Movimenti!$D$6:$D$2005,Movimenti!$C$6:$C$2005,$A19,Movimenti!$A$6:$A$2005,"&gt;="&amp;DATE(Impostazioni!$C$4,F$4,1),Movimenti!$A$6:$A$2005,"&lt;"&amp;DATE(Impostazioni!$C$4,F$4+1,1)))</f>
        <v/>
      </c>
      <c r="G19" s="36">
        <f>IF($A19="",0,SUMIFS(Movimenti!$D$6:$D$2005,Movimenti!$C$6:$C$2005,$A19,Movimenti!$A$6:$A$2005,"&gt;="&amp;DATE(Impostazioni!$C$4,G$4,1),Movimenti!$A$6:$A$2005,"&lt;"&amp;DATE(Impostazioni!$C$4,G$4+1,1)))</f>
        <v/>
      </c>
      <c r="H19" s="36">
        <f>IF($A19="",0,SUMIFS(Movimenti!$D$6:$D$2005,Movimenti!$C$6:$C$2005,$A19,Movimenti!$A$6:$A$2005,"&gt;="&amp;DATE(Impostazioni!$C$4,H$4,1),Movimenti!$A$6:$A$2005,"&lt;"&amp;DATE(Impostazioni!$C$4,H$4+1,1)))</f>
        <v/>
      </c>
      <c r="I19" s="36">
        <f>IF($A19="",0,SUMIFS(Movimenti!$D$6:$D$2005,Movimenti!$C$6:$C$2005,$A19,Movimenti!$A$6:$A$2005,"&gt;="&amp;DATE(Impostazioni!$C$4,I$4,1),Movimenti!$A$6:$A$2005,"&lt;"&amp;DATE(Impostazioni!$C$4,I$4+1,1)))</f>
        <v/>
      </c>
      <c r="J19" s="36">
        <f>IF($A19="",0,SUMIFS(Movimenti!$D$6:$D$2005,Movimenti!$C$6:$C$2005,$A19,Movimenti!$A$6:$A$2005,"&gt;="&amp;DATE(Impostazioni!$C$4,J$4,1),Movimenti!$A$6:$A$2005,"&lt;"&amp;DATE(Impostazioni!$C$4,J$4+1,1)))</f>
        <v/>
      </c>
      <c r="K19" s="36">
        <f>IF($A19="",0,SUMIFS(Movimenti!$D$6:$D$2005,Movimenti!$C$6:$C$2005,$A19,Movimenti!$A$6:$A$2005,"&gt;="&amp;DATE(Impostazioni!$C$4,K$4,1),Movimenti!$A$6:$A$2005,"&lt;"&amp;DATE(Impostazioni!$C$4,K$4+1,1)))</f>
        <v/>
      </c>
      <c r="L19" s="36">
        <f>IF($A19="",0,SUMIFS(Movimenti!$D$6:$D$2005,Movimenti!$C$6:$C$2005,$A19,Movimenti!$A$6:$A$2005,"&gt;="&amp;DATE(Impostazioni!$C$4,L$4,1),Movimenti!$A$6:$A$2005,"&lt;"&amp;DATE(Impostazioni!$C$4,L$4+1,1)))</f>
        <v/>
      </c>
      <c r="M19" s="36">
        <f>IF($A19="",0,SUMIFS(Movimenti!$D$6:$D$2005,Movimenti!$C$6:$C$2005,$A19,Movimenti!$A$6:$A$2005,"&gt;="&amp;DATE(Impostazioni!$C$4,M$4,1),Movimenti!$A$6:$A$2005,"&lt;"&amp;DATE(Impostazioni!$C$4,M$4+1,1)))</f>
        <v/>
      </c>
      <c r="N19" s="36">
        <f>IF($A19="",0,SUMIFS(Movimenti!$D$6:$D$2005,Movimenti!$C$6:$C$2005,$A19,Movimenti!$A$6:$A$2005,"&gt;="&amp;DATE(Impostazioni!$C$4,N$4,1),Movimenti!$A$6:$A$2005,"&lt;"&amp;DATE(Impostazioni!$C$4,N$4+1,1)))</f>
        <v/>
      </c>
      <c r="O19" s="45">
        <f>SUM(C19:N19)</f>
        <v/>
      </c>
      <c r="P19" s="36">
        <f>Budget!P19</f>
        <v/>
      </c>
      <c r="Q19" s="36">
        <f>O19-P19</f>
        <v/>
      </c>
      <c r="R19" s="47">
        <f>IF(P19=0,"",O19/P19)</f>
        <v/>
      </c>
      <c r="T19" s="36">
        <f>INDEX(Budget!$D19:$O19,Impostazioni!$C$12)</f>
        <v/>
      </c>
      <c r="U19" s="36">
        <f>INDEX($C19:$N19,Impostazioni!$C$12)</f>
        <v/>
      </c>
      <c r="V19" s="36">
        <f>U19-T19</f>
        <v/>
      </c>
      <c r="W19" s="36">
        <f>SUMIFS(Budget!$D19:$O19,Budget!$D$4:$O$4,"&lt;="&amp;Impostazioni!$C$12)</f>
        <v/>
      </c>
      <c r="X19" s="36">
        <f>SUMIFS($C19:$N19,$C$4:$N$4,"&lt;="&amp;Impostazioni!$C$12)</f>
        <v/>
      </c>
      <c r="Y19" s="36">
        <f>X19-W19</f>
        <v/>
      </c>
      <c r="Z19" s="51">
        <f>IF(AND(O19&gt;0,LEFT(B19,5)="Spesa"),O19-ROW()/10000000,0)</f>
        <v/>
      </c>
    </row>
    <row r="20">
      <c r="A20" s="42">
        <f>IF(Categorie!$A12="","",Categorie!$A12)</f>
        <v/>
      </c>
      <c r="B20" s="35">
        <f>IF(A20="","",Categorie!$B12&amp;"")</f>
        <v/>
      </c>
      <c r="C20" s="36">
        <f>IF($A20="",0,SUMIFS(Movimenti!$D$6:$D$2005,Movimenti!$C$6:$C$2005,$A20,Movimenti!$A$6:$A$2005,"&gt;="&amp;DATE(Impostazioni!$C$4,C$4,1),Movimenti!$A$6:$A$2005,"&lt;"&amp;DATE(Impostazioni!$C$4,C$4+1,1)))</f>
        <v/>
      </c>
      <c r="D20" s="36">
        <f>IF($A20="",0,SUMIFS(Movimenti!$D$6:$D$2005,Movimenti!$C$6:$C$2005,$A20,Movimenti!$A$6:$A$2005,"&gt;="&amp;DATE(Impostazioni!$C$4,D$4,1),Movimenti!$A$6:$A$2005,"&lt;"&amp;DATE(Impostazioni!$C$4,D$4+1,1)))</f>
        <v/>
      </c>
      <c r="E20" s="36">
        <f>IF($A20="",0,SUMIFS(Movimenti!$D$6:$D$2005,Movimenti!$C$6:$C$2005,$A20,Movimenti!$A$6:$A$2005,"&gt;="&amp;DATE(Impostazioni!$C$4,E$4,1),Movimenti!$A$6:$A$2005,"&lt;"&amp;DATE(Impostazioni!$C$4,E$4+1,1)))</f>
        <v/>
      </c>
      <c r="F20" s="36">
        <f>IF($A20="",0,SUMIFS(Movimenti!$D$6:$D$2005,Movimenti!$C$6:$C$2005,$A20,Movimenti!$A$6:$A$2005,"&gt;="&amp;DATE(Impostazioni!$C$4,F$4,1),Movimenti!$A$6:$A$2005,"&lt;"&amp;DATE(Impostazioni!$C$4,F$4+1,1)))</f>
        <v/>
      </c>
      <c r="G20" s="36">
        <f>IF($A20="",0,SUMIFS(Movimenti!$D$6:$D$2005,Movimenti!$C$6:$C$2005,$A20,Movimenti!$A$6:$A$2005,"&gt;="&amp;DATE(Impostazioni!$C$4,G$4,1),Movimenti!$A$6:$A$2005,"&lt;"&amp;DATE(Impostazioni!$C$4,G$4+1,1)))</f>
        <v/>
      </c>
      <c r="H20" s="36">
        <f>IF($A20="",0,SUMIFS(Movimenti!$D$6:$D$2005,Movimenti!$C$6:$C$2005,$A20,Movimenti!$A$6:$A$2005,"&gt;="&amp;DATE(Impostazioni!$C$4,H$4,1),Movimenti!$A$6:$A$2005,"&lt;"&amp;DATE(Impostazioni!$C$4,H$4+1,1)))</f>
        <v/>
      </c>
      <c r="I20" s="36">
        <f>IF($A20="",0,SUMIFS(Movimenti!$D$6:$D$2005,Movimenti!$C$6:$C$2005,$A20,Movimenti!$A$6:$A$2005,"&gt;="&amp;DATE(Impostazioni!$C$4,I$4,1),Movimenti!$A$6:$A$2005,"&lt;"&amp;DATE(Impostazioni!$C$4,I$4+1,1)))</f>
        <v/>
      </c>
      <c r="J20" s="36">
        <f>IF($A20="",0,SUMIFS(Movimenti!$D$6:$D$2005,Movimenti!$C$6:$C$2005,$A20,Movimenti!$A$6:$A$2005,"&gt;="&amp;DATE(Impostazioni!$C$4,J$4,1),Movimenti!$A$6:$A$2005,"&lt;"&amp;DATE(Impostazioni!$C$4,J$4+1,1)))</f>
        <v/>
      </c>
      <c r="K20" s="36">
        <f>IF($A20="",0,SUMIFS(Movimenti!$D$6:$D$2005,Movimenti!$C$6:$C$2005,$A20,Movimenti!$A$6:$A$2005,"&gt;="&amp;DATE(Impostazioni!$C$4,K$4,1),Movimenti!$A$6:$A$2005,"&lt;"&amp;DATE(Impostazioni!$C$4,K$4+1,1)))</f>
        <v/>
      </c>
      <c r="L20" s="36">
        <f>IF($A20="",0,SUMIFS(Movimenti!$D$6:$D$2005,Movimenti!$C$6:$C$2005,$A20,Movimenti!$A$6:$A$2005,"&gt;="&amp;DATE(Impostazioni!$C$4,L$4,1),Movimenti!$A$6:$A$2005,"&lt;"&amp;DATE(Impostazioni!$C$4,L$4+1,1)))</f>
        <v/>
      </c>
      <c r="M20" s="36">
        <f>IF($A20="",0,SUMIFS(Movimenti!$D$6:$D$2005,Movimenti!$C$6:$C$2005,$A20,Movimenti!$A$6:$A$2005,"&gt;="&amp;DATE(Impostazioni!$C$4,M$4,1),Movimenti!$A$6:$A$2005,"&lt;"&amp;DATE(Impostazioni!$C$4,M$4+1,1)))</f>
        <v/>
      </c>
      <c r="N20" s="36">
        <f>IF($A20="",0,SUMIFS(Movimenti!$D$6:$D$2005,Movimenti!$C$6:$C$2005,$A20,Movimenti!$A$6:$A$2005,"&gt;="&amp;DATE(Impostazioni!$C$4,N$4,1),Movimenti!$A$6:$A$2005,"&lt;"&amp;DATE(Impostazioni!$C$4,N$4+1,1)))</f>
        <v/>
      </c>
      <c r="O20" s="45">
        <f>SUM(C20:N20)</f>
        <v/>
      </c>
      <c r="P20" s="36">
        <f>Budget!P20</f>
        <v/>
      </c>
      <c r="Q20" s="36">
        <f>O20-P20</f>
        <v/>
      </c>
      <c r="R20" s="47">
        <f>IF(P20=0,"",O20/P20)</f>
        <v/>
      </c>
      <c r="T20" s="36">
        <f>INDEX(Budget!$D20:$O20,Impostazioni!$C$12)</f>
        <v/>
      </c>
      <c r="U20" s="36">
        <f>INDEX($C20:$N20,Impostazioni!$C$12)</f>
        <v/>
      </c>
      <c r="V20" s="36">
        <f>U20-T20</f>
        <v/>
      </c>
      <c r="W20" s="36">
        <f>SUMIFS(Budget!$D20:$O20,Budget!$D$4:$O$4,"&lt;="&amp;Impostazioni!$C$12)</f>
        <v/>
      </c>
      <c r="X20" s="36">
        <f>SUMIFS($C20:$N20,$C$4:$N$4,"&lt;="&amp;Impostazioni!$C$12)</f>
        <v/>
      </c>
      <c r="Y20" s="36">
        <f>X20-W20</f>
        <v/>
      </c>
      <c r="Z20" s="51">
        <f>IF(AND(O20&gt;0,LEFT(B20,5)="Spesa"),O20-ROW()/10000000,0)</f>
        <v/>
      </c>
    </row>
    <row r="21">
      <c r="A21" s="42">
        <f>IF(Categorie!$A13="","",Categorie!$A13)</f>
        <v/>
      </c>
      <c r="B21" s="35">
        <f>IF(A21="","",Categorie!$B13&amp;"")</f>
        <v/>
      </c>
      <c r="C21" s="36">
        <f>IF($A21="",0,SUMIFS(Movimenti!$D$6:$D$2005,Movimenti!$C$6:$C$2005,$A21,Movimenti!$A$6:$A$2005,"&gt;="&amp;DATE(Impostazioni!$C$4,C$4,1),Movimenti!$A$6:$A$2005,"&lt;"&amp;DATE(Impostazioni!$C$4,C$4+1,1)))</f>
        <v/>
      </c>
      <c r="D21" s="36">
        <f>IF($A21="",0,SUMIFS(Movimenti!$D$6:$D$2005,Movimenti!$C$6:$C$2005,$A21,Movimenti!$A$6:$A$2005,"&gt;="&amp;DATE(Impostazioni!$C$4,D$4,1),Movimenti!$A$6:$A$2005,"&lt;"&amp;DATE(Impostazioni!$C$4,D$4+1,1)))</f>
        <v/>
      </c>
      <c r="E21" s="36">
        <f>IF($A21="",0,SUMIFS(Movimenti!$D$6:$D$2005,Movimenti!$C$6:$C$2005,$A21,Movimenti!$A$6:$A$2005,"&gt;="&amp;DATE(Impostazioni!$C$4,E$4,1),Movimenti!$A$6:$A$2005,"&lt;"&amp;DATE(Impostazioni!$C$4,E$4+1,1)))</f>
        <v/>
      </c>
      <c r="F21" s="36">
        <f>IF($A21="",0,SUMIFS(Movimenti!$D$6:$D$2005,Movimenti!$C$6:$C$2005,$A21,Movimenti!$A$6:$A$2005,"&gt;="&amp;DATE(Impostazioni!$C$4,F$4,1),Movimenti!$A$6:$A$2005,"&lt;"&amp;DATE(Impostazioni!$C$4,F$4+1,1)))</f>
        <v/>
      </c>
      <c r="G21" s="36">
        <f>IF($A21="",0,SUMIFS(Movimenti!$D$6:$D$2005,Movimenti!$C$6:$C$2005,$A21,Movimenti!$A$6:$A$2005,"&gt;="&amp;DATE(Impostazioni!$C$4,G$4,1),Movimenti!$A$6:$A$2005,"&lt;"&amp;DATE(Impostazioni!$C$4,G$4+1,1)))</f>
        <v/>
      </c>
      <c r="H21" s="36">
        <f>IF($A21="",0,SUMIFS(Movimenti!$D$6:$D$2005,Movimenti!$C$6:$C$2005,$A21,Movimenti!$A$6:$A$2005,"&gt;="&amp;DATE(Impostazioni!$C$4,H$4,1),Movimenti!$A$6:$A$2005,"&lt;"&amp;DATE(Impostazioni!$C$4,H$4+1,1)))</f>
        <v/>
      </c>
      <c r="I21" s="36">
        <f>IF($A21="",0,SUMIFS(Movimenti!$D$6:$D$2005,Movimenti!$C$6:$C$2005,$A21,Movimenti!$A$6:$A$2005,"&gt;="&amp;DATE(Impostazioni!$C$4,I$4,1),Movimenti!$A$6:$A$2005,"&lt;"&amp;DATE(Impostazioni!$C$4,I$4+1,1)))</f>
        <v/>
      </c>
      <c r="J21" s="36">
        <f>IF($A21="",0,SUMIFS(Movimenti!$D$6:$D$2005,Movimenti!$C$6:$C$2005,$A21,Movimenti!$A$6:$A$2005,"&gt;="&amp;DATE(Impostazioni!$C$4,J$4,1),Movimenti!$A$6:$A$2005,"&lt;"&amp;DATE(Impostazioni!$C$4,J$4+1,1)))</f>
        <v/>
      </c>
      <c r="K21" s="36">
        <f>IF($A21="",0,SUMIFS(Movimenti!$D$6:$D$2005,Movimenti!$C$6:$C$2005,$A21,Movimenti!$A$6:$A$2005,"&gt;="&amp;DATE(Impostazioni!$C$4,K$4,1),Movimenti!$A$6:$A$2005,"&lt;"&amp;DATE(Impostazioni!$C$4,K$4+1,1)))</f>
        <v/>
      </c>
      <c r="L21" s="36">
        <f>IF($A21="",0,SUMIFS(Movimenti!$D$6:$D$2005,Movimenti!$C$6:$C$2005,$A21,Movimenti!$A$6:$A$2005,"&gt;="&amp;DATE(Impostazioni!$C$4,L$4,1),Movimenti!$A$6:$A$2005,"&lt;"&amp;DATE(Impostazioni!$C$4,L$4+1,1)))</f>
        <v/>
      </c>
      <c r="M21" s="36">
        <f>IF($A21="",0,SUMIFS(Movimenti!$D$6:$D$2005,Movimenti!$C$6:$C$2005,$A21,Movimenti!$A$6:$A$2005,"&gt;="&amp;DATE(Impostazioni!$C$4,M$4,1),Movimenti!$A$6:$A$2005,"&lt;"&amp;DATE(Impostazioni!$C$4,M$4+1,1)))</f>
        <v/>
      </c>
      <c r="N21" s="36">
        <f>IF($A21="",0,SUMIFS(Movimenti!$D$6:$D$2005,Movimenti!$C$6:$C$2005,$A21,Movimenti!$A$6:$A$2005,"&gt;="&amp;DATE(Impostazioni!$C$4,N$4,1),Movimenti!$A$6:$A$2005,"&lt;"&amp;DATE(Impostazioni!$C$4,N$4+1,1)))</f>
        <v/>
      </c>
      <c r="O21" s="45">
        <f>SUM(C21:N21)</f>
        <v/>
      </c>
      <c r="P21" s="36">
        <f>Budget!P21</f>
        <v/>
      </c>
      <c r="Q21" s="36">
        <f>O21-P21</f>
        <v/>
      </c>
      <c r="R21" s="47">
        <f>IF(P21=0,"",O21/P21)</f>
        <v/>
      </c>
      <c r="T21" s="36">
        <f>INDEX(Budget!$D21:$O21,Impostazioni!$C$12)</f>
        <v/>
      </c>
      <c r="U21" s="36">
        <f>INDEX($C21:$N21,Impostazioni!$C$12)</f>
        <v/>
      </c>
      <c r="V21" s="36">
        <f>U21-T21</f>
        <v/>
      </c>
      <c r="W21" s="36">
        <f>SUMIFS(Budget!$D21:$O21,Budget!$D$4:$O$4,"&lt;="&amp;Impostazioni!$C$12)</f>
        <v/>
      </c>
      <c r="X21" s="36">
        <f>SUMIFS($C21:$N21,$C$4:$N$4,"&lt;="&amp;Impostazioni!$C$12)</f>
        <v/>
      </c>
      <c r="Y21" s="36">
        <f>X21-W21</f>
        <v/>
      </c>
      <c r="Z21" s="51">
        <f>IF(AND(O21&gt;0,LEFT(B21,5)="Spesa"),O21-ROW()/10000000,0)</f>
        <v/>
      </c>
    </row>
    <row r="22">
      <c r="A22" s="42">
        <f>IF(Categorie!$A14="","",Categorie!$A14)</f>
        <v/>
      </c>
      <c r="B22" s="35">
        <f>IF(A22="","",Categorie!$B14&amp;"")</f>
        <v/>
      </c>
      <c r="C22" s="36">
        <f>IF($A22="",0,SUMIFS(Movimenti!$D$6:$D$2005,Movimenti!$C$6:$C$2005,$A22,Movimenti!$A$6:$A$2005,"&gt;="&amp;DATE(Impostazioni!$C$4,C$4,1),Movimenti!$A$6:$A$2005,"&lt;"&amp;DATE(Impostazioni!$C$4,C$4+1,1)))</f>
        <v/>
      </c>
      <c r="D22" s="36">
        <f>IF($A22="",0,SUMIFS(Movimenti!$D$6:$D$2005,Movimenti!$C$6:$C$2005,$A22,Movimenti!$A$6:$A$2005,"&gt;="&amp;DATE(Impostazioni!$C$4,D$4,1),Movimenti!$A$6:$A$2005,"&lt;"&amp;DATE(Impostazioni!$C$4,D$4+1,1)))</f>
        <v/>
      </c>
      <c r="E22" s="36">
        <f>IF($A22="",0,SUMIFS(Movimenti!$D$6:$D$2005,Movimenti!$C$6:$C$2005,$A22,Movimenti!$A$6:$A$2005,"&gt;="&amp;DATE(Impostazioni!$C$4,E$4,1),Movimenti!$A$6:$A$2005,"&lt;"&amp;DATE(Impostazioni!$C$4,E$4+1,1)))</f>
        <v/>
      </c>
      <c r="F22" s="36">
        <f>IF($A22="",0,SUMIFS(Movimenti!$D$6:$D$2005,Movimenti!$C$6:$C$2005,$A22,Movimenti!$A$6:$A$2005,"&gt;="&amp;DATE(Impostazioni!$C$4,F$4,1),Movimenti!$A$6:$A$2005,"&lt;"&amp;DATE(Impostazioni!$C$4,F$4+1,1)))</f>
        <v/>
      </c>
      <c r="G22" s="36">
        <f>IF($A22="",0,SUMIFS(Movimenti!$D$6:$D$2005,Movimenti!$C$6:$C$2005,$A22,Movimenti!$A$6:$A$2005,"&gt;="&amp;DATE(Impostazioni!$C$4,G$4,1),Movimenti!$A$6:$A$2005,"&lt;"&amp;DATE(Impostazioni!$C$4,G$4+1,1)))</f>
        <v/>
      </c>
      <c r="H22" s="36">
        <f>IF($A22="",0,SUMIFS(Movimenti!$D$6:$D$2005,Movimenti!$C$6:$C$2005,$A22,Movimenti!$A$6:$A$2005,"&gt;="&amp;DATE(Impostazioni!$C$4,H$4,1),Movimenti!$A$6:$A$2005,"&lt;"&amp;DATE(Impostazioni!$C$4,H$4+1,1)))</f>
        <v/>
      </c>
      <c r="I22" s="36">
        <f>IF($A22="",0,SUMIFS(Movimenti!$D$6:$D$2005,Movimenti!$C$6:$C$2005,$A22,Movimenti!$A$6:$A$2005,"&gt;="&amp;DATE(Impostazioni!$C$4,I$4,1),Movimenti!$A$6:$A$2005,"&lt;"&amp;DATE(Impostazioni!$C$4,I$4+1,1)))</f>
        <v/>
      </c>
      <c r="J22" s="36">
        <f>IF($A22="",0,SUMIFS(Movimenti!$D$6:$D$2005,Movimenti!$C$6:$C$2005,$A22,Movimenti!$A$6:$A$2005,"&gt;="&amp;DATE(Impostazioni!$C$4,J$4,1),Movimenti!$A$6:$A$2005,"&lt;"&amp;DATE(Impostazioni!$C$4,J$4+1,1)))</f>
        <v/>
      </c>
      <c r="K22" s="36">
        <f>IF($A22="",0,SUMIFS(Movimenti!$D$6:$D$2005,Movimenti!$C$6:$C$2005,$A22,Movimenti!$A$6:$A$2005,"&gt;="&amp;DATE(Impostazioni!$C$4,K$4,1),Movimenti!$A$6:$A$2005,"&lt;"&amp;DATE(Impostazioni!$C$4,K$4+1,1)))</f>
        <v/>
      </c>
      <c r="L22" s="36">
        <f>IF($A22="",0,SUMIFS(Movimenti!$D$6:$D$2005,Movimenti!$C$6:$C$2005,$A22,Movimenti!$A$6:$A$2005,"&gt;="&amp;DATE(Impostazioni!$C$4,L$4,1),Movimenti!$A$6:$A$2005,"&lt;"&amp;DATE(Impostazioni!$C$4,L$4+1,1)))</f>
        <v/>
      </c>
      <c r="M22" s="36">
        <f>IF($A22="",0,SUMIFS(Movimenti!$D$6:$D$2005,Movimenti!$C$6:$C$2005,$A22,Movimenti!$A$6:$A$2005,"&gt;="&amp;DATE(Impostazioni!$C$4,M$4,1),Movimenti!$A$6:$A$2005,"&lt;"&amp;DATE(Impostazioni!$C$4,M$4+1,1)))</f>
        <v/>
      </c>
      <c r="N22" s="36">
        <f>IF($A22="",0,SUMIFS(Movimenti!$D$6:$D$2005,Movimenti!$C$6:$C$2005,$A22,Movimenti!$A$6:$A$2005,"&gt;="&amp;DATE(Impostazioni!$C$4,N$4,1),Movimenti!$A$6:$A$2005,"&lt;"&amp;DATE(Impostazioni!$C$4,N$4+1,1)))</f>
        <v/>
      </c>
      <c r="O22" s="45">
        <f>SUM(C22:N22)</f>
        <v/>
      </c>
      <c r="P22" s="36">
        <f>Budget!P22</f>
        <v/>
      </c>
      <c r="Q22" s="36">
        <f>O22-P22</f>
        <v/>
      </c>
      <c r="R22" s="47">
        <f>IF(P22=0,"",O22/P22)</f>
        <v/>
      </c>
      <c r="T22" s="36">
        <f>INDEX(Budget!$D22:$O22,Impostazioni!$C$12)</f>
        <v/>
      </c>
      <c r="U22" s="36">
        <f>INDEX($C22:$N22,Impostazioni!$C$12)</f>
        <v/>
      </c>
      <c r="V22" s="36">
        <f>U22-T22</f>
        <v/>
      </c>
      <c r="W22" s="36">
        <f>SUMIFS(Budget!$D22:$O22,Budget!$D$4:$O$4,"&lt;="&amp;Impostazioni!$C$12)</f>
        <v/>
      </c>
      <c r="X22" s="36">
        <f>SUMIFS($C22:$N22,$C$4:$N$4,"&lt;="&amp;Impostazioni!$C$12)</f>
        <v/>
      </c>
      <c r="Y22" s="36">
        <f>X22-W22</f>
        <v/>
      </c>
      <c r="Z22" s="51">
        <f>IF(AND(O22&gt;0,LEFT(B22,5)="Spesa"),O22-ROW()/10000000,0)</f>
        <v/>
      </c>
    </row>
    <row r="23">
      <c r="A23" s="42">
        <f>IF(Categorie!$A15="","",Categorie!$A15)</f>
        <v/>
      </c>
      <c r="B23" s="35">
        <f>IF(A23="","",Categorie!$B15&amp;"")</f>
        <v/>
      </c>
      <c r="C23" s="36">
        <f>IF($A23="",0,SUMIFS(Movimenti!$D$6:$D$2005,Movimenti!$C$6:$C$2005,$A23,Movimenti!$A$6:$A$2005,"&gt;="&amp;DATE(Impostazioni!$C$4,C$4,1),Movimenti!$A$6:$A$2005,"&lt;"&amp;DATE(Impostazioni!$C$4,C$4+1,1)))</f>
        <v/>
      </c>
      <c r="D23" s="36">
        <f>IF($A23="",0,SUMIFS(Movimenti!$D$6:$D$2005,Movimenti!$C$6:$C$2005,$A23,Movimenti!$A$6:$A$2005,"&gt;="&amp;DATE(Impostazioni!$C$4,D$4,1),Movimenti!$A$6:$A$2005,"&lt;"&amp;DATE(Impostazioni!$C$4,D$4+1,1)))</f>
        <v/>
      </c>
      <c r="E23" s="36">
        <f>IF($A23="",0,SUMIFS(Movimenti!$D$6:$D$2005,Movimenti!$C$6:$C$2005,$A23,Movimenti!$A$6:$A$2005,"&gt;="&amp;DATE(Impostazioni!$C$4,E$4,1),Movimenti!$A$6:$A$2005,"&lt;"&amp;DATE(Impostazioni!$C$4,E$4+1,1)))</f>
        <v/>
      </c>
      <c r="F23" s="36">
        <f>IF($A23="",0,SUMIFS(Movimenti!$D$6:$D$2005,Movimenti!$C$6:$C$2005,$A23,Movimenti!$A$6:$A$2005,"&gt;="&amp;DATE(Impostazioni!$C$4,F$4,1),Movimenti!$A$6:$A$2005,"&lt;"&amp;DATE(Impostazioni!$C$4,F$4+1,1)))</f>
        <v/>
      </c>
      <c r="G23" s="36">
        <f>IF($A23="",0,SUMIFS(Movimenti!$D$6:$D$2005,Movimenti!$C$6:$C$2005,$A23,Movimenti!$A$6:$A$2005,"&gt;="&amp;DATE(Impostazioni!$C$4,G$4,1),Movimenti!$A$6:$A$2005,"&lt;"&amp;DATE(Impostazioni!$C$4,G$4+1,1)))</f>
        <v/>
      </c>
      <c r="H23" s="36">
        <f>IF($A23="",0,SUMIFS(Movimenti!$D$6:$D$2005,Movimenti!$C$6:$C$2005,$A23,Movimenti!$A$6:$A$2005,"&gt;="&amp;DATE(Impostazioni!$C$4,H$4,1),Movimenti!$A$6:$A$2005,"&lt;"&amp;DATE(Impostazioni!$C$4,H$4+1,1)))</f>
        <v/>
      </c>
      <c r="I23" s="36">
        <f>IF($A23="",0,SUMIFS(Movimenti!$D$6:$D$2005,Movimenti!$C$6:$C$2005,$A23,Movimenti!$A$6:$A$2005,"&gt;="&amp;DATE(Impostazioni!$C$4,I$4,1),Movimenti!$A$6:$A$2005,"&lt;"&amp;DATE(Impostazioni!$C$4,I$4+1,1)))</f>
        <v/>
      </c>
      <c r="J23" s="36">
        <f>IF($A23="",0,SUMIFS(Movimenti!$D$6:$D$2005,Movimenti!$C$6:$C$2005,$A23,Movimenti!$A$6:$A$2005,"&gt;="&amp;DATE(Impostazioni!$C$4,J$4,1),Movimenti!$A$6:$A$2005,"&lt;"&amp;DATE(Impostazioni!$C$4,J$4+1,1)))</f>
        <v/>
      </c>
      <c r="K23" s="36">
        <f>IF($A23="",0,SUMIFS(Movimenti!$D$6:$D$2005,Movimenti!$C$6:$C$2005,$A23,Movimenti!$A$6:$A$2005,"&gt;="&amp;DATE(Impostazioni!$C$4,K$4,1),Movimenti!$A$6:$A$2005,"&lt;"&amp;DATE(Impostazioni!$C$4,K$4+1,1)))</f>
        <v/>
      </c>
      <c r="L23" s="36">
        <f>IF($A23="",0,SUMIFS(Movimenti!$D$6:$D$2005,Movimenti!$C$6:$C$2005,$A23,Movimenti!$A$6:$A$2005,"&gt;="&amp;DATE(Impostazioni!$C$4,L$4,1),Movimenti!$A$6:$A$2005,"&lt;"&amp;DATE(Impostazioni!$C$4,L$4+1,1)))</f>
        <v/>
      </c>
      <c r="M23" s="36">
        <f>IF($A23="",0,SUMIFS(Movimenti!$D$6:$D$2005,Movimenti!$C$6:$C$2005,$A23,Movimenti!$A$6:$A$2005,"&gt;="&amp;DATE(Impostazioni!$C$4,M$4,1),Movimenti!$A$6:$A$2005,"&lt;"&amp;DATE(Impostazioni!$C$4,M$4+1,1)))</f>
        <v/>
      </c>
      <c r="N23" s="36">
        <f>IF($A23="",0,SUMIFS(Movimenti!$D$6:$D$2005,Movimenti!$C$6:$C$2005,$A23,Movimenti!$A$6:$A$2005,"&gt;="&amp;DATE(Impostazioni!$C$4,N$4,1),Movimenti!$A$6:$A$2005,"&lt;"&amp;DATE(Impostazioni!$C$4,N$4+1,1)))</f>
        <v/>
      </c>
      <c r="O23" s="45">
        <f>SUM(C23:N23)</f>
        <v/>
      </c>
      <c r="P23" s="36">
        <f>Budget!P23</f>
        <v/>
      </c>
      <c r="Q23" s="36">
        <f>O23-P23</f>
        <v/>
      </c>
      <c r="R23" s="47">
        <f>IF(P23=0,"",O23/P23)</f>
        <v/>
      </c>
      <c r="T23" s="36">
        <f>INDEX(Budget!$D23:$O23,Impostazioni!$C$12)</f>
        <v/>
      </c>
      <c r="U23" s="36">
        <f>INDEX($C23:$N23,Impostazioni!$C$12)</f>
        <v/>
      </c>
      <c r="V23" s="36">
        <f>U23-T23</f>
        <v/>
      </c>
      <c r="W23" s="36">
        <f>SUMIFS(Budget!$D23:$O23,Budget!$D$4:$O$4,"&lt;="&amp;Impostazioni!$C$12)</f>
        <v/>
      </c>
      <c r="X23" s="36">
        <f>SUMIFS($C23:$N23,$C$4:$N$4,"&lt;="&amp;Impostazioni!$C$12)</f>
        <v/>
      </c>
      <c r="Y23" s="36">
        <f>X23-W23</f>
        <v/>
      </c>
      <c r="Z23" s="51">
        <f>IF(AND(O23&gt;0,LEFT(B23,5)="Spesa"),O23-ROW()/10000000,0)</f>
        <v/>
      </c>
    </row>
    <row r="24">
      <c r="A24" s="42">
        <f>IF(Categorie!$A16="","",Categorie!$A16)</f>
        <v/>
      </c>
      <c r="B24" s="35">
        <f>IF(A24="","",Categorie!$B16&amp;"")</f>
        <v/>
      </c>
      <c r="C24" s="36">
        <f>IF($A24="",0,SUMIFS(Movimenti!$D$6:$D$2005,Movimenti!$C$6:$C$2005,$A24,Movimenti!$A$6:$A$2005,"&gt;="&amp;DATE(Impostazioni!$C$4,C$4,1),Movimenti!$A$6:$A$2005,"&lt;"&amp;DATE(Impostazioni!$C$4,C$4+1,1)))</f>
        <v/>
      </c>
      <c r="D24" s="36">
        <f>IF($A24="",0,SUMIFS(Movimenti!$D$6:$D$2005,Movimenti!$C$6:$C$2005,$A24,Movimenti!$A$6:$A$2005,"&gt;="&amp;DATE(Impostazioni!$C$4,D$4,1),Movimenti!$A$6:$A$2005,"&lt;"&amp;DATE(Impostazioni!$C$4,D$4+1,1)))</f>
        <v/>
      </c>
      <c r="E24" s="36">
        <f>IF($A24="",0,SUMIFS(Movimenti!$D$6:$D$2005,Movimenti!$C$6:$C$2005,$A24,Movimenti!$A$6:$A$2005,"&gt;="&amp;DATE(Impostazioni!$C$4,E$4,1),Movimenti!$A$6:$A$2005,"&lt;"&amp;DATE(Impostazioni!$C$4,E$4+1,1)))</f>
        <v/>
      </c>
      <c r="F24" s="36">
        <f>IF($A24="",0,SUMIFS(Movimenti!$D$6:$D$2005,Movimenti!$C$6:$C$2005,$A24,Movimenti!$A$6:$A$2005,"&gt;="&amp;DATE(Impostazioni!$C$4,F$4,1),Movimenti!$A$6:$A$2005,"&lt;"&amp;DATE(Impostazioni!$C$4,F$4+1,1)))</f>
        <v/>
      </c>
      <c r="G24" s="36">
        <f>IF($A24="",0,SUMIFS(Movimenti!$D$6:$D$2005,Movimenti!$C$6:$C$2005,$A24,Movimenti!$A$6:$A$2005,"&gt;="&amp;DATE(Impostazioni!$C$4,G$4,1),Movimenti!$A$6:$A$2005,"&lt;"&amp;DATE(Impostazioni!$C$4,G$4+1,1)))</f>
        <v/>
      </c>
      <c r="H24" s="36">
        <f>IF($A24="",0,SUMIFS(Movimenti!$D$6:$D$2005,Movimenti!$C$6:$C$2005,$A24,Movimenti!$A$6:$A$2005,"&gt;="&amp;DATE(Impostazioni!$C$4,H$4,1),Movimenti!$A$6:$A$2005,"&lt;"&amp;DATE(Impostazioni!$C$4,H$4+1,1)))</f>
        <v/>
      </c>
      <c r="I24" s="36">
        <f>IF($A24="",0,SUMIFS(Movimenti!$D$6:$D$2005,Movimenti!$C$6:$C$2005,$A24,Movimenti!$A$6:$A$2005,"&gt;="&amp;DATE(Impostazioni!$C$4,I$4,1),Movimenti!$A$6:$A$2005,"&lt;"&amp;DATE(Impostazioni!$C$4,I$4+1,1)))</f>
        <v/>
      </c>
      <c r="J24" s="36">
        <f>IF($A24="",0,SUMIFS(Movimenti!$D$6:$D$2005,Movimenti!$C$6:$C$2005,$A24,Movimenti!$A$6:$A$2005,"&gt;="&amp;DATE(Impostazioni!$C$4,J$4,1),Movimenti!$A$6:$A$2005,"&lt;"&amp;DATE(Impostazioni!$C$4,J$4+1,1)))</f>
        <v/>
      </c>
      <c r="K24" s="36">
        <f>IF($A24="",0,SUMIFS(Movimenti!$D$6:$D$2005,Movimenti!$C$6:$C$2005,$A24,Movimenti!$A$6:$A$2005,"&gt;="&amp;DATE(Impostazioni!$C$4,K$4,1),Movimenti!$A$6:$A$2005,"&lt;"&amp;DATE(Impostazioni!$C$4,K$4+1,1)))</f>
        <v/>
      </c>
      <c r="L24" s="36">
        <f>IF($A24="",0,SUMIFS(Movimenti!$D$6:$D$2005,Movimenti!$C$6:$C$2005,$A24,Movimenti!$A$6:$A$2005,"&gt;="&amp;DATE(Impostazioni!$C$4,L$4,1),Movimenti!$A$6:$A$2005,"&lt;"&amp;DATE(Impostazioni!$C$4,L$4+1,1)))</f>
        <v/>
      </c>
      <c r="M24" s="36">
        <f>IF($A24="",0,SUMIFS(Movimenti!$D$6:$D$2005,Movimenti!$C$6:$C$2005,$A24,Movimenti!$A$6:$A$2005,"&gt;="&amp;DATE(Impostazioni!$C$4,M$4,1),Movimenti!$A$6:$A$2005,"&lt;"&amp;DATE(Impostazioni!$C$4,M$4+1,1)))</f>
        <v/>
      </c>
      <c r="N24" s="36">
        <f>IF($A24="",0,SUMIFS(Movimenti!$D$6:$D$2005,Movimenti!$C$6:$C$2005,$A24,Movimenti!$A$6:$A$2005,"&gt;="&amp;DATE(Impostazioni!$C$4,N$4,1),Movimenti!$A$6:$A$2005,"&lt;"&amp;DATE(Impostazioni!$C$4,N$4+1,1)))</f>
        <v/>
      </c>
      <c r="O24" s="45">
        <f>SUM(C24:N24)</f>
        <v/>
      </c>
      <c r="P24" s="36">
        <f>Budget!P24</f>
        <v/>
      </c>
      <c r="Q24" s="36">
        <f>O24-P24</f>
        <v/>
      </c>
      <c r="R24" s="47">
        <f>IF(P24=0,"",O24/P24)</f>
        <v/>
      </c>
      <c r="T24" s="36">
        <f>INDEX(Budget!$D24:$O24,Impostazioni!$C$12)</f>
        <v/>
      </c>
      <c r="U24" s="36">
        <f>INDEX($C24:$N24,Impostazioni!$C$12)</f>
        <v/>
      </c>
      <c r="V24" s="36">
        <f>U24-T24</f>
        <v/>
      </c>
      <c r="W24" s="36">
        <f>SUMIFS(Budget!$D24:$O24,Budget!$D$4:$O$4,"&lt;="&amp;Impostazioni!$C$12)</f>
        <v/>
      </c>
      <c r="X24" s="36">
        <f>SUMIFS($C24:$N24,$C$4:$N$4,"&lt;="&amp;Impostazioni!$C$12)</f>
        <v/>
      </c>
      <c r="Y24" s="36">
        <f>X24-W24</f>
        <v/>
      </c>
      <c r="Z24" s="51">
        <f>IF(AND(O24&gt;0,LEFT(B24,5)="Spesa"),O24-ROW()/10000000,0)</f>
        <v/>
      </c>
    </row>
    <row r="25">
      <c r="A25" s="42">
        <f>IF(Categorie!$A17="","",Categorie!$A17)</f>
        <v/>
      </c>
      <c r="B25" s="35">
        <f>IF(A25="","",Categorie!$B17&amp;"")</f>
        <v/>
      </c>
      <c r="C25" s="36">
        <f>IF($A25="",0,SUMIFS(Movimenti!$D$6:$D$2005,Movimenti!$C$6:$C$2005,$A25,Movimenti!$A$6:$A$2005,"&gt;="&amp;DATE(Impostazioni!$C$4,C$4,1),Movimenti!$A$6:$A$2005,"&lt;"&amp;DATE(Impostazioni!$C$4,C$4+1,1)))</f>
        <v/>
      </c>
      <c r="D25" s="36">
        <f>IF($A25="",0,SUMIFS(Movimenti!$D$6:$D$2005,Movimenti!$C$6:$C$2005,$A25,Movimenti!$A$6:$A$2005,"&gt;="&amp;DATE(Impostazioni!$C$4,D$4,1),Movimenti!$A$6:$A$2005,"&lt;"&amp;DATE(Impostazioni!$C$4,D$4+1,1)))</f>
        <v/>
      </c>
      <c r="E25" s="36">
        <f>IF($A25="",0,SUMIFS(Movimenti!$D$6:$D$2005,Movimenti!$C$6:$C$2005,$A25,Movimenti!$A$6:$A$2005,"&gt;="&amp;DATE(Impostazioni!$C$4,E$4,1),Movimenti!$A$6:$A$2005,"&lt;"&amp;DATE(Impostazioni!$C$4,E$4+1,1)))</f>
        <v/>
      </c>
      <c r="F25" s="36">
        <f>IF($A25="",0,SUMIFS(Movimenti!$D$6:$D$2005,Movimenti!$C$6:$C$2005,$A25,Movimenti!$A$6:$A$2005,"&gt;="&amp;DATE(Impostazioni!$C$4,F$4,1),Movimenti!$A$6:$A$2005,"&lt;"&amp;DATE(Impostazioni!$C$4,F$4+1,1)))</f>
        <v/>
      </c>
      <c r="G25" s="36">
        <f>IF($A25="",0,SUMIFS(Movimenti!$D$6:$D$2005,Movimenti!$C$6:$C$2005,$A25,Movimenti!$A$6:$A$2005,"&gt;="&amp;DATE(Impostazioni!$C$4,G$4,1),Movimenti!$A$6:$A$2005,"&lt;"&amp;DATE(Impostazioni!$C$4,G$4+1,1)))</f>
        <v/>
      </c>
      <c r="H25" s="36">
        <f>IF($A25="",0,SUMIFS(Movimenti!$D$6:$D$2005,Movimenti!$C$6:$C$2005,$A25,Movimenti!$A$6:$A$2005,"&gt;="&amp;DATE(Impostazioni!$C$4,H$4,1),Movimenti!$A$6:$A$2005,"&lt;"&amp;DATE(Impostazioni!$C$4,H$4+1,1)))</f>
        <v/>
      </c>
      <c r="I25" s="36">
        <f>IF($A25="",0,SUMIFS(Movimenti!$D$6:$D$2005,Movimenti!$C$6:$C$2005,$A25,Movimenti!$A$6:$A$2005,"&gt;="&amp;DATE(Impostazioni!$C$4,I$4,1),Movimenti!$A$6:$A$2005,"&lt;"&amp;DATE(Impostazioni!$C$4,I$4+1,1)))</f>
        <v/>
      </c>
      <c r="J25" s="36">
        <f>IF($A25="",0,SUMIFS(Movimenti!$D$6:$D$2005,Movimenti!$C$6:$C$2005,$A25,Movimenti!$A$6:$A$2005,"&gt;="&amp;DATE(Impostazioni!$C$4,J$4,1),Movimenti!$A$6:$A$2005,"&lt;"&amp;DATE(Impostazioni!$C$4,J$4+1,1)))</f>
        <v/>
      </c>
      <c r="K25" s="36">
        <f>IF($A25="",0,SUMIFS(Movimenti!$D$6:$D$2005,Movimenti!$C$6:$C$2005,$A25,Movimenti!$A$6:$A$2005,"&gt;="&amp;DATE(Impostazioni!$C$4,K$4,1),Movimenti!$A$6:$A$2005,"&lt;"&amp;DATE(Impostazioni!$C$4,K$4+1,1)))</f>
        <v/>
      </c>
      <c r="L25" s="36">
        <f>IF($A25="",0,SUMIFS(Movimenti!$D$6:$D$2005,Movimenti!$C$6:$C$2005,$A25,Movimenti!$A$6:$A$2005,"&gt;="&amp;DATE(Impostazioni!$C$4,L$4,1),Movimenti!$A$6:$A$2005,"&lt;"&amp;DATE(Impostazioni!$C$4,L$4+1,1)))</f>
        <v/>
      </c>
      <c r="M25" s="36">
        <f>IF($A25="",0,SUMIFS(Movimenti!$D$6:$D$2005,Movimenti!$C$6:$C$2005,$A25,Movimenti!$A$6:$A$2005,"&gt;="&amp;DATE(Impostazioni!$C$4,M$4,1),Movimenti!$A$6:$A$2005,"&lt;"&amp;DATE(Impostazioni!$C$4,M$4+1,1)))</f>
        <v/>
      </c>
      <c r="N25" s="36">
        <f>IF($A25="",0,SUMIFS(Movimenti!$D$6:$D$2005,Movimenti!$C$6:$C$2005,$A25,Movimenti!$A$6:$A$2005,"&gt;="&amp;DATE(Impostazioni!$C$4,N$4,1),Movimenti!$A$6:$A$2005,"&lt;"&amp;DATE(Impostazioni!$C$4,N$4+1,1)))</f>
        <v/>
      </c>
      <c r="O25" s="45">
        <f>SUM(C25:N25)</f>
        <v/>
      </c>
      <c r="P25" s="36">
        <f>Budget!P25</f>
        <v/>
      </c>
      <c r="Q25" s="36">
        <f>O25-P25</f>
        <v/>
      </c>
      <c r="R25" s="47">
        <f>IF(P25=0,"",O25/P25)</f>
        <v/>
      </c>
      <c r="T25" s="36">
        <f>INDEX(Budget!$D25:$O25,Impostazioni!$C$12)</f>
        <v/>
      </c>
      <c r="U25" s="36">
        <f>INDEX($C25:$N25,Impostazioni!$C$12)</f>
        <v/>
      </c>
      <c r="V25" s="36">
        <f>U25-T25</f>
        <v/>
      </c>
      <c r="W25" s="36">
        <f>SUMIFS(Budget!$D25:$O25,Budget!$D$4:$O$4,"&lt;="&amp;Impostazioni!$C$12)</f>
        <v/>
      </c>
      <c r="X25" s="36">
        <f>SUMIFS($C25:$N25,$C$4:$N$4,"&lt;="&amp;Impostazioni!$C$12)</f>
        <v/>
      </c>
      <c r="Y25" s="36">
        <f>X25-W25</f>
        <v/>
      </c>
      <c r="Z25" s="51">
        <f>IF(AND(O25&gt;0,LEFT(B25,5)="Spesa"),O25-ROW()/10000000,0)</f>
        <v/>
      </c>
    </row>
    <row r="26">
      <c r="A26" s="42">
        <f>IF(Categorie!$A18="","",Categorie!$A18)</f>
        <v/>
      </c>
      <c r="B26" s="35">
        <f>IF(A26="","",Categorie!$B18&amp;"")</f>
        <v/>
      </c>
      <c r="C26" s="36">
        <f>IF($A26="",0,SUMIFS(Movimenti!$D$6:$D$2005,Movimenti!$C$6:$C$2005,$A26,Movimenti!$A$6:$A$2005,"&gt;="&amp;DATE(Impostazioni!$C$4,C$4,1),Movimenti!$A$6:$A$2005,"&lt;"&amp;DATE(Impostazioni!$C$4,C$4+1,1)))</f>
        <v/>
      </c>
      <c r="D26" s="36">
        <f>IF($A26="",0,SUMIFS(Movimenti!$D$6:$D$2005,Movimenti!$C$6:$C$2005,$A26,Movimenti!$A$6:$A$2005,"&gt;="&amp;DATE(Impostazioni!$C$4,D$4,1),Movimenti!$A$6:$A$2005,"&lt;"&amp;DATE(Impostazioni!$C$4,D$4+1,1)))</f>
        <v/>
      </c>
      <c r="E26" s="36">
        <f>IF($A26="",0,SUMIFS(Movimenti!$D$6:$D$2005,Movimenti!$C$6:$C$2005,$A26,Movimenti!$A$6:$A$2005,"&gt;="&amp;DATE(Impostazioni!$C$4,E$4,1),Movimenti!$A$6:$A$2005,"&lt;"&amp;DATE(Impostazioni!$C$4,E$4+1,1)))</f>
        <v/>
      </c>
      <c r="F26" s="36">
        <f>IF($A26="",0,SUMIFS(Movimenti!$D$6:$D$2005,Movimenti!$C$6:$C$2005,$A26,Movimenti!$A$6:$A$2005,"&gt;="&amp;DATE(Impostazioni!$C$4,F$4,1),Movimenti!$A$6:$A$2005,"&lt;"&amp;DATE(Impostazioni!$C$4,F$4+1,1)))</f>
        <v/>
      </c>
      <c r="G26" s="36">
        <f>IF($A26="",0,SUMIFS(Movimenti!$D$6:$D$2005,Movimenti!$C$6:$C$2005,$A26,Movimenti!$A$6:$A$2005,"&gt;="&amp;DATE(Impostazioni!$C$4,G$4,1),Movimenti!$A$6:$A$2005,"&lt;"&amp;DATE(Impostazioni!$C$4,G$4+1,1)))</f>
        <v/>
      </c>
      <c r="H26" s="36">
        <f>IF($A26="",0,SUMIFS(Movimenti!$D$6:$D$2005,Movimenti!$C$6:$C$2005,$A26,Movimenti!$A$6:$A$2005,"&gt;="&amp;DATE(Impostazioni!$C$4,H$4,1),Movimenti!$A$6:$A$2005,"&lt;"&amp;DATE(Impostazioni!$C$4,H$4+1,1)))</f>
        <v/>
      </c>
      <c r="I26" s="36">
        <f>IF($A26="",0,SUMIFS(Movimenti!$D$6:$D$2005,Movimenti!$C$6:$C$2005,$A26,Movimenti!$A$6:$A$2005,"&gt;="&amp;DATE(Impostazioni!$C$4,I$4,1),Movimenti!$A$6:$A$2005,"&lt;"&amp;DATE(Impostazioni!$C$4,I$4+1,1)))</f>
        <v/>
      </c>
      <c r="J26" s="36">
        <f>IF($A26="",0,SUMIFS(Movimenti!$D$6:$D$2005,Movimenti!$C$6:$C$2005,$A26,Movimenti!$A$6:$A$2005,"&gt;="&amp;DATE(Impostazioni!$C$4,J$4,1),Movimenti!$A$6:$A$2005,"&lt;"&amp;DATE(Impostazioni!$C$4,J$4+1,1)))</f>
        <v/>
      </c>
      <c r="K26" s="36">
        <f>IF($A26="",0,SUMIFS(Movimenti!$D$6:$D$2005,Movimenti!$C$6:$C$2005,$A26,Movimenti!$A$6:$A$2005,"&gt;="&amp;DATE(Impostazioni!$C$4,K$4,1),Movimenti!$A$6:$A$2005,"&lt;"&amp;DATE(Impostazioni!$C$4,K$4+1,1)))</f>
        <v/>
      </c>
      <c r="L26" s="36">
        <f>IF($A26="",0,SUMIFS(Movimenti!$D$6:$D$2005,Movimenti!$C$6:$C$2005,$A26,Movimenti!$A$6:$A$2005,"&gt;="&amp;DATE(Impostazioni!$C$4,L$4,1),Movimenti!$A$6:$A$2005,"&lt;"&amp;DATE(Impostazioni!$C$4,L$4+1,1)))</f>
        <v/>
      </c>
      <c r="M26" s="36">
        <f>IF($A26="",0,SUMIFS(Movimenti!$D$6:$D$2005,Movimenti!$C$6:$C$2005,$A26,Movimenti!$A$6:$A$2005,"&gt;="&amp;DATE(Impostazioni!$C$4,M$4,1),Movimenti!$A$6:$A$2005,"&lt;"&amp;DATE(Impostazioni!$C$4,M$4+1,1)))</f>
        <v/>
      </c>
      <c r="N26" s="36">
        <f>IF($A26="",0,SUMIFS(Movimenti!$D$6:$D$2005,Movimenti!$C$6:$C$2005,$A26,Movimenti!$A$6:$A$2005,"&gt;="&amp;DATE(Impostazioni!$C$4,N$4,1),Movimenti!$A$6:$A$2005,"&lt;"&amp;DATE(Impostazioni!$C$4,N$4+1,1)))</f>
        <v/>
      </c>
      <c r="O26" s="45">
        <f>SUM(C26:N26)</f>
        <v/>
      </c>
      <c r="P26" s="36">
        <f>Budget!P26</f>
        <v/>
      </c>
      <c r="Q26" s="36">
        <f>O26-P26</f>
        <v/>
      </c>
      <c r="R26" s="47">
        <f>IF(P26=0,"",O26/P26)</f>
        <v/>
      </c>
      <c r="T26" s="36">
        <f>INDEX(Budget!$D26:$O26,Impostazioni!$C$12)</f>
        <v/>
      </c>
      <c r="U26" s="36">
        <f>INDEX($C26:$N26,Impostazioni!$C$12)</f>
        <v/>
      </c>
      <c r="V26" s="36">
        <f>U26-T26</f>
        <v/>
      </c>
      <c r="W26" s="36">
        <f>SUMIFS(Budget!$D26:$O26,Budget!$D$4:$O$4,"&lt;="&amp;Impostazioni!$C$12)</f>
        <v/>
      </c>
      <c r="X26" s="36">
        <f>SUMIFS($C26:$N26,$C$4:$N$4,"&lt;="&amp;Impostazioni!$C$12)</f>
        <v/>
      </c>
      <c r="Y26" s="36">
        <f>X26-W26</f>
        <v/>
      </c>
      <c r="Z26" s="51">
        <f>IF(AND(O26&gt;0,LEFT(B26,5)="Spesa"),O26-ROW()/10000000,0)</f>
        <v/>
      </c>
    </row>
    <row r="27">
      <c r="A27" s="42">
        <f>IF(Categorie!$A19="","",Categorie!$A19)</f>
        <v/>
      </c>
      <c r="B27" s="35">
        <f>IF(A27="","",Categorie!$B19&amp;"")</f>
        <v/>
      </c>
      <c r="C27" s="36">
        <f>IF($A27="",0,SUMIFS(Movimenti!$D$6:$D$2005,Movimenti!$C$6:$C$2005,$A27,Movimenti!$A$6:$A$2005,"&gt;="&amp;DATE(Impostazioni!$C$4,C$4,1),Movimenti!$A$6:$A$2005,"&lt;"&amp;DATE(Impostazioni!$C$4,C$4+1,1)))</f>
        <v/>
      </c>
      <c r="D27" s="36">
        <f>IF($A27="",0,SUMIFS(Movimenti!$D$6:$D$2005,Movimenti!$C$6:$C$2005,$A27,Movimenti!$A$6:$A$2005,"&gt;="&amp;DATE(Impostazioni!$C$4,D$4,1),Movimenti!$A$6:$A$2005,"&lt;"&amp;DATE(Impostazioni!$C$4,D$4+1,1)))</f>
        <v/>
      </c>
      <c r="E27" s="36">
        <f>IF($A27="",0,SUMIFS(Movimenti!$D$6:$D$2005,Movimenti!$C$6:$C$2005,$A27,Movimenti!$A$6:$A$2005,"&gt;="&amp;DATE(Impostazioni!$C$4,E$4,1),Movimenti!$A$6:$A$2005,"&lt;"&amp;DATE(Impostazioni!$C$4,E$4+1,1)))</f>
        <v/>
      </c>
      <c r="F27" s="36">
        <f>IF($A27="",0,SUMIFS(Movimenti!$D$6:$D$2005,Movimenti!$C$6:$C$2005,$A27,Movimenti!$A$6:$A$2005,"&gt;="&amp;DATE(Impostazioni!$C$4,F$4,1),Movimenti!$A$6:$A$2005,"&lt;"&amp;DATE(Impostazioni!$C$4,F$4+1,1)))</f>
        <v/>
      </c>
      <c r="G27" s="36">
        <f>IF($A27="",0,SUMIFS(Movimenti!$D$6:$D$2005,Movimenti!$C$6:$C$2005,$A27,Movimenti!$A$6:$A$2005,"&gt;="&amp;DATE(Impostazioni!$C$4,G$4,1),Movimenti!$A$6:$A$2005,"&lt;"&amp;DATE(Impostazioni!$C$4,G$4+1,1)))</f>
        <v/>
      </c>
      <c r="H27" s="36">
        <f>IF($A27="",0,SUMIFS(Movimenti!$D$6:$D$2005,Movimenti!$C$6:$C$2005,$A27,Movimenti!$A$6:$A$2005,"&gt;="&amp;DATE(Impostazioni!$C$4,H$4,1),Movimenti!$A$6:$A$2005,"&lt;"&amp;DATE(Impostazioni!$C$4,H$4+1,1)))</f>
        <v/>
      </c>
      <c r="I27" s="36">
        <f>IF($A27="",0,SUMIFS(Movimenti!$D$6:$D$2005,Movimenti!$C$6:$C$2005,$A27,Movimenti!$A$6:$A$2005,"&gt;="&amp;DATE(Impostazioni!$C$4,I$4,1),Movimenti!$A$6:$A$2005,"&lt;"&amp;DATE(Impostazioni!$C$4,I$4+1,1)))</f>
        <v/>
      </c>
      <c r="J27" s="36">
        <f>IF($A27="",0,SUMIFS(Movimenti!$D$6:$D$2005,Movimenti!$C$6:$C$2005,$A27,Movimenti!$A$6:$A$2005,"&gt;="&amp;DATE(Impostazioni!$C$4,J$4,1),Movimenti!$A$6:$A$2005,"&lt;"&amp;DATE(Impostazioni!$C$4,J$4+1,1)))</f>
        <v/>
      </c>
      <c r="K27" s="36">
        <f>IF($A27="",0,SUMIFS(Movimenti!$D$6:$D$2005,Movimenti!$C$6:$C$2005,$A27,Movimenti!$A$6:$A$2005,"&gt;="&amp;DATE(Impostazioni!$C$4,K$4,1),Movimenti!$A$6:$A$2005,"&lt;"&amp;DATE(Impostazioni!$C$4,K$4+1,1)))</f>
        <v/>
      </c>
      <c r="L27" s="36">
        <f>IF($A27="",0,SUMIFS(Movimenti!$D$6:$D$2005,Movimenti!$C$6:$C$2005,$A27,Movimenti!$A$6:$A$2005,"&gt;="&amp;DATE(Impostazioni!$C$4,L$4,1),Movimenti!$A$6:$A$2005,"&lt;"&amp;DATE(Impostazioni!$C$4,L$4+1,1)))</f>
        <v/>
      </c>
      <c r="M27" s="36">
        <f>IF($A27="",0,SUMIFS(Movimenti!$D$6:$D$2005,Movimenti!$C$6:$C$2005,$A27,Movimenti!$A$6:$A$2005,"&gt;="&amp;DATE(Impostazioni!$C$4,M$4,1),Movimenti!$A$6:$A$2005,"&lt;"&amp;DATE(Impostazioni!$C$4,M$4+1,1)))</f>
        <v/>
      </c>
      <c r="N27" s="36">
        <f>IF($A27="",0,SUMIFS(Movimenti!$D$6:$D$2005,Movimenti!$C$6:$C$2005,$A27,Movimenti!$A$6:$A$2005,"&gt;="&amp;DATE(Impostazioni!$C$4,N$4,1),Movimenti!$A$6:$A$2005,"&lt;"&amp;DATE(Impostazioni!$C$4,N$4+1,1)))</f>
        <v/>
      </c>
      <c r="O27" s="45">
        <f>SUM(C27:N27)</f>
        <v/>
      </c>
      <c r="P27" s="36">
        <f>Budget!P27</f>
        <v/>
      </c>
      <c r="Q27" s="36">
        <f>O27-P27</f>
        <v/>
      </c>
      <c r="R27" s="47">
        <f>IF(P27=0,"",O27/P27)</f>
        <v/>
      </c>
      <c r="T27" s="36">
        <f>INDEX(Budget!$D27:$O27,Impostazioni!$C$12)</f>
        <v/>
      </c>
      <c r="U27" s="36">
        <f>INDEX($C27:$N27,Impostazioni!$C$12)</f>
        <v/>
      </c>
      <c r="V27" s="36">
        <f>U27-T27</f>
        <v/>
      </c>
      <c r="W27" s="36">
        <f>SUMIFS(Budget!$D27:$O27,Budget!$D$4:$O$4,"&lt;="&amp;Impostazioni!$C$12)</f>
        <v/>
      </c>
      <c r="X27" s="36">
        <f>SUMIFS($C27:$N27,$C$4:$N$4,"&lt;="&amp;Impostazioni!$C$12)</f>
        <v/>
      </c>
      <c r="Y27" s="36">
        <f>X27-W27</f>
        <v/>
      </c>
      <c r="Z27" s="51">
        <f>IF(AND(O27&gt;0,LEFT(B27,5)="Spesa"),O27-ROW()/10000000,0)</f>
        <v/>
      </c>
    </row>
    <row r="28">
      <c r="A28" s="42">
        <f>IF(Categorie!$A20="","",Categorie!$A20)</f>
        <v/>
      </c>
      <c r="B28" s="35">
        <f>IF(A28="","",Categorie!$B20&amp;"")</f>
        <v/>
      </c>
      <c r="C28" s="36">
        <f>IF($A28="",0,SUMIFS(Movimenti!$D$6:$D$2005,Movimenti!$C$6:$C$2005,$A28,Movimenti!$A$6:$A$2005,"&gt;="&amp;DATE(Impostazioni!$C$4,C$4,1),Movimenti!$A$6:$A$2005,"&lt;"&amp;DATE(Impostazioni!$C$4,C$4+1,1)))</f>
        <v/>
      </c>
      <c r="D28" s="36">
        <f>IF($A28="",0,SUMIFS(Movimenti!$D$6:$D$2005,Movimenti!$C$6:$C$2005,$A28,Movimenti!$A$6:$A$2005,"&gt;="&amp;DATE(Impostazioni!$C$4,D$4,1),Movimenti!$A$6:$A$2005,"&lt;"&amp;DATE(Impostazioni!$C$4,D$4+1,1)))</f>
        <v/>
      </c>
      <c r="E28" s="36">
        <f>IF($A28="",0,SUMIFS(Movimenti!$D$6:$D$2005,Movimenti!$C$6:$C$2005,$A28,Movimenti!$A$6:$A$2005,"&gt;="&amp;DATE(Impostazioni!$C$4,E$4,1),Movimenti!$A$6:$A$2005,"&lt;"&amp;DATE(Impostazioni!$C$4,E$4+1,1)))</f>
        <v/>
      </c>
      <c r="F28" s="36">
        <f>IF($A28="",0,SUMIFS(Movimenti!$D$6:$D$2005,Movimenti!$C$6:$C$2005,$A28,Movimenti!$A$6:$A$2005,"&gt;="&amp;DATE(Impostazioni!$C$4,F$4,1),Movimenti!$A$6:$A$2005,"&lt;"&amp;DATE(Impostazioni!$C$4,F$4+1,1)))</f>
        <v/>
      </c>
      <c r="G28" s="36">
        <f>IF($A28="",0,SUMIFS(Movimenti!$D$6:$D$2005,Movimenti!$C$6:$C$2005,$A28,Movimenti!$A$6:$A$2005,"&gt;="&amp;DATE(Impostazioni!$C$4,G$4,1),Movimenti!$A$6:$A$2005,"&lt;"&amp;DATE(Impostazioni!$C$4,G$4+1,1)))</f>
        <v/>
      </c>
      <c r="H28" s="36">
        <f>IF($A28="",0,SUMIFS(Movimenti!$D$6:$D$2005,Movimenti!$C$6:$C$2005,$A28,Movimenti!$A$6:$A$2005,"&gt;="&amp;DATE(Impostazioni!$C$4,H$4,1),Movimenti!$A$6:$A$2005,"&lt;"&amp;DATE(Impostazioni!$C$4,H$4+1,1)))</f>
        <v/>
      </c>
      <c r="I28" s="36">
        <f>IF($A28="",0,SUMIFS(Movimenti!$D$6:$D$2005,Movimenti!$C$6:$C$2005,$A28,Movimenti!$A$6:$A$2005,"&gt;="&amp;DATE(Impostazioni!$C$4,I$4,1),Movimenti!$A$6:$A$2005,"&lt;"&amp;DATE(Impostazioni!$C$4,I$4+1,1)))</f>
        <v/>
      </c>
      <c r="J28" s="36">
        <f>IF($A28="",0,SUMIFS(Movimenti!$D$6:$D$2005,Movimenti!$C$6:$C$2005,$A28,Movimenti!$A$6:$A$2005,"&gt;="&amp;DATE(Impostazioni!$C$4,J$4,1),Movimenti!$A$6:$A$2005,"&lt;"&amp;DATE(Impostazioni!$C$4,J$4+1,1)))</f>
        <v/>
      </c>
      <c r="K28" s="36">
        <f>IF($A28="",0,SUMIFS(Movimenti!$D$6:$D$2005,Movimenti!$C$6:$C$2005,$A28,Movimenti!$A$6:$A$2005,"&gt;="&amp;DATE(Impostazioni!$C$4,K$4,1),Movimenti!$A$6:$A$2005,"&lt;"&amp;DATE(Impostazioni!$C$4,K$4+1,1)))</f>
        <v/>
      </c>
      <c r="L28" s="36">
        <f>IF($A28="",0,SUMIFS(Movimenti!$D$6:$D$2005,Movimenti!$C$6:$C$2005,$A28,Movimenti!$A$6:$A$2005,"&gt;="&amp;DATE(Impostazioni!$C$4,L$4,1),Movimenti!$A$6:$A$2005,"&lt;"&amp;DATE(Impostazioni!$C$4,L$4+1,1)))</f>
        <v/>
      </c>
      <c r="M28" s="36">
        <f>IF($A28="",0,SUMIFS(Movimenti!$D$6:$D$2005,Movimenti!$C$6:$C$2005,$A28,Movimenti!$A$6:$A$2005,"&gt;="&amp;DATE(Impostazioni!$C$4,M$4,1),Movimenti!$A$6:$A$2005,"&lt;"&amp;DATE(Impostazioni!$C$4,M$4+1,1)))</f>
        <v/>
      </c>
      <c r="N28" s="36">
        <f>IF($A28="",0,SUMIFS(Movimenti!$D$6:$D$2005,Movimenti!$C$6:$C$2005,$A28,Movimenti!$A$6:$A$2005,"&gt;="&amp;DATE(Impostazioni!$C$4,N$4,1),Movimenti!$A$6:$A$2005,"&lt;"&amp;DATE(Impostazioni!$C$4,N$4+1,1)))</f>
        <v/>
      </c>
      <c r="O28" s="45">
        <f>SUM(C28:N28)</f>
        <v/>
      </c>
      <c r="P28" s="36">
        <f>Budget!P28</f>
        <v/>
      </c>
      <c r="Q28" s="36">
        <f>O28-P28</f>
        <v/>
      </c>
      <c r="R28" s="47">
        <f>IF(P28=0,"",O28/P28)</f>
        <v/>
      </c>
      <c r="T28" s="36">
        <f>INDEX(Budget!$D28:$O28,Impostazioni!$C$12)</f>
        <v/>
      </c>
      <c r="U28" s="36">
        <f>INDEX($C28:$N28,Impostazioni!$C$12)</f>
        <v/>
      </c>
      <c r="V28" s="36">
        <f>U28-T28</f>
        <v/>
      </c>
      <c r="W28" s="36">
        <f>SUMIFS(Budget!$D28:$O28,Budget!$D$4:$O$4,"&lt;="&amp;Impostazioni!$C$12)</f>
        <v/>
      </c>
      <c r="X28" s="36">
        <f>SUMIFS($C28:$N28,$C$4:$N$4,"&lt;="&amp;Impostazioni!$C$12)</f>
        <v/>
      </c>
      <c r="Y28" s="36">
        <f>X28-W28</f>
        <v/>
      </c>
      <c r="Z28" s="51">
        <f>IF(AND(O28&gt;0,LEFT(B28,5)="Spesa"),O28-ROW()/10000000,0)</f>
        <v/>
      </c>
    </row>
    <row r="29">
      <c r="A29" s="42">
        <f>IF(Categorie!$A21="","",Categorie!$A21)</f>
        <v/>
      </c>
      <c r="B29" s="35">
        <f>IF(A29="","",Categorie!$B21&amp;"")</f>
        <v/>
      </c>
      <c r="C29" s="36">
        <f>IF($A29="",0,SUMIFS(Movimenti!$D$6:$D$2005,Movimenti!$C$6:$C$2005,$A29,Movimenti!$A$6:$A$2005,"&gt;="&amp;DATE(Impostazioni!$C$4,C$4,1),Movimenti!$A$6:$A$2005,"&lt;"&amp;DATE(Impostazioni!$C$4,C$4+1,1)))</f>
        <v/>
      </c>
      <c r="D29" s="36">
        <f>IF($A29="",0,SUMIFS(Movimenti!$D$6:$D$2005,Movimenti!$C$6:$C$2005,$A29,Movimenti!$A$6:$A$2005,"&gt;="&amp;DATE(Impostazioni!$C$4,D$4,1),Movimenti!$A$6:$A$2005,"&lt;"&amp;DATE(Impostazioni!$C$4,D$4+1,1)))</f>
        <v/>
      </c>
      <c r="E29" s="36">
        <f>IF($A29="",0,SUMIFS(Movimenti!$D$6:$D$2005,Movimenti!$C$6:$C$2005,$A29,Movimenti!$A$6:$A$2005,"&gt;="&amp;DATE(Impostazioni!$C$4,E$4,1),Movimenti!$A$6:$A$2005,"&lt;"&amp;DATE(Impostazioni!$C$4,E$4+1,1)))</f>
        <v/>
      </c>
      <c r="F29" s="36">
        <f>IF($A29="",0,SUMIFS(Movimenti!$D$6:$D$2005,Movimenti!$C$6:$C$2005,$A29,Movimenti!$A$6:$A$2005,"&gt;="&amp;DATE(Impostazioni!$C$4,F$4,1),Movimenti!$A$6:$A$2005,"&lt;"&amp;DATE(Impostazioni!$C$4,F$4+1,1)))</f>
        <v/>
      </c>
      <c r="G29" s="36">
        <f>IF($A29="",0,SUMIFS(Movimenti!$D$6:$D$2005,Movimenti!$C$6:$C$2005,$A29,Movimenti!$A$6:$A$2005,"&gt;="&amp;DATE(Impostazioni!$C$4,G$4,1),Movimenti!$A$6:$A$2005,"&lt;"&amp;DATE(Impostazioni!$C$4,G$4+1,1)))</f>
        <v/>
      </c>
      <c r="H29" s="36">
        <f>IF($A29="",0,SUMIFS(Movimenti!$D$6:$D$2005,Movimenti!$C$6:$C$2005,$A29,Movimenti!$A$6:$A$2005,"&gt;="&amp;DATE(Impostazioni!$C$4,H$4,1),Movimenti!$A$6:$A$2005,"&lt;"&amp;DATE(Impostazioni!$C$4,H$4+1,1)))</f>
        <v/>
      </c>
      <c r="I29" s="36">
        <f>IF($A29="",0,SUMIFS(Movimenti!$D$6:$D$2005,Movimenti!$C$6:$C$2005,$A29,Movimenti!$A$6:$A$2005,"&gt;="&amp;DATE(Impostazioni!$C$4,I$4,1),Movimenti!$A$6:$A$2005,"&lt;"&amp;DATE(Impostazioni!$C$4,I$4+1,1)))</f>
        <v/>
      </c>
      <c r="J29" s="36">
        <f>IF($A29="",0,SUMIFS(Movimenti!$D$6:$D$2005,Movimenti!$C$6:$C$2005,$A29,Movimenti!$A$6:$A$2005,"&gt;="&amp;DATE(Impostazioni!$C$4,J$4,1),Movimenti!$A$6:$A$2005,"&lt;"&amp;DATE(Impostazioni!$C$4,J$4+1,1)))</f>
        <v/>
      </c>
      <c r="K29" s="36">
        <f>IF($A29="",0,SUMIFS(Movimenti!$D$6:$D$2005,Movimenti!$C$6:$C$2005,$A29,Movimenti!$A$6:$A$2005,"&gt;="&amp;DATE(Impostazioni!$C$4,K$4,1),Movimenti!$A$6:$A$2005,"&lt;"&amp;DATE(Impostazioni!$C$4,K$4+1,1)))</f>
        <v/>
      </c>
      <c r="L29" s="36">
        <f>IF($A29="",0,SUMIFS(Movimenti!$D$6:$D$2005,Movimenti!$C$6:$C$2005,$A29,Movimenti!$A$6:$A$2005,"&gt;="&amp;DATE(Impostazioni!$C$4,L$4,1),Movimenti!$A$6:$A$2005,"&lt;"&amp;DATE(Impostazioni!$C$4,L$4+1,1)))</f>
        <v/>
      </c>
      <c r="M29" s="36">
        <f>IF($A29="",0,SUMIFS(Movimenti!$D$6:$D$2005,Movimenti!$C$6:$C$2005,$A29,Movimenti!$A$6:$A$2005,"&gt;="&amp;DATE(Impostazioni!$C$4,M$4,1),Movimenti!$A$6:$A$2005,"&lt;"&amp;DATE(Impostazioni!$C$4,M$4+1,1)))</f>
        <v/>
      </c>
      <c r="N29" s="36">
        <f>IF($A29="",0,SUMIFS(Movimenti!$D$6:$D$2005,Movimenti!$C$6:$C$2005,$A29,Movimenti!$A$6:$A$2005,"&gt;="&amp;DATE(Impostazioni!$C$4,N$4,1),Movimenti!$A$6:$A$2005,"&lt;"&amp;DATE(Impostazioni!$C$4,N$4+1,1)))</f>
        <v/>
      </c>
      <c r="O29" s="45">
        <f>SUM(C29:N29)</f>
        <v/>
      </c>
      <c r="P29" s="36">
        <f>Budget!P29</f>
        <v/>
      </c>
      <c r="Q29" s="36">
        <f>O29-P29</f>
        <v/>
      </c>
      <c r="R29" s="47">
        <f>IF(P29=0,"",O29/P29)</f>
        <v/>
      </c>
      <c r="T29" s="36">
        <f>INDEX(Budget!$D29:$O29,Impostazioni!$C$12)</f>
        <v/>
      </c>
      <c r="U29" s="36">
        <f>INDEX($C29:$N29,Impostazioni!$C$12)</f>
        <v/>
      </c>
      <c r="V29" s="36">
        <f>U29-T29</f>
        <v/>
      </c>
      <c r="W29" s="36">
        <f>SUMIFS(Budget!$D29:$O29,Budget!$D$4:$O$4,"&lt;="&amp;Impostazioni!$C$12)</f>
        <v/>
      </c>
      <c r="X29" s="36">
        <f>SUMIFS($C29:$N29,$C$4:$N$4,"&lt;="&amp;Impostazioni!$C$12)</f>
        <v/>
      </c>
      <c r="Y29" s="36">
        <f>X29-W29</f>
        <v/>
      </c>
      <c r="Z29" s="51">
        <f>IF(AND(O29&gt;0,LEFT(B29,5)="Spesa"),O29-ROW()/10000000,0)</f>
        <v/>
      </c>
    </row>
    <row r="30">
      <c r="A30" s="42">
        <f>IF(Categorie!$A22="","",Categorie!$A22)</f>
        <v/>
      </c>
      <c r="B30" s="35">
        <f>IF(A30="","",Categorie!$B22&amp;"")</f>
        <v/>
      </c>
      <c r="C30" s="36">
        <f>IF($A30="",0,SUMIFS(Movimenti!$D$6:$D$2005,Movimenti!$C$6:$C$2005,$A30,Movimenti!$A$6:$A$2005,"&gt;="&amp;DATE(Impostazioni!$C$4,C$4,1),Movimenti!$A$6:$A$2005,"&lt;"&amp;DATE(Impostazioni!$C$4,C$4+1,1)))</f>
        <v/>
      </c>
      <c r="D30" s="36">
        <f>IF($A30="",0,SUMIFS(Movimenti!$D$6:$D$2005,Movimenti!$C$6:$C$2005,$A30,Movimenti!$A$6:$A$2005,"&gt;="&amp;DATE(Impostazioni!$C$4,D$4,1),Movimenti!$A$6:$A$2005,"&lt;"&amp;DATE(Impostazioni!$C$4,D$4+1,1)))</f>
        <v/>
      </c>
      <c r="E30" s="36">
        <f>IF($A30="",0,SUMIFS(Movimenti!$D$6:$D$2005,Movimenti!$C$6:$C$2005,$A30,Movimenti!$A$6:$A$2005,"&gt;="&amp;DATE(Impostazioni!$C$4,E$4,1),Movimenti!$A$6:$A$2005,"&lt;"&amp;DATE(Impostazioni!$C$4,E$4+1,1)))</f>
        <v/>
      </c>
      <c r="F30" s="36">
        <f>IF($A30="",0,SUMIFS(Movimenti!$D$6:$D$2005,Movimenti!$C$6:$C$2005,$A30,Movimenti!$A$6:$A$2005,"&gt;="&amp;DATE(Impostazioni!$C$4,F$4,1),Movimenti!$A$6:$A$2005,"&lt;"&amp;DATE(Impostazioni!$C$4,F$4+1,1)))</f>
        <v/>
      </c>
      <c r="G30" s="36">
        <f>IF($A30="",0,SUMIFS(Movimenti!$D$6:$D$2005,Movimenti!$C$6:$C$2005,$A30,Movimenti!$A$6:$A$2005,"&gt;="&amp;DATE(Impostazioni!$C$4,G$4,1),Movimenti!$A$6:$A$2005,"&lt;"&amp;DATE(Impostazioni!$C$4,G$4+1,1)))</f>
        <v/>
      </c>
      <c r="H30" s="36">
        <f>IF($A30="",0,SUMIFS(Movimenti!$D$6:$D$2005,Movimenti!$C$6:$C$2005,$A30,Movimenti!$A$6:$A$2005,"&gt;="&amp;DATE(Impostazioni!$C$4,H$4,1),Movimenti!$A$6:$A$2005,"&lt;"&amp;DATE(Impostazioni!$C$4,H$4+1,1)))</f>
        <v/>
      </c>
      <c r="I30" s="36">
        <f>IF($A30="",0,SUMIFS(Movimenti!$D$6:$D$2005,Movimenti!$C$6:$C$2005,$A30,Movimenti!$A$6:$A$2005,"&gt;="&amp;DATE(Impostazioni!$C$4,I$4,1),Movimenti!$A$6:$A$2005,"&lt;"&amp;DATE(Impostazioni!$C$4,I$4+1,1)))</f>
        <v/>
      </c>
      <c r="J30" s="36">
        <f>IF($A30="",0,SUMIFS(Movimenti!$D$6:$D$2005,Movimenti!$C$6:$C$2005,$A30,Movimenti!$A$6:$A$2005,"&gt;="&amp;DATE(Impostazioni!$C$4,J$4,1),Movimenti!$A$6:$A$2005,"&lt;"&amp;DATE(Impostazioni!$C$4,J$4+1,1)))</f>
        <v/>
      </c>
      <c r="K30" s="36">
        <f>IF($A30="",0,SUMIFS(Movimenti!$D$6:$D$2005,Movimenti!$C$6:$C$2005,$A30,Movimenti!$A$6:$A$2005,"&gt;="&amp;DATE(Impostazioni!$C$4,K$4,1),Movimenti!$A$6:$A$2005,"&lt;"&amp;DATE(Impostazioni!$C$4,K$4+1,1)))</f>
        <v/>
      </c>
      <c r="L30" s="36">
        <f>IF($A30="",0,SUMIFS(Movimenti!$D$6:$D$2005,Movimenti!$C$6:$C$2005,$A30,Movimenti!$A$6:$A$2005,"&gt;="&amp;DATE(Impostazioni!$C$4,L$4,1),Movimenti!$A$6:$A$2005,"&lt;"&amp;DATE(Impostazioni!$C$4,L$4+1,1)))</f>
        <v/>
      </c>
      <c r="M30" s="36">
        <f>IF($A30="",0,SUMIFS(Movimenti!$D$6:$D$2005,Movimenti!$C$6:$C$2005,$A30,Movimenti!$A$6:$A$2005,"&gt;="&amp;DATE(Impostazioni!$C$4,M$4,1),Movimenti!$A$6:$A$2005,"&lt;"&amp;DATE(Impostazioni!$C$4,M$4+1,1)))</f>
        <v/>
      </c>
      <c r="N30" s="36">
        <f>IF($A30="",0,SUMIFS(Movimenti!$D$6:$D$2005,Movimenti!$C$6:$C$2005,$A30,Movimenti!$A$6:$A$2005,"&gt;="&amp;DATE(Impostazioni!$C$4,N$4,1),Movimenti!$A$6:$A$2005,"&lt;"&amp;DATE(Impostazioni!$C$4,N$4+1,1)))</f>
        <v/>
      </c>
      <c r="O30" s="45">
        <f>SUM(C30:N30)</f>
        <v/>
      </c>
      <c r="P30" s="36">
        <f>Budget!P30</f>
        <v/>
      </c>
      <c r="Q30" s="36">
        <f>O30-P30</f>
        <v/>
      </c>
      <c r="R30" s="47">
        <f>IF(P30=0,"",O30/P30)</f>
        <v/>
      </c>
      <c r="T30" s="36">
        <f>INDEX(Budget!$D30:$O30,Impostazioni!$C$12)</f>
        <v/>
      </c>
      <c r="U30" s="36">
        <f>INDEX($C30:$N30,Impostazioni!$C$12)</f>
        <v/>
      </c>
      <c r="V30" s="36">
        <f>U30-T30</f>
        <v/>
      </c>
      <c r="W30" s="36">
        <f>SUMIFS(Budget!$D30:$O30,Budget!$D$4:$O$4,"&lt;="&amp;Impostazioni!$C$12)</f>
        <v/>
      </c>
      <c r="X30" s="36">
        <f>SUMIFS($C30:$N30,$C$4:$N$4,"&lt;="&amp;Impostazioni!$C$12)</f>
        <v/>
      </c>
      <c r="Y30" s="36">
        <f>X30-W30</f>
        <v/>
      </c>
      <c r="Z30" s="51">
        <f>IF(AND(O30&gt;0,LEFT(B30,5)="Spesa"),O30-ROW()/10000000,0)</f>
        <v/>
      </c>
    </row>
    <row r="31">
      <c r="A31" s="42">
        <f>IF(Categorie!$A23="","",Categorie!$A23)</f>
        <v/>
      </c>
      <c r="B31" s="35">
        <f>IF(A31="","",Categorie!$B23&amp;"")</f>
        <v/>
      </c>
      <c r="C31" s="36">
        <f>IF($A31="",0,SUMIFS(Movimenti!$D$6:$D$2005,Movimenti!$C$6:$C$2005,$A31,Movimenti!$A$6:$A$2005,"&gt;="&amp;DATE(Impostazioni!$C$4,C$4,1),Movimenti!$A$6:$A$2005,"&lt;"&amp;DATE(Impostazioni!$C$4,C$4+1,1)))</f>
        <v/>
      </c>
      <c r="D31" s="36">
        <f>IF($A31="",0,SUMIFS(Movimenti!$D$6:$D$2005,Movimenti!$C$6:$C$2005,$A31,Movimenti!$A$6:$A$2005,"&gt;="&amp;DATE(Impostazioni!$C$4,D$4,1),Movimenti!$A$6:$A$2005,"&lt;"&amp;DATE(Impostazioni!$C$4,D$4+1,1)))</f>
        <v/>
      </c>
      <c r="E31" s="36">
        <f>IF($A31="",0,SUMIFS(Movimenti!$D$6:$D$2005,Movimenti!$C$6:$C$2005,$A31,Movimenti!$A$6:$A$2005,"&gt;="&amp;DATE(Impostazioni!$C$4,E$4,1),Movimenti!$A$6:$A$2005,"&lt;"&amp;DATE(Impostazioni!$C$4,E$4+1,1)))</f>
        <v/>
      </c>
      <c r="F31" s="36">
        <f>IF($A31="",0,SUMIFS(Movimenti!$D$6:$D$2005,Movimenti!$C$6:$C$2005,$A31,Movimenti!$A$6:$A$2005,"&gt;="&amp;DATE(Impostazioni!$C$4,F$4,1),Movimenti!$A$6:$A$2005,"&lt;"&amp;DATE(Impostazioni!$C$4,F$4+1,1)))</f>
        <v/>
      </c>
      <c r="G31" s="36">
        <f>IF($A31="",0,SUMIFS(Movimenti!$D$6:$D$2005,Movimenti!$C$6:$C$2005,$A31,Movimenti!$A$6:$A$2005,"&gt;="&amp;DATE(Impostazioni!$C$4,G$4,1),Movimenti!$A$6:$A$2005,"&lt;"&amp;DATE(Impostazioni!$C$4,G$4+1,1)))</f>
        <v/>
      </c>
      <c r="H31" s="36">
        <f>IF($A31="",0,SUMIFS(Movimenti!$D$6:$D$2005,Movimenti!$C$6:$C$2005,$A31,Movimenti!$A$6:$A$2005,"&gt;="&amp;DATE(Impostazioni!$C$4,H$4,1),Movimenti!$A$6:$A$2005,"&lt;"&amp;DATE(Impostazioni!$C$4,H$4+1,1)))</f>
        <v/>
      </c>
      <c r="I31" s="36">
        <f>IF($A31="",0,SUMIFS(Movimenti!$D$6:$D$2005,Movimenti!$C$6:$C$2005,$A31,Movimenti!$A$6:$A$2005,"&gt;="&amp;DATE(Impostazioni!$C$4,I$4,1),Movimenti!$A$6:$A$2005,"&lt;"&amp;DATE(Impostazioni!$C$4,I$4+1,1)))</f>
        <v/>
      </c>
      <c r="J31" s="36">
        <f>IF($A31="",0,SUMIFS(Movimenti!$D$6:$D$2005,Movimenti!$C$6:$C$2005,$A31,Movimenti!$A$6:$A$2005,"&gt;="&amp;DATE(Impostazioni!$C$4,J$4,1),Movimenti!$A$6:$A$2005,"&lt;"&amp;DATE(Impostazioni!$C$4,J$4+1,1)))</f>
        <v/>
      </c>
      <c r="K31" s="36">
        <f>IF($A31="",0,SUMIFS(Movimenti!$D$6:$D$2005,Movimenti!$C$6:$C$2005,$A31,Movimenti!$A$6:$A$2005,"&gt;="&amp;DATE(Impostazioni!$C$4,K$4,1),Movimenti!$A$6:$A$2005,"&lt;"&amp;DATE(Impostazioni!$C$4,K$4+1,1)))</f>
        <v/>
      </c>
      <c r="L31" s="36">
        <f>IF($A31="",0,SUMIFS(Movimenti!$D$6:$D$2005,Movimenti!$C$6:$C$2005,$A31,Movimenti!$A$6:$A$2005,"&gt;="&amp;DATE(Impostazioni!$C$4,L$4,1),Movimenti!$A$6:$A$2005,"&lt;"&amp;DATE(Impostazioni!$C$4,L$4+1,1)))</f>
        <v/>
      </c>
      <c r="M31" s="36">
        <f>IF($A31="",0,SUMIFS(Movimenti!$D$6:$D$2005,Movimenti!$C$6:$C$2005,$A31,Movimenti!$A$6:$A$2005,"&gt;="&amp;DATE(Impostazioni!$C$4,M$4,1),Movimenti!$A$6:$A$2005,"&lt;"&amp;DATE(Impostazioni!$C$4,M$4+1,1)))</f>
        <v/>
      </c>
      <c r="N31" s="36">
        <f>IF($A31="",0,SUMIFS(Movimenti!$D$6:$D$2005,Movimenti!$C$6:$C$2005,$A31,Movimenti!$A$6:$A$2005,"&gt;="&amp;DATE(Impostazioni!$C$4,N$4,1),Movimenti!$A$6:$A$2005,"&lt;"&amp;DATE(Impostazioni!$C$4,N$4+1,1)))</f>
        <v/>
      </c>
      <c r="O31" s="45">
        <f>SUM(C31:N31)</f>
        <v/>
      </c>
      <c r="P31" s="36">
        <f>Budget!P31</f>
        <v/>
      </c>
      <c r="Q31" s="36">
        <f>O31-P31</f>
        <v/>
      </c>
      <c r="R31" s="47">
        <f>IF(P31=0,"",O31/P31)</f>
        <v/>
      </c>
      <c r="T31" s="36">
        <f>INDEX(Budget!$D31:$O31,Impostazioni!$C$12)</f>
        <v/>
      </c>
      <c r="U31" s="36">
        <f>INDEX($C31:$N31,Impostazioni!$C$12)</f>
        <v/>
      </c>
      <c r="V31" s="36">
        <f>U31-T31</f>
        <v/>
      </c>
      <c r="W31" s="36">
        <f>SUMIFS(Budget!$D31:$O31,Budget!$D$4:$O$4,"&lt;="&amp;Impostazioni!$C$12)</f>
        <v/>
      </c>
      <c r="X31" s="36">
        <f>SUMIFS($C31:$N31,$C$4:$N$4,"&lt;="&amp;Impostazioni!$C$12)</f>
        <v/>
      </c>
      <c r="Y31" s="36">
        <f>X31-W31</f>
        <v/>
      </c>
      <c r="Z31" s="51">
        <f>IF(AND(O31&gt;0,LEFT(B31,5)="Spesa"),O31-ROW()/10000000,0)</f>
        <v/>
      </c>
    </row>
    <row r="32">
      <c r="A32" s="42">
        <f>IF(Categorie!$A24="","",Categorie!$A24)</f>
        <v/>
      </c>
      <c r="B32" s="35">
        <f>IF(A32="","",Categorie!$B24&amp;"")</f>
        <v/>
      </c>
      <c r="C32" s="36">
        <f>IF($A32="",0,SUMIFS(Movimenti!$D$6:$D$2005,Movimenti!$C$6:$C$2005,$A32,Movimenti!$A$6:$A$2005,"&gt;="&amp;DATE(Impostazioni!$C$4,C$4,1),Movimenti!$A$6:$A$2005,"&lt;"&amp;DATE(Impostazioni!$C$4,C$4+1,1)))</f>
        <v/>
      </c>
      <c r="D32" s="36">
        <f>IF($A32="",0,SUMIFS(Movimenti!$D$6:$D$2005,Movimenti!$C$6:$C$2005,$A32,Movimenti!$A$6:$A$2005,"&gt;="&amp;DATE(Impostazioni!$C$4,D$4,1),Movimenti!$A$6:$A$2005,"&lt;"&amp;DATE(Impostazioni!$C$4,D$4+1,1)))</f>
        <v/>
      </c>
      <c r="E32" s="36">
        <f>IF($A32="",0,SUMIFS(Movimenti!$D$6:$D$2005,Movimenti!$C$6:$C$2005,$A32,Movimenti!$A$6:$A$2005,"&gt;="&amp;DATE(Impostazioni!$C$4,E$4,1),Movimenti!$A$6:$A$2005,"&lt;"&amp;DATE(Impostazioni!$C$4,E$4+1,1)))</f>
        <v/>
      </c>
      <c r="F32" s="36">
        <f>IF($A32="",0,SUMIFS(Movimenti!$D$6:$D$2005,Movimenti!$C$6:$C$2005,$A32,Movimenti!$A$6:$A$2005,"&gt;="&amp;DATE(Impostazioni!$C$4,F$4,1),Movimenti!$A$6:$A$2005,"&lt;"&amp;DATE(Impostazioni!$C$4,F$4+1,1)))</f>
        <v/>
      </c>
      <c r="G32" s="36">
        <f>IF($A32="",0,SUMIFS(Movimenti!$D$6:$D$2005,Movimenti!$C$6:$C$2005,$A32,Movimenti!$A$6:$A$2005,"&gt;="&amp;DATE(Impostazioni!$C$4,G$4,1),Movimenti!$A$6:$A$2005,"&lt;"&amp;DATE(Impostazioni!$C$4,G$4+1,1)))</f>
        <v/>
      </c>
      <c r="H32" s="36">
        <f>IF($A32="",0,SUMIFS(Movimenti!$D$6:$D$2005,Movimenti!$C$6:$C$2005,$A32,Movimenti!$A$6:$A$2005,"&gt;="&amp;DATE(Impostazioni!$C$4,H$4,1),Movimenti!$A$6:$A$2005,"&lt;"&amp;DATE(Impostazioni!$C$4,H$4+1,1)))</f>
        <v/>
      </c>
      <c r="I32" s="36">
        <f>IF($A32="",0,SUMIFS(Movimenti!$D$6:$D$2005,Movimenti!$C$6:$C$2005,$A32,Movimenti!$A$6:$A$2005,"&gt;="&amp;DATE(Impostazioni!$C$4,I$4,1),Movimenti!$A$6:$A$2005,"&lt;"&amp;DATE(Impostazioni!$C$4,I$4+1,1)))</f>
        <v/>
      </c>
      <c r="J32" s="36">
        <f>IF($A32="",0,SUMIFS(Movimenti!$D$6:$D$2005,Movimenti!$C$6:$C$2005,$A32,Movimenti!$A$6:$A$2005,"&gt;="&amp;DATE(Impostazioni!$C$4,J$4,1),Movimenti!$A$6:$A$2005,"&lt;"&amp;DATE(Impostazioni!$C$4,J$4+1,1)))</f>
        <v/>
      </c>
      <c r="K32" s="36">
        <f>IF($A32="",0,SUMIFS(Movimenti!$D$6:$D$2005,Movimenti!$C$6:$C$2005,$A32,Movimenti!$A$6:$A$2005,"&gt;="&amp;DATE(Impostazioni!$C$4,K$4,1),Movimenti!$A$6:$A$2005,"&lt;"&amp;DATE(Impostazioni!$C$4,K$4+1,1)))</f>
        <v/>
      </c>
      <c r="L32" s="36">
        <f>IF($A32="",0,SUMIFS(Movimenti!$D$6:$D$2005,Movimenti!$C$6:$C$2005,$A32,Movimenti!$A$6:$A$2005,"&gt;="&amp;DATE(Impostazioni!$C$4,L$4,1),Movimenti!$A$6:$A$2005,"&lt;"&amp;DATE(Impostazioni!$C$4,L$4+1,1)))</f>
        <v/>
      </c>
      <c r="M32" s="36">
        <f>IF($A32="",0,SUMIFS(Movimenti!$D$6:$D$2005,Movimenti!$C$6:$C$2005,$A32,Movimenti!$A$6:$A$2005,"&gt;="&amp;DATE(Impostazioni!$C$4,M$4,1),Movimenti!$A$6:$A$2005,"&lt;"&amp;DATE(Impostazioni!$C$4,M$4+1,1)))</f>
        <v/>
      </c>
      <c r="N32" s="36">
        <f>IF($A32="",0,SUMIFS(Movimenti!$D$6:$D$2005,Movimenti!$C$6:$C$2005,$A32,Movimenti!$A$6:$A$2005,"&gt;="&amp;DATE(Impostazioni!$C$4,N$4,1),Movimenti!$A$6:$A$2005,"&lt;"&amp;DATE(Impostazioni!$C$4,N$4+1,1)))</f>
        <v/>
      </c>
      <c r="O32" s="45">
        <f>SUM(C32:N32)</f>
        <v/>
      </c>
      <c r="P32" s="36">
        <f>Budget!P32</f>
        <v/>
      </c>
      <c r="Q32" s="36">
        <f>O32-P32</f>
        <v/>
      </c>
      <c r="R32" s="47">
        <f>IF(P32=0,"",O32/P32)</f>
        <v/>
      </c>
      <c r="T32" s="36">
        <f>INDEX(Budget!$D32:$O32,Impostazioni!$C$12)</f>
        <v/>
      </c>
      <c r="U32" s="36">
        <f>INDEX($C32:$N32,Impostazioni!$C$12)</f>
        <v/>
      </c>
      <c r="V32" s="36">
        <f>U32-T32</f>
        <v/>
      </c>
      <c r="W32" s="36">
        <f>SUMIFS(Budget!$D32:$O32,Budget!$D$4:$O$4,"&lt;="&amp;Impostazioni!$C$12)</f>
        <v/>
      </c>
      <c r="X32" s="36">
        <f>SUMIFS($C32:$N32,$C$4:$N$4,"&lt;="&amp;Impostazioni!$C$12)</f>
        <v/>
      </c>
      <c r="Y32" s="36">
        <f>X32-W32</f>
        <v/>
      </c>
      <c r="Z32" s="51">
        <f>IF(AND(O32&gt;0,LEFT(B32,5)="Spesa"),O32-ROW()/10000000,0)</f>
        <v/>
      </c>
    </row>
    <row r="33">
      <c r="A33" s="42">
        <f>IF(Categorie!$A25="","",Categorie!$A25)</f>
        <v/>
      </c>
      <c r="B33" s="35">
        <f>IF(A33="","",Categorie!$B25&amp;"")</f>
        <v/>
      </c>
      <c r="C33" s="36">
        <f>IF($A33="",0,SUMIFS(Movimenti!$D$6:$D$2005,Movimenti!$C$6:$C$2005,$A33,Movimenti!$A$6:$A$2005,"&gt;="&amp;DATE(Impostazioni!$C$4,C$4,1),Movimenti!$A$6:$A$2005,"&lt;"&amp;DATE(Impostazioni!$C$4,C$4+1,1)))</f>
        <v/>
      </c>
      <c r="D33" s="36">
        <f>IF($A33="",0,SUMIFS(Movimenti!$D$6:$D$2005,Movimenti!$C$6:$C$2005,$A33,Movimenti!$A$6:$A$2005,"&gt;="&amp;DATE(Impostazioni!$C$4,D$4,1),Movimenti!$A$6:$A$2005,"&lt;"&amp;DATE(Impostazioni!$C$4,D$4+1,1)))</f>
        <v/>
      </c>
      <c r="E33" s="36">
        <f>IF($A33="",0,SUMIFS(Movimenti!$D$6:$D$2005,Movimenti!$C$6:$C$2005,$A33,Movimenti!$A$6:$A$2005,"&gt;="&amp;DATE(Impostazioni!$C$4,E$4,1),Movimenti!$A$6:$A$2005,"&lt;"&amp;DATE(Impostazioni!$C$4,E$4+1,1)))</f>
        <v/>
      </c>
      <c r="F33" s="36">
        <f>IF($A33="",0,SUMIFS(Movimenti!$D$6:$D$2005,Movimenti!$C$6:$C$2005,$A33,Movimenti!$A$6:$A$2005,"&gt;="&amp;DATE(Impostazioni!$C$4,F$4,1),Movimenti!$A$6:$A$2005,"&lt;"&amp;DATE(Impostazioni!$C$4,F$4+1,1)))</f>
        <v/>
      </c>
      <c r="G33" s="36">
        <f>IF($A33="",0,SUMIFS(Movimenti!$D$6:$D$2005,Movimenti!$C$6:$C$2005,$A33,Movimenti!$A$6:$A$2005,"&gt;="&amp;DATE(Impostazioni!$C$4,G$4,1),Movimenti!$A$6:$A$2005,"&lt;"&amp;DATE(Impostazioni!$C$4,G$4+1,1)))</f>
        <v/>
      </c>
      <c r="H33" s="36">
        <f>IF($A33="",0,SUMIFS(Movimenti!$D$6:$D$2005,Movimenti!$C$6:$C$2005,$A33,Movimenti!$A$6:$A$2005,"&gt;="&amp;DATE(Impostazioni!$C$4,H$4,1),Movimenti!$A$6:$A$2005,"&lt;"&amp;DATE(Impostazioni!$C$4,H$4+1,1)))</f>
        <v/>
      </c>
      <c r="I33" s="36">
        <f>IF($A33="",0,SUMIFS(Movimenti!$D$6:$D$2005,Movimenti!$C$6:$C$2005,$A33,Movimenti!$A$6:$A$2005,"&gt;="&amp;DATE(Impostazioni!$C$4,I$4,1),Movimenti!$A$6:$A$2005,"&lt;"&amp;DATE(Impostazioni!$C$4,I$4+1,1)))</f>
        <v/>
      </c>
      <c r="J33" s="36">
        <f>IF($A33="",0,SUMIFS(Movimenti!$D$6:$D$2005,Movimenti!$C$6:$C$2005,$A33,Movimenti!$A$6:$A$2005,"&gt;="&amp;DATE(Impostazioni!$C$4,J$4,1),Movimenti!$A$6:$A$2005,"&lt;"&amp;DATE(Impostazioni!$C$4,J$4+1,1)))</f>
        <v/>
      </c>
      <c r="K33" s="36">
        <f>IF($A33="",0,SUMIFS(Movimenti!$D$6:$D$2005,Movimenti!$C$6:$C$2005,$A33,Movimenti!$A$6:$A$2005,"&gt;="&amp;DATE(Impostazioni!$C$4,K$4,1),Movimenti!$A$6:$A$2005,"&lt;"&amp;DATE(Impostazioni!$C$4,K$4+1,1)))</f>
        <v/>
      </c>
      <c r="L33" s="36">
        <f>IF($A33="",0,SUMIFS(Movimenti!$D$6:$D$2005,Movimenti!$C$6:$C$2005,$A33,Movimenti!$A$6:$A$2005,"&gt;="&amp;DATE(Impostazioni!$C$4,L$4,1),Movimenti!$A$6:$A$2005,"&lt;"&amp;DATE(Impostazioni!$C$4,L$4+1,1)))</f>
        <v/>
      </c>
      <c r="M33" s="36">
        <f>IF($A33="",0,SUMIFS(Movimenti!$D$6:$D$2005,Movimenti!$C$6:$C$2005,$A33,Movimenti!$A$6:$A$2005,"&gt;="&amp;DATE(Impostazioni!$C$4,M$4,1),Movimenti!$A$6:$A$2005,"&lt;"&amp;DATE(Impostazioni!$C$4,M$4+1,1)))</f>
        <v/>
      </c>
      <c r="N33" s="36">
        <f>IF($A33="",0,SUMIFS(Movimenti!$D$6:$D$2005,Movimenti!$C$6:$C$2005,$A33,Movimenti!$A$6:$A$2005,"&gt;="&amp;DATE(Impostazioni!$C$4,N$4,1),Movimenti!$A$6:$A$2005,"&lt;"&amp;DATE(Impostazioni!$C$4,N$4+1,1)))</f>
        <v/>
      </c>
      <c r="O33" s="45">
        <f>SUM(C33:N33)</f>
        <v/>
      </c>
      <c r="P33" s="36">
        <f>Budget!P33</f>
        <v/>
      </c>
      <c r="Q33" s="36">
        <f>O33-P33</f>
        <v/>
      </c>
      <c r="R33" s="47">
        <f>IF(P33=0,"",O33/P33)</f>
        <v/>
      </c>
      <c r="T33" s="36">
        <f>INDEX(Budget!$D33:$O33,Impostazioni!$C$12)</f>
        <v/>
      </c>
      <c r="U33" s="36">
        <f>INDEX($C33:$N33,Impostazioni!$C$12)</f>
        <v/>
      </c>
      <c r="V33" s="36">
        <f>U33-T33</f>
        <v/>
      </c>
      <c r="W33" s="36">
        <f>SUMIFS(Budget!$D33:$O33,Budget!$D$4:$O$4,"&lt;="&amp;Impostazioni!$C$12)</f>
        <v/>
      </c>
      <c r="X33" s="36">
        <f>SUMIFS($C33:$N33,$C$4:$N$4,"&lt;="&amp;Impostazioni!$C$12)</f>
        <v/>
      </c>
      <c r="Y33" s="36">
        <f>X33-W33</f>
        <v/>
      </c>
      <c r="Z33" s="51">
        <f>IF(AND(O33&gt;0,LEFT(B33,5)="Spesa"),O33-ROW()/10000000,0)</f>
        <v/>
      </c>
    </row>
    <row r="34">
      <c r="A34" s="42">
        <f>IF(Categorie!$A26="","",Categorie!$A26)</f>
        <v/>
      </c>
      <c r="B34" s="35">
        <f>IF(A34="","",Categorie!$B26&amp;"")</f>
        <v/>
      </c>
      <c r="C34" s="36">
        <f>IF($A34="",0,SUMIFS(Movimenti!$D$6:$D$2005,Movimenti!$C$6:$C$2005,$A34,Movimenti!$A$6:$A$2005,"&gt;="&amp;DATE(Impostazioni!$C$4,C$4,1),Movimenti!$A$6:$A$2005,"&lt;"&amp;DATE(Impostazioni!$C$4,C$4+1,1)))</f>
        <v/>
      </c>
      <c r="D34" s="36">
        <f>IF($A34="",0,SUMIFS(Movimenti!$D$6:$D$2005,Movimenti!$C$6:$C$2005,$A34,Movimenti!$A$6:$A$2005,"&gt;="&amp;DATE(Impostazioni!$C$4,D$4,1),Movimenti!$A$6:$A$2005,"&lt;"&amp;DATE(Impostazioni!$C$4,D$4+1,1)))</f>
        <v/>
      </c>
      <c r="E34" s="36">
        <f>IF($A34="",0,SUMIFS(Movimenti!$D$6:$D$2005,Movimenti!$C$6:$C$2005,$A34,Movimenti!$A$6:$A$2005,"&gt;="&amp;DATE(Impostazioni!$C$4,E$4,1),Movimenti!$A$6:$A$2005,"&lt;"&amp;DATE(Impostazioni!$C$4,E$4+1,1)))</f>
        <v/>
      </c>
      <c r="F34" s="36">
        <f>IF($A34="",0,SUMIFS(Movimenti!$D$6:$D$2005,Movimenti!$C$6:$C$2005,$A34,Movimenti!$A$6:$A$2005,"&gt;="&amp;DATE(Impostazioni!$C$4,F$4,1),Movimenti!$A$6:$A$2005,"&lt;"&amp;DATE(Impostazioni!$C$4,F$4+1,1)))</f>
        <v/>
      </c>
      <c r="G34" s="36">
        <f>IF($A34="",0,SUMIFS(Movimenti!$D$6:$D$2005,Movimenti!$C$6:$C$2005,$A34,Movimenti!$A$6:$A$2005,"&gt;="&amp;DATE(Impostazioni!$C$4,G$4,1),Movimenti!$A$6:$A$2005,"&lt;"&amp;DATE(Impostazioni!$C$4,G$4+1,1)))</f>
        <v/>
      </c>
      <c r="H34" s="36">
        <f>IF($A34="",0,SUMIFS(Movimenti!$D$6:$D$2005,Movimenti!$C$6:$C$2005,$A34,Movimenti!$A$6:$A$2005,"&gt;="&amp;DATE(Impostazioni!$C$4,H$4,1),Movimenti!$A$6:$A$2005,"&lt;"&amp;DATE(Impostazioni!$C$4,H$4+1,1)))</f>
        <v/>
      </c>
      <c r="I34" s="36">
        <f>IF($A34="",0,SUMIFS(Movimenti!$D$6:$D$2005,Movimenti!$C$6:$C$2005,$A34,Movimenti!$A$6:$A$2005,"&gt;="&amp;DATE(Impostazioni!$C$4,I$4,1),Movimenti!$A$6:$A$2005,"&lt;"&amp;DATE(Impostazioni!$C$4,I$4+1,1)))</f>
        <v/>
      </c>
      <c r="J34" s="36">
        <f>IF($A34="",0,SUMIFS(Movimenti!$D$6:$D$2005,Movimenti!$C$6:$C$2005,$A34,Movimenti!$A$6:$A$2005,"&gt;="&amp;DATE(Impostazioni!$C$4,J$4,1),Movimenti!$A$6:$A$2005,"&lt;"&amp;DATE(Impostazioni!$C$4,J$4+1,1)))</f>
        <v/>
      </c>
      <c r="K34" s="36">
        <f>IF($A34="",0,SUMIFS(Movimenti!$D$6:$D$2005,Movimenti!$C$6:$C$2005,$A34,Movimenti!$A$6:$A$2005,"&gt;="&amp;DATE(Impostazioni!$C$4,K$4,1),Movimenti!$A$6:$A$2005,"&lt;"&amp;DATE(Impostazioni!$C$4,K$4+1,1)))</f>
        <v/>
      </c>
      <c r="L34" s="36">
        <f>IF($A34="",0,SUMIFS(Movimenti!$D$6:$D$2005,Movimenti!$C$6:$C$2005,$A34,Movimenti!$A$6:$A$2005,"&gt;="&amp;DATE(Impostazioni!$C$4,L$4,1),Movimenti!$A$6:$A$2005,"&lt;"&amp;DATE(Impostazioni!$C$4,L$4+1,1)))</f>
        <v/>
      </c>
      <c r="M34" s="36">
        <f>IF($A34="",0,SUMIFS(Movimenti!$D$6:$D$2005,Movimenti!$C$6:$C$2005,$A34,Movimenti!$A$6:$A$2005,"&gt;="&amp;DATE(Impostazioni!$C$4,M$4,1),Movimenti!$A$6:$A$2005,"&lt;"&amp;DATE(Impostazioni!$C$4,M$4+1,1)))</f>
        <v/>
      </c>
      <c r="N34" s="36">
        <f>IF($A34="",0,SUMIFS(Movimenti!$D$6:$D$2005,Movimenti!$C$6:$C$2005,$A34,Movimenti!$A$6:$A$2005,"&gt;="&amp;DATE(Impostazioni!$C$4,N$4,1),Movimenti!$A$6:$A$2005,"&lt;"&amp;DATE(Impostazioni!$C$4,N$4+1,1)))</f>
        <v/>
      </c>
      <c r="O34" s="45">
        <f>SUM(C34:N34)</f>
        <v/>
      </c>
      <c r="P34" s="36">
        <f>Budget!P34</f>
        <v/>
      </c>
      <c r="Q34" s="36">
        <f>O34-P34</f>
        <v/>
      </c>
      <c r="R34" s="47">
        <f>IF(P34=0,"",O34/P34)</f>
        <v/>
      </c>
      <c r="T34" s="36">
        <f>INDEX(Budget!$D34:$O34,Impostazioni!$C$12)</f>
        <v/>
      </c>
      <c r="U34" s="36">
        <f>INDEX($C34:$N34,Impostazioni!$C$12)</f>
        <v/>
      </c>
      <c r="V34" s="36">
        <f>U34-T34</f>
        <v/>
      </c>
      <c r="W34" s="36">
        <f>SUMIFS(Budget!$D34:$O34,Budget!$D$4:$O$4,"&lt;="&amp;Impostazioni!$C$12)</f>
        <v/>
      </c>
      <c r="X34" s="36">
        <f>SUMIFS($C34:$N34,$C$4:$N$4,"&lt;="&amp;Impostazioni!$C$12)</f>
        <v/>
      </c>
      <c r="Y34" s="36">
        <f>X34-W34</f>
        <v/>
      </c>
      <c r="Z34" s="51">
        <f>IF(AND(O34&gt;0,LEFT(B34,5)="Spesa"),O34-ROW()/10000000,0)</f>
        <v/>
      </c>
    </row>
    <row r="35">
      <c r="A35" s="42">
        <f>IF(Categorie!$A27="","",Categorie!$A27)</f>
        <v/>
      </c>
      <c r="B35" s="35">
        <f>IF(A35="","",Categorie!$B27&amp;"")</f>
        <v/>
      </c>
      <c r="C35" s="36">
        <f>IF($A35="",0,SUMIFS(Movimenti!$D$6:$D$2005,Movimenti!$C$6:$C$2005,$A35,Movimenti!$A$6:$A$2005,"&gt;="&amp;DATE(Impostazioni!$C$4,C$4,1),Movimenti!$A$6:$A$2005,"&lt;"&amp;DATE(Impostazioni!$C$4,C$4+1,1)))</f>
        <v/>
      </c>
      <c r="D35" s="36">
        <f>IF($A35="",0,SUMIFS(Movimenti!$D$6:$D$2005,Movimenti!$C$6:$C$2005,$A35,Movimenti!$A$6:$A$2005,"&gt;="&amp;DATE(Impostazioni!$C$4,D$4,1),Movimenti!$A$6:$A$2005,"&lt;"&amp;DATE(Impostazioni!$C$4,D$4+1,1)))</f>
        <v/>
      </c>
      <c r="E35" s="36">
        <f>IF($A35="",0,SUMIFS(Movimenti!$D$6:$D$2005,Movimenti!$C$6:$C$2005,$A35,Movimenti!$A$6:$A$2005,"&gt;="&amp;DATE(Impostazioni!$C$4,E$4,1),Movimenti!$A$6:$A$2005,"&lt;"&amp;DATE(Impostazioni!$C$4,E$4+1,1)))</f>
        <v/>
      </c>
      <c r="F35" s="36">
        <f>IF($A35="",0,SUMIFS(Movimenti!$D$6:$D$2005,Movimenti!$C$6:$C$2005,$A35,Movimenti!$A$6:$A$2005,"&gt;="&amp;DATE(Impostazioni!$C$4,F$4,1),Movimenti!$A$6:$A$2005,"&lt;"&amp;DATE(Impostazioni!$C$4,F$4+1,1)))</f>
        <v/>
      </c>
      <c r="G35" s="36">
        <f>IF($A35="",0,SUMIFS(Movimenti!$D$6:$D$2005,Movimenti!$C$6:$C$2005,$A35,Movimenti!$A$6:$A$2005,"&gt;="&amp;DATE(Impostazioni!$C$4,G$4,1),Movimenti!$A$6:$A$2005,"&lt;"&amp;DATE(Impostazioni!$C$4,G$4+1,1)))</f>
        <v/>
      </c>
      <c r="H35" s="36">
        <f>IF($A35="",0,SUMIFS(Movimenti!$D$6:$D$2005,Movimenti!$C$6:$C$2005,$A35,Movimenti!$A$6:$A$2005,"&gt;="&amp;DATE(Impostazioni!$C$4,H$4,1),Movimenti!$A$6:$A$2005,"&lt;"&amp;DATE(Impostazioni!$C$4,H$4+1,1)))</f>
        <v/>
      </c>
      <c r="I35" s="36">
        <f>IF($A35="",0,SUMIFS(Movimenti!$D$6:$D$2005,Movimenti!$C$6:$C$2005,$A35,Movimenti!$A$6:$A$2005,"&gt;="&amp;DATE(Impostazioni!$C$4,I$4,1),Movimenti!$A$6:$A$2005,"&lt;"&amp;DATE(Impostazioni!$C$4,I$4+1,1)))</f>
        <v/>
      </c>
      <c r="J35" s="36">
        <f>IF($A35="",0,SUMIFS(Movimenti!$D$6:$D$2005,Movimenti!$C$6:$C$2005,$A35,Movimenti!$A$6:$A$2005,"&gt;="&amp;DATE(Impostazioni!$C$4,J$4,1),Movimenti!$A$6:$A$2005,"&lt;"&amp;DATE(Impostazioni!$C$4,J$4+1,1)))</f>
        <v/>
      </c>
      <c r="K35" s="36">
        <f>IF($A35="",0,SUMIFS(Movimenti!$D$6:$D$2005,Movimenti!$C$6:$C$2005,$A35,Movimenti!$A$6:$A$2005,"&gt;="&amp;DATE(Impostazioni!$C$4,K$4,1),Movimenti!$A$6:$A$2005,"&lt;"&amp;DATE(Impostazioni!$C$4,K$4+1,1)))</f>
        <v/>
      </c>
      <c r="L35" s="36">
        <f>IF($A35="",0,SUMIFS(Movimenti!$D$6:$D$2005,Movimenti!$C$6:$C$2005,$A35,Movimenti!$A$6:$A$2005,"&gt;="&amp;DATE(Impostazioni!$C$4,L$4,1),Movimenti!$A$6:$A$2005,"&lt;"&amp;DATE(Impostazioni!$C$4,L$4+1,1)))</f>
        <v/>
      </c>
      <c r="M35" s="36">
        <f>IF($A35="",0,SUMIFS(Movimenti!$D$6:$D$2005,Movimenti!$C$6:$C$2005,$A35,Movimenti!$A$6:$A$2005,"&gt;="&amp;DATE(Impostazioni!$C$4,M$4,1),Movimenti!$A$6:$A$2005,"&lt;"&amp;DATE(Impostazioni!$C$4,M$4+1,1)))</f>
        <v/>
      </c>
      <c r="N35" s="36">
        <f>IF($A35="",0,SUMIFS(Movimenti!$D$6:$D$2005,Movimenti!$C$6:$C$2005,$A35,Movimenti!$A$6:$A$2005,"&gt;="&amp;DATE(Impostazioni!$C$4,N$4,1),Movimenti!$A$6:$A$2005,"&lt;"&amp;DATE(Impostazioni!$C$4,N$4+1,1)))</f>
        <v/>
      </c>
      <c r="O35" s="45">
        <f>SUM(C35:N35)</f>
        <v/>
      </c>
      <c r="P35" s="36">
        <f>Budget!P35</f>
        <v/>
      </c>
      <c r="Q35" s="36">
        <f>O35-P35</f>
        <v/>
      </c>
      <c r="R35" s="47">
        <f>IF(P35=0,"",O35/P35)</f>
        <v/>
      </c>
      <c r="T35" s="36">
        <f>INDEX(Budget!$D35:$O35,Impostazioni!$C$12)</f>
        <v/>
      </c>
      <c r="U35" s="36">
        <f>INDEX($C35:$N35,Impostazioni!$C$12)</f>
        <v/>
      </c>
      <c r="V35" s="36">
        <f>U35-T35</f>
        <v/>
      </c>
      <c r="W35" s="36">
        <f>SUMIFS(Budget!$D35:$O35,Budget!$D$4:$O$4,"&lt;="&amp;Impostazioni!$C$12)</f>
        <v/>
      </c>
      <c r="X35" s="36">
        <f>SUMIFS($C35:$N35,$C$4:$N$4,"&lt;="&amp;Impostazioni!$C$12)</f>
        <v/>
      </c>
      <c r="Y35" s="36">
        <f>X35-W35</f>
        <v/>
      </c>
      <c r="Z35" s="51">
        <f>IF(AND(O35&gt;0,LEFT(B35,5)="Spesa"),O35-ROW()/10000000,0)</f>
        <v/>
      </c>
    </row>
    <row r="36">
      <c r="A36" s="42">
        <f>IF(Categorie!$A28="","",Categorie!$A28)</f>
        <v/>
      </c>
      <c r="B36" s="35">
        <f>IF(A36="","",Categorie!$B28&amp;"")</f>
        <v/>
      </c>
      <c r="C36" s="36">
        <f>IF($A36="",0,SUMIFS(Movimenti!$D$6:$D$2005,Movimenti!$C$6:$C$2005,$A36,Movimenti!$A$6:$A$2005,"&gt;="&amp;DATE(Impostazioni!$C$4,C$4,1),Movimenti!$A$6:$A$2005,"&lt;"&amp;DATE(Impostazioni!$C$4,C$4+1,1)))</f>
        <v/>
      </c>
      <c r="D36" s="36">
        <f>IF($A36="",0,SUMIFS(Movimenti!$D$6:$D$2005,Movimenti!$C$6:$C$2005,$A36,Movimenti!$A$6:$A$2005,"&gt;="&amp;DATE(Impostazioni!$C$4,D$4,1),Movimenti!$A$6:$A$2005,"&lt;"&amp;DATE(Impostazioni!$C$4,D$4+1,1)))</f>
        <v/>
      </c>
      <c r="E36" s="36">
        <f>IF($A36="",0,SUMIFS(Movimenti!$D$6:$D$2005,Movimenti!$C$6:$C$2005,$A36,Movimenti!$A$6:$A$2005,"&gt;="&amp;DATE(Impostazioni!$C$4,E$4,1),Movimenti!$A$6:$A$2005,"&lt;"&amp;DATE(Impostazioni!$C$4,E$4+1,1)))</f>
        <v/>
      </c>
      <c r="F36" s="36">
        <f>IF($A36="",0,SUMIFS(Movimenti!$D$6:$D$2005,Movimenti!$C$6:$C$2005,$A36,Movimenti!$A$6:$A$2005,"&gt;="&amp;DATE(Impostazioni!$C$4,F$4,1),Movimenti!$A$6:$A$2005,"&lt;"&amp;DATE(Impostazioni!$C$4,F$4+1,1)))</f>
        <v/>
      </c>
      <c r="G36" s="36">
        <f>IF($A36="",0,SUMIFS(Movimenti!$D$6:$D$2005,Movimenti!$C$6:$C$2005,$A36,Movimenti!$A$6:$A$2005,"&gt;="&amp;DATE(Impostazioni!$C$4,G$4,1),Movimenti!$A$6:$A$2005,"&lt;"&amp;DATE(Impostazioni!$C$4,G$4+1,1)))</f>
        <v/>
      </c>
      <c r="H36" s="36">
        <f>IF($A36="",0,SUMIFS(Movimenti!$D$6:$D$2005,Movimenti!$C$6:$C$2005,$A36,Movimenti!$A$6:$A$2005,"&gt;="&amp;DATE(Impostazioni!$C$4,H$4,1),Movimenti!$A$6:$A$2005,"&lt;"&amp;DATE(Impostazioni!$C$4,H$4+1,1)))</f>
        <v/>
      </c>
      <c r="I36" s="36">
        <f>IF($A36="",0,SUMIFS(Movimenti!$D$6:$D$2005,Movimenti!$C$6:$C$2005,$A36,Movimenti!$A$6:$A$2005,"&gt;="&amp;DATE(Impostazioni!$C$4,I$4,1),Movimenti!$A$6:$A$2005,"&lt;"&amp;DATE(Impostazioni!$C$4,I$4+1,1)))</f>
        <v/>
      </c>
      <c r="J36" s="36">
        <f>IF($A36="",0,SUMIFS(Movimenti!$D$6:$D$2005,Movimenti!$C$6:$C$2005,$A36,Movimenti!$A$6:$A$2005,"&gt;="&amp;DATE(Impostazioni!$C$4,J$4,1),Movimenti!$A$6:$A$2005,"&lt;"&amp;DATE(Impostazioni!$C$4,J$4+1,1)))</f>
        <v/>
      </c>
      <c r="K36" s="36">
        <f>IF($A36="",0,SUMIFS(Movimenti!$D$6:$D$2005,Movimenti!$C$6:$C$2005,$A36,Movimenti!$A$6:$A$2005,"&gt;="&amp;DATE(Impostazioni!$C$4,K$4,1),Movimenti!$A$6:$A$2005,"&lt;"&amp;DATE(Impostazioni!$C$4,K$4+1,1)))</f>
        <v/>
      </c>
      <c r="L36" s="36">
        <f>IF($A36="",0,SUMIFS(Movimenti!$D$6:$D$2005,Movimenti!$C$6:$C$2005,$A36,Movimenti!$A$6:$A$2005,"&gt;="&amp;DATE(Impostazioni!$C$4,L$4,1),Movimenti!$A$6:$A$2005,"&lt;"&amp;DATE(Impostazioni!$C$4,L$4+1,1)))</f>
        <v/>
      </c>
      <c r="M36" s="36">
        <f>IF($A36="",0,SUMIFS(Movimenti!$D$6:$D$2005,Movimenti!$C$6:$C$2005,$A36,Movimenti!$A$6:$A$2005,"&gt;="&amp;DATE(Impostazioni!$C$4,M$4,1),Movimenti!$A$6:$A$2005,"&lt;"&amp;DATE(Impostazioni!$C$4,M$4+1,1)))</f>
        <v/>
      </c>
      <c r="N36" s="36">
        <f>IF($A36="",0,SUMIFS(Movimenti!$D$6:$D$2005,Movimenti!$C$6:$C$2005,$A36,Movimenti!$A$6:$A$2005,"&gt;="&amp;DATE(Impostazioni!$C$4,N$4,1),Movimenti!$A$6:$A$2005,"&lt;"&amp;DATE(Impostazioni!$C$4,N$4+1,1)))</f>
        <v/>
      </c>
      <c r="O36" s="45">
        <f>SUM(C36:N36)</f>
        <v/>
      </c>
      <c r="P36" s="36">
        <f>Budget!P36</f>
        <v/>
      </c>
      <c r="Q36" s="36">
        <f>O36-P36</f>
        <v/>
      </c>
      <c r="R36" s="47">
        <f>IF(P36=0,"",O36/P36)</f>
        <v/>
      </c>
      <c r="T36" s="36">
        <f>INDEX(Budget!$D36:$O36,Impostazioni!$C$12)</f>
        <v/>
      </c>
      <c r="U36" s="36">
        <f>INDEX($C36:$N36,Impostazioni!$C$12)</f>
        <v/>
      </c>
      <c r="V36" s="36">
        <f>U36-T36</f>
        <v/>
      </c>
      <c r="W36" s="36">
        <f>SUMIFS(Budget!$D36:$O36,Budget!$D$4:$O$4,"&lt;="&amp;Impostazioni!$C$12)</f>
        <v/>
      </c>
      <c r="X36" s="36">
        <f>SUMIFS($C36:$N36,$C$4:$N$4,"&lt;="&amp;Impostazioni!$C$12)</f>
        <v/>
      </c>
      <c r="Y36" s="36">
        <f>X36-W36</f>
        <v/>
      </c>
      <c r="Z36" s="51">
        <f>IF(AND(O36&gt;0,LEFT(B36,5)="Spesa"),O36-ROW()/10000000,0)</f>
        <v/>
      </c>
    </row>
    <row r="37">
      <c r="A37" s="42">
        <f>IF(Categorie!$A29="","",Categorie!$A29)</f>
        <v/>
      </c>
      <c r="B37" s="35">
        <f>IF(A37="","",Categorie!$B29&amp;"")</f>
        <v/>
      </c>
      <c r="C37" s="36">
        <f>IF($A37="",0,SUMIFS(Movimenti!$D$6:$D$2005,Movimenti!$C$6:$C$2005,$A37,Movimenti!$A$6:$A$2005,"&gt;="&amp;DATE(Impostazioni!$C$4,C$4,1),Movimenti!$A$6:$A$2005,"&lt;"&amp;DATE(Impostazioni!$C$4,C$4+1,1)))</f>
        <v/>
      </c>
      <c r="D37" s="36">
        <f>IF($A37="",0,SUMIFS(Movimenti!$D$6:$D$2005,Movimenti!$C$6:$C$2005,$A37,Movimenti!$A$6:$A$2005,"&gt;="&amp;DATE(Impostazioni!$C$4,D$4,1),Movimenti!$A$6:$A$2005,"&lt;"&amp;DATE(Impostazioni!$C$4,D$4+1,1)))</f>
        <v/>
      </c>
      <c r="E37" s="36">
        <f>IF($A37="",0,SUMIFS(Movimenti!$D$6:$D$2005,Movimenti!$C$6:$C$2005,$A37,Movimenti!$A$6:$A$2005,"&gt;="&amp;DATE(Impostazioni!$C$4,E$4,1),Movimenti!$A$6:$A$2005,"&lt;"&amp;DATE(Impostazioni!$C$4,E$4+1,1)))</f>
        <v/>
      </c>
      <c r="F37" s="36">
        <f>IF($A37="",0,SUMIFS(Movimenti!$D$6:$D$2005,Movimenti!$C$6:$C$2005,$A37,Movimenti!$A$6:$A$2005,"&gt;="&amp;DATE(Impostazioni!$C$4,F$4,1),Movimenti!$A$6:$A$2005,"&lt;"&amp;DATE(Impostazioni!$C$4,F$4+1,1)))</f>
        <v/>
      </c>
      <c r="G37" s="36">
        <f>IF($A37="",0,SUMIFS(Movimenti!$D$6:$D$2005,Movimenti!$C$6:$C$2005,$A37,Movimenti!$A$6:$A$2005,"&gt;="&amp;DATE(Impostazioni!$C$4,G$4,1),Movimenti!$A$6:$A$2005,"&lt;"&amp;DATE(Impostazioni!$C$4,G$4+1,1)))</f>
        <v/>
      </c>
      <c r="H37" s="36">
        <f>IF($A37="",0,SUMIFS(Movimenti!$D$6:$D$2005,Movimenti!$C$6:$C$2005,$A37,Movimenti!$A$6:$A$2005,"&gt;="&amp;DATE(Impostazioni!$C$4,H$4,1),Movimenti!$A$6:$A$2005,"&lt;"&amp;DATE(Impostazioni!$C$4,H$4+1,1)))</f>
        <v/>
      </c>
      <c r="I37" s="36">
        <f>IF($A37="",0,SUMIFS(Movimenti!$D$6:$D$2005,Movimenti!$C$6:$C$2005,$A37,Movimenti!$A$6:$A$2005,"&gt;="&amp;DATE(Impostazioni!$C$4,I$4,1),Movimenti!$A$6:$A$2005,"&lt;"&amp;DATE(Impostazioni!$C$4,I$4+1,1)))</f>
        <v/>
      </c>
      <c r="J37" s="36">
        <f>IF($A37="",0,SUMIFS(Movimenti!$D$6:$D$2005,Movimenti!$C$6:$C$2005,$A37,Movimenti!$A$6:$A$2005,"&gt;="&amp;DATE(Impostazioni!$C$4,J$4,1),Movimenti!$A$6:$A$2005,"&lt;"&amp;DATE(Impostazioni!$C$4,J$4+1,1)))</f>
        <v/>
      </c>
      <c r="K37" s="36">
        <f>IF($A37="",0,SUMIFS(Movimenti!$D$6:$D$2005,Movimenti!$C$6:$C$2005,$A37,Movimenti!$A$6:$A$2005,"&gt;="&amp;DATE(Impostazioni!$C$4,K$4,1),Movimenti!$A$6:$A$2005,"&lt;"&amp;DATE(Impostazioni!$C$4,K$4+1,1)))</f>
        <v/>
      </c>
      <c r="L37" s="36">
        <f>IF($A37="",0,SUMIFS(Movimenti!$D$6:$D$2005,Movimenti!$C$6:$C$2005,$A37,Movimenti!$A$6:$A$2005,"&gt;="&amp;DATE(Impostazioni!$C$4,L$4,1),Movimenti!$A$6:$A$2005,"&lt;"&amp;DATE(Impostazioni!$C$4,L$4+1,1)))</f>
        <v/>
      </c>
      <c r="M37" s="36">
        <f>IF($A37="",0,SUMIFS(Movimenti!$D$6:$D$2005,Movimenti!$C$6:$C$2005,$A37,Movimenti!$A$6:$A$2005,"&gt;="&amp;DATE(Impostazioni!$C$4,M$4,1),Movimenti!$A$6:$A$2005,"&lt;"&amp;DATE(Impostazioni!$C$4,M$4+1,1)))</f>
        <v/>
      </c>
      <c r="N37" s="36">
        <f>IF($A37="",0,SUMIFS(Movimenti!$D$6:$D$2005,Movimenti!$C$6:$C$2005,$A37,Movimenti!$A$6:$A$2005,"&gt;="&amp;DATE(Impostazioni!$C$4,N$4,1),Movimenti!$A$6:$A$2005,"&lt;"&amp;DATE(Impostazioni!$C$4,N$4+1,1)))</f>
        <v/>
      </c>
      <c r="O37" s="45">
        <f>SUM(C37:N37)</f>
        <v/>
      </c>
      <c r="P37" s="36">
        <f>Budget!P37</f>
        <v/>
      </c>
      <c r="Q37" s="36">
        <f>O37-P37</f>
        <v/>
      </c>
      <c r="R37" s="47">
        <f>IF(P37=0,"",O37/P37)</f>
        <v/>
      </c>
      <c r="T37" s="36">
        <f>INDEX(Budget!$D37:$O37,Impostazioni!$C$12)</f>
        <v/>
      </c>
      <c r="U37" s="36">
        <f>INDEX($C37:$N37,Impostazioni!$C$12)</f>
        <v/>
      </c>
      <c r="V37" s="36">
        <f>U37-T37</f>
        <v/>
      </c>
      <c r="W37" s="36">
        <f>SUMIFS(Budget!$D37:$O37,Budget!$D$4:$O$4,"&lt;="&amp;Impostazioni!$C$12)</f>
        <v/>
      </c>
      <c r="X37" s="36">
        <f>SUMIFS($C37:$N37,$C$4:$N$4,"&lt;="&amp;Impostazioni!$C$12)</f>
        <v/>
      </c>
      <c r="Y37" s="36">
        <f>X37-W37</f>
        <v/>
      </c>
      <c r="Z37" s="51">
        <f>IF(AND(O37&gt;0,LEFT(B37,5)="Spesa"),O37-ROW()/10000000,0)</f>
        <v/>
      </c>
    </row>
    <row r="38">
      <c r="A38" s="42">
        <f>IF(Categorie!$A30="","",Categorie!$A30)</f>
        <v/>
      </c>
      <c r="B38" s="35">
        <f>IF(A38="","",Categorie!$B30&amp;"")</f>
        <v/>
      </c>
      <c r="C38" s="36">
        <f>IF($A38="",0,SUMIFS(Movimenti!$D$6:$D$2005,Movimenti!$C$6:$C$2005,$A38,Movimenti!$A$6:$A$2005,"&gt;="&amp;DATE(Impostazioni!$C$4,C$4,1),Movimenti!$A$6:$A$2005,"&lt;"&amp;DATE(Impostazioni!$C$4,C$4+1,1)))</f>
        <v/>
      </c>
      <c r="D38" s="36">
        <f>IF($A38="",0,SUMIFS(Movimenti!$D$6:$D$2005,Movimenti!$C$6:$C$2005,$A38,Movimenti!$A$6:$A$2005,"&gt;="&amp;DATE(Impostazioni!$C$4,D$4,1),Movimenti!$A$6:$A$2005,"&lt;"&amp;DATE(Impostazioni!$C$4,D$4+1,1)))</f>
        <v/>
      </c>
      <c r="E38" s="36">
        <f>IF($A38="",0,SUMIFS(Movimenti!$D$6:$D$2005,Movimenti!$C$6:$C$2005,$A38,Movimenti!$A$6:$A$2005,"&gt;="&amp;DATE(Impostazioni!$C$4,E$4,1),Movimenti!$A$6:$A$2005,"&lt;"&amp;DATE(Impostazioni!$C$4,E$4+1,1)))</f>
        <v/>
      </c>
      <c r="F38" s="36">
        <f>IF($A38="",0,SUMIFS(Movimenti!$D$6:$D$2005,Movimenti!$C$6:$C$2005,$A38,Movimenti!$A$6:$A$2005,"&gt;="&amp;DATE(Impostazioni!$C$4,F$4,1),Movimenti!$A$6:$A$2005,"&lt;"&amp;DATE(Impostazioni!$C$4,F$4+1,1)))</f>
        <v/>
      </c>
      <c r="G38" s="36">
        <f>IF($A38="",0,SUMIFS(Movimenti!$D$6:$D$2005,Movimenti!$C$6:$C$2005,$A38,Movimenti!$A$6:$A$2005,"&gt;="&amp;DATE(Impostazioni!$C$4,G$4,1),Movimenti!$A$6:$A$2005,"&lt;"&amp;DATE(Impostazioni!$C$4,G$4+1,1)))</f>
        <v/>
      </c>
      <c r="H38" s="36">
        <f>IF($A38="",0,SUMIFS(Movimenti!$D$6:$D$2005,Movimenti!$C$6:$C$2005,$A38,Movimenti!$A$6:$A$2005,"&gt;="&amp;DATE(Impostazioni!$C$4,H$4,1),Movimenti!$A$6:$A$2005,"&lt;"&amp;DATE(Impostazioni!$C$4,H$4+1,1)))</f>
        <v/>
      </c>
      <c r="I38" s="36">
        <f>IF($A38="",0,SUMIFS(Movimenti!$D$6:$D$2005,Movimenti!$C$6:$C$2005,$A38,Movimenti!$A$6:$A$2005,"&gt;="&amp;DATE(Impostazioni!$C$4,I$4,1),Movimenti!$A$6:$A$2005,"&lt;"&amp;DATE(Impostazioni!$C$4,I$4+1,1)))</f>
        <v/>
      </c>
      <c r="J38" s="36">
        <f>IF($A38="",0,SUMIFS(Movimenti!$D$6:$D$2005,Movimenti!$C$6:$C$2005,$A38,Movimenti!$A$6:$A$2005,"&gt;="&amp;DATE(Impostazioni!$C$4,J$4,1),Movimenti!$A$6:$A$2005,"&lt;"&amp;DATE(Impostazioni!$C$4,J$4+1,1)))</f>
        <v/>
      </c>
      <c r="K38" s="36">
        <f>IF($A38="",0,SUMIFS(Movimenti!$D$6:$D$2005,Movimenti!$C$6:$C$2005,$A38,Movimenti!$A$6:$A$2005,"&gt;="&amp;DATE(Impostazioni!$C$4,K$4,1),Movimenti!$A$6:$A$2005,"&lt;"&amp;DATE(Impostazioni!$C$4,K$4+1,1)))</f>
        <v/>
      </c>
      <c r="L38" s="36">
        <f>IF($A38="",0,SUMIFS(Movimenti!$D$6:$D$2005,Movimenti!$C$6:$C$2005,$A38,Movimenti!$A$6:$A$2005,"&gt;="&amp;DATE(Impostazioni!$C$4,L$4,1),Movimenti!$A$6:$A$2005,"&lt;"&amp;DATE(Impostazioni!$C$4,L$4+1,1)))</f>
        <v/>
      </c>
      <c r="M38" s="36">
        <f>IF($A38="",0,SUMIFS(Movimenti!$D$6:$D$2005,Movimenti!$C$6:$C$2005,$A38,Movimenti!$A$6:$A$2005,"&gt;="&amp;DATE(Impostazioni!$C$4,M$4,1),Movimenti!$A$6:$A$2005,"&lt;"&amp;DATE(Impostazioni!$C$4,M$4+1,1)))</f>
        <v/>
      </c>
      <c r="N38" s="36">
        <f>IF($A38="",0,SUMIFS(Movimenti!$D$6:$D$2005,Movimenti!$C$6:$C$2005,$A38,Movimenti!$A$6:$A$2005,"&gt;="&amp;DATE(Impostazioni!$C$4,N$4,1),Movimenti!$A$6:$A$2005,"&lt;"&amp;DATE(Impostazioni!$C$4,N$4+1,1)))</f>
        <v/>
      </c>
      <c r="O38" s="45">
        <f>SUM(C38:N38)</f>
        <v/>
      </c>
      <c r="P38" s="36">
        <f>Budget!P38</f>
        <v/>
      </c>
      <c r="Q38" s="36">
        <f>O38-P38</f>
        <v/>
      </c>
      <c r="R38" s="47">
        <f>IF(P38=0,"",O38/P38)</f>
        <v/>
      </c>
      <c r="T38" s="36">
        <f>INDEX(Budget!$D38:$O38,Impostazioni!$C$12)</f>
        <v/>
      </c>
      <c r="U38" s="36">
        <f>INDEX($C38:$N38,Impostazioni!$C$12)</f>
        <v/>
      </c>
      <c r="V38" s="36">
        <f>U38-T38</f>
        <v/>
      </c>
      <c r="W38" s="36">
        <f>SUMIFS(Budget!$D38:$O38,Budget!$D$4:$O$4,"&lt;="&amp;Impostazioni!$C$12)</f>
        <v/>
      </c>
      <c r="X38" s="36">
        <f>SUMIFS($C38:$N38,$C$4:$N$4,"&lt;="&amp;Impostazioni!$C$12)</f>
        <v/>
      </c>
      <c r="Y38" s="36">
        <f>X38-W38</f>
        <v/>
      </c>
      <c r="Z38" s="51">
        <f>IF(AND(O38&gt;0,LEFT(B38,5)="Spesa"),O38-ROW()/10000000,0)</f>
        <v/>
      </c>
    </row>
    <row r="39">
      <c r="A39" s="42">
        <f>IF(Categorie!$A31="","",Categorie!$A31)</f>
        <v/>
      </c>
      <c r="B39" s="35">
        <f>IF(A39="","",Categorie!$B31&amp;"")</f>
        <v/>
      </c>
      <c r="C39" s="36">
        <f>IF($A39="",0,SUMIFS(Movimenti!$D$6:$D$2005,Movimenti!$C$6:$C$2005,$A39,Movimenti!$A$6:$A$2005,"&gt;="&amp;DATE(Impostazioni!$C$4,C$4,1),Movimenti!$A$6:$A$2005,"&lt;"&amp;DATE(Impostazioni!$C$4,C$4+1,1)))</f>
        <v/>
      </c>
      <c r="D39" s="36">
        <f>IF($A39="",0,SUMIFS(Movimenti!$D$6:$D$2005,Movimenti!$C$6:$C$2005,$A39,Movimenti!$A$6:$A$2005,"&gt;="&amp;DATE(Impostazioni!$C$4,D$4,1),Movimenti!$A$6:$A$2005,"&lt;"&amp;DATE(Impostazioni!$C$4,D$4+1,1)))</f>
        <v/>
      </c>
      <c r="E39" s="36">
        <f>IF($A39="",0,SUMIFS(Movimenti!$D$6:$D$2005,Movimenti!$C$6:$C$2005,$A39,Movimenti!$A$6:$A$2005,"&gt;="&amp;DATE(Impostazioni!$C$4,E$4,1),Movimenti!$A$6:$A$2005,"&lt;"&amp;DATE(Impostazioni!$C$4,E$4+1,1)))</f>
        <v/>
      </c>
      <c r="F39" s="36">
        <f>IF($A39="",0,SUMIFS(Movimenti!$D$6:$D$2005,Movimenti!$C$6:$C$2005,$A39,Movimenti!$A$6:$A$2005,"&gt;="&amp;DATE(Impostazioni!$C$4,F$4,1),Movimenti!$A$6:$A$2005,"&lt;"&amp;DATE(Impostazioni!$C$4,F$4+1,1)))</f>
        <v/>
      </c>
      <c r="G39" s="36">
        <f>IF($A39="",0,SUMIFS(Movimenti!$D$6:$D$2005,Movimenti!$C$6:$C$2005,$A39,Movimenti!$A$6:$A$2005,"&gt;="&amp;DATE(Impostazioni!$C$4,G$4,1),Movimenti!$A$6:$A$2005,"&lt;"&amp;DATE(Impostazioni!$C$4,G$4+1,1)))</f>
        <v/>
      </c>
      <c r="H39" s="36">
        <f>IF($A39="",0,SUMIFS(Movimenti!$D$6:$D$2005,Movimenti!$C$6:$C$2005,$A39,Movimenti!$A$6:$A$2005,"&gt;="&amp;DATE(Impostazioni!$C$4,H$4,1),Movimenti!$A$6:$A$2005,"&lt;"&amp;DATE(Impostazioni!$C$4,H$4+1,1)))</f>
        <v/>
      </c>
      <c r="I39" s="36">
        <f>IF($A39="",0,SUMIFS(Movimenti!$D$6:$D$2005,Movimenti!$C$6:$C$2005,$A39,Movimenti!$A$6:$A$2005,"&gt;="&amp;DATE(Impostazioni!$C$4,I$4,1),Movimenti!$A$6:$A$2005,"&lt;"&amp;DATE(Impostazioni!$C$4,I$4+1,1)))</f>
        <v/>
      </c>
      <c r="J39" s="36">
        <f>IF($A39="",0,SUMIFS(Movimenti!$D$6:$D$2005,Movimenti!$C$6:$C$2005,$A39,Movimenti!$A$6:$A$2005,"&gt;="&amp;DATE(Impostazioni!$C$4,J$4,1),Movimenti!$A$6:$A$2005,"&lt;"&amp;DATE(Impostazioni!$C$4,J$4+1,1)))</f>
        <v/>
      </c>
      <c r="K39" s="36">
        <f>IF($A39="",0,SUMIFS(Movimenti!$D$6:$D$2005,Movimenti!$C$6:$C$2005,$A39,Movimenti!$A$6:$A$2005,"&gt;="&amp;DATE(Impostazioni!$C$4,K$4,1),Movimenti!$A$6:$A$2005,"&lt;"&amp;DATE(Impostazioni!$C$4,K$4+1,1)))</f>
        <v/>
      </c>
      <c r="L39" s="36">
        <f>IF($A39="",0,SUMIFS(Movimenti!$D$6:$D$2005,Movimenti!$C$6:$C$2005,$A39,Movimenti!$A$6:$A$2005,"&gt;="&amp;DATE(Impostazioni!$C$4,L$4,1),Movimenti!$A$6:$A$2005,"&lt;"&amp;DATE(Impostazioni!$C$4,L$4+1,1)))</f>
        <v/>
      </c>
      <c r="M39" s="36">
        <f>IF($A39="",0,SUMIFS(Movimenti!$D$6:$D$2005,Movimenti!$C$6:$C$2005,$A39,Movimenti!$A$6:$A$2005,"&gt;="&amp;DATE(Impostazioni!$C$4,M$4,1),Movimenti!$A$6:$A$2005,"&lt;"&amp;DATE(Impostazioni!$C$4,M$4+1,1)))</f>
        <v/>
      </c>
      <c r="N39" s="36">
        <f>IF($A39="",0,SUMIFS(Movimenti!$D$6:$D$2005,Movimenti!$C$6:$C$2005,$A39,Movimenti!$A$6:$A$2005,"&gt;="&amp;DATE(Impostazioni!$C$4,N$4,1),Movimenti!$A$6:$A$2005,"&lt;"&amp;DATE(Impostazioni!$C$4,N$4+1,1)))</f>
        <v/>
      </c>
      <c r="O39" s="45">
        <f>SUM(C39:N39)</f>
        <v/>
      </c>
      <c r="P39" s="36">
        <f>Budget!P39</f>
        <v/>
      </c>
      <c r="Q39" s="36">
        <f>O39-P39</f>
        <v/>
      </c>
      <c r="R39" s="47">
        <f>IF(P39=0,"",O39/P39)</f>
        <v/>
      </c>
      <c r="T39" s="36">
        <f>INDEX(Budget!$D39:$O39,Impostazioni!$C$12)</f>
        <v/>
      </c>
      <c r="U39" s="36">
        <f>INDEX($C39:$N39,Impostazioni!$C$12)</f>
        <v/>
      </c>
      <c r="V39" s="36">
        <f>U39-T39</f>
        <v/>
      </c>
      <c r="W39" s="36">
        <f>SUMIFS(Budget!$D39:$O39,Budget!$D$4:$O$4,"&lt;="&amp;Impostazioni!$C$12)</f>
        <v/>
      </c>
      <c r="X39" s="36">
        <f>SUMIFS($C39:$N39,$C$4:$N$4,"&lt;="&amp;Impostazioni!$C$12)</f>
        <v/>
      </c>
      <c r="Y39" s="36">
        <f>X39-W39</f>
        <v/>
      </c>
      <c r="Z39" s="51">
        <f>IF(AND(O39&gt;0,LEFT(B39,5)="Spesa"),O39-ROW()/10000000,0)</f>
        <v/>
      </c>
    </row>
    <row r="40">
      <c r="A40" s="42">
        <f>IF(Categorie!$A32="","",Categorie!$A32)</f>
        <v/>
      </c>
      <c r="B40" s="35">
        <f>IF(A40="","",Categorie!$B32&amp;"")</f>
        <v/>
      </c>
      <c r="C40" s="36">
        <f>IF($A40="",0,SUMIFS(Movimenti!$D$6:$D$2005,Movimenti!$C$6:$C$2005,$A40,Movimenti!$A$6:$A$2005,"&gt;="&amp;DATE(Impostazioni!$C$4,C$4,1),Movimenti!$A$6:$A$2005,"&lt;"&amp;DATE(Impostazioni!$C$4,C$4+1,1)))</f>
        <v/>
      </c>
      <c r="D40" s="36">
        <f>IF($A40="",0,SUMIFS(Movimenti!$D$6:$D$2005,Movimenti!$C$6:$C$2005,$A40,Movimenti!$A$6:$A$2005,"&gt;="&amp;DATE(Impostazioni!$C$4,D$4,1),Movimenti!$A$6:$A$2005,"&lt;"&amp;DATE(Impostazioni!$C$4,D$4+1,1)))</f>
        <v/>
      </c>
      <c r="E40" s="36">
        <f>IF($A40="",0,SUMIFS(Movimenti!$D$6:$D$2005,Movimenti!$C$6:$C$2005,$A40,Movimenti!$A$6:$A$2005,"&gt;="&amp;DATE(Impostazioni!$C$4,E$4,1),Movimenti!$A$6:$A$2005,"&lt;"&amp;DATE(Impostazioni!$C$4,E$4+1,1)))</f>
        <v/>
      </c>
      <c r="F40" s="36">
        <f>IF($A40="",0,SUMIFS(Movimenti!$D$6:$D$2005,Movimenti!$C$6:$C$2005,$A40,Movimenti!$A$6:$A$2005,"&gt;="&amp;DATE(Impostazioni!$C$4,F$4,1),Movimenti!$A$6:$A$2005,"&lt;"&amp;DATE(Impostazioni!$C$4,F$4+1,1)))</f>
        <v/>
      </c>
      <c r="G40" s="36">
        <f>IF($A40="",0,SUMIFS(Movimenti!$D$6:$D$2005,Movimenti!$C$6:$C$2005,$A40,Movimenti!$A$6:$A$2005,"&gt;="&amp;DATE(Impostazioni!$C$4,G$4,1),Movimenti!$A$6:$A$2005,"&lt;"&amp;DATE(Impostazioni!$C$4,G$4+1,1)))</f>
        <v/>
      </c>
      <c r="H40" s="36">
        <f>IF($A40="",0,SUMIFS(Movimenti!$D$6:$D$2005,Movimenti!$C$6:$C$2005,$A40,Movimenti!$A$6:$A$2005,"&gt;="&amp;DATE(Impostazioni!$C$4,H$4,1),Movimenti!$A$6:$A$2005,"&lt;"&amp;DATE(Impostazioni!$C$4,H$4+1,1)))</f>
        <v/>
      </c>
      <c r="I40" s="36">
        <f>IF($A40="",0,SUMIFS(Movimenti!$D$6:$D$2005,Movimenti!$C$6:$C$2005,$A40,Movimenti!$A$6:$A$2005,"&gt;="&amp;DATE(Impostazioni!$C$4,I$4,1),Movimenti!$A$6:$A$2005,"&lt;"&amp;DATE(Impostazioni!$C$4,I$4+1,1)))</f>
        <v/>
      </c>
      <c r="J40" s="36">
        <f>IF($A40="",0,SUMIFS(Movimenti!$D$6:$D$2005,Movimenti!$C$6:$C$2005,$A40,Movimenti!$A$6:$A$2005,"&gt;="&amp;DATE(Impostazioni!$C$4,J$4,1),Movimenti!$A$6:$A$2005,"&lt;"&amp;DATE(Impostazioni!$C$4,J$4+1,1)))</f>
        <v/>
      </c>
      <c r="K40" s="36">
        <f>IF($A40="",0,SUMIFS(Movimenti!$D$6:$D$2005,Movimenti!$C$6:$C$2005,$A40,Movimenti!$A$6:$A$2005,"&gt;="&amp;DATE(Impostazioni!$C$4,K$4,1),Movimenti!$A$6:$A$2005,"&lt;"&amp;DATE(Impostazioni!$C$4,K$4+1,1)))</f>
        <v/>
      </c>
      <c r="L40" s="36">
        <f>IF($A40="",0,SUMIFS(Movimenti!$D$6:$D$2005,Movimenti!$C$6:$C$2005,$A40,Movimenti!$A$6:$A$2005,"&gt;="&amp;DATE(Impostazioni!$C$4,L$4,1),Movimenti!$A$6:$A$2005,"&lt;"&amp;DATE(Impostazioni!$C$4,L$4+1,1)))</f>
        <v/>
      </c>
      <c r="M40" s="36">
        <f>IF($A40="",0,SUMIFS(Movimenti!$D$6:$D$2005,Movimenti!$C$6:$C$2005,$A40,Movimenti!$A$6:$A$2005,"&gt;="&amp;DATE(Impostazioni!$C$4,M$4,1),Movimenti!$A$6:$A$2005,"&lt;"&amp;DATE(Impostazioni!$C$4,M$4+1,1)))</f>
        <v/>
      </c>
      <c r="N40" s="36">
        <f>IF($A40="",0,SUMIFS(Movimenti!$D$6:$D$2005,Movimenti!$C$6:$C$2005,$A40,Movimenti!$A$6:$A$2005,"&gt;="&amp;DATE(Impostazioni!$C$4,N$4,1),Movimenti!$A$6:$A$2005,"&lt;"&amp;DATE(Impostazioni!$C$4,N$4+1,1)))</f>
        <v/>
      </c>
      <c r="O40" s="45">
        <f>SUM(C40:N40)</f>
        <v/>
      </c>
      <c r="P40" s="36">
        <f>Budget!P40</f>
        <v/>
      </c>
      <c r="Q40" s="36">
        <f>O40-P40</f>
        <v/>
      </c>
      <c r="R40" s="47">
        <f>IF(P40=0,"",O40/P40)</f>
        <v/>
      </c>
      <c r="T40" s="36">
        <f>INDEX(Budget!$D40:$O40,Impostazioni!$C$12)</f>
        <v/>
      </c>
      <c r="U40" s="36">
        <f>INDEX($C40:$N40,Impostazioni!$C$12)</f>
        <v/>
      </c>
      <c r="V40" s="36">
        <f>U40-T40</f>
        <v/>
      </c>
      <c r="W40" s="36">
        <f>SUMIFS(Budget!$D40:$O40,Budget!$D$4:$O$4,"&lt;="&amp;Impostazioni!$C$12)</f>
        <v/>
      </c>
      <c r="X40" s="36">
        <f>SUMIFS($C40:$N40,$C$4:$N$4,"&lt;="&amp;Impostazioni!$C$12)</f>
        <v/>
      </c>
      <c r="Y40" s="36">
        <f>X40-W40</f>
        <v/>
      </c>
      <c r="Z40" s="51">
        <f>IF(AND(O40&gt;0,LEFT(B40,5)="Spesa"),O40-ROW()/10000000,0)</f>
        <v/>
      </c>
    </row>
    <row r="41">
      <c r="A41" s="42">
        <f>IF(Categorie!$A33="","",Categorie!$A33)</f>
        <v/>
      </c>
      <c r="B41" s="35">
        <f>IF(A41="","",Categorie!$B33&amp;"")</f>
        <v/>
      </c>
      <c r="C41" s="36">
        <f>IF($A41="",0,SUMIFS(Movimenti!$D$6:$D$2005,Movimenti!$C$6:$C$2005,$A41,Movimenti!$A$6:$A$2005,"&gt;="&amp;DATE(Impostazioni!$C$4,C$4,1),Movimenti!$A$6:$A$2005,"&lt;"&amp;DATE(Impostazioni!$C$4,C$4+1,1)))</f>
        <v/>
      </c>
      <c r="D41" s="36">
        <f>IF($A41="",0,SUMIFS(Movimenti!$D$6:$D$2005,Movimenti!$C$6:$C$2005,$A41,Movimenti!$A$6:$A$2005,"&gt;="&amp;DATE(Impostazioni!$C$4,D$4,1),Movimenti!$A$6:$A$2005,"&lt;"&amp;DATE(Impostazioni!$C$4,D$4+1,1)))</f>
        <v/>
      </c>
      <c r="E41" s="36">
        <f>IF($A41="",0,SUMIFS(Movimenti!$D$6:$D$2005,Movimenti!$C$6:$C$2005,$A41,Movimenti!$A$6:$A$2005,"&gt;="&amp;DATE(Impostazioni!$C$4,E$4,1),Movimenti!$A$6:$A$2005,"&lt;"&amp;DATE(Impostazioni!$C$4,E$4+1,1)))</f>
        <v/>
      </c>
      <c r="F41" s="36">
        <f>IF($A41="",0,SUMIFS(Movimenti!$D$6:$D$2005,Movimenti!$C$6:$C$2005,$A41,Movimenti!$A$6:$A$2005,"&gt;="&amp;DATE(Impostazioni!$C$4,F$4,1),Movimenti!$A$6:$A$2005,"&lt;"&amp;DATE(Impostazioni!$C$4,F$4+1,1)))</f>
        <v/>
      </c>
      <c r="G41" s="36">
        <f>IF($A41="",0,SUMIFS(Movimenti!$D$6:$D$2005,Movimenti!$C$6:$C$2005,$A41,Movimenti!$A$6:$A$2005,"&gt;="&amp;DATE(Impostazioni!$C$4,G$4,1),Movimenti!$A$6:$A$2005,"&lt;"&amp;DATE(Impostazioni!$C$4,G$4+1,1)))</f>
        <v/>
      </c>
      <c r="H41" s="36">
        <f>IF($A41="",0,SUMIFS(Movimenti!$D$6:$D$2005,Movimenti!$C$6:$C$2005,$A41,Movimenti!$A$6:$A$2005,"&gt;="&amp;DATE(Impostazioni!$C$4,H$4,1),Movimenti!$A$6:$A$2005,"&lt;"&amp;DATE(Impostazioni!$C$4,H$4+1,1)))</f>
        <v/>
      </c>
      <c r="I41" s="36">
        <f>IF($A41="",0,SUMIFS(Movimenti!$D$6:$D$2005,Movimenti!$C$6:$C$2005,$A41,Movimenti!$A$6:$A$2005,"&gt;="&amp;DATE(Impostazioni!$C$4,I$4,1),Movimenti!$A$6:$A$2005,"&lt;"&amp;DATE(Impostazioni!$C$4,I$4+1,1)))</f>
        <v/>
      </c>
      <c r="J41" s="36">
        <f>IF($A41="",0,SUMIFS(Movimenti!$D$6:$D$2005,Movimenti!$C$6:$C$2005,$A41,Movimenti!$A$6:$A$2005,"&gt;="&amp;DATE(Impostazioni!$C$4,J$4,1),Movimenti!$A$6:$A$2005,"&lt;"&amp;DATE(Impostazioni!$C$4,J$4+1,1)))</f>
        <v/>
      </c>
      <c r="K41" s="36">
        <f>IF($A41="",0,SUMIFS(Movimenti!$D$6:$D$2005,Movimenti!$C$6:$C$2005,$A41,Movimenti!$A$6:$A$2005,"&gt;="&amp;DATE(Impostazioni!$C$4,K$4,1),Movimenti!$A$6:$A$2005,"&lt;"&amp;DATE(Impostazioni!$C$4,K$4+1,1)))</f>
        <v/>
      </c>
      <c r="L41" s="36">
        <f>IF($A41="",0,SUMIFS(Movimenti!$D$6:$D$2005,Movimenti!$C$6:$C$2005,$A41,Movimenti!$A$6:$A$2005,"&gt;="&amp;DATE(Impostazioni!$C$4,L$4,1),Movimenti!$A$6:$A$2005,"&lt;"&amp;DATE(Impostazioni!$C$4,L$4+1,1)))</f>
        <v/>
      </c>
      <c r="M41" s="36">
        <f>IF($A41="",0,SUMIFS(Movimenti!$D$6:$D$2005,Movimenti!$C$6:$C$2005,$A41,Movimenti!$A$6:$A$2005,"&gt;="&amp;DATE(Impostazioni!$C$4,M$4,1),Movimenti!$A$6:$A$2005,"&lt;"&amp;DATE(Impostazioni!$C$4,M$4+1,1)))</f>
        <v/>
      </c>
      <c r="N41" s="36">
        <f>IF($A41="",0,SUMIFS(Movimenti!$D$6:$D$2005,Movimenti!$C$6:$C$2005,$A41,Movimenti!$A$6:$A$2005,"&gt;="&amp;DATE(Impostazioni!$C$4,N$4,1),Movimenti!$A$6:$A$2005,"&lt;"&amp;DATE(Impostazioni!$C$4,N$4+1,1)))</f>
        <v/>
      </c>
      <c r="O41" s="45">
        <f>SUM(C41:N41)</f>
        <v/>
      </c>
      <c r="P41" s="36">
        <f>Budget!P41</f>
        <v/>
      </c>
      <c r="Q41" s="36">
        <f>O41-P41</f>
        <v/>
      </c>
      <c r="R41" s="47">
        <f>IF(P41=0,"",O41/P41)</f>
        <v/>
      </c>
      <c r="T41" s="36">
        <f>INDEX(Budget!$D41:$O41,Impostazioni!$C$12)</f>
        <v/>
      </c>
      <c r="U41" s="36">
        <f>INDEX($C41:$N41,Impostazioni!$C$12)</f>
        <v/>
      </c>
      <c r="V41" s="36">
        <f>U41-T41</f>
        <v/>
      </c>
      <c r="W41" s="36">
        <f>SUMIFS(Budget!$D41:$O41,Budget!$D$4:$O$4,"&lt;="&amp;Impostazioni!$C$12)</f>
        <v/>
      </c>
      <c r="X41" s="36">
        <f>SUMIFS($C41:$N41,$C$4:$N$4,"&lt;="&amp;Impostazioni!$C$12)</f>
        <v/>
      </c>
      <c r="Y41" s="36">
        <f>X41-W41</f>
        <v/>
      </c>
      <c r="Z41" s="51">
        <f>IF(AND(O41&gt;0,LEFT(B41,5)="Spesa"),O41-ROW()/10000000,0)</f>
        <v/>
      </c>
    </row>
    <row r="42">
      <c r="A42" s="42">
        <f>IF(Categorie!$A34="","",Categorie!$A34)</f>
        <v/>
      </c>
      <c r="B42" s="35">
        <f>IF(A42="","",Categorie!$B34&amp;"")</f>
        <v/>
      </c>
      <c r="C42" s="36">
        <f>IF($A42="",0,SUMIFS(Movimenti!$D$6:$D$2005,Movimenti!$C$6:$C$2005,$A42,Movimenti!$A$6:$A$2005,"&gt;="&amp;DATE(Impostazioni!$C$4,C$4,1),Movimenti!$A$6:$A$2005,"&lt;"&amp;DATE(Impostazioni!$C$4,C$4+1,1)))</f>
        <v/>
      </c>
      <c r="D42" s="36">
        <f>IF($A42="",0,SUMIFS(Movimenti!$D$6:$D$2005,Movimenti!$C$6:$C$2005,$A42,Movimenti!$A$6:$A$2005,"&gt;="&amp;DATE(Impostazioni!$C$4,D$4,1),Movimenti!$A$6:$A$2005,"&lt;"&amp;DATE(Impostazioni!$C$4,D$4+1,1)))</f>
        <v/>
      </c>
      <c r="E42" s="36">
        <f>IF($A42="",0,SUMIFS(Movimenti!$D$6:$D$2005,Movimenti!$C$6:$C$2005,$A42,Movimenti!$A$6:$A$2005,"&gt;="&amp;DATE(Impostazioni!$C$4,E$4,1),Movimenti!$A$6:$A$2005,"&lt;"&amp;DATE(Impostazioni!$C$4,E$4+1,1)))</f>
        <v/>
      </c>
      <c r="F42" s="36">
        <f>IF($A42="",0,SUMIFS(Movimenti!$D$6:$D$2005,Movimenti!$C$6:$C$2005,$A42,Movimenti!$A$6:$A$2005,"&gt;="&amp;DATE(Impostazioni!$C$4,F$4,1),Movimenti!$A$6:$A$2005,"&lt;"&amp;DATE(Impostazioni!$C$4,F$4+1,1)))</f>
        <v/>
      </c>
      <c r="G42" s="36">
        <f>IF($A42="",0,SUMIFS(Movimenti!$D$6:$D$2005,Movimenti!$C$6:$C$2005,$A42,Movimenti!$A$6:$A$2005,"&gt;="&amp;DATE(Impostazioni!$C$4,G$4,1),Movimenti!$A$6:$A$2005,"&lt;"&amp;DATE(Impostazioni!$C$4,G$4+1,1)))</f>
        <v/>
      </c>
      <c r="H42" s="36">
        <f>IF($A42="",0,SUMIFS(Movimenti!$D$6:$D$2005,Movimenti!$C$6:$C$2005,$A42,Movimenti!$A$6:$A$2005,"&gt;="&amp;DATE(Impostazioni!$C$4,H$4,1),Movimenti!$A$6:$A$2005,"&lt;"&amp;DATE(Impostazioni!$C$4,H$4+1,1)))</f>
        <v/>
      </c>
      <c r="I42" s="36">
        <f>IF($A42="",0,SUMIFS(Movimenti!$D$6:$D$2005,Movimenti!$C$6:$C$2005,$A42,Movimenti!$A$6:$A$2005,"&gt;="&amp;DATE(Impostazioni!$C$4,I$4,1),Movimenti!$A$6:$A$2005,"&lt;"&amp;DATE(Impostazioni!$C$4,I$4+1,1)))</f>
        <v/>
      </c>
      <c r="J42" s="36">
        <f>IF($A42="",0,SUMIFS(Movimenti!$D$6:$D$2005,Movimenti!$C$6:$C$2005,$A42,Movimenti!$A$6:$A$2005,"&gt;="&amp;DATE(Impostazioni!$C$4,J$4,1),Movimenti!$A$6:$A$2005,"&lt;"&amp;DATE(Impostazioni!$C$4,J$4+1,1)))</f>
        <v/>
      </c>
      <c r="K42" s="36">
        <f>IF($A42="",0,SUMIFS(Movimenti!$D$6:$D$2005,Movimenti!$C$6:$C$2005,$A42,Movimenti!$A$6:$A$2005,"&gt;="&amp;DATE(Impostazioni!$C$4,K$4,1),Movimenti!$A$6:$A$2005,"&lt;"&amp;DATE(Impostazioni!$C$4,K$4+1,1)))</f>
        <v/>
      </c>
      <c r="L42" s="36">
        <f>IF($A42="",0,SUMIFS(Movimenti!$D$6:$D$2005,Movimenti!$C$6:$C$2005,$A42,Movimenti!$A$6:$A$2005,"&gt;="&amp;DATE(Impostazioni!$C$4,L$4,1),Movimenti!$A$6:$A$2005,"&lt;"&amp;DATE(Impostazioni!$C$4,L$4+1,1)))</f>
        <v/>
      </c>
      <c r="M42" s="36">
        <f>IF($A42="",0,SUMIFS(Movimenti!$D$6:$D$2005,Movimenti!$C$6:$C$2005,$A42,Movimenti!$A$6:$A$2005,"&gt;="&amp;DATE(Impostazioni!$C$4,M$4,1),Movimenti!$A$6:$A$2005,"&lt;"&amp;DATE(Impostazioni!$C$4,M$4+1,1)))</f>
        <v/>
      </c>
      <c r="N42" s="36">
        <f>IF($A42="",0,SUMIFS(Movimenti!$D$6:$D$2005,Movimenti!$C$6:$C$2005,$A42,Movimenti!$A$6:$A$2005,"&gt;="&amp;DATE(Impostazioni!$C$4,N$4,1),Movimenti!$A$6:$A$2005,"&lt;"&amp;DATE(Impostazioni!$C$4,N$4+1,1)))</f>
        <v/>
      </c>
      <c r="O42" s="45">
        <f>SUM(C42:N42)</f>
        <v/>
      </c>
      <c r="P42" s="36">
        <f>Budget!P42</f>
        <v/>
      </c>
      <c r="Q42" s="36">
        <f>O42-P42</f>
        <v/>
      </c>
      <c r="R42" s="47">
        <f>IF(P42=0,"",O42/P42)</f>
        <v/>
      </c>
      <c r="T42" s="36">
        <f>INDEX(Budget!$D42:$O42,Impostazioni!$C$12)</f>
        <v/>
      </c>
      <c r="U42" s="36">
        <f>INDEX($C42:$N42,Impostazioni!$C$12)</f>
        <v/>
      </c>
      <c r="V42" s="36">
        <f>U42-T42</f>
        <v/>
      </c>
      <c r="W42" s="36">
        <f>SUMIFS(Budget!$D42:$O42,Budget!$D$4:$O$4,"&lt;="&amp;Impostazioni!$C$12)</f>
        <v/>
      </c>
      <c r="X42" s="36">
        <f>SUMIFS($C42:$N42,$C$4:$N$4,"&lt;="&amp;Impostazioni!$C$12)</f>
        <v/>
      </c>
      <c r="Y42" s="36">
        <f>X42-W42</f>
        <v/>
      </c>
      <c r="Z42" s="51">
        <f>IF(AND(O42&gt;0,LEFT(B42,5)="Spesa"),O42-ROW()/10000000,0)</f>
        <v/>
      </c>
    </row>
    <row r="43">
      <c r="A43" s="42">
        <f>IF(Categorie!$A35="","",Categorie!$A35)</f>
        <v/>
      </c>
      <c r="B43" s="35">
        <f>IF(A43="","",Categorie!$B35&amp;"")</f>
        <v/>
      </c>
      <c r="C43" s="36">
        <f>IF($A43="",0,SUMIFS(Movimenti!$D$6:$D$2005,Movimenti!$C$6:$C$2005,$A43,Movimenti!$A$6:$A$2005,"&gt;="&amp;DATE(Impostazioni!$C$4,C$4,1),Movimenti!$A$6:$A$2005,"&lt;"&amp;DATE(Impostazioni!$C$4,C$4+1,1)))</f>
        <v/>
      </c>
      <c r="D43" s="36">
        <f>IF($A43="",0,SUMIFS(Movimenti!$D$6:$D$2005,Movimenti!$C$6:$C$2005,$A43,Movimenti!$A$6:$A$2005,"&gt;="&amp;DATE(Impostazioni!$C$4,D$4,1),Movimenti!$A$6:$A$2005,"&lt;"&amp;DATE(Impostazioni!$C$4,D$4+1,1)))</f>
        <v/>
      </c>
      <c r="E43" s="36">
        <f>IF($A43="",0,SUMIFS(Movimenti!$D$6:$D$2005,Movimenti!$C$6:$C$2005,$A43,Movimenti!$A$6:$A$2005,"&gt;="&amp;DATE(Impostazioni!$C$4,E$4,1),Movimenti!$A$6:$A$2005,"&lt;"&amp;DATE(Impostazioni!$C$4,E$4+1,1)))</f>
        <v/>
      </c>
      <c r="F43" s="36">
        <f>IF($A43="",0,SUMIFS(Movimenti!$D$6:$D$2005,Movimenti!$C$6:$C$2005,$A43,Movimenti!$A$6:$A$2005,"&gt;="&amp;DATE(Impostazioni!$C$4,F$4,1),Movimenti!$A$6:$A$2005,"&lt;"&amp;DATE(Impostazioni!$C$4,F$4+1,1)))</f>
        <v/>
      </c>
      <c r="G43" s="36">
        <f>IF($A43="",0,SUMIFS(Movimenti!$D$6:$D$2005,Movimenti!$C$6:$C$2005,$A43,Movimenti!$A$6:$A$2005,"&gt;="&amp;DATE(Impostazioni!$C$4,G$4,1),Movimenti!$A$6:$A$2005,"&lt;"&amp;DATE(Impostazioni!$C$4,G$4+1,1)))</f>
        <v/>
      </c>
      <c r="H43" s="36">
        <f>IF($A43="",0,SUMIFS(Movimenti!$D$6:$D$2005,Movimenti!$C$6:$C$2005,$A43,Movimenti!$A$6:$A$2005,"&gt;="&amp;DATE(Impostazioni!$C$4,H$4,1),Movimenti!$A$6:$A$2005,"&lt;"&amp;DATE(Impostazioni!$C$4,H$4+1,1)))</f>
        <v/>
      </c>
      <c r="I43" s="36">
        <f>IF($A43="",0,SUMIFS(Movimenti!$D$6:$D$2005,Movimenti!$C$6:$C$2005,$A43,Movimenti!$A$6:$A$2005,"&gt;="&amp;DATE(Impostazioni!$C$4,I$4,1),Movimenti!$A$6:$A$2005,"&lt;"&amp;DATE(Impostazioni!$C$4,I$4+1,1)))</f>
        <v/>
      </c>
      <c r="J43" s="36">
        <f>IF($A43="",0,SUMIFS(Movimenti!$D$6:$D$2005,Movimenti!$C$6:$C$2005,$A43,Movimenti!$A$6:$A$2005,"&gt;="&amp;DATE(Impostazioni!$C$4,J$4,1),Movimenti!$A$6:$A$2005,"&lt;"&amp;DATE(Impostazioni!$C$4,J$4+1,1)))</f>
        <v/>
      </c>
      <c r="K43" s="36">
        <f>IF($A43="",0,SUMIFS(Movimenti!$D$6:$D$2005,Movimenti!$C$6:$C$2005,$A43,Movimenti!$A$6:$A$2005,"&gt;="&amp;DATE(Impostazioni!$C$4,K$4,1),Movimenti!$A$6:$A$2005,"&lt;"&amp;DATE(Impostazioni!$C$4,K$4+1,1)))</f>
        <v/>
      </c>
      <c r="L43" s="36">
        <f>IF($A43="",0,SUMIFS(Movimenti!$D$6:$D$2005,Movimenti!$C$6:$C$2005,$A43,Movimenti!$A$6:$A$2005,"&gt;="&amp;DATE(Impostazioni!$C$4,L$4,1),Movimenti!$A$6:$A$2005,"&lt;"&amp;DATE(Impostazioni!$C$4,L$4+1,1)))</f>
        <v/>
      </c>
      <c r="M43" s="36">
        <f>IF($A43="",0,SUMIFS(Movimenti!$D$6:$D$2005,Movimenti!$C$6:$C$2005,$A43,Movimenti!$A$6:$A$2005,"&gt;="&amp;DATE(Impostazioni!$C$4,M$4,1),Movimenti!$A$6:$A$2005,"&lt;"&amp;DATE(Impostazioni!$C$4,M$4+1,1)))</f>
        <v/>
      </c>
      <c r="N43" s="36">
        <f>IF($A43="",0,SUMIFS(Movimenti!$D$6:$D$2005,Movimenti!$C$6:$C$2005,$A43,Movimenti!$A$6:$A$2005,"&gt;="&amp;DATE(Impostazioni!$C$4,N$4,1),Movimenti!$A$6:$A$2005,"&lt;"&amp;DATE(Impostazioni!$C$4,N$4+1,1)))</f>
        <v/>
      </c>
      <c r="O43" s="45">
        <f>SUM(C43:N43)</f>
        <v/>
      </c>
      <c r="P43" s="36">
        <f>Budget!P43</f>
        <v/>
      </c>
      <c r="Q43" s="36">
        <f>O43-P43</f>
        <v/>
      </c>
      <c r="R43" s="47">
        <f>IF(P43=0,"",O43/P43)</f>
        <v/>
      </c>
      <c r="T43" s="36">
        <f>INDEX(Budget!$D43:$O43,Impostazioni!$C$12)</f>
        <v/>
      </c>
      <c r="U43" s="36">
        <f>INDEX($C43:$N43,Impostazioni!$C$12)</f>
        <v/>
      </c>
      <c r="V43" s="36">
        <f>U43-T43</f>
        <v/>
      </c>
      <c r="W43" s="36">
        <f>SUMIFS(Budget!$D43:$O43,Budget!$D$4:$O$4,"&lt;="&amp;Impostazioni!$C$12)</f>
        <v/>
      </c>
      <c r="X43" s="36">
        <f>SUMIFS($C43:$N43,$C$4:$N$4,"&lt;="&amp;Impostazioni!$C$12)</f>
        <v/>
      </c>
      <c r="Y43" s="36">
        <f>X43-W43</f>
        <v/>
      </c>
      <c r="Z43" s="51">
        <f>IF(AND(O43&gt;0,LEFT(B43,5)="Spesa"),O43-ROW()/10000000,0)</f>
        <v/>
      </c>
    </row>
    <row r="44">
      <c r="A44" s="42">
        <f>IF(Categorie!$A36="","",Categorie!$A36)</f>
        <v/>
      </c>
      <c r="B44" s="35">
        <f>IF(A44="","",Categorie!$B36&amp;"")</f>
        <v/>
      </c>
      <c r="C44" s="36">
        <f>IF($A44="",0,SUMIFS(Movimenti!$D$6:$D$2005,Movimenti!$C$6:$C$2005,$A44,Movimenti!$A$6:$A$2005,"&gt;="&amp;DATE(Impostazioni!$C$4,C$4,1),Movimenti!$A$6:$A$2005,"&lt;"&amp;DATE(Impostazioni!$C$4,C$4+1,1)))</f>
        <v/>
      </c>
      <c r="D44" s="36">
        <f>IF($A44="",0,SUMIFS(Movimenti!$D$6:$D$2005,Movimenti!$C$6:$C$2005,$A44,Movimenti!$A$6:$A$2005,"&gt;="&amp;DATE(Impostazioni!$C$4,D$4,1),Movimenti!$A$6:$A$2005,"&lt;"&amp;DATE(Impostazioni!$C$4,D$4+1,1)))</f>
        <v/>
      </c>
      <c r="E44" s="36">
        <f>IF($A44="",0,SUMIFS(Movimenti!$D$6:$D$2005,Movimenti!$C$6:$C$2005,$A44,Movimenti!$A$6:$A$2005,"&gt;="&amp;DATE(Impostazioni!$C$4,E$4,1),Movimenti!$A$6:$A$2005,"&lt;"&amp;DATE(Impostazioni!$C$4,E$4+1,1)))</f>
        <v/>
      </c>
      <c r="F44" s="36">
        <f>IF($A44="",0,SUMIFS(Movimenti!$D$6:$D$2005,Movimenti!$C$6:$C$2005,$A44,Movimenti!$A$6:$A$2005,"&gt;="&amp;DATE(Impostazioni!$C$4,F$4,1),Movimenti!$A$6:$A$2005,"&lt;"&amp;DATE(Impostazioni!$C$4,F$4+1,1)))</f>
        <v/>
      </c>
      <c r="G44" s="36">
        <f>IF($A44="",0,SUMIFS(Movimenti!$D$6:$D$2005,Movimenti!$C$6:$C$2005,$A44,Movimenti!$A$6:$A$2005,"&gt;="&amp;DATE(Impostazioni!$C$4,G$4,1),Movimenti!$A$6:$A$2005,"&lt;"&amp;DATE(Impostazioni!$C$4,G$4+1,1)))</f>
        <v/>
      </c>
      <c r="H44" s="36">
        <f>IF($A44="",0,SUMIFS(Movimenti!$D$6:$D$2005,Movimenti!$C$6:$C$2005,$A44,Movimenti!$A$6:$A$2005,"&gt;="&amp;DATE(Impostazioni!$C$4,H$4,1),Movimenti!$A$6:$A$2005,"&lt;"&amp;DATE(Impostazioni!$C$4,H$4+1,1)))</f>
        <v/>
      </c>
      <c r="I44" s="36">
        <f>IF($A44="",0,SUMIFS(Movimenti!$D$6:$D$2005,Movimenti!$C$6:$C$2005,$A44,Movimenti!$A$6:$A$2005,"&gt;="&amp;DATE(Impostazioni!$C$4,I$4,1),Movimenti!$A$6:$A$2005,"&lt;"&amp;DATE(Impostazioni!$C$4,I$4+1,1)))</f>
        <v/>
      </c>
      <c r="J44" s="36">
        <f>IF($A44="",0,SUMIFS(Movimenti!$D$6:$D$2005,Movimenti!$C$6:$C$2005,$A44,Movimenti!$A$6:$A$2005,"&gt;="&amp;DATE(Impostazioni!$C$4,J$4,1),Movimenti!$A$6:$A$2005,"&lt;"&amp;DATE(Impostazioni!$C$4,J$4+1,1)))</f>
        <v/>
      </c>
      <c r="K44" s="36">
        <f>IF($A44="",0,SUMIFS(Movimenti!$D$6:$D$2005,Movimenti!$C$6:$C$2005,$A44,Movimenti!$A$6:$A$2005,"&gt;="&amp;DATE(Impostazioni!$C$4,K$4,1),Movimenti!$A$6:$A$2005,"&lt;"&amp;DATE(Impostazioni!$C$4,K$4+1,1)))</f>
        <v/>
      </c>
      <c r="L44" s="36">
        <f>IF($A44="",0,SUMIFS(Movimenti!$D$6:$D$2005,Movimenti!$C$6:$C$2005,$A44,Movimenti!$A$6:$A$2005,"&gt;="&amp;DATE(Impostazioni!$C$4,L$4,1),Movimenti!$A$6:$A$2005,"&lt;"&amp;DATE(Impostazioni!$C$4,L$4+1,1)))</f>
        <v/>
      </c>
      <c r="M44" s="36">
        <f>IF($A44="",0,SUMIFS(Movimenti!$D$6:$D$2005,Movimenti!$C$6:$C$2005,$A44,Movimenti!$A$6:$A$2005,"&gt;="&amp;DATE(Impostazioni!$C$4,M$4,1),Movimenti!$A$6:$A$2005,"&lt;"&amp;DATE(Impostazioni!$C$4,M$4+1,1)))</f>
        <v/>
      </c>
      <c r="N44" s="36">
        <f>IF($A44="",0,SUMIFS(Movimenti!$D$6:$D$2005,Movimenti!$C$6:$C$2005,$A44,Movimenti!$A$6:$A$2005,"&gt;="&amp;DATE(Impostazioni!$C$4,N$4,1),Movimenti!$A$6:$A$2005,"&lt;"&amp;DATE(Impostazioni!$C$4,N$4+1,1)))</f>
        <v/>
      </c>
      <c r="O44" s="45">
        <f>SUM(C44:N44)</f>
        <v/>
      </c>
      <c r="P44" s="36">
        <f>Budget!P44</f>
        <v/>
      </c>
      <c r="Q44" s="36">
        <f>O44-P44</f>
        <v/>
      </c>
      <c r="R44" s="47">
        <f>IF(P44=0,"",O44/P44)</f>
        <v/>
      </c>
      <c r="T44" s="36">
        <f>INDEX(Budget!$D44:$O44,Impostazioni!$C$12)</f>
        <v/>
      </c>
      <c r="U44" s="36">
        <f>INDEX($C44:$N44,Impostazioni!$C$12)</f>
        <v/>
      </c>
      <c r="V44" s="36">
        <f>U44-T44</f>
        <v/>
      </c>
      <c r="W44" s="36">
        <f>SUMIFS(Budget!$D44:$O44,Budget!$D$4:$O$4,"&lt;="&amp;Impostazioni!$C$12)</f>
        <v/>
      </c>
      <c r="X44" s="36">
        <f>SUMIFS($C44:$N44,$C$4:$N$4,"&lt;="&amp;Impostazioni!$C$12)</f>
        <v/>
      </c>
      <c r="Y44" s="36">
        <f>X44-W44</f>
        <v/>
      </c>
      <c r="Z44" s="51">
        <f>IF(AND(O44&gt;0,LEFT(B44,5)="Spesa"),O44-ROW()/10000000,0)</f>
        <v/>
      </c>
    </row>
    <row r="45">
      <c r="A45" s="42">
        <f>IF(Categorie!$A37="","",Categorie!$A37)</f>
        <v/>
      </c>
      <c r="B45" s="35">
        <f>IF(A45="","",Categorie!$B37&amp;"")</f>
        <v/>
      </c>
      <c r="C45" s="36">
        <f>IF($A45="",0,SUMIFS(Movimenti!$D$6:$D$2005,Movimenti!$C$6:$C$2005,$A45,Movimenti!$A$6:$A$2005,"&gt;="&amp;DATE(Impostazioni!$C$4,C$4,1),Movimenti!$A$6:$A$2005,"&lt;"&amp;DATE(Impostazioni!$C$4,C$4+1,1)))</f>
        <v/>
      </c>
      <c r="D45" s="36">
        <f>IF($A45="",0,SUMIFS(Movimenti!$D$6:$D$2005,Movimenti!$C$6:$C$2005,$A45,Movimenti!$A$6:$A$2005,"&gt;="&amp;DATE(Impostazioni!$C$4,D$4,1),Movimenti!$A$6:$A$2005,"&lt;"&amp;DATE(Impostazioni!$C$4,D$4+1,1)))</f>
        <v/>
      </c>
      <c r="E45" s="36">
        <f>IF($A45="",0,SUMIFS(Movimenti!$D$6:$D$2005,Movimenti!$C$6:$C$2005,$A45,Movimenti!$A$6:$A$2005,"&gt;="&amp;DATE(Impostazioni!$C$4,E$4,1),Movimenti!$A$6:$A$2005,"&lt;"&amp;DATE(Impostazioni!$C$4,E$4+1,1)))</f>
        <v/>
      </c>
      <c r="F45" s="36">
        <f>IF($A45="",0,SUMIFS(Movimenti!$D$6:$D$2005,Movimenti!$C$6:$C$2005,$A45,Movimenti!$A$6:$A$2005,"&gt;="&amp;DATE(Impostazioni!$C$4,F$4,1),Movimenti!$A$6:$A$2005,"&lt;"&amp;DATE(Impostazioni!$C$4,F$4+1,1)))</f>
        <v/>
      </c>
      <c r="G45" s="36">
        <f>IF($A45="",0,SUMIFS(Movimenti!$D$6:$D$2005,Movimenti!$C$6:$C$2005,$A45,Movimenti!$A$6:$A$2005,"&gt;="&amp;DATE(Impostazioni!$C$4,G$4,1),Movimenti!$A$6:$A$2005,"&lt;"&amp;DATE(Impostazioni!$C$4,G$4+1,1)))</f>
        <v/>
      </c>
      <c r="H45" s="36">
        <f>IF($A45="",0,SUMIFS(Movimenti!$D$6:$D$2005,Movimenti!$C$6:$C$2005,$A45,Movimenti!$A$6:$A$2005,"&gt;="&amp;DATE(Impostazioni!$C$4,H$4,1),Movimenti!$A$6:$A$2005,"&lt;"&amp;DATE(Impostazioni!$C$4,H$4+1,1)))</f>
        <v/>
      </c>
      <c r="I45" s="36">
        <f>IF($A45="",0,SUMIFS(Movimenti!$D$6:$D$2005,Movimenti!$C$6:$C$2005,$A45,Movimenti!$A$6:$A$2005,"&gt;="&amp;DATE(Impostazioni!$C$4,I$4,1),Movimenti!$A$6:$A$2005,"&lt;"&amp;DATE(Impostazioni!$C$4,I$4+1,1)))</f>
        <v/>
      </c>
      <c r="J45" s="36">
        <f>IF($A45="",0,SUMIFS(Movimenti!$D$6:$D$2005,Movimenti!$C$6:$C$2005,$A45,Movimenti!$A$6:$A$2005,"&gt;="&amp;DATE(Impostazioni!$C$4,J$4,1),Movimenti!$A$6:$A$2005,"&lt;"&amp;DATE(Impostazioni!$C$4,J$4+1,1)))</f>
        <v/>
      </c>
      <c r="K45" s="36">
        <f>IF($A45="",0,SUMIFS(Movimenti!$D$6:$D$2005,Movimenti!$C$6:$C$2005,$A45,Movimenti!$A$6:$A$2005,"&gt;="&amp;DATE(Impostazioni!$C$4,K$4,1),Movimenti!$A$6:$A$2005,"&lt;"&amp;DATE(Impostazioni!$C$4,K$4+1,1)))</f>
        <v/>
      </c>
      <c r="L45" s="36">
        <f>IF($A45="",0,SUMIFS(Movimenti!$D$6:$D$2005,Movimenti!$C$6:$C$2005,$A45,Movimenti!$A$6:$A$2005,"&gt;="&amp;DATE(Impostazioni!$C$4,L$4,1),Movimenti!$A$6:$A$2005,"&lt;"&amp;DATE(Impostazioni!$C$4,L$4+1,1)))</f>
        <v/>
      </c>
      <c r="M45" s="36">
        <f>IF($A45="",0,SUMIFS(Movimenti!$D$6:$D$2005,Movimenti!$C$6:$C$2005,$A45,Movimenti!$A$6:$A$2005,"&gt;="&amp;DATE(Impostazioni!$C$4,M$4,1),Movimenti!$A$6:$A$2005,"&lt;"&amp;DATE(Impostazioni!$C$4,M$4+1,1)))</f>
        <v/>
      </c>
      <c r="N45" s="36">
        <f>IF($A45="",0,SUMIFS(Movimenti!$D$6:$D$2005,Movimenti!$C$6:$C$2005,$A45,Movimenti!$A$6:$A$2005,"&gt;="&amp;DATE(Impostazioni!$C$4,N$4,1),Movimenti!$A$6:$A$2005,"&lt;"&amp;DATE(Impostazioni!$C$4,N$4+1,1)))</f>
        <v/>
      </c>
      <c r="O45" s="45">
        <f>SUM(C45:N45)</f>
        <v/>
      </c>
      <c r="P45" s="36">
        <f>Budget!P45</f>
        <v/>
      </c>
      <c r="Q45" s="36">
        <f>O45-P45</f>
        <v/>
      </c>
      <c r="R45" s="47">
        <f>IF(P45=0,"",O45/P45)</f>
        <v/>
      </c>
      <c r="T45" s="36">
        <f>INDEX(Budget!$D45:$O45,Impostazioni!$C$12)</f>
        <v/>
      </c>
      <c r="U45" s="36">
        <f>INDEX($C45:$N45,Impostazioni!$C$12)</f>
        <v/>
      </c>
      <c r="V45" s="36">
        <f>U45-T45</f>
        <v/>
      </c>
      <c r="W45" s="36">
        <f>SUMIFS(Budget!$D45:$O45,Budget!$D$4:$O$4,"&lt;="&amp;Impostazioni!$C$12)</f>
        <v/>
      </c>
      <c r="X45" s="36">
        <f>SUMIFS($C45:$N45,$C$4:$N$4,"&lt;="&amp;Impostazioni!$C$12)</f>
        <v/>
      </c>
      <c r="Y45" s="36">
        <f>X45-W45</f>
        <v/>
      </c>
      <c r="Z45" s="51">
        <f>IF(AND(O45&gt;0,LEFT(B45,5)="Spesa"),O45-ROW()/10000000,0)</f>
        <v/>
      </c>
    </row>
    <row r="46">
      <c r="A46" s="42">
        <f>IF(Categorie!$A38="","",Categorie!$A38)</f>
        <v/>
      </c>
      <c r="B46" s="35">
        <f>IF(A46="","",Categorie!$B38&amp;"")</f>
        <v/>
      </c>
      <c r="C46" s="36">
        <f>IF($A46="",0,SUMIFS(Movimenti!$D$6:$D$2005,Movimenti!$C$6:$C$2005,$A46,Movimenti!$A$6:$A$2005,"&gt;="&amp;DATE(Impostazioni!$C$4,C$4,1),Movimenti!$A$6:$A$2005,"&lt;"&amp;DATE(Impostazioni!$C$4,C$4+1,1)))</f>
        <v/>
      </c>
      <c r="D46" s="36">
        <f>IF($A46="",0,SUMIFS(Movimenti!$D$6:$D$2005,Movimenti!$C$6:$C$2005,$A46,Movimenti!$A$6:$A$2005,"&gt;="&amp;DATE(Impostazioni!$C$4,D$4,1),Movimenti!$A$6:$A$2005,"&lt;"&amp;DATE(Impostazioni!$C$4,D$4+1,1)))</f>
        <v/>
      </c>
      <c r="E46" s="36">
        <f>IF($A46="",0,SUMIFS(Movimenti!$D$6:$D$2005,Movimenti!$C$6:$C$2005,$A46,Movimenti!$A$6:$A$2005,"&gt;="&amp;DATE(Impostazioni!$C$4,E$4,1),Movimenti!$A$6:$A$2005,"&lt;"&amp;DATE(Impostazioni!$C$4,E$4+1,1)))</f>
        <v/>
      </c>
      <c r="F46" s="36">
        <f>IF($A46="",0,SUMIFS(Movimenti!$D$6:$D$2005,Movimenti!$C$6:$C$2005,$A46,Movimenti!$A$6:$A$2005,"&gt;="&amp;DATE(Impostazioni!$C$4,F$4,1),Movimenti!$A$6:$A$2005,"&lt;"&amp;DATE(Impostazioni!$C$4,F$4+1,1)))</f>
        <v/>
      </c>
      <c r="G46" s="36">
        <f>IF($A46="",0,SUMIFS(Movimenti!$D$6:$D$2005,Movimenti!$C$6:$C$2005,$A46,Movimenti!$A$6:$A$2005,"&gt;="&amp;DATE(Impostazioni!$C$4,G$4,1),Movimenti!$A$6:$A$2005,"&lt;"&amp;DATE(Impostazioni!$C$4,G$4+1,1)))</f>
        <v/>
      </c>
      <c r="H46" s="36">
        <f>IF($A46="",0,SUMIFS(Movimenti!$D$6:$D$2005,Movimenti!$C$6:$C$2005,$A46,Movimenti!$A$6:$A$2005,"&gt;="&amp;DATE(Impostazioni!$C$4,H$4,1),Movimenti!$A$6:$A$2005,"&lt;"&amp;DATE(Impostazioni!$C$4,H$4+1,1)))</f>
        <v/>
      </c>
      <c r="I46" s="36">
        <f>IF($A46="",0,SUMIFS(Movimenti!$D$6:$D$2005,Movimenti!$C$6:$C$2005,$A46,Movimenti!$A$6:$A$2005,"&gt;="&amp;DATE(Impostazioni!$C$4,I$4,1),Movimenti!$A$6:$A$2005,"&lt;"&amp;DATE(Impostazioni!$C$4,I$4+1,1)))</f>
        <v/>
      </c>
      <c r="J46" s="36">
        <f>IF($A46="",0,SUMIFS(Movimenti!$D$6:$D$2005,Movimenti!$C$6:$C$2005,$A46,Movimenti!$A$6:$A$2005,"&gt;="&amp;DATE(Impostazioni!$C$4,J$4,1),Movimenti!$A$6:$A$2005,"&lt;"&amp;DATE(Impostazioni!$C$4,J$4+1,1)))</f>
        <v/>
      </c>
      <c r="K46" s="36">
        <f>IF($A46="",0,SUMIFS(Movimenti!$D$6:$D$2005,Movimenti!$C$6:$C$2005,$A46,Movimenti!$A$6:$A$2005,"&gt;="&amp;DATE(Impostazioni!$C$4,K$4,1),Movimenti!$A$6:$A$2005,"&lt;"&amp;DATE(Impostazioni!$C$4,K$4+1,1)))</f>
        <v/>
      </c>
      <c r="L46" s="36">
        <f>IF($A46="",0,SUMIFS(Movimenti!$D$6:$D$2005,Movimenti!$C$6:$C$2005,$A46,Movimenti!$A$6:$A$2005,"&gt;="&amp;DATE(Impostazioni!$C$4,L$4,1),Movimenti!$A$6:$A$2005,"&lt;"&amp;DATE(Impostazioni!$C$4,L$4+1,1)))</f>
        <v/>
      </c>
      <c r="M46" s="36">
        <f>IF($A46="",0,SUMIFS(Movimenti!$D$6:$D$2005,Movimenti!$C$6:$C$2005,$A46,Movimenti!$A$6:$A$2005,"&gt;="&amp;DATE(Impostazioni!$C$4,M$4,1),Movimenti!$A$6:$A$2005,"&lt;"&amp;DATE(Impostazioni!$C$4,M$4+1,1)))</f>
        <v/>
      </c>
      <c r="N46" s="36">
        <f>IF($A46="",0,SUMIFS(Movimenti!$D$6:$D$2005,Movimenti!$C$6:$C$2005,$A46,Movimenti!$A$6:$A$2005,"&gt;="&amp;DATE(Impostazioni!$C$4,N$4,1),Movimenti!$A$6:$A$2005,"&lt;"&amp;DATE(Impostazioni!$C$4,N$4+1,1)))</f>
        <v/>
      </c>
      <c r="O46" s="45">
        <f>SUM(C46:N46)</f>
        <v/>
      </c>
      <c r="P46" s="36">
        <f>Budget!P46</f>
        <v/>
      </c>
      <c r="Q46" s="36">
        <f>O46-P46</f>
        <v/>
      </c>
      <c r="R46" s="47">
        <f>IF(P46=0,"",O46/P46)</f>
        <v/>
      </c>
      <c r="T46" s="36">
        <f>INDEX(Budget!$D46:$O46,Impostazioni!$C$12)</f>
        <v/>
      </c>
      <c r="U46" s="36">
        <f>INDEX($C46:$N46,Impostazioni!$C$12)</f>
        <v/>
      </c>
      <c r="V46" s="36">
        <f>U46-T46</f>
        <v/>
      </c>
      <c r="W46" s="36">
        <f>SUMIFS(Budget!$D46:$O46,Budget!$D$4:$O$4,"&lt;="&amp;Impostazioni!$C$12)</f>
        <v/>
      </c>
      <c r="X46" s="36">
        <f>SUMIFS($C46:$N46,$C$4:$N$4,"&lt;="&amp;Impostazioni!$C$12)</f>
        <v/>
      </c>
      <c r="Y46" s="36">
        <f>X46-W46</f>
        <v/>
      </c>
      <c r="Z46" s="51">
        <f>IF(AND(O46&gt;0,LEFT(B46,5)="Spesa"),O46-ROW()/10000000,0)</f>
        <v/>
      </c>
    </row>
    <row r="47">
      <c r="A47" s="42">
        <f>IF(Categorie!$A39="","",Categorie!$A39)</f>
        <v/>
      </c>
      <c r="B47" s="35">
        <f>IF(A47="","",Categorie!$B39&amp;"")</f>
        <v/>
      </c>
      <c r="C47" s="36">
        <f>IF($A47="",0,SUMIFS(Movimenti!$D$6:$D$2005,Movimenti!$C$6:$C$2005,$A47,Movimenti!$A$6:$A$2005,"&gt;="&amp;DATE(Impostazioni!$C$4,C$4,1),Movimenti!$A$6:$A$2005,"&lt;"&amp;DATE(Impostazioni!$C$4,C$4+1,1)))</f>
        <v/>
      </c>
      <c r="D47" s="36">
        <f>IF($A47="",0,SUMIFS(Movimenti!$D$6:$D$2005,Movimenti!$C$6:$C$2005,$A47,Movimenti!$A$6:$A$2005,"&gt;="&amp;DATE(Impostazioni!$C$4,D$4,1),Movimenti!$A$6:$A$2005,"&lt;"&amp;DATE(Impostazioni!$C$4,D$4+1,1)))</f>
        <v/>
      </c>
      <c r="E47" s="36">
        <f>IF($A47="",0,SUMIFS(Movimenti!$D$6:$D$2005,Movimenti!$C$6:$C$2005,$A47,Movimenti!$A$6:$A$2005,"&gt;="&amp;DATE(Impostazioni!$C$4,E$4,1),Movimenti!$A$6:$A$2005,"&lt;"&amp;DATE(Impostazioni!$C$4,E$4+1,1)))</f>
        <v/>
      </c>
      <c r="F47" s="36">
        <f>IF($A47="",0,SUMIFS(Movimenti!$D$6:$D$2005,Movimenti!$C$6:$C$2005,$A47,Movimenti!$A$6:$A$2005,"&gt;="&amp;DATE(Impostazioni!$C$4,F$4,1),Movimenti!$A$6:$A$2005,"&lt;"&amp;DATE(Impostazioni!$C$4,F$4+1,1)))</f>
        <v/>
      </c>
      <c r="G47" s="36">
        <f>IF($A47="",0,SUMIFS(Movimenti!$D$6:$D$2005,Movimenti!$C$6:$C$2005,$A47,Movimenti!$A$6:$A$2005,"&gt;="&amp;DATE(Impostazioni!$C$4,G$4,1),Movimenti!$A$6:$A$2005,"&lt;"&amp;DATE(Impostazioni!$C$4,G$4+1,1)))</f>
        <v/>
      </c>
      <c r="H47" s="36">
        <f>IF($A47="",0,SUMIFS(Movimenti!$D$6:$D$2005,Movimenti!$C$6:$C$2005,$A47,Movimenti!$A$6:$A$2005,"&gt;="&amp;DATE(Impostazioni!$C$4,H$4,1),Movimenti!$A$6:$A$2005,"&lt;"&amp;DATE(Impostazioni!$C$4,H$4+1,1)))</f>
        <v/>
      </c>
      <c r="I47" s="36">
        <f>IF($A47="",0,SUMIFS(Movimenti!$D$6:$D$2005,Movimenti!$C$6:$C$2005,$A47,Movimenti!$A$6:$A$2005,"&gt;="&amp;DATE(Impostazioni!$C$4,I$4,1),Movimenti!$A$6:$A$2005,"&lt;"&amp;DATE(Impostazioni!$C$4,I$4+1,1)))</f>
        <v/>
      </c>
      <c r="J47" s="36">
        <f>IF($A47="",0,SUMIFS(Movimenti!$D$6:$D$2005,Movimenti!$C$6:$C$2005,$A47,Movimenti!$A$6:$A$2005,"&gt;="&amp;DATE(Impostazioni!$C$4,J$4,1),Movimenti!$A$6:$A$2005,"&lt;"&amp;DATE(Impostazioni!$C$4,J$4+1,1)))</f>
        <v/>
      </c>
      <c r="K47" s="36">
        <f>IF($A47="",0,SUMIFS(Movimenti!$D$6:$D$2005,Movimenti!$C$6:$C$2005,$A47,Movimenti!$A$6:$A$2005,"&gt;="&amp;DATE(Impostazioni!$C$4,K$4,1),Movimenti!$A$6:$A$2005,"&lt;"&amp;DATE(Impostazioni!$C$4,K$4+1,1)))</f>
        <v/>
      </c>
      <c r="L47" s="36">
        <f>IF($A47="",0,SUMIFS(Movimenti!$D$6:$D$2005,Movimenti!$C$6:$C$2005,$A47,Movimenti!$A$6:$A$2005,"&gt;="&amp;DATE(Impostazioni!$C$4,L$4,1),Movimenti!$A$6:$A$2005,"&lt;"&amp;DATE(Impostazioni!$C$4,L$4+1,1)))</f>
        <v/>
      </c>
      <c r="M47" s="36">
        <f>IF($A47="",0,SUMIFS(Movimenti!$D$6:$D$2005,Movimenti!$C$6:$C$2005,$A47,Movimenti!$A$6:$A$2005,"&gt;="&amp;DATE(Impostazioni!$C$4,M$4,1),Movimenti!$A$6:$A$2005,"&lt;"&amp;DATE(Impostazioni!$C$4,M$4+1,1)))</f>
        <v/>
      </c>
      <c r="N47" s="36">
        <f>IF($A47="",0,SUMIFS(Movimenti!$D$6:$D$2005,Movimenti!$C$6:$C$2005,$A47,Movimenti!$A$6:$A$2005,"&gt;="&amp;DATE(Impostazioni!$C$4,N$4,1),Movimenti!$A$6:$A$2005,"&lt;"&amp;DATE(Impostazioni!$C$4,N$4+1,1)))</f>
        <v/>
      </c>
      <c r="O47" s="45">
        <f>SUM(C47:N47)</f>
        <v/>
      </c>
      <c r="P47" s="36">
        <f>Budget!P47</f>
        <v/>
      </c>
      <c r="Q47" s="36">
        <f>O47-P47</f>
        <v/>
      </c>
      <c r="R47" s="47">
        <f>IF(P47=0,"",O47/P47)</f>
        <v/>
      </c>
      <c r="T47" s="36">
        <f>INDEX(Budget!$D47:$O47,Impostazioni!$C$12)</f>
        <v/>
      </c>
      <c r="U47" s="36">
        <f>INDEX($C47:$N47,Impostazioni!$C$12)</f>
        <v/>
      </c>
      <c r="V47" s="36">
        <f>U47-T47</f>
        <v/>
      </c>
      <c r="W47" s="36">
        <f>SUMIFS(Budget!$D47:$O47,Budget!$D$4:$O$4,"&lt;="&amp;Impostazioni!$C$12)</f>
        <v/>
      </c>
      <c r="X47" s="36">
        <f>SUMIFS($C47:$N47,$C$4:$N$4,"&lt;="&amp;Impostazioni!$C$12)</f>
        <v/>
      </c>
      <c r="Y47" s="36">
        <f>X47-W47</f>
        <v/>
      </c>
      <c r="Z47" s="51">
        <f>IF(AND(O47&gt;0,LEFT(B47,5)="Spesa"),O47-ROW()/10000000,0)</f>
        <v/>
      </c>
    </row>
    <row r="48">
      <c r="A48" s="42">
        <f>IF(Categorie!$A40="","",Categorie!$A40)</f>
        <v/>
      </c>
      <c r="B48" s="35">
        <f>IF(A48="","",Categorie!$B40&amp;"")</f>
        <v/>
      </c>
      <c r="C48" s="36">
        <f>IF($A48="",0,SUMIFS(Movimenti!$D$6:$D$2005,Movimenti!$C$6:$C$2005,$A48,Movimenti!$A$6:$A$2005,"&gt;="&amp;DATE(Impostazioni!$C$4,C$4,1),Movimenti!$A$6:$A$2005,"&lt;"&amp;DATE(Impostazioni!$C$4,C$4+1,1)))</f>
        <v/>
      </c>
      <c r="D48" s="36">
        <f>IF($A48="",0,SUMIFS(Movimenti!$D$6:$D$2005,Movimenti!$C$6:$C$2005,$A48,Movimenti!$A$6:$A$2005,"&gt;="&amp;DATE(Impostazioni!$C$4,D$4,1),Movimenti!$A$6:$A$2005,"&lt;"&amp;DATE(Impostazioni!$C$4,D$4+1,1)))</f>
        <v/>
      </c>
      <c r="E48" s="36">
        <f>IF($A48="",0,SUMIFS(Movimenti!$D$6:$D$2005,Movimenti!$C$6:$C$2005,$A48,Movimenti!$A$6:$A$2005,"&gt;="&amp;DATE(Impostazioni!$C$4,E$4,1),Movimenti!$A$6:$A$2005,"&lt;"&amp;DATE(Impostazioni!$C$4,E$4+1,1)))</f>
        <v/>
      </c>
      <c r="F48" s="36">
        <f>IF($A48="",0,SUMIFS(Movimenti!$D$6:$D$2005,Movimenti!$C$6:$C$2005,$A48,Movimenti!$A$6:$A$2005,"&gt;="&amp;DATE(Impostazioni!$C$4,F$4,1),Movimenti!$A$6:$A$2005,"&lt;"&amp;DATE(Impostazioni!$C$4,F$4+1,1)))</f>
        <v/>
      </c>
      <c r="G48" s="36">
        <f>IF($A48="",0,SUMIFS(Movimenti!$D$6:$D$2005,Movimenti!$C$6:$C$2005,$A48,Movimenti!$A$6:$A$2005,"&gt;="&amp;DATE(Impostazioni!$C$4,G$4,1),Movimenti!$A$6:$A$2005,"&lt;"&amp;DATE(Impostazioni!$C$4,G$4+1,1)))</f>
        <v/>
      </c>
      <c r="H48" s="36">
        <f>IF($A48="",0,SUMIFS(Movimenti!$D$6:$D$2005,Movimenti!$C$6:$C$2005,$A48,Movimenti!$A$6:$A$2005,"&gt;="&amp;DATE(Impostazioni!$C$4,H$4,1),Movimenti!$A$6:$A$2005,"&lt;"&amp;DATE(Impostazioni!$C$4,H$4+1,1)))</f>
        <v/>
      </c>
      <c r="I48" s="36">
        <f>IF($A48="",0,SUMIFS(Movimenti!$D$6:$D$2005,Movimenti!$C$6:$C$2005,$A48,Movimenti!$A$6:$A$2005,"&gt;="&amp;DATE(Impostazioni!$C$4,I$4,1),Movimenti!$A$6:$A$2005,"&lt;"&amp;DATE(Impostazioni!$C$4,I$4+1,1)))</f>
        <v/>
      </c>
      <c r="J48" s="36">
        <f>IF($A48="",0,SUMIFS(Movimenti!$D$6:$D$2005,Movimenti!$C$6:$C$2005,$A48,Movimenti!$A$6:$A$2005,"&gt;="&amp;DATE(Impostazioni!$C$4,J$4,1),Movimenti!$A$6:$A$2005,"&lt;"&amp;DATE(Impostazioni!$C$4,J$4+1,1)))</f>
        <v/>
      </c>
      <c r="K48" s="36">
        <f>IF($A48="",0,SUMIFS(Movimenti!$D$6:$D$2005,Movimenti!$C$6:$C$2005,$A48,Movimenti!$A$6:$A$2005,"&gt;="&amp;DATE(Impostazioni!$C$4,K$4,1),Movimenti!$A$6:$A$2005,"&lt;"&amp;DATE(Impostazioni!$C$4,K$4+1,1)))</f>
        <v/>
      </c>
      <c r="L48" s="36">
        <f>IF($A48="",0,SUMIFS(Movimenti!$D$6:$D$2005,Movimenti!$C$6:$C$2005,$A48,Movimenti!$A$6:$A$2005,"&gt;="&amp;DATE(Impostazioni!$C$4,L$4,1),Movimenti!$A$6:$A$2005,"&lt;"&amp;DATE(Impostazioni!$C$4,L$4+1,1)))</f>
        <v/>
      </c>
      <c r="M48" s="36">
        <f>IF($A48="",0,SUMIFS(Movimenti!$D$6:$D$2005,Movimenti!$C$6:$C$2005,$A48,Movimenti!$A$6:$A$2005,"&gt;="&amp;DATE(Impostazioni!$C$4,M$4,1),Movimenti!$A$6:$A$2005,"&lt;"&amp;DATE(Impostazioni!$C$4,M$4+1,1)))</f>
        <v/>
      </c>
      <c r="N48" s="36">
        <f>IF($A48="",0,SUMIFS(Movimenti!$D$6:$D$2005,Movimenti!$C$6:$C$2005,$A48,Movimenti!$A$6:$A$2005,"&gt;="&amp;DATE(Impostazioni!$C$4,N$4,1),Movimenti!$A$6:$A$2005,"&lt;"&amp;DATE(Impostazioni!$C$4,N$4+1,1)))</f>
        <v/>
      </c>
      <c r="O48" s="45">
        <f>SUM(C48:N48)</f>
        <v/>
      </c>
      <c r="P48" s="36">
        <f>Budget!P48</f>
        <v/>
      </c>
      <c r="Q48" s="36">
        <f>O48-P48</f>
        <v/>
      </c>
      <c r="R48" s="47">
        <f>IF(P48=0,"",O48/P48)</f>
        <v/>
      </c>
      <c r="T48" s="36">
        <f>INDEX(Budget!$D48:$O48,Impostazioni!$C$12)</f>
        <v/>
      </c>
      <c r="U48" s="36">
        <f>INDEX($C48:$N48,Impostazioni!$C$12)</f>
        <v/>
      </c>
      <c r="V48" s="36">
        <f>U48-T48</f>
        <v/>
      </c>
      <c r="W48" s="36">
        <f>SUMIFS(Budget!$D48:$O48,Budget!$D$4:$O$4,"&lt;="&amp;Impostazioni!$C$12)</f>
        <v/>
      </c>
      <c r="X48" s="36">
        <f>SUMIFS($C48:$N48,$C$4:$N$4,"&lt;="&amp;Impostazioni!$C$12)</f>
        <v/>
      </c>
      <c r="Y48" s="36">
        <f>X48-W48</f>
        <v/>
      </c>
      <c r="Z48" s="51">
        <f>IF(AND(O48&gt;0,LEFT(B48,5)="Spesa"),O48-ROW()/10000000,0)</f>
        <v/>
      </c>
    </row>
    <row r="49">
      <c r="A49" s="42">
        <f>IF(Categorie!$A41="","",Categorie!$A41)</f>
        <v/>
      </c>
      <c r="B49" s="35">
        <f>IF(A49="","",Categorie!$B41&amp;"")</f>
        <v/>
      </c>
      <c r="C49" s="36">
        <f>IF($A49="",0,SUMIFS(Movimenti!$D$6:$D$2005,Movimenti!$C$6:$C$2005,$A49,Movimenti!$A$6:$A$2005,"&gt;="&amp;DATE(Impostazioni!$C$4,C$4,1),Movimenti!$A$6:$A$2005,"&lt;"&amp;DATE(Impostazioni!$C$4,C$4+1,1)))</f>
        <v/>
      </c>
      <c r="D49" s="36">
        <f>IF($A49="",0,SUMIFS(Movimenti!$D$6:$D$2005,Movimenti!$C$6:$C$2005,$A49,Movimenti!$A$6:$A$2005,"&gt;="&amp;DATE(Impostazioni!$C$4,D$4,1),Movimenti!$A$6:$A$2005,"&lt;"&amp;DATE(Impostazioni!$C$4,D$4+1,1)))</f>
        <v/>
      </c>
      <c r="E49" s="36">
        <f>IF($A49="",0,SUMIFS(Movimenti!$D$6:$D$2005,Movimenti!$C$6:$C$2005,$A49,Movimenti!$A$6:$A$2005,"&gt;="&amp;DATE(Impostazioni!$C$4,E$4,1),Movimenti!$A$6:$A$2005,"&lt;"&amp;DATE(Impostazioni!$C$4,E$4+1,1)))</f>
        <v/>
      </c>
      <c r="F49" s="36">
        <f>IF($A49="",0,SUMIFS(Movimenti!$D$6:$D$2005,Movimenti!$C$6:$C$2005,$A49,Movimenti!$A$6:$A$2005,"&gt;="&amp;DATE(Impostazioni!$C$4,F$4,1),Movimenti!$A$6:$A$2005,"&lt;"&amp;DATE(Impostazioni!$C$4,F$4+1,1)))</f>
        <v/>
      </c>
      <c r="G49" s="36">
        <f>IF($A49="",0,SUMIFS(Movimenti!$D$6:$D$2005,Movimenti!$C$6:$C$2005,$A49,Movimenti!$A$6:$A$2005,"&gt;="&amp;DATE(Impostazioni!$C$4,G$4,1),Movimenti!$A$6:$A$2005,"&lt;"&amp;DATE(Impostazioni!$C$4,G$4+1,1)))</f>
        <v/>
      </c>
      <c r="H49" s="36">
        <f>IF($A49="",0,SUMIFS(Movimenti!$D$6:$D$2005,Movimenti!$C$6:$C$2005,$A49,Movimenti!$A$6:$A$2005,"&gt;="&amp;DATE(Impostazioni!$C$4,H$4,1),Movimenti!$A$6:$A$2005,"&lt;"&amp;DATE(Impostazioni!$C$4,H$4+1,1)))</f>
        <v/>
      </c>
      <c r="I49" s="36">
        <f>IF($A49="",0,SUMIFS(Movimenti!$D$6:$D$2005,Movimenti!$C$6:$C$2005,$A49,Movimenti!$A$6:$A$2005,"&gt;="&amp;DATE(Impostazioni!$C$4,I$4,1),Movimenti!$A$6:$A$2005,"&lt;"&amp;DATE(Impostazioni!$C$4,I$4+1,1)))</f>
        <v/>
      </c>
      <c r="J49" s="36">
        <f>IF($A49="",0,SUMIFS(Movimenti!$D$6:$D$2005,Movimenti!$C$6:$C$2005,$A49,Movimenti!$A$6:$A$2005,"&gt;="&amp;DATE(Impostazioni!$C$4,J$4,1),Movimenti!$A$6:$A$2005,"&lt;"&amp;DATE(Impostazioni!$C$4,J$4+1,1)))</f>
        <v/>
      </c>
      <c r="K49" s="36">
        <f>IF($A49="",0,SUMIFS(Movimenti!$D$6:$D$2005,Movimenti!$C$6:$C$2005,$A49,Movimenti!$A$6:$A$2005,"&gt;="&amp;DATE(Impostazioni!$C$4,K$4,1),Movimenti!$A$6:$A$2005,"&lt;"&amp;DATE(Impostazioni!$C$4,K$4+1,1)))</f>
        <v/>
      </c>
      <c r="L49" s="36">
        <f>IF($A49="",0,SUMIFS(Movimenti!$D$6:$D$2005,Movimenti!$C$6:$C$2005,$A49,Movimenti!$A$6:$A$2005,"&gt;="&amp;DATE(Impostazioni!$C$4,L$4,1),Movimenti!$A$6:$A$2005,"&lt;"&amp;DATE(Impostazioni!$C$4,L$4+1,1)))</f>
        <v/>
      </c>
      <c r="M49" s="36">
        <f>IF($A49="",0,SUMIFS(Movimenti!$D$6:$D$2005,Movimenti!$C$6:$C$2005,$A49,Movimenti!$A$6:$A$2005,"&gt;="&amp;DATE(Impostazioni!$C$4,M$4,1),Movimenti!$A$6:$A$2005,"&lt;"&amp;DATE(Impostazioni!$C$4,M$4+1,1)))</f>
        <v/>
      </c>
      <c r="N49" s="36">
        <f>IF($A49="",0,SUMIFS(Movimenti!$D$6:$D$2005,Movimenti!$C$6:$C$2005,$A49,Movimenti!$A$6:$A$2005,"&gt;="&amp;DATE(Impostazioni!$C$4,N$4,1),Movimenti!$A$6:$A$2005,"&lt;"&amp;DATE(Impostazioni!$C$4,N$4+1,1)))</f>
        <v/>
      </c>
      <c r="O49" s="45">
        <f>SUM(C49:N49)</f>
        <v/>
      </c>
      <c r="P49" s="36">
        <f>Budget!P49</f>
        <v/>
      </c>
      <c r="Q49" s="36">
        <f>O49-P49</f>
        <v/>
      </c>
      <c r="R49" s="47">
        <f>IF(P49=0,"",O49/P49)</f>
        <v/>
      </c>
      <c r="T49" s="36">
        <f>INDEX(Budget!$D49:$O49,Impostazioni!$C$12)</f>
        <v/>
      </c>
      <c r="U49" s="36">
        <f>INDEX($C49:$N49,Impostazioni!$C$12)</f>
        <v/>
      </c>
      <c r="V49" s="36">
        <f>U49-T49</f>
        <v/>
      </c>
      <c r="W49" s="36">
        <f>SUMIFS(Budget!$D49:$O49,Budget!$D$4:$O$4,"&lt;="&amp;Impostazioni!$C$12)</f>
        <v/>
      </c>
      <c r="X49" s="36">
        <f>SUMIFS($C49:$N49,$C$4:$N$4,"&lt;="&amp;Impostazioni!$C$12)</f>
        <v/>
      </c>
      <c r="Y49" s="36">
        <f>X49-W49</f>
        <v/>
      </c>
      <c r="Z49" s="51">
        <f>IF(AND(O49&gt;0,LEFT(B49,5)="Spesa"),O49-ROW()/10000000,0)</f>
        <v/>
      </c>
    </row>
    <row r="50">
      <c r="A50" s="42">
        <f>IF(Categorie!$A42="","",Categorie!$A42)</f>
        <v/>
      </c>
      <c r="B50" s="35">
        <f>IF(A50="","",Categorie!$B42&amp;"")</f>
        <v/>
      </c>
      <c r="C50" s="36">
        <f>IF($A50="",0,SUMIFS(Movimenti!$D$6:$D$2005,Movimenti!$C$6:$C$2005,$A50,Movimenti!$A$6:$A$2005,"&gt;="&amp;DATE(Impostazioni!$C$4,C$4,1),Movimenti!$A$6:$A$2005,"&lt;"&amp;DATE(Impostazioni!$C$4,C$4+1,1)))</f>
        <v/>
      </c>
      <c r="D50" s="36">
        <f>IF($A50="",0,SUMIFS(Movimenti!$D$6:$D$2005,Movimenti!$C$6:$C$2005,$A50,Movimenti!$A$6:$A$2005,"&gt;="&amp;DATE(Impostazioni!$C$4,D$4,1),Movimenti!$A$6:$A$2005,"&lt;"&amp;DATE(Impostazioni!$C$4,D$4+1,1)))</f>
        <v/>
      </c>
      <c r="E50" s="36">
        <f>IF($A50="",0,SUMIFS(Movimenti!$D$6:$D$2005,Movimenti!$C$6:$C$2005,$A50,Movimenti!$A$6:$A$2005,"&gt;="&amp;DATE(Impostazioni!$C$4,E$4,1),Movimenti!$A$6:$A$2005,"&lt;"&amp;DATE(Impostazioni!$C$4,E$4+1,1)))</f>
        <v/>
      </c>
      <c r="F50" s="36">
        <f>IF($A50="",0,SUMIFS(Movimenti!$D$6:$D$2005,Movimenti!$C$6:$C$2005,$A50,Movimenti!$A$6:$A$2005,"&gt;="&amp;DATE(Impostazioni!$C$4,F$4,1),Movimenti!$A$6:$A$2005,"&lt;"&amp;DATE(Impostazioni!$C$4,F$4+1,1)))</f>
        <v/>
      </c>
      <c r="G50" s="36">
        <f>IF($A50="",0,SUMIFS(Movimenti!$D$6:$D$2005,Movimenti!$C$6:$C$2005,$A50,Movimenti!$A$6:$A$2005,"&gt;="&amp;DATE(Impostazioni!$C$4,G$4,1),Movimenti!$A$6:$A$2005,"&lt;"&amp;DATE(Impostazioni!$C$4,G$4+1,1)))</f>
        <v/>
      </c>
      <c r="H50" s="36">
        <f>IF($A50="",0,SUMIFS(Movimenti!$D$6:$D$2005,Movimenti!$C$6:$C$2005,$A50,Movimenti!$A$6:$A$2005,"&gt;="&amp;DATE(Impostazioni!$C$4,H$4,1),Movimenti!$A$6:$A$2005,"&lt;"&amp;DATE(Impostazioni!$C$4,H$4+1,1)))</f>
        <v/>
      </c>
      <c r="I50" s="36">
        <f>IF($A50="",0,SUMIFS(Movimenti!$D$6:$D$2005,Movimenti!$C$6:$C$2005,$A50,Movimenti!$A$6:$A$2005,"&gt;="&amp;DATE(Impostazioni!$C$4,I$4,1),Movimenti!$A$6:$A$2005,"&lt;"&amp;DATE(Impostazioni!$C$4,I$4+1,1)))</f>
        <v/>
      </c>
      <c r="J50" s="36">
        <f>IF($A50="",0,SUMIFS(Movimenti!$D$6:$D$2005,Movimenti!$C$6:$C$2005,$A50,Movimenti!$A$6:$A$2005,"&gt;="&amp;DATE(Impostazioni!$C$4,J$4,1),Movimenti!$A$6:$A$2005,"&lt;"&amp;DATE(Impostazioni!$C$4,J$4+1,1)))</f>
        <v/>
      </c>
      <c r="K50" s="36">
        <f>IF($A50="",0,SUMIFS(Movimenti!$D$6:$D$2005,Movimenti!$C$6:$C$2005,$A50,Movimenti!$A$6:$A$2005,"&gt;="&amp;DATE(Impostazioni!$C$4,K$4,1),Movimenti!$A$6:$A$2005,"&lt;"&amp;DATE(Impostazioni!$C$4,K$4+1,1)))</f>
        <v/>
      </c>
      <c r="L50" s="36">
        <f>IF($A50="",0,SUMIFS(Movimenti!$D$6:$D$2005,Movimenti!$C$6:$C$2005,$A50,Movimenti!$A$6:$A$2005,"&gt;="&amp;DATE(Impostazioni!$C$4,L$4,1),Movimenti!$A$6:$A$2005,"&lt;"&amp;DATE(Impostazioni!$C$4,L$4+1,1)))</f>
        <v/>
      </c>
      <c r="M50" s="36">
        <f>IF($A50="",0,SUMIFS(Movimenti!$D$6:$D$2005,Movimenti!$C$6:$C$2005,$A50,Movimenti!$A$6:$A$2005,"&gt;="&amp;DATE(Impostazioni!$C$4,M$4,1),Movimenti!$A$6:$A$2005,"&lt;"&amp;DATE(Impostazioni!$C$4,M$4+1,1)))</f>
        <v/>
      </c>
      <c r="N50" s="36">
        <f>IF($A50="",0,SUMIFS(Movimenti!$D$6:$D$2005,Movimenti!$C$6:$C$2005,$A50,Movimenti!$A$6:$A$2005,"&gt;="&amp;DATE(Impostazioni!$C$4,N$4,1),Movimenti!$A$6:$A$2005,"&lt;"&amp;DATE(Impostazioni!$C$4,N$4+1,1)))</f>
        <v/>
      </c>
      <c r="O50" s="45">
        <f>SUM(C50:N50)</f>
        <v/>
      </c>
      <c r="P50" s="36">
        <f>Budget!P50</f>
        <v/>
      </c>
      <c r="Q50" s="36">
        <f>O50-P50</f>
        <v/>
      </c>
      <c r="R50" s="47">
        <f>IF(P50=0,"",O50/P50)</f>
        <v/>
      </c>
      <c r="T50" s="36">
        <f>INDEX(Budget!$D50:$O50,Impostazioni!$C$12)</f>
        <v/>
      </c>
      <c r="U50" s="36">
        <f>INDEX($C50:$N50,Impostazioni!$C$12)</f>
        <v/>
      </c>
      <c r="V50" s="36">
        <f>U50-T50</f>
        <v/>
      </c>
      <c r="W50" s="36">
        <f>SUMIFS(Budget!$D50:$O50,Budget!$D$4:$O$4,"&lt;="&amp;Impostazioni!$C$12)</f>
        <v/>
      </c>
      <c r="X50" s="36">
        <f>SUMIFS($C50:$N50,$C$4:$N$4,"&lt;="&amp;Impostazioni!$C$12)</f>
        <v/>
      </c>
      <c r="Y50" s="36">
        <f>X50-W50</f>
        <v/>
      </c>
      <c r="Z50" s="51">
        <f>IF(AND(O50&gt;0,LEFT(B50,5)="Spesa"),O50-ROW()/10000000,0)</f>
        <v/>
      </c>
    </row>
    <row r="51">
      <c r="A51" s="42">
        <f>IF(Categorie!$A43="","",Categorie!$A43)</f>
        <v/>
      </c>
      <c r="B51" s="35">
        <f>IF(A51="","",Categorie!$B43&amp;"")</f>
        <v/>
      </c>
      <c r="C51" s="36">
        <f>IF($A51="",0,SUMIFS(Movimenti!$D$6:$D$2005,Movimenti!$C$6:$C$2005,$A51,Movimenti!$A$6:$A$2005,"&gt;="&amp;DATE(Impostazioni!$C$4,C$4,1),Movimenti!$A$6:$A$2005,"&lt;"&amp;DATE(Impostazioni!$C$4,C$4+1,1)))</f>
        <v/>
      </c>
      <c r="D51" s="36">
        <f>IF($A51="",0,SUMIFS(Movimenti!$D$6:$D$2005,Movimenti!$C$6:$C$2005,$A51,Movimenti!$A$6:$A$2005,"&gt;="&amp;DATE(Impostazioni!$C$4,D$4,1),Movimenti!$A$6:$A$2005,"&lt;"&amp;DATE(Impostazioni!$C$4,D$4+1,1)))</f>
        <v/>
      </c>
      <c r="E51" s="36">
        <f>IF($A51="",0,SUMIFS(Movimenti!$D$6:$D$2005,Movimenti!$C$6:$C$2005,$A51,Movimenti!$A$6:$A$2005,"&gt;="&amp;DATE(Impostazioni!$C$4,E$4,1),Movimenti!$A$6:$A$2005,"&lt;"&amp;DATE(Impostazioni!$C$4,E$4+1,1)))</f>
        <v/>
      </c>
      <c r="F51" s="36">
        <f>IF($A51="",0,SUMIFS(Movimenti!$D$6:$D$2005,Movimenti!$C$6:$C$2005,$A51,Movimenti!$A$6:$A$2005,"&gt;="&amp;DATE(Impostazioni!$C$4,F$4,1),Movimenti!$A$6:$A$2005,"&lt;"&amp;DATE(Impostazioni!$C$4,F$4+1,1)))</f>
        <v/>
      </c>
      <c r="G51" s="36">
        <f>IF($A51="",0,SUMIFS(Movimenti!$D$6:$D$2005,Movimenti!$C$6:$C$2005,$A51,Movimenti!$A$6:$A$2005,"&gt;="&amp;DATE(Impostazioni!$C$4,G$4,1),Movimenti!$A$6:$A$2005,"&lt;"&amp;DATE(Impostazioni!$C$4,G$4+1,1)))</f>
        <v/>
      </c>
      <c r="H51" s="36">
        <f>IF($A51="",0,SUMIFS(Movimenti!$D$6:$D$2005,Movimenti!$C$6:$C$2005,$A51,Movimenti!$A$6:$A$2005,"&gt;="&amp;DATE(Impostazioni!$C$4,H$4,1),Movimenti!$A$6:$A$2005,"&lt;"&amp;DATE(Impostazioni!$C$4,H$4+1,1)))</f>
        <v/>
      </c>
      <c r="I51" s="36">
        <f>IF($A51="",0,SUMIFS(Movimenti!$D$6:$D$2005,Movimenti!$C$6:$C$2005,$A51,Movimenti!$A$6:$A$2005,"&gt;="&amp;DATE(Impostazioni!$C$4,I$4,1),Movimenti!$A$6:$A$2005,"&lt;"&amp;DATE(Impostazioni!$C$4,I$4+1,1)))</f>
        <v/>
      </c>
      <c r="J51" s="36">
        <f>IF($A51="",0,SUMIFS(Movimenti!$D$6:$D$2005,Movimenti!$C$6:$C$2005,$A51,Movimenti!$A$6:$A$2005,"&gt;="&amp;DATE(Impostazioni!$C$4,J$4,1),Movimenti!$A$6:$A$2005,"&lt;"&amp;DATE(Impostazioni!$C$4,J$4+1,1)))</f>
        <v/>
      </c>
      <c r="K51" s="36">
        <f>IF($A51="",0,SUMIFS(Movimenti!$D$6:$D$2005,Movimenti!$C$6:$C$2005,$A51,Movimenti!$A$6:$A$2005,"&gt;="&amp;DATE(Impostazioni!$C$4,K$4,1),Movimenti!$A$6:$A$2005,"&lt;"&amp;DATE(Impostazioni!$C$4,K$4+1,1)))</f>
        <v/>
      </c>
      <c r="L51" s="36">
        <f>IF($A51="",0,SUMIFS(Movimenti!$D$6:$D$2005,Movimenti!$C$6:$C$2005,$A51,Movimenti!$A$6:$A$2005,"&gt;="&amp;DATE(Impostazioni!$C$4,L$4,1),Movimenti!$A$6:$A$2005,"&lt;"&amp;DATE(Impostazioni!$C$4,L$4+1,1)))</f>
        <v/>
      </c>
      <c r="M51" s="36">
        <f>IF($A51="",0,SUMIFS(Movimenti!$D$6:$D$2005,Movimenti!$C$6:$C$2005,$A51,Movimenti!$A$6:$A$2005,"&gt;="&amp;DATE(Impostazioni!$C$4,M$4,1),Movimenti!$A$6:$A$2005,"&lt;"&amp;DATE(Impostazioni!$C$4,M$4+1,1)))</f>
        <v/>
      </c>
      <c r="N51" s="36">
        <f>IF($A51="",0,SUMIFS(Movimenti!$D$6:$D$2005,Movimenti!$C$6:$C$2005,$A51,Movimenti!$A$6:$A$2005,"&gt;="&amp;DATE(Impostazioni!$C$4,N$4,1),Movimenti!$A$6:$A$2005,"&lt;"&amp;DATE(Impostazioni!$C$4,N$4+1,1)))</f>
        <v/>
      </c>
      <c r="O51" s="45">
        <f>SUM(C51:N51)</f>
        <v/>
      </c>
      <c r="P51" s="36">
        <f>Budget!P51</f>
        <v/>
      </c>
      <c r="Q51" s="36">
        <f>O51-P51</f>
        <v/>
      </c>
      <c r="R51" s="47">
        <f>IF(P51=0,"",O51/P51)</f>
        <v/>
      </c>
      <c r="T51" s="36">
        <f>INDEX(Budget!$D51:$O51,Impostazioni!$C$12)</f>
        <v/>
      </c>
      <c r="U51" s="36">
        <f>INDEX($C51:$N51,Impostazioni!$C$12)</f>
        <v/>
      </c>
      <c r="V51" s="36">
        <f>U51-T51</f>
        <v/>
      </c>
      <c r="W51" s="36">
        <f>SUMIFS(Budget!$D51:$O51,Budget!$D$4:$O$4,"&lt;="&amp;Impostazioni!$C$12)</f>
        <v/>
      </c>
      <c r="X51" s="36">
        <f>SUMIFS($C51:$N51,$C$4:$N$4,"&lt;="&amp;Impostazioni!$C$12)</f>
        <v/>
      </c>
      <c r="Y51" s="36">
        <f>X51-W51</f>
        <v/>
      </c>
      <c r="Z51" s="51">
        <f>IF(AND(O51&gt;0,LEFT(B51,5)="Spesa"),O51-ROW()/10000000,0)</f>
        <v/>
      </c>
    </row>
    <row r="52">
      <c r="A52" s="42">
        <f>IF(Categorie!$A44="","",Categorie!$A44)</f>
        <v/>
      </c>
      <c r="B52" s="35">
        <f>IF(A52="","",Categorie!$B44&amp;"")</f>
        <v/>
      </c>
      <c r="C52" s="36">
        <f>IF($A52="",0,SUMIFS(Movimenti!$D$6:$D$2005,Movimenti!$C$6:$C$2005,$A52,Movimenti!$A$6:$A$2005,"&gt;="&amp;DATE(Impostazioni!$C$4,C$4,1),Movimenti!$A$6:$A$2005,"&lt;"&amp;DATE(Impostazioni!$C$4,C$4+1,1)))</f>
        <v/>
      </c>
      <c r="D52" s="36">
        <f>IF($A52="",0,SUMIFS(Movimenti!$D$6:$D$2005,Movimenti!$C$6:$C$2005,$A52,Movimenti!$A$6:$A$2005,"&gt;="&amp;DATE(Impostazioni!$C$4,D$4,1),Movimenti!$A$6:$A$2005,"&lt;"&amp;DATE(Impostazioni!$C$4,D$4+1,1)))</f>
        <v/>
      </c>
      <c r="E52" s="36">
        <f>IF($A52="",0,SUMIFS(Movimenti!$D$6:$D$2005,Movimenti!$C$6:$C$2005,$A52,Movimenti!$A$6:$A$2005,"&gt;="&amp;DATE(Impostazioni!$C$4,E$4,1),Movimenti!$A$6:$A$2005,"&lt;"&amp;DATE(Impostazioni!$C$4,E$4+1,1)))</f>
        <v/>
      </c>
      <c r="F52" s="36">
        <f>IF($A52="",0,SUMIFS(Movimenti!$D$6:$D$2005,Movimenti!$C$6:$C$2005,$A52,Movimenti!$A$6:$A$2005,"&gt;="&amp;DATE(Impostazioni!$C$4,F$4,1),Movimenti!$A$6:$A$2005,"&lt;"&amp;DATE(Impostazioni!$C$4,F$4+1,1)))</f>
        <v/>
      </c>
      <c r="G52" s="36">
        <f>IF($A52="",0,SUMIFS(Movimenti!$D$6:$D$2005,Movimenti!$C$6:$C$2005,$A52,Movimenti!$A$6:$A$2005,"&gt;="&amp;DATE(Impostazioni!$C$4,G$4,1),Movimenti!$A$6:$A$2005,"&lt;"&amp;DATE(Impostazioni!$C$4,G$4+1,1)))</f>
        <v/>
      </c>
      <c r="H52" s="36">
        <f>IF($A52="",0,SUMIFS(Movimenti!$D$6:$D$2005,Movimenti!$C$6:$C$2005,$A52,Movimenti!$A$6:$A$2005,"&gt;="&amp;DATE(Impostazioni!$C$4,H$4,1),Movimenti!$A$6:$A$2005,"&lt;"&amp;DATE(Impostazioni!$C$4,H$4+1,1)))</f>
        <v/>
      </c>
      <c r="I52" s="36">
        <f>IF($A52="",0,SUMIFS(Movimenti!$D$6:$D$2005,Movimenti!$C$6:$C$2005,$A52,Movimenti!$A$6:$A$2005,"&gt;="&amp;DATE(Impostazioni!$C$4,I$4,1),Movimenti!$A$6:$A$2005,"&lt;"&amp;DATE(Impostazioni!$C$4,I$4+1,1)))</f>
        <v/>
      </c>
      <c r="J52" s="36">
        <f>IF($A52="",0,SUMIFS(Movimenti!$D$6:$D$2005,Movimenti!$C$6:$C$2005,$A52,Movimenti!$A$6:$A$2005,"&gt;="&amp;DATE(Impostazioni!$C$4,J$4,1),Movimenti!$A$6:$A$2005,"&lt;"&amp;DATE(Impostazioni!$C$4,J$4+1,1)))</f>
        <v/>
      </c>
      <c r="K52" s="36">
        <f>IF($A52="",0,SUMIFS(Movimenti!$D$6:$D$2005,Movimenti!$C$6:$C$2005,$A52,Movimenti!$A$6:$A$2005,"&gt;="&amp;DATE(Impostazioni!$C$4,K$4,1),Movimenti!$A$6:$A$2005,"&lt;"&amp;DATE(Impostazioni!$C$4,K$4+1,1)))</f>
        <v/>
      </c>
      <c r="L52" s="36">
        <f>IF($A52="",0,SUMIFS(Movimenti!$D$6:$D$2005,Movimenti!$C$6:$C$2005,$A52,Movimenti!$A$6:$A$2005,"&gt;="&amp;DATE(Impostazioni!$C$4,L$4,1),Movimenti!$A$6:$A$2005,"&lt;"&amp;DATE(Impostazioni!$C$4,L$4+1,1)))</f>
        <v/>
      </c>
      <c r="M52" s="36">
        <f>IF($A52="",0,SUMIFS(Movimenti!$D$6:$D$2005,Movimenti!$C$6:$C$2005,$A52,Movimenti!$A$6:$A$2005,"&gt;="&amp;DATE(Impostazioni!$C$4,M$4,1),Movimenti!$A$6:$A$2005,"&lt;"&amp;DATE(Impostazioni!$C$4,M$4+1,1)))</f>
        <v/>
      </c>
      <c r="N52" s="36">
        <f>IF($A52="",0,SUMIFS(Movimenti!$D$6:$D$2005,Movimenti!$C$6:$C$2005,$A52,Movimenti!$A$6:$A$2005,"&gt;="&amp;DATE(Impostazioni!$C$4,N$4,1),Movimenti!$A$6:$A$2005,"&lt;"&amp;DATE(Impostazioni!$C$4,N$4+1,1)))</f>
        <v/>
      </c>
      <c r="O52" s="45">
        <f>SUM(C52:N52)</f>
        <v/>
      </c>
      <c r="P52" s="36">
        <f>Budget!P52</f>
        <v/>
      </c>
      <c r="Q52" s="36">
        <f>O52-P52</f>
        <v/>
      </c>
      <c r="R52" s="47">
        <f>IF(P52=0,"",O52/P52)</f>
        <v/>
      </c>
      <c r="T52" s="36">
        <f>INDEX(Budget!$D52:$O52,Impostazioni!$C$12)</f>
        <v/>
      </c>
      <c r="U52" s="36">
        <f>INDEX($C52:$N52,Impostazioni!$C$12)</f>
        <v/>
      </c>
      <c r="V52" s="36">
        <f>U52-T52</f>
        <v/>
      </c>
      <c r="W52" s="36">
        <f>SUMIFS(Budget!$D52:$O52,Budget!$D$4:$O$4,"&lt;="&amp;Impostazioni!$C$12)</f>
        <v/>
      </c>
      <c r="X52" s="36">
        <f>SUMIFS($C52:$N52,$C$4:$N$4,"&lt;="&amp;Impostazioni!$C$12)</f>
        <v/>
      </c>
      <c r="Y52" s="36">
        <f>X52-W52</f>
        <v/>
      </c>
      <c r="Z52" s="51">
        <f>IF(AND(O52&gt;0,LEFT(B52,5)="Spesa"),O52-ROW()/10000000,0)</f>
        <v/>
      </c>
    </row>
    <row r="53">
      <c r="A53" s="42">
        <f>IF(Categorie!$A45="","",Categorie!$A45)</f>
        <v/>
      </c>
      <c r="B53" s="35">
        <f>IF(A53="","",Categorie!$B45&amp;"")</f>
        <v/>
      </c>
      <c r="C53" s="36">
        <f>IF($A53="",0,SUMIFS(Movimenti!$D$6:$D$2005,Movimenti!$C$6:$C$2005,$A53,Movimenti!$A$6:$A$2005,"&gt;="&amp;DATE(Impostazioni!$C$4,C$4,1),Movimenti!$A$6:$A$2005,"&lt;"&amp;DATE(Impostazioni!$C$4,C$4+1,1)))</f>
        <v/>
      </c>
      <c r="D53" s="36">
        <f>IF($A53="",0,SUMIFS(Movimenti!$D$6:$D$2005,Movimenti!$C$6:$C$2005,$A53,Movimenti!$A$6:$A$2005,"&gt;="&amp;DATE(Impostazioni!$C$4,D$4,1),Movimenti!$A$6:$A$2005,"&lt;"&amp;DATE(Impostazioni!$C$4,D$4+1,1)))</f>
        <v/>
      </c>
      <c r="E53" s="36">
        <f>IF($A53="",0,SUMIFS(Movimenti!$D$6:$D$2005,Movimenti!$C$6:$C$2005,$A53,Movimenti!$A$6:$A$2005,"&gt;="&amp;DATE(Impostazioni!$C$4,E$4,1),Movimenti!$A$6:$A$2005,"&lt;"&amp;DATE(Impostazioni!$C$4,E$4+1,1)))</f>
        <v/>
      </c>
      <c r="F53" s="36">
        <f>IF($A53="",0,SUMIFS(Movimenti!$D$6:$D$2005,Movimenti!$C$6:$C$2005,$A53,Movimenti!$A$6:$A$2005,"&gt;="&amp;DATE(Impostazioni!$C$4,F$4,1),Movimenti!$A$6:$A$2005,"&lt;"&amp;DATE(Impostazioni!$C$4,F$4+1,1)))</f>
        <v/>
      </c>
      <c r="G53" s="36">
        <f>IF($A53="",0,SUMIFS(Movimenti!$D$6:$D$2005,Movimenti!$C$6:$C$2005,$A53,Movimenti!$A$6:$A$2005,"&gt;="&amp;DATE(Impostazioni!$C$4,G$4,1),Movimenti!$A$6:$A$2005,"&lt;"&amp;DATE(Impostazioni!$C$4,G$4+1,1)))</f>
        <v/>
      </c>
      <c r="H53" s="36">
        <f>IF($A53="",0,SUMIFS(Movimenti!$D$6:$D$2005,Movimenti!$C$6:$C$2005,$A53,Movimenti!$A$6:$A$2005,"&gt;="&amp;DATE(Impostazioni!$C$4,H$4,1),Movimenti!$A$6:$A$2005,"&lt;"&amp;DATE(Impostazioni!$C$4,H$4+1,1)))</f>
        <v/>
      </c>
      <c r="I53" s="36">
        <f>IF($A53="",0,SUMIFS(Movimenti!$D$6:$D$2005,Movimenti!$C$6:$C$2005,$A53,Movimenti!$A$6:$A$2005,"&gt;="&amp;DATE(Impostazioni!$C$4,I$4,1),Movimenti!$A$6:$A$2005,"&lt;"&amp;DATE(Impostazioni!$C$4,I$4+1,1)))</f>
        <v/>
      </c>
      <c r="J53" s="36">
        <f>IF($A53="",0,SUMIFS(Movimenti!$D$6:$D$2005,Movimenti!$C$6:$C$2005,$A53,Movimenti!$A$6:$A$2005,"&gt;="&amp;DATE(Impostazioni!$C$4,J$4,1),Movimenti!$A$6:$A$2005,"&lt;"&amp;DATE(Impostazioni!$C$4,J$4+1,1)))</f>
        <v/>
      </c>
      <c r="K53" s="36">
        <f>IF($A53="",0,SUMIFS(Movimenti!$D$6:$D$2005,Movimenti!$C$6:$C$2005,$A53,Movimenti!$A$6:$A$2005,"&gt;="&amp;DATE(Impostazioni!$C$4,K$4,1),Movimenti!$A$6:$A$2005,"&lt;"&amp;DATE(Impostazioni!$C$4,K$4+1,1)))</f>
        <v/>
      </c>
      <c r="L53" s="36">
        <f>IF($A53="",0,SUMIFS(Movimenti!$D$6:$D$2005,Movimenti!$C$6:$C$2005,$A53,Movimenti!$A$6:$A$2005,"&gt;="&amp;DATE(Impostazioni!$C$4,L$4,1),Movimenti!$A$6:$A$2005,"&lt;"&amp;DATE(Impostazioni!$C$4,L$4+1,1)))</f>
        <v/>
      </c>
      <c r="M53" s="36">
        <f>IF($A53="",0,SUMIFS(Movimenti!$D$6:$D$2005,Movimenti!$C$6:$C$2005,$A53,Movimenti!$A$6:$A$2005,"&gt;="&amp;DATE(Impostazioni!$C$4,M$4,1),Movimenti!$A$6:$A$2005,"&lt;"&amp;DATE(Impostazioni!$C$4,M$4+1,1)))</f>
        <v/>
      </c>
      <c r="N53" s="36">
        <f>IF($A53="",0,SUMIFS(Movimenti!$D$6:$D$2005,Movimenti!$C$6:$C$2005,$A53,Movimenti!$A$6:$A$2005,"&gt;="&amp;DATE(Impostazioni!$C$4,N$4,1),Movimenti!$A$6:$A$2005,"&lt;"&amp;DATE(Impostazioni!$C$4,N$4+1,1)))</f>
        <v/>
      </c>
      <c r="O53" s="45">
        <f>SUM(C53:N53)</f>
        <v/>
      </c>
      <c r="P53" s="36">
        <f>Budget!P53</f>
        <v/>
      </c>
      <c r="Q53" s="36">
        <f>O53-P53</f>
        <v/>
      </c>
      <c r="R53" s="47">
        <f>IF(P53=0,"",O53/P53)</f>
        <v/>
      </c>
      <c r="T53" s="36">
        <f>INDEX(Budget!$D53:$O53,Impostazioni!$C$12)</f>
        <v/>
      </c>
      <c r="U53" s="36">
        <f>INDEX($C53:$N53,Impostazioni!$C$12)</f>
        <v/>
      </c>
      <c r="V53" s="36">
        <f>U53-T53</f>
        <v/>
      </c>
      <c r="W53" s="36">
        <f>SUMIFS(Budget!$D53:$O53,Budget!$D$4:$O$4,"&lt;="&amp;Impostazioni!$C$12)</f>
        <v/>
      </c>
      <c r="X53" s="36">
        <f>SUMIFS($C53:$N53,$C$4:$N$4,"&lt;="&amp;Impostazioni!$C$12)</f>
        <v/>
      </c>
      <c r="Y53" s="36">
        <f>X53-W53</f>
        <v/>
      </c>
      <c r="Z53" s="51">
        <f>IF(AND(O53&gt;0,LEFT(B53,5)="Spesa"),O53-ROW()/10000000,0)</f>
        <v/>
      </c>
    </row>
    <row r="54">
      <c r="A54" s="42">
        <f>IF(Categorie!$A46="","",Categorie!$A46)</f>
        <v/>
      </c>
      <c r="B54" s="35">
        <f>IF(A54="","",Categorie!$B46&amp;"")</f>
        <v/>
      </c>
      <c r="C54" s="36">
        <f>IF($A54="",0,SUMIFS(Movimenti!$D$6:$D$2005,Movimenti!$C$6:$C$2005,$A54,Movimenti!$A$6:$A$2005,"&gt;="&amp;DATE(Impostazioni!$C$4,C$4,1),Movimenti!$A$6:$A$2005,"&lt;"&amp;DATE(Impostazioni!$C$4,C$4+1,1)))</f>
        <v/>
      </c>
      <c r="D54" s="36">
        <f>IF($A54="",0,SUMIFS(Movimenti!$D$6:$D$2005,Movimenti!$C$6:$C$2005,$A54,Movimenti!$A$6:$A$2005,"&gt;="&amp;DATE(Impostazioni!$C$4,D$4,1),Movimenti!$A$6:$A$2005,"&lt;"&amp;DATE(Impostazioni!$C$4,D$4+1,1)))</f>
        <v/>
      </c>
      <c r="E54" s="36">
        <f>IF($A54="",0,SUMIFS(Movimenti!$D$6:$D$2005,Movimenti!$C$6:$C$2005,$A54,Movimenti!$A$6:$A$2005,"&gt;="&amp;DATE(Impostazioni!$C$4,E$4,1),Movimenti!$A$6:$A$2005,"&lt;"&amp;DATE(Impostazioni!$C$4,E$4+1,1)))</f>
        <v/>
      </c>
      <c r="F54" s="36">
        <f>IF($A54="",0,SUMIFS(Movimenti!$D$6:$D$2005,Movimenti!$C$6:$C$2005,$A54,Movimenti!$A$6:$A$2005,"&gt;="&amp;DATE(Impostazioni!$C$4,F$4,1),Movimenti!$A$6:$A$2005,"&lt;"&amp;DATE(Impostazioni!$C$4,F$4+1,1)))</f>
        <v/>
      </c>
      <c r="G54" s="36">
        <f>IF($A54="",0,SUMIFS(Movimenti!$D$6:$D$2005,Movimenti!$C$6:$C$2005,$A54,Movimenti!$A$6:$A$2005,"&gt;="&amp;DATE(Impostazioni!$C$4,G$4,1),Movimenti!$A$6:$A$2005,"&lt;"&amp;DATE(Impostazioni!$C$4,G$4+1,1)))</f>
        <v/>
      </c>
      <c r="H54" s="36">
        <f>IF($A54="",0,SUMIFS(Movimenti!$D$6:$D$2005,Movimenti!$C$6:$C$2005,$A54,Movimenti!$A$6:$A$2005,"&gt;="&amp;DATE(Impostazioni!$C$4,H$4,1),Movimenti!$A$6:$A$2005,"&lt;"&amp;DATE(Impostazioni!$C$4,H$4+1,1)))</f>
        <v/>
      </c>
      <c r="I54" s="36">
        <f>IF($A54="",0,SUMIFS(Movimenti!$D$6:$D$2005,Movimenti!$C$6:$C$2005,$A54,Movimenti!$A$6:$A$2005,"&gt;="&amp;DATE(Impostazioni!$C$4,I$4,1),Movimenti!$A$6:$A$2005,"&lt;"&amp;DATE(Impostazioni!$C$4,I$4+1,1)))</f>
        <v/>
      </c>
      <c r="J54" s="36">
        <f>IF($A54="",0,SUMIFS(Movimenti!$D$6:$D$2005,Movimenti!$C$6:$C$2005,$A54,Movimenti!$A$6:$A$2005,"&gt;="&amp;DATE(Impostazioni!$C$4,J$4,1),Movimenti!$A$6:$A$2005,"&lt;"&amp;DATE(Impostazioni!$C$4,J$4+1,1)))</f>
        <v/>
      </c>
      <c r="K54" s="36">
        <f>IF($A54="",0,SUMIFS(Movimenti!$D$6:$D$2005,Movimenti!$C$6:$C$2005,$A54,Movimenti!$A$6:$A$2005,"&gt;="&amp;DATE(Impostazioni!$C$4,K$4,1),Movimenti!$A$6:$A$2005,"&lt;"&amp;DATE(Impostazioni!$C$4,K$4+1,1)))</f>
        <v/>
      </c>
      <c r="L54" s="36">
        <f>IF($A54="",0,SUMIFS(Movimenti!$D$6:$D$2005,Movimenti!$C$6:$C$2005,$A54,Movimenti!$A$6:$A$2005,"&gt;="&amp;DATE(Impostazioni!$C$4,L$4,1),Movimenti!$A$6:$A$2005,"&lt;"&amp;DATE(Impostazioni!$C$4,L$4+1,1)))</f>
        <v/>
      </c>
      <c r="M54" s="36">
        <f>IF($A54="",0,SUMIFS(Movimenti!$D$6:$D$2005,Movimenti!$C$6:$C$2005,$A54,Movimenti!$A$6:$A$2005,"&gt;="&amp;DATE(Impostazioni!$C$4,M$4,1),Movimenti!$A$6:$A$2005,"&lt;"&amp;DATE(Impostazioni!$C$4,M$4+1,1)))</f>
        <v/>
      </c>
      <c r="N54" s="36">
        <f>IF($A54="",0,SUMIFS(Movimenti!$D$6:$D$2005,Movimenti!$C$6:$C$2005,$A54,Movimenti!$A$6:$A$2005,"&gt;="&amp;DATE(Impostazioni!$C$4,N$4,1),Movimenti!$A$6:$A$2005,"&lt;"&amp;DATE(Impostazioni!$C$4,N$4+1,1)))</f>
        <v/>
      </c>
      <c r="O54" s="45">
        <f>SUM(C54:N54)</f>
        <v/>
      </c>
      <c r="P54" s="36">
        <f>Budget!P54</f>
        <v/>
      </c>
      <c r="Q54" s="36">
        <f>O54-P54</f>
        <v/>
      </c>
      <c r="R54" s="47">
        <f>IF(P54=0,"",O54/P54)</f>
        <v/>
      </c>
      <c r="T54" s="36">
        <f>INDEX(Budget!$D54:$O54,Impostazioni!$C$12)</f>
        <v/>
      </c>
      <c r="U54" s="36">
        <f>INDEX($C54:$N54,Impostazioni!$C$12)</f>
        <v/>
      </c>
      <c r="V54" s="36">
        <f>U54-T54</f>
        <v/>
      </c>
      <c r="W54" s="36">
        <f>SUMIFS(Budget!$D54:$O54,Budget!$D$4:$O$4,"&lt;="&amp;Impostazioni!$C$12)</f>
        <v/>
      </c>
      <c r="X54" s="36">
        <f>SUMIFS($C54:$N54,$C$4:$N$4,"&lt;="&amp;Impostazioni!$C$12)</f>
        <v/>
      </c>
      <c r="Y54" s="36">
        <f>X54-W54</f>
        <v/>
      </c>
      <c r="Z54" s="51">
        <f>IF(AND(O54&gt;0,LEFT(B54,5)="Spesa"),O54-ROW()/10000000,0)</f>
        <v/>
      </c>
    </row>
    <row r="55">
      <c r="A55" s="42">
        <f>IF(Categorie!$A47="","",Categorie!$A47)</f>
        <v/>
      </c>
      <c r="B55" s="35">
        <f>IF(A55="","",Categorie!$B47&amp;"")</f>
        <v/>
      </c>
      <c r="C55" s="36">
        <f>IF($A55="",0,SUMIFS(Movimenti!$D$6:$D$2005,Movimenti!$C$6:$C$2005,$A55,Movimenti!$A$6:$A$2005,"&gt;="&amp;DATE(Impostazioni!$C$4,C$4,1),Movimenti!$A$6:$A$2005,"&lt;"&amp;DATE(Impostazioni!$C$4,C$4+1,1)))</f>
        <v/>
      </c>
      <c r="D55" s="36">
        <f>IF($A55="",0,SUMIFS(Movimenti!$D$6:$D$2005,Movimenti!$C$6:$C$2005,$A55,Movimenti!$A$6:$A$2005,"&gt;="&amp;DATE(Impostazioni!$C$4,D$4,1),Movimenti!$A$6:$A$2005,"&lt;"&amp;DATE(Impostazioni!$C$4,D$4+1,1)))</f>
        <v/>
      </c>
      <c r="E55" s="36">
        <f>IF($A55="",0,SUMIFS(Movimenti!$D$6:$D$2005,Movimenti!$C$6:$C$2005,$A55,Movimenti!$A$6:$A$2005,"&gt;="&amp;DATE(Impostazioni!$C$4,E$4,1),Movimenti!$A$6:$A$2005,"&lt;"&amp;DATE(Impostazioni!$C$4,E$4+1,1)))</f>
        <v/>
      </c>
      <c r="F55" s="36">
        <f>IF($A55="",0,SUMIFS(Movimenti!$D$6:$D$2005,Movimenti!$C$6:$C$2005,$A55,Movimenti!$A$6:$A$2005,"&gt;="&amp;DATE(Impostazioni!$C$4,F$4,1),Movimenti!$A$6:$A$2005,"&lt;"&amp;DATE(Impostazioni!$C$4,F$4+1,1)))</f>
        <v/>
      </c>
      <c r="G55" s="36">
        <f>IF($A55="",0,SUMIFS(Movimenti!$D$6:$D$2005,Movimenti!$C$6:$C$2005,$A55,Movimenti!$A$6:$A$2005,"&gt;="&amp;DATE(Impostazioni!$C$4,G$4,1),Movimenti!$A$6:$A$2005,"&lt;"&amp;DATE(Impostazioni!$C$4,G$4+1,1)))</f>
        <v/>
      </c>
      <c r="H55" s="36">
        <f>IF($A55="",0,SUMIFS(Movimenti!$D$6:$D$2005,Movimenti!$C$6:$C$2005,$A55,Movimenti!$A$6:$A$2005,"&gt;="&amp;DATE(Impostazioni!$C$4,H$4,1),Movimenti!$A$6:$A$2005,"&lt;"&amp;DATE(Impostazioni!$C$4,H$4+1,1)))</f>
        <v/>
      </c>
      <c r="I55" s="36">
        <f>IF($A55="",0,SUMIFS(Movimenti!$D$6:$D$2005,Movimenti!$C$6:$C$2005,$A55,Movimenti!$A$6:$A$2005,"&gt;="&amp;DATE(Impostazioni!$C$4,I$4,1),Movimenti!$A$6:$A$2005,"&lt;"&amp;DATE(Impostazioni!$C$4,I$4+1,1)))</f>
        <v/>
      </c>
      <c r="J55" s="36">
        <f>IF($A55="",0,SUMIFS(Movimenti!$D$6:$D$2005,Movimenti!$C$6:$C$2005,$A55,Movimenti!$A$6:$A$2005,"&gt;="&amp;DATE(Impostazioni!$C$4,J$4,1),Movimenti!$A$6:$A$2005,"&lt;"&amp;DATE(Impostazioni!$C$4,J$4+1,1)))</f>
        <v/>
      </c>
      <c r="K55" s="36">
        <f>IF($A55="",0,SUMIFS(Movimenti!$D$6:$D$2005,Movimenti!$C$6:$C$2005,$A55,Movimenti!$A$6:$A$2005,"&gt;="&amp;DATE(Impostazioni!$C$4,K$4,1),Movimenti!$A$6:$A$2005,"&lt;"&amp;DATE(Impostazioni!$C$4,K$4+1,1)))</f>
        <v/>
      </c>
      <c r="L55" s="36">
        <f>IF($A55="",0,SUMIFS(Movimenti!$D$6:$D$2005,Movimenti!$C$6:$C$2005,$A55,Movimenti!$A$6:$A$2005,"&gt;="&amp;DATE(Impostazioni!$C$4,L$4,1),Movimenti!$A$6:$A$2005,"&lt;"&amp;DATE(Impostazioni!$C$4,L$4+1,1)))</f>
        <v/>
      </c>
      <c r="M55" s="36">
        <f>IF($A55="",0,SUMIFS(Movimenti!$D$6:$D$2005,Movimenti!$C$6:$C$2005,$A55,Movimenti!$A$6:$A$2005,"&gt;="&amp;DATE(Impostazioni!$C$4,M$4,1),Movimenti!$A$6:$A$2005,"&lt;"&amp;DATE(Impostazioni!$C$4,M$4+1,1)))</f>
        <v/>
      </c>
      <c r="N55" s="36">
        <f>IF($A55="",0,SUMIFS(Movimenti!$D$6:$D$2005,Movimenti!$C$6:$C$2005,$A55,Movimenti!$A$6:$A$2005,"&gt;="&amp;DATE(Impostazioni!$C$4,N$4,1),Movimenti!$A$6:$A$2005,"&lt;"&amp;DATE(Impostazioni!$C$4,N$4+1,1)))</f>
        <v/>
      </c>
      <c r="O55" s="45">
        <f>SUM(C55:N55)</f>
        <v/>
      </c>
      <c r="P55" s="36">
        <f>Budget!P55</f>
        <v/>
      </c>
      <c r="Q55" s="36">
        <f>O55-P55</f>
        <v/>
      </c>
      <c r="R55" s="47">
        <f>IF(P55=0,"",O55/P55)</f>
        <v/>
      </c>
      <c r="T55" s="36">
        <f>INDEX(Budget!$D55:$O55,Impostazioni!$C$12)</f>
        <v/>
      </c>
      <c r="U55" s="36">
        <f>INDEX($C55:$N55,Impostazioni!$C$12)</f>
        <v/>
      </c>
      <c r="V55" s="36">
        <f>U55-T55</f>
        <v/>
      </c>
      <c r="W55" s="36">
        <f>SUMIFS(Budget!$D55:$O55,Budget!$D$4:$O$4,"&lt;="&amp;Impostazioni!$C$12)</f>
        <v/>
      </c>
      <c r="X55" s="36">
        <f>SUMIFS($C55:$N55,$C$4:$N$4,"&lt;="&amp;Impostazioni!$C$12)</f>
        <v/>
      </c>
      <c r="Y55" s="36">
        <f>X55-W55</f>
        <v/>
      </c>
      <c r="Z55" s="51">
        <f>IF(AND(O55&gt;0,LEFT(B55,5)="Spesa"),O55-ROW()/10000000,0)</f>
        <v/>
      </c>
    </row>
    <row r="56">
      <c r="A56" s="42">
        <f>IF(Categorie!$A48="","",Categorie!$A48)</f>
        <v/>
      </c>
      <c r="B56" s="35">
        <f>IF(A56="","",Categorie!$B48&amp;"")</f>
        <v/>
      </c>
      <c r="C56" s="36">
        <f>IF($A56="",0,SUMIFS(Movimenti!$D$6:$D$2005,Movimenti!$C$6:$C$2005,$A56,Movimenti!$A$6:$A$2005,"&gt;="&amp;DATE(Impostazioni!$C$4,C$4,1),Movimenti!$A$6:$A$2005,"&lt;"&amp;DATE(Impostazioni!$C$4,C$4+1,1)))</f>
        <v/>
      </c>
      <c r="D56" s="36">
        <f>IF($A56="",0,SUMIFS(Movimenti!$D$6:$D$2005,Movimenti!$C$6:$C$2005,$A56,Movimenti!$A$6:$A$2005,"&gt;="&amp;DATE(Impostazioni!$C$4,D$4,1),Movimenti!$A$6:$A$2005,"&lt;"&amp;DATE(Impostazioni!$C$4,D$4+1,1)))</f>
        <v/>
      </c>
      <c r="E56" s="36">
        <f>IF($A56="",0,SUMIFS(Movimenti!$D$6:$D$2005,Movimenti!$C$6:$C$2005,$A56,Movimenti!$A$6:$A$2005,"&gt;="&amp;DATE(Impostazioni!$C$4,E$4,1),Movimenti!$A$6:$A$2005,"&lt;"&amp;DATE(Impostazioni!$C$4,E$4+1,1)))</f>
        <v/>
      </c>
      <c r="F56" s="36">
        <f>IF($A56="",0,SUMIFS(Movimenti!$D$6:$D$2005,Movimenti!$C$6:$C$2005,$A56,Movimenti!$A$6:$A$2005,"&gt;="&amp;DATE(Impostazioni!$C$4,F$4,1),Movimenti!$A$6:$A$2005,"&lt;"&amp;DATE(Impostazioni!$C$4,F$4+1,1)))</f>
        <v/>
      </c>
      <c r="G56" s="36">
        <f>IF($A56="",0,SUMIFS(Movimenti!$D$6:$D$2005,Movimenti!$C$6:$C$2005,$A56,Movimenti!$A$6:$A$2005,"&gt;="&amp;DATE(Impostazioni!$C$4,G$4,1),Movimenti!$A$6:$A$2005,"&lt;"&amp;DATE(Impostazioni!$C$4,G$4+1,1)))</f>
        <v/>
      </c>
      <c r="H56" s="36">
        <f>IF($A56="",0,SUMIFS(Movimenti!$D$6:$D$2005,Movimenti!$C$6:$C$2005,$A56,Movimenti!$A$6:$A$2005,"&gt;="&amp;DATE(Impostazioni!$C$4,H$4,1),Movimenti!$A$6:$A$2005,"&lt;"&amp;DATE(Impostazioni!$C$4,H$4+1,1)))</f>
        <v/>
      </c>
      <c r="I56" s="36">
        <f>IF($A56="",0,SUMIFS(Movimenti!$D$6:$D$2005,Movimenti!$C$6:$C$2005,$A56,Movimenti!$A$6:$A$2005,"&gt;="&amp;DATE(Impostazioni!$C$4,I$4,1),Movimenti!$A$6:$A$2005,"&lt;"&amp;DATE(Impostazioni!$C$4,I$4+1,1)))</f>
        <v/>
      </c>
      <c r="J56" s="36">
        <f>IF($A56="",0,SUMIFS(Movimenti!$D$6:$D$2005,Movimenti!$C$6:$C$2005,$A56,Movimenti!$A$6:$A$2005,"&gt;="&amp;DATE(Impostazioni!$C$4,J$4,1),Movimenti!$A$6:$A$2005,"&lt;"&amp;DATE(Impostazioni!$C$4,J$4+1,1)))</f>
        <v/>
      </c>
      <c r="K56" s="36">
        <f>IF($A56="",0,SUMIFS(Movimenti!$D$6:$D$2005,Movimenti!$C$6:$C$2005,$A56,Movimenti!$A$6:$A$2005,"&gt;="&amp;DATE(Impostazioni!$C$4,K$4,1),Movimenti!$A$6:$A$2005,"&lt;"&amp;DATE(Impostazioni!$C$4,K$4+1,1)))</f>
        <v/>
      </c>
      <c r="L56" s="36">
        <f>IF($A56="",0,SUMIFS(Movimenti!$D$6:$D$2005,Movimenti!$C$6:$C$2005,$A56,Movimenti!$A$6:$A$2005,"&gt;="&amp;DATE(Impostazioni!$C$4,L$4,1),Movimenti!$A$6:$A$2005,"&lt;"&amp;DATE(Impostazioni!$C$4,L$4+1,1)))</f>
        <v/>
      </c>
      <c r="M56" s="36">
        <f>IF($A56="",0,SUMIFS(Movimenti!$D$6:$D$2005,Movimenti!$C$6:$C$2005,$A56,Movimenti!$A$6:$A$2005,"&gt;="&amp;DATE(Impostazioni!$C$4,M$4,1),Movimenti!$A$6:$A$2005,"&lt;"&amp;DATE(Impostazioni!$C$4,M$4+1,1)))</f>
        <v/>
      </c>
      <c r="N56" s="36">
        <f>IF($A56="",0,SUMIFS(Movimenti!$D$6:$D$2005,Movimenti!$C$6:$C$2005,$A56,Movimenti!$A$6:$A$2005,"&gt;="&amp;DATE(Impostazioni!$C$4,N$4,1),Movimenti!$A$6:$A$2005,"&lt;"&amp;DATE(Impostazioni!$C$4,N$4+1,1)))</f>
        <v/>
      </c>
      <c r="O56" s="45">
        <f>SUM(C56:N56)</f>
        <v/>
      </c>
      <c r="P56" s="36">
        <f>Budget!P56</f>
        <v/>
      </c>
      <c r="Q56" s="36">
        <f>O56-P56</f>
        <v/>
      </c>
      <c r="R56" s="47">
        <f>IF(P56=0,"",O56/P56)</f>
        <v/>
      </c>
      <c r="T56" s="36">
        <f>INDEX(Budget!$D56:$O56,Impostazioni!$C$12)</f>
        <v/>
      </c>
      <c r="U56" s="36">
        <f>INDEX($C56:$N56,Impostazioni!$C$12)</f>
        <v/>
      </c>
      <c r="V56" s="36">
        <f>U56-T56</f>
        <v/>
      </c>
      <c r="W56" s="36">
        <f>SUMIFS(Budget!$D56:$O56,Budget!$D$4:$O$4,"&lt;="&amp;Impostazioni!$C$12)</f>
        <v/>
      </c>
      <c r="X56" s="36">
        <f>SUMIFS($C56:$N56,$C$4:$N$4,"&lt;="&amp;Impostazioni!$C$12)</f>
        <v/>
      </c>
      <c r="Y56" s="36">
        <f>X56-W56</f>
        <v/>
      </c>
      <c r="Z56" s="51">
        <f>IF(AND(O56&gt;0,LEFT(B56,5)="Spesa"),O56-ROW()/10000000,0)</f>
        <v/>
      </c>
    </row>
    <row r="57">
      <c r="A57" s="42">
        <f>IF(Categorie!$A49="","",Categorie!$A49)</f>
        <v/>
      </c>
      <c r="B57" s="35">
        <f>IF(A57="","",Categorie!$B49&amp;"")</f>
        <v/>
      </c>
      <c r="C57" s="36">
        <f>IF($A57="",0,SUMIFS(Movimenti!$D$6:$D$2005,Movimenti!$C$6:$C$2005,$A57,Movimenti!$A$6:$A$2005,"&gt;="&amp;DATE(Impostazioni!$C$4,C$4,1),Movimenti!$A$6:$A$2005,"&lt;"&amp;DATE(Impostazioni!$C$4,C$4+1,1)))</f>
        <v/>
      </c>
      <c r="D57" s="36">
        <f>IF($A57="",0,SUMIFS(Movimenti!$D$6:$D$2005,Movimenti!$C$6:$C$2005,$A57,Movimenti!$A$6:$A$2005,"&gt;="&amp;DATE(Impostazioni!$C$4,D$4,1),Movimenti!$A$6:$A$2005,"&lt;"&amp;DATE(Impostazioni!$C$4,D$4+1,1)))</f>
        <v/>
      </c>
      <c r="E57" s="36">
        <f>IF($A57="",0,SUMIFS(Movimenti!$D$6:$D$2005,Movimenti!$C$6:$C$2005,$A57,Movimenti!$A$6:$A$2005,"&gt;="&amp;DATE(Impostazioni!$C$4,E$4,1),Movimenti!$A$6:$A$2005,"&lt;"&amp;DATE(Impostazioni!$C$4,E$4+1,1)))</f>
        <v/>
      </c>
      <c r="F57" s="36">
        <f>IF($A57="",0,SUMIFS(Movimenti!$D$6:$D$2005,Movimenti!$C$6:$C$2005,$A57,Movimenti!$A$6:$A$2005,"&gt;="&amp;DATE(Impostazioni!$C$4,F$4,1),Movimenti!$A$6:$A$2005,"&lt;"&amp;DATE(Impostazioni!$C$4,F$4+1,1)))</f>
        <v/>
      </c>
      <c r="G57" s="36">
        <f>IF($A57="",0,SUMIFS(Movimenti!$D$6:$D$2005,Movimenti!$C$6:$C$2005,$A57,Movimenti!$A$6:$A$2005,"&gt;="&amp;DATE(Impostazioni!$C$4,G$4,1),Movimenti!$A$6:$A$2005,"&lt;"&amp;DATE(Impostazioni!$C$4,G$4+1,1)))</f>
        <v/>
      </c>
      <c r="H57" s="36">
        <f>IF($A57="",0,SUMIFS(Movimenti!$D$6:$D$2005,Movimenti!$C$6:$C$2005,$A57,Movimenti!$A$6:$A$2005,"&gt;="&amp;DATE(Impostazioni!$C$4,H$4,1),Movimenti!$A$6:$A$2005,"&lt;"&amp;DATE(Impostazioni!$C$4,H$4+1,1)))</f>
        <v/>
      </c>
      <c r="I57" s="36">
        <f>IF($A57="",0,SUMIFS(Movimenti!$D$6:$D$2005,Movimenti!$C$6:$C$2005,$A57,Movimenti!$A$6:$A$2005,"&gt;="&amp;DATE(Impostazioni!$C$4,I$4,1),Movimenti!$A$6:$A$2005,"&lt;"&amp;DATE(Impostazioni!$C$4,I$4+1,1)))</f>
        <v/>
      </c>
      <c r="J57" s="36">
        <f>IF($A57="",0,SUMIFS(Movimenti!$D$6:$D$2005,Movimenti!$C$6:$C$2005,$A57,Movimenti!$A$6:$A$2005,"&gt;="&amp;DATE(Impostazioni!$C$4,J$4,1),Movimenti!$A$6:$A$2005,"&lt;"&amp;DATE(Impostazioni!$C$4,J$4+1,1)))</f>
        <v/>
      </c>
      <c r="K57" s="36">
        <f>IF($A57="",0,SUMIFS(Movimenti!$D$6:$D$2005,Movimenti!$C$6:$C$2005,$A57,Movimenti!$A$6:$A$2005,"&gt;="&amp;DATE(Impostazioni!$C$4,K$4,1),Movimenti!$A$6:$A$2005,"&lt;"&amp;DATE(Impostazioni!$C$4,K$4+1,1)))</f>
        <v/>
      </c>
      <c r="L57" s="36">
        <f>IF($A57="",0,SUMIFS(Movimenti!$D$6:$D$2005,Movimenti!$C$6:$C$2005,$A57,Movimenti!$A$6:$A$2005,"&gt;="&amp;DATE(Impostazioni!$C$4,L$4,1),Movimenti!$A$6:$A$2005,"&lt;"&amp;DATE(Impostazioni!$C$4,L$4+1,1)))</f>
        <v/>
      </c>
      <c r="M57" s="36">
        <f>IF($A57="",0,SUMIFS(Movimenti!$D$6:$D$2005,Movimenti!$C$6:$C$2005,$A57,Movimenti!$A$6:$A$2005,"&gt;="&amp;DATE(Impostazioni!$C$4,M$4,1),Movimenti!$A$6:$A$2005,"&lt;"&amp;DATE(Impostazioni!$C$4,M$4+1,1)))</f>
        <v/>
      </c>
      <c r="N57" s="36">
        <f>IF($A57="",0,SUMIFS(Movimenti!$D$6:$D$2005,Movimenti!$C$6:$C$2005,$A57,Movimenti!$A$6:$A$2005,"&gt;="&amp;DATE(Impostazioni!$C$4,N$4,1),Movimenti!$A$6:$A$2005,"&lt;"&amp;DATE(Impostazioni!$C$4,N$4+1,1)))</f>
        <v/>
      </c>
      <c r="O57" s="45">
        <f>SUM(C57:N57)</f>
        <v/>
      </c>
      <c r="P57" s="36">
        <f>Budget!P57</f>
        <v/>
      </c>
      <c r="Q57" s="36">
        <f>O57-P57</f>
        <v/>
      </c>
      <c r="R57" s="47">
        <f>IF(P57=0,"",O57/P57)</f>
        <v/>
      </c>
      <c r="T57" s="36">
        <f>INDEX(Budget!$D57:$O57,Impostazioni!$C$12)</f>
        <v/>
      </c>
      <c r="U57" s="36">
        <f>INDEX($C57:$N57,Impostazioni!$C$12)</f>
        <v/>
      </c>
      <c r="V57" s="36">
        <f>U57-T57</f>
        <v/>
      </c>
      <c r="W57" s="36">
        <f>SUMIFS(Budget!$D57:$O57,Budget!$D$4:$O$4,"&lt;="&amp;Impostazioni!$C$12)</f>
        <v/>
      </c>
      <c r="X57" s="36">
        <f>SUMIFS($C57:$N57,$C$4:$N$4,"&lt;="&amp;Impostazioni!$C$12)</f>
        <v/>
      </c>
      <c r="Y57" s="36">
        <f>X57-W57</f>
        <v/>
      </c>
      <c r="Z57" s="51">
        <f>IF(AND(O57&gt;0,LEFT(B57,5)="Spesa"),O57-ROW()/10000000,0)</f>
        <v/>
      </c>
    </row>
    <row r="58">
      <c r="A58" s="42">
        <f>IF(Categorie!$A50="","",Categorie!$A50)</f>
        <v/>
      </c>
      <c r="B58" s="35">
        <f>IF(A58="","",Categorie!$B50&amp;"")</f>
        <v/>
      </c>
      <c r="C58" s="36">
        <f>IF($A58="",0,SUMIFS(Movimenti!$D$6:$D$2005,Movimenti!$C$6:$C$2005,$A58,Movimenti!$A$6:$A$2005,"&gt;="&amp;DATE(Impostazioni!$C$4,C$4,1),Movimenti!$A$6:$A$2005,"&lt;"&amp;DATE(Impostazioni!$C$4,C$4+1,1)))</f>
        <v/>
      </c>
      <c r="D58" s="36">
        <f>IF($A58="",0,SUMIFS(Movimenti!$D$6:$D$2005,Movimenti!$C$6:$C$2005,$A58,Movimenti!$A$6:$A$2005,"&gt;="&amp;DATE(Impostazioni!$C$4,D$4,1),Movimenti!$A$6:$A$2005,"&lt;"&amp;DATE(Impostazioni!$C$4,D$4+1,1)))</f>
        <v/>
      </c>
      <c r="E58" s="36">
        <f>IF($A58="",0,SUMIFS(Movimenti!$D$6:$D$2005,Movimenti!$C$6:$C$2005,$A58,Movimenti!$A$6:$A$2005,"&gt;="&amp;DATE(Impostazioni!$C$4,E$4,1),Movimenti!$A$6:$A$2005,"&lt;"&amp;DATE(Impostazioni!$C$4,E$4+1,1)))</f>
        <v/>
      </c>
      <c r="F58" s="36">
        <f>IF($A58="",0,SUMIFS(Movimenti!$D$6:$D$2005,Movimenti!$C$6:$C$2005,$A58,Movimenti!$A$6:$A$2005,"&gt;="&amp;DATE(Impostazioni!$C$4,F$4,1),Movimenti!$A$6:$A$2005,"&lt;"&amp;DATE(Impostazioni!$C$4,F$4+1,1)))</f>
        <v/>
      </c>
      <c r="G58" s="36">
        <f>IF($A58="",0,SUMIFS(Movimenti!$D$6:$D$2005,Movimenti!$C$6:$C$2005,$A58,Movimenti!$A$6:$A$2005,"&gt;="&amp;DATE(Impostazioni!$C$4,G$4,1),Movimenti!$A$6:$A$2005,"&lt;"&amp;DATE(Impostazioni!$C$4,G$4+1,1)))</f>
        <v/>
      </c>
      <c r="H58" s="36">
        <f>IF($A58="",0,SUMIFS(Movimenti!$D$6:$D$2005,Movimenti!$C$6:$C$2005,$A58,Movimenti!$A$6:$A$2005,"&gt;="&amp;DATE(Impostazioni!$C$4,H$4,1),Movimenti!$A$6:$A$2005,"&lt;"&amp;DATE(Impostazioni!$C$4,H$4+1,1)))</f>
        <v/>
      </c>
      <c r="I58" s="36">
        <f>IF($A58="",0,SUMIFS(Movimenti!$D$6:$D$2005,Movimenti!$C$6:$C$2005,$A58,Movimenti!$A$6:$A$2005,"&gt;="&amp;DATE(Impostazioni!$C$4,I$4,1),Movimenti!$A$6:$A$2005,"&lt;"&amp;DATE(Impostazioni!$C$4,I$4+1,1)))</f>
        <v/>
      </c>
      <c r="J58" s="36">
        <f>IF($A58="",0,SUMIFS(Movimenti!$D$6:$D$2005,Movimenti!$C$6:$C$2005,$A58,Movimenti!$A$6:$A$2005,"&gt;="&amp;DATE(Impostazioni!$C$4,J$4,1),Movimenti!$A$6:$A$2005,"&lt;"&amp;DATE(Impostazioni!$C$4,J$4+1,1)))</f>
        <v/>
      </c>
      <c r="K58" s="36">
        <f>IF($A58="",0,SUMIFS(Movimenti!$D$6:$D$2005,Movimenti!$C$6:$C$2005,$A58,Movimenti!$A$6:$A$2005,"&gt;="&amp;DATE(Impostazioni!$C$4,K$4,1),Movimenti!$A$6:$A$2005,"&lt;"&amp;DATE(Impostazioni!$C$4,K$4+1,1)))</f>
        <v/>
      </c>
      <c r="L58" s="36">
        <f>IF($A58="",0,SUMIFS(Movimenti!$D$6:$D$2005,Movimenti!$C$6:$C$2005,$A58,Movimenti!$A$6:$A$2005,"&gt;="&amp;DATE(Impostazioni!$C$4,L$4,1),Movimenti!$A$6:$A$2005,"&lt;"&amp;DATE(Impostazioni!$C$4,L$4+1,1)))</f>
        <v/>
      </c>
      <c r="M58" s="36">
        <f>IF($A58="",0,SUMIFS(Movimenti!$D$6:$D$2005,Movimenti!$C$6:$C$2005,$A58,Movimenti!$A$6:$A$2005,"&gt;="&amp;DATE(Impostazioni!$C$4,M$4,1),Movimenti!$A$6:$A$2005,"&lt;"&amp;DATE(Impostazioni!$C$4,M$4+1,1)))</f>
        <v/>
      </c>
      <c r="N58" s="36">
        <f>IF($A58="",0,SUMIFS(Movimenti!$D$6:$D$2005,Movimenti!$C$6:$C$2005,$A58,Movimenti!$A$6:$A$2005,"&gt;="&amp;DATE(Impostazioni!$C$4,N$4,1),Movimenti!$A$6:$A$2005,"&lt;"&amp;DATE(Impostazioni!$C$4,N$4+1,1)))</f>
        <v/>
      </c>
      <c r="O58" s="45">
        <f>SUM(C58:N58)</f>
        <v/>
      </c>
      <c r="P58" s="36">
        <f>Budget!P58</f>
        <v/>
      </c>
      <c r="Q58" s="36">
        <f>O58-P58</f>
        <v/>
      </c>
      <c r="R58" s="47">
        <f>IF(P58=0,"",O58/P58)</f>
        <v/>
      </c>
      <c r="T58" s="36">
        <f>INDEX(Budget!$D58:$O58,Impostazioni!$C$12)</f>
        <v/>
      </c>
      <c r="U58" s="36">
        <f>INDEX($C58:$N58,Impostazioni!$C$12)</f>
        <v/>
      </c>
      <c r="V58" s="36">
        <f>U58-T58</f>
        <v/>
      </c>
      <c r="W58" s="36">
        <f>SUMIFS(Budget!$D58:$O58,Budget!$D$4:$O$4,"&lt;="&amp;Impostazioni!$C$12)</f>
        <v/>
      </c>
      <c r="X58" s="36">
        <f>SUMIFS($C58:$N58,$C$4:$N$4,"&lt;="&amp;Impostazioni!$C$12)</f>
        <v/>
      </c>
      <c r="Y58" s="36">
        <f>X58-W58</f>
        <v/>
      </c>
      <c r="Z58" s="51">
        <f>IF(AND(O58&gt;0,LEFT(B58,5)="Spesa"),O58-ROW()/10000000,0)</f>
        <v/>
      </c>
    </row>
    <row r="59">
      <c r="A59" s="42">
        <f>IF(Categorie!$A51="","",Categorie!$A51)</f>
        <v/>
      </c>
      <c r="B59" s="35">
        <f>IF(A59="","",Categorie!$B51&amp;"")</f>
        <v/>
      </c>
      <c r="C59" s="36">
        <f>IF($A59="",0,SUMIFS(Movimenti!$D$6:$D$2005,Movimenti!$C$6:$C$2005,$A59,Movimenti!$A$6:$A$2005,"&gt;="&amp;DATE(Impostazioni!$C$4,C$4,1),Movimenti!$A$6:$A$2005,"&lt;"&amp;DATE(Impostazioni!$C$4,C$4+1,1)))</f>
        <v/>
      </c>
      <c r="D59" s="36">
        <f>IF($A59="",0,SUMIFS(Movimenti!$D$6:$D$2005,Movimenti!$C$6:$C$2005,$A59,Movimenti!$A$6:$A$2005,"&gt;="&amp;DATE(Impostazioni!$C$4,D$4,1),Movimenti!$A$6:$A$2005,"&lt;"&amp;DATE(Impostazioni!$C$4,D$4+1,1)))</f>
        <v/>
      </c>
      <c r="E59" s="36">
        <f>IF($A59="",0,SUMIFS(Movimenti!$D$6:$D$2005,Movimenti!$C$6:$C$2005,$A59,Movimenti!$A$6:$A$2005,"&gt;="&amp;DATE(Impostazioni!$C$4,E$4,1),Movimenti!$A$6:$A$2005,"&lt;"&amp;DATE(Impostazioni!$C$4,E$4+1,1)))</f>
        <v/>
      </c>
      <c r="F59" s="36">
        <f>IF($A59="",0,SUMIFS(Movimenti!$D$6:$D$2005,Movimenti!$C$6:$C$2005,$A59,Movimenti!$A$6:$A$2005,"&gt;="&amp;DATE(Impostazioni!$C$4,F$4,1),Movimenti!$A$6:$A$2005,"&lt;"&amp;DATE(Impostazioni!$C$4,F$4+1,1)))</f>
        <v/>
      </c>
      <c r="G59" s="36">
        <f>IF($A59="",0,SUMIFS(Movimenti!$D$6:$D$2005,Movimenti!$C$6:$C$2005,$A59,Movimenti!$A$6:$A$2005,"&gt;="&amp;DATE(Impostazioni!$C$4,G$4,1),Movimenti!$A$6:$A$2005,"&lt;"&amp;DATE(Impostazioni!$C$4,G$4+1,1)))</f>
        <v/>
      </c>
      <c r="H59" s="36">
        <f>IF($A59="",0,SUMIFS(Movimenti!$D$6:$D$2005,Movimenti!$C$6:$C$2005,$A59,Movimenti!$A$6:$A$2005,"&gt;="&amp;DATE(Impostazioni!$C$4,H$4,1),Movimenti!$A$6:$A$2005,"&lt;"&amp;DATE(Impostazioni!$C$4,H$4+1,1)))</f>
        <v/>
      </c>
      <c r="I59" s="36">
        <f>IF($A59="",0,SUMIFS(Movimenti!$D$6:$D$2005,Movimenti!$C$6:$C$2005,$A59,Movimenti!$A$6:$A$2005,"&gt;="&amp;DATE(Impostazioni!$C$4,I$4,1),Movimenti!$A$6:$A$2005,"&lt;"&amp;DATE(Impostazioni!$C$4,I$4+1,1)))</f>
        <v/>
      </c>
      <c r="J59" s="36">
        <f>IF($A59="",0,SUMIFS(Movimenti!$D$6:$D$2005,Movimenti!$C$6:$C$2005,$A59,Movimenti!$A$6:$A$2005,"&gt;="&amp;DATE(Impostazioni!$C$4,J$4,1),Movimenti!$A$6:$A$2005,"&lt;"&amp;DATE(Impostazioni!$C$4,J$4+1,1)))</f>
        <v/>
      </c>
      <c r="K59" s="36">
        <f>IF($A59="",0,SUMIFS(Movimenti!$D$6:$D$2005,Movimenti!$C$6:$C$2005,$A59,Movimenti!$A$6:$A$2005,"&gt;="&amp;DATE(Impostazioni!$C$4,K$4,1),Movimenti!$A$6:$A$2005,"&lt;"&amp;DATE(Impostazioni!$C$4,K$4+1,1)))</f>
        <v/>
      </c>
      <c r="L59" s="36">
        <f>IF($A59="",0,SUMIFS(Movimenti!$D$6:$D$2005,Movimenti!$C$6:$C$2005,$A59,Movimenti!$A$6:$A$2005,"&gt;="&amp;DATE(Impostazioni!$C$4,L$4,1),Movimenti!$A$6:$A$2005,"&lt;"&amp;DATE(Impostazioni!$C$4,L$4+1,1)))</f>
        <v/>
      </c>
      <c r="M59" s="36">
        <f>IF($A59="",0,SUMIFS(Movimenti!$D$6:$D$2005,Movimenti!$C$6:$C$2005,$A59,Movimenti!$A$6:$A$2005,"&gt;="&amp;DATE(Impostazioni!$C$4,M$4,1),Movimenti!$A$6:$A$2005,"&lt;"&amp;DATE(Impostazioni!$C$4,M$4+1,1)))</f>
        <v/>
      </c>
      <c r="N59" s="36">
        <f>IF($A59="",0,SUMIFS(Movimenti!$D$6:$D$2005,Movimenti!$C$6:$C$2005,$A59,Movimenti!$A$6:$A$2005,"&gt;="&amp;DATE(Impostazioni!$C$4,N$4,1),Movimenti!$A$6:$A$2005,"&lt;"&amp;DATE(Impostazioni!$C$4,N$4+1,1)))</f>
        <v/>
      </c>
      <c r="O59" s="45">
        <f>SUM(C59:N59)</f>
        <v/>
      </c>
      <c r="P59" s="36">
        <f>Budget!P59</f>
        <v/>
      </c>
      <c r="Q59" s="36">
        <f>O59-P59</f>
        <v/>
      </c>
      <c r="R59" s="47">
        <f>IF(P59=0,"",O59/P59)</f>
        <v/>
      </c>
      <c r="T59" s="36">
        <f>INDEX(Budget!$D59:$O59,Impostazioni!$C$12)</f>
        <v/>
      </c>
      <c r="U59" s="36">
        <f>INDEX($C59:$N59,Impostazioni!$C$12)</f>
        <v/>
      </c>
      <c r="V59" s="36">
        <f>U59-T59</f>
        <v/>
      </c>
      <c r="W59" s="36">
        <f>SUMIFS(Budget!$D59:$O59,Budget!$D$4:$O$4,"&lt;="&amp;Impostazioni!$C$12)</f>
        <v/>
      </c>
      <c r="X59" s="36">
        <f>SUMIFS($C59:$N59,$C$4:$N$4,"&lt;="&amp;Impostazioni!$C$12)</f>
        <v/>
      </c>
      <c r="Y59" s="36">
        <f>X59-W59</f>
        <v/>
      </c>
      <c r="Z59" s="51">
        <f>IF(AND(O59&gt;0,LEFT(B59,5)="Spesa"),O59-ROW()/10000000,0)</f>
        <v/>
      </c>
    </row>
    <row r="60">
      <c r="A60" s="42">
        <f>IF(Categorie!$A52="","",Categorie!$A52)</f>
        <v/>
      </c>
      <c r="B60" s="35">
        <f>IF(A60="","",Categorie!$B52&amp;"")</f>
        <v/>
      </c>
      <c r="C60" s="36">
        <f>IF($A60="",0,SUMIFS(Movimenti!$D$6:$D$2005,Movimenti!$C$6:$C$2005,$A60,Movimenti!$A$6:$A$2005,"&gt;="&amp;DATE(Impostazioni!$C$4,C$4,1),Movimenti!$A$6:$A$2005,"&lt;"&amp;DATE(Impostazioni!$C$4,C$4+1,1)))</f>
        <v/>
      </c>
      <c r="D60" s="36">
        <f>IF($A60="",0,SUMIFS(Movimenti!$D$6:$D$2005,Movimenti!$C$6:$C$2005,$A60,Movimenti!$A$6:$A$2005,"&gt;="&amp;DATE(Impostazioni!$C$4,D$4,1),Movimenti!$A$6:$A$2005,"&lt;"&amp;DATE(Impostazioni!$C$4,D$4+1,1)))</f>
        <v/>
      </c>
      <c r="E60" s="36">
        <f>IF($A60="",0,SUMIFS(Movimenti!$D$6:$D$2005,Movimenti!$C$6:$C$2005,$A60,Movimenti!$A$6:$A$2005,"&gt;="&amp;DATE(Impostazioni!$C$4,E$4,1),Movimenti!$A$6:$A$2005,"&lt;"&amp;DATE(Impostazioni!$C$4,E$4+1,1)))</f>
        <v/>
      </c>
      <c r="F60" s="36">
        <f>IF($A60="",0,SUMIFS(Movimenti!$D$6:$D$2005,Movimenti!$C$6:$C$2005,$A60,Movimenti!$A$6:$A$2005,"&gt;="&amp;DATE(Impostazioni!$C$4,F$4,1),Movimenti!$A$6:$A$2005,"&lt;"&amp;DATE(Impostazioni!$C$4,F$4+1,1)))</f>
        <v/>
      </c>
      <c r="G60" s="36">
        <f>IF($A60="",0,SUMIFS(Movimenti!$D$6:$D$2005,Movimenti!$C$6:$C$2005,$A60,Movimenti!$A$6:$A$2005,"&gt;="&amp;DATE(Impostazioni!$C$4,G$4,1),Movimenti!$A$6:$A$2005,"&lt;"&amp;DATE(Impostazioni!$C$4,G$4+1,1)))</f>
        <v/>
      </c>
      <c r="H60" s="36">
        <f>IF($A60="",0,SUMIFS(Movimenti!$D$6:$D$2005,Movimenti!$C$6:$C$2005,$A60,Movimenti!$A$6:$A$2005,"&gt;="&amp;DATE(Impostazioni!$C$4,H$4,1),Movimenti!$A$6:$A$2005,"&lt;"&amp;DATE(Impostazioni!$C$4,H$4+1,1)))</f>
        <v/>
      </c>
      <c r="I60" s="36">
        <f>IF($A60="",0,SUMIFS(Movimenti!$D$6:$D$2005,Movimenti!$C$6:$C$2005,$A60,Movimenti!$A$6:$A$2005,"&gt;="&amp;DATE(Impostazioni!$C$4,I$4,1),Movimenti!$A$6:$A$2005,"&lt;"&amp;DATE(Impostazioni!$C$4,I$4+1,1)))</f>
        <v/>
      </c>
      <c r="J60" s="36">
        <f>IF($A60="",0,SUMIFS(Movimenti!$D$6:$D$2005,Movimenti!$C$6:$C$2005,$A60,Movimenti!$A$6:$A$2005,"&gt;="&amp;DATE(Impostazioni!$C$4,J$4,1),Movimenti!$A$6:$A$2005,"&lt;"&amp;DATE(Impostazioni!$C$4,J$4+1,1)))</f>
        <v/>
      </c>
      <c r="K60" s="36">
        <f>IF($A60="",0,SUMIFS(Movimenti!$D$6:$D$2005,Movimenti!$C$6:$C$2005,$A60,Movimenti!$A$6:$A$2005,"&gt;="&amp;DATE(Impostazioni!$C$4,K$4,1),Movimenti!$A$6:$A$2005,"&lt;"&amp;DATE(Impostazioni!$C$4,K$4+1,1)))</f>
        <v/>
      </c>
      <c r="L60" s="36">
        <f>IF($A60="",0,SUMIFS(Movimenti!$D$6:$D$2005,Movimenti!$C$6:$C$2005,$A60,Movimenti!$A$6:$A$2005,"&gt;="&amp;DATE(Impostazioni!$C$4,L$4,1),Movimenti!$A$6:$A$2005,"&lt;"&amp;DATE(Impostazioni!$C$4,L$4+1,1)))</f>
        <v/>
      </c>
      <c r="M60" s="36">
        <f>IF($A60="",0,SUMIFS(Movimenti!$D$6:$D$2005,Movimenti!$C$6:$C$2005,$A60,Movimenti!$A$6:$A$2005,"&gt;="&amp;DATE(Impostazioni!$C$4,M$4,1),Movimenti!$A$6:$A$2005,"&lt;"&amp;DATE(Impostazioni!$C$4,M$4+1,1)))</f>
        <v/>
      </c>
      <c r="N60" s="36">
        <f>IF($A60="",0,SUMIFS(Movimenti!$D$6:$D$2005,Movimenti!$C$6:$C$2005,$A60,Movimenti!$A$6:$A$2005,"&gt;="&amp;DATE(Impostazioni!$C$4,N$4,1),Movimenti!$A$6:$A$2005,"&lt;"&amp;DATE(Impostazioni!$C$4,N$4+1,1)))</f>
        <v/>
      </c>
      <c r="O60" s="45">
        <f>SUM(C60:N60)</f>
        <v/>
      </c>
      <c r="P60" s="36">
        <f>Budget!P60</f>
        <v/>
      </c>
      <c r="Q60" s="36">
        <f>O60-P60</f>
        <v/>
      </c>
      <c r="R60" s="47">
        <f>IF(P60=0,"",O60/P60)</f>
        <v/>
      </c>
      <c r="T60" s="36">
        <f>INDEX(Budget!$D60:$O60,Impostazioni!$C$12)</f>
        <v/>
      </c>
      <c r="U60" s="36">
        <f>INDEX($C60:$N60,Impostazioni!$C$12)</f>
        <v/>
      </c>
      <c r="V60" s="36">
        <f>U60-T60</f>
        <v/>
      </c>
      <c r="W60" s="36">
        <f>SUMIFS(Budget!$D60:$O60,Budget!$D$4:$O$4,"&lt;="&amp;Impostazioni!$C$12)</f>
        <v/>
      </c>
      <c r="X60" s="36">
        <f>SUMIFS($C60:$N60,$C$4:$N$4,"&lt;="&amp;Impostazioni!$C$12)</f>
        <v/>
      </c>
      <c r="Y60" s="36">
        <f>X60-W60</f>
        <v/>
      </c>
      <c r="Z60" s="51">
        <f>IF(AND(O60&gt;0,LEFT(B60,5)="Spesa"),O60-ROW()/10000000,0)</f>
        <v/>
      </c>
    </row>
    <row r="61">
      <c r="A61" s="42">
        <f>IF(Categorie!$A53="","",Categorie!$A53)</f>
        <v/>
      </c>
      <c r="B61" s="35">
        <f>IF(A61="","",Categorie!$B53&amp;"")</f>
        <v/>
      </c>
      <c r="C61" s="36">
        <f>IF($A61="",0,SUMIFS(Movimenti!$D$6:$D$2005,Movimenti!$C$6:$C$2005,$A61,Movimenti!$A$6:$A$2005,"&gt;="&amp;DATE(Impostazioni!$C$4,C$4,1),Movimenti!$A$6:$A$2005,"&lt;"&amp;DATE(Impostazioni!$C$4,C$4+1,1)))</f>
        <v/>
      </c>
      <c r="D61" s="36">
        <f>IF($A61="",0,SUMIFS(Movimenti!$D$6:$D$2005,Movimenti!$C$6:$C$2005,$A61,Movimenti!$A$6:$A$2005,"&gt;="&amp;DATE(Impostazioni!$C$4,D$4,1),Movimenti!$A$6:$A$2005,"&lt;"&amp;DATE(Impostazioni!$C$4,D$4+1,1)))</f>
        <v/>
      </c>
      <c r="E61" s="36">
        <f>IF($A61="",0,SUMIFS(Movimenti!$D$6:$D$2005,Movimenti!$C$6:$C$2005,$A61,Movimenti!$A$6:$A$2005,"&gt;="&amp;DATE(Impostazioni!$C$4,E$4,1),Movimenti!$A$6:$A$2005,"&lt;"&amp;DATE(Impostazioni!$C$4,E$4+1,1)))</f>
        <v/>
      </c>
      <c r="F61" s="36">
        <f>IF($A61="",0,SUMIFS(Movimenti!$D$6:$D$2005,Movimenti!$C$6:$C$2005,$A61,Movimenti!$A$6:$A$2005,"&gt;="&amp;DATE(Impostazioni!$C$4,F$4,1),Movimenti!$A$6:$A$2005,"&lt;"&amp;DATE(Impostazioni!$C$4,F$4+1,1)))</f>
        <v/>
      </c>
      <c r="G61" s="36">
        <f>IF($A61="",0,SUMIFS(Movimenti!$D$6:$D$2005,Movimenti!$C$6:$C$2005,$A61,Movimenti!$A$6:$A$2005,"&gt;="&amp;DATE(Impostazioni!$C$4,G$4,1),Movimenti!$A$6:$A$2005,"&lt;"&amp;DATE(Impostazioni!$C$4,G$4+1,1)))</f>
        <v/>
      </c>
      <c r="H61" s="36">
        <f>IF($A61="",0,SUMIFS(Movimenti!$D$6:$D$2005,Movimenti!$C$6:$C$2005,$A61,Movimenti!$A$6:$A$2005,"&gt;="&amp;DATE(Impostazioni!$C$4,H$4,1),Movimenti!$A$6:$A$2005,"&lt;"&amp;DATE(Impostazioni!$C$4,H$4+1,1)))</f>
        <v/>
      </c>
      <c r="I61" s="36">
        <f>IF($A61="",0,SUMIFS(Movimenti!$D$6:$D$2005,Movimenti!$C$6:$C$2005,$A61,Movimenti!$A$6:$A$2005,"&gt;="&amp;DATE(Impostazioni!$C$4,I$4,1),Movimenti!$A$6:$A$2005,"&lt;"&amp;DATE(Impostazioni!$C$4,I$4+1,1)))</f>
        <v/>
      </c>
      <c r="J61" s="36">
        <f>IF($A61="",0,SUMIFS(Movimenti!$D$6:$D$2005,Movimenti!$C$6:$C$2005,$A61,Movimenti!$A$6:$A$2005,"&gt;="&amp;DATE(Impostazioni!$C$4,J$4,1),Movimenti!$A$6:$A$2005,"&lt;"&amp;DATE(Impostazioni!$C$4,J$4+1,1)))</f>
        <v/>
      </c>
      <c r="K61" s="36">
        <f>IF($A61="",0,SUMIFS(Movimenti!$D$6:$D$2005,Movimenti!$C$6:$C$2005,$A61,Movimenti!$A$6:$A$2005,"&gt;="&amp;DATE(Impostazioni!$C$4,K$4,1),Movimenti!$A$6:$A$2005,"&lt;"&amp;DATE(Impostazioni!$C$4,K$4+1,1)))</f>
        <v/>
      </c>
      <c r="L61" s="36">
        <f>IF($A61="",0,SUMIFS(Movimenti!$D$6:$D$2005,Movimenti!$C$6:$C$2005,$A61,Movimenti!$A$6:$A$2005,"&gt;="&amp;DATE(Impostazioni!$C$4,L$4,1),Movimenti!$A$6:$A$2005,"&lt;"&amp;DATE(Impostazioni!$C$4,L$4+1,1)))</f>
        <v/>
      </c>
      <c r="M61" s="36">
        <f>IF($A61="",0,SUMIFS(Movimenti!$D$6:$D$2005,Movimenti!$C$6:$C$2005,$A61,Movimenti!$A$6:$A$2005,"&gt;="&amp;DATE(Impostazioni!$C$4,M$4,1),Movimenti!$A$6:$A$2005,"&lt;"&amp;DATE(Impostazioni!$C$4,M$4+1,1)))</f>
        <v/>
      </c>
      <c r="N61" s="36">
        <f>IF($A61="",0,SUMIFS(Movimenti!$D$6:$D$2005,Movimenti!$C$6:$C$2005,$A61,Movimenti!$A$6:$A$2005,"&gt;="&amp;DATE(Impostazioni!$C$4,N$4,1),Movimenti!$A$6:$A$2005,"&lt;"&amp;DATE(Impostazioni!$C$4,N$4+1,1)))</f>
        <v/>
      </c>
      <c r="O61" s="45">
        <f>SUM(C61:N61)</f>
        <v/>
      </c>
      <c r="P61" s="36">
        <f>Budget!P61</f>
        <v/>
      </c>
      <c r="Q61" s="36">
        <f>O61-P61</f>
        <v/>
      </c>
      <c r="R61" s="47">
        <f>IF(P61=0,"",O61/P61)</f>
        <v/>
      </c>
      <c r="T61" s="36">
        <f>INDEX(Budget!$D61:$O61,Impostazioni!$C$12)</f>
        <v/>
      </c>
      <c r="U61" s="36">
        <f>INDEX($C61:$N61,Impostazioni!$C$12)</f>
        <v/>
      </c>
      <c r="V61" s="36">
        <f>U61-T61</f>
        <v/>
      </c>
      <c r="W61" s="36">
        <f>SUMIFS(Budget!$D61:$O61,Budget!$D$4:$O$4,"&lt;="&amp;Impostazioni!$C$12)</f>
        <v/>
      </c>
      <c r="X61" s="36">
        <f>SUMIFS($C61:$N61,$C$4:$N$4,"&lt;="&amp;Impostazioni!$C$12)</f>
        <v/>
      </c>
      <c r="Y61" s="36">
        <f>X61-W61</f>
        <v/>
      </c>
      <c r="Z61" s="51">
        <f>IF(AND(O61&gt;0,LEFT(B61,5)="Spesa"),O61-ROW()/10000000,0)</f>
        <v/>
      </c>
    </row>
    <row r="62">
      <c r="A62" s="42">
        <f>IF(Categorie!$A54="","",Categorie!$A54)</f>
        <v/>
      </c>
      <c r="B62" s="35">
        <f>IF(A62="","",Categorie!$B54&amp;"")</f>
        <v/>
      </c>
      <c r="C62" s="36">
        <f>IF($A62="",0,SUMIFS(Movimenti!$D$6:$D$2005,Movimenti!$C$6:$C$2005,$A62,Movimenti!$A$6:$A$2005,"&gt;="&amp;DATE(Impostazioni!$C$4,C$4,1),Movimenti!$A$6:$A$2005,"&lt;"&amp;DATE(Impostazioni!$C$4,C$4+1,1)))</f>
        <v/>
      </c>
      <c r="D62" s="36">
        <f>IF($A62="",0,SUMIFS(Movimenti!$D$6:$D$2005,Movimenti!$C$6:$C$2005,$A62,Movimenti!$A$6:$A$2005,"&gt;="&amp;DATE(Impostazioni!$C$4,D$4,1),Movimenti!$A$6:$A$2005,"&lt;"&amp;DATE(Impostazioni!$C$4,D$4+1,1)))</f>
        <v/>
      </c>
      <c r="E62" s="36">
        <f>IF($A62="",0,SUMIFS(Movimenti!$D$6:$D$2005,Movimenti!$C$6:$C$2005,$A62,Movimenti!$A$6:$A$2005,"&gt;="&amp;DATE(Impostazioni!$C$4,E$4,1),Movimenti!$A$6:$A$2005,"&lt;"&amp;DATE(Impostazioni!$C$4,E$4+1,1)))</f>
        <v/>
      </c>
      <c r="F62" s="36">
        <f>IF($A62="",0,SUMIFS(Movimenti!$D$6:$D$2005,Movimenti!$C$6:$C$2005,$A62,Movimenti!$A$6:$A$2005,"&gt;="&amp;DATE(Impostazioni!$C$4,F$4,1),Movimenti!$A$6:$A$2005,"&lt;"&amp;DATE(Impostazioni!$C$4,F$4+1,1)))</f>
        <v/>
      </c>
      <c r="G62" s="36">
        <f>IF($A62="",0,SUMIFS(Movimenti!$D$6:$D$2005,Movimenti!$C$6:$C$2005,$A62,Movimenti!$A$6:$A$2005,"&gt;="&amp;DATE(Impostazioni!$C$4,G$4,1),Movimenti!$A$6:$A$2005,"&lt;"&amp;DATE(Impostazioni!$C$4,G$4+1,1)))</f>
        <v/>
      </c>
      <c r="H62" s="36">
        <f>IF($A62="",0,SUMIFS(Movimenti!$D$6:$D$2005,Movimenti!$C$6:$C$2005,$A62,Movimenti!$A$6:$A$2005,"&gt;="&amp;DATE(Impostazioni!$C$4,H$4,1),Movimenti!$A$6:$A$2005,"&lt;"&amp;DATE(Impostazioni!$C$4,H$4+1,1)))</f>
        <v/>
      </c>
      <c r="I62" s="36">
        <f>IF($A62="",0,SUMIFS(Movimenti!$D$6:$D$2005,Movimenti!$C$6:$C$2005,$A62,Movimenti!$A$6:$A$2005,"&gt;="&amp;DATE(Impostazioni!$C$4,I$4,1),Movimenti!$A$6:$A$2005,"&lt;"&amp;DATE(Impostazioni!$C$4,I$4+1,1)))</f>
        <v/>
      </c>
      <c r="J62" s="36">
        <f>IF($A62="",0,SUMIFS(Movimenti!$D$6:$D$2005,Movimenti!$C$6:$C$2005,$A62,Movimenti!$A$6:$A$2005,"&gt;="&amp;DATE(Impostazioni!$C$4,J$4,1),Movimenti!$A$6:$A$2005,"&lt;"&amp;DATE(Impostazioni!$C$4,J$4+1,1)))</f>
        <v/>
      </c>
      <c r="K62" s="36">
        <f>IF($A62="",0,SUMIFS(Movimenti!$D$6:$D$2005,Movimenti!$C$6:$C$2005,$A62,Movimenti!$A$6:$A$2005,"&gt;="&amp;DATE(Impostazioni!$C$4,K$4,1),Movimenti!$A$6:$A$2005,"&lt;"&amp;DATE(Impostazioni!$C$4,K$4+1,1)))</f>
        <v/>
      </c>
      <c r="L62" s="36">
        <f>IF($A62="",0,SUMIFS(Movimenti!$D$6:$D$2005,Movimenti!$C$6:$C$2005,$A62,Movimenti!$A$6:$A$2005,"&gt;="&amp;DATE(Impostazioni!$C$4,L$4,1),Movimenti!$A$6:$A$2005,"&lt;"&amp;DATE(Impostazioni!$C$4,L$4+1,1)))</f>
        <v/>
      </c>
      <c r="M62" s="36">
        <f>IF($A62="",0,SUMIFS(Movimenti!$D$6:$D$2005,Movimenti!$C$6:$C$2005,$A62,Movimenti!$A$6:$A$2005,"&gt;="&amp;DATE(Impostazioni!$C$4,M$4,1),Movimenti!$A$6:$A$2005,"&lt;"&amp;DATE(Impostazioni!$C$4,M$4+1,1)))</f>
        <v/>
      </c>
      <c r="N62" s="36">
        <f>IF($A62="",0,SUMIFS(Movimenti!$D$6:$D$2005,Movimenti!$C$6:$C$2005,$A62,Movimenti!$A$6:$A$2005,"&gt;="&amp;DATE(Impostazioni!$C$4,N$4,1),Movimenti!$A$6:$A$2005,"&lt;"&amp;DATE(Impostazioni!$C$4,N$4+1,1)))</f>
        <v/>
      </c>
      <c r="O62" s="45">
        <f>SUM(C62:N62)</f>
        <v/>
      </c>
      <c r="P62" s="36">
        <f>Budget!P62</f>
        <v/>
      </c>
      <c r="Q62" s="36">
        <f>O62-P62</f>
        <v/>
      </c>
      <c r="R62" s="47">
        <f>IF(P62=0,"",O62/P62)</f>
        <v/>
      </c>
      <c r="T62" s="36">
        <f>INDEX(Budget!$D62:$O62,Impostazioni!$C$12)</f>
        <v/>
      </c>
      <c r="U62" s="36">
        <f>INDEX($C62:$N62,Impostazioni!$C$12)</f>
        <v/>
      </c>
      <c r="V62" s="36">
        <f>U62-T62</f>
        <v/>
      </c>
      <c r="W62" s="36">
        <f>SUMIFS(Budget!$D62:$O62,Budget!$D$4:$O$4,"&lt;="&amp;Impostazioni!$C$12)</f>
        <v/>
      </c>
      <c r="X62" s="36">
        <f>SUMIFS($C62:$N62,$C$4:$N$4,"&lt;="&amp;Impostazioni!$C$12)</f>
        <v/>
      </c>
      <c r="Y62" s="36">
        <f>X62-W62</f>
        <v/>
      </c>
      <c r="Z62" s="51">
        <f>IF(AND(O62&gt;0,LEFT(B62,5)="Spesa"),O62-ROW()/10000000,0)</f>
        <v/>
      </c>
    </row>
    <row r="63">
      <c r="A63" s="42">
        <f>IF(Categorie!$A55="","",Categorie!$A55)</f>
        <v/>
      </c>
      <c r="B63" s="35">
        <f>IF(A63="","",Categorie!$B55&amp;"")</f>
        <v/>
      </c>
      <c r="C63" s="36">
        <f>IF($A63="",0,SUMIFS(Movimenti!$D$6:$D$2005,Movimenti!$C$6:$C$2005,$A63,Movimenti!$A$6:$A$2005,"&gt;="&amp;DATE(Impostazioni!$C$4,C$4,1),Movimenti!$A$6:$A$2005,"&lt;"&amp;DATE(Impostazioni!$C$4,C$4+1,1)))</f>
        <v/>
      </c>
      <c r="D63" s="36">
        <f>IF($A63="",0,SUMIFS(Movimenti!$D$6:$D$2005,Movimenti!$C$6:$C$2005,$A63,Movimenti!$A$6:$A$2005,"&gt;="&amp;DATE(Impostazioni!$C$4,D$4,1),Movimenti!$A$6:$A$2005,"&lt;"&amp;DATE(Impostazioni!$C$4,D$4+1,1)))</f>
        <v/>
      </c>
      <c r="E63" s="36">
        <f>IF($A63="",0,SUMIFS(Movimenti!$D$6:$D$2005,Movimenti!$C$6:$C$2005,$A63,Movimenti!$A$6:$A$2005,"&gt;="&amp;DATE(Impostazioni!$C$4,E$4,1),Movimenti!$A$6:$A$2005,"&lt;"&amp;DATE(Impostazioni!$C$4,E$4+1,1)))</f>
        <v/>
      </c>
      <c r="F63" s="36">
        <f>IF($A63="",0,SUMIFS(Movimenti!$D$6:$D$2005,Movimenti!$C$6:$C$2005,$A63,Movimenti!$A$6:$A$2005,"&gt;="&amp;DATE(Impostazioni!$C$4,F$4,1),Movimenti!$A$6:$A$2005,"&lt;"&amp;DATE(Impostazioni!$C$4,F$4+1,1)))</f>
        <v/>
      </c>
      <c r="G63" s="36">
        <f>IF($A63="",0,SUMIFS(Movimenti!$D$6:$D$2005,Movimenti!$C$6:$C$2005,$A63,Movimenti!$A$6:$A$2005,"&gt;="&amp;DATE(Impostazioni!$C$4,G$4,1),Movimenti!$A$6:$A$2005,"&lt;"&amp;DATE(Impostazioni!$C$4,G$4+1,1)))</f>
        <v/>
      </c>
      <c r="H63" s="36">
        <f>IF($A63="",0,SUMIFS(Movimenti!$D$6:$D$2005,Movimenti!$C$6:$C$2005,$A63,Movimenti!$A$6:$A$2005,"&gt;="&amp;DATE(Impostazioni!$C$4,H$4,1),Movimenti!$A$6:$A$2005,"&lt;"&amp;DATE(Impostazioni!$C$4,H$4+1,1)))</f>
        <v/>
      </c>
      <c r="I63" s="36">
        <f>IF($A63="",0,SUMIFS(Movimenti!$D$6:$D$2005,Movimenti!$C$6:$C$2005,$A63,Movimenti!$A$6:$A$2005,"&gt;="&amp;DATE(Impostazioni!$C$4,I$4,1),Movimenti!$A$6:$A$2005,"&lt;"&amp;DATE(Impostazioni!$C$4,I$4+1,1)))</f>
        <v/>
      </c>
      <c r="J63" s="36">
        <f>IF($A63="",0,SUMIFS(Movimenti!$D$6:$D$2005,Movimenti!$C$6:$C$2005,$A63,Movimenti!$A$6:$A$2005,"&gt;="&amp;DATE(Impostazioni!$C$4,J$4,1),Movimenti!$A$6:$A$2005,"&lt;"&amp;DATE(Impostazioni!$C$4,J$4+1,1)))</f>
        <v/>
      </c>
      <c r="K63" s="36">
        <f>IF($A63="",0,SUMIFS(Movimenti!$D$6:$D$2005,Movimenti!$C$6:$C$2005,$A63,Movimenti!$A$6:$A$2005,"&gt;="&amp;DATE(Impostazioni!$C$4,K$4,1),Movimenti!$A$6:$A$2005,"&lt;"&amp;DATE(Impostazioni!$C$4,K$4+1,1)))</f>
        <v/>
      </c>
      <c r="L63" s="36">
        <f>IF($A63="",0,SUMIFS(Movimenti!$D$6:$D$2005,Movimenti!$C$6:$C$2005,$A63,Movimenti!$A$6:$A$2005,"&gt;="&amp;DATE(Impostazioni!$C$4,L$4,1),Movimenti!$A$6:$A$2005,"&lt;"&amp;DATE(Impostazioni!$C$4,L$4+1,1)))</f>
        <v/>
      </c>
      <c r="M63" s="36">
        <f>IF($A63="",0,SUMIFS(Movimenti!$D$6:$D$2005,Movimenti!$C$6:$C$2005,$A63,Movimenti!$A$6:$A$2005,"&gt;="&amp;DATE(Impostazioni!$C$4,M$4,1),Movimenti!$A$6:$A$2005,"&lt;"&amp;DATE(Impostazioni!$C$4,M$4+1,1)))</f>
        <v/>
      </c>
      <c r="N63" s="36">
        <f>IF($A63="",0,SUMIFS(Movimenti!$D$6:$D$2005,Movimenti!$C$6:$C$2005,$A63,Movimenti!$A$6:$A$2005,"&gt;="&amp;DATE(Impostazioni!$C$4,N$4,1),Movimenti!$A$6:$A$2005,"&lt;"&amp;DATE(Impostazioni!$C$4,N$4+1,1)))</f>
        <v/>
      </c>
      <c r="O63" s="45">
        <f>SUM(C63:N63)</f>
        <v/>
      </c>
      <c r="P63" s="36">
        <f>Budget!P63</f>
        <v/>
      </c>
      <c r="Q63" s="36">
        <f>O63-P63</f>
        <v/>
      </c>
      <c r="R63" s="47">
        <f>IF(P63=0,"",O63/P63)</f>
        <v/>
      </c>
      <c r="T63" s="36">
        <f>INDEX(Budget!$D63:$O63,Impostazioni!$C$12)</f>
        <v/>
      </c>
      <c r="U63" s="36">
        <f>INDEX($C63:$N63,Impostazioni!$C$12)</f>
        <v/>
      </c>
      <c r="V63" s="36">
        <f>U63-T63</f>
        <v/>
      </c>
      <c r="W63" s="36">
        <f>SUMIFS(Budget!$D63:$O63,Budget!$D$4:$O$4,"&lt;="&amp;Impostazioni!$C$12)</f>
        <v/>
      </c>
      <c r="X63" s="36">
        <f>SUMIFS($C63:$N63,$C$4:$N$4,"&lt;="&amp;Impostazioni!$C$12)</f>
        <v/>
      </c>
      <c r="Y63" s="36">
        <f>X63-W63</f>
        <v/>
      </c>
      <c r="Z63" s="51">
        <f>IF(AND(O63&gt;0,LEFT(B63,5)="Spesa"),O63-ROW()/10000000,0)</f>
        <v/>
      </c>
    </row>
    <row r="64">
      <c r="A64" s="42">
        <f>IF(Categorie!$A56="","",Categorie!$A56)</f>
        <v/>
      </c>
      <c r="B64" s="35">
        <f>IF(A64="","",Categorie!$B56&amp;"")</f>
        <v/>
      </c>
      <c r="C64" s="36">
        <f>IF($A64="",0,SUMIFS(Movimenti!$D$6:$D$2005,Movimenti!$C$6:$C$2005,$A64,Movimenti!$A$6:$A$2005,"&gt;="&amp;DATE(Impostazioni!$C$4,C$4,1),Movimenti!$A$6:$A$2005,"&lt;"&amp;DATE(Impostazioni!$C$4,C$4+1,1)))</f>
        <v/>
      </c>
      <c r="D64" s="36">
        <f>IF($A64="",0,SUMIFS(Movimenti!$D$6:$D$2005,Movimenti!$C$6:$C$2005,$A64,Movimenti!$A$6:$A$2005,"&gt;="&amp;DATE(Impostazioni!$C$4,D$4,1),Movimenti!$A$6:$A$2005,"&lt;"&amp;DATE(Impostazioni!$C$4,D$4+1,1)))</f>
        <v/>
      </c>
      <c r="E64" s="36">
        <f>IF($A64="",0,SUMIFS(Movimenti!$D$6:$D$2005,Movimenti!$C$6:$C$2005,$A64,Movimenti!$A$6:$A$2005,"&gt;="&amp;DATE(Impostazioni!$C$4,E$4,1),Movimenti!$A$6:$A$2005,"&lt;"&amp;DATE(Impostazioni!$C$4,E$4+1,1)))</f>
        <v/>
      </c>
      <c r="F64" s="36">
        <f>IF($A64="",0,SUMIFS(Movimenti!$D$6:$D$2005,Movimenti!$C$6:$C$2005,$A64,Movimenti!$A$6:$A$2005,"&gt;="&amp;DATE(Impostazioni!$C$4,F$4,1),Movimenti!$A$6:$A$2005,"&lt;"&amp;DATE(Impostazioni!$C$4,F$4+1,1)))</f>
        <v/>
      </c>
      <c r="G64" s="36">
        <f>IF($A64="",0,SUMIFS(Movimenti!$D$6:$D$2005,Movimenti!$C$6:$C$2005,$A64,Movimenti!$A$6:$A$2005,"&gt;="&amp;DATE(Impostazioni!$C$4,G$4,1),Movimenti!$A$6:$A$2005,"&lt;"&amp;DATE(Impostazioni!$C$4,G$4+1,1)))</f>
        <v/>
      </c>
      <c r="H64" s="36">
        <f>IF($A64="",0,SUMIFS(Movimenti!$D$6:$D$2005,Movimenti!$C$6:$C$2005,$A64,Movimenti!$A$6:$A$2005,"&gt;="&amp;DATE(Impostazioni!$C$4,H$4,1),Movimenti!$A$6:$A$2005,"&lt;"&amp;DATE(Impostazioni!$C$4,H$4+1,1)))</f>
        <v/>
      </c>
      <c r="I64" s="36">
        <f>IF($A64="",0,SUMIFS(Movimenti!$D$6:$D$2005,Movimenti!$C$6:$C$2005,$A64,Movimenti!$A$6:$A$2005,"&gt;="&amp;DATE(Impostazioni!$C$4,I$4,1),Movimenti!$A$6:$A$2005,"&lt;"&amp;DATE(Impostazioni!$C$4,I$4+1,1)))</f>
        <v/>
      </c>
      <c r="J64" s="36">
        <f>IF($A64="",0,SUMIFS(Movimenti!$D$6:$D$2005,Movimenti!$C$6:$C$2005,$A64,Movimenti!$A$6:$A$2005,"&gt;="&amp;DATE(Impostazioni!$C$4,J$4,1),Movimenti!$A$6:$A$2005,"&lt;"&amp;DATE(Impostazioni!$C$4,J$4+1,1)))</f>
        <v/>
      </c>
      <c r="K64" s="36">
        <f>IF($A64="",0,SUMIFS(Movimenti!$D$6:$D$2005,Movimenti!$C$6:$C$2005,$A64,Movimenti!$A$6:$A$2005,"&gt;="&amp;DATE(Impostazioni!$C$4,K$4,1),Movimenti!$A$6:$A$2005,"&lt;"&amp;DATE(Impostazioni!$C$4,K$4+1,1)))</f>
        <v/>
      </c>
      <c r="L64" s="36">
        <f>IF($A64="",0,SUMIFS(Movimenti!$D$6:$D$2005,Movimenti!$C$6:$C$2005,$A64,Movimenti!$A$6:$A$2005,"&gt;="&amp;DATE(Impostazioni!$C$4,L$4,1),Movimenti!$A$6:$A$2005,"&lt;"&amp;DATE(Impostazioni!$C$4,L$4+1,1)))</f>
        <v/>
      </c>
      <c r="M64" s="36">
        <f>IF($A64="",0,SUMIFS(Movimenti!$D$6:$D$2005,Movimenti!$C$6:$C$2005,$A64,Movimenti!$A$6:$A$2005,"&gt;="&amp;DATE(Impostazioni!$C$4,M$4,1),Movimenti!$A$6:$A$2005,"&lt;"&amp;DATE(Impostazioni!$C$4,M$4+1,1)))</f>
        <v/>
      </c>
      <c r="N64" s="36">
        <f>IF($A64="",0,SUMIFS(Movimenti!$D$6:$D$2005,Movimenti!$C$6:$C$2005,$A64,Movimenti!$A$6:$A$2005,"&gt;="&amp;DATE(Impostazioni!$C$4,N$4,1),Movimenti!$A$6:$A$2005,"&lt;"&amp;DATE(Impostazioni!$C$4,N$4+1,1)))</f>
        <v/>
      </c>
      <c r="O64" s="45">
        <f>SUM(C64:N64)</f>
        <v/>
      </c>
      <c r="P64" s="36">
        <f>Budget!P64</f>
        <v/>
      </c>
      <c r="Q64" s="36">
        <f>O64-P64</f>
        <v/>
      </c>
      <c r="R64" s="47">
        <f>IF(P64=0,"",O64/P64)</f>
        <v/>
      </c>
      <c r="T64" s="36">
        <f>INDEX(Budget!$D64:$O64,Impostazioni!$C$12)</f>
        <v/>
      </c>
      <c r="U64" s="36">
        <f>INDEX($C64:$N64,Impostazioni!$C$12)</f>
        <v/>
      </c>
      <c r="V64" s="36">
        <f>U64-T64</f>
        <v/>
      </c>
      <c r="W64" s="36">
        <f>SUMIFS(Budget!$D64:$O64,Budget!$D$4:$O$4,"&lt;="&amp;Impostazioni!$C$12)</f>
        <v/>
      </c>
      <c r="X64" s="36">
        <f>SUMIFS($C64:$N64,$C$4:$N$4,"&lt;="&amp;Impostazioni!$C$12)</f>
        <v/>
      </c>
      <c r="Y64" s="36">
        <f>X64-W64</f>
        <v/>
      </c>
      <c r="Z64" s="51">
        <f>IF(AND(O64&gt;0,LEFT(B64,5)="Spesa"),O64-ROW()/10000000,0)</f>
        <v/>
      </c>
    </row>
    <row r="65">
      <c r="A65" s="42">
        <f>IF(Categorie!$A57="","",Categorie!$A57)</f>
        <v/>
      </c>
      <c r="B65" s="35">
        <f>IF(A65="","",Categorie!$B57&amp;"")</f>
        <v/>
      </c>
      <c r="C65" s="36">
        <f>IF($A65="",0,SUMIFS(Movimenti!$D$6:$D$2005,Movimenti!$C$6:$C$2005,$A65,Movimenti!$A$6:$A$2005,"&gt;="&amp;DATE(Impostazioni!$C$4,C$4,1),Movimenti!$A$6:$A$2005,"&lt;"&amp;DATE(Impostazioni!$C$4,C$4+1,1)))</f>
        <v/>
      </c>
      <c r="D65" s="36">
        <f>IF($A65="",0,SUMIFS(Movimenti!$D$6:$D$2005,Movimenti!$C$6:$C$2005,$A65,Movimenti!$A$6:$A$2005,"&gt;="&amp;DATE(Impostazioni!$C$4,D$4,1),Movimenti!$A$6:$A$2005,"&lt;"&amp;DATE(Impostazioni!$C$4,D$4+1,1)))</f>
        <v/>
      </c>
      <c r="E65" s="36">
        <f>IF($A65="",0,SUMIFS(Movimenti!$D$6:$D$2005,Movimenti!$C$6:$C$2005,$A65,Movimenti!$A$6:$A$2005,"&gt;="&amp;DATE(Impostazioni!$C$4,E$4,1),Movimenti!$A$6:$A$2005,"&lt;"&amp;DATE(Impostazioni!$C$4,E$4+1,1)))</f>
        <v/>
      </c>
      <c r="F65" s="36">
        <f>IF($A65="",0,SUMIFS(Movimenti!$D$6:$D$2005,Movimenti!$C$6:$C$2005,$A65,Movimenti!$A$6:$A$2005,"&gt;="&amp;DATE(Impostazioni!$C$4,F$4,1),Movimenti!$A$6:$A$2005,"&lt;"&amp;DATE(Impostazioni!$C$4,F$4+1,1)))</f>
        <v/>
      </c>
      <c r="G65" s="36">
        <f>IF($A65="",0,SUMIFS(Movimenti!$D$6:$D$2005,Movimenti!$C$6:$C$2005,$A65,Movimenti!$A$6:$A$2005,"&gt;="&amp;DATE(Impostazioni!$C$4,G$4,1),Movimenti!$A$6:$A$2005,"&lt;"&amp;DATE(Impostazioni!$C$4,G$4+1,1)))</f>
        <v/>
      </c>
      <c r="H65" s="36">
        <f>IF($A65="",0,SUMIFS(Movimenti!$D$6:$D$2005,Movimenti!$C$6:$C$2005,$A65,Movimenti!$A$6:$A$2005,"&gt;="&amp;DATE(Impostazioni!$C$4,H$4,1),Movimenti!$A$6:$A$2005,"&lt;"&amp;DATE(Impostazioni!$C$4,H$4+1,1)))</f>
        <v/>
      </c>
      <c r="I65" s="36">
        <f>IF($A65="",0,SUMIFS(Movimenti!$D$6:$D$2005,Movimenti!$C$6:$C$2005,$A65,Movimenti!$A$6:$A$2005,"&gt;="&amp;DATE(Impostazioni!$C$4,I$4,1),Movimenti!$A$6:$A$2005,"&lt;"&amp;DATE(Impostazioni!$C$4,I$4+1,1)))</f>
        <v/>
      </c>
      <c r="J65" s="36">
        <f>IF($A65="",0,SUMIFS(Movimenti!$D$6:$D$2005,Movimenti!$C$6:$C$2005,$A65,Movimenti!$A$6:$A$2005,"&gt;="&amp;DATE(Impostazioni!$C$4,J$4,1),Movimenti!$A$6:$A$2005,"&lt;"&amp;DATE(Impostazioni!$C$4,J$4+1,1)))</f>
        <v/>
      </c>
      <c r="K65" s="36">
        <f>IF($A65="",0,SUMIFS(Movimenti!$D$6:$D$2005,Movimenti!$C$6:$C$2005,$A65,Movimenti!$A$6:$A$2005,"&gt;="&amp;DATE(Impostazioni!$C$4,K$4,1),Movimenti!$A$6:$A$2005,"&lt;"&amp;DATE(Impostazioni!$C$4,K$4+1,1)))</f>
        <v/>
      </c>
      <c r="L65" s="36">
        <f>IF($A65="",0,SUMIFS(Movimenti!$D$6:$D$2005,Movimenti!$C$6:$C$2005,$A65,Movimenti!$A$6:$A$2005,"&gt;="&amp;DATE(Impostazioni!$C$4,L$4,1),Movimenti!$A$6:$A$2005,"&lt;"&amp;DATE(Impostazioni!$C$4,L$4+1,1)))</f>
        <v/>
      </c>
      <c r="M65" s="36">
        <f>IF($A65="",0,SUMIFS(Movimenti!$D$6:$D$2005,Movimenti!$C$6:$C$2005,$A65,Movimenti!$A$6:$A$2005,"&gt;="&amp;DATE(Impostazioni!$C$4,M$4,1),Movimenti!$A$6:$A$2005,"&lt;"&amp;DATE(Impostazioni!$C$4,M$4+1,1)))</f>
        <v/>
      </c>
      <c r="N65" s="36">
        <f>IF($A65="",0,SUMIFS(Movimenti!$D$6:$D$2005,Movimenti!$C$6:$C$2005,$A65,Movimenti!$A$6:$A$2005,"&gt;="&amp;DATE(Impostazioni!$C$4,N$4,1),Movimenti!$A$6:$A$2005,"&lt;"&amp;DATE(Impostazioni!$C$4,N$4+1,1)))</f>
        <v/>
      </c>
      <c r="O65" s="45">
        <f>SUM(C65:N65)</f>
        <v/>
      </c>
      <c r="P65" s="36">
        <f>Budget!P65</f>
        <v/>
      </c>
      <c r="Q65" s="36">
        <f>O65-P65</f>
        <v/>
      </c>
      <c r="R65" s="47">
        <f>IF(P65=0,"",O65/P65)</f>
        <v/>
      </c>
      <c r="T65" s="36">
        <f>INDEX(Budget!$D65:$O65,Impostazioni!$C$12)</f>
        <v/>
      </c>
      <c r="U65" s="36">
        <f>INDEX($C65:$N65,Impostazioni!$C$12)</f>
        <v/>
      </c>
      <c r="V65" s="36">
        <f>U65-T65</f>
        <v/>
      </c>
      <c r="W65" s="36">
        <f>SUMIFS(Budget!$D65:$O65,Budget!$D$4:$O$4,"&lt;="&amp;Impostazioni!$C$12)</f>
        <v/>
      </c>
      <c r="X65" s="36">
        <f>SUMIFS($C65:$N65,$C$4:$N$4,"&lt;="&amp;Impostazioni!$C$12)</f>
        <v/>
      </c>
      <c r="Y65" s="36">
        <f>X65-W65</f>
        <v/>
      </c>
      <c r="Z65" s="51">
        <f>IF(AND(O65&gt;0,LEFT(B65,5)="Spesa"),O65-ROW()/10000000,0)</f>
        <v/>
      </c>
    </row>
    <row r="66">
      <c r="A66" s="42">
        <f>IF(Categorie!$A58="","",Categorie!$A58)</f>
        <v/>
      </c>
      <c r="B66" s="35">
        <f>IF(A66="","",Categorie!$B58&amp;"")</f>
        <v/>
      </c>
      <c r="C66" s="36">
        <f>IF($A66="",0,SUMIFS(Movimenti!$D$6:$D$2005,Movimenti!$C$6:$C$2005,$A66,Movimenti!$A$6:$A$2005,"&gt;="&amp;DATE(Impostazioni!$C$4,C$4,1),Movimenti!$A$6:$A$2005,"&lt;"&amp;DATE(Impostazioni!$C$4,C$4+1,1)))</f>
        <v/>
      </c>
      <c r="D66" s="36">
        <f>IF($A66="",0,SUMIFS(Movimenti!$D$6:$D$2005,Movimenti!$C$6:$C$2005,$A66,Movimenti!$A$6:$A$2005,"&gt;="&amp;DATE(Impostazioni!$C$4,D$4,1),Movimenti!$A$6:$A$2005,"&lt;"&amp;DATE(Impostazioni!$C$4,D$4+1,1)))</f>
        <v/>
      </c>
      <c r="E66" s="36">
        <f>IF($A66="",0,SUMIFS(Movimenti!$D$6:$D$2005,Movimenti!$C$6:$C$2005,$A66,Movimenti!$A$6:$A$2005,"&gt;="&amp;DATE(Impostazioni!$C$4,E$4,1),Movimenti!$A$6:$A$2005,"&lt;"&amp;DATE(Impostazioni!$C$4,E$4+1,1)))</f>
        <v/>
      </c>
      <c r="F66" s="36">
        <f>IF($A66="",0,SUMIFS(Movimenti!$D$6:$D$2005,Movimenti!$C$6:$C$2005,$A66,Movimenti!$A$6:$A$2005,"&gt;="&amp;DATE(Impostazioni!$C$4,F$4,1),Movimenti!$A$6:$A$2005,"&lt;"&amp;DATE(Impostazioni!$C$4,F$4+1,1)))</f>
        <v/>
      </c>
      <c r="G66" s="36">
        <f>IF($A66="",0,SUMIFS(Movimenti!$D$6:$D$2005,Movimenti!$C$6:$C$2005,$A66,Movimenti!$A$6:$A$2005,"&gt;="&amp;DATE(Impostazioni!$C$4,G$4,1),Movimenti!$A$6:$A$2005,"&lt;"&amp;DATE(Impostazioni!$C$4,G$4+1,1)))</f>
        <v/>
      </c>
      <c r="H66" s="36">
        <f>IF($A66="",0,SUMIFS(Movimenti!$D$6:$D$2005,Movimenti!$C$6:$C$2005,$A66,Movimenti!$A$6:$A$2005,"&gt;="&amp;DATE(Impostazioni!$C$4,H$4,1),Movimenti!$A$6:$A$2005,"&lt;"&amp;DATE(Impostazioni!$C$4,H$4+1,1)))</f>
        <v/>
      </c>
      <c r="I66" s="36">
        <f>IF($A66="",0,SUMIFS(Movimenti!$D$6:$D$2005,Movimenti!$C$6:$C$2005,$A66,Movimenti!$A$6:$A$2005,"&gt;="&amp;DATE(Impostazioni!$C$4,I$4,1),Movimenti!$A$6:$A$2005,"&lt;"&amp;DATE(Impostazioni!$C$4,I$4+1,1)))</f>
        <v/>
      </c>
      <c r="J66" s="36">
        <f>IF($A66="",0,SUMIFS(Movimenti!$D$6:$D$2005,Movimenti!$C$6:$C$2005,$A66,Movimenti!$A$6:$A$2005,"&gt;="&amp;DATE(Impostazioni!$C$4,J$4,1),Movimenti!$A$6:$A$2005,"&lt;"&amp;DATE(Impostazioni!$C$4,J$4+1,1)))</f>
        <v/>
      </c>
      <c r="K66" s="36">
        <f>IF($A66="",0,SUMIFS(Movimenti!$D$6:$D$2005,Movimenti!$C$6:$C$2005,$A66,Movimenti!$A$6:$A$2005,"&gt;="&amp;DATE(Impostazioni!$C$4,K$4,1),Movimenti!$A$6:$A$2005,"&lt;"&amp;DATE(Impostazioni!$C$4,K$4+1,1)))</f>
        <v/>
      </c>
      <c r="L66" s="36">
        <f>IF($A66="",0,SUMIFS(Movimenti!$D$6:$D$2005,Movimenti!$C$6:$C$2005,$A66,Movimenti!$A$6:$A$2005,"&gt;="&amp;DATE(Impostazioni!$C$4,L$4,1),Movimenti!$A$6:$A$2005,"&lt;"&amp;DATE(Impostazioni!$C$4,L$4+1,1)))</f>
        <v/>
      </c>
      <c r="M66" s="36">
        <f>IF($A66="",0,SUMIFS(Movimenti!$D$6:$D$2005,Movimenti!$C$6:$C$2005,$A66,Movimenti!$A$6:$A$2005,"&gt;="&amp;DATE(Impostazioni!$C$4,M$4,1),Movimenti!$A$6:$A$2005,"&lt;"&amp;DATE(Impostazioni!$C$4,M$4+1,1)))</f>
        <v/>
      </c>
      <c r="N66" s="36">
        <f>IF($A66="",0,SUMIFS(Movimenti!$D$6:$D$2005,Movimenti!$C$6:$C$2005,$A66,Movimenti!$A$6:$A$2005,"&gt;="&amp;DATE(Impostazioni!$C$4,N$4,1),Movimenti!$A$6:$A$2005,"&lt;"&amp;DATE(Impostazioni!$C$4,N$4+1,1)))</f>
        <v/>
      </c>
      <c r="O66" s="45">
        <f>SUM(C66:N66)</f>
        <v/>
      </c>
      <c r="P66" s="36">
        <f>Budget!P66</f>
        <v/>
      </c>
      <c r="Q66" s="36">
        <f>O66-P66</f>
        <v/>
      </c>
      <c r="R66" s="47">
        <f>IF(P66=0,"",O66/P66)</f>
        <v/>
      </c>
      <c r="T66" s="36">
        <f>INDEX(Budget!$D66:$O66,Impostazioni!$C$12)</f>
        <v/>
      </c>
      <c r="U66" s="36">
        <f>INDEX($C66:$N66,Impostazioni!$C$12)</f>
        <v/>
      </c>
      <c r="V66" s="36">
        <f>U66-T66</f>
        <v/>
      </c>
      <c r="W66" s="36">
        <f>SUMIFS(Budget!$D66:$O66,Budget!$D$4:$O$4,"&lt;="&amp;Impostazioni!$C$12)</f>
        <v/>
      </c>
      <c r="X66" s="36">
        <f>SUMIFS($C66:$N66,$C$4:$N$4,"&lt;="&amp;Impostazioni!$C$12)</f>
        <v/>
      </c>
      <c r="Y66" s="36">
        <f>X66-W66</f>
        <v/>
      </c>
      <c r="Z66" s="51">
        <f>IF(AND(O66&gt;0,LEFT(B66,5)="Spesa"),O66-ROW()/10000000,0)</f>
        <v/>
      </c>
    </row>
    <row r="67">
      <c r="A67" s="42">
        <f>IF(Categorie!$A59="","",Categorie!$A59)</f>
        <v/>
      </c>
      <c r="B67" s="35">
        <f>IF(A67="","",Categorie!$B59&amp;"")</f>
        <v/>
      </c>
      <c r="C67" s="36">
        <f>IF($A67="",0,SUMIFS(Movimenti!$D$6:$D$2005,Movimenti!$C$6:$C$2005,$A67,Movimenti!$A$6:$A$2005,"&gt;="&amp;DATE(Impostazioni!$C$4,C$4,1),Movimenti!$A$6:$A$2005,"&lt;"&amp;DATE(Impostazioni!$C$4,C$4+1,1)))</f>
        <v/>
      </c>
      <c r="D67" s="36">
        <f>IF($A67="",0,SUMIFS(Movimenti!$D$6:$D$2005,Movimenti!$C$6:$C$2005,$A67,Movimenti!$A$6:$A$2005,"&gt;="&amp;DATE(Impostazioni!$C$4,D$4,1),Movimenti!$A$6:$A$2005,"&lt;"&amp;DATE(Impostazioni!$C$4,D$4+1,1)))</f>
        <v/>
      </c>
      <c r="E67" s="36">
        <f>IF($A67="",0,SUMIFS(Movimenti!$D$6:$D$2005,Movimenti!$C$6:$C$2005,$A67,Movimenti!$A$6:$A$2005,"&gt;="&amp;DATE(Impostazioni!$C$4,E$4,1),Movimenti!$A$6:$A$2005,"&lt;"&amp;DATE(Impostazioni!$C$4,E$4+1,1)))</f>
        <v/>
      </c>
      <c r="F67" s="36">
        <f>IF($A67="",0,SUMIFS(Movimenti!$D$6:$D$2005,Movimenti!$C$6:$C$2005,$A67,Movimenti!$A$6:$A$2005,"&gt;="&amp;DATE(Impostazioni!$C$4,F$4,1),Movimenti!$A$6:$A$2005,"&lt;"&amp;DATE(Impostazioni!$C$4,F$4+1,1)))</f>
        <v/>
      </c>
      <c r="G67" s="36">
        <f>IF($A67="",0,SUMIFS(Movimenti!$D$6:$D$2005,Movimenti!$C$6:$C$2005,$A67,Movimenti!$A$6:$A$2005,"&gt;="&amp;DATE(Impostazioni!$C$4,G$4,1),Movimenti!$A$6:$A$2005,"&lt;"&amp;DATE(Impostazioni!$C$4,G$4+1,1)))</f>
        <v/>
      </c>
      <c r="H67" s="36">
        <f>IF($A67="",0,SUMIFS(Movimenti!$D$6:$D$2005,Movimenti!$C$6:$C$2005,$A67,Movimenti!$A$6:$A$2005,"&gt;="&amp;DATE(Impostazioni!$C$4,H$4,1),Movimenti!$A$6:$A$2005,"&lt;"&amp;DATE(Impostazioni!$C$4,H$4+1,1)))</f>
        <v/>
      </c>
      <c r="I67" s="36">
        <f>IF($A67="",0,SUMIFS(Movimenti!$D$6:$D$2005,Movimenti!$C$6:$C$2005,$A67,Movimenti!$A$6:$A$2005,"&gt;="&amp;DATE(Impostazioni!$C$4,I$4,1),Movimenti!$A$6:$A$2005,"&lt;"&amp;DATE(Impostazioni!$C$4,I$4+1,1)))</f>
        <v/>
      </c>
      <c r="J67" s="36">
        <f>IF($A67="",0,SUMIFS(Movimenti!$D$6:$D$2005,Movimenti!$C$6:$C$2005,$A67,Movimenti!$A$6:$A$2005,"&gt;="&amp;DATE(Impostazioni!$C$4,J$4,1),Movimenti!$A$6:$A$2005,"&lt;"&amp;DATE(Impostazioni!$C$4,J$4+1,1)))</f>
        <v/>
      </c>
      <c r="K67" s="36">
        <f>IF($A67="",0,SUMIFS(Movimenti!$D$6:$D$2005,Movimenti!$C$6:$C$2005,$A67,Movimenti!$A$6:$A$2005,"&gt;="&amp;DATE(Impostazioni!$C$4,K$4,1),Movimenti!$A$6:$A$2005,"&lt;"&amp;DATE(Impostazioni!$C$4,K$4+1,1)))</f>
        <v/>
      </c>
      <c r="L67" s="36">
        <f>IF($A67="",0,SUMIFS(Movimenti!$D$6:$D$2005,Movimenti!$C$6:$C$2005,$A67,Movimenti!$A$6:$A$2005,"&gt;="&amp;DATE(Impostazioni!$C$4,L$4,1),Movimenti!$A$6:$A$2005,"&lt;"&amp;DATE(Impostazioni!$C$4,L$4+1,1)))</f>
        <v/>
      </c>
      <c r="M67" s="36">
        <f>IF($A67="",0,SUMIFS(Movimenti!$D$6:$D$2005,Movimenti!$C$6:$C$2005,$A67,Movimenti!$A$6:$A$2005,"&gt;="&amp;DATE(Impostazioni!$C$4,M$4,1),Movimenti!$A$6:$A$2005,"&lt;"&amp;DATE(Impostazioni!$C$4,M$4+1,1)))</f>
        <v/>
      </c>
      <c r="N67" s="36">
        <f>IF($A67="",0,SUMIFS(Movimenti!$D$6:$D$2005,Movimenti!$C$6:$C$2005,$A67,Movimenti!$A$6:$A$2005,"&gt;="&amp;DATE(Impostazioni!$C$4,N$4,1),Movimenti!$A$6:$A$2005,"&lt;"&amp;DATE(Impostazioni!$C$4,N$4+1,1)))</f>
        <v/>
      </c>
      <c r="O67" s="45">
        <f>SUM(C67:N67)</f>
        <v/>
      </c>
      <c r="P67" s="36">
        <f>Budget!P67</f>
        <v/>
      </c>
      <c r="Q67" s="36">
        <f>O67-P67</f>
        <v/>
      </c>
      <c r="R67" s="47">
        <f>IF(P67=0,"",O67/P67)</f>
        <v/>
      </c>
      <c r="T67" s="36">
        <f>INDEX(Budget!$D67:$O67,Impostazioni!$C$12)</f>
        <v/>
      </c>
      <c r="U67" s="36">
        <f>INDEX($C67:$N67,Impostazioni!$C$12)</f>
        <v/>
      </c>
      <c r="V67" s="36">
        <f>U67-T67</f>
        <v/>
      </c>
      <c r="W67" s="36">
        <f>SUMIFS(Budget!$D67:$O67,Budget!$D$4:$O$4,"&lt;="&amp;Impostazioni!$C$12)</f>
        <v/>
      </c>
      <c r="X67" s="36">
        <f>SUMIFS($C67:$N67,$C$4:$N$4,"&lt;="&amp;Impostazioni!$C$12)</f>
        <v/>
      </c>
      <c r="Y67" s="36">
        <f>X67-W67</f>
        <v/>
      </c>
      <c r="Z67" s="51">
        <f>IF(AND(O67&gt;0,LEFT(B67,5)="Spesa"),O67-ROW()/10000000,0)</f>
        <v/>
      </c>
    </row>
    <row r="68">
      <c r="A68" s="42">
        <f>IF(Categorie!$A60="","",Categorie!$A60)</f>
        <v/>
      </c>
      <c r="B68" s="35">
        <f>IF(A68="","",Categorie!$B60&amp;"")</f>
        <v/>
      </c>
      <c r="C68" s="36">
        <f>IF($A68="",0,SUMIFS(Movimenti!$D$6:$D$2005,Movimenti!$C$6:$C$2005,$A68,Movimenti!$A$6:$A$2005,"&gt;="&amp;DATE(Impostazioni!$C$4,C$4,1),Movimenti!$A$6:$A$2005,"&lt;"&amp;DATE(Impostazioni!$C$4,C$4+1,1)))</f>
        <v/>
      </c>
      <c r="D68" s="36">
        <f>IF($A68="",0,SUMIFS(Movimenti!$D$6:$D$2005,Movimenti!$C$6:$C$2005,$A68,Movimenti!$A$6:$A$2005,"&gt;="&amp;DATE(Impostazioni!$C$4,D$4,1),Movimenti!$A$6:$A$2005,"&lt;"&amp;DATE(Impostazioni!$C$4,D$4+1,1)))</f>
        <v/>
      </c>
      <c r="E68" s="36">
        <f>IF($A68="",0,SUMIFS(Movimenti!$D$6:$D$2005,Movimenti!$C$6:$C$2005,$A68,Movimenti!$A$6:$A$2005,"&gt;="&amp;DATE(Impostazioni!$C$4,E$4,1),Movimenti!$A$6:$A$2005,"&lt;"&amp;DATE(Impostazioni!$C$4,E$4+1,1)))</f>
        <v/>
      </c>
      <c r="F68" s="36">
        <f>IF($A68="",0,SUMIFS(Movimenti!$D$6:$D$2005,Movimenti!$C$6:$C$2005,$A68,Movimenti!$A$6:$A$2005,"&gt;="&amp;DATE(Impostazioni!$C$4,F$4,1),Movimenti!$A$6:$A$2005,"&lt;"&amp;DATE(Impostazioni!$C$4,F$4+1,1)))</f>
        <v/>
      </c>
      <c r="G68" s="36">
        <f>IF($A68="",0,SUMIFS(Movimenti!$D$6:$D$2005,Movimenti!$C$6:$C$2005,$A68,Movimenti!$A$6:$A$2005,"&gt;="&amp;DATE(Impostazioni!$C$4,G$4,1),Movimenti!$A$6:$A$2005,"&lt;"&amp;DATE(Impostazioni!$C$4,G$4+1,1)))</f>
        <v/>
      </c>
      <c r="H68" s="36">
        <f>IF($A68="",0,SUMIFS(Movimenti!$D$6:$D$2005,Movimenti!$C$6:$C$2005,$A68,Movimenti!$A$6:$A$2005,"&gt;="&amp;DATE(Impostazioni!$C$4,H$4,1),Movimenti!$A$6:$A$2005,"&lt;"&amp;DATE(Impostazioni!$C$4,H$4+1,1)))</f>
        <v/>
      </c>
      <c r="I68" s="36">
        <f>IF($A68="",0,SUMIFS(Movimenti!$D$6:$D$2005,Movimenti!$C$6:$C$2005,$A68,Movimenti!$A$6:$A$2005,"&gt;="&amp;DATE(Impostazioni!$C$4,I$4,1),Movimenti!$A$6:$A$2005,"&lt;"&amp;DATE(Impostazioni!$C$4,I$4+1,1)))</f>
        <v/>
      </c>
      <c r="J68" s="36">
        <f>IF($A68="",0,SUMIFS(Movimenti!$D$6:$D$2005,Movimenti!$C$6:$C$2005,$A68,Movimenti!$A$6:$A$2005,"&gt;="&amp;DATE(Impostazioni!$C$4,J$4,1),Movimenti!$A$6:$A$2005,"&lt;"&amp;DATE(Impostazioni!$C$4,J$4+1,1)))</f>
        <v/>
      </c>
      <c r="K68" s="36">
        <f>IF($A68="",0,SUMIFS(Movimenti!$D$6:$D$2005,Movimenti!$C$6:$C$2005,$A68,Movimenti!$A$6:$A$2005,"&gt;="&amp;DATE(Impostazioni!$C$4,K$4,1),Movimenti!$A$6:$A$2005,"&lt;"&amp;DATE(Impostazioni!$C$4,K$4+1,1)))</f>
        <v/>
      </c>
      <c r="L68" s="36">
        <f>IF($A68="",0,SUMIFS(Movimenti!$D$6:$D$2005,Movimenti!$C$6:$C$2005,$A68,Movimenti!$A$6:$A$2005,"&gt;="&amp;DATE(Impostazioni!$C$4,L$4,1),Movimenti!$A$6:$A$2005,"&lt;"&amp;DATE(Impostazioni!$C$4,L$4+1,1)))</f>
        <v/>
      </c>
      <c r="M68" s="36">
        <f>IF($A68="",0,SUMIFS(Movimenti!$D$6:$D$2005,Movimenti!$C$6:$C$2005,$A68,Movimenti!$A$6:$A$2005,"&gt;="&amp;DATE(Impostazioni!$C$4,M$4,1),Movimenti!$A$6:$A$2005,"&lt;"&amp;DATE(Impostazioni!$C$4,M$4+1,1)))</f>
        <v/>
      </c>
      <c r="N68" s="36">
        <f>IF($A68="",0,SUMIFS(Movimenti!$D$6:$D$2005,Movimenti!$C$6:$C$2005,$A68,Movimenti!$A$6:$A$2005,"&gt;="&amp;DATE(Impostazioni!$C$4,N$4,1),Movimenti!$A$6:$A$2005,"&lt;"&amp;DATE(Impostazioni!$C$4,N$4+1,1)))</f>
        <v/>
      </c>
      <c r="O68" s="45">
        <f>SUM(C68:N68)</f>
        <v/>
      </c>
      <c r="P68" s="36">
        <f>Budget!P68</f>
        <v/>
      </c>
      <c r="Q68" s="36">
        <f>O68-P68</f>
        <v/>
      </c>
      <c r="R68" s="47">
        <f>IF(P68=0,"",O68/P68)</f>
        <v/>
      </c>
      <c r="T68" s="36">
        <f>INDEX(Budget!$D68:$O68,Impostazioni!$C$12)</f>
        <v/>
      </c>
      <c r="U68" s="36">
        <f>INDEX($C68:$N68,Impostazioni!$C$12)</f>
        <v/>
      </c>
      <c r="V68" s="36">
        <f>U68-T68</f>
        <v/>
      </c>
      <c r="W68" s="36">
        <f>SUMIFS(Budget!$D68:$O68,Budget!$D$4:$O$4,"&lt;="&amp;Impostazioni!$C$12)</f>
        <v/>
      </c>
      <c r="X68" s="36">
        <f>SUMIFS($C68:$N68,$C$4:$N$4,"&lt;="&amp;Impostazioni!$C$12)</f>
        <v/>
      </c>
      <c r="Y68" s="36">
        <f>X68-W68</f>
        <v/>
      </c>
      <c r="Z68" s="51">
        <f>IF(AND(O68&gt;0,LEFT(B68,5)="Spesa"),O68-ROW()/10000000,0)</f>
        <v/>
      </c>
    </row>
    <row r="69">
      <c r="A69" s="42">
        <f>IF(Categorie!$A61="","",Categorie!$A61)</f>
        <v/>
      </c>
      <c r="B69" s="35">
        <f>IF(A69="","",Categorie!$B61&amp;"")</f>
        <v/>
      </c>
      <c r="C69" s="36">
        <f>IF($A69="",0,SUMIFS(Movimenti!$D$6:$D$2005,Movimenti!$C$6:$C$2005,$A69,Movimenti!$A$6:$A$2005,"&gt;="&amp;DATE(Impostazioni!$C$4,C$4,1),Movimenti!$A$6:$A$2005,"&lt;"&amp;DATE(Impostazioni!$C$4,C$4+1,1)))</f>
        <v/>
      </c>
      <c r="D69" s="36">
        <f>IF($A69="",0,SUMIFS(Movimenti!$D$6:$D$2005,Movimenti!$C$6:$C$2005,$A69,Movimenti!$A$6:$A$2005,"&gt;="&amp;DATE(Impostazioni!$C$4,D$4,1),Movimenti!$A$6:$A$2005,"&lt;"&amp;DATE(Impostazioni!$C$4,D$4+1,1)))</f>
        <v/>
      </c>
      <c r="E69" s="36">
        <f>IF($A69="",0,SUMIFS(Movimenti!$D$6:$D$2005,Movimenti!$C$6:$C$2005,$A69,Movimenti!$A$6:$A$2005,"&gt;="&amp;DATE(Impostazioni!$C$4,E$4,1),Movimenti!$A$6:$A$2005,"&lt;"&amp;DATE(Impostazioni!$C$4,E$4+1,1)))</f>
        <v/>
      </c>
      <c r="F69" s="36">
        <f>IF($A69="",0,SUMIFS(Movimenti!$D$6:$D$2005,Movimenti!$C$6:$C$2005,$A69,Movimenti!$A$6:$A$2005,"&gt;="&amp;DATE(Impostazioni!$C$4,F$4,1),Movimenti!$A$6:$A$2005,"&lt;"&amp;DATE(Impostazioni!$C$4,F$4+1,1)))</f>
        <v/>
      </c>
      <c r="G69" s="36">
        <f>IF($A69="",0,SUMIFS(Movimenti!$D$6:$D$2005,Movimenti!$C$6:$C$2005,$A69,Movimenti!$A$6:$A$2005,"&gt;="&amp;DATE(Impostazioni!$C$4,G$4,1),Movimenti!$A$6:$A$2005,"&lt;"&amp;DATE(Impostazioni!$C$4,G$4+1,1)))</f>
        <v/>
      </c>
      <c r="H69" s="36">
        <f>IF($A69="",0,SUMIFS(Movimenti!$D$6:$D$2005,Movimenti!$C$6:$C$2005,$A69,Movimenti!$A$6:$A$2005,"&gt;="&amp;DATE(Impostazioni!$C$4,H$4,1),Movimenti!$A$6:$A$2005,"&lt;"&amp;DATE(Impostazioni!$C$4,H$4+1,1)))</f>
        <v/>
      </c>
      <c r="I69" s="36">
        <f>IF($A69="",0,SUMIFS(Movimenti!$D$6:$D$2005,Movimenti!$C$6:$C$2005,$A69,Movimenti!$A$6:$A$2005,"&gt;="&amp;DATE(Impostazioni!$C$4,I$4,1),Movimenti!$A$6:$A$2005,"&lt;"&amp;DATE(Impostazioni!$C$4,I$4+1,1)))</f>
        <v/>
      </c>
      <c r="J69" s="36">
        <f>IF($A69="",0,SUMIFS(Movimenti!$D$6:$D$2005,Movimenti!$C$6:$C$2005,$A69,Movimenti!$A$6:$A$2005,"&gt;="&amp;DATE(Impostazioni!$C$4,J$4,1),Movimenti!$A$6:$A$2005,"&lt;"&amp;DATE(Impostazioni!$C$4,J$4+1,1)))</f>
        <v/>
      </c>
      <c r="K69" s="36">
        <f>IF($A69="",0,SUMIFS(Movimenti!$D$6:$D$2005,Movimenti!$C$6:$C$2005,$A69,Movimenti!$A$6:$A$2005,"&gt;="&amp;DATE(Impostazioni!$C$4,K$4,1),Movimenti!$A$6:$A$2005,"&lt;"&amp;DATE(Impostazioni!$C$4,K$4+1,1)))</f>
        <v/>
      </c>
      <c r="L69" s="36">
        <f>IF($A69="",0,SUMIFS(Movimenti!$D$6:$D$2005,Movimenti!$C$6:$C$2005,$A69,Movimenti!$A$6:$A$2005,"&gt;="&amp;DATE(Impostazioni!$C$4,L$4,1),Movimenti!$A$6:$A$2005,"&lt;"&amp;DATE(Impostazioni!$C$4,L$4+1,1)))</f>
        <v/>
      </c>
      <c r="M69" s="36">
        <f>IF($A69="",0,SUMIFS(Movimenti!$D$6:$D$2005,Movimenti!$C$6:$C$2005,$A69,Movimenti!$A$6:$A$2005,"&gt;="&amp;DATE(Impostazioni!$C$4,M$4,1),Movimenti!$A$6:$A$2005,"&lt;"&amp;DATE(Impostazioni!$C$4,M$4+1,1)))</f>
        <v/>
      </c>
      <c r="N69" s="36">
        <f>IF($A69="",0,SUMIFS(Movimenti!$D$6:$D$2005,Movimenti!$C$6:$C$2005,$A69,Movimenti!$A$6:$A$2005,"&gt;="&amp;DATE(Impostazioni!$C$4,N$4,1),Movimenti!$A$6:$A$2005,"&lt;"&amp;DATE(Impostazioni!$C$4,N$4+1,1)))</f>
        <v/>
      </c>
      <c r="O69" s="45">
        <f>SUM(C69:N69)</f>
        <v/>
      </c>
      <c r="P69" s="36">
        <f>Budget!P69</f>
        <v/>
      </c>
      <c r="Q69" s="36">
        <f>O69-P69</f>
        <v/>
      </c>
      <c r="R69" s="47">
        <f>IF(P69=0,"",O69/P69)</f>
        <v/>
      </c>
      <c r="T69" s="36">
        <f>INDEX(Budget!$D69:$O69,Impostazioni!$C$12)</f>
        <v/>
      </c>
      <c r="U69" s="36">
        <f>INDEX($C69:$N69,Impostazioni!$C$12)</f>
        <v/>
      </c>
      <c r="V69" s="36">
        <f>U69-T69</f>
        <v/>
      </c>
      <c r="W69" s="36">
        <f>SUMIFS(Budget!$D69:$O69,Budget!$D$4:$O$4,"&lt;="&amp;Impostazioni!$C$12)</f>
        <v/>
      </c>
      <c r="X69" s="36">
        <f>SUMIFS($C69:$N69,$C$4:$N$4,"&lt;="&amp;Impostazioni!$C$12)</f>
        <v/>
      </c>
      <c r="Y69" s="36">
        <f>X69-W69</f>
        <v/>
      </c>
      <c r="Z69" s="51">
        <f>IF(AND(O69&gt;0,LEFT(B69,5)="Spesa"),O69-ROW()/10000000,0)</f>
        <v/>
      </c>
    </row>
    <row r="70">
      <c r="A70" s="42">
        <f>IF(Categorie!$A62="","",Categorie!$A62)</f>
        <v/>
      </c>
      <c r="B70" s="35">
        <f>IF(A70="","",Categorie!$B62&amp;"")</f>
        <v/>
      </c>
      <c r="C70" s="36">
        <f>IF($A70="",0,SUMIFS(Movimenti!$D$6:$D$2005,Movimenti!$C$6:$C$2005,$A70,Movimenti!$A$6:$A$2005,"&gt;="&amp;DATE(Impostazioni!$C$4,C$4,1),Movimenti!$A$6:$A$2005,"&lt;"&amp;DATE(Impostazioni!$C$4,C$4+1,1)))</f>
        <v/>
      </c>
      <c r="D70" s="36">
        <f>IF($A70="",0,SUMIFS(Movimenti!$D$6:$D$2005,Movimenti!$C$6:$C$2005,$A70,Movimenti!$A$6:$A$2005,"&gt;="&amp;DATE(Impostazioni!$C$4,D$4,1),Movimenti!$A$6:$A$2005,"&lt;"&amp;DATE(Impostazioni!$C$4,D$4+1,1)))</f>
        <v/>
      </c>
      <c r="E70" s="36">
        <f>IF($A70="",0,SUMIFS(Movimenti!$D$6:$D$2005,Movimenti!$C$6:$C$2005,$A70,Movimenti!$A$6:$A$2005,"&gt;="&amp;DATE(Impostazioni!$C$4,E$4,1),Movimenti!$A$6:$A$2005,"&lt;"&amp;DATE(Impostazioni!$C$4,E$4+1,1)))</f>
        <v/>
      </c>
      <c r="F70" s="36">
        <f>IF($A70="",0,SUMIFS(Movimenti!$D$6:$D$2005,Movimenti!$C$6:$C$2005,$A70,Movimenti!$A$6:$A$2005,"&gt;="&amp;DATE(Impostazioni!$C$4,F$4,1),Movimenti!$A$6:$A$2005,"&lt;"&amp;DATE(Impostazioni!$C$4,F$4+1,1)))</f>
        <v/>
      </c>
      <c r="G70" s="36">
        <f>IF($A70="",0,SUMIFS(Movimenti!$D$6:$D$2005,Movimenti!$C$6:$C$2005,$A70,Movimenti!$A$6:$A$2005,"&gt;="&amp;DATE(Impostazioni!$C$4,G$4,1),Movimenti!$A$6:$A$2005,"&lt;"&amp;DATE(Impostazioni!$C$4,G$4+1,1)))</f>
        <v/>
      </c>
      <c r="H70" s="36">
        <f>IF($A70="",0,SUMIFS(Movimenti!$D$6:$D$2005,Movimenti!$C$6:$C$2005,$A70,Movimenti!$A$6:$A$2005,"&gt;="&amp;DATE(Impostazioni!$C$4,H$4,1),Movimenti!$A$6:$A$2005,"&lt;"&amp;DATE(Impostazioni!$C$4,H$4+1,1)))</f>
        <v/>
      </c>
      <c r="I70" s="36">
        <f>IF($A70="",0,SUMIFS(Movimenti!$D$6:$D$2005,Movimenti!$C$6:$C$2005,$A70,Movimenti!$A$6:$A$2005,"&gt;="&amp;DATE(Impostazioni!$C$4,I$4,1),Movimenti!$A$6:$A$2005,"&lt;"&amp;DATE(Impostazioni!$C$4,I$4+1,1)))</f>
        <v/>
      </c>
      <c r="J70" s="36">
        <f>IF($A70="",0,SUMIFS(Movimenti!$D$6:$D$2005,Movimenti!$C$6:$C$2005,$A70,Movimenti!$A$6:$A$2005,"&gt;="&amp;DATE(Impostazioni!$C$4,J$4,1),Movimenti!$A$6:$A$2005,"&lt;"&amp;DATE(Impostazioni!$C$4,J$4+1,1)))</f>
        <v/>
      </c>
      <c r="K70" s="36">
        <f>IF($A70="",0,SUMIFS(Movimenti!$D$6:$D$2005,Movimenti!$C$6:$C$2005,$A70,Movimenti!$A$6:$A$2005,"&gt;="&amp;DATE(Impostazioni!$C$4,K$4,1),Movimenti!$A$6:$A$2005,"&lt;"&amp;DATE(Impostazioni!$C$4,K$4+1,1)))</f>
        <v/>
      </c>
      <c r="L70" s="36">
        <f>IF($A70="",0,SUMIFS(Movimenti!$D$6:$D$2005,Movimenti!$C$6:$C$2005,$A70,Movimenti!$A$6:$A$2005,"&gt;="&amp;DATE(Impostazioni!$C$4,L$4,1),Movimenti!$A$6:$A$2005,"&lt;"&amp;DATE(Impostazioni!$C$4,L$4+1,1)))</f>
        <v/>
      </c>
      <c r="M70" s="36">
        <f>IF($A70="",0,SUMIFS(Movimenti!$D$6:$D$2005,Movimenti!$C$6:$C$2005,$A70,Movimenti!$A$6:$A$2005,"&gt;="&amp;DATE(Impostazioni!$C$4,M$4,1),Movimenti!$A$6:$A$2005,"&lt;"&amp;DATE(Impostazioni!$C$4,M$4+1,1)))</f>
        <v/>
      </c>
      <c r="N70" s="36">
        <f>IF($A70="",0,SUMIFS(Movimenti!$D$6:$D$2005,Movimenti!$C$6:$C$2005,$A70,Movimenti!$A$6:$A$2005,"&gt;="&amp;DATE(Impostazioni!$C$4,N$4,1),Movimenti!$A$6:$A$2005,"&lt;"&amp;DATE(Impostazioni!$C$4,N$4+1,1)))</f>
        <v/>
      </c>
      <c r="O70" s="45">
        <f>SUM(C70:N70)</f>
        <v/>
      </c>
      <c r="P70" s="36">
        <f>Budget!P70</f>
        <v/>
      </c>
      <c r="Q70" s="36">
        <f>O70-P70</f>
        <v/>
      </c>
      <c r="R70" s="47">
        <f>IF(P70=0,"",O70/P70)</f>
        <v/>
      </c>
      <c r="T70" s="36">
        <f>INDEX(Budget!$D70:$O70,Impostazioni!$C$12)</f>
        <v/>
      </c>
      <c r="U70" s="36">
        <f>INDEX($C70:$N70,Impostazioni!$C$12)</f>
        <v/>
      </c>
      <c r="V70" s="36">
        <f>U70-T70</f>
        <v/>
      </c>
      <c r="W70" s="36">
        <f>SUMIFS(Budget!$D70:$O70,Budget!$D$4:$O$4,"&lt;="&amp;Impostazioni!$C$12)</f>
        <v/>
      </c>
      <c r="X70" s="36">
        <f>SUMIFS($C70:$N70,$C$4:$N$4,"&lt;="&amp;Impostazioni!$C$12)</f>
        <v/>
      </c>
      <c r="Y70" s="36">
        <f>X70-W70</f>
        <v/>
      </c>
      <c r="Z70" s="51">
        <f>IF(AND(O70&gt;0,LEFT(B70,5)="Spesa"),O70-ROW()/10000000,0)</f>
        <v/>
      </c>
    </row>
    <row r="71">
      <c r="A71" s="42">
        <f>IF(Categorie!$A63="","",Categorie!$A63)</f>
        <v/>
      </c>
      <c r="B71" s="35">
        <f>IF(A71="","",Categorie!$B63&amp;"")</f>
        <v/>
      </c>
      <c r="C71" s="36">
        <f>IF($A71="",0,SUMIFS(Movimenti!$D$6:$D$2005,Movimenti!$C$6:$C$2005,$A71,Movimenti!$A$6:$A$2005,"&gt;="&amp;DATE(Impostazioni!$C$4,C$4,1),Movimenti!$A$6:$A$2005,"&lt;"&amp;DATE(Impostazioni!$C$4,C$4+1,1)))</f>
        <v/>
      </c>
      <c r="D71" s="36">
        <f>IF($A71="",0,SUMIFS(Movimenti!$D$6:$D$2005,Movimenti!$C$6:$C$2005,$A71,Movimenti!$A$6:$A$2005,"&gt;="&amp;DATE(Impostazioni!$C$4,D$4,1),Movimenti!$A$6:$A$2005,"&lt;"&amp;DATE(Impostazioni!$C$4,D$4+1,1)))</f>
        <v/>
      </c>
      <c r="E71" s="36">
        <f>IF($A71="",0,SUMIFS(Movimenti!$D$6:$D$2005,Movimenti!$C$6:$C$2005,$A71,Movimenti!$A$6:$A$2005,"&gt;="&amp;DATE(Impostazioni!$C$4,E$4,1),Movimenti!$A$6:$A$2005,"&lt;"&amp;DATE(Impostazioni!$C$4,E$4+1,1)))</f>
        <v/>
      </c>
      <c r="F71" s="36">
        <f>IF($A71="",0,SUMIFS(Movimenti!$D$6:$D$2005,Movimenti!$C$6:$C$2005,$A71,Movimenti!$A$6:$A$2005,"&gt;="&amp;DATE(Impostazioni!$C$4,F$4,1),Movimenti!$A$6:$A$2005,"&lt;"&amp;DATE(Impostazioni!$C$4,F$4+1,1)))</f>
        <v/>
      </c>
      <c r="G71" s="36">
        <f>IF($A71="",0,SUMIFS(Movimenti!$D$6:$D$2005,Movimenti!$C$6:$C$2005,$A71,Movimenti!$A$6:$A$2005,"&gt;="&amp;DATE(Impostazioni!$C$4,G$4,1),Movimenti!$A$6:$A$2005,"&lt;"&amp;DATE(Impostazioni!$C$4,G$4+1,1)))</f>
        <v/>
      </c>
      <c r="H71" s="36">
        <f>IF($A71="",0,SUMIFS(Movimenti!$D$6:$D$2005,Movimenti!$C$6:$C$2005,$A71,Movimenti!$A$6:$A$2005,"&gt;="&amp;DATE(Impostazioni!$C$4,H$4,1),Movimenti!$A$6:$A$2005,"&lt;"&amp;DATE(Impostazioni!$C$4,H$4+1,1)))</f>
        <v/>
      </c>
      <c r="I71" s="36">
        <f>IF($A71="",0,SUMIFS(Movimenti!$D$6:$D$2005,Movimenti!$C$6:$C$2005,$A71,Movimenti!$A$6:$A$2005,"&gt;="&amp;DATE(Impostazioni!$C$4,I$4,1),Movimenti!$A$6:$A$2005,"&lt;"&amp;DATE(Impostazioni!$C$4,I$4+1,1)))</f>
        <v/>
      </c>
      <c r="J71" s="36">
        <f>IF($A71="",0,SUMIFS(Movimenti!$D$6:$D$2005,Movimenti!$C$6:$C$2005,$A71,Movimenti!$A$6:$A$2005,"&gt;="&amp;DATE(Impostazioni!$C$4,J$4,1),Movimenti!$A$6:$A$2005,"&lt;"&amp;DATE(Impostazioni!$C$4,J$4+1,1)))</f>
        <v/>
      </c>
      <c r="K71" s="36">
        <f>IF($A71="",0,SUMIFS(Movimenti!$D$6:$D$2005,Movimenti!$C$6:$C$2005,$A71,Movimenti!$A$6:$A$2005,"&gt;="&amp;DATE(Impostazioni!$C$4,K$4,1),Movimenti!$A$6:$A$2005,"&lt;"&amp;DATE(Impostazioni!$C$4,K$4+1,1)))</f>
        <v/>
      </c>
      <c r="L71" s="36">
        <f>IF($A71="",0,SUMIFS(Movimenti!$D$6:$D$2005,Movimenti!$C$6:$C$2005,$A71,Movimenti!$A$6:$A$2005,"&gt;="&amp;DATE(Impostazioni!$C$4,L$4,1),Movimenti!$A$6:$A$2005,"&lt;"&amp;DATE(Impostazioni!$C$4,L$4+1,1)))</f>
        <v/>
      </c>
      <c r="M71" s="36">
        <f>IF($A71="",0,SUMIFS(Movimenti!$D$6:$D$2005,Movimenti!$C$6:$C$2005,$A71,Movimenti!$A$6:$A$2005,"&gt;="&amp;DATE(Impostazioni!$C$4,M$4,1),Movimenti!$A$6:$A$2005,"&lt;"&amp;DATE(Impostazioni!$C$4,M$4+1,1)))</f>
        <v/>
      </c>
      <c r="N71" s="36">
        <f>IF($A71="",0,SUMIFS(Movimenti!$D$6:$D$2005,Movimenti!$C$6:$C$2005,$A71,Movimenti!$A$6:$A$2005,"&gt;="&amp;DATE(Impostazioni!$C$4,N$4,1),Movimenti!$A$6:$A$2005,"&lt;"&amp;DATE(Impostazioni!$C$4,N$4+1,1)))</f>
        <v/>
      </c>
      <c r="O71" s="45">
        <f>SUM(C71:N71)</f>
        <v/>
      </c>
      <c r="P71" s="36">
        <f>Budget!P71</f>
        <v/>
      </c>
      <c r="Q71" s="36">
        <f>O71-P71</f>
        <v/>
      </c>
      <c r="R71" s="47">
        <f>IF(P71=0,"",O71/P71)</f>
        <v/>
      </c>
      <c r="T71" s="36">
        <f>INDEX(Budget!$D71:$O71,Impostazioni!$C$12)</f>
        <v/>
      </c>
      <c r="U71" s="36">
        <f>INDEX($C71:$N71,Impostazioni!$C$12)</f>
        <v/>
      </c>
      <c r="V71" s="36">
        <f>U71-T71</f>
        <v/>
      </c>
      <c r="W71" s="36">
        <f>SUMIFS(Budget!$D71:$O71,Budget!$D$4:$O$4,"&lt;="&amp;Impostazioni!$C$12)</f>
        <v/>
      </c>
      <c r="X71" s="36">
        <f>SUMIFS($C71:$N71,$C$4:$N$4,"&lt;="&amp;Impostazioni!$C$12)</f>
        <v/>
      </c>
      <c r="Y71" s="36">
        <f>X71-W71</f>
        <v/>
      </c>
      <c r="Z71" s="51">
        <f>IF(AND(O71&gt;0,LEFT(B71,5)="Spesa"),O71-ROW()/10000000,0)</f>
        <v/>
      </c>
    </row>
    <row r="72">
      <c r="A72" s="42">
        <f>IF(Categorie!$A64="","",Categorie!$A64)</f>
        <v/>
      </c>
      <c r="B72" s="35">
        <f>IF(A72="","",Categorie!$B64&amp;"")</f>
        <v/>
      </c>
      <c r="C72" s="36">
        <f>IF($A72="",0,SUMIFS(Movimenti!$D$6:$D$2005,Movimenti!$C$6:$C$2005,$A72,Movimenti!$A$6:$A$2005,"&gt;="&amp;DATE(Impostazioni!$C$4,C$4,1),Movimenti!$A$6:$A$2005,"&lt;"&amp;DATE(Impostazioni!$C$4,C$4+1,1)))</f>
        <v/>
      </c>
      <c r="D72" s="36">
        <f>IF($A72="",0,SUMIFS(Movimenti!$D$6:$D$2005,Movimenti!$C$6:$C$2005,$A72,Movimenti!$A$6:$A$2005,"&gt;="&amp;DATE(Impostazioni!$C$4,D$4,1),Movimenti!$A$6:$A$2005,"&lt;"&amp;DATE(Impostazioni!$C$4,D$4+1,1)))</f>
        <v/>
      </c>
      <c r="E72" s="36">
        <f>IF($A72="",0,SUMIFS(Movimenti!$D$6:$D$2005,Movimenti!$C$6:$C$2005,$A72,Movimenti!$A$6:$A$2005,"&gt;="&amp;DATE(Impostazioni!$C$4,E$4,1),Movimenti!$A$6:$A$2005,"&lt;"&amp;DATE(Impostazioni!$C$4,E$4+1,1)))</f>
        <v/>
      </c>
      <c r="F72" s="36">
        <f>IF($A72="",0,SUMIFS(Movimenti!$D$6:$D$2005,Movimenti!$C$6:$C$2005,$A72,Movimenti!$A$6:$A$2005,"&gt;="&amp;DATE(Impostazioni!$C$4,F$4,1),Movimenti!$A$6:$A$2005,"&lt;"&amp;DATE(Impostazioni!$C$4,F$4+1,1)))</f>
        <v/>
      </c>
      <c r="G72" s="36">
        <f>IF($A72="",0,SUMIFS(Movimenti!$D$6:$D$2005,Movimenti!$C$6:$C$2005,$A72,Movimenti!$A$6:$A$2005,"&gt;="&amp;DATE(Impostazioni!$C$4,G$4,1),Movimenti!$A$6:$A$2005,"&lt;"&amp;DATE(Impostazioni!$C$4,G$4+1,1)))</f>
        <v/>
      </c>
      <c r="H72" s="36">
        <f>IF($A72="",0,SUMIFS(Movimenti!$D$6:$D$2005,Movimenti!$C$6:$C$2005,$A72,Movimenti!$A$6:$A$2005,"&gt;="&amp;DATE(Impostazioni!$C$4,H$4,1),Movimenti!$A$6:$A$2005,"&lt;"&amp;DATE(Impostazioni!$C$4,H$4+1,1)))</f>
        <v/>
      </c>
      <c r="I72" s="36">
        <f>IF($A72="",0,SUMIFS(Movimenti!$D$6:$D$2005,Movimenti!$C$6:$C$2005,$A72,Movimenti!$A$6:$A$2005,"&gt;="&amp;DATE(Impostazioni!$C$4,I$4,1),Movimenti!$A$6:$A$2005,"&lt;"&amp;DATE(Impostazioni!$C$4,I$4+1,1)))</f>
        <v/>
      </c>
      <c r="J72" s="36">
        <f>IF($A72="",0,SUMIFS(Movimenti!$D$6:$D$2005,Movimenti!$C$6:$C$2005,$A72,Movimenti!$A$6:$A$2005,"&gt;="&amp;DATE(Impostazioni!$C$4,J$4,1),Movimenti!$A$6:$A$2005,"&lt;"&amp;DATE(Impostazioni!$C$4,J$4+1,1)))</f>
        <v/>
      </c>
      <c r="K72" s="36">
        <f>IF($A72="",0,SUMIFS(Movimenti!$D$6:$D$2005,Movimenti!$C$6:$C$2005,$A72,Movimenti!$A$6:$A$2005,"&gt;="&amp;DATE(Impostazioni!$C$4,K$4,1),Movimenti!$A$6:$A$2005,"&lt;"&amp;DATE(Impostazioni!$C$4,K$4+1,1)))</f>
        <v/>
      </c>
      <c r="L72" s="36">
        <f>IF($A72="",0,SUMIFS(Movimenti!$D$6:$D$2005,Movimenti!$C$6:$C$2005,$A72,Movimenti!$A$6:$A$2005,"&gt;="&amp;DATE(Impostazioni!$C$4,L$4,1),Movimenti!$A$6:$A$2005,"&lt;"&amp;DATE(Impostazioni!$C$4,L$4+1,1)))</f>
        <v/>
      </c>
      <c r="M72" s="36">
        <f>IF($A72="",0,SUMIFS(Movimenti!$D$6:$D$2005,Movimenti!$C$6:$C$2005,$A72,Movimenti!$A$6:$A$2005,"&gt;="&amp;DATE(Impostazioni!$C$4,M$4,1),Movimenti!$A$6:$A$2005,"&lt;"&amp;DATE(Impostazioni!$C$4,M$4+1,1)))</f>
        <v/>
      </c>
      <c r="N72" s="36">
        <f>IF($A72="",0,SUMIFS(Movimenti!$D$6:$D$2005,Movimenti!$C$6:$C$2005,$A72,Movimenti!$A$6:$A$2005,"&gt;="&amp;DATE(Impostazioni!$C$4,N$4,1),Movimenti!$A$6:$A$2005,"&lt;"&amp;DATE(Impostazioni!$C$4,N$4+1,1)))</f>
        <v/>
      </c>
      <c r="O72" s="45">
        <f>SUM(C72:N72)</f>
        <v/>
      </c>
      <c r="P72" s="36">
        <f>Budget!P72</f>
        <v/>
      </c>
      <c r="Q72" s="36">
        <f>O72-P72</f>
        <v/>
      </c>
      <c r="R72" s="47">
        <f>IF(P72=0,"",O72/P72)</f>
        <v/>
      </c>
      <c r="T72" s="36">
        <f>INDEX(Budget!$D72:$O72,Impostazioni!$C$12)</f>
        <v/>
      </c>
      <c r="U72" s="36">
        <f>INDEX($C72:$N72,Impostazioni!$C$12)</f>
        <v/>
      </c>
      <c r="V72" s="36">
        <f>U72-T72</f>
        <v/>
      </c>
      <c r="W72" s="36">
        <f>SUMIFS(Budget!$D72:$O72,Budget!$D$4:$O$4,"&lt;="&amp;Impostazioni!$C$12)</f>
        <v/>
      </c>
      <c r="X72" s="36">
        <f>SUMIFS($C72:$N72,$C$4:$N$4,"&lt;="&amp;Impostazioni!$C$12)</f>
        <v/>
      </c>
      <c r="Y72" s="36">
        <f>X72-W72</f>
        <v/>
      </c>
      <c r="Z72" s="51">
        <f>IF(AND(O72&gt;0,LEFT(B72,5)="Spesa"),O72-ROW()/10000000,0)</f>
        <v/>
      </c>
    </row>
    <row r="73">
      <c r="A73" s="42">
        <f>IF(Categorie!$A65="","",Categorie!$A65)</f>
        <v/>
      </c>
      <c r="B73" s="35">
        <f>IF(A73="","",Categorie!$B65&amp;"")</f>
        <v/>
      </c>
      <c r="C73" s="36">
        <f>IF($A73="",0,SUMIFS(Movimenti!$D$6:$D$2005,Movimenti!$C$6:$C$2005,$A73,Movimenti!$A$6:$A$2005,"&gt;="&amp;DATE(Impostazioni!$C$4,C$4,1),Movimenti!$A$6:$A$2005,"&lt;"&amp;DATE(Impostazioni!$C$4,C$4+1,1)))</f>
        <v/>
      </c>
      <c r="D73" s="36">
        <f>IF($A73="",0,SUMIFS(Movimenti!$D$6:$D$2005,Movimenti!$C$6:$C$2005,$A73,Movimenti!$A$6:$A$2005,"&gt;="&amp;DATE(Impostazioni!$C$4,D$4,1),Movimenti!$A$6:$A$2005,"&lt;"&amp;DATE(Impostazioni!$C$4,D$4+1,1)))</f>
        <v/>
      </c>
      <c r="E73" s="36">
        <f>IF($A73="",0,SUMIFS(Movimenti!$D$6:$D$2005,Movimenti!$C$6:$C$2005,$A73,Movimenti!$A$6:$A$2005,"&gt;="&amp;DATE(Impostazioni!$C$4,E$4,1),Movimenti!$A$6:$A$2005,"&lt;"&amp;DATE(Impostazioni!$C$4,E$4+1,1)))</f>
        <v/>
      </c>
      <c r="F73" s="36">
        <f>IF($A73="",0,SUMIFS(Movimenti!$D$6:$D$2005,Movimenti!$C$6:$C$2005,$A73,Movimenti!$A$6:$A$2005,"&gt;="&amp;DATE(Impostazioni!$C$4,F$4,1),Movimenti!$A$6:$A$2005,"&lt;"&amp;DATE(Impostazioni!$C$4,F$4+1,1)))</f>
        <v/>
      </c>
      <c r="G73" s="36">
        <f>IF($A73="",0,SUMIFS(Movimenti!$D$6:$D$2005,Movimenti!$C$6:$C$2005,$A73,Movimenti!$A$6:$A$2005,"&gt;="&amp;DATE(Impostazioni!$C$4,G$4,1),Movimenti!$A$6:$A$2005,"&lt;"&amp;DATE(Impostazioni!$C$4,G$4+1,1)))</f>
        <v/>
      </c>
      <c r="H73" s="36">
        <f>IF($A73="",0,SUMIFS(Movimenti!$D$6:$D$2005,Movimenti!$C$6:$C$2005,$A73,Movimenti!$A$6:$A$2005,"&gt;="&amp;DATE(Impostazioni!$C$4,H$4,1),Movimenti!$A$6:$A$2005,"&lt;"&amp;DATE(Impostazioni!$C$4,H$4+1,1)))</f>
        <v/>
      </c>
      <c r="I73" s="36">
        <f>IF($A73="",0,SUMIFS(Movimenti!$D$6:$D$2005,Movimenti!$C$6:$C$2005,$A73,Movimenti!$A$6:$A$2005,"&gt;="&amp;DATE(Impostazioni!$C$4,I$4,1),Movimenti!$A$6:$A$2005,"&lt;"&amp;DATE(Impostazioni!$C$4,I$4+1,1)))</f>
        <v/>
      </c>
      <c r="J73" s="36">
        <f>IF($A73="",0,SUMIFS(Movimenti!$D$6:$D$2005,Movimenti!$C$6:$C$2005,$A73,Movimenti!$A$6:$A$2005,"&gt;="&amp;DATE(Impostazioni!$C$4,J$4,1),Movimenti!$A$6:$A$2005,"&lt;"&amp;DATE(Impostazioni!$C$4,J$4+1,1)))</f>
        <v/>
      </c>
      <c r="K73" s="36">
        <f>IF($A73="",0,SUMIFS(Movimenti!$D$6:$D$2005,Movimenti!$C$6:$C$2005,$A73,Movimenti!$A$6:$A$2005,"&gt;="&amp;DATE(Impostazioni!$C$4,K$4,1),Movimenti!$A$6:$A$2005,"&lt;"&amp;DATE(Impostazioni!$C$4,K$4+1,1)))</f>
        <v/>
      </c>
      <c r="L73" s="36">
        <f>IF($A73="",0,SUMIFS(Movimenti!$D$6:$D$2005,Movimenti!$C$6:$C$2005,$A73,Movimenti!$A$6:$A$2005,"&gt;="&amp;DATE(Impostazioni!$C$4,L$4,1),Movimenti!$A$6:$A$2005,"&lt;"&amp;DATE(Impostazioni!$C$4,L$4+1,1)))</f>
        <v/>
      </c>
      <c r="M73" s="36">
        <f>IF($A73="",0,SUMIFS(Movimenti!$D$6:$D$2005,Movimenti!$C$6:$C$2005,$A73,Movimenti!$A$6:$A$2005,"&gt;="&amp;DATE(Impostazioni!$C$4,M$4,1),Movimenti!$A$6:$A$2005,"&lt;"&amp;DATE(Impostazioni!$C$4,M$4+1,1)))</f>
        <v/>
      </c>
      <c r="N73" s="36">
        <f>IF($A73="",0,SUMIFS(Movimenti!$D$6:$D$2005,Movimenti!$C$6:$C$2005,$A73,Movimenti!$A$6:$A$2005,"&gt;="&amp;DATE(Impostazioni!$C$4,N$4,1),Movimenti!$A$6:$A$2005,"&lt;"&amp;DATE(Impostazioni!$C$4,N$4+1,1)))</f>
        <v/>
      </c>
      <c r="O73" s="45">
        <f>SUM(C73:N73)</f>
        <v/>
      </c>
      <c r="P73" s="36">
        <f>Budget!P73</f>
        <v/>
      </c>
      <c r="Q73" s="36">
        <f>O73-P73</f>
        <v/>
      </c>
      <c r="R73" s="47">
        <f>IF(P73=0,"",O73/P73)</f>
        <v/>
      </c>
      <c r="T73" s="36">
        <f>INDEX(Budget!$D73:$O73,Impostazioni!$C$12)</f>
        <v/>
      </c>
      <c r="U73" s="36">
        <f>INDEX($C73:$N73,Impostazioni!$C$12)</f>
        <v/>
      </c>
      <c r="V73" s="36">
        <f>U73-T73</f>
        <v/>
      </c>
      <c r="W73" s="36">
        <f>SUMIFS(Budget!$D73:$O73,Budget!$D$4:$O$4,"&lt;="&amp;Impostazioni!$C$12)</f>
        <v/>
      </c>
      <c r="X73" s="36">
        <f>SUMIFS($C73:$N73,$C$4:$N$4,"&lt;="&amp;Impostazioni!$C$12)</f>
        <v/>
      </c>
      <c r="Y73" s="36">
        <f>X73-W73</f>
        <v/>
      </c>
      <c r="Z73" s="51">
        <f>IF(AND(O73&gt;0,LEFT(B73,5)="Spesa"),O73-ROW()/10000000,0)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Q6:Q73">
    <cfRule type="expression" priority="1" dxfId="1">
      <formula>AND($B6&lt;&gt;"",OR(AND(LEFT($B6,5)="Spesa",Q6&gt;0.004),AND(LEFT($B6,5)&lt;&gt;"Spesa",Q6&lt;-0.004)))</formula>
    </cfRule>
    <cfRule type="expression" priority="2" dxfId="2">
      <formula>AND($B6&lt;&gt;"",OR(AND(LEFT($B6,5)="Spesa",Q6&lt;-0.004),AND(LEFT($B6,5)&lt;&gt;"Spesa",Q6&gt;0.004)))</formula>
    </cfRule>
  </conditionalFormatting>
  <conditionalFormatting sqref="V6:V73">
    <cfRule type="expression" priority="3" dxfId="1">
      <formula>AND($B6&lt;&gt;"",OR(AND(LEFT($B6,5)="Spesa",V6&gt;0.004),AND(LEFT($B6,5)&lt;&gt;"Spesa",V6&lt;-0.004)))</formula>
    </cfRule>
    <cfRule type="expression" priority="4" dxfId="2">
      <formula>AND($B6&lt;&gt;"",OR(AND(LEFT($B6,5)="Spesa",V6&lt;-0.004),AND(LEFT($B6,5)&lt;&gt;"Spesa",V6&gt;0.004)))</formula>
    </cfRule>
  </conditionalFormatting>
  <conditionalFormatting sqref="Y6:Y73">
    <cfRule type="expression" priority="5" dxfId="1">
      <formula>AND($B6&lt;&gt;"",OR(AND(LEFT($B6,5)="Spesa",Y6&gt;0.004),AND(LEFT($B6,5)&lt;&gt;"Spesa",Y6&lt;-0.004)))</formula>
    </cfRule>
    <cfRule type="expression" priority="6" dxfId="2">
      <formula>AND($B6&lt;&gt;"",OR(AND(LEFT($B6,5)="Spesa",Y6&lt;-0.004),AND(LEFT($B6,5)&lt;&gt;"Spesa",Y6&gt;0.004)))</formula>
    </cfRule>
  </conditionalFormatting>
  <conditionalFormatting sqref="R6:R73">
    <cfRule type="expression" priority="7" dxfId="3">
      <formula>AND(LEFT($B6,5)="Spesa",ISNUMBER(R6),R6&gt;1.00001)</formula>
    </cfRule>
  </conditionalFormatting>
  <printOptions horizontalCentered="1"/>
  <pageMargins left="0.4" right="0.4" top="0.5" bottom="0.5" header="0.5" footer="0.5"/>
  <pageSetup orientation="landscape" paperSize="9" fitToHeight="0" fitToWidth="2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B1:N57"/>
  <sheetViews>
    <sheetView showGridLines="0" tabSelected="1" workbookViewId="0">
      <selection activeCell="A1" sqref="A1"/>
    </sheetView>
  </sheetViews>
  <sheetFormatPr baseColWidth="8" defaultRowHeight="15"/>
  <cols>
    <col width="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2" customWidth="1" min="14" max="14"/>
  </cols>
  <sheetData>
    <row r="1" ht="34" customHeight="1">
      <c r="B1" s="1">
        <f>"Budget familiare "&amp;Impostazioni!$C$4&amp;IF(Impostazioni!$C$6="",""," · "&amp;Impostazioni!$C$6)</f>
        <v/>
      </c>
    </row>
    <row r="2">
      <c r="B2" s="2">
        <f>"Totali dei movimenti registrati nell'anno. Confronti con il budget fino a "&amp;LOWER(Impostazioni!$C$13)&amp;"."</f>
        <v/>
      </c>
    </row>
    <row r="4" ht="22" customHeight="1">
      <c r="B4" s="52" t="inlineStr">
        <is>
          <t>Entrate</t>
        </is>
      </c>
      <c r="C4" s="53" t="n"/>
      <c r="D4" s="52" t="inlineStr">
        <is>
          <t>Spese</t>
        </is>
      </c>
      <c r="E4" s="53" t="n"/>
      <c r="F4" s="52" t="inlineStr">
        <is>
          <t>Risparmio</t>
        </is>
      </c>
      <c r="G4" s="53" t="n"/>
      <c r="H4" s="52" t="inlineStr">
        <is>
          <t>Tasso di risparmio</t>
        </is>
      </c>
      <c r="I4" s="53" t="n"/>
      <c r="J4" s="52" t="inlineStr">
        <is>
          <t>Saldo di cassa</t>
        </is>
      </c>
      <c r="K4" s="53" t="n"/>
      <c r="L4" s="52" t="inlineStr">
        <is>
          <t>Debiti residui</t>
        </is>
      </c>
      <c r="M4" s="53" t="n"/>
    </row>
    <row r="5" ht="34" customHeight="1">
      <c r="B5" s="54">
        <f>Mensile!$O$6</f>
        <v/>
      </c>
      <c r="C5" s="41" t="n"/>
      <c r="D5" s="54">
        <f>Mensile!$O$9</f>
        <v/>
      </c>
      <c r="E5" s="41" t="n"/>
      <c r="F5" s="54">
        <f>Mensile!$O$6-Mensile!$O$9</f>
        <v/>
      </c>
      <c r="G5" s="41" t="n"/>
      <c r="H5" s="55">
        <f>IF(Mensile!$O$6=0,0,(Mensile!$O$6-Mensile!$O$9)/Mensile!$O$6)</f>
        <v/>
      </c>
      <c r="I5" s="41" t="n"/>
      <c r="J5" s="54">
        <f>Mensile!$O$12</f>
        <v/>
      </c>
      <c r="K5" s="41" t="n"/>
      <c r="L5" s="54">
        <f>Debiti!$C$18</f>
        <v/>
      </c>
      <c r="M5" s="41" t="n"/>
    </row>
    <row r="6" ht="18" customHeight="1">
      <c r="B6" s="56">
        <f>IF(Mensile!$P$6=0,"",Mensile!$O$6/Mensile!$P$6)</f>
        <v/>
      </c>
      <c r="C6" s="41" t="n"/>
      <c r="D6" s="56">
        <f>IF(Mensile!$P$9=0,"",Mensile!$O$9/Mensile!$P$9)</f>
        <v/>
      </c>
      <c r="E6" s="41" t="n"/>
      <c r="F6" s="57">
        <f>Mensile!$O$10</f>
        <v/>
      </c>
      <c r="G6" s="41" t="n"/>
      <c r="H6" s="58" t="inlineStr">
        <is>
          <t>risparmio / entrate</t>
        </is>
      </c>
      <c r="I6" s="41" t="n"/>
      <c r="J6" s="59">
        <f>Impostazioni!$C$5</f>
        <v/>
      </c>
      <c r="K6" s="41" t="n"/>
      <c r="L6" s="60">
        <f>Debiti!$E$18</f>
        <v/>
      </c>
      <c r="M6" s="41" t="n"/>
    </row>
    <row r="8">
      <c r="B8" s="3" t="inlineStr">
        <is>
          <t>Andamento mensile</t>
        </is>
      </c>
      <c r="C8" s="4" t="n"/>
      <c r="D8" s="4" t="n"/>
      <c r="E8" s="4" t="n"/>
      <c r="F8" s="4" t="n"/>
      <c r="G8" s="4" t="n"/>
    </row>
    <row r="9" ht="30" customHeight="1">
      <c r="B9" s="24" t="inlineStr">
        <is>
          <t>Mese</t>
        </is>
      </c>
      <c r="C9" s="24" t="inlineStr">
        <is>
          <t>Entrate</t>
        </is>
      </c>
      <c r="D9" s="24" t="inlineStr">
        <is>
          <t>Spese</t>
        </is>
      </c>
      <c r="E9" s="24" t="inlineStr">
        <is>
          <t>Risparmio e investimenti</t>
        </is>
      </c>
      <c r="F9" s="24" t="inlineStr">
        <is>
          <t>Avanzo</t>
        </is>
      </c>
      <c r="G9" s="24" t="inlineStr">
        <is>
          <t>Saldo di cassa</t>
        </is>
      </c>
    </row>
    <row r="10">
      <c r="B10" s="42" t="inlineStr">
        <is>
          <t>Gen</t>
        </is>
      </c>
      <c r="C10" s="61">
        <f>Mensile!C$6</f>
        <v/>
      </c>
      <c r="D10" s="61">
        <f>Mensile!C$9</f>
        <v/>
      </c>
      <c r="E10" s="61">
        <f>Mensile!C$10</f>
        <v/>
      </c>
      <c r="F10" s="61">
        <f>Mensile!C$11</f>
        <v/>
      </c>
      <c r="G10" s="61">
        <f>Mensile!C$12</f>
        <v/>
      </c>
    </row>
    <row r="11">
      <c r="B11" s="42" t="inlineStr">
        <is>
          <t>Feb</t>
        </is>
      </c>
      <c r="C11" s="61">
        <f>Mensile!D$6</f>
        <v/>
      </c>
      <c r="D11" s="61">
        <f>Mensile!D$9</f>
        <v/>
      </c>
      <c r="E11" s="61">
        <f>Mensile!D$10</f>
        <v/>
      </c>
      <c r="F11" s="61">
        <f>Mensile!D$11</f>
        <v/>
      </c>
      <c r="G11" s="61">
        <f>Mensile!D$12</f>
        <v/>
      </c>
    </row>
    <row r="12">
      <c r="B12" s="42" t="inlineStr">
        <is>
          <t>Mar</t>
        </is>
      </c>
      <c r="C12" s="61">
        <f>Mensile!E$6</f>
        <v/>
      </c>
      <c r="D12" s="61">
        <f>Mensile!E$9</f>
        <v/>
      </c>
      <c r="E12" s="61">
        <f>Mensile!E$10</f>
        <v/>
      </c>
      <c r="F12" s="61">
        <f>Mensile!E$11</f>
        <v/>
      </c>
      <c r="G12" s="61">
        <f>Mensile!E$12</f>
        <v/>
      </c>
    </row>
    <row r="13">
      <c r="B13" s="42" t="inlineStr">
        <is>
          <t>Apr</t>
        </is>
      </c>
      <c r="C13" s="61">
        <f>Mensile!F$6</f>
        <v/>
      </c>
      <c r="D13" s="61">
        <f>Mensile!F$9</f>
        <v/>
      </c>
      <c r="E13" s="61">
        <f>Mensile!F$10</f>
        <v/>
      </c>
      <c r="F13" s="61">
        <f>Mensile!F$11</f>
        <v/>
      </c>
      <c r="G13" s="61">
        <f>Mensile!F$12</f>
        <v/>
      </c>
    </row>
    <row r="14">
      <c r="B14" s="42" t="inlineStr">
        <is>
          <t>Mag</t>
        </is>
      </c>
      <c r="C14" s="61">
        <f>Mensile!G$6</f>
        <v/>
      </c>
      <c r="D14" s="61">
        <f>Mensile!G$9</f>
        <v/>
      </c>
      <c r="E14" s="61">
        <f>Mensile!G$10</f>
        <v/>
      </c>
      <c r="F14" s="61">
        <f>Mensile!G$11</f>
        <v/>
      </c>
      <c r="G14" s="61">
        <f>Mensile!G$12</f>
        <v/>
      </c>
    </row>
    <row r="15">
      <c r="B15" s="42" t="inlineStr">
        <is>
          <t>Giu</t>
        </is>
      </c>
      <c r="C15" s="61">
        <f>Mensile!H$6</f>
        <v/>
      </c>
      <c r="D15" s="61">
        <f>Mensile!H$9</f>
        <v/>
      </c>
      <c r="E15" s="61">
        <f>Mensile!H$10</f>
        <v/>
      </c>
      <c r="F15" s="61">
        <f>Mensile!H$11</f>
        <v/>
      </c>
      <c r="G15" s="61">
        <f>Mensile!H$12</f>
        <v/>
      </c>
    </row>
    <row r="16">
      <c r="B16" s="42" t="inlineStr">
        <is>
          <t>Lug</t>
        </is>
      </c>
      <c r="C16" s="61">
        <f>Mensile!I$6</f>
        <v/>
      </c>
      <c r="D16" s="61">
        <f>Mensile!I$9</f>
        <v/>
      </c>
      <c r="E16" s="61">
        <f>Mensile!I$10</f>
        <v/>
      </c>
      <c r="F16" s="61">
        <f>Mensile!I$11</f>
        <v/>
      </c>
      <c r="G16" s="61">
        <f>Mensile!I$12</f>
        <v/>
      </c>
    </row>
    <row r="17">
      <c r="B17" s="42" t="inlineStr">
        <is>
          <t>Ago</t>
        </is>
      </c>
      <c r="C17" s="61">
        <f>Mensile!J$6</f>
        <v/>
      </c>
      <c r="D17" s="61">
        <f>Mensile!J$9</f>
        <v/>
      </c>
      <c r="E17" s="61">
        <f>Mensile!J$10</f>
        <v/>
      </c>
      <c r="F17" s="61">
        <f>Mensile!J$11</f>
        <v/>
      </c>
      <c r="G17" s="61">
        <f>Mensile!J$12</f>
        <v/>
      </c>
    </row>
    <row r="18">
      <c r="B18" s="42" t="inlineStr">
        <is>
          <t>Set</t>
        </is>
      </c>
      <c r="C18" s="61">
        <f>Mensile!K$6</f>
        <v/>
      </c>
      <c r="D18" s="61">
        <f>Mensile!K$9</f>
        <v/>
      </c>
      <c r="E18" s="61">
        <f>Mensile!K$10</f>
        <v/>
      </c>
      <c r="F18" s="61">
        <f>Mensile!K$11</f>
        <v/>
      </c>
      <c r="G18" s="61">
        <f>Mensile!K$12</f>
        <v/>
      </c>
    </row>
    <row r="19">
      <c r="B19" s="42" t="inlineStr">
        <is>
          <t>Ott</t>
        </is>
      </c>
      <c r="C19" s="61">
        <f>Mensile!L$6</f>
        <v/>
      </c>
      <c r="D19" s="61">
        <f>Mensile!L$9</f>
        <v/>
      </c>
      <c r="E19" s="61">
        <f>Mensile!L$10</f>
        <v/>
      </c>
      <c r="F19" s="61">
        <f>Mensile!L$11</f>
        <v/>
      </c>
      <c r="G19" s="61">
        <f>Mensile!L$12</f>
        <v/>
      </c>
    </row>
    <row r="20">
      <c r="B20" s="42" t="inlineStr">
        <is>
          <t>Nov</t>
        </is>
      </c>
      <c r="C20" s="61">
        <f>Mensile!M$6</f>
        <v/>
      </c>
      <c r="D20" s="61">
        <f>Mensile!M$9</f>
        <v/>
      </c>
      <c r="E20" s="61">
        <f>Mensile!M$10</f>
        <v/>
      </c>
      <c r="F20" s="61">
        <f>Mensile!M$11</f>
        <v/>
      </c>
      <c r="G20" s="61">
        <f>Mensile!M$12</f>
        <v/>
      </c>
    </row>
    <row r="21">
      <c r="B21" s="42" t="inlineStr">
        <is>
          <t>Dic</t>
        </is>
      </c>
      <c r="C21" s="61">
        <f>Mensile!N$6</f>
        <v/>
      </c>
      <c r="D21" s="61">
        <f>Mensile!N$9</f>
        <v/>
      </c>
      <c r="E21" s="61">
        <f>Mensile!N$10</f>
        <v/>
      </c>
      <c r="F21" s="61">
        <f>Mensile!N$11</f>
        <v/>
      </c>
      <c r="G21" s="61">
        <f>Mensile!N$12</f>
        <v/>
      </c>
    </row>
    <row r="22">
      <c r="B22" s="37" t="inlineStr">
        <is>
          <t>Totale</t>
        </is>
      </c>
      <c r="C22" s="62">
        <f>SUM(C10:C21)</f>
        <v/>
      </c>
      <c r="D22" s="62">
        <f>SUM(D10:D21)</f>
        <v/>
      </c>
      <c r="E22" s="62">
        <f>SUM(E10:E21)</f>
        <v/>
      </c>
      <c r="F22" s="62">
        <f>SUM(F10:F21)</f>
        <v/>
      </c>
      <c r="G22" s="62">
        <f>G21</f>
        <v/>
      </c>
    </row>
    <row r="24">
      <c r="B24" s="3" t="inlineStr">
        <is>
          <t>Budget e consuntivo da inizio anno</t>
        </is>
      </c>
      <c r="C24" s="4" t="n"/>
      <c r="D24" s="4" t="n"/>
      <c r="E24" s="4" t="n"/>
      <c r="F24" s="4" t="n"/>
      <c r="G24" s="4" t="n"/>
      <c r="I24" s="3" t="inlineStr">
        <is>
          <t>Controlli</t>
        </is>
      </c>
      <c r="J24" s="4" t="n"/>
      <c r="K24" s="4" t="n"/>
      <c r="L24" s="4" t="n"/>
      <c r="M24" s="4" t="n"/>
    </row>
    <row r="25" ht="22" customHeight="1">
      <c r="B25" s="24" t="inlineStr">
        <is>
          <t>Voce</t>
        </is>
      </c>
      <c r="D25" s="24" t="inlineStr">
        <is>
          <t>Budget</t>
        </is>
      </c>
      <c r="E25" s="24" t="inlineStr">
        <is>
          <t>Consuntivo</t>
        </is>
      </c>
      <c r="F25" s="24" t="inlineStr">
        <is>
          <t>Differenza</t>
        </is>
      </c>
      <c r="G25" s="24" t="inlineStr">
        <is>
          <t>% del budget</t>
        </is>
      </c>
      <c r="I25" s="42" t="inlineStr">
        <is>
          <t>Movimenti registrati</t>
        </is>
      </c>
      <c r="J25" s="63" t="n"/>
      <c r="K25" s="63" t="n"/>
      <c r="L25" s="63" t="n"/>
      <c r="M25" s="21">
        <f>COUNT(Movimenti!$D$6:$D$2005)</f>
        <v/>
      </c>
    </row>
    <row r="26">
      <c r="B26" s="42" t="inlineStr">
        <is>
          <t>Entrate</t>
        </is>
      </c>
      <c r="C26" s="63" t="n"/>
      <c r="D26" s="61">
        <f>Mensile!$W$6</f>
        <v/>
      </c>
      <c r="E26" s="61">
        <f>Mensile!$X$6</f>
        <v/>
      </c>
      <c r="F26" s="61">
        <f>E26-D26</f>
        <v/>
      </c>
      <c r="G26" s="47">
        <f>IF(D26=0,"",E26/D26)</f>
        <v/>
      </c>
      <c r="I26" s="42" t="inlineStr">
        <is>
          <t>Righe del registro da controllare</t>
        </is>
      </c>
      <c r="J26" s="63" t="n"/>
      <c r="K26" s="63" t="n"/>
      <c r="L26" s="63" t="n"/>
      <c r="M26" s="21">
        <f>COUNTIF(Movimenti!$H$6:$H$2005,"?*")</f>
        <v/>
      </c>
      <c r="N26" s="64" t="inlineStr">
        <is>
          <t>Entrata</t>
        </is>
      </c>
    </row>
    <row r="27">
      <c r="B27" s="42" t="inlineStr">
        <is>
          <t>Spese fisse</t>
        </is>
      </c>
      <c r="C27" s="63" t="n"/>
      <c r="D27" s="61">
        <f>Mensile!$W$7</f>
        <v/>
      </c>
      <c r="E27" s="61">
        <f>Mensile!$X$7</f>
        <v/>
      </c>
      <c r="F27" s="61">
        <f>E27-D27</f>
        <v/>
      </c>
      <c r="G27" s="47">
        <f>IF(D27=0,"",E27/D27)</f>
        <v/>
      </c>
      <c r="I27" s="42" t="inlineStr">
        <is>
          <t>Categorie da controllare</t>
        </is>
      </c>
      <c r="J27" s="63" t="n"/>
      <c r="K27" s="63" t="n"/>
      <c r="L27" s="63" t="n"/>
      <c r="M27" s="21">
        <f>COUNTIF(Categorie!$D$6:$D$65,"?*")</f>
        <v/>
      </c>
      <c r="N27" s="64" t="inlineStr">
        <is>
          <t>Spesa fissa</t>
        </is>
      </c>
    </row>
    <row r="28">
      <c r="B28" s="42" t="inlineStr">
        <is>
          <t>Spese variabili</t>
        </is>
      </c>
      <c r="C28" s="63" t="n"/>
      <c r="D28" s="61">
        <f>Mensile!$W$8</f>
        <v/>
      </c>
      <c r="E28" s="61">
        <f>Mensile!$X$8</f>
        <v/>
      </c>
      <c r="F28" s="61">
        <f>E28-D28</f>
        <v/>
      </c>
      <c r="G28" s="47">
        <f>IF(D28=0,"",E28/D28)</f>
        <v/>
      </c>
      <c r="I28" s="42" t="inlineStr">
        <is>
          <t>Debiti da controllare</t>
        </is>
      </c>
      <c r="J28" s="63" t="n"/>
      <c r="K28" s="63" t="n"/>
      <c r="L28" s="63" t="n"/>
      <c r="M28" s="21">
        <f>COUNTIF(Debiti!$G$8:$G$17,"Manca*")+COUNTIF(Debiti!$G$8:$G$17,"Rata*")</f>
        <v/>
      </c>
      <c r="N28" s="64" t="inlineStr">
        <is>
          <t>Spesa variabile</t>
        </is>
      </c>
    </row>
    <row r="29">
      <c r="B29" s="65" t="inlineStr">
        <is>
          <t>Totale spese</t>
        </is>
      </c>
      <c r="C29" s="63" t="n"/>
      <c r="D29" s="66">
        <f>Mensile!$W$9</f>
        <v/>
      </c>
      <c r="E29" s="66">
        <f>Mensile!$X$9</f>
        <v/>
      </c>
      <c r="F29" s="66">
        <f>E29-D29</f>
        <v/>
      </c>
      <c r="G29" s="67">
        <f>IF(D29=0,"",E29/D29)</f>
        <v/>
      </c>
      <c r="I29" s="68">
        <f>IF(M26+M27+M28=0,"Nessun problema rilevato.","Ci sono dati da controllare: vedi le celle arancioni nei fogli Movimenti, Categorie e Debiti.")</f>
        <v/>
      </c>
      <c r="N29" s="64" t="inlineStr">
        <is>
          <t>Spesa totale</t>
        </is>
      </c>
    </row>
    <row r="30">
      <c r="B30" s="42" t="inlineStr">
        <is>
          <t>Risparmio e investimenti</t>
        </is>
      </c>
      <c r="C30" s="63" t="n"/>
      <c r="D30" s="61">
        <f>Mensile!$W$10</f>
        <v/>
      </c>
      <c r="E30" s="61">
        <f>Mensile!$X$10</f>
        <v/>
      </c>
      <c r="F30" s="61">
        <f>E30-D30</f>
        <v/>
      </c>
      <c r="G30" s="47">
        <f>IF(D30=0,"",E30/D30)</f>
        <v/>
      </c>
      <c r="N30" s="64" t="inlineStr">
        <is>
          <t>Risparmio</t>
        </is>
      </c>
    </row>
    <row r="31">
      <c r="B31" s="65" t="inlineStr">
        <is>
          <t>Avanzo</t>
        </is>
      </c>
      <c r="C31" s="63" t="n"/>
      <c r="D31" s="66">
        <f>Mensile!$W$11</f>
        <v/>
      </c>
      <c r="E31" s="66">
        <f>Mensile!$X$11</f>
        <v/>
      </c>
      <c r="F31" s="66">
        <f>E31-D31</f>
        <v/>
      </c>
      <c r="G31" s="67">
        <f>IF(D31=0,"",E31/D31)</f>
        <v/>
      </c>
      <c r="N31" s="64" t="inlineStr">
        <is>
          <t>Risultato</t>
        </is>
      </c>
    </row>
    <row r="32">
      <c r="B32" s="69">
        <f>"Da gennaio a "&amp;LOWER(Impostazioni!$C$13)&amp;". Differenza = consuntivo − budget."</f>
        <v/>
      </c>
    </row>
    <row r="34">
      <c r="B34" s="3" t="inlineStr">
        <is>
          <t>Le 10 categorie di spesa più alte (anno)</t>
        </is>
      </c>
      <c r="C34" s="4" t="n"/>
      <c r="D34" s="4" t="n"/>
      <c r="E34" s="4" t="n"/>
      <c r="F34" s="4" t="n"/>
      <c r="G34" s="4" t="n"/>
    </row>
    <row r="35" ht="22" customHeight="1">
      <c r="B35" s="24" t="inlineStr">
        <is>
          <t>#</t>
        </is>
      </c>
      <c r="C35" s="24" t="inlineStr">
        <is>
          <t>Categoria</t>
        </is>
      </c>
      <c r="F35" s="24" t="inlineStr">
        <is>
          <t>Totale anno</t>
        </is>
      </c>
      <c r="G35" s="24" t="inlineStr">
        <is>
          <t>% sulle spese</t>
        </is>
      </c>
    </row>
    <row r="36">
      <c r="B36" s="70" t="n">
        <v>1</v>
      </c>
      <c r="C36" s="42">
        <f>IF(LARGE(Mensile!$Z$14:$Z$73,B36)&lt;=0,"",INDEX(Mensile!$A$14:$A$73,MATCH(LARGE(Mensile!$Z$14:$Z$73,B36),Mensile!$Z$14:$Z$73,0)))</f>
        <v/>
      </c>
      <c r="D36" s="63" t="n"/>
      <c r="E36" s="63" t="n"/>
      <c r="F36" s="61">
        <f>IF(C36="",0,INDEX(Mensile!$O$14:$O$73,MATCH(LARGE(Mensile!$Z$14:$Z$73,B36),Mensile!$Z$14:$Z$73,0)))</f>
        <v/>
      </c>
      <c r="G36" s="71">
        <f>IF(OR(F36=0,Mensile!$O$9=0),"",F36/Mensile!$O$9)</f>
        <v/>
      </c>
    </row>
    <row r="37">
      <c r="B37" s="70" t="n">
        <v>2</v>
      </c>
      <c r="C37" s="42">
        <f>IF(LARGE(Mensile!$Z$14:$Z$73,B37)&lt;=0,"",INDEX(Mensile!$A$14:$A$73,MATCH(LARGE(Mensile!$Z$14:$Z$73,B37),Mensile!$Z$14:$Z$73,0)))</f>
        <v/>
      </c>
      <c r="D37" s="63" t="n"/>
      <c r="E37" s="63" t="n"/>
      <c r="F37" s="61">
        <f>IF(C37="",0,INDEX(Mensile!$O$14:$O$73,MATCH(LARGE(Mensile!$Z$14:$Z$73,B37),Mensile!$Z$14:$Z$73,0)))</f>
        <v/>
      </c>
      <c r="G37" s="71">
        <f>IF(OR(F37=0,Mensile!$O$9=0),"",F37/Mensile!$O$9)</f>
        <v/>
      </c>
    </row>
    <row r="38">
      <c r="B38" s="70" t="n">
        <v>3</v>
      </c>
      <c r="C38" s="42">
        <f>IF(LARGE(Mensile!$Z$14:$Z$73,B38)&lt;=0,"",INDEX(Mensile!$A$14:$A$73,MATCH(LARGE(Mensile!$Z$14:$Z$73,B38),Mensile!$Z$14:$Z$73,0)))</f>
        <v/>
      </c>
      <c r="D38" s="63" t="n"/>
      <c r="E38" s="63" t="n"/>
      <c r="F38" s="61">
        <f>IF(C38="",0,INDEX(Mensile!$O$14:$O$73,MATCH(LARGE(Mensile!$Z$14:$Z$73,B38),Mensile!$Z$14:$Z$73,0)))</f>
        <v/>
      </c>
      <c r="G38" s="71">
        <f>IF(OR(F38=0,Mensile!$O$9=0),"",F38/Mensile!$O$9)</f>
        <v/>
      </c>
    </row>
    <row r="39">
      <c r="B39" s="70" t="n">
        <v>4</v>
      </c>
      <c r="C39" s="42">
        <f>IF(LARGE(Mensile!$Z$14:$Z$73,B39)&lt;=0,"",INDEX(Mensile!$A$14:$A$73,MATCH(LARGE(Mensile!$Z$14:$Z$73,B39),Mensile!$Z$14:$Z$73,0)))</f>
        <v/>
      </c>
      <c r="D39" s="63" t="n"/>
      <c r="E39" s="63" t="n"/>
      <c r="F39" s="61">
        <f>IF(C39="",0,INDEX(Mensile!$O$14:$O$73,MATCH(LARGE(Mensile!$Z$14:$Z$73,B39),Mensile!$Z$14:$Z$73,0)))</f>
        <v/>
      </c>
      <c r="G39" s="71">
        <f>IF(OR(F39=0,Mensile!$O$9=0),"",F39/Mensile!$O$9)</f>
        <v/>
      </c>
    </row>
    <row r="40">
      <c r="B40" s="70" t="n">
        <v>5</v>
      </c>
      <c r="C40" s="42">
        <f>IF(LARGE(Mensile!$Z$14:$Z$73,B40)&lt;=0,"",INDEX(Mensile!$A$14:$A$73,MATCH(LARGE(Mensile!$Z$14:$Z$73,B40),Mensile!$Z$14:$Z$73,0)))</f>
        <v/>
      </c>
      <c r="D40" s="63" t="n"/>
      <c r="E40" s="63" t="n"/>
      <c r="F40" s="61">
        <f>IF(C40="",0,INDEX(Mensile!$O$14:$O$73,MATCH(LARGE(Mensile!$Z$14:$Z$73,B40),Mensile!$Z$14:$Z$73,0)))</f>
        <v/>
      </c>
      <c r="G40" s="71">
        <f>IF(OR(F40=0,Mensile!$O$9=0),"",F40/Mensile!$O$9)</f>
        <v/>
      </c>
    </row>
    <row r="41">
      <c r="B41" s="70" t="n">
        <v>6</v>
      </c>
      <c r="C41" s="42">
        <f>IF(LARGE(Mensile!$Z$14:$Z$73,B41)&lt;=0,"",INDEX(Mensile!$A$14:$A$73,MATCH(LARGE(Mensile!$Z$14:$Z$73,B41),Mensile!$Z$14:$Z$73,0)))</f>
        <v/>
      </c>
      <c r="D41" s="63" t="n"/>
      <c r="E41" s="63" t="n"/>
      <c r="F41" s="61">
        <f>IF(C41="",0,INDEX(Mensile!$O$14:$O$73,MATCH(LARGE(Mensile!$Z$14:$Z$73,B41),Mensile!$Z$14:$Z$73,0)))</f>
        <v/>
      </c>
      <c r="G41" s="71">
        <f>IF(OR(F41=0,Mensile!$O$9=0),"",F41/Mensile!$O$9)</f>
        <v/>
      </c>
    </row>
    <row r="42">
      <c r="B42" s="70" t="n">
        <v>7</v>
      </c>
      <c r="C42" s="42">
        <f>IF(LARGE(Mensile!$Z$14:$Z$73,B42)&lt;=0,"",INDEX(Mensile!$A$14:$A$73,MATCH(LARGE(Mensile!$Z$14:$Z$73,B42),Mensile!$Z$14:$Z$73,0)))</f>
        <v/>
      </c>
      <c r="D42" s="63" t="n"/>
      <c r="E42" s="63" t="n"/>
      <c r="F42" s="61">
        <f>IF(C42="",0,INDEX(Mensile!$O$14:$O$73,MATCH(LARGE(Mensile!$Z$14:$Z$73,B42),Mensile!$Z$14:$Z$73,0)))</f>
        <v/>
      </c>
      <c r="G42" s="71">
        <f>IF(OR(F42=0,Mensile!$O$9=0),"",F42/Mensile!$O$9)</f>
        <v/>
      </c>
    </row>
    <row r="43">
      <c r="B43" s="70" t="n">
        <v>8</v>
      </c>
      <c r="C43" s="42">
        <f>IF(LARGE(Mensile!$Z$14:$Z$73,B43)&lt;=0,"",INDEX(Mensile!$A$14:$A$73,MATCH(LARGE(Mensile!$Z$14:$Z$73,B43),Mensile!$Z$14:$Z$73,0)))</f>
        <v/>
      </c>
      <c r="D43" s="63" t="n"/>
      <c r="E43" s="63" t="n"/>
      <c r="F43" s="61">
        <f>IF(C43="",0,INDEX(Mensile!$O$14:$O$73,MATCH(LARGE(Mensile!$Z$14:$Z$73,B43),Mensile!$Z$14:$Z$73,0)))</f>
        <v/>
      </c>
      <c r="G43" s="71">
        <f>IF(OR(F43=0,Mensile!$O$9=0),"",F43/Mensile!$O$9)</f>
        <v/>
      </c>
    </row>
    <row r="44">
      <c r="B44" s="70" t="n">
        <v>9</v>
      </c>
      <c r="C44" s="42">
        <f>IF(LARGE(Mensile!$Z$14:$Z$73,B44)&lt;=0,"",INDEX(Mensile!$A$14:$A$73,MATCH(LARGE(Mensile!$Z$14:$Z$73,B44),Mensile!$Z$14:$Z$73,0)))</f>
        <v/>
      </c>
      <c r="D44" s="63" t="n"/>
      <c r="E44" s="63" t="n"/>
      <c r="F44" s="61">
        <f>IF(C44="",0,INDEX(Mensile!$O$14:$O$73,MATCH(LARGE(Mensile!$Z$14:$Z$73,B44),Mensile!$Z$14:$Z$73,0)))</f>
        <v/>
      </c>
      <c r="G44" s="71">
        <f>IF(OR(F44=0,Mensile!$O$9=0),"",F44/Mensile!$O$9)</f>
        <v/>
      </c>
    </row>
    <row r="45">
      <c r="B45" s="70" t="n">
        <v>10</v>
      </c>
      <c r="C45" s="42">
        <f>IF(LARGE(Mensile!$Z$14:$Z$73,B45)&lt;=0,"",INDEX(Mensile!$A$14:$A$73,MATCH(LARGE(Mensile!$Z$14:$Z$73,B45),Mensile!$Z$14:$Z$73,0)))</f>
        <v/>
      </c>
      <c r="D45" s="63" t="n"/>
      <c r="E45" s="63" t="n"/>
      <c r="F45" s="61">
        <f>IF(C45="",0,INDEX(Mensile!$O$14:$O$73,MATCH(LARGE(Mensile!$Z$14:$Z$73,B45),Mensile!$Z$14:$Z$73,0)))</f>
        <v/>
      </c>
      <c r="G45" s="71">
        <f>IF(OR(F45=0,Mensile!$O$9=0),"",F45/Mensile!$O$9)</f>
        <v/>
      </c>
    </row>
    <row r="48">
      <c r="B48" s="3" t="inlineStr">
        <is>
          <t>Spese ed entrate per persona (anno)</t>
        </is>
      </c>
      <c r="C48" s="4" t="n"/>
      <c r="D48" s="4" t="n"/>
      <c r="E48" s="4" t="n"/>
      <c r="F48" s="4" t="n"/>
      <c r="G48" s="4" t="n"/>
    </row>
    <row r="49" ht="22" customHeight="1">
      <c r="B49" s="24" t="inlineStr">
        <is>
          <t>Persona</t>
        </is>
      </c>
      <c r="D49" s="24" t="inlineStr">
        <is>
          <t>Spese</t>
        </is>
      </c>
      <c r="E49" s="24" t="inlineStr">
        <is>
          <t>Entrate</t>
        </is>
      </c>
      <c r="F49" s="24" t="inlineStr">
        <is>
          <t>% sulle spese</t>
        </is>
      </c>
    </row>
    <row r="50">
      <c r="B50" s="42">
        <f>IF(OR(Impostazioni!$C$16="",COUNTIF(Impostazioni!$C$15:$C$15,Impostazioni!$C$16)&gt;0),"",Impostazioni!$C$16)</f>
        <v/>
      </c>
      <c r="C50" s="63" t="n"/>
      <c r="D50" s="61">
        <f>IF(B50="",0,SUMIFS(Movimenti!$D$6:$D$2005,Movimenti!$F$6:$F$2005,B50,Movimenti!$G$6:$G$2005,"Spesa*",Movimenti!$A$6:$A$2005,"&gt;="&amp;DATE(Impostazioni!$C$4,1,1),Movimenti!$A$6:$A$2005,"&lt;"&amp;DATE(Impostazioni!$C$4+1,1,1)))</f>
        <v/>
      </c>
      <c r="E50" s="61">
        <f>IF(B50="",0,SUMIFS(Movimenti!$D$6:$D$2005,Movimenti!$F$6:$F$2005,B50,Movimenti!$G$6:$G$2005,"Entrata",Movimenti!$A$6:$A$2005,"&gt;="&amp;DATE(Impostazioni!$C$4,1,1),Movimenti!$A$6:$A$2005,"&lt;"&amp;DATE(Impostazioni!$C$4+1,1,1)))</f>
        <v/>
      </c>
      <c r="F50" s="71">
        <f>IF(OR(D50=0,Mensile!$O$9=0),"",D50/Mensile!$O$9)</f>
        <v/>
      </c>
    </row>
    <row r="51">
      <c r="B51" s="42">
        <f>IF(OR(Impostazioni!$C$17="",COUNTIF(Impostazioni!$C$15:$C$16,Impostazioni!$C$17)&gt;0),"",Impostazioni!$C$17)</f>
        <v/>
      </c>
      <c r="C51" s="63" t="n"/>
      <c r="D51" s="61">
        <f>IF(B51="",0,SUMIFS(Movimenti!$D$6:$D$2005,Movimenti!$F$6:$F$2005,B51,Movimenti!$G$6:$G$2005,"Spesa*",Movimenti!$A$6:$A$2005,"&gt;="&amp;DATE(Impostazioni!$C$4,1,1),Movimenti!$A$6:$A$2005,"&lt;"&amp;DATE(Impostazioni!$C$4+1,1,1)))</f>
        <v/>
      </c>
      <c r="E51" s="61">
        <f>IF(B51="",0,SUMIFS(Movimenti!$D$6:$D$2005,Movimenti!$F$6:$F$2005,B51,Movimenti!$G$6:$G$2005,"Entrata",Movimenti!$A$6:$A$2005,"&gt;="&amp;DATE(Impostazioni!$C$4,1,1),Movimenti!$A$6:$A$2005,"&lt;"&amp;DATE(Impostazioni!$C$4+1,1,1)))</f>
        <v/>
      </c>
      <c r="F51" s="71">
        <f>IF(OR(D51=0,Mensile!$O$9=0),"",D51/Mensile!$O$9)</f>
        <v/>
      </c>
    </row>
    <row r="52">
      <c r="B52" s="42">
        <f>IF(OR(Impostazioni!$C$18="",COUNTIF(Impostazioni!$C$15:$C$17,Impostazioni!$C$18)&gt;0),"",Impostazioni!$C$18)</f>
        <v/>
      </c>
      <c r="C52" s="63" t="n"/>
      <c r="D52" s="61">
        <f>IF(B52="",0,SUMIFS(Movimenti!$D$6:$D$2005,Movimenti!$F$6:$F$2005,B52,Movimenti!$G$6:$G$2005,"Spesa*",Movimenti!$A$6:$A$2005,"&gt;="&amp;DATE(Impostazioni!$C$4,1,1),Movimenti!$A$6:$A$2005,"&lt;"&amp;DATE(Impostazioni!$C$4+1,1,1)))</f>
        <v/>
      </c>
      <c r="E52" s="61">
        <f>IF(B52="",0,SUMIFS(Movimenti!$D$6:$D$2005,Movimenti!$F$6:$F$2005,B52,Movimenti!$G$6:$G$2005,"Entrata",Movimenti!$A$6:$A$2005,"&gt;="&amp;DATE(Impostazioni!$C$4,1,1),Movimenti!$A$6:$A$2005,"&lt;"&amp;DATE(Impostazioni!$C$4+1,1,1)))</f>
        <v/>
      </c>
      <c r="F52" s="71">
        <f>IF(OR(D52=0,Mensile!$O$9=0),"",D52/Mensile!$O$9)</f>
        <v/>
      </c>
    </row>
    <row r="53">
      <c r="B53" s="42">
        <f>IF(OR(Impostazioni!$C$19="",COUNTIF(Impostazioni!$C$15:$C$18,Impostazioni!$C$19)&gt;0),"",Impostazioni!$C$19)</f>
        <v/>
      </c>
      <c r="C53" s="63" t="n"/>
      <c r="D53" s="61">
        <f>IF(B53="",0,SUMIFS(Movimenti!$D$6:$D$2005,Movimenti!$F$6:$F$2005,B53,Movimenti!$G$6:$G$2005,"Spesa*",Movimenti!$A$6:$A$2005,"&gt;="&amp;DATE(Impostazioni!$C$4,1,1),Movimenti!$A$6:$A$2005,"&lt;"&amp;DATE(Impostazioni!$C$4+1,1,1)))</f>
        <v/>
      </c>
      <c r="E53" s="61">
        <f>IF(B53="",0,SUMIFS(Movimenti!$D$6:$D$2005,Movimenti!$F$6:$F$2005,B53,Movimenti!$G$6:$G$2005,"Entrata",Movimenti!$A$6:$A$2005,"&gt;="&amp;DATE(Impostazioni!$C$4,1,1),Movimenti!$A$6:$A$2005,"&lt;"&amp;DATE(Impostazioni!$C$4+1,1,1)))</f>
        <v/>
      </c>
      <c r="F53" s="71">
        <f>IF(OR(D53=0,Mensile!$O$9=0),"",D53/Mensile!$O$9)</f>
        <v/>
      </c>
    </row>
    <row r="54">
      <c r="B54" s="42">
        <f>IF(OR(Impostazioni!$C$20="",COUNTIF(Impostazioni!$C$15:$C$19,Impostazioni!$C$20)&gt;0),"",Impostazioni!$C$20)</f>
        <v/>
      </c>
      <c r="C54" s="63" t="n"/>
      <c r="D54" s="61">
        <f>IF(B54="",0,SUMIFS(Movimenti!$D$6:$D$2005,Movimenti!$F$6:$F$2005,B54,Movimenti!$G$6:$G$2005,"Spesa*",Movimenti!$A$6:$A$2005,"&gt;="&amp;DATE(Impostazioni!$C$4,1,1),Movimenti!$A$6:$A$2005,"&lt;"&amp;DATE(Impostazioni!$C$4+1,1,1)))</f>
        <v/>
      </c>
      <c r="E54" s="61">
        <f>IF(B54="",0,SUMIFS(Movimenti!$D$6:$D$2005,Movimenti!$F$6:$F$2005,B54,Movimenti!$G$6:$G$2005,"Entrata",Movimenti!$A$6:$A$2005,"&gt;="&amp;DATE(Impostazioni!$C$4,1,1),Movimenti!$A$6:$A$2005,"&lt;"&amp;DATE(Impostazioni!$C$4+1,1,1)))</f>
        <v/>
      </c>
      <c r="F54" s="71">
        <f>IF(OR(D54=0,Mensile!$O$9=0),"",D54/Mensile!$O$9)</f>
        <v/>
      </c>
    </row>
    <row r="55">
      <c r="B55" s="42">
        <f>IF(OR(Impostazioni!$C$21="",COUNTIF(Impostazioni!$C$15:$C$20,Impostazioni!$C$21)&gt;0),"",Impostazioni!$C$21)</f>
        <v/>
      </c>
      <c r="C55" s="63" t="n"/>
      <c r="D55" s="61">
        <f>IF(B55="",0,SUMIFS(Movimenti!$D$6:$D$2005,Movimenti!$F$6:$F$2005,B55,Movimenti!$G$6:$G$2005,"Spesa*",Movimenti!$A$6:$A$2005,"&gt;="&amp;DATE(Impostazioni!$C$4,1,1),Movimenti!$A$6:$A$2005,"&lt;"&amp;DATE(Impostazioni!$C$4+1,1,1)))</f>
        <v/>
      </c>
      <c r="E55" s="61">
        <f>IF(B55="",0,SUMIFS(Movimenti!$D$6:$D$2005,Movimenti!$F$6:$F$2005,B55,Movimenti!$G$6:$G$2005,"Entrata",Movimenti!$A$6:$A$2005,"&gt;="&amp;DATE(Impostazioni!$C$4,1,1),Movimenti!$A$6:$A$2005,"&lt;"&amp;DATE(Impostazioni!$C$4+1,1,1)))</f>
        <v/>
      </c>
      <c r="F55" s="71">
        <f>IF(OR(D55=0,Mensile!$O$9=0),"",D55/Mensile!$O$9)</f>
        <v/>
      </c>
    </row>
    <row r="56">
      <c r="B56" s="72" t="inlineStr">
        <is>
          <t>Comuni o senza nome</t>
        </is>
      </c>
      <c r="C56" s="63" t="n"/>
      <c r="D56" s="61">
        <f>Mensile!$O$9-SUM(D50:D55)</f>
        <v/>
      </c>
      <c r="E56" s="61">
        <f>Mensile!$O$6-SUM(E50:E55)</f>
        <v/>
      </c>
      <c r="F56" s="71">
        <f>IF(OR(D56=0,Mensile!$O$9=0),"",D56/Mensile!$O$9)</f>
        <v/>
      </c>
    </row>
    <row r="57">
      <c r="B57" s="69" t="inlineStr">
        <is>
          <t>La persona è la colonna «Chi» dei Movimenti; i nomi si inseriscono in Impostazioni.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9">
    <mergeCell ref="F4:G4"/>
    <mergeCell ref="B54:C54"/>
    <mergeCell ref="C44:E44"/>
    <mergeCell ref="C41:E41"/>
    <mergeCell ref="J5:K5"/>
    <mergeCell ref="B25:C25"/>
    <mergeCell ref="C40:E40"/>
    <mergeCell ref="F6:G6"/>
    <mergeCell ref="H4:I4"/>
    <mergeCell ref="B31:C31"/>
    <mergeCell ref="B27:C27"/>
    <mergeCell ref="B56:C56"/>
    <mergeCell ref="C43:E43"/>
    <mergeCell ref="D6:E6"/>
    <mergeCell ref="B52:C52"/>
    <mergeCell ref="C36:E36"/>
    <mergeCell ref="H6:I6"/>
    <mergeCell ref="J6:K6"/>
    <mergeCell ref="I29:M30"/>
    <mergeCell ref="F5:G5"/>
    <mergeCell ref="C39:E39"/>
    <mergeCell ref="L5:M5"/>
    <mergeCell ref="B53:C53"/>
    <mergeCell ref="I27:L27"/>
    <mergeCell ref="C38:E38"/>
    <mergeCell ref="J4:K4"/>
    <mergeCell ref="L4:M4"/>
    <mergeCell ref="B29:C29"/>
    <mergeCell ref="I26:L26"/>
    <mergeCell ref="C37:E37"/>
    <mergeCell ref="B28:C28"/>
    <mergeCell ref="D4:E4"/>
    <mergeCell ref="I25:L25"/>
    <mergeCell ref="B49:C49"/>
    <mergeCell ref="C42:E42"/>
    <mergeCell ref="B55:C55"/>
    <mergeCell ref="B6:C6"/>
    <mergeCell ref="B30:C30"/>
    <mergeCell ref="I28:L28"/>
    <mergeCell ref="L6:M6"/>
    <mergeCell ref="B5:C5"/>
    <mergeCell ref="C45:E45"/>
    <mergeCell ref="B51:C51"/>
    <mergeCell ref="D5:E5"/>
    <mergeCell ref="H5:I5"/>
    <mergeCell ref="B50:C50"/>
    <mergeCell ref="B26:C26"/>
    <mergeCell ref="C35:E35"/>
    <mergeCell ref="B4:C4"/>
  </mergeCells>
  <conditionalFormatting sqref="F26:F31">
    <cfRule type="expression" priority="1" dxfId="3">
      <formula>OR(AND(LEFT($N26,5)="Spesa",F26&gt;0.5),AND(LEFT($N26,5)&lt;&gt;"Spesa",F26&lt;-0.5))</formula>
    </cfRule>
    <cfRule type="expression" priority="2" dxfId="2">
      <formula>OR(AND(LEFT($N26,5)="Spesa",F26&lt;-0.5),AND(LEFT($N26,5)&lt;&gt;"Spesa",F26&gt;0.5))</formula>
    </cfRule>
  </conditionalFormatting>
  <conditionalFormatting sqref="M26:M28">
    <cfRule type="expression" priority="3" dxfId="0">
      <formula>M26&gt;0</formula>
    </cfRule>
  </conditionalFormatting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E3C766"/>
    <outlinePr summaryBelow="1" summaryRight="1"/>
    <pageSetUpPr fitToPage="1"/>
  </sheetPr>
  <dimension ref="B1:K24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3" customWidth="1" min="4" max="4"/>
    <col width="15" customWidth="1" min="5" max="5"/>
    <col width="15" customWidth="1" min="6" max="6"/>
    <col width="11" customWidth="1" min="7" max="7"/>
    <col width="24" customWidth="1" min="8" max="8"/>
    <col width="11" customWidth="1" min="9" max="9"/>
    <col width="17" customWidth="1" min="10" max="10"/>
    <col width="18" customWidth="1" min="11" max="11"/>
  </cols>
  <sheetData>
    <row r="1" ht="30" customHeight="1">
      <c r="B1" s="12" t="inlineStr">
        <is>
          <t>Obiettivi di risparmio</t>
        </is>
      </c>
    </row>
    <row r="2">
      <c r="B2" s="2" t="inlineStr">
        <is>
          <t>Per ogni obiettivo indica importo, scadenza e quanto hai già messo da parte. La quota mensile parte dalla data di riferimento (Impostazioni).</t>
        </is>
      </c>
    </row>
    <row r="4" ht="32" customHeight="1">
      <c r="B4" s="24" t="inlineStr">
        <is>
          <t>Obiettivo</t>
        </is>
      </c>
      <c r="C4" s="24" t="inlineStr">
        <is>
          <t>Importo obiettivo</t>
        </is>
      </c>
      <c r="D4" s="24" t="inlineStr">
        <is>
          <t>Scadenza</t>
        </is>
      </c>
      <c r="E4" s="24" t="inlineStr">
        <is>
          <t>Già versato</t>
        </is>
      </c>
      <c r="F4" s="24" t="inlineStr">
        <is>
          <t>Mancante</t>
        </is>
      </c>
      <c r="G4" s="24" t="inlineStr">
        <is>
          <t>% raggiunta</t>
        </is>
      </c>
      <c r="H4" s="24" t="inlineStr">
        <is>
          <t>Avanzamento</t>
        </is>
      </c>
      <c r="I4" s="24" t="inlineStr">
        <is>
          <t>Mesi rimanenti</t>
        </is>
      </c>
      <c r="J4" s="24" t="inlineStr">
        <is>
          <t>Quota mensile necessaria</t>
        </is>
      </c>
      <c r="K4" s="24" t="inlineStr">
        <is>
          <t>Stato</t>
        </is>
      </c>
    </row>
    <row r="5">
      <c r="B5" s="17" t="inlineStr">
        <is>
          <t>Fondo per le emergenze</t>
        </is>
      </c>
      <c r="C5" s="43" t="n">
        <v>12000</v>
      </c>
      <c r="D5" s="73" t="n">
        <v>47118</v>
      </c>
      <c r="E5" s="43" t="n">
        <v>6300</v>
      </c>
      <c r="F5" s="36">
        <f>IF(B5="","",MAX(0,N(C5)-N(E5)))</f>
        <v/>
      </c>
      <c r="G5" s="47">
        <f>IF(OR(B5="",N(C5)&lt;=0),"",MIN(1,N(E5)/C5))</f>
        <v/>
      </c>
      <c r="H5" s="74">
        <f>IF(G5="","",REPT("█",ROUND(G5*20,0))&amp;REPT("░",20-ROUND(G5*20,0)))</f>
        <v/>
      </c>
      <c r="I5" s="75">
        <f>IF(OR(B5="",D5=""),"",MAX(0,(YEAR(D5)-YEAR(Impostazioni!$C$11))*12+MONTH(D5)-MONTH(Impostazioni!$C$11)))</f>
        <v/>
      </c>
      <c r="J5" s="45">
        <f>IF(OR(B5="",N(C5)&lt;=0),"",IF(F5=0,0,IF(I5="","",F5/MAX(1,I5))))</f>
        <v/>
      </c>
      <c r="K5" s="76">
        <f>IF(B5="","",IF(N(C5)&lt;=0,"Manca l'importo",IF(F5=0,"Raggiunto",IF(D5="","Manca la scadenza",IF(D5&lt;Impostazioni!$C$11,"Scaduto","In corso")))))</f>
        <v/>
      </c>
    </row>
    <row r="6">
      <c r="B6" s="17" t="inlineStr">
        <is>
          <t>Vacanza estate 2027</t>
        </is>
      </c>
      <c r="C6" s="43" t="n">
        <v>2400</v>
      </c>
      <c r="D6" s="73" t="n">
        <v>46568</v>
      </c>
      <c r="E6" s="43" t="n">
        <v>1200</v>
      </c>
      <c r="F6" s="36">
        <f>IF(B6="","",MAX(0,N(C6)-N(E6)))</f>
        <v/>
      </c>
      <c r="G6" s="47">
        <f>IF(OR(B6="",N(C6)&lt;=0),"",MIN(1,N(E6)/C6))</f>
        <v/>
      </c>
      <c r="H6" s="74">
        <f>IF(G6="","",REPT("█",ROUND(G6*20,0))&amp;REPT("░",20-ROUND(G6*20,0)))</f>
        <v/>
      </c>
      <c r="I6" s="75">
        <f>IF(OR(B6="",D6=""),"",MAX(0,(YEAR(D6)-YEAR(Impostazioni!$C$11))*12+MONTH(D6)-MONTH(Impostazioni!$C$11)))</f>
        <v/>
      </c>
      <c r="J6" s="45">
        <f>IF(OR(B6="",N(C6)&lt;=0),"",IF(F6=0,0,IF(I6="","",F6/MAX(1,I6))))</f>
        <v/>
      </c>
      <c r="K6" s="76">
        <f>IF(B6="","",IF(N(C6)&lt;=0,"Manca l'importo",IF(F6=0,"Raggiunto",IF(D6="","Manca la scadenza",IF(D6&lt;Impostazioni!$C$11,"Scaduto","In corso")))))</f>
        <v/>
      </c>
    </row>
    <row r="7">
      <c r="B7" s="17" t="inlineStr">
        <is>
          <t>Auto nuova</t>
        </is>
      </c>
      <c r="C7" s="43" t="n">
        <v>9000</v>
      </c>
      <c r="D7" s="73" t="n">
        <v>47483</v>
      </c>
      <c r="E7" s="43" t="n">
        <v>2000</v>
      </c>
      <c r="F7" s="36">
        <f>IF(B7="","",MAX(0,N(C7)-N(E7)))</f>
        <v/>
      </c>
      <c r="G7" s="47">
        <f>IF(OR(B7="",N(C7)&lt;=0),"",MIN(1,N(E7)/C7))</f>
        <v/>
      </c>
      <c r="H7" s="74">
        <f>IF(G7="","",REPT("█",ROUND(G7*20,0))&amp;REPT("░",20-ROUND(G7*20,0)))</f>
        <v/>
      </c>
      <c r="I7" s="75">
        <f>IF(OR(B7="",D7=""),"",MAX(0,(YEAR(D7)-YEAR(Impostazioni!$C$11))*12+MONTH(D7)-MONTH(Impostazioni!$C$11)))</f>
        <v/>
      </c>
      <c r="J7" s="45">
        <f>IF(OR(B7="",N(C7)&lt;=0),"",IF(F7=0,0,IF(I7="","",F7/MAX(1,I7))))</f>
        <v/>
      </c>
      <c r="K7" s="76">
        <f>IF(B7="","",IF(N(C7)&lt;=0,"Manca l'importo",IF(F7=0,"Raggiunto",IF(D7="","Manca la scadenza",IF(D7&lt;Impostazioni!$C$11,"Scaduto","In corso")))))</f>
        <v/>
      </c>
    </row>
    <row r="8">
      <c r="B8" s="17" t="inlineStr">
        <is>
          <t>Regali di Natale 2026</t>
        </is>
      </c>
      <c r="C8" s="43" t="n">
        <v>400</v>
      </c>
      <c r="D8" s="73" t="n">
        <v>46357</v>
      </c>
      <c r="E8" s="43" t="n">
        <v>400</v>
      </c>
      <c r="F8" s="36">
        <f>IF(B8="","",MAX(0,N(C8)-N(E8)))</f>
        <v/>
      </c>
      <c r="G8" s="47">
        <f>IF(OR(B8="",N(C8)&lt;=0),"",MIN(1,N(E8)/C8))</f>
        <v/>
      </c>
      <c r="H8" s="74">
        <f>IF(G8="","",REPT("█",ROUND(G8*20,0))&amp;REPT("░",20-ROUND(G8*20,0)))</f>
        <v/>
      </c>
      <c r="I8" s="75">
        <f>IF(OR(B8="",D8=""),"",MAX(0,(YEAR(D8)-YEAR(Impostazioni!$C$11))*12+MONTH(D8)-MONTH(Impostazioni!$C$11)))</f>
        <v/>
      </c>
      <c r="J8" s="45">
        <f>IF(OR(B8="",N(C8)&lt;=0),"",IF(F8=0,0,IF(I8="","",F8/MAX(1,I8))))</f>
        <v/>
      </c>
      <c r="K8" s="76">
        <f>IF(B8="","",IF(N(C8)&lt;=0,"Manca l'importo",IF(F8=0,"Raggiunto",IF(D8="","Manca la scadenza",IF(D8&lt;Impostazioni!$C$11,"Scaduto","In corso")))))</f>
        <v/>
      </c>
    </row>
    <row r="9">
      <c r="B9" s="17" t="inlineStr">
        <is>
          <t>Corso di inglese Sofia</t>
        </is>
      </c>
      <c r="C9" s="43" t="n">
        <v>600</v>
      </c>
      <c r="D9" s="73" t="n">
        <v>46630</v>
      </c>
      <c r="E9" s="43" t="n">
        <v>150</v>
      </c>
      <c r="F9" s="36">
        <f>IF(B9="","",MAX(0,N(C9)-N(E9)))</f>
        <v/>
      </c>
      <c r="G9" s="47">
        <f>IF(OR(B9="",N(C9)&lt;=0),"",MIN(1,N(E9)/C9))</f>
        <v/>
      </c>
      <c r="H9" s="74">
        <f>IF(G9="","",REPT("█",ROUND(G9*20,0))&amp;REPT("░",20-ROUND(G9*20,0)))</f>
        <v/>
      </c>
      <c r="I9" s="75">
        <f>IF(OR(B9="",D9=""),"",MAX(0,(YEAR(D9)-YEAR(Impostazioni!$C$11))*12+MONTH(D9)-MONTH(Impostazioni!$C$11)))</f>
        <v/>
      </c>
      <c r="J9" s="45">
        <f>IF(OR(B9="",N(C9)&lt;=0),"",IF(F9=0,0,IF(I9="","",F9/MAX(1,I9))))</f>
        <v/>
      </c>
      <c r="K9" s="76">
        <f>IF(B9="","",IF(N(C9)&lt;=0,"Manca l'importo",IF(F9=0,"Raggiunto",IF(D9="","Manca la scadenza",IF(D9&lt;Impostazioni!$C$11,"Scaduto","In corso")))))</f>
        <v/>
      </c>
    </row>
    <row r="10">
      <c r="B10" s="17" t="n"/>
      <c r="C10" s="43" t="n"/>
      <c r="D10" s="73" t="n"/>
      <c r="E10" s="43" t="n"/>
      <c r="F10" s="36">
        <f>IF(B10="","",MAX(0,N(C10)-N(E10)))</f>
        <v/>
      </c>
      <c r="G10" s="47">
        <f>IF(OR(B10="",N(C10)&lt;=0),"",MIN(1,N(E10)/C10))</f>
        <v/>
      </c>
      <c r="H10" s="74">
        <f>IF(G10="","",REPT("█",ROUND(G10*20,0))&amp;REPT("░",20-ROUND(G10*20,0)))</f>
        <v/>
      </c>
      <c r="I10" s="75">
        <f>IF(OR(B10="",D10=""),"",MAX(0,(YEAR(D10)-YEAR(Impostazioni!$C$11))*12+MONTH(D10)-MONTH(Impostazioni!$C$11)))</f>
        <v/>
      </c>
      <c r="J10" s="45">
        <f>IF(OR(B10="",N(C10)&lt;=0),"",IF(F10=0,0,IF(I10="","",F10/MAX(1,I10))))</f>
        <v/>
      </c>
      <c r="K10" s="76">
        <f>IF(B10="","",IF(N(C10)&lt;=0,"Manca l'importo",IF(F10=0,"Raggiunto",IF(D10="","Manca la scadenza",IF(D10&lt;Impostazioni!$C$11,"Scaduto","In corso")))))</f>
        <v/>
      </c>
    </row>
    <row r="11">
      <c r="B11" s="17" t="n"/>
      <c r="C11" s="43" t="n"/>
      <c r="D11" s="73" t="n"/>
      <c r="E11" s="43" t="n"/>
      <c r="F11" s="36">
        <f>IF(B11="","",MAX(0,N(C11)-N(E11)))</f>
        <v/>
      </c>
      <c r="G11" s="47">
        <f>IF(OR(B11="",N(C11)&lt;=0),"",MIN(1,N(E11)/C11))</f>
        <v/>
      </c>
      <c r="H11" s="74">
        <f>IF(G11="","",REPT("█",ROUND(G11*20,0))&amp;REPT("░",20-ROUND(G11*20,0)))</f>
        <v/>
      </c>
      <c r="I11" s="75">
        <f>IF(OR(B11="",D11=""),"",MAX(0,(YEAR(D11)-YEAR(Impostazioni!$C$11))*12+MONTH(D11)-MONTH(Impostazioni!$C$11)))</f>
        <v/>
      </c>
      <c r="J11" s="45">
        <f>IF(OR(B11="",N(C11)&lt;=0),"",IF(F11=0,0,IF(I11="","",F11/MAX(1,I11))))</f>
        <v/>
      </c>
      <c r="K11" s="76">
        <f>IF(B11="","",IF(N(C11)&lt;=0,"Manca l'importo",IF(F11=0,"Raggiunto",IF(D11="","Manca la scadenza",IF(D11&lt;Impostazioni!$C$11,"Scaduto","In corso")))))</f>
        <v/>
      </c>
    </row>
    <row r="12">
      <c r="B12" s="17" t="n"/>
      <c r="C12" s="43" t="n"/>
      <c r="D12" s="73" t="n"/>
      <c r="E12" s="43" t="n"/>
      <c r="F12" s="36">
        <f>IF(B12="","",MAX(0,N(C12)-N(E12)))</f>
        <v/>
      </c>
      <c r="G12" s="47">
        <f>IF(OR(B12="",N(C12)&lt;=0),"",MIN(1,N(E12)/C12))</f>
        <v/>
      </c>
      <c r="H12" s="74">
        <f>IF(G12="","",REPT("█",ROUND(G12*20,0))&amp;REPT("░",20-ROUND(G12*20,0)))</f>
        <v/>
      </c>
      <c r="I12" s="75">
        <f>IF(OR(B12="",D12=""),"",MAX(0,(YEAR(D12)-YEAR(Impostazioni!$C$11))*12+MONTH(D12)-MONTH(Impostazioni!$C$11)))</f>
        <v/>
      </c>
      <c r="J12" s="45">
        <f>IF(OR(B12="",N(C12)&lt;=0),"",IF(F12=0,0,IF(I12="","",F12/MAX(1,I12))))</f>
        <v/>
      </c>
      <c r="K12" s="76">
        <f>IF(B12="","",IF(N(C12)&lt;=0,"Manca l'importo",IF(F12=0,"Raggiunto",IF(D12="","Manca la scadenza",IF(D12&lt;Impostazioni!$C$11,"Scaduto","In corso")))))</f>
        <v/>
      </c>
    </row>
    <row r="13">
      <c r="B13" s="17" t="n"/>
      <c r="C13" s="43" t="n"/>
      <c r="D13" s="73" t="n"/>
      <c r="E13" s="43" t="n"/>
      <c r="F13" s="36">
        <f>IF(B13="","",MAX(0,N(C13)-N(E13)))</f>
        <v/>
      </c>
      <c r="G13" s="47">
        <f>IF(OR(B13="",N(C13)&lt;=0),"",MIN(1,N(E13)/C13))</f>
        <v/>
      </c>
      <c r="H13" s="74">
        <f>IF(G13="","",REPT("█",ROUND(G13*20,0))&amp;REPT("░",20-ROUND(G13*20,0)))</f>
        <v/>
      </c>
      <c r="I13" s="75">
        <f>IF(OR(B13="",D13=""),"",MAX(0,(YEAR(D13)-YEAR(Impostazioni!$C$11))*12+MONTH(D13)-MONTH(Impostazioni!$C$11)))</f>
        <v/>
      </c>
      <c r="J13" s="45">
        <f>IF(OR(B13="",N(C13)&lt;=0),"",IF(F13=0,0,IF(I13="","",F13/MAX(1,I13))))</f>
        <v/>
      </c>
      <c r="K13" s="76">
        <f>IF(B13="","",IF(N(C13)&lt;=0,"Manca l'importo",IF(F13=0,"Raggiunto",IF(D13="","Manca la scadenza",IF(D13&lt;Impostazioni!$C$11,"Scaduto","In corso")))))</f>
        <v/>
      </c>
    </row>
    <row r="14">
      <c r="B14" s="17" t="n"/>
      <c r="C14" s="43" t="n"/>
      <c r="D14" s="73" t="n"/>
      <c r="E14" s="43" t="n"/>
      <c r="F14" s="36">
        <f>IF(B14="","",MAX(0,N(C14)-N(E14)))</f>
        <v/>
      </c>
      <c r="G14" s="47">
        <f>IF(OR(B14="",N(C14)&lt;=0),"",MIN(1,N(E14)/C14))</f>
        <v/>
      </c>
      <c r="H14" s="74">
        <f>IF(G14="","",REPT("█",ROUND(G14*20,0))&amp;REPT("░",20-ROUND(G14*20,0)))</f>
        <v/>
      </c>
      <c r="I14" s="75">
        <f>IF(OR(B14="",D14=""),"",MAX(0,(YEAR(D14)-YEAR(Impostazioni!$C$11))*12+MONTH(D14)-MONTH(Impostazioni!$C$11)))</f>
        <v/>
      </c>
      <c r="J14" s="45">
        <f>IF(OR(B14="",N(C14)&lt;=0),"",IF(F14=0,0,IF(I14="","",F14/MAX(1,I14))))</f>
        <v/>
      </c>
      <c r="K14" s="76">
        <f>IF(B14="","",IF(N(C14)&lt;=0,"Manca l'importo",IF(F14=0,"Raggiunto",IF(D14="","Manca la scadenza",IF(D14&lt;Impostazioni!$C$11,"Scaduto","In corso")))))</f>
        <v/>
      </c>
    </row>
    <row r="15">
      <c r="B15" s="17" t="n"/>
      <c r="C15" s="43" t="n"/>
      <c r="D15" s="73" t="n"/>
      <c r="E15" s="43" t="n"/>
      <c r="F15" s="36">
        <f>IF(B15="","",MAX(0,N(C15)-N(E15)))</f>
        <v/>
      </c>
      <c r="G15" s="47">
        <f>IF(OR(B15="",N(C15)&lt;=0),"",MIN(1,N(E15)/C15))</f>
        <v/>
      </c>
      <c r="H15" s="74">
        <f>IF(G15="","",REPT("█",ROUND(G15*20,0))&amp;REPT("░",20-ROUND(G15*20,0)))</f>
        <v/>
      </c>
      <c r="I15" s="75">
        <f>IF(OR(B15="",D15=""),"",MAX(0,(YEAR(D15)-YEAR(Impostazioni!$C$11))*12+MONTH(D15)-MONTH(Impostazioni!$C$11)))</f>
        <v/>
      </c>
      <c r="J15" s="45">
        <f>IF(OR(B15="",N(C15)&lt;=0),"",IF(F15=0,0,IF(I15="","",F15/MAX(1,I15))))</f>
        <v/>
      </c>
      <c r="K15" s="76">
        <f>IF(B15="","",IF(N(C15)&lt;=0,"Manca l'importo",IF(F15=0,"Raggiunto",IF(D15="","Manca la scadenza",IF(D15&lt;Impostazioni!$C$11,"Scaduto","In corso")))))</f>
        <v/>
      </c>
    </row>
    <row r="16">
      <c r="B16" s="17" t="n"/>
      <c r="C16" s="43" t="n"/>
      <c r="D16" s="73" t="n"/>
      <c r="E16" s="43" t="n"/>
      <c r="F16" s="36">
        <f>IF(B16="","",MAX(0,N(C16)-N(E16)))</f>
        <v/>
      </c>
      <c r="G16" s="47">
        <f>IF(OR(B16="",N(C16)&lt;=0),"",MIN(1,N(E16)/C16))</f>
        <v/>
      </c>
      <c r="H16" s="74">
        <f>IF(G16="","",REPT("█",ROUND(G16*20,0))&amp;REPT("░",20-ROUND(G16*20,0)))</f>
        <v/>
      </c>
      <c r="I16" s="75">
        <f>IF(OR(B16="",D16=""),"",MAX(0,(YEAR(D16)-YEAR(Impostazioni!$C$11))*12+MONTH(D16)-MONTH(Impostazioni!$C$11)))</f>
        <v/>
      </c>
      <c r="J16" s="45">
        <f>IF(OR(B16="",N(C16)&lt;=0),"",IF(F16=0,0,IF(I16="","",F16/MAX(1,I16))))</f>
        <v/>
      </c>
      <c r="K16" s="76">
        <f>IF(B16="","",IF(N(C16)&lt;=0,"Manca l'importo",IF(F16=0,"Raggiunto",IF(D16="","Manca la scadenza",IF(D16&lt;Impostazioni!$C$11,"Scaduto","In corso")))))</f>
        <v/>
      </c>
    </row>
    <row r="17">
      <c r="B17" s="37" t="inlineStr">
        <is>
          <t>Totale</t>
        </is>
      </c>
      <c r="C17" s="39">
        <f>SUM(C5:C16)</f>
        <v/>
      </c>
      <c r="D17" s="37" t="n"/>
      <c r="E17" s="39">
        <f>SUM(E5:E16)</f>
        <v/>
      </c>
      <c r="F17" s="39">
        <f>SUM(F5:F16)</f>
        <v/>
      </c>
      <c r="G17" s="49">
        <f>IF(C17=0,"",E17/C17)</f>
        <v/>
      </c>
      <c r="H17" s="37" t="n"/>
      <c r="I17" s="37" t="n"/>
      <c r="J17" s="39">
        <f>SUM(J5:J16)</f>
        <v/>
      </c>
      <c r="K17" s="37" t="n"/>
    </row>
    <row r="19">
      <c r="B19" s="3" t="inlineStr">
        <is>
          <t>Confronto con il budget</t>
        </is>
      </c>
      <c r="C19" s="4" t="n"/>
      <c r="D19" s="4" t="n"/>
      <c r="E19" s="4" t="n"/>
      <c r="F19" s="4" t="n"/>
    </row>
    <row r="20">
      <c r="B20" s="42" t="inlineStr">
        <is>
          <t>Quota mensile per tutti gli obiettivi</t>
        </is>
      </c>
      <c r="C20" s="45">
        <f>J17</f>
        <v/>
      </c>
    </row>
    <row r="21">
      <c r="B21" s="42" t="inlineStr">
        <is>
          <t>Risparmio previsto nel budget (al mese)</t>
        </is>
      </c>
      <c r="C21" s="45">
        <f>Budget!P10/12</f>
        <v/>
      </c>
    </row>
    <row r="22">
      <c r="B22" s="42" t="inlineStr">
        <is>
          <t>Versato a risparmio (media mensile)</t>
        </is>
      </c>
      <c r="C22" s="45">
        <f>IF(Impostazioni!$C$12=0,0,Mensile!X10/Impostazioni!$C$12)</f>
        <v/>
      </c>
    </row>
    <row r="23">
      <c r="B23" s="42" t="inlineStr">
        <is>
          <t>Margine del budget sugli obiettivi</t>
        </is>
      </c>
      <c r="C23" s="45">
        <f>C21-C20</f>
        <v/>
      </c>
    </row>
    <row r="24">
      <c r="B24" s="69" t="inlineStr">
        <is>
          <t>I mesi rimanenti vanno dal mese della data di riferimento a quello della scadenza. Se la scadenza è nel mese in corso, la quota è l'intero importo mancante.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conditionalFormatting sqref="K5:K16">
    <cfRule type="expression" priority="1" dxfId="2">
      <formula>$K5="Raggiunto"</formula>
    </cfRule>
    <cfRule type="expression" priority="2" dxfId="1">
      <formula>OR($K5="Scaduto",LEFT($K5,5)="Manca")</formula>
    </cfRule>
  </conditionalFormatting>
  <conditionalFormatting sqref="C23">
    <cfRule type="expression" priority="3" dxfId="3">
      <formula>C23&lt;0</formula>
    </cfRule>
    <cfRule type="expression" priority="4" dxfId="2">
      <formula>C23&gt;0</formula>
    </cfRule>
  </conditionalFormatting>
  <dataValidations count="3">
    <dataValidation sqref="C5:C16" showDropDown="0" showInputMessage="0" showErrorMessage="1" allowBlank="1" errorTitle="Valore non valido" error="Inserisci un importo positivo." type="decimal" operator="between">
      <formula1>0</formula1>
      <formula2>100000000</formula2>
    </dataValidation>
    <dataValidation sqref="E5:E16" showDropDown="0" showInputMessage="0" showErrorMessage="1" allowBlank="1" errorTitle="Valore non valido" error="Inserisci un importo positivo." type="decimal" operator="between">
      <formula1>0</formula1>
      <formula2>100000000</formula2>
    </dataValidation>
    <dataValidation sqref="D5:D16" showDropDown="0" showInputMessage="0" showErrorMessage="1" allowBlank="1" errorTitle="Data non valida" error="Inserisci una data nel formato gg/mm/aaaa." type="date" operator="between">
      <formula1>36526</formula1>
      <formula2>73050</formula2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E3C766"/>
    <outlinePr summaryBelow="1" summaryRight="1"/>
    <pageSetUpPr fitToPage="1"/>
  </sheetPr>
  <dimension ref="A1:K43"/>
  <sheetViews>
    <sheetView showGridLines="0" tabSelected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5" customWidth="1" min="3" max="3"/>
    <col width="14" customWidth="1" min="4" max="4"/>
    <col width="14" customWidth="1" min="5" max="5"/>
    <col width="14" customWidth="1" min="6" max="6"/>
    <col width="18" customWidth="1" min="7" max="7"/>
    <col width="13" customWidth="1" min="8" max="8"/>
    <col width="15" customWidth="1" min="9" max="9"/>
    <col width="12" customWidth="1" min="10" max="10"/>
    <col width="12" customWidth="1" min="11" max="11"/>
  </cols>
  <sheetData>
    <row r="1" ht="30" customHeight="1">
      <c r="B1" s="12" t="inlineStr">
        <is>
          <t>Debiti e piano di estinzione</t>
        </is>
      </c>
    </row>
    <row r="2">
      <c r="B2" s="2" t="inlineStr">
        <is>
          <t>Elenca mutuo, prestiti e carte rateali. TAN = tasso annuo nominale del contratto. Le stime ipotizzano rata e tasso costanti.</t>
        </is>
      </c>
    </row>
    <row r="4" ht="20" customHeight="1">
      <c r="B4" s="13" t="inlineStr">
        <is>
          <t>Metodo di estinzione scelto</t>
        </is>
      </c>
      <c r="C4" s="17" t="inlineStr">
        <is>
          <t>Valanga</t>
        </is>
      </c>
      <c r="D4" s="77" t="inlineStr">
        <is>
          <t>Valanga: prima il debito con il tasso più alto (paghi meno interessi). Palla di neve: prima il debito più piccolo (lo chiudi prima).</t>
        </is>
      </c>
    </row>
    <row r="5" ht="20" customHeight="1">
      <c r="B5" s="13" t="inlineStr">
        <is>
          <t>Somma extra al mese per i debiti</t>
        </is>
      </c>
      <c r="C5" s="16" t="n">
        <v>100</v>
      </c>
      <c r="D5" s="77" t="inlineStr">
        <is>
          <t>Si aggiunge alla rata del primo debito dell'ordine scelto. L'effetto è calcolato in fondo al foglio.</t>
        </is>
      </c>
    </row>
    <row r="7" ht="32" customHeight="1">
      <c r="B7" s="24" t="inlineStr">
        <is>
          <t>Debito</t>
        </is>
      </c>
      <c r="C7" s="24" t="inlineStr">
        <is>
          <t>Saldo residuo</t>
        </is>
      </c>
      <c r="D7" s="24" t="inlineStr">
        <is>
          <t>TAN annuo</t>
        </is>
      </c>
      <c r="E7" s="24" t="inlineStr">
        <is>
          <t>Rata mensile</t>
        </is>
      </c>
      <c r="F7" s="24" t="inlineStr">
        <is>
          <t>Interessi del mese (stima)</t>
        </is>
      </c>
      <c r="G7" s="24" t="inlineStr">
        <is>
          <t>Mesi alla fine</t>
        </is>
      </c>
      <c r="H7" s="24" t="inlineStr">
        <is>
          <t>Fine prevista</t>
        </is>
      </c>
      <c r="I7" s="24" t="inlineStr">
        <is>
          <t>Interessi residui (stima)</t>
        </is>
      </c>
      <c r="J7" s="24" t="inlineStr">
        <is>
          <t>Ordine valanga</t>
        </is>
      </c>
      <c r="K7" s="24" t="inlineStr">
        <is>
          <t>Ordine palla di neve</t>
        </is>
      </c>
    </row>
    <row r="8">
      <c r="B8" s="17" t="inlineStr">
        <is>
          <t>Mutuo casa</t>
        </is>
      </c>
      <c r="C8" s="43" t="n">
        <v>118400</v>
      </c>
      <c r="D8" s="78" t="n">
        <v>0.0295</v>
      </c>
      <c r="E8" s="43" t="n">
        <v>680</v>
      </c>
      <c r="F8" s="36">
        <f>IF(OR(B8="",N(C8)&lt;=0),"",C8*N(D8)/12)</f>
        <v/>
      </c>
      <c r="G8" s="75">
        <f>IF(B8="",IF(N(C8)&gt;0,"Manca il nome",""),IF(C8="","Manca il saldo",IF(N(C8)&lt;=0,"",IF(NOT(ISNUMBER(D8)),"Manca il TAN",IF(N(E8)&lt;=0,"Manca la rata",IF(D8=0,ROUNDUP(C8/E8,0),IF(E8&lt;=C8*D8/12,"Rata troppo bassa",ROUNDUP(NPER(D8/12,-E8,C8),0))))))))</f>
        <v/>
      </c>
      <c r="H8" s="79">
        <f>IF(ISNUMBER(G8),DATE(YEAR(Impostazioni!$C$11),MONTH(Impostazioni!$C$11)+G8,1),"")</f>
        <v/>
      </c>
      <c r="I8" s="36">
        <f>IF(ISNUMBER(G8),IF(N(D8)=0,0,MAX(0,E8*NPER(D8/12,-E8,C8)-C8)),"")</f>
        <v/>
      </c>
      <c r="J8" s="70">
        <f>IF(OR(B8="",N(C8)&lt;=0,NOT(ISNUMBER(D8))),"",1+COUNTIFS($B$8:$B$17,"&lt;&gt;",$C$8:$C$17,"&gt;0",$D$8:$D$17,"&gt;=0",$D$8:$D$17,"&gt;"&amp;D8)+COUNTIFS($B$8:$B$17,"&lt;&gt;",$C$8:$C$17,"&gt;0",$D$8:$D$17,"&gt;=0",$D$8:$D$17,D8,$C$8:$C$17,"&lt;"&amp;C8)+COUNTIFS($B$7:B7,"&lt;&gt;",$C$7:C7,C8,$D$7:D7,D8))</f>
        <v/>
      </c>
      <c r="K8" s="70">
        <f>IF(OR(B8="",N(C8)&lt;=0,NOT(ISNUMBER(D8))),"",1+COUNTIFS($B$8:$B$17,"&lt;&gt;",$C$8:$C$17,"&gt;0",$D$8:$D$17,"&gt;=0",$C$8:$C$17,"&lt;"&amp;C8)+COUNTIFS($B$8:$B$17,"&lt;&gt;",$C$8:$C$17,"&gt;0",$D$8:$D$17,"&gt;=0",$C$8:$C$17,C8,$D$8:$D$17,"&gt;"&amp;D8)+COUNTIFS($B$7:B7,"&lt;&gt;",$C$7:C7,C8,$D$7:D7,D8))</f>
        <v/>
      </c>
    </row>
    <row r="9">
      <c r="B9" s="17" t="inlineStr">
        <is>
          <t>Prestito auto</t>
        </is>
      </c>
      <c r="C9" s="43" t="n">
        <v>6150</v>
      </c>
      <c r="D9" s="78" t="n">
        <v>0.06900000000000001</v>
      </c>
      <c r="E9" s="43" t="n">
        <v>210</v>
      </c>
      <c r="F9" s="36">
        <f>IF(OR(B9="",N(C9)&lt;=0),"",C9*N(D9)/12)</f>
        <v/>
      </c>
      <c r="G9" s="75">
        <f>IF(B9="",IF(N(C9)&gt;0,"Manca il nome",""),IF(C9="","Manca il saldo",IF(N(C9)&lt;=0,"",IF(NOT(ISNUMBER(D9)),"Manca il TAN",IF(N(E9)&lt;=0,"Manca la rata",IF(D9=0,ROUNDUP(C9/E9,0),IF(E9&lt;=C9*D9/12,"Rata troppo bassa",ROUNDUP(NPER(D9/12,-E9,C9),0))))))))</f>
        <v/>
      </c>
      <c r="H9" s="79">
        <f>IF(ISNUMBER(G9),DATE(YEAR(Impostazioni!$C$11),MONTH(Impostazioni!$C$11)+G9,1),"")</f>
        <v/>
      </c>
      <c r="I9" s="36">
        <f>IF(ISNUMBER(G9),IF(N(D9)=0,0,MAX(0,E9*NPER(D9/12,-E9,C9)-C9)),"")</f>
        <v/>
      </c>
      <c r="J9" s="70">
        <f>IF(OR(B9="",N(C9)&lt;=0,NOT(ISNUMBER(D9))),"",1+COUNTIFS($B$8:$B$17,"&lt;&gt;",$C$8:$C$17,"&gt;0",$D$8:$D$17,"&gt;=0",$D$8:$D$17,"&gt;"&amp;D9)+COUNTIFS($B$8:$B$17,"&lt;&gt;",$C$8:$C$17,"&gt;0",$D$8:$D$17,"&gt;=0",$D$8:$D$17,D9,$C$8:$C$17,"&lt;"&amp;C9)+COUNTIFS($B$7:B8,"&lt;&gt;",$C$7:C8,C9,$D$7:D8,D9))</f>
        <v/>
      </c>
      <c r="K9" s="70">
        <f>IF(OR(B9="",N(C9)&lt;=0,NOT(ISNUMBER(D9))),"",1+COUNTIFS($B$8:$B$17,"&lt;&gt;",$C$8:$C$17,"&gt;0",$D$8:$D$17,"&gt;=0",$C$8:$C$17,"&lt;"&amp;C9)+COUNTIFS($B$8:$B$17,"&lt;&gt;",$C$8:$C$17,"&gt;0",$D$8:$D$17,"&gt;=0",$C$8:$C$17,C9,$D$8:$D$17,"&gt;"&amp;D9)+COUNTIFS($B$7:B8,"&lt;&gt;",$C$7:C8,C9,$D$7:D8,D9))</f>
        <v/>
      </c>
    </row>
    <row r="10">
      <c r="B10" s="17" t="inlineStr">
        <is>
          <t>Carta revolving</t>
        </is>
      </c>
      <c r="C10" s="43" t="n">
        <v>1120</v>
      </c>
      <c r="D10" s="78" t="n">
        <v>0.159</v>
      </c>
      <c r="E10" s="43" t="n">
        <v>60</v>
      </c>
      <c r="F10" s="36">
        <f>IF(OR(B10="",N(C10)&lt;=0),"",C10*N(D10)/12)</f>
        <v/>
      </c>
      <c r="G10" s="75">
        <f>IF(B10="",IF(N(C10)&gt;0,"Manca il nome",""),IF(C10="","Manca il saldo",IF(N(C10)&lt;=0,"",IF(NOT(ISNUMBER(D10)),"Manca il TAN",IF(N(E10)&lt;=0,"Manca la rata",IF(D10=0,ROUNDUP(C10/E10,0),IF(E10&lt;=C10*D10/12,"Rata troppo bassa",ROUNDUP(NPER(D10/12,-E10,C10),0))))))))</f>
        <v/>
      </c>
      <c r="H10" s="79">
        <f>IF(ISNUMBER(G10),DATE(YEAR(Impostazioni!$C$11),MONTH(Impostazioni!$C$11)+G10,1),"")</f>
        <v/>
      </c>
      <c r="I10" s="36">
        <f>IF(ISNUMBER(G10),IF(N(D10)=0,0,MAX(0,E10*NPER(D10/12,-E10,C10)-C10)),"")</f>
        <v/>
      </c>
      <c r="J10" s="70">
        <f>IF(OR(B10="",N(C10)&lt;=0,NOT(ISNUMBER(D10))),"",1+COUNTIFS($B$8:$B$17,"&lt;&gt;",$C$8:$C$17,"&gt;0",$D$8:$D$17,"&gt;=0",$D$8:$D$17,"&gt;"&amp;D10)+COUNTIFS($B$8:$B$17,"&lt;&gt;",$C$8:$C$17,"&gt;0",$D$8:$D$17,"&gt;=0",$D$8:$D$17,D10,$C$8:$C$17,"&lt;"&amp;C10)+COUNTIFS($B$7:B9,"&lt;&gt;",$C$7:C9,C10,$D$7:D9,D10))</f>
        <v/>
      </c>
      <c r="K10" s="70">
        <f>IF(OR(B10="",N(C10)&lt;=0,NOT(ISNUMBER(D10))),"",1+COUNTIFS($B$8:$B$17,"&lt;&gt;",$C$8:$C$17,"&gt;0",$D$8:$D$17,"&gt;=0",$C$8:$C$17,"&lt;"&amp;C10)+COUNTIFS($B$8:$B$17,"&lt;&gt;",$C$8:$C$17,"&gt;0",$D$8:$D$17,"&gt;=0",$C$8:$C$17,C10,$D$8:$D$17,"&gt;"&amp;D10)+COUNTIFS($B$7:B9,"&lt;&gt;",$C$7:C9,C10,$D$7:D9,D10))</f>
        <v/>
      </c>
    </row>
    <row r="11">
      <c r="B11" s="17" t="inlineStr">
        <is>
          <t>Lavatrice a tasso zero</t>
        </is>
      </c>
      <c r="C11" s="43" t="n">
        <v>360</v>
      </c>
      <c r="D11" s="78" t="n">
        <v>0</v>
      </c>
      <c r="E11" s="43" t="n">
        <v>40</v>
      </c>
      <c r="F11" s="36">
        <f>IF(OR(B11="",N(C11)&lt;=0),"",C11*N(D11)/12)</f>
        <v/>
      </c>
      <c r="G11" s="75">
        <f>IF(B11="",IF(N(C11)&gt;0,"Manca il nome",""),IF(C11="","Manca il saldo",IF(N(C11)&lt;=0,"",IF(NOT(ISNUMBER(D11)),"Manca il TAN",IF(N(E11)&lt;=0,"Manca la rata",IF(D11=0,ROUNDUP(C11/E11,0),IF(E11&lt;=C11*D11/12,"Rata troppo bassa",ROUNDUP(NPER(D11/12,-E11,C11),0))))))))</f>
        <v/>
      </c>
      <c r="H11" s="79">
        <f>IF(ISNUMBER(G11),DATE(YEAR(Impostazioni!$C$11),MONTH(Impostazioni!$C$11)+G11,1),"")</f>
        <v/>
      </c>
      <c r="I11" s="36">
        <f>IF(ISNUMBER(G11),IF(N(D11)=0,0,MAX(0,E11*NPER(D11/12,-E11,C11)-C11)),"")</f>
        <v/>
      </c>
      <c r="J11" s="70">
        <f>IF(OR(B11="",N(C11)&lt;=0,NOT(ISNUMBER(D11))),"",1+COUNTIFS($B$8:$B$17,"&lt;&gt;",$C$8:$C$17,"&gt;0",$D$8:$D$17,"&gt;=0",$D$8:$D$17,"&gt;"&amp;D11)+COUNTIFS($B$8:$B$17,"&lt;&gt;",$C$8:$C$17,"&gt;0",$D$8:$D$17,"&gt;=0",$D$8:$D$17,D11,$C$8:$C$17,"&lt;"&amp;C11)+COUNTIFS($B$7:B10,"&lt;&gt;",$C$7:C10,C11,$D$7:D10,D11))</f>
        <v/>
      </c>
      <c r="K11" s="70">
        <f>IF(OR(B11="",N(C11)&lt;=0,NOT(ISNUMBER(D11))),"",1+COUNTIFS($B$8:$B$17,"&lt;&gt;",$C$8:$C$17,"&gt;0",$D$8:$D$17,"&gt;=0",$C$8:$C$17,"&lt;"&amp;C11)+COUNTIFS($B$8:$B$17,"&lt;&gt;",$C$8:$C$17,"&gt;0",$D$8:$D$17,"&gt;=0",$C$8:$C$17,C11,$D$8:$D$17,"&gt;"&amp;D11)+COUNTIFS($B$7:B10,"&lt;&gt;",$C$7:C10,C11,$D$7:D10,D11))</f>
        <v/>
      </c>
    </row>
    <row r="12">
      <c r="B12" s="17" t="n"/>
      <c r="C12" s="43" t="n"/>
      <c r="D12" s="78" t="n"/>
      <c r="E12" s="43" t="n"/>
      <c r="F12" s="36">
        <f>IF(OR(B12="",N(C12)&lt;=0),"",C12*N(D12)/12)</f>
        <v/>
      </c>
      <c r="G12" s="75">
        <f>IF(B12="",IF(N(C12)&gt;0,"Manca il nome",""),IF(C12="","Manca il saldo",IF(N(C12)&lt;=0,"",IF(NOT(ISNUMBER(D12)),"Manca il TAN",IF(N(E12)&lt;=0,"Manca la rata",IF(D12=0,ROUNDUP(C12/E12,0),IF(E12&lt;=C12*D12/12,"Rata troppo bassa",ROUNDUP(NPER(D12/12,-E12,C12),0))))))))</f>
        <v/>
      </c>
      <c r="H12" s="79">
        <f>IF(ISNUMBER(G12),DATE(YEAR(Impostazioni!$C$11),MONTH(Impostazioni!$C$11)+G12,1),"")</f>
        <v/>
      </c>
      <c r="I12" s="36">
        <f>IF(ISNUMBER(G12),IF(N(D12)=0,0,MAX(0,E12*NPER(D12/12,-E12,C12)-C12)),"")</f>
        <v/>
      </c>
      <c r="J12" s="70">
        <f>IF(OR(B12="",N(C12)&lt;=0,NOT(ISNUMBER(D12))),"",1+COUNTIFS($B$8:$B$17,"&lt;&gt;",$C$8:$C$17,"&gt;0",$D$8:$D$17,"&gt;=0",$D$8:$D$17,"&gt;"&amp;D12)+COUNTIFS($B$8:$B$17,"&lt;&gt;",$C$8:$C$17,"&gt;0",$D$8:$D$17,"&gt;=0",$D$8:$D$17,D12,$C$8:$C$17,"&lt;"&amp;C12)+COUNTIFS($B$7:B11,"&lt;&gt;",$C$7:C11,C12,$D$7:D11,D12))</f>
        <v/>
      </c>
      <c r="K12" s="70">
        <f>IF(OR(B12="",N(C12)&lt;=0,NOT(ISNUMBER(D12))),"",1+COUNTIFS($B$8:$B$17,"&lt;&gt;",$C$8:$C$17,"&gt;0",$D$8:$D$17,"&gt;=0",$C$8:$C$17,"&lt;"&amp;C12)+COUNTIFS($B$8:$B$17,"&lt;&gt;",$C$8:$C$17,"&gt;0",$D$8:$D$17,"&gt;=0",$C$8:$C$17,C12,$D$8:$D$17,"&gt;"&amp;D12)+COUNTIFS($B$7:B11,"&lt;&gt;",$C$7:C11,C12,$D$7:D11,D12))</f>
        <v/>
      </c>
    </row>
    <row r="13">
      <c r="B13" s="17" t="n"/>
      <c r="C13" s="43" t="n"/>
      <c r="D13" s="78" t="n"/>
      <c r="E13" s="43" t="n"/>
      <c r="F13" s="36">
        <f>IF(OR(B13="",N(C13)&lt;=0),"",C13*N(D13)/12)</f>
        <v/>
      </c>
      <c r="G13" s="75">
        <f>IF(B13="",IF(N(C13)&gt;0,"Manca il nome",""),IF(C13="","Manca il saldo",IF(N(C13)&lt;=0,"",IF(NOT(ISNUMBER(D13)),"Manca il TAN",IF(N(E13)&lt;=0,"Manca la rata",IF(D13=0,ROUNDUP(C13/E13,0),IF(E13&lt;=C13*D13/12,"Rata troppo bassa",ROUNDUP(NPER(D13/12,-E13,C13),0))))))))</f>
        <v/>
      </c>
      <c r="H13" s="79">
        <f>IF(ISNUMBER(G13),DATE(YEAR(Impostazioni!$C$11),MONTH(Impostazioni!$C$11)+G13,1),"")</f>
        <v/>
      </c>
      <c r="I13" s="36">
        <f>IF(ISNUMBER(G13),IF(N(D13)=0,0,MAX(0,E13*NPER(D13/12,-E13,C13)-C13)),"")</f>
        <v/>
      </c>
      <c r="J13" s="70">
        <f>IF(OR(B13="",N(C13)&lt;=0,NOT(ISNUMBER(D13))),"",1+COUNTIFS($B$8:$B$17,"&lt;&gt;",$C$8:$C$17,"&gt;0",$D$8:$D$17,"&gt;=0",$D$8:$D$17,"&gt;"&amp;D13)+COUNTIFS($B$8:$B$17,"&lt;&gt;",$C$8:$C$17,"&gt;0",$D$8:$D$17,"&gt;=0",$D$8:$D$17,D13,$C$8:$C$17,"&lt;"&amp;C13)+COUNTIFS($B$7:B12,"&lt;&gt;",$C$7:C12,C13,$D$7:D12,D13))</f>
        <v/>
      </c>
      <c r="K13" s="70">
        <f>IF(OR(B13="",N(C13)&lt;=0,NOT(ISNUMBER(D13))),"",1+COUNTIFS($B$8:$B$17,"&lt;&gt;",$C$8:$C$17,"&gt;0",$D$8:$D$17,"&gt;=0",$C$8:$C$17,"&lt;"&amp;C13)+COUNTIFS($B$8:$B$17,"&lt;&gt;",$C$8:$C$17,"&gt;0",$D$8:$D$17,"&gt;=0",$C$8:$C$17,C13,$D$8:$D$17,"&gt;"&amp;D13)+COUNTIFS($B$7:B12,"&lt;&gt;",$C$7:C12,C13,$D$7:D12,D13))</f>
        <v/>
      </c>
    </row>
    <row r="14">
      <c r="B14" s="17" t="n"/>
      <c r="C14" s="43" t="n"/>
      <c r="D14" s="78" t="n"/>
      <c r="E14" s="43" t="n"/>
      <c r="F14" s="36">
        <f>IF(OR(B14="",N(C14)&lt;=0),"",C14*N(D14)/12)</f>
        <v/>
      </c>
      <c r="G14" s="75">
        <f>IF(B14="",IF(N(C14)&gt;0,"Manca il nome",""),IF(C14="","Manca il saldo",IF(N(C14)&lt;=0,"",IF(NOT(ISNUMBER(D14)),"Manca il TAN",IF(N(E14)&lt;=0,"Manca la rata",IF(D14=0,ROUNDUP(C14/E14,0),IF(E14&lt;=C14*D14/12,"Rata troppo bassa",ROUNDUP(NPER(D14/12,-E14,C14),0))))))))</f>
        <v/>
      </c>
      <c r="H14" s="79">
        <f>IF(ISNUMBER(G14),DATE(YEAR(Impostazioni!$C$11),MONTH(Impostazioni!$C$11)+G14,1),"")</f>
        <v/>
      </c>
      <c r="I14" s="36">
        <f>IF(ISNUMBER(G14),IF(N(D14)=0,0,MAX(0,E14*NPER(D14/12,-E14,C14)-C14)),"")</f>
        <v/>
      </c>
      <c r="J14" s="70">
        <f>IF(OR(B14="",N(C14)&lt;=0,NOT(ISNUMBER(D14))),"",1+COUNTIFS($B$8:$B$17,"&lt;&gt;",$C$8:$C$17,"&gt;0",$D$8:$D$17,"&gt;=0",$D$8:$D$17,"&gt;"&amp;D14)+COUNTIFS($B$8:$B$17,"&lt;&gt;",$C$8:$C$17,"&gt;0",$D$8:$D$17,"&gt;=0",$D$8:$D$17,D14,$C$8:$C$17,"&lt;"&amp;C14)+COUNTIFS($B$7:B13,"&lt;&gt;",$C$7:C13,C14,$D$7:D13,D14))</f>
        <v/>
      </c>
      <c r="K14" s="70">
        <f>IF(OR(B14="",N(C14)&lt;=0,NOT(ISNUMBER(D14))),"",1+COUNTIFS($B$8:$B$17,"&lt;&gt;",$C$8:$C$17,"&gt;0",$D$8:$D$17,"&gt;=0",$C$8:$C$17,"&lt;"&amp;C14)+COUNTIFS($B$8:$B$17,"&lt;&gt;",$C$8:$C$17,"&gt;0",$D$8:$D$17,"&gt;=0",$C$8:$C$17,C14,$D$8:$D$17,"&gt;"&amp;D14)+COUNTIFS($B$7:B13,"&lt;&gt;",$C$7:C13,C14,$D$7:D13,D14))</f>
        <v/>
      </c>
    </row>
    <row r="15">
      <c r="B15" s="17" t="n"/>
      <c r="C15" s="43" t="n"/>
      <c r="D15" s="78" t="n"/>
      <c r="E15" s="43" t="n"/>
      <c r="F15" s="36">
        <f>IF(OR(B15="",N(C15)&lt;=0),"",C15*N(D15)/12)</f>
        <v/>
      </c>
      <c r="G15" s="75">
        <f>IF(B15="",IF(N(C15)&gt;0,"Manca il nome",""),IF(C15="","Manca il saldo",IF(N(C15)&lt;=0,"",IF(NOT(ISNUMBER(D15)),"Manca il TAN",IF(N(E15)&lt;=0,"Manca la rata",IF(D15=0,ROUNDUP(C15/E15,0),IF(E15&lt;=C15*D15/12,"Rata troppo bassa",ROUNDUP(NPER(D15/12,-E15,C15),0))))))))</f>
        <v/>
      </c>
      <c r="H15" s="79">
        <f>IF(ISNUMBER(G15),DATE(YEAR(Impostazioni!$C$11),MONTH(Impostazioni!$C$11)+G15,1),"")</f>
        <v/>
      </c>
      <c r="I15" s="36">
        <f>IF(ISNUMBER(G15),IF(N(D15)=0,0,MAX(0,E15*NPER(D15/12,-E15,C15)-C15)),"")</f>
        <v/>
      </c>
      <c r="J15" s="70">
        <f>IF(OR(B15="",N(C15)&lt;=0,NOT(ISNUMBER(D15))),"",1+COUNTIFS($B$8:$B$17,"&lt;&gt;",$C$8:$C$17,"&gt;0",$D$8:$D$17,"&gt;=0",$D$8:$D$17,"&gt;"&amp;D15)+COUNTIFS($B$8:$B$17,"&lt;&gt;",$C$8:$C$17,"&gt;0",$D$8:$D$17,"&gt;=0",$D$8:$D$17,D15,$C$8:$C$17,"&lt;"&amp;C15)+COUNTIFS($B$7:B14,"&lt;&gt;",$C$7:C14,C15,$D$7:D14,D15))</f>
        <v/>
      </c>
      <c r="K15" s="70">
        <f>IF(OR(B15="",N(C15)&lt;=0,NOT(ISNUMBER(D15))),"",1+COUNTIFS($B$8:$B$17,"&lt;&gt;",$C$8:$C$17,"&gt;0",$D$8:$D$17,"&gt;=0",$C$8:$C$17,"&lt;"&amp;C15)+COUNTIFS($B$8:$B$17,"&lt;&gt;",$C$8:$C$17,"&gt;0",$D$8:$D$17,"&gt;=0",$C$8:$C$17,C15,$D$8:$D$17,"&gt;"&amp;D15)+COUNTIFS($B$7:B14,"&lt;&gt;",$C$7:C14,C15,$D$7:D14,D15))</f>
        <v/>
      </c>
    </row>
    <row r="16">
      <c r="B16" s="17" t="n"/>
      <c r="C16" s="43" t="n"/>
      <c r="D16" s="78" t="n"/>
      <c r="E16" s="43" t="n"/>
      <c r="F16" s="36">
        <f>IF(OR(B16="",N(C16)&lt;=0),"",C16*N(D16)/12)</f>
        <v/>
      </c>
      <c r="G16" s="75">
        <f>IF(B16="",IF(N(C16)&gt;0,"Manca il nome",""),IF(C16="","Manca il saldo",IF(N(C16)&lt;=0,"",IF(NOT(ISNUMBER(D16)),"Manca il TAN",IF(N(E16)&lt;=0,"Manca la rata",IF(D16=0,ROUNDUP(C16/E16,0),IF(E16&lt;=C16*D16/12,"Rata troppo bassa",ROUNDUP(NPER(D16/12,-E16,C16),0))))))))</f>
        <v/>
      </c>
      <c r="H16" s="79">
        <f>IF(ISNUMBER(G16),DATE(YEAR(Impostazioni!$C$11),MONTH(Impostazioni!$C$11)+G16,1),"")</f>
        <v/>
      </c>
      <c r="I16" s="36">
        <f>IF(ISNUMBER(G16),IF(N(D16)=0,0,MAX(0,E16*NPER(D16/12,-E16,C16)-C16)),"")</f>
        <v/>
      </c>
      <c r="J16" s="70">
        <f>IF(OR(B16="",N(C16)&lt;=0,NOT(ISNUMBER(D16))),"",1+COUNTIFS($B$8:$B$17,"&lt;&gt;",$C$8:$C$17,"&gt;0",$D$8:$D$17,"&gt;=0",$D$8:$D$17,"&gt;"&amp;D16)+COUNTIFS($B$8:$B$17,"&lt;&gt;",$C$8:$C$17,"&gt;0",$D$8:$D$17,"&gt;=0",$D$8:$D$17,D16,$C$8:$C$17,"&lt;"&amp;C16)+COUNTIFS($B$7:B15,"&lt;&gt;",$C$7:C15,C16,$D$7:D15,D16))</f>
        <v/>
      </c>
      <c r="K16" s="70">
        <f>IF(OR(B16="",N(C16)&lt;=0,NOT(ISNUMBER(D16))),"",1+COUNTIFS($B$8:$B$17,"&lt;&gt;",$C$8:$C$17,"&gt;0",$D$8:$D$17,"&gt;=0",$C$8:$C$17,"&lt;"&amp;C16)+COUNTIFS($B$8:$B$17,"&lt;&gt;",$C$8:$C$17,"&gt;0",$D$8:$D$17,"&gt;=0",$C$8:$C$17,C16,$D$8:$D$17,"&gt;"&amp;D16)+COUNTIFS($B$7:B15,"&lt;&gt;",$C$7:C15,C16,$D$7:D15,D16))</f>
        <v/>
      </c>
    </row>
    <row r="17">
      <c r="B17" s="17" t="n"/>
      <c r="C17" s="43" t="n"/>
      <c r="D17" s="78" t="n"/>
      <c r="E17" s="43" t="n"/>
      <c r="F17" s="36">
        <f>IF(OR(B17="",N(C17)&lt;=0),"",C17*N(D17)/12)</f>
        <v/>
      </c>
      <c r="G17" s="75">
        <f>IF(B17="",IF(N(C17)&gt;0,"Manca il nome",""),IF(C17="","Manca il saldo",IF(N(C17)&lt;=0,"",IF(NOT(ISNUMBER(D17)),"Manca il TAN",IF(N(E17)&lt;=0,"Manca la rata",IF(D17=0,ROUNDUP(C17/E17,0),IF(E17&lt;=C17*D17/12,"Rata troppo bassa",ROUNDUP(NPER(D17/12,-E17,C17),0))))))))</f>
        <v/>
      </c>
      <c r="H17" s="79">
        <f>IF(ISNUMBER(G17),DATE(YEAR(Impostazioni!$C$11),MONTH(Impostazioni!$C$11)+G17,1),"")</f>
        <v/>
      </c>
      <c r="I17" s="36">
        <f>IF(ISNUMBER(G17),IF(N(D17)=0,0,MAX(0,E17*NPER(D17/12,-E17,C17)-C17)),"")</f>
        <v/>
      </c>
      <c r="J17" s="70">
        <f>IF(OR(B17="",N(C17)&lt;=0,NOT(ISNUMBER(D17))),"",1+COUNTIFS($B$8:$B$17,"&lt;&gt;",$C$8:$C$17,"&gt;0",$D$8:$D$17,"&gt;=0",$D$8:$D$17,"&gt;"&amp;D17)+COUNTIFS($B$8:$B$17,"&lt;&gt;",$C$8:$C$17,"&gt;0",$D$8:$D$17,"&gt;=0",$D$8:$D$17,D17,$C$8:$C$17,"&lt;"&amp;C17)+COUNTIFS($B$7:B16,"&lt;&gt;",$C$7:C16,C17,$D$7:D16,D17))</f>
        <v/>
      </c>
      <c r="K17" s="70">
        <f>IF(OR(B17="",N(C17)&lt;=0,NOT(ISNUMBER(D17))),"",1+COUNTIFS($B$8:$B$17,"&lt;&gt;",$C$8:$C$17,"&gt;0",$D$8:$D$17,"&gt;=0",$C$8:$C$17,"&lt;"&amp;C17)+COUNTIFS($B$8:$B$17,"&lt;&gt;",$C$8:$C$17,"&gt;0",$D$8:$D$17,"&gt;=0",$C$8:$C$17,C17,$D$8:$D$17,"&gt;"&amp;D17)+COUNTIFS($B$7:B16,"&lt;&gt;",$C$7:C16,C17,$D$7:D16,D17))</f>
        <v/>
      </c>
    </row>
    <row r="18">
      <c r="B18" s="37" t="inlineStr">
        <is>
          <t>Totale</t>
        </is>
      </c>
      <c r="C18" s="39">
        <f>SUM(C8:C17)</f>
        <v/>
      </c>
      <c r="D18" s="80">
        <f>IF(C18=0,"",F18*12/C18)</f>
        <v/>
      </c>
      <c r="E18" s="39">
        <f>SUM(E8:E17)</f>
        <v/>
      </c>
      <c r="F18" s="39">
        <f>SUM(F8:F17)</f>
        <v/>
      </c>
      <c r="G18" s="37" t="n"/>
      <c r="H18" s="37" t="n"/>
      <c r="I18" s="39">
        <f>SUM(I8:I17)</f>
        <v/>
      </c>
      <c r="J18" s="37" t="n"/>
      <c r="K18" s="37" t="n"/>
    </row>
    <row r="19">
      <c r="B19" s="69" t="inlineStr">
        <is>
          <t>Il TAN nella riga del totale è la media pesata sui saldi. Per un finanziamento a tasso zero scrivi 0%.</t>
        </is>
      </c>
    </row>
    <row r="21">
      <c r="B21" s="3" t="inlineStr">
        <is>
          <t>Ordine di estinzione consigliato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32" customHeight="1">
      <c r="B22" s="24" t="inlineStr">
        <is>
          <t>Valanga: prima il tasso più alto</t>
        </is>
      </c>
      <c r="C22" s="24" t="inlineStr">
        <is>
          <t>TAN</t>
        </is>
      </c>
      <c r="D22" s="24" t="inlineStr">
        <is>
          <t>Saldo</t>
        </is>
      </c>
      <c r="F22" s="24" t="inlineStr">
        <is>
          <t>Palla di neve: prima il saldo più basso</t>
        </is>
      </c>
      <c r="H22" s="24" t="inlineStr">
        <is>
          <t>Saldo</t>
        </is>
      </c>
      <c r="I22" s="24" t="inlineStr">
        <is>
          <t>TAN</t>
        </is>
      </c>
    </row>
    <row r="23">
      <c r="A23" s="81" t="n">
        <v>1</v>
      </c>
      <c r="B23" s="42">
        <f>IFERROR(INDEX($B$8:$B$17,MATCH(1,$J$8:$J$17,0)),"")</f>
        <v/>
      </c>
      <c r="C23" s="82">
        <f>IFERROR(INDEX($D$8:$D$17,MATCH(1,$J$8:$J$17,0)),"")</f>
        <v/>
      </c>
      <c r="D23" s="36">
        <f>IFERROR(INDEX($C$8:$C$17,MATCH(1,$J$8:$J$17,0)),"")</f>
        <v/>
      </c>
      <c r="F23" s="42">
        <f>IFERROR(INDEX($B$8:$B$17,MATCH(1,$K$8:$K$17,0)),"")</f>
        <v/>
      </c>
      <c r="G23" s="63" t="n"/>
      <c r="H23" s="36">
        <f>IFERROR(INDEX($C$8:$C$17,MATCH(1,$K$8:$K$17,0)),"")</f>
        <v/>
      </c>
      <c r="I23" s="82">
        <f>IFERROR(INDEX($D$8:$D$17,MATCH(1,$K$8:$K$17,0)),"")</f>
        <v/>
      </c>
    </row>
    <row r="24">
      <c r="A24" s="81" t="n">
        <v>2</v>
      </c>
      <c r="B24" s="42">
        <f>IFERROR(INDEX($B$8:$B$17,MATCH(2,$J$8:$J$17,0)),"")</f>
        <v/>
      </c>
      <c r="C24" s="82">
        <f>IFERROR(INDEX($D$8:$D$17,MATCH(2,$J$8:$J$17,0)),"")</f>
        <v/>
      </c>
      <c r="D24" s="36">
        <f>IFERROR(INDEX($C$8:$C$17,MATCH(2,$J$8:$J$17,0)),"")</f>
        <v/>
      </c>
      <c r="F24" s="42">
        <f>IFERROR(INDEX($B$8:$B$17,MATCH(2,$K$8:$K$17,0)),"")</f>
        <v/>
      </c>
      <c r="G24" s="63" t="n"/>
      <c r="H24" s="36">
        <f>IFERROR(INDEX($C$8:$C$17,MATCH(2,$K$8:$K$17,0)),"")</f>
        <v/>
      </c>
      <c r="I24" s="82">
        <f>IFERROR(INDEX($D$8:$D$17,MATCH(2,$K$8:$K$17,0)),"")</f>
        <v/>
      </c>
    </row>
    <row r="25">
      <c r="A25" s="81" t="n">
        <v>3</v>
      </c>
      <c r="B25" s="42">
        <f>IFERROR(INDEX($B$8:$B$17,MATCH(3,$J$8:$J$17,0)),"")</f>
        <v/>
      </c>
      <c r="C25" s="82">
        <f>IFERROR(INDEX($D$8:$D$17,MATCH(3,$J$8:$J$17,0)),"")</f>
        <v/>
      </c>
      <c r="D25" s="36">
        <f>IFERROR(INDEX($C$8:$C$17,MATCH(3,$J$8:$J$17,0)),"")</f>
        <v/>
      </c>
      <c r="F25" s="42">
        <f>IFERROR(INDEX($B$8:$B$17,MATCH(3,$K$8:$K$17,0)),"")</f>
        <v/>
      </c>
      <c r="G25" s="63" t="n"/>
      <c r="H25" s="36">
        <f>IFERROR(INDEX($C$8:$C$17,MATCH(3,$K$8:$K$17,0)),"")</f>
        <v/>
      </c>
      <c r="I25" s="82">
        <f>IFERROR(INDEX($D$8:$D$17,MATCH(3,$K$8:$K$17,0)),"")</f>
        <v/>
      </c>
    </row>
    <row r="26">
      <c r="A26" s="81" t="n">
        <v>4</v>
      </c>
      <c r="B26" s="42">
        <f>IFERROR(INDEX($B$8:$B$17,MATCH(4,$J$8:$J$17,0)),"")</f>
        <v/>
      </c>
      <c r="C26" s="82">
        <f>IFERROR(INDEX($D$8:$D$17,MATCH(4,$J$8:$J$17,0)),"")</f>
        <v/>
      </c>
      <c r="D26" s="36">
        <f>IFERROR(INDEX($C$8:$C$17,MATCH(4,$J$8:$J$17,0)),"")</f>
        <v/>
      </c>
      <c r="F26" s="42">
        <f>IFERROR(INDEX($B$8:$B$17,MATCH(4,$K$8:$K$17,0)),"")</f>
        <v/>
      </c>
      <c r="G26" s="63" t="n"/>
      <c r="H26" s="36">
        <f>IFERROR(INDEX($C$8:$C$17,MATCH(4,$K$8:$K$17,0)),"")</f>
        <v/>
      </c>
      <c r="I26" s="82">
        <f>IFERROR(INDEX($D$8:$D$17,MATCH(4,$K$8:$K$17,0)),"")</f>
        <v/>
      </c>
    </row>
    <row r="27">
      <c r="A27" s="81" t="n">
        <v>5</v>
      </c>
      <c r="B27" s="42">
        <f>IFERROR(INDEX($B$8:$B$17,MATCH(5,$J$8:$J$17,0)),"")</f>
        <v/>
      </c>
      <c r="C27" s="82">
        <f>IFERROR(INDEX($D$8:$D$17,MATCH(5,$J$8:$J$17,0)),"")</f>
        <v/>
      </c>
      <c r="D27" s="36">
        <f>IFERROR(INDEX($C$8:$C$17,MATCH(5,$J$8:$J$17,0)),"")</f>
        <v/>
      </c>
      <c r="F27" s="42">
        <f>IFERROR(INDEX($B$8:$B$17,MATCH(5,$K$8:$K$17,0)),"")</f>
        <v/>
      </c>
      <c r="G27" s="63" t="n"/>
      <c r="H27" s="36">
        <f>IFERROR(INDEX($C$8:$C$17,MATCH(5,$K$8:$K$17,0)),"")</f>
        <v/>
      </c>
      <c r="I27" s="82">
        <f>IFERROR(INDEX($D$8:$D$17,MATCH(5,$K$8:$K$17,0)),"")</f>
        <v/>
      </c>
    </row>
    <row r="28">
      <c r="A28" s="81" t="n">
        <v>6</v>
      </c>
      <c r="B28" s="42">
        <f>IFERROR(INDEX($B$8:$B$17,MATCH(6,$J$8:$J$17,0)),"")</f>
        <v/>
      </c>
      <c r="C28" s="82">
        <f>IFERROR(INDEX($D$8:$D$17,MATCH(6,$J$8:$J$17,0)),"")</f>
        <v/>
      </c>
      <c r="D28" s="36">
        <f>IFERROR(INDEX($C$8:$C$17,MATCH(6,$J$8:$J$17,0)),"")</f>
        <v/>
      </c>
      <c r="F28" s="42">
        <f>IFERROR(INDEX($B$8:$B$17,MATCH(6,$K$8:$K$17,0)),"")</f>
        <v/>
      </c>
      <c r="G28" s="63" t="n"/>
      <c r="H28" s="36">
        <f>IFERROR(INDEX($C$8:$C$17,MATCH(6,$K$8:$K$17,0)),"")</f>
        <v/>
      </c>
      <c r="I28" s="82">
        <f>IFERROR(INDEX($D$8:$D$17,MATCH(6,$K$8:$K$17,0)),"")</f>
        <v/>
      </c>
    </row>
    <row r="29">
      <c r="A29" s="81" t="n">
        <v>7</v>
      </c>
      <c r="B29" s="42">
        <f>IFERROR(INDEX($B$8:$B$17,MATCH(7,$J$8:$J$17,0)),"")</f>
        <v/>
      </c>
      <c r="C29" s="82">
        <f>IFERROR(INDEX($D$8:$D$17,MATCH(7,$J$8:$J$17,0)),"")</f>
        <v/>
      </c>
      <c r="D29" s="36">
        <f>IFERROR(INDEX($C$8:$C$17,MATCH(7,$J$8:$J$17,0)),"")</f>
        <v/>
      </c>
      <c r="F29" s="42">
        <f>IFERROR(INDEX($B$8:$B$17,MATCH(7,$K$8:$K$17,0)),"")</f>
        <v/>
      </c>
      <c r="G29" s="63" t="n"/>
      <c r="H29" s="36">
        <f>IFERROR(INDEX($C$8:$C$17,MATCH(7,$K$8:$K$17,0)),"")</f>
        <v/>
      </c>
      <c r="I29" s="82">
        <f>IFERROR(INDEX($D$8:$D$17,MATCH(7,$K$8:$K$17,0)),"")</f>
        <v/>
      </c>
    </row>
    <row r="30">
      <c r="A30" s="81" t="n">
        <v>8</v>
      </c>
      <c r="B30" s="42">
        <f>IFERROR(INDEX($B$8:$B$17,MATCH(8,$J$8:$J$17,0)),"")</f>
        <v/>
      </c>
      <c r="C30" s="82">
        <f>IFERROR(INDEX($D$8:$D$17,MATCH(8,$J$8:$J$17,0)),"")</f>
        <v/>
      </c>
      <c r="D30" s="36">
        <f>IFERROR(INDEX($C$8:$C$17,MATCH(8,$J$8:$J$17,0)),"")</f>
        <v/>
      </c>
      <c r="F30" s="42">
        <f>IFERROR(INDEX($B$8:$B$17,MATCH(8,$K$8:$K$17,0)),"")</f>
        <v/>
      </c>
      <c r="G30" s="63" t="n"/>
      <c r="H30" s="36">
        <f>IFERROR(INDEX($C$8:$C$17,MATCH(8,$K$8:$K$17,0)),"")</f>
        <v/>
      </c>
      <c r="I30" s="82">
        <f>IFERROR(INDEX($D$8:$D$17,MATCH(8,$K$8:$K$17,0)),"")</f>
        <v/>
      </c>
    </row>
    <row r="31">
      <c r="A31" s="81" t="n">
        <v>9</v>
      </c>
      <c r="B31" s="42">
        <f>IFERROR(INDEX($B$8:$B$17,MATCH(9,$J$8:$J$17,0)),"")</f>
        <v/>
      </c>
      <c r="C31" s="82">
        <f>IFERROR(INDEX($D$8:$D$17,MATCH(9,$J$8:$J$17,0)),"")</f>
        <v/>
      </c>
      <c r="D31" s="36">
        <f>IFERROR(INDEX($C$8:$C$17,MATCH(9,$J$8:$J$17,0)),"")</f>
        <v/>
      </c>
      <c r="F31" s="42">
        <f>IFERROR(INDEX($B$8:$B$17,MATCH(9,$K$8:$K$17,0)),"")</f>
        <v/>
      </c>
      <c r="G31" s="63" t="n"/>
      <c r="H31" s="36">
        <f>IFERROR(INDEX($C$8:$C$17,MATCH(9,$K$8:$K$17,0)),"")</f>
        <v/>
      </c>
      <c r="I31" s="82">
        <f>IFERROR(INDEX($D$8:$D$17,MATCH(9,$K$8:$K$17,0)),"")</f>
        <v/>
      </c>
    </row>
    <row r="32">
      <c r="A32" s="81" t="n">
        <v>10</v>
      </c>
      <c r="B32" s="42">
        <f>IFERROR(INDEX($B$8:$B$17,MATCH(10,$J$8:$J$17,0)),"")</f>
        <v/>
      </c>
      <c r="C32" s="82">
        <f>IFERROR(INDEX($D$8:$D$17,MATCH(10,$J$8:$J$17,0)),"")</f>
        <v/>
      </c>
      <c r="D32" s="36">
        <f>IFERROR(INDEX($C$8:$C$17,MATCH(10,$J$8:$J$17,0)),"")</f>
        <v/>
      </c>
      <c r="F32" s="42">
        <f>IFERROR(INDEX($B$8:$B$17,MATCH(10,$K$8:$K$17,0)),"")</f>
        <v/>
      </c>
      <c r="G32" s="63" t="n"/>
      <c r="H32" s="36">
        <f>IFERROR(INDEX($C$8:$C$17,MATCH(10,$K$8:$K$17,0)),"")</f>
        <v/>
      </c>
      <c r="I32" s="82">
        <f>IFERROR(INDEX($D$8:$D$17,MATCH(10,$K$8:$K$17,0)),"")</f>
        <v/>
      </c>
    </row>
    <row r="34">
      <c r="B34" s="3" t="inlineStr">
        <is>
          <t>Effetto della somma extra sul primo debito</t>
        </is>
      </c>
      <c r="C34" s="4" t="n"/>
      <c r="D34" s="4" t="n"/>
      <c r="E34" s="4" t="n"/>
      <c r="F34" s="4" t="n"/>
    </row>
    <row r="35">
      <c r="B35" s="42" t="inlineStr">
        <is>
          <t>Debito su cui concentrare l'extra</t>
        </is>
      </c>
      <c r="C35" s="13">
        <f>IF($C$4="Palla di neve",F23,B23)</f>
        <v/>
      </c>
      <c r="D35" s="83" t="n"/>
      <c r="E35" s="83" t="n"/>
    </row>
    <row r="36">
      <c r="B36" s="42" t="inlineStr">
        <is>
          <t>Saldo residuo</t>
        </is>
      </c>
      <c r="C36" s="84">
        <f>IF(C35="","",INDEX($C$8:$C$17,MATCH(C35,$B$8:$B$17,0)))</f>
        <v/>
      </c>
    </row>
    <row r="37">
      <c r="B37" s="42" t="inlineStr">
        <is>
          <t>TAN annuo</t>
        </is>
      </c>
      <c r="C37" s="85">
        <f>IF(C35="","",INDEX($D$8:$D$17,MATCH(C35,$B$8:$B$17,0)))</f>
        <v/>
      </c>
    </row>
    <row r="38">
      <c r="B38" s="42" t="inlineStr">
        <is>
          <t>Rata attuale più somma extra</t>
        </is>
      </c>
      <c r="C38" s="84">
        <f>IF(C35="","",INDEX($E$8:$E$17,MATCH(C35,$B$8:$B$17,0))+N($C$5))</f>
        <v/>
      </c>
    </row>
    <row r="39">
      <c r="B39" s="42" t="inlineStr">
        <is>
          <t>Mesi alla fine con la sola rata</t>
        </is>
      </c>
      <c r="C39" s="86">
        <f>IF(C35="","",INDEX($G$8:$G$17,MATCH(C35,$B$8:$B$17,0)))</f>
        <v/>
      </c>
    </row>
    <row r="40">
      <c r="B40" s="42" t="inlineStr">
        <is>
          <t>Mesi alla fine con rata più extra</t>
        </is>
      </c>
      <c r="C40" s="86">
        <f>IF(OR(C35="",N(C38)&lt;=0),"",IF(C37=0,ROUNDUP(C36/C38,0),IF(C38&lt;=C36*C37/12,"Rata troppo bassa",ROUNDUP(NPER(C37/12,-C38,C36),0))))</f>
        <v/>
      </c>
    </row>
    <row r="41">
      <c r="B41" s="42" t="inlineStr">
        <is>
          <t>Mesi in meno</t>
        </is>
      </c>
      <c r="C41" s="86">
        <f>IF(AND(ISNUMBER(C39),ISNUMBER(C40)),C39-C40,"")</f>
        <v/>
      </c>
    </row>
    <row r="42">
      <c r="B42" s="42" t="inlineStr">
        <is>
          <t>Interessi risparmiati (stima)</t>
        </is>
      </c>
      <c r="C42" s="84">
        <f>IF(AND(ISNUMBER(C39),ISNUMBER(C40)),IF(C37=0,0,MAX(0,INDEX($I$8:$I$17,MATCH(C35,$B$8:$B$17,0))-(C38*NPER(C37/12,-C38,C36)-C36))),"")</f>
        <v/>
      </c>
    </row>
    <row r="43">
      <c r="B43" s="69" t="inlineStr">
        <is>
          <t>Quando estingui il primo debito, aggiungi la sua rata a quella del debito successivo: è l'effetto «valanga» o «palla di neve».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4">
    <mergeCell ref="F24:G24"/>
    <mergeCell ref="F30:G30"/>
    <mergeCell ref="F29:G29"/>
    <mergeCell ref="F25:G25"/>
    <mergeCell ref="F23:G23"/>
    <mergeCell ref="F31:G31"/>
    <mergeCell ref="F22:G22"/>
    <mergeCell ref="F28:G28"/>
    <mergeCell ref="D5:K5"/>
    <mergeCell ref="F32:G32"/>
    <mergeCell ref="F26:G26"/>
    <mergeCell ref="F27:G27"/>
    <mergeCell ref="C35:E35"/>
    <mergeCell ref="D4:K4"/>
  </mergeCells>
  <conditionalFormatting sqref="G8:G17">
    <cfRule type="expression" priority="1" dxfId="4">
      <formula>AND(ISTEXT($G8),LEN($G8)&gt;0)</formula>
    </cfRule>
  </conditionalFormatting>
  <conditionalFormatting sqref="B23:D23">
    <cfRule type="expression" priority="2" dxfId="5">
      <formula>AND($C$4&lt;&gt;"Palla di neve",$B$23&lt;&gt;"")</formula>
    </cfRule>
  </conditionalFormatting>
  <conditionalFormatting sqref="F23:I23">
    <cfRule type="expression" priority="3" dxfId="5">
      <formula>AND($C$4="Palla di neve",$F$23&lt;&gt;"")</formula>
    </cfRule>
  </conditionalFormatting>
  <dataValidations count="5">
    <dataValidation sqref="C4" showDropDown="0" showInputMessage="0" showErrorMessage="1" allowBlank="1" errorTitle="Metodo non valido" error="Scegli Valanga o Palla di neve." type="list">
      <formula1>Elenchi!$E$2:$E$3</formula1>
    </dataValidation>
    <dataValidation sqref="C5" showDropDown="0" showInputMessage="0" showErrorMessage="1" allowBlank="1" errorTitle="Valore non valido" error="Inserisci un importo positivo." type="decimal" operator="between">
      <formula1>0</formula1>
      <formula2>100000000</formula2>
    </dataValidation>
    <dataValidation sqref="C8:C17" showDropDown="0" showInputMessage="0" showErrorMessage="1" allowBlank="1" errorTitle="Valore non valido" error="Inserisci un importo positivo." type="decimal" operator="between">
      <formula1>0</formula1>
      <formula2>100000000</formula2>
    </dataValidation>
    <dataValidation sqref="D8:D17" showDropDown="0" showInputMessage="0" showErrorMessage="1" allowBlank="1" errorTitle="Valore non valido" error="Inserisci il tasso in percentuale, ad esempio 6,9%." type="decimal" operator="between">
      <formula1>0</formula1>
      <formula2>1</formula2>
    </dataValidation>
    <dataValidation sqref="E8:E17" showDropDown="0" showInputMessage="0" showErrorMessage="1" allowBlank="1" errorTitle="Valore non valido" error="Inserisci un importo positivo." type="decimal" operator="between">
      <formula1>0</formula1>
      <formula2>100000000</formula2>
    </dataValidation>
  </dataValidations>
  <printOptions horizontalCentered="1"/>
  <pageMargins left="0.4" right="0.4" top="0.5" bottom="0.5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20" customWidth="1" min="4" max="4"/>
    <col width="16" customWidth="1" min="5" max="5"/>
  </cols>
  <sheetData>
    <row r="1">
      <c r="A1" s="87" t="inlineStr">
        <is>
          <t>Mesi</t>
        </is>
      </c>
      <c r="B1" s="87" t="inlineStr">
        <is>
          <t>Mesi brevi</t>
        </is>
      </c>
      <c r="C1" s="87" t="inlineStr">
        <is>
          <t>Tipi</t>
        </is>
      </c>
      <c r="D1" s="87" t="inlineStr">
        <is>
          <t>Mese di riferimento</t>
        </is>
      </c>
      <c r="E1" s="87" t="inlineStr">
        <is>
          <t>Metodo</t>
        </is>
      </c>
      <c r="G1" s="2" t="inlineStr">
        <is>
          <t>Elenchi usati dai menu a tendina. Non modificare.</t>
        </is>
      </c>
    </row>
    <row r="2">
      <c r="A2" s="88" t="inlineStr">
        <is>
          <t>Gennaio</t>
        </is>
      </c>
      <c r="B2" s="88" t="inlineStr">
        <is>
          <t>Gen</t>
        </is>
      </c>
      <c r="C2" s="88" t="inlineStr">
        <is>
          <t>Entrata</t>
        </is>
      </c>
      <c r="D2" s="88" t="inlineStr">
        <is>
          <t>Automatico</t>
        </is>
      </c>
      <c r="E2" s="88" t="inlineStr">
        <is>
          <t>Valanga</t>
        </is>
      </c>
    </row>
    <row r="3">
      <c r="A3" s="88" t="inlineStr">
        <is>
          <t>Febbraio</t>
        </is>
      </c>
      <c r="B3" s="88" t="inlineStr">
        <is>
          <t>Feb</t>
        </is>
      </c>
      <c r="C3" s="88" t="inlineStr">
        <is>
          <t>Spesa fissa</t>
        </is>
      </c>
      <c r="D3" s="88" t="inlineStr">
        <is>
          <t>Gennaio</t>
        </is>
      </c>
      <c r="E3" s="88" t="inlineStr">
        <is>
          <t>Palla di neve</t>
        </is>
      </c>
    </row>
    <row r="4">
      <c r="A4" s="88" t="inlineStr">
        <is>
          <t>Marzo</t>
        </is>
      </c>
      <c r="B4" s="88" t="inlineStr">
        <is>
          <t>Mar</t>
        </is>
      </c>
      <c r="C4" s="88" t="inlineStr">
        <is>
          <t>Spesa variabile</t>
        </is>
      </c>
      <c r="D4" s="88" t="inlineStr">
        <is>
          <t>Febbraio</t>
        </is>
      </c>
    </row>
    <row r="5">
      <c r="A5" s="88" t="inlineStr">
        <is>
          <t>Aprile</t>
        </is>
      </c>
      <c r="B5" s="88" t="inlineStr">
        <is>
          <t>Apr</t>
        </is>
      </c>
      <c r="C5" s="88" t="inlineStr">
        <is>
          <t>Risparmio e investimenti</t>
        </is>
      </c>
      <c r="D5" s="88" t="inlineStr">
        <is>
          <t>Marzo</t>
        </is>
      </c>
    </row>
    <row r="6">
      <c r="A6" s="88" t="inlineStr">
        <is>
          <t>Maggio</t>
        </is>
      </c>
      <c r="B6" s="88" t="inlineStr">
        <is>
          <t>Mag</t>
        </is>
      </c>
      <c r="D6" s="88" t="inlineStr">
        <is>
          <t>Aprile</t>
        </is>
      </c>
    </row>
    <row r="7">
      <c r="A7" s="88" t="inlineStr">
        <is>
          <t>Giugno</t>
        </is>
      </c>
      <c r="B7" s="88" t="inlineStr">
        <is>
          <t>Giu</t>
        </is>
      </c>
      <c r="D7" s="88" t="inlineStr">
        <is>
          <t>Maggio</t>
        </is>
      </c>
    </row>
    <row r="8">
      <c r="A8" s="88" t="inlineStr">
        <is>
          <t>Luglio</t>
        </is>
      </c>
      <c r="B8" s="88" t="inlineStr">
        <is>
          <t>Lug</t>
        </is>
      </c>
      <c r="D8" s="88" t="inlineStr">
        <is>
          <t>Giugno</t>
        </is>
      </c>
    </row>
    <row r="9">
      <c r="A9" s="88" t="inlineStr">
        <is>
          <t>Agosto</t>
        </is>
      </c>
      <c r="B9" s="88" t="inlineStr">
        <is>
          <t>Ago</t>
        </is>
      </c>
      <c r="D9" s="88" t="inlineStr">
        <is>
          <t>Luglio</t>
        </is>
      </c>
    </row>
    <row r="10">
      <c r="A10" s="88" t="inlineStr">
        <is>
          <t>Settembre</t>
        </is>
      </c>
      <c r="B10" s="88" t="inlineStr">
        <is>
          <t>Set</t>
        </is>
      </c>
      <c r="D10" s="88" t="inlineStr">
        <is>
          <t>Agosto</t>
        </is>
      </c>
    </row>
    <row r="11">
      <c r="A11" s="88" t="inlineStr">
        <is>
          <t>Ottobre</t>
        </is>
      </c>
      <c r="B11" s="88" t="inlineStr">
        <is>
          <t>Ott</t>
        </is>
      </c>
      <c r="D11" s="88" t="inlineStr">
        <is>
          <t>Settembre</t>
        </is>
      </c>
    </row>
    <row r="12">
      <c r="A12" s="88" t="inlineStr">
        <is>
          <t>Novembre</t>
        </is>
      </c>
      <c r="B12" s="88" t="inlineStr">
        <is>
          <t>Nov</t>
        </is>
      </c>
      <c r="D12" s="88" t="inlineStr">
        <is>
          <t>Ottobre</t>
        </is>
      </c>
    </row>
    <row r="13">
      <c r="A13" s="88" t="inlineStr">
        <is>
          <t>Dicembre</t>
        </is>
      </c>
      <c r="B13" s="88" t="inlineStr">
        <is>
          <t>Dic</t>
        </is>
      </c>
      <c r="D13" s="88" t="inlineStr">
        <is>
          <t>Novembre</t>
        </is>
      </c>
    </row>
    <row r="14">
      <c r="D14" s="88" t="inlineStr">
        <is>
          <t>Dicembre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NettoChiaro</dc:creator>
  <dc:title xmlns:dc="http://purl.org/dc/elements/1.1/">Budget familiare 2026 (esempio)</dc:title>
  <dc:subject xmlns:dc="http://purl.org/dc/elements/1.1/">Budget familiare annuale: movimenti, budget, consuntivo, obiettivi e debiti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NettoChiaro</cp:lastModifiedBy>
</cp:coreProperties>
</file>