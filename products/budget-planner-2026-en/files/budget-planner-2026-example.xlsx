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6"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Categories" sheetId="3" state="visible" r:id="rId3"/>
    <sheet xmlns:r="http://schemas.openxmlformats.org/officeDocument/2006/relationships" name="Transactions" sheetId="4" state="visible" r:id="rId4"/>
    <sheet xmlns:r="http://schemas.openxmlformats.org/officeDocument/2006/relationships" name="Monthly Budget" sheetId="5" state="visible" r:id="rId5"/>
    <sheet xmlns:r="http://schemas.openxmlformats.org/officeDocument/2006/relationships" name="Monthly Summary" sheetId="6" state="visible" r:id="rId6"/>
    <sheet xmlns:r="http://schemas.openxmlformats.org/officeDocument/2006/relationships" name="Annual Dashboard" sheetId="7" state="visible" r:id="rId7"/>
    <sheet xmlns:r="http://schemas.openxmlformats.org/officeDocument/2006/relationships" name="Savings Goals" sheetId="8" state="visible" r:id="rId8"/>
    <sheet xmlns:r="http://schemas.openxmlformats.org/officeDocument/2006/relationships" name="Sinking Funds" sheetId="9" state="visible" r:id="rId9"/>
    <sheet xmlns:r="http://schemas.openxmlformats.org/officeDocument/2006/relationships" name="Debt Payoff" sheetId="10" state="visible" r:id="rId10"/>
    <sheet xmlns:r="http://schemas.openxmlformats.org/officeDocument/2006/relationships" name="Debt Schedule" sheetId="11" state="visible" r:id="rId11"/>
    <sheet xmlns:r="http://schemas.openxmlformats.org/officeDocument/2006/relationships" name="Lists" sheetId="12" state="hidden" r:id="rId12"/>
  </sheets>
  <definedNames>
    <definedName name="_xlnm.Print_Area" localSheetId="0">'Start Here'!$A$1:$C$51</definedName>
    <definedName name="_xlnm.Print_Area" localSheetId="1">'Settings'!$A$1:$D$25</definedName>
    <definedName name="_xlnm.Print_Titles" localSheetId="2">'Categories'!$5:$5</definedName>
    <definedName name="_xlnm.Print_Area" localSheetId="2">'Categories'!$A$1:$D$65</definedName>
    <definedName name="_xlnm._FilterDatabase" localSheetId="3" hidden="1">'Transactions'!$A$5:$I$2005</definedName>
    <definedName name="_xlnm.Print_Titles" localSheetId="3">'Transactions'!$5:$5</definedName>
    <definedName name="_xlnm.Print_Titles" localSheetId="4">'Monthly Budget'!$5:$5</definedName>
    <definedName name="_xlnm.Print_Area" localSheetId="4">'Monthly Budget'!$A$1:$P$75</definedName>
    <definedName name="_xlnm.Print_Titles" localSheetId="5">'Monthly Summary'!$4:$5,'Monthly Summary'!$A:$B</definedName>
    <definedName name="_xlnm.Print_Area" localSheetId="5">'Monthly Summary'!$A$1:$J$73,'Monthly Summary'!$L$1:$Z$73</definedName>
    <definedName name="_xlnm.Print_Area" localSheetId="6">'Annual Dashboard'!$A$1:$M$51</definedName>
    <definedName name="_xlnm.Print_Area" localSheetId="7">'Savings Goals'!$A$1:$O$21</definedName>
    <definedName name="_xlnm.Print_Area" localSheetId="8">'Sinking Funds'!$A$1:$N$23</definedName>
    <definedName name="_xlnm.Print_Area" localSheetId="9">'Debt Payoff'!$A$1:$L$55</definedName>
    <definedName name="_xlnm.Print_Titles" localSheetId="10">'Debt Schedule'!$9:$9</definedName>
  </definedNames>
  <calcPr calcId="124519" fullCalcOnLoad="1"/>
</workbook>
</file>

<file path=xl/styles.xml><?xml version="1.0" encoding="utf-8"?>
<styleSheet xmlns="http://schemas.openxmlformats.org/spreadsheetml/2006/main">
  <numFmts count="5">
    <numFmt numFmtId="164" formatCode="yyyy-mm-dd"/>
    <numFmt numFmtId="165" formatCode="#,##0.00;-#,##0.00;&quot;–&quot;"/>
    <numFmt numFmtId="166" formatCode="0.0%"/>
    <numFmt numFmtId="167" formatCode="yyyy-mm"/>
    <numFmt numFmtId="168" formatCode="0;-0;&quot;–&quot;"/>
  </numFmts>
  <fonts count="25">
    <font>
      <name val="Arial"/>
      <sz val="10"/>
    </font>
    <font>
      <name val="Arial"/>
      <b val="1"/>
      <color rgb="000F766E"/>
      <sz val="22"/>
    </font>
    <font>
      <name val="Arial"/>
      <color rgb="005B6862"/>
      <sz val="11"/>
    </font>
    <font>
      <name val="Arial"/>
      <b val="1"/>
      <color rgb="000B5C56"/>
      <sz val="11"/>
    </font>
    <font>
      <name val="Arial"/>
      <color rgb="0017201C"/>
      <sz val="10"/>
    </font>
    <font>
      <name val="Arial"/>
      <b val="1"/>
      <color rgb="0015803D"/>
      <sz val="10"/>
    </font>
    <font>
      <name val="Arial"/>
      <b val="1"/>
      <color rgb="000F766E"/>
      <sz val="10"/>
      <u val="single"/>
    </font>
    <font>
      <name val="Arial"/>
      <color rgb="005B6862"/>
      <sz val="9"/>
    </font>
    <font>
      <name val="Arial"/>
      <b val="1"/>
      <color rgb="000F766E"/>
      <sz val="18"/>
    </font>
    <font>
      <name val="Arial"/>
      <color rgb="005B6862"/>
      <sz val="10"/>
    </font>
    <font>
      <name val="Arial"/>
      <b val="1"/>
      <color rgb="00FFFFFF"/>
      <sz val="10"/>
    </font>
    <font>
      <name val="Arial"/>
      <b val="1"/>
      <color rgb="0017201C"/>
      <sz val="10"/>
    </font>
    <font>
      <name val="Arial"/>
      <b val="1"/>
      <color rgb="009A3412"/>
      <sz val="9"/>
    </font>
    <font>
      <name val="Arial"/>
      <b val="1"/>
      <color rgb="000B5C56"/>
      <sz val="10"/>
    </font>
    <font>
      <name val="Arial"/>
      <color rgb="005B6862"/>
      <sz val="8"/>
    </font>
    <font>
      <name val="Arial"/>
      <b val="1"/>
      <color rgb="000F766E"/>
      <sz val="20"/>
    </font>
    <font>
      <name val="Arial"/>
      <b val="1"/>
      <color rgb="0017201C"/>
      <sz val="18"/>
    </font>
    <font>
      <name val="Arial"/>
      <b val="1"/>
      <color rgb="0017201C"/>
      <sz val="16"/>
    </font>
    <font>
      <name val="Arial"/>
      <color rgb="00FFFFFF"/>
      <sz val="8"/>
    </font>
    <font>
      <name val="Arial"/>
      <b val="1"/>
      <color rgb="000F766E"/>
      <sz val="10"/>
    </font>
    <font>
      <name val="Arial"/>
      <color rgb="000F766E"/>
      <sz val="9"/>
    </font>
    <font>
      <name val="Arial"/>
      <b val="1"/>
      <color rgb="005B6862"/>
      <sz val="9"/>
    </font>
    <font>
      <name val="Arial"/>
      <b val="1"/>
      <color rgb="0017201C"/>
      <sz val="9"/>
    </font>
    <font>
      <name val="Arial"/>
      <b val="1"/>
      <color rgb="000F766E"/>
      <sz val="16"/>
    </font>
    <font>
      <name val="Arial"/>
      <color rgb="0017201C"/>
      <sz val="9"/>
    </font>
  </fonts>
  <fills count="6">
    <fill>
      <patternFill/>
    </fill>
    <fill>
      <patternFill patternType="gray125"/>
    </fill>
    <fill>
      <patternFill patternType="solid">
        <fgColor rgb="00E0F2EF"/>
      </patternFill>
    </fill>
    <fill>
      <patternFill patternType="solid">
        <fgColor rgb="00FFF6D5"/>
      </patternFill>
    </fill>
    <fill>
      <patternFill patternType="solid">
        <fgColor rgb="000F766E"/>
      </patternFill>
    </fill>
    <fill>
      <patternFill patternType="solid">
        <fgColor rgb="00EEF2EF"/>
      </patternFill>
    </fill>
  </fills>
  <borders count="5">
    <border>
      <left/>
      <right/>
      <top/>
      <bottom/>
      <diagonal/>
    </border>
    <border>
      <left style="thin">
        <color rgb="00E3D49B"/>
      </left>
      <right style="thin">
        <color rgb="00E3D49B"/>
      </right>
      <top style="thin">
        <color rgb="00E3D49B"/>
      </top>
      <bottom style="thin">
        <color rgb="00E3D49B"/>
      </bottom>
    </border>
    <border>
      <bottom style="thin">
        <color rgb="00D9E0DC"/>
      </bottom>
    </border>
    <border>
      <top style="thin">
        <color rgb="000F766E"/>
      </top>
      <bottom style="thin">
        <color rgb="000F766E"/>
      </bottom>
    </border>
    <border>
      <top style="thick">
        <color rgb="000F766E"/>
      </top>
    </border>
  </borders>
  <cellStyleXfs count="1">
    <xf numFmtId="0" fontId="0" fillId="0" borderId="0"/>
  </cellStyleXfs>
  <cellXfs count="9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4" fillId="3" borderId="1" applyAlignment="1" pivotButton="0" quotePrefix="0" xfId="0">
      <alignment vertical="center" indent="1"/>
    </xf>
    <xf numFmtId="0" fontId="4" fillId="0" borderId="2" applyAlignment="1" pivotButton="0" quotePrefix="0" xfId="0">
      <alignment vertical="center" indent="1"/>
    </xf>
    <xf numFmtId="0" fontId="5" fillId="0" borderId="0" applyAlignment="1" pivotButton="0" quotePrefix="0" xfId="0">
      <alignment vertical="center" indent="1"/>
    </xf>
    <xf numFmtId="0" fontId="6" fillId="0" borderId="2" applyAlignment="1" pivotButton="0" quotePrefix="0" xfId="0">
      <alignment horizontal="left" vertical="center"/>
    </xf>
    <xf numFmtId="0" fontId="4" fillId="0" borderId="2" applyAlignment="1" pivotButton="0" quotePrefix="0" xfId="0">
      <alignment horizontal="left" vertical="center"/>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4" borderId="0" applyAlignment="1" pivotButton="0" quotePrefix="0" xfId="0">
      <alignment horizontal="center" vertical="center" wrapText="1"/>
    </xf>
    <xf numFmtId="0" fontId="11" fillId="0" borderId="2" applyAlignment="1" pivotButton="0" quotePrefix="0" xfId="0">
      <alignment horizontal="left" vertical="center"/>
    </xf>
    <xf numFmtId="1" fontId="4" fillId="3" borderId="1" applyAlignment="1" applyProtection="1" pivotButton="0" quotePrefix="0" xfId="0">
      <alignment horizontal="left" vertical="center"/>
      <protection locked="0" hidden="0"/>
    </xf>
    <xf numFmtId="0" fontId="7" fillId="0" borderId="2" applyAlignment="1" pivotButton="0" quotePrefix="0" xfId="0">
      <alignment vertical="center" wrapText="1"/>
    </xf>
    <xf numFmtId="0" fontId="4" fillId="3" borderId="1" applyAlignment="1" applyProtection="1" pivotButton="0" quotePrefix="0" xfId="0">
      <alignment horizontal="left" vertical="center"/>
      <protection locked="0" hidden="0"/>
    </xf>
    <xf numFmtId="164" fontId="4" fillId="3" borderId="1" applyAlignment="1" applyProtection="1" pivotButton="0" quotePrefix="0" xfId="0">
      <alignment horizontal="left" vertical="center"/>
      <protection locked="0" hidden="0"/>
    </xf>
    <xf numFmtId="0" fontId="7" fillId="0" borderId="2" applyAlignment="1" pivotButton="0" quotePrefix="0" xfId="0">
      <alignment horizontal="left" vertical="center"/>
    </xf>
    <xf numFmtId="164" fontId="11" fillId="0" borderId="2" applyAlignment="1" pivotButton="0" quotePrefix="0" xfId="0">
      <alignment horizontal="left" vertical="center"/>
    </xf>
    <xf numFmtId="1" fontId="11" fillId="0" borderId="2" applyAlignment="1" pivotButton="0" quotePrefix="0" xfId="0">
      <alignment horizontal="left" vertical="center"/>
    </xf>
    <xf numFmtId="0" fontId="4" fillId="3" borderId="1" applyAlignment="1" applyProtection="1" pivotButton="0" quotePrefix="0" xfId="0">
      <alignment horizontal="left" vertical="center" indent="1"/>
      <protection locked="0" hidden="0"/>
    </xf>
    <xf numFmtId="0" fontId="7" fillId="0" borderId="0" pivotButton="0" quotePrefix="0" xfId="0"/>
    <xf numFmtId="0" fontId="12" fillId="0" borderId="2" pivotButton="0" quotePrefix="0" xfId="0"/>
    <xf numFmtId="0" fontId="13" fillId="0" borderId="0" pivotButton="0" quotePrefix="0" xfId="0"/>
    <xf numFmtId="164" fontId="4" fillId="3" borderId="1" applyAlignment="1" applyProtection="1" pivotButton="0" quotePrefix="0" xfId="0">
      <alignment horizontal="center"/>
      <protection locked="0" hidden="0"/>
    </xf>
    <xf numFmtId="4" fontId="4" fillId="3" borderId="1" applyAlignment="1" applyProtection="1" pivotButton="0" quotePrefix="0" xfId="0">
      <alignment horizontal="right"/>
      <protection locked="0" hidden="0"/>
    </xf>
    <xf numFmtId="0" fontId="7" fillId="0" borderId="2" pivotButton="0" quotePrefix="0" xfId="0"/>
    <xf numFmtId="0" fontId="13" fillId="2" borderId="0" applyAlignment="1" pivotButton="0" quotePrefix="0" xfId="0">
      <alignment horizontal="center" vertical="center" wrapText="1"/>
    </xf>
    <xf numFmtId="0" fontId="11" fillId="0" borderId="2" pivotButton="0" quotePrefix="0" xfId="0"/>
    <xf numFmtId="165" fontId="4" fillId="0" borderId="2" pivotButton="0" quotePrefix="0" xfId="0"/>
    <xf numFmtId="0" fontId="11" fillId="5" borderId="3" pivotButton="0" quotePrefix="0" xfId="0"/>
    <xf numFmtId="0" fontId="7" fillId="5" borderId="3" pivotButton="0" quotePrefix="0" xfId="0"/>
    <xf numFmtId="165" fontId="11" fillId="5" borderId="3" pivotButton="0" quotePrefix="0" xfId="0"/>
    <xf numFmtId="0" fontId="4" fillId="5" borderId="2" pivotButton="0" quotePrefix="0" xfId="0"/>
    <xf numFmtId="0" fontId="13" fillId="2" borderId="0" pivotButton="0" quotePrefix="0" xfId="0"/>
    <xf numFmtId="0" fontId="4" fillId="0" borderId="2" pivotButton="0" quotePrefix="0" xfId="0"/>
    <xf numFmtId="165" fontId="4" fillId="3" borderId="1" applyAlignment="1" applyProtection="1" pivotButton="0" quotePrefix="0" xfId="0">
      <alignment horizontal="right"/>
      <protection locked="0" hidden="0"/>
    </xf>
    <xf numFmtId="165" fontId="11" fillId="0" borderId="2" pivotButton="0" quotePrefix="0" xfId="0"/>
    <xf numFmtId="0" fontId="13" fillId="0" borderId="0" applyAlignment="1" pivotButton="0" quotePrefix="0" xfId="0">
      <alignment horizontal="right" vertical="center"/>
    </xf>
    <xf numFmtId="0" fontId="11" fillId="3" borderId="1" applyAlignment="1" applyProtection="1" pivotButton="0" quotePrefix="0" xfId="0">
      <alignment horizontal="center" vertical="center"/>
      <protection locked="0" hidden="0"/>
    </xf>
    <xf numFmtId="0" fontId="7" fillId="0" borderId="0" applyAlignment="1" pivotButton="0" quotePrefix="0" xfId="0">
      <alignment horizontal="left" vertical="center"/>
    </xf>
    <xf numFmtId="9" fontId="4" fillId="0" borderId="2" pivotButton="0" quotePrefix="0" xfId="0"/>
    <xf numFmtId="9" fontId="11" fillId="5" borderId="3" pivotButton="0" quotePrefix="0" xfId="0"/>
    <xf numFmtId="2" fontId="14" fillId="0" borderId="2" pivotButton="0" quotePrefix="0" xfId="0"/>
    <xf numFmtId="0" fontId="15" fillId="0" borderId="0" pivotButton="0" quotePrefix="0" xfId="0"/>
    <xf numFmtId="0" fontId="13" fillId="2" borderId="4" applyAlignment="1" pivotButton="0" quotePrefix="0" xfId="0">
      <alignment horizontal="left" vertical="bottom" indent="1"/>
    </xf>
    <xf numFmtId="0" fontId="0" fillId="2" borderId="4" pivotButton="0" quotePrefix="0" xfId="0"/>
    <xf numFmtId="4" fontId="16" fillId="2" borderId="0" applyAlignment="1" pivotButton="0" quotePrefix="0" xfId="0">
      <alignment horizontal="left" vertical="center" indent="1"/>
    </xf>
    <xf numFmtId="166" fontId="16" fillId="2" borderId="0" applyAlignment="1" pivotButton="0" quotePrefix="0" xfId="0">
      <alignment horizontal="left" vertical="center" indent="1"/>
    </xf>
    <xf numFmtId="0" fontId="7" fillId="2" borderId="0" applyAlignment="1" pivotButton="0" quotePrefix="0" xfId="0">
      <alignment horizontal="left" vertical="top" indent="1"/>
    </xf>
    <xf numFmtId="4" fontId="17" fillId="2" borderId="0" applyAlignment="1" pivotButton="0" quotePrefix="0" xfId="0">
      <alignment horizontal="left" vertical="center" indent="1"/>
    </xf>
    <xf numFmtId="167" fontId="17" fillId="2" borderId="0" applyAlignment="1" pivotButton="0" quotePrefix="0" xfId="0">
      <alignment horizontal="left" vertical="center" indent="1"/>
    </xf>
    <xf numFmtId="166" fontId="4" fillId="0" borderId="2" pivotButton="0" quotePrefix="0" xfId="0"/>
    <xf numFmtId="166" fontId="11" fillId="5" borderId="3" pivotButton="0" quotePrefix="0" xfId="0"/>
    <xf numFmtId="0" fontId="0" fillId="0" borderId="2" pivotButton="0" quotePrefix="0" xfId="0"/>
    <xf numFmtId="1" fontId="11" fillId="0" borderId="2" applyAlignment="1" pivotButton="0" quotePrefix="0" xfId="0">
      <alignment horizontal="right" vertical="center"/>
    </xf>
    <xf numFmtId="0" fontId="18" fillId="0" borderId="0" pivotButton="0" quotePrefix="0" xfId="0"/>
    <xf numFmtId="0" fontId="11" fillId="5" borderId="2" pivotButton="0" quotePrefix="0" xfId="0"/>
    <xf numFmtId="165" fontId="11" fillId="5" borderId="2" pivotButton="0" quotePrefix="0" xfId="0"/>
    <xf numFmtId="9" fontId="11" fillId="5" borderId="2" pivotButton="0" quotePrefix="0" xfId="0"/>
    <xf numFmtId="0" fontId="19" fillId="0" borderId="2" applyAlignment="1" pivotButton="0" quotePrefix="0" xfId="0">
      <alignment horizontal="center"/>
    </xf>
    <xf numFmtId="9" fontId="4" fillId="0" borderId="2" applyAlignment="1" pivotButton="0" quotePrefix="0" xfId="0">
      <alignment horizontal="right"/>
    </xf>
    <xf numFmtId="0" fontId="20" fillId="0" borderId="2" pivotButton="0" quotePrefix="0" xfId="0"/>
    <xf numFmtId="1" fontId="4" fillId="0" borderId="2" applyAlignment="1" pivotButton="0" quotePrefix="0" xfId="0">
      <alignment horizontal="center"/>
    </xf>
    <xf numFmtId="167" fontId="4" fillId="0" borderId="2" applyAlignment="1" pivotButton="0" quotePrefix="0" xfId="0">
      <alignment horizontal="center"/>
    </xf>
    <xf numFmtId="0" fontId="19" fillId="5" borderId="3" pivotButton="0" quotePrefix="0" xfId="0"/>
    <xf numFmtId="4" fontId="4" fillId="3" borderId="1" applyAlignment="1" applyProtection="1" pivotButton="0" quotePrefix="0" xfId="0">
      <alignment horizontal="right" vertical="center"/>
      <protection locked="0" hidden="0"/>
    </xf>
    <xf numFmtId="10" fontId="4" fillId="3" borderId="1" applyAlignment="1" applyProtection="1" pivotButton="0" quotePrefix="0" xfId="0">
      <alignment horizontal="right"/>
      <protection locked="0" hidden="0"/>
    </xf>
    <xf numFmtId="167" fontId="11" fillId="0" borderId="2" applyAlignment="1" pivotButton="0" quotePrefix="0" xfId="0">
      <alignment horizontal="center"/>
    </xf>
    <xf numFmtId="10" fontId="11" fillId="5" borderId="3" pivotButton="0" quotePrefix="0" xfId="0"/>
    <xf numFmtId="1" fontId="11" fillId="5" borderId="3" applyAlignment="1" pivotButton="0" quotePrefix="0" xfId="0">
      <alignment horizontal="center"/>
    </xf>
    <xf numFmtId="167" fontId="11" fillId="5" borderId="3" applyAlignment="1" pivotButton="0" quotePrefix="0" xfId="0">
      <alignment horizontal="center"/>
    </xf>
    <xf numFmtId="168" fontId="4" fillId="0" borderId="2" applyAlignment="1" pivotButton="0" quotePrefix="0" xfId="0">
      <alignment horizontal="right"/>
    </xf>
    <xf numFmtId="167" fontId="4" fillId="0" borderId="2" applyAlignment="1" pivotButton="0" quotePrefix="0" xfId="0">
      <alignment horizontal="right"/>
    </xf>
    <xf numFmtId="165" fontId="4" fillId="0" borderId="2" applyAlignment="1" pivotButton="0" quotePrefix="0" xfId="0">
      <alignment horizontal="right"/>
    </xf>
    <xf numFmtId="165" fontId="7" fillId="0" borderId="0" pivotButton="0" quotePrefix="0" xfId="0"/>
    <xf numFmtId="0" fontId="21" fillId="0" borderId="0" applyAlignment="1" pivotButton="0" quotePrefix="0" xfId="0">
      <alignment horizontal="right"/>
    </xf>
    <xf numFmtId="10" fontId="4" fillId="0" borderId="2" pivotButton="0" quotePrefix="0" xfId="0"/>
    <xf numFmtId="0" fontId="7" fillId="0" borderId="0" applyAlignment="1" pivotButton="0" quotePrefix="0" xfId="0">
      <alignment horizontal="right"/>
    </xf>
    <xf numFmtId="0" fontId="22" fillId="0" borderId="0" pivotButton="0" quotePrefix="0" xfId="0"/>
    <xf numFmtId="1" fontId="7" fillId="0" borderId="2" pivotButton="0" quotePrefix="0" xfId="0"/>
    <xf numFmtId="0" fontId="23" fillId="0" borderId="0" pivotButton="0" quotePrefix="0" xfId="0"/>
    <xf numFmtId="0" fontId="22" fillId="0" borderId="0" applyAlignment="1" pivotButton="0" quotePrefix="0" xfId="0">
      <alignment horizontal="center" vertical="center" wrapText="1"/>
    </xf>
    <xf numFmtId="10" fontId="24" fillId="0" borderId="0" applyAlignment="1" pivotButton="0" quotePrefix="0" xfId="0">
      <alignment horizontal="right"/>
    </xf>
    <xf numFmtId="4" fontId="24" fillId="0" borderId="0" applyAlignment="1" pivotButton="0" quotePrefix="0" xfId="0">
      <alignment horizontal="right"/>
    </xf>
    <xf numFmtId="4" fontId="22" fillId="0" borderId="0" pivotButton="0" quotePrefix="0" xfId="0"/>
    <xf numFmtId="0" fontId="22" fillId="0" borderId="0" applyAlignment="1" pivotButton="0" quotePrefix="0" xfId="0">
      <alignment horizontal="right"/>
    </xf>
    <xf numFmtId="167" fontId="7" fillId="0" borderId="0" pivotButton="0" quotePrefix="0" xfId="0"/>
    <xf numFmtId="4" fontId="24" fillId="0" borderId="0" pivotButton="0" quotePrefix="0" xfId="0"/>
    <xf numFmtId="4" fontId="7" fillId="0" borderId="0" pivotButton="0" quotePrefix="0" xfId="0"/>
    <xf numFmtId="0" fontId="11" fillId="0" borderId="0" pivotButton="0" quotePrefix="0" xfId="0"/>
    <xf numFmtId="0" fontId="4" fillId="0" borderId="0" pivotButton="0" quotePrefix="0" xfId="0"/>
  </cellXfs>
  <cellStyles count="1">
    <cellStyle name="Normal" xfId="0" builtinId="0" hidden="0"/>
  </cellStyles>
  <dxfs count="7">
    <dxf>
      <fill>
        <patternFill patternType="solid">
          <fgColor rgb="00FFE4C7"/>
        </patternFill>
      </fill>
    </dxf>
    <dxf>
      <font>
        <name val="Arial"/>
        <b val="1"/>
        <color rgb="00B91C1C"/>
      </font>
      <fill>
        <patternFill patternType="solid">
          <fgColor rgb="00FDECEC"/>
        </patternFill>
      </fill>
    </dxf>
    <dxf>
      <font>
        <name val="Arial"/>
        <b val="1"/>
        <color rgb="0015803D"/>
      </font>
    </dxf>
    <dxf>
      <font>
        <name val="Arial"/>
        <b val="1"/>
        <color rgb="00B91C1C"/>
      </font>
    </dxf>
    <dxf>
      <font>
        <name val="Arial"/>
        <b val="1"/>
        <color rgb="009A3412"/>
      </font>
      <fill>
        <patternFill patternType="solid">
          <fgColor rgb="00FFE4C7"/>
        </patternFill>
      </fill>
    </dxf>
    <dxf>
      <font>
        <name val="Arial"/>
        <b val="1"/>
      </font>
      <fill>
        <patternFill patternType="solid">
          <fgColor rgb="00E0F2EF"/>
        </patternFill>
      </fill>
    </dxf>
    <dxf>
      <font>
        <name val="Arial"/>
        <b val="1"/>
        <color rgb="00FFFFFF"/>
        <u val="single"/>
      </font>
      <fill>
        <patternFill patternType="solid">
          <fgColor rgb="000B5C5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100" b="1">
                <a:solidFill>
                  <a:srgbClr val="17201C"/>
                </a:solidFill>
              </a:defRPr>
            </a:pPr>
            <a:r>
              <a:rPr sz="1100" b="1">
                <a:solidFill>
                  <a:srgbClr val="17201C"/>
                </a:solidFill>
              </a:rPr>
              <a:t>Income and expenses by month</a:t>
            </a:r>
          </a:p>
        </rich>
      </tx>
      <overlay val="0"/>
    </title>
    <plotArea>
      <barChart>
        <barDir val="col"/>
        <grouping val="clustered"/>
        <ser>
          <idx val="0"/>
          <order val="0"/>
          <tx>
            <strRef>
              <f>'Annual Dashboard'!C13</f>
            </strRef>
          </tx>
          <spPr>
            <a:solidFill xmlns:a="http://schemas.openxmlformats.org/drawingml/2006/main">
              <a:srgbClr val="0D9488"/>
            </a:solidFill>
            <a:ln xmlns:a="http://schemas.openxmlformats.org/drawingml/2006/main">
              <a:solidFill>
                <a:srgbClr val="0D9488"/>
              </a:solidFill>
              <a:prstDash val="solid"/>
            </a:ln>
          </spPr>
          <cat>
            <numRef>
              <f>'Annual Dashboard'!$B$14:$B$25</f>
            </numRef>
          </cat>
          <val>
            <numRef>
              <f>'Annual Dashboard'!$C$14:$C$25</f>
            </numRef>
          </val>
        </ser>
        <ser>
          <idx val="1"/>
          <order val="1"/>
          <tx>
            <strRef>
              <f>'Annual Dashboard'!D13</f>
            </strRef>
          </tx>
          <spPr>
            <a:solidFill xmlns:a="http://schemas.openxmlformats.org/drawingml/2006/main">
              <a:srgbClr val="C2410C"/>
            </a:solidFill>
            <a:ln xmlns:a="http://schemas.openxmlformats.org/drawingml/2006/main">
              <a:solidFill>
                <a:srgbClr val="C2410C"/>
              </a:solidFill>
              <a:prstDash val="solid"/>
            </a:ln>
          </spPr>
          <cat>
            <numRef>
              <f>'Annual Dashboard'!$B$14:$B$25</f>
            </numRef>
          </cat>
          <val>
            <numRef>
              <f>'Annual Dashboard'!$D$14:$D$25</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spPr>
            <a:ln xmlns:a="http://schemas.openxmlformats.org/drawingml/2006/main" w="6350">
              <a:solidFill>
                <a:srgbClr val="E3E8E5"/>
              </a:solidFill>
              <a:prstDash val="solid"/>
            </a:ln>
          </spPr>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100" b="1">
                <a:solidFill>
                  <a:srgbClr val="17201C"/>
                </a:solidFill>
              </a:defRPr>
            </a:pPr>
            <a:r>
              <a:rPr sz="1100" b="1">
                <a:solidFill>
                  <a:srgbClr val="17201C"/>
                </a:solidFill>
              </a:rPr>
              <a:t>Top spending categories</a:t>
            </a:r>
          </a:p>
        </rich>
      </tx>
      <overlay val="0"/>
    </title>
    <plotArea>
      <barChart>
        <barDir val="bar"/>
        <grouping val="clustered"/>
        <ser>
          <idx val="0"/>
          <order val="0"/>
          <tx>
            <strRef>
              <f>'Annual Dashboard'!F40</f>
            </strRef>
          </tx>
          <spPr>
            <a:solidFill xmlns:a="http://schemas.openxmlformats.org/drawingml/2006/main">
              <a:srgbClr val="0F766E"/>
            </a:solidFill>
            <a:ln xmlns:a="http://schemas.openxmlformats.org/drawingml/2006/main">
              <a:solidFill>
                <a:srgbClr val="0F766E"/>
              </a:solidFill>
              <a:prstDash val="solid"/>
            </a:ln>
          </spPr>
          <cat>
            <numRef>
              <f>'Annual Dashboard'!$C$41:$C$50</f>
            </numRef>
          </cat>
          <val>
            <numRef>
              <f>'Annual Dashboard'!$F$41:$F$50</f>
            </numRef>
          </val>
        </ser>
        <gapWidth val="5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spPr>
            <a:ln xmlns:a="http://schemas.openxmlformats.org/drawingml/2006/main" w="6350">
              <a:solidFill>
                <a:srgbClr val="E3E8E5"/>
              </a:solidFill>
              <a:prstDash val="solid"/>
            </a:ln>
          </spPr>
        </majorGridlines>
        <numFmt formatCode="#,##0" sourceLinked="0"/>
        <majorTickMark val="none"/>
        <minorTickMark val="none"/>
        <crossAx val="10"/>
        <crosses val="max"/>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100" b="1">
                <a:solidFill>
                  <a:srgbClr val="17201C"/>
                </a:solidFill>
              </a:defRPr>
            </a:pPr>
            <a:r>
              <a:rPr sz="1100" b="1">
                <a:solidFill>
                  <a:srgbClr val="17201C"/>
                </a:solidFill>
              </a:rPr>
              <a:t>Total debt balance over time</a:t>
            </a:r>
          </a:p>
        </rich>
      </tx>
      <overlay val="0"/>
    </title>
    <plotArea>
      <lineChart>
        <grouping val="standard"/>
        <ser>
          <idx val="0"/>
          <order val="0"/>
          <tx>
            <strRef>
              <f>'Debt Payoff'!C59</f>
            </strRef>
          </tx>
          <spPr>
            <a:ln xmlns:a="http://schemas.openxmlformats.org/drawingml/2006/main" w="19050">
              <a:solidFill>
                <a:srgbClr val="9AA5A0"/>
              </a:solidFill>
              <a:prstDash val="dash"/>
            </a:ln>
          </spPr>
          <marker>
            <symbol val="none"/>
            <spPr>
              <a:ln xmlns:a="http://schemas.openxmlformats.org/drawingml/2006/main">
                <a:prstDash val="solid"/>
              </a:ln>
            </spPr>
          </marker>
          <cat>
            <numRef>
              <f>'Debt Payoff'!$B$60:$B$84</f>
            </numRef>
          </cat>
          <val>
            <numRef>
              <f>'Debt Payoff'!$C$60:$C$84</f>
            </numRef>
          </val>
          <smooth val="0"/>
        </ser>
        <ser>
          <idx val="1"/>
          <order val="1"/>
          <tx>
            <strRef>
              <f>'Debt Payoff'!D59</f>
            </strRef>
          </tx>
          <spPr>
            <a:ln xmlns:a="http://schemas.openxmlformats.org/drawingml/2006/main" w="22225">
              <a:solidFill>
                <a:srgbClr val="C2410C"/>
              </a:solidFill>
              <a:prstDash val="solid"/>
            </a:ln>
          </spPr>
          <marker>
            <symbol val="none"/>
            <spPr>
              <a:ln xmlns:a="http://schemas.openxmlformats.org/drawingml/2006/main">
                <a:prstDash val="solid"/>
              </a:ln>
            </spPr>
          </marker>
          <cat>
            <numRef>
              <f>'Debt Payoff'!$B$60:$B$84</f>
            </numRef>
          </cat>
          <val>
            <numRef>
              <f>'Debt Payoff'!$D$60:$D$84</f>
            </numRef>
          </val>
          <smooth val="0"/>
        </ser>
        <ser>
          <idx val="2"/>
          <order val="2"/>
          <tx>
            <strRef>
              <f>'Debt Payoff'!E59</f>
            </strRef>
          </tx>
          <spPr>
            <a:ln xmlns:a="http://schemas.openxmlformats.org/drawingml/2006/main" w="28575">
              <a:solidFill>
                <a:srgbClr val="0F766E"/>
              </a:solidFill>
              <a:prstDash val="solid"/>
            </a:ln>
          </spPr>
          <marker>
            <symbol val="none"/>
            <spPr>
              <a:ln xmlns:a="http://schemas.openxmlformats.org/drawingml/2006/main">
                <a:prstDash val="solid"/>
              </a:ln>
            </spPr>
          </marker>
          <cat>
            <numRef>
              <f>'Debt Payoff'!$B$60:$B$84</f>
            </numRef>
          </cat>
          <val>
            <numRef>
              <f>'Debt Payoff'!$E$60:$E$84</f>
            </numRef>
          </val>
          <smooth val="0"/>
        </ser>
        <axId val="10"/>
        <axId val="100"/>
      </lineChart>
      <catAx>
        <axId val="10"/>
        <scaling>
          <orientation val="minMax"/>
        </scaling>
        <delete val="0"/>
        <axPos val="l"/>
        <majorTickMark val="none"/>
        <minorTickMark val="none"/>
        <crossAx val="100"/>
        <lblOffset val="100"/>
        <tickLblSkip val="4"/>
      </catAx>
      <valAx>
        <axId val="100"/>
        <scaling>
          <orientation val="minMax"/>
        </scaling>
        <delete val="0"/>
        <axPos val="l"/>
        <majorGridlines>
          <spPr>
            <a:ln xmlns:a="http://schemas.openxmlformats.org/drawingml/2006/main" w="6350">
              <a:solidFill>
                <a:srgbClr val="E3E8E5"/>
              </a:solidFill>
              <a:prstDash val="solid"/>
            </a:ln>
          </spPr>
        </majorGridlines>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8</col>
      <colOff>0</colOff>
      <row>11</row>
      <rowOff>0</rowOff>
    </from>
    <ext cx="4464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38</row>
      <rowOff>0</rowOff>
    </from>
    <ext cx="4464000" cy="244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7</col>
      <colOff>0</colOff>
      <row>30</row>
      <rowOff>0</rowOff>
    </from>
    <ext cx="55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0F766E"/>
    <outlinePr summaryBelow="1" summaryRight="1"/>
    <pageSetUpPr fitToPage="1"/>
  </sheetPr>
  <dimension ref="B1:C50"/>
  <sheetViews>
    <sheetView showGridLines="0" tabSelected="0" workbookViewId="0">
      <selection activeCell="A1" sqref="A1"/>
    </sheetView>
  </sheetViews>
  <sheetFormatPr baseColWidth="8" defaultRowHeight="15"/>
  <cols>
    <col width="3" customWidth="1" min="1" max="1"/>
    <col width="22" customWidth="1" min="2" max="2"/>
    <col width="92" customWidth="1" min="3" max="3"/>
  </cols>
  <sheetData>
    <row r="1" ht="36" customHeight="1">
      <c r="B1" s="1" t="inlineStr">
        <is>
          <t>2026 Budget Planner</t>
        </is>
      </c>
    </row>
    <row r="2">
      <c r="B2" s="2" t="inlineStr">
        <is>
          <t>Plan your money month by month, log every transaction and see your whole year at a glance.</t>
        </is>
      </c>
    </row>
    <row r="5" ht="20" customHeight="1">
      <c r="B5" s="3" t="inlineStr">
        <is>
          <t>Start in 6 steps</t>
        </is>
      </c>
      <c r="C5" s="4" t="n"/>
    </row>
    <row r="6" ht="17.5" customHeight="1">
      <c r="B6" s="5" t="inlineStr">
        <is>
          <r>
            <rPr>
              <rFont val="Arial"/>
              <b val="1"/>
              <color rgb="0017201C"/>
              <sz val="10"/>
            </rPr>
            <t xml:space="preserve">1. Settings: </t>
          </r>
          <r>
            <rPr>
              <rFont val="Arial"/>
              <color rgb="0017201C"/>
              <sz val="10"/>
            </rPr>
            <t>check the year and choose your currency symbol ($, £, € ...). It appears in the column headings.</t>
          </r>
        </is>
      </c>
    </row>
    <row r="7" ht="31" customHeight="1">
      <c r="B7" s="5" t="inlineStr">
        <is>
          <r>
            <rPr>
              <rFont val="Arial"/>
              <b val="1"/>
              <color rgb="0017201C"/>
              <sz val="10"/>
            </rPr>
            <t xml:space="preserve">2. Categories: </t>
          </r>
          <r>
            <rPr>
              <rFont val="Arial"/>
              <color rgb="0017201C"/>
              <sz val="10"/>
            </rPr>
            <t>rename, delete or add categories (up to 60). Give each one a type: Income, Fixed bills, Variable expenses or Savings &amp; debt.</t>
          </r>
        </is>
      </c>
    </row>
    <row r="8" ht="31" customHeight="1">
      <c r="B8" s="5" t="inlineStr">
        <is>
          <r>
            <rPr>
              <rFont val="Arial"/>
              <b val="1"/>
              <color rgb="0017201C"/>
              <sz val="10"/>
            </rPr>
            <t xml:space="preserve">3. Monthly Budget: </t>
          </r>
          <r>
            <rPr>
              <rFont val="Arial"/>
              <color rgb="0017201C"/>
              <sz val="10"/>
            </rPr>
            <t>type a typical monthly amount for each category. All 12 months fill in by themselves; type over a single month for costs that do not repeat every month (annual insurance, holiday gifts).</t>
          </r>
        </is>
      </c>
    </row>
    <row r="9" ht="31" customHeight="1">
      <c r="B9" s="5" t="inlineStr">
        <is>
          <r>
            <rPr>
              <rFont val="Arial"/>
              <b val="1"/>
              <color rgb="0017201C"/>
              <sz val="10"/>
            </rPr>
            <t xml:space="preserve">4. Transactions: </t>
          </r>
          <r>
            <rPr>
              <rFont val="Arial"/>
              <color rgb="0017201C"/>
              <sz val="10"/>
            </rPr>
            <t>log every payment and every income with date, description, category (from the drop-down list) and amount. Use positive amounts; for a refund, type a negative amount in the same category.</t>
          </r>
        </is>
      </c>
    </row>
    <row r="10" ht="31" customHeight="1">
      <c r="B10" s="5" t="inlineStr">
        <is>
          <r>
            <rPr>
              <rFont val="Arial"/>
              <b val="1"/>
              <color rgb="0017201C"/>
              <sz val="10"/>
            </rPr>
            <t xml:space="preserve">5. Monthly Summary and Annual Dashboard: </t>
          </r>
          <r>
            <rPr>
              <rFont val="Arial"/>
              <color rgb="0017201C"/>
              <sz val="10"/>
            </rPr>
            <t>nothing to type, they update by themselves. Pick the month to review at the top of Monthly Summary.</t>
          </r>
        </is>
      </c>
    </row>
    <row r="11" ht="17.5" customHeight="1">
      <c r="B11" s="5" t="inlineStr">
        <is>
          <r>
            <rPr>
              <rFont val="Arial"/>
              <b val="1"/>
              <color rgb="0017201C"/>
              <sz val="10"/>
            </rPr>
            <t xml:space="preserve">6. Optional: </t>
          </r>
          <r>
            <rPr>
              <rFont val="Arial"/>
              <color rgb="0017201C"/>
              <sz val="10"/>
            </rPr>
            <t>track your Savings Goals, Sinking Funds and Debt Payoff plan.</t>
          </r>
        </is>
      </c>
    </row>
    <row r="13" ht="20" customHeight="1">
      <c r="B13" s="3" t="inlineStr">
        <is>
          <t>Color key</t>
        </is>
      </c>
      <c r="C13" s="4" t="n"/>
    </row>
    <row r="14" ht="20" customHeight="1">
      <c r="B14" s="6" t="inlineStr">
        <is>
          <t>Yellow cells: your inputs. Type over them freely.</t>
        </is>
      </c>
    </row>
    <row r="15" ht="20" customHeight="1">
      <c r="B15" s="7" t="inlineStr">
        <is>
          <t>White cells: formulas. The sheets are protected so you do not delete them by mistake.</t>
        </is>
      </c>
    </row>
    <row r="16" ht="20" customHeight="1">
      <c r="B16" s="8" t="inlineStr">
        <is>
          <t>Differences in green are better than planned; in red, worse than planned (spending more, or earning or saving less).</t>
        </is>
      </c>
    </row>
    <row r="18" ht="20" customHeight="1">
      <c r="B18" s="3" t="inlineStr">
        <is>
          <t>Good to know</t>
        </is>
      </c>
      <c r="C18" s="4" t="n"/>
    </row>
    <row r="19" ht="31" customHeight="1">
      <c r="B19" s="5" t="inlineStr">
        <is>
          <r>
            <rPr>
              <rFont val="Arial"/>
              <b val="1"/>
              <color rgb="0017201C"/>
              <sz val="10"/>
            </rPr>
            <t xml:space="preserve">• Dates. </t>
          </r>
          <r>
            <rPr>
              <rFont val="Arial"/>
              <color rgb="0017201C"/>
              <sz val="10"/>
            </rPr>
            <t>Dates use the ISO format year-month-day (2026-03-15), which reads the same in every country. Type dates that way. To show them differently, select the column and change the date format (Format Cells in Excel, Format &gt; Number in Google Sheets).</t>
          </r>
        </is>
      </c>
    </row>
    <row r="20" ht="31" customHeight="1">
      <c r="B20" s="5" t="inlineStr">
        <is>
          <r>
            <rPr>
              <rFont val="Arial"/>
              <b val="1"/>
              <color rgb="0017201C"/>
              <sz val="10"/>
            </rPr>
            <t xml:space="preserve">• Credit cards. </t>
          </r>
          <r>
            <rPr>
              <rFont val="Arial"/>
              <color rgb="0017201C"/>
              <sz val="10"/>
            </rPr>
            <t>Log each card purchase as an expense when you make it. Do not log the monthly card bill as well, or the same spending counts twice. Payments on an old balance you are paying off go under Debt payments.</t>
          </r>
        </is>
      </c>
    </row>
    <row r="21" ht="44.5" customHeight="1">
      <c r="B21" s="5" t="inlineStr">
        <is>
          <r>
            <rPr>
              <rFont val="Arial"/>
              <b val="1"/>
              <color rgb="0017201C"/>
              <sz val="10"/>
            </rPr>
            <t xml:space="preserve">• Goals and sinking funds. </t>
          </r>
          <r>
            <rPr>
              <rFont val="Arial"/>
              <color rgb="0017201C"/>
              <sz val="10"/>
            </rPr>
            <t>When you move money into a goal or fund, log it in a Savings &amp; debt category (for example Sinking funds) and pick the goal or fund in the "Goal / fund" column. When you spend that money, log the expense in its normal category and pick the same fund: the fund balance goes down.</t>
          </r>
        </is>
      </c>
    </row>
    <row r="22" ht="31" customHeight="1">
      <c r="B22" s="5" t="inlineStr">
        <is>
          <r>
            <rPr>
              <rFont val="Arial"/>
              <b val="1"/>
              <color rgb="0017201C"/>
              <sz val="10"/>
            </rPr>
            <t xml:space="preserve">• Paid from goals &amp; funds. </t>
          </r>
          <r>
            <rPr>
              <rFont val="Arial"/>
              <color rgb="0017201C"/>
              <sz val="10"/>
            </rPr>
            <t>Spending covered by money you set aside earlier. It is added back in "Left over", so the same money is not counted twice. In Monthly Budget you can plan it for the months when you expect to use a fund.</t>
          </r>
        </is>
      </c>
    </row>
    <row r="23" ht="31" customHeight="1">
      <c r="B23" s="5" t="inlineStr">
        <is>
          <r>
            <rPr>
              <rFont val="Arial"/>
              <b val="1"/>
              <color rgb="0017201C"/>
              <sz val="10"/>
            </rPr>
            <t xml:space="preserve">• Savings rate. </t>
          </r>
          <r>
            <rPr>
              <rFont val="Arial"/>
              <color rgb="0017201C"/>
              <sz val="10"/>
            </rPr>
            <t>Savings rate = (income − expenses) ÷ income: the share of your income you did not spend. Savings, investments and debt payments count as saved; car payments are a fixed bill.</t>
          </r>
        </is>
      </c>
    </row>
    <row r="24" ht="31" customHeight="1">
      <c r="B24" s="5" t="inlineStr">
        <is>
          <r>
            <rPr>
              <rFont val="Arial"/>
              <b val="1"/>
              <color rgb="0017201C"/>
              <sz val="10"/>
            </rPr>
            <t xml:space="preserve">• Left over. </t>
          </r>
          <r>
            <rPr>
              <rFont val="Arial"/>
              <color rgb="0017201C"/>
              <sz val="10"/>
            </rPr>
            <t>Left over = income − expenses − savings &amp; debt + paid from goals &amp; funds. In a zero-based budget, "Left to budget" in Monthly Budget is close to zero.</t>
          </r>
        </is>
      </c>
    </row>
    <row r="25" ht="17.5" customHeight="1">
      <c r="B25" s="5" t="inlineStr">
        <is>
          <r>
            <rPr>
              <rFont val="Arial"/>
              <b val="1"/>
              <color rgb="0017201C"/>
              <sz val="10"/>
            </rPr>
            <t xml:space="preserve">• Debt Payoff. </t>
          </r>
          <r>
            <rPr>
              <rFont val="Arial"/>
              <color rgb="0017201C"/>
              <sz val="10"/>
            </rPr>
            <t>Estimates assume that rates and minimum payments stay the same. Your lender's figures can differ slightly.</t>
          </r>
        </is>
      </c>
    </row>
    <row r="26" ht="31" customHeight="1">
      <c r="B26" s="5" t="inlineStr">
        <is>
          <r>
            <rPr>
              <rFont val="Arial"/>
              <b val="1"/>
              <color rgb="0017201C"/>
              <sz val="10"/>
            </rPr>
            <t xml:space="preserve">• Renaming a category. </t>
          </r>
          <r>
            <rPr>
              <rFont val="Arial"/>
              <color rgb="0017201C"/>
              <sz val="10"/>
            </rPr>
            <t>If you rename a category after logging transactions, change the old name in Transactions too (Find and Replace). Until then, those rows are flagged in the Check column and left out of the totals.</t>
          </r>
        </is>
      </c>
    </row>
    <row r="27" ht="31" customHeight="1">
      <c r="B27" s="5" t="inlineStr">
        <is>
          <r>
            <rPr>
              <rFont val="Arial"/>
              <b val="1"/>
              <color rgb="0017201C"/>
              <sz val="10"/>
            </rPr>
            <t xml:space="preserve">• Sorting. </t>
          </r>
          <r>
            <rPr>
              <rFont val="Arial"/>
              <color rgb="0017201C"/>
              <sz val="10"/>
            </rPr>
            <t>Filters work while the sheets are protected. To sort Transactions, unprotect the sheet first (no password), sort, then protect it again.</t>
          </r>
        </is>
      </c>
    </row>
    <row r="28" ht="31" customHeight="1">
      <c r="B28" s="5" t="inlineStr">
        <is>
          <r>
            <rPr>
              <rFont val="Arial"/>
              <b val="1"/>
              <color rgb="0017201C"/>
              <sz val="10"/>
            </rPr>
            <t xml:space="preserve">• Printing. </t>
          </r>
          <r>
            <rPr>
              <rFont val="Arial"/>
              <color rgb="0017201C"/>
              <sz val="10"/>
            </rPr>
            <t>Each sheet prints one page wide. For Transactions, select the rows you need and print the selection; otherwise all 2,000 rows print.</t>
          </r>
        </is>
      </c>
    </row>
    <row r="29" ht="17.5" customHeight="1">
      <c r="B29" s="5" t="inlineStr">
        <is>
          <r>
            <rPr>
              <rFont val="Arial"/>
              <b val="1"/>
              <color rgb="0017201C"/>
              <sz val="10"/>
            </rPr>
            <t xml:space="preserve">• Next year. </t>
          </r>
          <r>
            <rPr>
              <rFont val="Arial"/>
              <color rgb="0017201C"/>
              <sz val="10"/>
            </rPr>
            <t>The file covers one calendar year. Save a copy, clear Transactions and change the year in Settings.</t>
          </r>
        </is>
      </c>
    </row>
    <row r="31" ht="20" customHeight="1">
      <c r="B31" s="3" t="inlineStr">
        <is>
          <t>Works with</t>
        </is>
      </c>
      <c r="C31" s="4" t="n"/>
    </row>
    <row r="32" ht="31" customHeight="1">
      <c r="B32" s="5" t="inlineStr">
        <is>
          <t>• Excel 2016 or later (Windows and Mac), Excel on the web, Google Sheets and LibreOffice Calc. No macros, no add-ins, no internet connection needed.</t>
        </is>
      </c>
    </row>
    <row r="33" ht="31" customHeight="1">
      <c r="B33" s="5" t="inlineStr">
        <is>
          <t>• Excel: if the file opens in Protected View (yellow bar at the top), click Enable Editing. Until then the formulas are not calculated and many cells look empty.</t>
        </is>
      </c>
    </row>
    <row r="34" ht="31" customHeight="1">
      <c r="B34" s="5" t="inlineStr">
        <is>
          <t>• Google Sheets: upload the file to your Drive, open it and choose File &gt; Save as Google Sheets. Charts can look slightly different, and sheet protection may not carry over: type only in the yellow cells.</t>
        </is>
      </c>
    </row>
    <row r="35" ht="31" customHeight="1">
      <c r="B35" s="5" t="inlineStr">
        <is>
          <t>• Sheet protection has no password. To change formulas or the layout: Review &gt; Unprotect Sheet in Excel, Tools &gt; Protect Sheet in LibreOffice, Data &gt; Protect sheets and ranges in Google Sheets.</t>
        </is>
      </c>
    </row>
    <row r="37" ht="20" customHeight="1">
      <c r="B37" s="3" t="inlineStr">
        <is>
          <t>Sheets in this file</t>
        </is>
      </c>
      <c r="C37" s="4" t="n"/>
    </row>
    <row r="38" ht="18" customHeight="1">
      <c r="B38" s="9" t="inlineStr">
        <is>
          <t>Settings</t>
        </is>
      </c>
      <c r="C38" s="10" t="inlineStr">
        <is>
          <t>Year, currency symbol, plan name, accounts and the date used for "months left".</t>
        </is>
      </c>
    </row>
    <row r="39" ht="18" customHeight="1">
      <c r="B39" s="9" t="inlineStr">
        <is>
          <t>Categories</t>
        </is>
      </c>
      <c r="C39" s="10" t="inlineStr">
        <is>
          <t>Your categories and their types.</t>
        </is>
      </c>
    </row>
    <row r="40" ht="18" customHeight="1">
      <c r="B40" s="9" t="inlineStr">
        <is>
          <t>Transactions</t>
        </is>
      </c>
      <c r="C40" s="10" t="inlineStr">
        <is>
          <t>One log for the whole year: 2,000 rows with drop-down lists and automatic checks.</t>
        </is>
      </c>
    </row>
    <row r="41" ht="18" customHeight="1">
      <c r="B41" s="9" t="inlineStr">
        <is>
          <t>Monthly Budget</t>
        </is>
      </c>
      <c r="C41" s="10" t="inlineStr">
        <is>
          <t>Planned amounts per category and month, and "Left to budget".</t>
        </is>
      </c>
    </row>
    <row r="42" ht="18" customHeight="1">
      <c r="B42" s="9" t="inlineStr">
        <is>
          <t>Monthly Summary</t>
        </is>
      </c>
      <c r="C42" s="10" t="inlineStr">
        <is>
          <t>Actual vs planned for the month you choose and the year to date, plus actuals for every month.</t>
        </is>
      </c>
    </row>
    <row r="43" ht="18" customHeight="1">
      <c r="B43" s="9" t="inlineStr">
        <is>
          <t>Annual Dashboard</t>
        </is>
      </c>
      <c r="C43" s="10" t="inlineStr">
        <is>
          <t>Income, expenses, savings rate, top spending categories and charts.</t>
        </is>
      </c>
    </row>
    <row r="44" ht="18" customHeight="1">
      <c r="B44" s="9" t="inlineStr">
        <is>
          <t>Savings Goals</t>
        </is>
      </c>
      <c r="C44" s="10" t="inlineStr">
        <is>
          <t>Targets, progress and how much to save each month.</t>
        </is>
      </c>
    </row>
    <row r="45" ht="18" customHeight="1">
      <c r="B45" s="9" t="inlineStr">
        <is>
          <t>Sinking Funds</t>
        </is>
      </c>
      <c r="C45" s="10" t="inlineStr">
        <is>
          <t>Money set aside for irregular costs: balance, amount still needed, monthly amount.</t>
        </is>
      </c>
    </row>
    <row r="46" ht="18" customHeight="1">
      <c r="B46" s="9" t="inlineStr">
        <is>
          <t>Debt Payoff</t>
        </is>
      </c>
      <c r="C46" s="10" t="inlineStr">
        <is>
          <t>Snowball or avalanche order, debt-free date and interest saved.</t>
        </is>
      </c>
    </row>
    <row r="47" ht="18" customHeight="1">
      <c r="B47" s="9" t="inlineStr">
        <is>
          <t>Debt Schedule</t>
        </is>
      </c>
      <c r="C47" s="10" t="inlineStr">
        <is>
          <t>Month-by-month balances behind Debt Payoff (calculated, nothing to type).</t>
        </is>
      </c>
    </row>
    <row r="49" ht="17.5" customHeight="1">
      <c r="B49" s="11" t="inlineStr">
        <is>
          <t>This planner is a personal organization tool. It is not financial, tax or legal advice.</t>
        </is>
      </c>
    </row>
    <row r="50" ht="17.5" customHeight="1">
      <c r="B50" s="11" t="inlineStr">
        <is>
          <t>Made by NettoChiaro · version 2026.1 · Questions? Send us a message on Etsy.</t>
        </is>
      </c>
    </row>
  </sheetData>
  <sheetProtection selectLockedCells="0" selectUnlockedCells="0" sheet="1" objects="0" insertRows="1" insertHyperlinks="1" autoFilter="1" scenarios="0" formatColumns="0" deleteColumns="1" insertColumns="1" pivotTables="1" deleteRows="1" formatCells="0" formatRows="0" sort="1"/>
  <mergeCells count="26">
    <mergeCell ref="B16:C16"/>
    <mergeCell ref="B7:C7"/>
    <mergeCell ref="B25:C25"/>
    <mergeCell ref="B22:C22"/>
    <mergeCell ref="B27:C27"/>
    <mergeCell ref="B21:C21"/>
    <mergeCell ref="B11:C11"/>
    <mergeCell ref="B23:C23"/>
    <mergeCell ref="B14:C14"/>
    <mergeCell ref="B8:C8"/>
    <mergeCell ref="B29:C29"/>
    <mergeCell ref="B19:C19"/>
    <mergeCell ref="B34:C34"/>
    <mergeCell ref="B10:C10"/>
    <mergeCell ref="B28:C28"/>
    <mergeCell ref="B9:C9"/>
    <mergeCell ref="B49:C49"/>
    <mergeCell ref="B6:C6"/>
    <mergeCell ref="B24:C24"/>
    <mergeCell ref="B15:C15"/>
    <mergeCell ref="B33:C33"/>
    <mergeCell ref="B20:C20"/>
    <mergeCell ref="B32:C32"/>
    <mergeCell ref="B50:C50"/>
    <mergeCell ref="B26:C26"/>
    <mergeCell ref="B35:C35"/>
  </mergeCells>
  <hyperlinks>
    <hyperlink ref="B38" location="'Settings'!A1"/>
    <hyperlink ref="B39" location="'Categories'!A1"/>
    <hyperlink ref="B40" location="'Transactions'!A1"/>
    <hyperlink ref="B41" location="'Monthly Budget'!A1"/>
    <hyperlink ref="B42" location="'Monthly Summary'!A1"/>
    <hyperlink ref="B43" location="'Annual Dashboard'!A1"/>
    <hyperlink ref="B44" location="'Savings Goals'!A1"/>
    <hyperlink ref="B45" location="'Sinking Funds'!A1"/>
    <hyperlink ref="B46" location="'Debt Payoff'!A1"/>
    <hyperlink ref="B47" location="'Debt Schedule'!A1"/>
  </hyperlinks>
  <printOptions horizontalCentered="1"/>
  <pageMargins left="0.4" right="0.4" top="0.5" bottom="0.5" header="0.5" footer="0.5"/>
  <pageSetup orientation="portrait" paperSize="1" fitToHeight="1" fitToWidth="1"/>
</worksheet>
</file>

<file path=xl/worksheets/sheet2.xml><?xml version="1.0" encoding="utf-8"?>
<worksheet xmlns="http://schemas.openxmlformats.org/spreadsheetml/2006/main">
  <sheetPr>
    <tabColor rgb="00E3C766"/>
    <outlinePr summaryBelow="1" summaryRight="1"/>
    <pageSetUpPr fitToPage="1"/>
  </sheetPr>
  <dimension ref="B1:D25"/>
  <sheetViews>
    <sheetView showGridLines="0" tabSelected="0" workbookViewId="0">
      <selection activeCell="A1" sqref="A1"/>
    </sheetView>
  </sheetViews>
  <sheetFormatPr baseColWidth="8" defaultRowHeight="15"/>
  <cols>
    <col width="3" customWidth="1" min="1" max="1"/>
    <col width="34" customWidth="1" min="2" max="2"/>
    <col width="24" customWidth="1" min="3" max="3"/>
    <col width="70" customWidth="1" min="4" max="4"/>
  </cols>
  <sheetData>
    <row r="1" ht="30" customHeight="1">
      <c r="B1" s="12" t="inlineStr">
        <is>
          <t>Settings</t>
        </is>
      </c>
    </row>
    <row r="2">
      <c r="B2" s="13" t="inlineStr">
        <is>
          <t>Set these once. Yellow cells are inputs.</t>
        </is>
      </c>
    </row>
    <row r="3" ht="22" customHeight="1">
      <c r="B3" s="14" t="inlineStr">
        <is>
          <t>Setting</t>
        </is>
      </c>
      <c r="C3" s="14" t="inlineStr">
        <is>
          <t>Your value</t>
        </is>
      </c>
      <c r="D3" s="14" t="inlineStr">
        <is>
          <t>Notes</t>
        </is>
      </c>
    </row>
    <row r="4" ht="26" customHeight="1">
      <c r="B4" s="15" t="inlineStr">
        <is>
          <t>Budget year</t>
        </is>
      </c>
      <c r="C4" s="16" t="n">
        <v>2026</v>
      </c>
      <c r="D4" s="17" t="inlineStr">
        <is>
          <t>The calendar year of this planner. Transactions from other years are flagged.</t>
        </is>
      </c>
    </row>
    <row r="5" ht="26" customHeight="1">
      <c r="B5" s="15" t="inlineStr">
        <is>
          <t>Currency symbol</t>
        </is>
      </c>
      <c r="C5" s="18" t="inlineStr">
        <is>
          <t>$</t>
        </is>
      </c>
      <c r="D5" s="17" t="inlineStr">
        <is>
          <t>Shown in the column headings, for example "Amount ($)". Pick one from the list or type your own.</t>
        </is>
      </c>
    </row>
    <row r="6" ht="26" customHeight="1">
      <c r="B6" s="15" t="inlineStr">
        <is>
          <t>Plan name (optional)</t>
        </is>
      </c>
      <c r="C6" s="18" t="inlineStr">
        <is>
          <t>Alex &amp; Sam (sample data)</t>
        </is>
      </c>
      <c r="D6" s="17" t="inlineStr">
        <is>
          <t>Shown on the dashboard, for example "Smith household".</t>
        </is>
      </c>
    </row>
    <row r="7" ht="26" customHeight="1">
      <c r="B7" s="15" t="inlineStr">
        <is>
          <t>As-of date (optional)</t>
        </is>
      </c>
      <c r="C7" s="19" t="n">
        <v>46387</v>
      </c>
      <c r="D7" s="17" t="inlineStr">
        <is>
          <t>Leave empty to use today's date. Used for "months left" and payoff dates.</t>
        </is>
      </c>
    </row>
    <row r="9" ht="20" customHeight="1">
      <c r="B9" s="3" t="inlineStr">
        <is>
          <t>Values used by the formulas (calculated)</t>
        </is>
      </c>
      <c r="C9" s="4" t="n"/>
      <c r="D9" s="4" t="n"/>
    </row>
    <row r="10">
      <c r="B10" s="10" t="inlineStr">
        <is>
          <t>Month to review</t>
        </is>
      </c>
      <c r="C10" s="15">
        <f>'Monthly Summary'!$B$3</f>
        <v/>
      </c>
      <c r="D10" s="20" t="inlineStr">
        <is>
          <t>Chosen at the top of Monthly Summary. Auto = the latest month.</t>
        </is>
      </c>
    </row>
    <row r="11">
      <c r="B11" s="10" t="inlineStr">
        <is>
          <t>As-of date used</t>
        </is>
      </c>
      <c r="C11" s="21">
        <f>IF(ISNUMBER(C7),C7,TODAY())</f>
        <v/>
      </c>
      <c r="D11" s="20" t="inlineStr"/>
    </row>
    <row r="12">
      <c r="B12" s="10" t="inlineStr">
        <is>
          <t>Month used (number)</t>
        </is>
      </c>
      <c r="C12" s="22">
        <f>IFERROR(MATCH('Monthly Summary'!$B$3,Lists!$A$2:$A$13,0),IF(YEAR(C11)&lt;C4,1,IF(YEAR(C11)&gt;C4,12,MONTH(C11))))</f>
        <v/>
      </c>
      <c r="D12" s="20" t="inlineStr">
        <is>
          <t>Auto: the month of the as-of date; December for a past year, January for a future year.</t>
        </is>
      </c>
    </row>
    <row r="13">
      <c r="B13" s="10" t="inlineStr">
        <is>
          <t>Month used (name)</t>
        </is>
      </c>
      <c r="C13" s="15">
        <f>INDEX(Lists!$A$2:$A$13,C12)</f>
        <v/>
      </c>
      <c r="D13" s="20" t="inlineStr"/>
    </row>
    <row r="14">
      <c r="B14" s="10" t="inlineStr">
        <is>
          <t>Currency in headings</t>
        </is>
      </c>
      <c r="C14" s="15">
        <f>IF(TRIM(C5)="",""," ("&amp;TRIM(C5)&amp;")")</f>
        <v/>
      </c>
      <c r="D14" s="20" t="inlineStr"/>
    </row>
    <row r="15">
      <c r="B15" s="10" t="inlineStr">
        <is>
          <t>Month used (short)</t>
        </is>
      </c>
      <c r="C15" s="15">
        <f>LEFT(C13,3)</f>
        <v/>
      </c>
      <c r="D15" s="20" t="inlineStr"/>
    </row>
    <row r="17" ht="20" customHeight="1">
      <c r="B17" s="3" t="inlineStr">
        <is>
          <t>Accounts and payment methods (drop-down in Transactions)</t>
        </is>
      </c>
      <c r="C17" s="4" t="n"/>
      <c r="D17" s="4" t="n"/>
    </row>
    <row r="18">
      <c r="B18" s="23" t="inlineStr">
        <is>
          <t>Checking</t>
        </is>
      </c>
      <c r="C18" s="24" t="inlineStr">
        <is>
          <t>Optional. Rename or add up to 8.</t>
        </is>
      </c>
    </row>
    <row r="19">
      <c r="B19" s="23" t="inlineStr">
        <is>
          <t>Savings</t>
        </is>
      </c>
    </row>
    <row r="20">
      <c r="B20" s="23" t="inlineStr">
        <is>
          <t>Credit card</t>
        </is>
      </c>
    </row>
    <row r="21">
      <c r="B21" s="23" t="inlineStr">
        <is>
          <t>Debit card</t>
        </is>
      </c>
    </row>
    <row r="22">
      <c r="B22" s="23" t="inlineStr">
        <is>
          <t>Cash</t>
        </is>
      </c>
    </row>
    <row r="23">
      <c r="B23" s="23" t="n"/>
    </row>
    <row r="24">
      <c r="B24" s="23" t="n"/>
    </row>
    <row r="25">
      <c r="B25" s="23" t="n"/>
    </row>
  </sheetData>
  <sheetProtection selectLockedCells="0" selectUnlockedCells="0" sheet="1" objects="0" insertRows="1" insertHyperlinks="1" autoFilter="1" scenarios="0" formatColumns="0" deleteColumns="1" insertColumns="1" pivotTables="1" deleteRows="1" formatCells="0" formatRows="0" sort="1"/>
  <dataValidations count="3">
    <dataValidation sqref="C4" showDropDown="0" showInputMessage="0" showErrorMessage="1" allowBlank="0" errorTitle="Year not valid" error="Enter a year between 2000 and 2100." type="whole" operator="between">
      <formula1>2000</formula1>
      <formula2>2100</formula2>
    </dataValidation>
    <dataValidation sqref="C5" showDropDown="0" showInputMessage="0" showErrorMessage="0" allowBlank="1" errorTitle="Currency" error="Pick a symbol or type your own." type="list">
      <formula1>Lists!$F$2:$F$13</formula1>
    </dataValidation>
    <dataValidation sqref="C7" showDropDown="0" showInputMessage="0" showErrorMessage="1" allowBlank="1" errorTitle="Date not valid" error="Enter a date, for example 2026-03-15 (year-month-day)." type="date" operator="between">
      <formula1>36526</formula1>
      <formula2>73050</formula2>
    </dataValidation>
  </dataValidations>
  <printOptions horizontalCentered="1"/>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E3C766"/>
    <outlinePr summaryBelow="1" summaryRight="1"/>
    <pageSetUpPr fitToPage="1"/>
  </sheetPr>
  <dimension ref="A1:D65"/>
  <sheetViews>
    <sheetView tabSelected="0" workbookViewId="0">
      <pane ySplit="5" topLeftCell="A6" activePane="bottomLeft" state="frozen"/>
      <selection pane="bottomLeft" activeCell="A1" sqref="A1"/>
    </sheetView>
  </sheetViews>
  <sheetFormatPr baseColWidth="8" defaultRowHeight="15"/>
  <cols>
    <col width="30" customWidth="1" min="1" max="1"/>
    <col width="20" customWidth="1" min="2" max="2"/>
    <col width="56" customWidth="1" min="3" max="3"/>
    <col width="22" customWidth="1" min="4" max="4"/>
  </cols>
  <sheetData>
    <row r="1" ht="30" customHeight="1">
      <c r="A1" s="12" t="inlineStr">
        <is>
          <t>Categories</t>
        </is>
      </c>
    </row>
    <row r="2">
      <c r="A2" s="13" t="inlineStr">
        <is>
          <t>Up to 60 categories. Each one needs a type. Changes show up everywhere, including the drop-down list in Transactions.</t>
        </is>
      </c>
    </row>
    <row r="3">
      <c r="A3" s="24" t="inlineStr">
        <is>
          <t>Types: Income · Fixed bills (same amount every month) · Variable expenses · Savings &amp; debt (savings, investing and debt payments). Avoid the characters * ? ~ in names.</t>
        </is>
      </c>
    </row>
    <row r="5" ht="24" customHeight="1">
      <c r="A5" s="14" t="inlineStr">
        <is>
          <t>Category</t>
        </is>
      </c>
      <c r="B5" s="14" t="inlineStr">
        <is>
          <t>Type</t>
        </is>
      </c>
      <c r="C5" s="14" t="inlineStr">
        <is>
          <t>Notes</t>
        </is>
      </c>
      <c r="D5" s="14" t="inlineStr">
        <is>
          <t>Check</t>
        </is>
      </c>
    </row>
    <row r="6">
      <c r="A6" s="23" t="inlineStr">
        <is>
          <t>Paycheck 1</t>
        </is>
      </c>
      <c r="B6" s="23" t="inlineStr">
        <is>
          <t>Income</t>
        </is>
      </c>
      <c r="C6" s="23" t="inlineStr">
        <is>
          <t>Take-home pay after tax. Rename it, for example "Alex pay".</t>
        </is>
      </c>
      <c r="D6" s="25">
        <f>IF(A6="",IF(B6="","","Name missing"),IF(B6="","Choose a type",IF(COUNTIF($A$6:$A$65,A6)&gt;1,"Name used twice",IF(ISNA(MATCH(B6,Lists!$D$2:$D$5,0)),"Unknown type",""))))</f>
        <v/>
      </c>
    </row>
    <row r="7">
      <c r="A7" s="23" t="inlineStr">
        <is>
          <t>Paycheck 2</t>
        </is>
      </c>
      <c r="B7" s="23" t="inlineStr">
        <is>
          <t>Income</t>
        </is>
      </c>
      <c r="C7" s="23" t="inlineStr">
        <is>
          <t>Second earner, if any.</t>
        </is>
      </c>
      <c r="D7" s="25">
        <f>IF(A7="",IF(B7="","","Name missing"),IF(B7="","Choose a type",IF(COUNTIF($A$6:$A$65,A7)&gt;1,"Name used twice",IF(ISNA(MATCH(B7,Lists!$D$2:$D$5,0)),"Unknown type",""))))</f>
        <v/>
      </c>
    </row>
    <row r="8">
      <c r="A8" s="23" t="inlineStr">
        <is>
          <t>Side income</t>
        </is>
      </c>
      <c r="B8" s="23" t="inlineStr">
        <is>
          <t>Income</t>
        </is>
      </c>
      <c r="C8" s="23" t="inlineStr">
        <is>
          <t>Freelance work, selling things, tips.</t>
        </is>
      </c>
      <c r="D8" s="25">
        <f>IF(A8="",IF(B8="","","Name missing"),IF(B8="","Choose a type",IF(COUNTIF($A$6:$A$65,A8)&gt;1,"Name used twice",IF(ISNA(MATCH(B8,Lists!$D$2:$D$5,0)),"Unknown type",""))))</f>
        <v/>
      </c>
    </row>
    <row r="9">
      <c r="A9" s="23" t="inlineStr">
        <is>
          <t>Other income</t>
        </is>
      </c>
      <c r="B9" s="23" t="inlineStr">
        <is>
          <t>Income</t>
        </is>
      </c>
      <c r="C9" s="23" t="inlineStr">
        <is>
          <t>Tax refunds, gifts, interest, benefits.</t>
        </is>
      </c>
      <c r="D9" s="25">
        <f>IF(A9="",IF(B9="","","Name missing"),IF(B9="","Choose a type",IF(COUNTIF($A$6:$A$65,A9)&gt;1,"Name used twice",IF(ISNA(MATCH(B9,Lists!$D$2:$D$5,0)),"Unknown type",""))))</f>
        <v/>
      </c>
    </row>
    <row r="10">
      <c r="A10" s="23" t="inlineStr">
        <is>
          <t>Rent / Mortgage</t>
        </is>
      </c>
      <c r="B10" s="23" t="inlineStr">
        <is>
          <t>Fixed bills</t>
        </is>
      </c>
      <c r="C10" s="23" t="n"/>
      <c r="D10" s="25">
        <f>IF(A10="",IF(B10="","","Name missing"),IF(B10="","Choose a type",IF(COUNTIF($A$6:$A$65,A10)&gt;1,"Name used twice",IF(ISNA(MATCH(B10,Lists!$D$2:$D$5,0)),"Unknown type",""))))</f>
        <v/>
      </c>
    </row>
    <row r="11">
      <c r="A11" s="23" t="inlineStr">
        <is>
          <t>Utilities</t>
        </is>
      </c>
      <c r="B11" s="23" t="inlineStr">
        <is>
          <t>Fixed bills</t>
        </is>
      </c>
      <c r="C11" s="23" t="inlineStr">
        <is>
          <t>Electricity, gas, water, trash.</t>
        </is>
      </c>
      <c r="D11" s="25">
        <f>IF(A11="",IF(B11="","","Name missing"),IF(B11="","Choose a type",IF(COUNTIF($A$6:$A$65,A11)&gt;1,"Name used twice",IF(ISNA(MATCH(B11,Lists!$D$2:$D$5,0)),"Unknown type",""))))</f>
        <v/>
      </c>
    </row>
    <row r="12">
      <c r="A12" s="23" t="inlineStr">
        <is>
          <t>Internet &amp; Phone</t>
        </is>
      </c>
      <c r="B12" s="23" t="inlineStr">
        <is>
          <t>Fixed bills</t>
        </is>
      </c>
      <c r="C12" s="23" t="n"/>
      <c r="D12" s="25">
        <f>IF(A12="",IF(B12="","","Name missing"),IF(B12="","Choose a type",IF(COUNTIF($A$6:$A$65,A12)&gt;1,"Name used twice",IF(ISNA(MATCH(B12,Lists!$D$2:$D$5,0)),"Unknown type",""))))</f>
        <v/>
      </c>
    </row>
    <row r="13">
      <c r="A13" s="23" t="inlineStr">
        <is>
          <t>Insurance</t>
        </is>
      </c>
      <c r="B13" s="23" t="inlineStr">
        <is>
          <t>Fixed bills</t>
        </is>
      </c>
      <c r="C13" s="23" t="inlineStr">
        <is>
          <t>Car, home or renters, life, health.</t>
        </is>
      </c>
      <c r="D13" s="25">
        <f>IF(A13="",IF(B13="","","Name missing"),IF(B13="","Choose a type",IF(COUNTIF($A$6:$A$65,A13)&gt;1,"Name used twice",IF(ISNA(MATCH(B13,Lists!$D$2:$D$5,0)),"Unknown type",""))))</f>
        <v/>
      </c>
    </row>
    <row r="14">
      <c r="A14" s="23" t="inlineStr">
        <is>
          <t>Subscriptions</t>
        </is>
      </c>
      <c r="B14" s="23" t="inlineStr">
        <is>
          <t>Fixed bills</t>
        </is>
      </c>
      <c r="C14" s="23" t="inlineStr">
        <is>
          <t>Streaming, apps, gym, memberships.</t>
        </is>
      </c>
      <c r="D14" s="25">
        <f>IF(A14="",IF(B14="","","Name missing"),IF(B14="","Choose a type",IF(COUNTIF($A$6:$A$65,A14)&gt;1,"Name used twice",IF(ISNA(MATCH(B14,Lists!$D$2:$D$5,0)),"Unknown type",""))))</f>
        <v/>
      </c>
    </row>
    <row r="15">
      <c r="A15" s="23" t="inlineStr">
        <is>
          <t>Car payment</t>
        </is>
      </c>
      <c r="B15" s="23" t="inlineStr">
        <is>
          <t>Fixed bills</t>
        </is>
      </c>
      <c r="C15" s="23" t="inlineStr">
        <is>
          <t>Car loan or lease.</t>
        </is>
      </c>
      <c r="D15" s="25">
        <f>IF(A15="",IF(B15="","","Name missing"),IF(B15="","Choose a type",IF(COUNTIF($A$6:$A$65,A15)&gt;1,"Name used twice",IF(ISNA(MATCH(B15,Lists!$D$2:$D$5,0)),"Unknown type",""))))</f>
        <v/>
      </c>
    </row>
    <row r="16">
      <c r="A16" s="23" t="inlineStr">
        <is>
          <t>Groceries</t>
        </is>
      </c>
      <c r="B16" s="23" t="inlineStr">
        <is>
          <t>Variable expenses</t>
        </is>
      </c>
      <c r="C16" s="23" t="inlineStr">
        <is>
          <t>Food and household supplies.</t>
        </is>
      </c>
      <c r="D16" s="25">
        <f>IF(A16="",IF(B16="","","Name missing"),IF(B16="","Choose a type",IF(COUNTIF($A$6:$A$65,A16)&gt;1,"Name used twice",IF(ISNA(MATCH(B16,Lists!$D$2:$D$5,0)),"Unknown type",""))))</f>
        <v/>
      </c>
    </row>
    <row r="17">
      <c r="A17" s="23" t="inlineStr">
        <is>
          <t>Dining out</t>
        </is>
      </c>
      <c r="B17" s="23" t="inlineStr">
        <is>
          <t>Variable expenses</t>
        </is>
      </c>
      <c r="C17" s="23" t="inlineStr">
        <is>
          <t>Restaurants, takeout, coffee.</t>
        </is>
      </c>
      <c r="D17" s="25">
        <f>IF(A17="",IF(B17="","","Name missing"),IF(B17="","Choose a type",IF(COUNTIF($A$6:$A$65,A17)&gt;1,"Name used twice",IF(ISNA(MATCH(B17,Lists!$D$2:$D$5,0)),"Unknown type",""))))</f>
        <v/>
      </c>
    </row>
    <row r="18">
      <c r="A18" s="23" t="inlineStr">
        <is>
          <t>Transport / Gas</t>
        </is>
      </c>
      <c r="B18" s="23" t="inlineStr">
        <is>
          <t>Variable expenses</t>
        </is>
      </c>
      <c r="C18" s="23" t="inlineStr">
        <is>
          <t>Fuel, public transport, parking, tolls, car repairs.</t>
        </is>
      </c>
      <c r="D18" s="25">
        <f>IF(A18="",IF(B18="","","Name missing"),IF(B18="","Choose a type",IF(COUNTIF($A$6:$A$65,A18)&gt;1,"Name used twice",IF(ISNA(MATCH(B18,Lists!$D$2:$D$5,0)),"Unknown type",""))))</f>
        <v/>
      </c>
    </row>
    <row r="19">
      <c r="A19" s="23" t="inlineStr">
        <is>
          <t>Health</t>
        </is>
      </c>
      <c r="B19" s="23" t="inlineStr">
        <is>
          <t>Variable expenses</t>
        </is>
      </c>
      <c r="C19" s="23" t="inlineStr">
        <is>
          <t>Pharmacy, doctor and dentist visits, copays.</t>
        </is>
      </c>
      <c r="D19" s="25">
        <f>IF(A19="",IF(B19="","","Name missing"),IF(B19="","Choose a type",IF(COUNTIF($A$6:$A$65,A19)&gt;1,"Name used twice",IF(ISNA(MATCH(B19,Lists!$D$2:$D$5,0)),"Unknown type",""))))</f>
        <v/>
      </c>
    </row>
    <row r="20">
      <c r="A20" s="23" t="inlineStr">
        <is>
          <t>Kids</t>
        </is>
      </c>
      <c r="B20" s="23" t="inlineStr">
        <is>
          <t>Variable expenses</t>
        </is>
      </c>
      <c r="C20" s="23" t="inlineStr">
        <is>
          <t>Childcare, school, activities, clothes.</t>
        </is>
      </c>
      <c r="D20" s="25">
        <f>IF(A20="",IF(B20="","","Name missing"),IF(B20="","Choose a type",IF(COUNTIF($A$6:$A$65,A20)&gt;1,"Name used twice",IF(ISNA(MATCH(B20,Lists!$D$2:$D$5,0)),"Unknown type",""))))</f>
        <v/>
      </c>
    </row>
    <row r="21">
      <c r="A21" s="23" t="inlineStr">
        <is>
          <t>Personal care</t>
        </is>
      </c>
      <c r="B21" s="23" t="inlineStr">
        <is>
          <t>Variable expenses</t>
        </is>
      </c>
      <c r="C21" s="23" t="inlineStr">
        <is>
          <t>Haircuts, toiletries, cosmetics.</t>
        </is>
      </c>
      <c r="D21" s="25">
        <f>IF(A21="",IF(B21="","","Name missing"),IF(B21="","Choose a type",IF(COUNTIF($A$6:$A$65,A21)&gt;1,"Name used twice",IF(ISNA(MATCH(B21,Lists!$D$2:$D$5,0)),"Unknown type",""))))</f>
        <v/>
      </c>
    </row>
    <row r="22">
      <c r="A22" s="23" t="inlineStr">
        <is>
          <t>Entertainment</t>
        </is>
      </c>
      <c r="B22" s="23" t="inlineStr">
        <is>
          <t>Variable expenses</t>
        </is>
      </c>
      <c r="C22" s="23" t="inlineStr">
        <is>
          <t>Movies, events, hobbies, games.</t>
        </is>
      </c>
      <c r="D22" s="25">
        <f>IF(A22="",IF(B22="","","Name missing"),IF(B22="","Choose a type",IF(COUNTIF($A$6:$A$65,A22)&gt;1,"Name used twice",IF(ISNA(MATCH(B22,Lists!$D$2:$D$5,0)),"Unknown type",""))))</f>
        <v/>
      </c>
    </row>
    <row r="23">
      <c r="A23" s="23" t="inlineStr">
        <is>
          <t>Gifts</t>
        </is>
      </c>
      <c r="B23" s="23" t="inlineStr">
        <is>
          <t>Variable expenses</t>
        </is>
      </c>
      <c r="C23" s="23" t="inlineStr">
        <is>
          <t>Birthdays, holidays, donations.</t>
        </is>
      </c>
      <c r="D23" s="25">
        <f>IF(A23="",IF(B23="","","Name missing"),IF(B23="","Choose a type",IF(COUNTIF($A$6:$A$65,A23)&gt;1,"Name used twice",IF(ISNA(MATCH(B23,Lists!$D$2:$D$5,0)),"Unknown type",""))))</f>
        <v/>
      </c>
    </row>
    <row r="24">
      <c r="A24" s="23" t="inlineStr">
        <is>
          <t>Travel</t>
        </is>
      </c>
      <c r="B24" s="23" t="inlineStr">
        <is>
          <t>Variable expenses</t>
        </is>
      </c>
      <c r="C24" s="23" t="inlineStr">
        <is>
          <t>Trips and vacations.</t>
        </is>
      </c>
      <c r="D24" s="25">
        <f>IF(A24="",IF(B24="","","Name missing"),IF(B24="","Choose a type",IF(COUNTIF($A$6:$A$65,A24)&gt;1,"Name used twice",IF(ISNA(MATCH(B24,Lists!$D$2:$D$5,0)),"Unknown type",""))))</f>
        <v/>
      </c>
    </row>
    <row r="25">
      <c r="A25" s="23" t="inlineStr">
        <is>
          <t>Clothing</t>
        </is>
      </c>
      <c r="B25" s="23" t="inlineStr">
        <is>
          <t>Variable expenses</t>
        </is>
      </c>
      <c r="C25" s="23" t="n"/>
      <c r="D25" s="25">
        <f>IF(A25="",IF(B25="","","Name missing"),IF(B25="","Choose a type",IF(COUNTIF($A$6:$A$65,A25)&gt;1,"Name used twice",IF(ISNA(MATCH(B25,Lists!$D$2:$D$5,0)),"Unknown type",""))))</f>
        <v/>
      </c>
    </row>
    <row r="26">
      <c r="A26" s="23" t="inlineStr">
        <is>
          <t>Home &amp; repairs</t>
        </is>
      </c>
      <c r="B26" s="23" t="inlineStr">
        <is>
          <t>Variable expenses</t>
        </is>
      </c>
      <c r="C26" s="23" t="inlineStr">
        <is>
          <t>Furniture, tools, repairs, appliances.</t>
        </is>
      </c>
      <c r="D26" s="25">
        <f>IF(A26="",IF(B26="","","Name missing"),IF(B26="","Choose a type",IF(COUNTIF($A$6:$A$65,A26)&gt;1,"Name used twice",IF(ISNA(MATCH(B26,Lists!$D$2:$D$5,0)),"Unknown type",""))))</f>
        <v/>
      </c>
    </row>
    <row r="27">
      <c r="A27" s="23" t="inlineStr">
        <is>
          <t>Pets</t>
        </is>
      </c>
      <c r="B27" s="23" t="inlineStr">
        <is>
          <t>Variable expenses</t>
        </is>
      </c>
      <c r="C27" s="23" t="inlineStr">
        <is>
          <t>Food, vet, grooming.</t>
        </is>
      </c>
      <c r="D27" s="25">
        <f>IF(A27="",IF(B27="","","Name missing"),IF(B27="","Choose a type",IF(COUNTIF($A$6:$A$65,A27)&gt;1,"Name used twice",IF(ISNA(MATCH(B27,Lists!$D$2:$D$5,0)),"Unknown type",""))))</f>
        <v/>
      </c>
    </row>
    <row r="28">
      <c r="A28" s="23" t="inlineStr">
        <is>
          <t>Misc</t>
        </is>
      </c>
      <c r="B28" s="23" t="inlineStr">
        <is>
          <t>Variable expenses</t>
        </is>
      </c>
      <c r="C28" s="23" t="inlineStr">
        <is>
          <t>Anything that does not fit elsewhere.</t>
        </is>
      </c>
      <c r="D28" s="25">
        <f>IF(A28="",IF(B28="","","Name missing"),IF(B28="","Choose a type",IF(COUNTIF($A$6:$A$65,A28)&gt;1,"Name used twice",IF(ISNA(MATCH(B28,Lists!$D$2:$D$5,0)),"Unknown type",""))))</f>
        <v/>
      </c>
    </row>
    <row r="29">
      <c r="A29" s="23" t="inlineStr">
        <is>
          <t>Emergency fund</t>
        </is>
      </c>
      <c r="B29" s="23" t="inlineStr">
        <is>
          <t>Savings &amp; debt</t>
        </is>
      </c>
      <c r="C29" s="23" t="inlineStr">
        <is>
          <t>Money moved to your emergency savings.</t>
        </is>
      </c>
      <c r="D29" s="25">
        <f>IF(A29="",IF(B29="","","Name missing"),IF(B29="","Choose a type",IF(COUNTIF($A$6:$A$65,A29)&gt;1,"Name used twice",IF(ISNA(MATCH(B29,Lists!$D$2:$D$5,0)),"Unknown type",""))))</f>
        <v/>
      </c>
    </row>
    <row r="30">
      <c r="A30" s="23" t="inlineStr">
        <is>
          <t>Savings goals</t>
        </is>
      </c>
      <c r="B30" s="23" t="inlineStr">
        <is>
          <t>Savings &amp; debt</t>
        </is>
      </c>
      <c r="C30" s="23" t="inlineStr">
        <is>
          <t>Money moved to the goals in Savings Goals.</t>
        </is>
      </c>
      <c r="D30" s="25">
        <f>IF(A30="",IF(B30="","","Name missing"),IF(B30="","Choose a type",IF(COUNTIF($A$6:$A$65,A30)&gt;1,"Name used twice",IF(ISNA(MATCH(B30,Lists!$D$2:$D$5,0)),"Unknown type",""))))</f>
        <v/>
      </c>
    </row>
    <row r="31">
      <c r="A31" s="23" t="inlineStr">
        <is>
          <t>Sinking funds</t>
        </is>
      </c>
      <c r="B31" s="23" t="inlineStr">
        <is>
          <t>Savings &amp; debt</t>
        </is>
      </c>
      <c r="C31" s="23" t="inlineStr">
        <is>
          <t>Money set aside for the funds in Sinking Funds.</t>
        </is>
      </c>
      <c r="D31" s="25">
        <f>IF(A31="",IF(B31="","","Name missing"),IF(B31="","Choose a type",IF(COUNTIF($A$6:$A$65,A31)&gt;1,"Name used twice",IF(ISNA(MATCH(B31,Lists!$D$2:$D$5,0)),"Unknown type",""))))</f>
        <v/>
      </c>
    </row>
    <row r="32">
      <c r="A32" s="23" t="inlineStr">
        <is>
          <t>Retirement &amp; investing</t>
        </is>
      </c>
      <c r="B32" s="23" t="inlineStr">
        <is>
          <t>Savings &amp; debt</t>
        </is>
      </c>
      <c r="C32" s="23" t="inlineStr">
        <is>
          <t>Pension or retirement account, investments.</t>
        </is>
      </c>
      <c r="D32" s="25">
        <f>IF(A32="",IF(B32="","","Name missing"),IF(B32="","Choose a type",IF(COUNTIF($A$6:$A$65,A32)&gt;1,"Name used twice",IF(ISNA(MATCH(B32,Lists!$D$2:$D$5,0)),"Unknown type",""))))</f>
        <v/>
      </c>
    </row>
    <row r="33">
      <c r="A33" s="23" t="inlineStr">
        <is>
          <t>Debt payments</t>
        </is>
      </c>
      <c r="B33" s="23" t="inlineStr">
        <is>
          <t>Savings &amp; debt</t>
        </is>
      </c>
      <c r="C33" s="23" t="inlineStr">
        <is>
          <t>Credit cards, student and personal loans (see Debt Payoff).</t>
        </is>
      </c>
      <c r="D33" s="25">
        <f>IF(A33="",IF(B33="","","Name missing"),IF(B33="","Choose a type",IF(COUNTIF($A$6:$A$65,A33)&gt;1,"Name used twice",IF(ISNA(MATCH(B33,Lists!$D$2:$D$5,0)),"Unknown type",""))))</f>
        <v/>
      </c>
    </row>
    <row r="34">
      <c r="A34" s="23" t="n"/>
      <c r="B34" s="23" t="n"/>
      <c r="C34" s="23" t="n"/>
      <c r="D34" s="25">
        <f>IF(A34="",IF(B34="","","Name missing"),IF(B34="","Choose a type",IF(COUNTIF($A$6:$A$65,A34)&gt;1,"Name used twice",IF(ISNA(MATCH(B34,Lists!$D$2:$D$5,0)),"Unknown type",""))))</f>
        <v/>
      </c>
    </row>
    <row r="35">
      <c r="A35" s="23" t="n"/>
      <c r="B35" s="23" t="n"/>
      <c r="C35" s="23" t="n"/>
      <c r="D35" s="25">
        <f>IF(A35="",IF(B35="","","Name missing"),IF(B35="","Choose a type",IF(COUNTIF($A$6:$A$65,A35)&gt;1,"Name used twice",IF(ISNA(MATCH(B35,Lists!$D$2:$D$5,0)),"Unknown type",""))))</f>
        <v/>
      </c>
    </row>
    <row r="36">
      <c r="A36" s="23" t="n"/>
      <c r="B36" s="23" t="n"/>
      <c r="C36" s="23" t="n"/>
      <c r="D36" s="25">
        <f>IF(A36="",IF(B36="","","Name missing"),IF(B36="","Choose a type",IF(COUNTIF($A$6:$A$65,A36)&gt;1,"Name used twice",IF(ISNA(MATCH(B36,Lists!$D$2:$D$5,0)),"Unknown type",""))))</f>
        <v/>
      </c>
    </row>
    <row r="37">
      <c r="A37" s="23" t="n"/>
      <c r="B37" s="23" t="n"/>
      <c r="C37" s="23" t="n"/>
      <c r="D37" s="25">
        <f>IF(A37="",IF(B37="","","Name missing"),IF(B37="","Choose a type",IF(COUNTIF($A$6:$A$65,A37)&gt;1,"Name used twice",IF(ISNA(MATCH(B37,Lists!$D$2:$D$5,0)),"Unknown type",""))))</f>
        <v/>
      </c>
    </row>
    <row r="38">
      <c r="A38" s="23" t="n"/>
      <c r="B38" s="23" t="n"/>
      <c r="C38" s="23" t="n"/>
      <c r="D38" s="25">
        <f>IF(A38="",IF(B38="","","Name missing"),IF(B38="","Choose a type",IF(COUNTIF($A$6:$A$65,A38)&gt;1,"Name used twice",IF(ISNA(MATCH(B38,Lists!$D$2:$D$5,0)),"Unknown type",""))))</f>
        <v/>
      </c>
    </row>
    <row r="39">
      <c r="A39" s="23" t="n"/>
      <c r="B39" s="23" t="n"/>
      <c r="C39" s="23" t="n"/>
      <c r="D39" s="25">
        <f>IF(A39="",IF(B39="","","Name missing"),IF(B39="","Choose a type",IF(COUNTIF($A$6:$A$65,A39)&gt;1,"Name used twice",IF(ISNA(MATCH(B39,Lists!$D$2:$D$5,0)),"Unknown type",""))))</f>
        <v/>
      </c>
    </row>
    <row r="40">
      <c r="A40" s="23" t="n"/>
      <c r="B40" s="23" t="n"/>
      <c r="C40" s="23" t="n"/>
      <c r="D40" s="25">
        <f>IF(A40="",IF(B40="","","Name missing"),IF(B40="","Choose a type",IF(COUNTIF($A$6:$A$65,A40)&gt;1,"Name used twice",IF(ISNA(MATCH(B40,Lists!$D$2:$D$5,0)),"Unknown type",""))))</f>
        <v/>
      </c>
    </row>
    <row r="41">
      <c r="A41" s="23" t="n"/>
      <c r="B41" s="23" t="n"/>
      <c r="C41" s="23" t="n"/>
      <c r="D41" s="25">
        <f>IF(A41="",IF(B41="","","Name missing"),IF(B41="","Choose a type",IF(COUNTIF($A$6:$A$65,A41)&gt;1,"Name used twice",IF(ISNA(MATCH(B41,Lists!$D$2:$D$5,0)),"Unknown type",""))))</f>
        <v/>
      </c>
    </row>
    <row r="42">
      <c r="A42" s="23" t="n"/>
      <c r="B42" s="23" t="n"/>
      <c r="C42" s="23" t="n"/>
      <c r="D42" s="25">
        <f>IF(A42="",IF(B42="","","Name missing"),IF(B42="","Choose a type",IF(COUNTIF($A$6:$A$65,A42)&gt;1,"Name used twice",IF(ISNA(MATCH(B42,Lists!$D$2:$D$5,0)),"Unknown type",""))))</f>
        <v/>
      </c>
    </row>
    <row r="43">
      <c r="A43" s="23" t="n"/>
      <c r="B43" s="23" t="n"/>
      <c r="C43" s="23" t="n"/>
      <c r="D43" s="25">
        <f>IF(A43="",IF(B43="","","Name missing"),IF(B43="","Choose a type",IF(COUNTIF($A$6:$A$65,A43)&gt;1,"Name used twice",IF(ISNA(MATCH(B43,Lists!$D$2:$D$5,0)),"Unknown type",""))))</f>
        <v/>
      </c>
    </row>
    <row r="44">
      <c r="A44" s="23" t="n"/>
      <c r="B44" s="23" t="n"/>
      <c r="C44" s="23" t="n"/>
      <c r="D44" s="25">
        <f>IF(A44="",IF(B44="","","Name missing"),IF(B44="","Choose a type",IF(COUNTIF($A$6:$A$65,A44)&gt;1,"Name used twice",IF(ISNA(MATCH(B44,Lists!$D$2:$D$5,0)),"Unknown type",""))))</f>
        <v/>
      </c>
    </row>
    <row r="45">
      <c r="A45" s="23" t="n"/>
      <c r="B45" s="23" t="n"/>
      <c r="C45" s="23" t="n"/>
      <c r="D45" s="25">
        <f>IF(A45="",IF(B45="","","Name missing"),IF(B45="","Choose a type",IF(COUNTIF($A$6:$A$65,A45)&gt;1,"Name used twice",IF(ISNA(MATCH(B45,Lists!$D$2:$D$5,0)),"Unknown type",""))))</f>
        <v/>
      </c>
    </row>
    <row r="46">
      <c r="A46" s="23" t="n"/>
      <c r="B46" s="23" t="n"/>
      <c r="C46" s="23" t="n"/>
      <c r="D46" s="25">
        <f>IF(A46="",IF(B46="","","Name missing"),IF(B46="","Choose a type",IF(COUNTIF($A$6:$A$65,A46)&gt;1,"Name used twice",IF(ISNA(MATCH(B46,Lists!$D$2:$D$5,0)),"Unknown type",""))))</f>
        <v/>
      </c>
    </row>
    <row r="47">
      <c r="A47" s="23" t="n"/>
      <c r="B47" s="23" t="n"/>
      <c r="C47" s="23" t="n"/>
      <c r="D47" s="25">
        <f>IF(A47="",IF(B47="","","Name missing"),IF(B47="","Choose a type",IF(COUNTIF($A$6:$A$65,A47)&gt;1,"Name used twice",IF(ISNA(MATCH(B47,Lists!$D$2:$D$5,0)),"Unknown type",""))))</f>
        <v/>
      </c>
    </row>
    <row r="48">
      <c r="A48" s="23" t="n"/>
      <c r="B48" s="23" t="n"/>
      <c r="C48" s="23" t="n"/>
      <c r="D48" s="25">
        <f>IF(A48="",IF(B48="","","Name missing"),IF(B48="","Choose a type",IF(COUNTIF($A$6:$A$65,A48)&gt;1,"Name used twice",IF(ISNA(MATCH(B48,Lists!$D$2:$D$5,0)),"Unknown type",""))))</f>
        <v/>
      </c>
    </row>
    <row r="49">
      <c r="A49" s="23" t="n"/>
      <c r="B49" s="23" t="n"/>
      <c r="C49" s="23" t="n"/>
      <c r="D49" s="25">
        <f>IF(A49="",IF(B49="","","Name missing"),IF(B49="","Choose a type",IF(COUNTIF($A$6:$A$65,A49)&gt;1,"Name used twice",IF(ISNA(MATCH(B49,Lists!$D$2:$D$5,0)),"Unknown type",""))))</f>
        <v/>
      </c>
    </row>
    <row r="50">
      <c r="A50" s="23" t="n"/>
      <c r="B50" s="23" t="n"/>
      <c r="C50" s="23" t="n"/>
      <c r="D50" s="25">
        <f>IF(A50="",IF(B50="","","Name missing"),IF(B50="","Choose a type",IF(COUNTIF($A$6:$A$65,A50)&gt;1,"Name used twice",IF(ISNA(MATCH(B50,Lists!$D$2:$D$5,0)),"Unknown type",""))))</f>
        <v/>
      </c>
    </row>
    <row r="51">
      <c r="A51" s="23" t="n"/>
      <c r="B51" s="23" t="n"/>
      <c r="C51" s="23" t="n"/>
      <c r="D51" s="25">
        <f>IF(A51="",IF(B51="","","Name missing"),IF(B51="","Choose a type",IF(COUNTIF($A$6:$A$65,A51)&gt;1,"Name used twice",IF(ISNA(MATCH(B51,Lists!$D$2:$D$5,0)),"Unknown type",""))))</f>
        <v/>
      </c>
    </row>
    <row r="52">
      <c r="A52" s="23" t="n"/>
      <c r="B52" s="23" t="n"/>
      <c r="C52" s="23" t="n"/>
      <c r="D52" s="25">
        <f>IF(A52="",IF(B52="","","Name missing"),IF(B52="","Choose a type",IF(COUNTIF($A$6:$A$65,A52)&gt;1,"Name used twice",IF(ISNA(MATCH(B52,Lists!$D$2:$D$5,0)),"Unknown type",""))))</f>
        <v/>
      </c>
    </row>
    <row r="53">
      <c r="A53" s="23" t="n"/>
      <c r="B53" s="23" t="n"/>
      <c r="C53" s="23" t="n"/>
      <c r="D53" s="25">
        <f>IF(A53="",IF(B53="","","Name missing"),IF(B53="","Choose a type",IF(COUNTIF($A$6:$A$65,A53)&gt;1,"Name used twice",IF(ISNA(MATCH(B53,Lists!$D$2:$D$5,0)),"Unknown type",""))))</f>
        <v/>
      </c>
    </row>
    <row r="54">
      <c r="A54" s="23" t="n"/>
      <c r="B54" s="23" t="n"/>
      <c r="C54" s="23" t="n"/>
      <c r="D54" s="25">
        <f>IF(A54="",IF(B54="","","Name missing"),IF(B54="","Choose a type",IF(COUNTIF($A$6:$A$65,A54)&gt;1,"Name used twice",IF(ISNA(MATCH(B54,Lists!$D$2:$D$5,0)),"Unknown type",""))))</f>
        <v/>
      </c>
    </row>
    <row r="55">
      <c r="A55" s="23" t="n"/>
      <c r="B55" s="23" t="n"/>
      <c r="C55" s="23" t="n"/>
      <c r="D55" s="25">
        <f>IF(A55="",IF(B55="","","Name missing"),IF(B55="","Choose a type",IF(COUNTIF($A$6:$A$65,A55)&gt;1,"Name used twice",IF(ISNA(MATCH(B55,Lists!$D$2:$D$5,0)),"Unknown type",""))))</f>
        <v/>
      </c>
    </row>
    <row r="56">
      <c r="A56" s="23" t="n"/>
      <c r="B56" s="23" t="n"/>
      <c r="C56" s="23" t="n"/>
      <c r="D56" s="25">
        <f>IF(A56="",IF(B56="","","Name missing"),IF(B56="","Choose a type",IF(COUNTIF($A$6:$A$65,A56)&gt;1,"Name used twice",IF(ISNA(MATCH(B56,Lists!$D$2:$D$5,0)),"Unknown type",""))))</f>
        <v/>
      </c>
    </row>
    <row r="57">
      <c r="A57" s="23" t="n"/>
      <c r="B57" s="23" t="n"/>
      <c r="C57" s="23" t="n"/>
      <c r="D57" s="25">
        <f>IF(A57="",IF(B57="","","Name missing"),IF(B57="","Choose a type",IF(COUNTIF($A$6:$A$65,A57)&gt;1,"Name used twice",IF(ISNA(MATCH(B57,Lists!$D$2:$D$5,0)),"Unknown type",""))))</f>
        <v/>
      </c>
    </row>
    <row r="58">
      <c r="A58" s="23" t="n"/>
      <c r="B58" s="23" t="n"/>
      <c r="C58" s="23" t="n"/>
      <c r="D58" s="25">
        <f>IF(A58="",IF(B58="","","Name missing"),IF(B58="","Choose a type",IF(COUNTIF($A$6:$A$65,A58)&gt;1,"Name used twice",IF(ISNA(MATCH(B58,Lists!$D$2:$D$5,0)),"Unknown type",""))))</f>
        <v/>
      </c>
    </row>
    <row r="59">
      <c r="A59" s="23" t="n"/>
      <c r="B59" s="23" t="n"/>
      <c r="C59" s="23" t="n"/>
      <c r="D59" s="25">
        <f>IF(A59="",IF(B59="","","Name missing"),IF(B59="","Choose a type",IF(COUNTIF($A$6:$A$65,A59)&gt;1,"Name used twice",IF(ISNA(MATCH(B59,Lists!$D$2:$D$5,0)),"Unknown type",""))))</f>
        <v/>
      </c>
    </row>
    <row r="60">
      <c r="A60" s="23" t="n"/>
      <c r="B60" s="23" t="n"/>
      <c r="C60" s="23" t="n"/>
      <c r="D60" s="25">
        <f>IF(A60="",IF(B60="","","Name missing"),IF(B60="","Choose a type",IF(COUNTIF($A$6:$A$65,A60)&gt;1,"Name used twice",IF(ISNA(MATCH(B60,Lists!$D$2:$D$5,0)),"Unknown type",""))))</f>
        <v/>
      </c>
    </row>
    <row r="61">
      <c r="A61" s="23" t="n"/>
      <c r="B61" s="23" t="n"/>
      <c r="C61" s="23" t="n"/>
      <c r="D61" s="25">
        <f>IF(A61="",IF(B61="","","Name missing"),IF(B61="","Choose a type",IF(COUNTIF($A$6:$A$65,A61)&gt;1,"Name used twice",IF(ISNA(MATCH(B61,Lists!$D$2:$D$5,0)),"Unknown type",""))))</f>
        <v/>
      </c>
    </row>
    <row r="62">
      <c r="A62" s="23" t="n"/>
      <c r="B62" s="23" t="n"/>
      <c r="C62" s="23" t="n"/>
      <c r="D62" s="25">
        <f>IF(A62="",IF(B62="","","Name missing"),IF(B62="","Choose a type",IF(COUNTIF($A$6:$A$65,A62)&gt;1,"Name used twice",IF(ISNA(MATCH(B62,Lists!$D$2:$D$5,0)),"Unknown type",""))))</f>
        <v/>
      </c>
    </row>
    <row r="63">
      <c r="A63" s="23" t="n"/>
      <c r="B63" s="23" t="n"/>
      <c r="C63" s="23" t="n"/>
      <c r="D63" s="25">
        <f>IF(A63="",IF(B63="","","Name missing"),IF(B63="","Choose a type",IF(COUNTIF($A$6:$A$65,A63)&gt;1,"Name used twice",IF(ISNA(MATCH(B63,Lists!$D$2:$D$5,0)),"Unknown type",""))))</f>
        <v/>
      </c>
    </row>
    <row r="64">
      <c r="A64" s="23" t="n"/>
      <c r="B64" s="23" t="n"/>
      <c r="C64" s="23" t="n"/>
      <c r="D64" s="25">
        <f>IF(A64="",IF(B64="","","Name missing"),IF(B64="","Choose a type",IF(COUNTIF($A$6:$A$65,A64)&gt;1,"Name used twice",IF(ISNA(MATCH(B64,Lists!$D$2:$D$5,0)),"Unknown type",""))))</f>
        <v/>
      </c>
    </row>
    <row r="65">
      <c r="A65" s="23" t="n"/>
      <c r="B65" s="23" t="n"/>
      <c r="C65" s="23" t="n"/>
      <c r="D65" s="25">
        <f>IF(A65="",IF(B65="","","Name missing"),IF(B65="","Choose a type",IF(COUNTIF($A$6:$A$65,A65)&gt;1,"Name used twice",IF(ISNA(MATCH(B65,Lists!$D$2:$D$5,0)),"Unknown type",""))))</f>
        <v/>
      </c>
    </row>
  </sheetData>
  <sheetProtection selectLockedCells="0" selectUnlockedCells="0" sheet="1" objects="0" insertRows="1" insertHyperlinks="1" autoFilter="1" scenarios="0" formatColumns="0" deleteColumns="1" insertColumns="1" pivotTables="1" deleteRows="1" formatCells="0" formatRows="0" sort="1"/>
  <conditionalFormatting sqref="D6:D65">
    <cfRule type="expression" priority="1" dxfId="0">
      <formula>D6&lt;&gt;""</formula>
    </cfRule>
  </conditionalFormatting>
  <dataValidations count="1">
    <dataValidation sqref="B6:B65" showDropDown="0" showInputMessage="0" showErrorMessage="1" allowBlank="1" errorTitle="Type not valid" error="Choose Income, Fixed bills, Variable expenses or Savings &amp; debt." type="list">
      <formula1>Lists!$D$2:$D$5</formula1>
    </dataValidation>
  </dataValidations>
  <printOptions horizontalCentered="1"/>
  <pageMargins left="0.4" right="0.4" top="0.5" bottom="0.5" header="0.5" footer="0.5"/>
  <pageSetup orientation="landscape" paperSize="1" fitToHeight="0" fitToWidth="1"/>
</worksheet>
</file>

<file path=xl/worksheets/sheet4.xml><?xml version="1.0" encoding="utf-8"?>
<worksheet xmlns="http://schemas.openxmlformats.org/spreadsheetml/2006/main">
  <sheetPr>
    <tabColor rgb="00E3C766"/>
    <outlinePr summaryBelow="1" summaryRight="1"/>
    <pageSetUpPr fitToPage="1"/>
  </sheetPr>
  <dimension ref="A1:I2005"/>
  <sheetViews>
    <sheetView tabSelected="0" workbookViewId="0">
      <pane ySplit="5" topLeftCell="A6" activePane="bottomLeft" state="frozen"/>
      <selection pane="bottomLeft" activeCell="A1" sqref="A1"/>
    </sheetView>
  </sheetViews>
  <sheetFormatPr baseColWidth="8" defaultRowHeight="15"/>
  <cols>
    <col width="12.5" customWidth="1" min="1" max="1"/>
    <col width="32" customWidth="1" min="2" max="2"/>
    <col width="24" customWidth="1" min="3" max="3"/>
    <col width="13" customWidth="1" min="4" max="4"/>
    <col width="15" customWidth="1" min="5" max="5"/>
    <col width="22" customWidth="1" min="6" max="6"/>
    <col width="24" customWidth="1" min="7" max="7"/>
    <col width="17" customWidth="1" min="8" max="8"/>
    <col width="24" customWidth="1" min="9" max="9"/>
  </cols>
  <sheetData>
    <row r="1" ht="30" customHeight="1">
      <c r="A1" s="12" t="inlineStr">
        <is>
          <t>Transactions</t>
        </is>
      </c>
    </row>
    <row r="2">
      <c r="A2" s="13" t="inlineStr">
        <is>
          <t>One row per payment or income. Dates as year-month-day (2026-03-15). Positive amounts; a refund is a negative amount in the same category.</t>
        </is>
      </c>
    </row>
    <row r="3">
      <c r="A3" s="26">
        <f>"Rows used: "&amp;COUNT(D6:D2005)&amp;" of 2,000 · Total income "&amp;Settings!$C$4&amp;": "&amp;FIXED(SUMIFS(D6:D2005,H6:H2005,"Income",A6:A2005,"&gt;="&amp;DATE(Settings!$C$4,1,1),A6:A2005,"&lt;"&amp;DATE(Settings!$C$4+1,1,1)),2)&amp;" · Total expenses "&amp;Settings!$C$4&amp;": "&amp;FIXED(SUMIFS(D6:D2005,H6:H2005,"Fixed bills",A6:A2005,"&gt;="&amp;DATE(Settings!$C$4,1,1),A6:A2005,"&lt;"&amp;DATE(Settings!$C$4+1,1,1))+SUMIFS(D6:D2005,H6:H2005,"Variable expenses",A6:A2005,"&gt;="&amp;DATE(Settings!$C$4,1,1),A6:A2005,"&lt;"&amp;DATE(Settings!$C$4+1,1,1)),2)</f>
        <v/>
      </c>
    </row>
    <row r="5" ht="30" customHeight="1">
      <c r="A5" s="14" t="inlineStr">
        <is>
          <t>Date</t>
        </is>
      </c>
      <c r="B5" s="14" t="inlineStr">
        <is>
          <t>Description</t>
        </is>
      </c>
      <c r="C5" s="14" t="inlineStr">
        <is>
          <t>Category</t>
        </is>
      </c>
      <c r="D5" s="14">
        <f>"Amount"&amp;Settings!$C$14</f>
        <v/>
      </c>
      <c r="E5" s="14" t="inlineStr">
        <is>
          <t>Account</t>
        </is>
      </c>
      <c r="F5" s="14" t="inlineStr">
        <is>
          <t>Goal / fund (optional)</t>
        </is>
      </c>
      <c r="G5" s="14" t="inlineStr">
        <is>
          <t>Notes</t>
        </is>
      </c>
      <c r="H5" s="14" t="inlineStr">
        <is>
          <t>Type</t>
        </is>
      </c>
      <c r="I5" s="14" t="inlineStr">
        <is>
          <t>Check</t>
        </is>
      </c>
    </row>
    <row r="6">
      <c r="A6" s="27" t="n">
        <v>46023</v>
      </c>
      <c r="B6" s="23" t="inlineStr">
        <is>
          <t>Alex paycheck</t>
        </is>
      </c>
      <c r="C6" s="23" t="inlineStr">
        <is>
          <t>Paycheck 1</t>
        </is>
      </c>
      <c r="D6" s="28" t="n">
        <v>2100</v>
      </c>
      <c r="E6" s="23" t="inlineStr">
        <is>
          <t>Checking</t>
        </is>
      </c>
      <c r="F6" s="23" t="n"/>
      <c r="G6" s="23" t="n"/>
      <c r="H6" s="29">
        <f>IF(C6="","",IFERROR(INDEX(Categories!$B$6:$B$65,MATCH(C6,Categories!$A$6:$A$65,0))&amp;"",""))</f>
        <v/>
      </c>
      <c r="I6" s="25">
        <f>IF(AND(A6="",C6="",D6=""),"",IF(A6="","Date missing",IF(NOT(ISNUMBER(A6)),"Date not recognized",IF(YEAR(A6)&lt;&gt;Settings!$C$4,"Not in "&amp;Settings!$C$4,IF(C6="","Category missing",IF(H6="",IF(COUNTIF(Categories!$A$6:$A$65,C6)&gt;0,"Category has no type","Category not in list"),IF(D6="","Amount missing",IF(NOT(ISNUMBER(D6)),"Amount is not a number",IF(F6="","",IF(ISNA(MATCH(F6,Lists!$G$2:$G$25,0)),"Goal / fund not in list",IF(H6="Income","Fund tag ignored on income","")))))))))))</f>
        <v/>
      </c>
    </row>
    <row r="7">
      <c r="A7" s="27" t="n">
        <v>46023</v>
      </c>
      <c r="B7" s="23" t="inlineStr">
        <is>
          <t>Rent</t>
        </is>
      </c>
      <c r="C7" s="23" t="inlineStr">
        <is>
          <t>Rent / Mortgage</t>
        </is>
      </c>
      <c r="D7" s="28" t="n">
        <v>1850</v>
      </c>
      <c r="E7" s="23" t="inlineStr">
        <is>
          <t>Checking</t>
        </is>
      </c>
      <c r="F7" s="23" t="n"/>
      <c r="G7" s="23" t="n"/>
      <c r="H7" s="29">
        <f>IF(C7="","",IFERROR(INDEX(Categories!$B$6:$B$65,MATCH(C7,Categories!$A$6:$A$65,0))&amp;"",""))</f>
        <v/>
      </c>
      <c r="I7" s="25">
        <f>IF(AND(A7="",C7="",D7=""),"",IF(A7="","Date missing",IF(NOT(ISNUMBER(A7)),"Date not recognized",IF(YEAR(A7)&lt;&gt;Settings!$C$4,"Not in "&amp;Settings!$C$4,IF(C7="","Category missing",IF(H7="",IF(COUNTIF(Categories!$A$6:$A$65,C7)&gt;0,"Category has no type","Category not in list"),IF(D7="","Amount missing",IF(NOT(ISNUMBER(D7)),"Amount is not a number",IF(F7="","",IF(ISNA(MATCH(F7,Lists!$G$2:$G$25,0)),"Goal / fund not in list",IF(H7="Income","Fund tag ignored on income","")))))))))))</f>
        <v/>
      </c>
    </row>
    <row r="8">
      <c r="A8" s="27" t="n">
        <v>46023</v>
      </c>
      <c r="B8" s="23" t="inlineStr">
        <is>
          <t>Dentist copay</t>
        </is>
      </c>
      <c r="C8" s="23" t="inlineStr">
        <is>
          <t>Health</t>
        </is>
      </c>
      <c r="D8" s="28" t="n">
        <v>53.73</v>
      </c>
      <c r="E8" s="23" t="inlineStr">
        <is>
          <t>Debit card</t>
        </is>
      </c>
      <c r="F8" s="23" t="n"/>
      <c r="G8" s="23" t="n"/>
      <c r="H8" s="29">
        <f>IF(C8="","",IFERROR(INDEX(Categories!$B$6:$B$65,MATCH(C8,Categories!$A$6:$A$65,0))&amp;"",""))</f>
        <v/>
      </c>
      <c r="I8" s="25">
        <f>IF(AND(A8="",C8="",D8=""),"",IF(A8="","Date missing",IF(NOT(ISNUMBER(A8)),"Date not recognized",IF(YEAR(A8)&lt;&gt;Settings!$C$4,"Not in "&amp;Settings!$C$4,IF(C8="","Category missing",IF(H8="",IF(COUNTIF(Categories!$A$6:$A$65,C8)&gt;0,"Category has no type","Category not in list"),IF(D8="","Amount missing",IF(NOT(ISNUMBER(D8)),"Amount is not a number",IF(F8="","",IF(ISNA(MATCH(F8,Lists!$G$2:$G$25,0)),"Goal / fund not in list",IF(H8="Income","Fund tag ignored on income","")))))))))))</f>
        <v/>
      </c>
    </row>
    <row r="9">
      <c r="A9" s="27" t="n">
        <v>46023</v>
      </c>
      <c r="B9" s="23" t="inlineStr">
        <is>
          <t>After-school program</t>
        </is>
      </c>
      <c r="C9" s="23" t="inlineStr">
        <is>
          <t>Kids</t>
        </is>
      </c>
      <c r="D9" s="28" t="n">
        <v>320</v>
      </c>
      <c r="E9" s="23" t="inlineStr">
        <is>
          <t>Checking</t>
        </is>
      </c>
      <c r="F9" s="23" t="n"/>
      <c r="G9" s="23" t="n"/>
      <c r="H9" s="29">
        <f>IF(C9="","",IFERROR(INDEX(Categories!$B$6:$B$65,MATCH(C9,Categories!$A$6:$A$65,0))&amp;"",""))</f>
        <v/>
      </c>
      <c r="I9" s="25">
        <f>IF(AND(A9="",C9="",D9=""),"",IF(A9="","Date missing",IF(NOT(ISNUMBER(A9)),"Date not recognized",IF(YEAR(A9)&lt;&gt;Settings!$C$4,"Not in "&amp;Settings!$C$4,IF(C9="","Category missing",IF(H9="",IF(COUNTIF(Categories!$A$6:$A$65,C9)&gt;0,"Category has no type","Category not in list"),IF(D9="","Amount missing",IF(NOT(ISNUMBER(D9)),"Amount is not a number",IF(F9="","",IF(ISNA(MATCH(F9,Lists!$G$2:$G$25,0)),"Goal / fund not in list",IF(H9="Income","Fund tag ignored on income","")))))))))))</f>
        <v/>
      </c>
    </row>
    <row r="10">
      <c r="A10" s="27" t="n">
        <v>46024</v>
      </c>
      <c r="B10" s="23" t="inlineStr">
        <is>
          <t>Gym membership</t>
        </is>
      </c>
      <c r="C10" s="23" t="inlineStr">
        <is>
          <t>Subscriptions</t>
        </is>
      </c>
      <c r="D10" s="28" t="n">
        <v>45</v>
      </c>
      <c r="E10" s="23" t="inlineStr">
        <is>
          <t>Checking</t>
        </is>
      </c>
      <c r="F10" s="23" t="n"/>
      <c r="G10" s="23" t="n"/>
      <c r="H10" s="29">
        <f>IF(C10="","",IFERROR(INDEX(Categories!$B$6:$B$65,MATCH(C10,Categories!$A$6:$A$65,0))&amp;"",""))</f>
        <v/>
      </c>
      <c r="I10" s="25">
        <f>IF(AND(A10="",C10="",D10=""),"",IF(A10="","Date missing",IF(NOT(ISNUMBER(A10)),"Date not recognized",IF(YEAR(A10)&lt;&gt;Settings!$C$4,"Not in "&amp;Settings!$C$4,IF(C10="","Category missing",IF(H10="",IF(COUNTIF(Categories!$A$6:$A$65,C10)&gt;0,"Category has no type","Category not in list"),IF(D10="","Amount missing",IF(NOT(ISNUMBER(D10)),"Amount is not a number",IF(F10="","",IF(ISNA(MATCH(F10,Lists!$G$2:$G$25,0)),"Goal / fund not in list",IF(H10="Income","Fund tag ignored on income","")))))))))))</f>
        <v/>
      </c>
    </row>
    <row r="11">
      <c r="A11" s="27" t="n">
        <v>46024</v>
      </c>
      <c r="B11" s="23" t="inlineStr">
        <is>
          <t>Transfer to emergency fund</t>
        </is>
      </c>
      <c r="C11" s="23" t="inlineStr">
        <is>
          <t>Emergency fund</t>
        </is>
      </c>
      <c r="D11" s="28" t="n">
        <v>300</v>
      </c>
      <c r="E11" s="23" t="inlineStr">
        <is>
          <t>Savings</t>
        </is>
      </c>
      <c r="F11" s="23" t="inlineStr">
        <is>
          <t>Emergency fund</t>
        </is>
      </c>
      <c r="G11" s="23" t="n"/>
      <c r="H11" s="29">
        <f>IF(C11="","",IFERROR(INDEX(Categories!$B$6:$B$65,MATCH(C11,Categories!$A$6:$A$65,0))&amp;"",""))</f>
        <v/>
      </c>
      <c r="I11" s="25">
        <f>IF(AND(A11="",C11="",D11=""),"",IF(A11="","Date missing",IF(NOT(ISNUMBER(A11)),"Date not recognized",IF(YEAR(A11)&lt;&gt;Settings!$C$4,"Not in "&amp;Settings!$C$4,IF(C11="","Category missing",IF(H11="",IF(COUNTIF(Categories!$A$6:$A$65,C11)&gt;0,"Category has no type","Category not in list"),IF(D11="","Amount missing",IF(NOT(ISNUMBER(D11)),"Amount is not a number",IF(F11="","",IF(ISNA(MATCH(F11,Lists!$G$2:$G$25,0)),"Goal / fund not in list",IF(H11="Income","Fund tag ignored on income","")))))))))))</f>
        <v/>
      </c>
    </row>
    <row r="12">
      <c r="A12" s="27" t="n">
        <v>46024</v>
      </c>
      <c r="B12" s="23" t="inlineStr">
        <is>
          <t>Transfer: house fund</t>
        </is>
      </c>
      <c r="C12" s="23" t="inlineStr">
        <is>
          <t>Savings goals</t>
        </is>
      </c>
      <c r="D12" s="28" t="n">
        <v>300</v>
      </c>
      <c r="E12" s="23" t="inlineStr">
        <is>
          <t>Savings</t>
        </is>
      </c>
      <c r="F12" s="23" t="inlineStr">
        <is>
          <t>House down payment</t>
        </is>
      </c>
      <c r="G12" s="23" t="n"/>
      <c r="H12" s="29">
        <f>IF(C12="","",IFERROR(INDEX(Categories!$B$6:$B$65,MATCH(C12,Categories!$A$6:$A$65,0))&amp;"",""))</f>
        <v/>
      </c>
      <c r="I12" s="25">
        <f>IF(AND(A12="",C12="",D12=""),"",IF(A12="","Date missing",IF(NOT(ISNUMBER(A12)),"Date not recognized",IF(YEAR(A12)&lt;&gt;Settings!$C$4,"Not in "&amp;Settings!$C$4,IF(C12="","Category missing",IF(H12="",IF(COUNTIF(Categories!$A$6:$A$65,C12)&gt;0,"Category has no type","Category not in list"),IF(D12="","Amount missing",IF(NOT(ISNUMBER(D12)),"Amount is not a number",IF(F12="","",IF(ISNA(MATCH(F12,Lists!$G$2:$G$25,0)),"Goal / fund not in list",IF(H12="Income","Fund tag ignored on income","")))))))))))</f>
        <v/>
      </c>
    </row>
    <row r="13">
      <c r="A13" s="27" t="n">
        <v>46024</v>
      </c>
      <c r="B13" s="23" t="inlineStr">
        <is>
          <t>Transfer: laptop</t>
        </is>
      </c>
      <c r="C13" s="23" t="inlineStr">
        <is>
          <t>Savings goals</t>
        </is>
      </c>
      <c r="D13" s="28" t="n">
        <v>100</v>
      </c>
      <c r="E13" s="23" t="inlineStr">
        <is>
          <t>Savings</t>
        </is>
      </c>
      <c r="F13" s="23" t="inlineStr">
        <is>
          <t>New laptop</t>
        </is>
      </c>
      <c r="G13" s="23" t="n"/>
      <c r="H13" s="29">
        <f>IF(C13="","",IFERROR(INDEX(Categories!$B$6:$B$65,MATCH(C13,Categories!$A$6:$A$65,0))&amp;"",""))</f>
        <v/>
      </c>
      <c r="I13" s="25">
        <f>IF(AND(A13="",C13="",D13=""),"",IF(A13="","Date missing",IF(NOT(ISNUMBER(A13)),"Date not recognized",IF(YEAR(A13)&lt;&gt;Settings!$C$4,"Not in "&amp;Settings!$C$4,IF(C13="","Category missing",IF(H13="",IF(COUNTIF(Categories!$A$6:$A$65,C13)&gt;0,"Category has no type","Category not in list"),IF(D13="","Amount missing",IF(NOT(ISNUMBER(D13)),"Amount is not a number",IF(F13="","",IF(ISNA(MATCH(F13,Lists!$G$2:$G$25,0)),"Goal / fund not in list",IF(H13="Income","Fund tag ignored on income","")))))))))))</f>
        <v/>
      </c>
    </row>
    <row r="14">
      <c r="A14" s="27" t="n">
        <v>46024</v>
      </c>
      <c r="B14" s="23" t="inlineStr">
        <is>
          <t>Set aside: car maintenance</t>
        </is>
      </c>
      <c r="C14" s="23" t="inlineStr">
        <is>
          <t>Sinking funds</t>
        </is>
      </c>
      <c r="D14" s="28" t="n">
        <v>60</v>
      </c>
      <c r="E14" s="23" t="inlineStr">
        <is>
          <t>Savings</t>
        </is>
      </c>
      <c r="F14" s="23" t="inlineStr">
        <is>
          <t>Car maintenance</t>
        </is>
      </c>
      <c r="G14" s="23" t="n"/>
      <c r="H14" s="29">
        <f>IF(C14="","",IFERROR(INDEX(Categories!$B$6:$B$65,MATCH(C14,Categories!$A$6:$A$65,0))&amp;"",""))</f>
        <v/>
      </c>
      <c r="I14" s="25">
        <f>IF(AND(A14="",C14="",D14=""),"",IF(A14="","Date missing",IF(NOT(ISNUMBER(A14)),"Date not recognized",IF(YEAR(A14)&lt;&gt;Settings!$C$4,"Not in "&amp;Settings!$C$4,IF(C14="","Category missing",IF(H14="",IF(COUNTIF(Categories!$A$6:$A$65,C14)&gt;0,"Category has no type","Category not in list"),IF(D14="","Amount missing",IF(NOT(ISNUMBER(D14)),"Amount is not a number",IF(F14="","",IF(ISNA(MATCH(F14,Lists!$G$2:$G$25,0)),"Goal / fund not in list",IF(H14="Income","Fund tag ignored on income","")))))))))))</f>
        <v/>
      </c>
    </row>
    <row r="15">
      <c r="A15" s="27" t="n">
        <v>46024</v>
      </c>
      <c r="B15" s="23" t="inlineStr">
        <is>
          <t>Set aside: holiday gifts</t>
        </is>
      </c>
      <c r="C15" s="23" t="inlineStr">
        <is>
          <t>Sinking funds</t>
        </is>
      </c>
      <c r="D15" s="28" t="n">
        <v>50</v>
      </c>
      <c r="E15" s="23" t="inlineStr">
        <is>
          <t>Savings</t>
        </is>
      </c>
      <c r="F15" s="23" t="inlineStr">
        <is>
          <t>Holiday gifts</t>
        </is>
      </c>
      <c r="G15" s="23" t="n"/>
      <c r="H15" s="29">
        <f>IF(C15="","",IFERROR(INDEX(Categories!$B$6:$B$65,MATCH(C15,Categories!$A$6:$A$65,0))&amp;"",""))</f>
        <v/>
      </c>
      <c r="I15" s="25">
        <f>IF(AND(A15="",C15="",D15=""),"",IF(A15="","Date missing",IF(NOT(ISNUMBER(A15)),"Date not recognized",IF(YEAR(A15)&lt;&gt;Settings!$C$4,"Not in "&amp;Settings!$C$4,IF(C15="","Category missing",IF(H15="",IF(COUNTIF(Categories!$A$6:$A$65,C15)&gt;0,"Category has no type","Category not in list"),IF(D15="","Amount missing",IF(NOT(ISNUMBER(D15)),"Amount is not a number",IF(F15="","",IF(ISNA(MATCH(F15,Lists!$G$2:$G$25,0)),"Goal / fund not in list",IF(H15="Income","Fund tag ignored on income","")))))))))))</f>
        <v/>
      </c>
    </row>
    <row r="16">
      <c r="A16" s="27" t="n">
        <v>46024</v>
      </c>
      <c r="B16" s="23" t="inlineStr">
        <is>
          <t>Set aside: summer vacation</t>
        </is>
      </c>
      <c r="C16" s="23" t="inlineStr">
        <is>
          <t>Sinking funds</t>
        </is>
      </c>
      <c r="D16" s="28" t="n">
        <v>150</v>
      </c>
      <c r="E16" s="23" t="inlineStr">
        <is>
          <t>Savings</t>
        </is>
      </c>
      <c r="F16" s="23" t="inlineStr">
        <is>
          <t>Summer vacation</t>
        </is>
      </c>
      <c r="G16" s="23" t="n"/>
      <c r="H16" s="29">
        <f>IF(C16="","",IFERROR(INDEX(Categories!$B$6:$B$65,MATCH(C16,Categories!$A$6:$A$65,0))&amp;"",""))</f>
        <v/>
      </c>
      <c r="I16" s="25">
        <f>IF(AND(A16="",C16="",D16=""),"",IF(A16="","Date missing",IF(NOT(ISNUMBER(A16)),"Date not recognized",IF(YEAR(A16)&lt;&gt;Settings!$C$4,"Not in "&amp;Settings!$C$4,IF(C16="","Category missing",IF(H16="",IF(COUNTIF(Categories!$A$6:$A$65,C16)&gt;0,"Category has no type","Category not in list"),IF(D16="","Amount missing",IF(NOT(ISNUMBER(D16)),"Amount is not a number",IF(F16="","",IF(ISNA(MATCH(F16,Lists!$G$2:$G$25,0)),"Goal / fund not in list",IF(H16="Income","Fund tag ignored on income","")))))))))))</f>
        <v/>
      </c>
    </row>
    <row r="17">
      <c r="A17" s="27" t="n">
        <v>46024</v>
      </c>
      <c r="B17" s="23" t="inlineStr">
        <is>
          <t>Set aside: home repairs</t>
        </is>
      </c>
      <c r="C17" s="23" t="inlineStr">
        <is>
          <t>Sinking funds</t>
        </is>
      </c>
      <c r="D17" s="28" t="n">
        <v>40</v>
      </c>
      <c r="E17" s="23" t="inlineStr">
        <is>
          <t>Savings</t>
        </is>
      </c>
      <c r="F17" s="23" t="inlineStr">
        <is>
          <t>Home repairs</t>
        </is>
      </c>
      <c r="G17" s="23" t="n"/>
      <c r="H17" s="29">
        <f>IF(C17="","",IFERROR(INDEX(Categories!$B$6:$B$65,MATCH(C17,Categories!$A$6:$A$65,0))&amp;"",""))</f>
        <v/>
      </c>
      <c r="I17" s="25">
        <f>IF(AND(A17="",C17="",D17=""),"",IF(A17="","Date missing",IF(NOT(ISNUMBER(A17)),"Date not recognized",IF(YEAR(A17)&lt;&gt;Settings!$C$4,"Not in "&amp;Settings!$C$4,IF(C17="","Category missing",IF(H17="",IF(COUNTIF(Categories!$A$6:$A$65,C17)&gt;0,"Category has no type","Category not in list"),IF(D17="","Amount missing",IF(NOT(ISNUMBER(D17)),"Amount is not a number",IF(F17="","",IF(ISNA(MATCH(F17,Lists!$G$2:$G$25,0)),"Goal / fund not in list",IF(H17="Income","Fund tag ignored on income","")))))))))))</f>
        <v/>
      </c>
    </row>
    <row r="18">
      <c r="A18" s="27" t="n">
        <v>46025</v>
      </c>
      <c r="B18" s="23" t="inlineStr">
        <is>
          <t>Video streaming</t>
        </is>
      </c>
      <c r="C18" s="23" t="inlineStr">
        <is>
          <t>Subscriptions</t>
        </is>
      </c>
      <c r="D18" s="28" t="n">
        <v>15.49</v>
      </c>
      <c r="E18" s="23" t="inlineStr">
        <is>
          <t>Credit card</t>
        </is>
      </c>
      <c r="F18" s="23" t="n"/>
      <c r="G18" s="23" t="n"/>
      <c r="H18" s="29">
        <f>IF(C18="","",IFERROR(INDEX(Categories!$B$6:$B$65,MATCH(C18,Categories!$A$6:$A$65,0))&amp;"",""))</f>
        <v/>
      </c>
      <c r="I18" s="25">
        <f>IF(AND(A18="",C18="",D18=""),"",IF(A18="","Date missing",IF(NOT(ISNUMBER(A18)),"Date not recognized",IF(YEAR(A18)&lt;&gt;Settings!$C$4,"Not in "&amp;Settings!$C$4,IF(C18="","Category missing",IF(H18="",IF(COUNTIF(Categories!$A$6:$A$65,C18)&gt;0,"Category has no type","Category not in list"),IF(D18="","Amount missing",IF(NOT(ISNUMBER(D18)),"Amount is not a number",IF(F18="","",IF(ISNA(MATCH(F18,Lists!$G$2:$G$25,0)),"Goal / fund not in list",IF(H18="Income","Fund tag ignored on income","")))))))))))</f>
        <v/>
      </c>
    </row>
    <row r="19">
      <c r="A19" s="27" t="n">
        <v>46025</v>
      </c>
      <c r="B19" s="23" t="inlineStr">
        <is>
          <t>Supermarket</t>
        </is>
      </c>
      <c r="C19" s="23" t="inlineStr">
        <is>
          <t>Groceries</t>
        </is>
      </c>
      <c r="D19" s="28" t="n">
        <v>191.42</v>
      </c>
      <c r="E19" s="23" t="inlineStr">
        <is>
          <t>Debit card</t>
        </is>
      </c>
      <c r="F19" s="23" t="n"/>
      <c r="G19" s="23" t="n"/>
      <c r="H19" s="29">
        <f>IF(C19="","",IFERROR(INDEX(Categories!$B$6:$B$65,MATCH(C19,Categories!$A$6:$A$65,0))&amp;"",""))</f>
        <v/>
      </c>
      <c r="I19" s="25">
        <f>IF(AND(A19="",C19="",D19=""),"",IF(A19="","Date missing",IF(NOT(ISNUMBER(A19)),"Date not recognized",IF(YEAR(A19)&lt;&gt;Settings!$C$4,"Not in "&amp;Settings!$C$4,IF(C19="","Category missing",IF(H19="",IF(COUNTIF(Categories!$A$6:$A$65,C19)&gt;0,"Category has no type","Category not in list"),IF(D19="","Amount missing",IF(NOT(ISNUMBER(D19)),"Amount is not a number",IF(F19="","",IF(ISNA(MATCH(F19,Lists!$G$2:$G$25,0)),"Goal / fund not in list",IF(H19="Income","Fund tag ignored on income","")))))))))))</f>
        <v/>
      </c>
    </row>
    <row r="20">
      <c r="A20" s="27" t="n">
        <v>46025</v>
      </c>
      <c r="B20" s="23" t="inlineStr">
        <is>
          <t>Retirement contribution</t>
        </is>
      </c>
      <c r="C20" s="23" t="inlineStr">
        <is>
          <t>Retirement &amp; investing</t>
        </is>
      </c>
      <c r="D20" s="28" t="n">
        <v>600</v>
      </c>
      <c r="E20" s="23" t="inlineStr">
        <is>
          <t>Checking</t>
        </is>
      </c>
      <c r="F20" s="23" t="n"/>
      <c r="G20" s="23" t="n"/>
      <c r="H20" s="29">
        <f>IF(C20="","",IFERROR(INDEX(Categories!$B$6:$B$65,MATCH(C20,Categories!$A$6:$A$65,0))&amp;"",""))</f>
        <v/>
      </c>
      <c r="I20" s="25">
        <f>IF(AND(A20="",C20="",D20=""),"",IF(A20="","Date missing",IF(NOT(ISNUMBER(A20)),"Date not recognized",IF(YEAR(A20)&lt;&gt;Settings!$C$4,"Not in "&amp;Settings!$C$4,IF(C20="","Category missing",IF(H20="",IF(COUNTIF(Categories!$A$6:$A$65,C20)&gt;0,"Category has no type","Category not in list"),IF(D20="","Amount missing",IF(NOT(ISNUMBER(D20)),"Amount is not a number",IF(F20="","",IF(ISNA(MATCH(F20,Lists!$G$2:$G$25,0)),"Goal / fund not in list",IF(H20="Income","Fund tag ignored on income","")))))))))))</f>
        <v/>
      </c>
    </row>
    <row r="21">
      <c r="A21" s="27" t="n">
        <v>46026</v>
      </c>
      <c r="B21" s="23" t="inlineStr">
        <is>
          <t>Gas station</t>
        </is>
      </c>
      <c r="C21" s="23" t="inlineStr">
        <is>
          <t>Transport / Gas</t>
        </is>
      </c>
      <c r="D21" s="28" t="n">
        <v>44.13</v>
      </c>
      <c r="E21" s="23" t="inlineStr">
        <is>
          <t>Credit card</t>
        </is>
      </c>
      <c r="F21" s="23" t="n"/>
      <c r="G21" s="23" t="n"/>
      <c r="H21" s="29">
        <f>IF(C21="","",IFERROR(INDEX(Categories!$B$6:$B$65,MATCH(C21,Categories!$A$6:$A$65,0))&amp;"",""))</f>
        <v/>
      </c>
      <c r="I21" s="25">
        <f>IF(AND(A21="",C21="",D21=""),"",IF(A21="","Date missing",IF(NOT(ISNUMBER(A21)),"Date not recognized",IF(YEAR(A21)&lt;&gt;Settings!$C$4,"Not in "&amp;Settings!$C$4,IF(C21="","Category missing",IF(H21="",IF(COUNTIF(Categories!$A$6:$A$65,C21)&gt;0,"Category has no type","Category not in list"),IF(D21="","Amount missing",IF(NOT(ISNUMBER(D21)),"Amount is not a number",IF(F21="","",IF(ISNA(MATCH(F21,Lists!$G$2:$G$25,0)),"Goal / fund not in list",IF(H21="Income","Fund tag ignored on income","")))))))))))</f>
        <v/>
      </c>
    </row>
    <row r="22">
      <c r="A22" s="27" t="n">
        <v>46027</v>
      </c>
      <c r="B22" s="23" t="inlineStr">
        <is>
          <t>Car insurance</t>
        </is>
      </c>
      <c r="C22" s="23" t="inlineStr">
        <is>
          <t>Insurance</t>
        </is>
      </c>
      <c r="D22" s="28" t="n">
        <v>128</v>
      </c>
      <c r="E22" s="23" t="inlineStr">
        <is>
          <t>Checking</t>
        </is>
      </c>
      <c r="F22" s="23" t="n"/>
      <c r="G22" s="23" t="n"/>
      <c r="H22" s="29">
        <f>IF(C22="","",IFERROR(INDEX(Categories!$B$6:$B$65,MATCH(C22,Categories!$A$6:$A$65,0))&amp;"",""))</f>
        <v/>
      </c>
      <c r="I22" s="25">
        <f>IF(AND(A22="",C22="",D22=""),"",IF(A22="","Date missing",IF(NOT(ISNUMBER(A22)),"Date not recognized",IF(YEAR(A22)&lt;&gt;Settings!$C$4,"Not in "&amp;Settings!$C$4,IF(C22="","Category missing",IF(H22="",IF(COUNTIF(Categories!$A$6:$A$65,C22)&gt;0,"Category has no type","Category not in list"),IF(D22="","Amount missing",IF(NOT(ISNUMBER(D22)),"Amount is not a number",IF(F22="","",IF(ISNA(MATCH(F22,Lists!$G$2:$G$25,0)),"Goal / fund not in list",IF(H22="Income","Fund tag ignored on income","")))))))))))</f>
        <v/>
      </c>
    </row>
    <row r="23">
      <c r="A23" s="27" t="n">
        <v>46027</v>
      </c>
      <c r="B23" s="23" t="inlineStr">
        <is>
          <t>Renters insurance</t>
        </is>
      </c>
      <c r="C23" s="23" t="inlineStr">
        <is>
          <t>Insurance</t>
        </is>
      </c>
      <c r="D23" s="28" t="n">
        <v>18</v>
      </c>
      <c r="E23" s="23" t="inlineStr">
        <is>
          <t>Checking</t>
        </is>
      </c>
      <c r="F23" s="23" t="n"/>
      <c r="G23" s="23" t="n"/>
      <c r="H23" s="29">
        <f>IF(C23="","",IFERROR(INDEX(Categories!$B$6:$B$65,MATCH(C23,Categories!$A$6:$A$65,0))&amp;"",""))</f>
        <v/>
      </c>
      <c r="I23" s="25">
        <f>IF(AND(A23="",C23="",D23=""),"",IF(A23="","Date missing",IF(NOT(ISNUMBER(A23)),"Date not recognized",IF(YEAR(A23)&lt;&gt;Settings!$C$4,"Not in "&amp;Settings!$C$4,IF(C23="","Category missing",IF(H23="",IF(COUNTIF(Categories!$A$6:$A$65,C23)&gt;0,"Category has no type","Category not in list"),IF(D23="","Amount missing",IF(NOT(ISNUMBER(D23)),"Amount is not a number",IF(F23="","",IF(ISNA(MATCH(F23,Lists!$G$2:$G$25,0)),"Goal / fund not in list",IF(H23="Income","Fund tag ignored on income","")))))))))))</f>
        <v/>
      </c>
    </row>
    <row r="24">
      <c r="A24" s="27" t="n">
        <v>46029</v>
      </c>
      <c r="B24" s="23" t="inlineStr">
        <is>
          <t>Music streaming</t>
        </is>
      </c>
      <c r="C24" s="23" t="inlineStr">
        <is>
          <t>Subscriptions</t>
        </is>
      </c>
      <c r="D24" s="28" t="n">
        <v>10.99</v>
      </c>
      <c r="E24" s="23" t="inlineStr">
        <is>
          <t>Credit card</t>
        </is>
      </c>
      <c r="F24" s="23" t="n"/>
      <c r="G24" s="23" t="n"/>
      <c r="H24" s="29">
        <f>IF(C24="","",IFERROR(INDEX(Categories!$B$6:$B$65,MATCH(C24,Categories!$A$6:$A$65,0))&amp;"",""))</f>
        <v/>
      </c>
      <c r="I24" s="25">
        <f>IF(AND(A24="",C24="",D24=""),"",IF(A24="","Date missing",IF(NOT(ISNUMBER(A24)),"Date not recognized",IF(YEAR(A24)&lt;&gt;Settings!$C$4,"Not in "&amp;Settings!$C$4,IF(C24="","Category missing",IF(H24="",IF(COUNTIF(Categories!$A$6:$A$65,C24)&gt;0,"Category has no type","Category not in list"),IF(D24="","Amount missing",IF(NOT(ISNUMBER(D24)),"Amount is not a number",IF(F24="","",IF(ISNA(MATCH(F24,Lists!$G$2:$G$25,0)),"Goal / fund not in list",IF(H24="Income","Fund tag ignored on income","")))))))))))</f>
        <v/>
      </c>
    </row>
    <row r="25">
      <c r="A25" s="27" t="n">
        <v>46029</v>
      </c>
      <c r="B25" s="23" t="inlineStr">
        <is>
          <t>Takeout</t>
        </is>
      </c>
      <c r="C25" s="23" t="inlineStr">
        <is>
          <t>Dining out</t>
        </is>
      </c>
      <c r="D25" s="28" t="n">
        <v>23.84</v>
      </c>
      <c r="E25" s="23" t="inlineStr">
        <is>
          <t>Credit card</t>
        </is>
      </c>
      <c r="F25" s="23" t="n"/>
      <c r="G25" s="23" t="n"/>
      <c r="H25" s="29">
        <f>IF(C25="","",IFERROR(INDEX(Categories!$B$6:$B$65,MATCH(C25,Categories!$A$6:$A$65,0))&amp;"",""))</f>
        <v/>
      </c>
      <c r="I25" s="25">
        <f>IF(AND(A25="",C25="",D25=""),"",IF(A25="","Date missing",IF(NOT(ISNUMBER(A25)),"Date not recognized",IF(YEAR(A25)&lt;&gt;Settings!$C$4,"Not in "&amp;Settings!$C$4,IF(C25="","Category missing",IF(H25="",IF(COUNTIF(Categories!$A$6:$A$65,C25)&gt;0,"Category has no type","Category not in list"),IF(D25="","Amount missing",IF(NOT(ISNUMBER(D25)),"Amount is not a number",IF(F25="","",IF(ISNA(MATCH(F25,Lists!$G$2:$G$25,0)),"Goal / fund not in list",IF(H25="Income","Fund tag ignored on income","")))))))))))</f>
        <v/>
      </c>
    </row>
    <row r="26">
      <c r="A26" s="27" t="n">
        <v>46031</v>
      </c>
      <c r="B26" s="23" t="inlineStr">
        <is>
          <t>Pet food</t>
        </is>
      </c>
      <c r="C26" s="23" t="inlineStr">
        <is>
          <t>Pets</t>
        </is>
      </c>
      <c r="D26" s="28" t="n">
        <v>46.29</v>
      </c>
      <c r="E26" s="23" t="inlineStr">
        <is>
          <t>Debit card</t>
        </is>
      </c>
      <c r="F26" s="23" t="n"/>
      <c r="G26" s="23" t="n"/>
      <c r="H26" s="29">
        <f>IF(C26="","",IFERROR(INDEX(Categories!$B$6:$B$65,MATCH(C26,Categories!$A$6:$A$65,0))&amp;"",""))</f>
        <v/>
      </c>
      <c r="I26" s="25">
        <f>IF(AND(A26="",C26="",D26=""),"",IF(A26="","Date missing",IF(NOT(ISNUMBER(A26)),"Date not recognized",IF(YEAR(A26)&lt;&gt;Settings!$C$4,"Not in "&amp;Settings!$C$4,IF(C26="","Category missing",IF(H26="",IF(COUNTIF(Categories!$A$6:$A$65,C26)&gt;0,"Category has no type","Category not in list"),IF(D26="","Amount missing",IF(NOT(ISNUMBER(D26)),"Amount is not a number",IF(F26="","",IF(ISNA(MATCH(F26,Lists!$G$2:$G$25,0)),"Goal / fund not in list",IF(H26="Income","Fund tag ignored on income","")))))))))))</f>
        <v/>
      </c>
    </row>
    <row r="27">
      <c r="A27" s="27" t="n">
        <v>46032</v>
      </c>
      <c r="B27" s="23" t="inlineStr">
        <is>
          <t>Car loan payment</t>
        </is>
      </c>
      <c r="C27" s="23" t="inlineStr">
        <is>
          <t>Car payment</t>
        </is>
      </c>
      <c r="D27" s="28" t="n">
        <v>389</v>
      </c>
      <c r="E27" s="23" t="inlineStr">
        <is>
          <t>Checking</t>
        </is>
      </c>
      <c r="F27" s="23" t="n"/>
      <c r="G27" s="23" t="n"/>
      <c r="H27" s="29">
        <f>IF(C27="","",IFERROR(INDEX(Categories!$B$6:$B$65,MATCH(C27,Categories!$A$6:$A$65,0))&amp;"",""))</f>
        <v/>
      </c>
      <c r="I27" s="25">
        <f>IF(AND(A27="",C27="",D27=""),"",IF(A27="","Date missing",IF(NOT(ISNUMBER(A27)),"Date not recognized",IF(YEAR(A27)&lt;&gt;Settings!$C$4,"Not in "&amp;Settings!$C$4,IF(C27="","Category missing",IF(H27="",IF(COUNTIF(Categories!$A$6:$A$65,C27)&gt;0,"Category has no type","Category not in list"),IF(D27="","Amount missing",IF(NOT(ISNUMBER(D27)),"Amount is not a number",IF(F27="","",IF(ISNA(MATCH(F27,Lists!$G$2:$G$25,0)),"Goal / fund not in list",IF(H27="Income","Fund tag ignored on income","")))))))))))</f>
        <v/>
      </c>
    </row>
    <row r="28">
      <c r="A28" s="27" t="n">
        <v>46032</v>
      </c>
      <c r="B28" s="23" t="inlineStr">
        <is>
          <t>Warehouse store</t>
        </is>
      </c>
      <c r="C28" s="23" t="inlineStr">
        <is>
          <t>Groceries</t>
        </is>
      </c>
      <c r="D28" s="28" t="n">
        <v>183.97</v>
      </c>
      <c r="E28" s="23" t="inlineStr">
        <is>
          <t>Debit card</t>
        </is>
      </c>
      <c r="F28" s="23" t="n"/>
      <c r="G28" s="23" t="n"/>
      <c r="H28" s="29">
        <f>IF(C28="","",IFERROR(INDEX(Categories!$B$6:$B$65,MATCH(C28,Categories!$A$6:$A$65,0))&amp;"",""))</f>
        <v/>
      </c>
      <c r="I28" s="25">
        <f>IF(AND(A28="",C28="",D28=""),"",IF(A28="","Date missing",IF(NOT(ISNUMBER(A28)),"Date not recognized",IF(YEAR(A28)&lt;&gt;Settings!$C$4,"Not in "&amp;Settings!$C$4,IF(C28="","Category missing",IF(H28="",IF(COUNTIF(Categories!$A$6:$A$65,C28)&gt;0,"Category has no type","Category not in list"),IF(D28="","Amount missing",IF(NOT(ISNUMBER(D28)),"Amount is not a number",IF(F28="","",IF(ISNA(MATCH(F28,Lists!$G$2:$G$25,0)),"Goal / fund not in list",IF(H28="Income","Fund tag ignored on income","")))))))))))</f>
        <v/>
      </c>
    </row>
    <row r="29">
      <c r="A29" s="27" t="n">
        <v>46034</v>
      </c>
      <c r="B29" s="23" t="inlineStr">
        <is>
          <t>Internet</t>
        </is>
      </c>
      <c r="C29" s="23" t="inlineStr">
        <is>
          <t>Internet &amp; Phone</t>
        </is>
      </c>
      <c r="D29" s="28" t="n">
        <v>65</v>
      </c>
      <c r="E29" s="23" t="inlineStr">
        <is>
          <t>Checking</t>
        </is>
      </c>
      <c r="F29" s="23" t="n"/>
      <c r="G29" s="23" t="n"/>
      <c r="H29" s="29">
        <f>IF(C29="","",IFERROR(INDEX(Categories!$B$6:$B$65,MATCH(C29,Categories!$A$6:$A$65,0))&amp;"",""))</f>
        <v/>
      </c>
      <c r="I29" s="25">
        <f>IF(AND(A29="",C29="",D29=""),"",IF(A29="","Date missing",IF(NOT(ISNUMBER(A29)),"Date not recognized",IF(YEAR(A29)&lt;&gt;Settings!$C$4,"Not in "&amp;Settings!$C$4,IF(C29="","Category missing",IF(H29="",IF(COUNTIF(Categories!$A$6:$A$65,C29)&gt;0,"Category has no type","Category not in list"),IF(D29="","Amount missing",IF(NOT(ISNUMBER(D29)),"Amount is not a number",IF(F29="","",IF(ISNA(MATCH(F29,Lists!$G$2:$G$25,0)),"Goal / fund not in list",IF(H29="Income","Fund tag ignored on income","")))))))))))</f>
        <v/>
      </c>
    </row>
    <row r="30">
      <c r="A30" s="27" t="n">
        <v>46034</v>
      </c>
      <c r="B30" s="23" t="inlineStr">
        <is>
          <t>Takeout</t>
        </is>
      </c>
      <c r="C30" s="23" t="inlineStr">
        <is>
          <t>Dining out</t>
        </is>
      </c>
      <c r="D30" s="28" t="n">
        <v>67.98</v>
      </c>
      <c r="E30" s="23" t="inlineStr">
        <is>
          <t>Credit card</t>
        </is>
      </c>
      <c r="F30" s="23" t="n"/>
      <c r="G30" s="23" t="n"/>
      <c r="H30" s="29">
        <f>IF(C30="","",IFERROR(INDEX(Categories!$B$6:$B$65,MATCH(C30,Categories!$A$6:$A$65,0))&amp;"",""))</f>
        <v/>
      </c>
      <c r="I30" s="25">
        <f>IF(AND(A30="",C30="",D30=""),"",IF(A30="","Date missing",IF(NOT(ISNUMBER(A30)),"Date not recognized",IF(YEAR(A30)&lt;&gt;Settings!$C$4,"Not in "&amp;Settings!$C$4,IF(C30="","Category missing",IF(H30="",IF(COUNTIF(Categories!$A$6:$A$65,C30)&gt;0,"Category has no type","Category not in list"),IF(D30="","Amount missing",IF(NOT(ISNUMBER(D30)),"Amount is not a number",IF(F30="","",IF(ISNA(MATCH(F30,Lists!$G$2:$G$25,0)),"Goal / fund not in list",IF(H30="Income","Fund tag ignored on income","")))))))))))</f>
        <v/>
      </c>
    </row>
    <row r="31">
      <c r="A31" s="27" t="n">
        <v>46034</v>
      </c>
      <c r="B31" s="23" t="inlineStr">
        <is>
          <t>Gas station</t>
        </is>
      </c>
      <c r="C31" s="23" t="inlineStr">
        <is>
          <t>Transport / Gas</t>
        </is>
      </c>
      <c r="D31" s="28" t="n">
        <v>48.03</v>
      </c>
      <c r="E31" s="23" t="inlineStr">
        <is>
          <t>Credit card</t>
        </is>
      </c>
      <c r="F31" s="23" t="n"/>
      <c r="G31" s="23" t="n"/>
      <c r="H31" s="29">
        <f>IF(C31="","",IFERROR(INDEX(Categories!$B$6:$B$65,MATCH(C31,Categories!$A$6:$A$65,0))&amp;"",""))</f>
        <v/>
      </c>
      <c r="I31" s="25">
        <f>IF(AND(A31="",C31="",D31=""),"",IF(A31="","Date missing",IF(NOT(ISNUMBER(A31)),"Date not recognized",IF(YEAR(A31)&lt;&gt;Settings!$C$4,"Not in "&amp;Settings!$C$4,IF(C31="","Category missing",IF(H31="",IF(COUNTIF(Categories!$A$6:$A$65,C31)&gt;0,"Category has no type","Category not in list"),IF(D31="","Amount missing",IF(NOT(ISNUMBER(D31)),"Amount is not a number",IF(F31="","",IF(ISNA(MATCH(F31,Lists!$G$2:$G$25,0)),"Goal / fund not in list",IF(H31="Income","Fund tag ignored on income","")))))))))))</f>
        <v/>
      </c>
    </row>
    <row r="32">
      <c r="A32" s="27" t="n">
        <v>46036</v>
      </c>
      <c r="B32" s="23" t="inlineStr">
        <is>
          <t>Phone plan</t>
        </is>
      </c>
      <c r="C32" s="23" t="inlineStr">
        <is>
          <t>Internet &amp; Phone</t>
        </is>
      </c>
      <c r="D32" s="28" t="n">
        <v>70</v>
      </c>
      <c r="E32" s="23" t="inlineStr">
        <is>
          <t>Credit card</t>
        </is>
      </c>
      <c r="F32" s="23" t="n"/>
      <c r="G32" s="23" t="n"/>
      <c r="H32" s="29">
        <f>IF(C32="","",IFERROR(INDEX(Categories!$B$6:$B$65,MATCH(C32,Categories!$A$6:$A$65,0))&amp;"",""))</f>
        <v/>
      </c>
      <c r="I32" s="25">
        <f>IF(AND(A32="",C32="",D32=""),"",IF(A32="","Date missing",IF(NOT(ISNUMBER(A32)),"Date not recognized",IF(YEAR(A32)&lt;&gt;Settings!$C$4,"Not in "&amp;Settings!$C$4,IF(C32="","Category missing",IF(H32="",IF(COUNTIF(Categories!$A$6:$A$65,C32)&gt;0,"Category has no type","Category not in list"),IF(D32="","Amount missing",IF(NOT(ISNUMBER(D32)),"Amount is not a number",IF(F32="","",IF(ISNA(MATCH(F32,Lists!$G$2:$G$25,0)),"Goal / fund not in list",IF(H32="Income","Fund tag ignored on income","")))))))))))</f>
        <v/>
      </c>
    </row>
    <row r="33">
      <c r="A33" s="27" t="n">
        <v>46037</v>
      </c>
      <c r="B33" s="23" t="inlineStr">
        <is>
          <t>Alex paycheck</t>
        </is>
      </c>
      <c r="C33" s="23" t="inlineStr">
        <is>
          <t>Paycheck 1</t>
        </is>
      </c>
      <c r="D33" s="28" t="n">
        <v>2100</v>
      </c>
      <c r="E33" s="23" t="inlineStr">
        <is>
          <t>Checking</t>
        </is>
      </c>
      <c r="F33" s="23" t="n"/>
      <c r="G33" s="23" t="n"/>
      <c r="H33" s="29">
        <f>IF(C33="","",IFERROR(INDEX(Categories!$B$6:$B$65,MATCH(C33,Categories!$A$6:$A$65,0))&amp;"",""))</f>
        <v/>
      </c>
      <c r="I33" s="25">
        <f>IF(AND(A33="",C33="",D33=""),"",IF(A33="","Date missing",IF(NOT(ISNUMBER(A33)),"Date not recognized",IF(YEAR(A33)&lt;&gt;Settings!$C$4,"Not in "&amp;Settings!$C$4,IF(C33="","Category missing",IF(H33="",IF(COUNTIF(Categories!$A$6:$A$65,C33)&gt;0,"Category has no type","Category not in list"),IF(D33="","Amount missing",IF(NOT(ISNUMBER(D33)),"Amount is not a number",IF(F33="","",IF(ISNA(MATCH(F33,Lists!$G$2:$G$25,0)),"Goal / fund not in list",IF(H33="Income","Fund tag ignored on income","")))))))))))</f>
        <v/>
      </c>
    </row>
    <row r="34">
      <c r="A34" s="27" t="n">
        <v>46037</v>
      </c>
      <c r="B34" s="23" t="inlineStr">
        <is>
          <t>Pizza night</t>
        </is>
      </c>
      <c r="C34" s="23" t="inlineStr">
        <is>
          <t>Dining out</t>
        </is>
      </c>
      <c r="D34" s="28" t="n">
        <v>57.07</v>
      </c>
      <c r="E34" s="23" t="inlineStr">
        <is>
          <t>Credit card</t>
        </is>
      </c>
      <c r="F34" s="23" t="n"/>
      <c r="G34" s="23" t="n"/>
      <c r="H34" s="29">
        <f>IF(C34="","",IFERROR(INDEX(Categories!$B$6:$B$65,MATCH(C34,Categories!$A$6:$A$65,0))&amp;"",""))</f>
        <v/>
      </c>
      <c r="I34" s="25">
        <f>IF(AND(A34="",C34="",D34=""),"",IF(A34="","Date missing",IF(NOT(ISNUMBER(A34)),"Date not recognized",IF(YEAR(A34)&lt;&gt;Settings!$C$4,"Not in "&amp;Settings!$C$4,IF(C34="","Category missing",IF(H34="",IF(COUNTIF(Categories!$A$6:$A$65,C34)&gt;0,"Category has no type","Category not in list"),IF(D34="","Amount missing",IF(NOT(ISNUMBER(D34)),"Amount is not a number",IF(F34="","",IF(ISNA(MATCH(F34,Lists!$G$2:$G$25,0)),"Goal / fund not in list",IF(H34="Income","Fund tag ignored on income","")))))))))))</f>
        <v/>
      </c>
    </row>
    <row r="35">
      <c r="A35" s="27" t="n">
        <v>46038</v>
      </c>
      <c r="B35" s="23" t="inlineStr">
        <is>
          <t>Phone case</t>
        </is>
      </c>
      <c r="C35" s="23" t="inlineStr">
        <is>
          <t>Misc</t>
        </is>
      </c>
      <c r="D35" s="28" t="n">
        <v>33.49</v>
      </c>
      <c r="E35" s="23" t="inlineStr">
        <is>
          <t>Cash</t>
        </is>
      </c>
      <c r="F35" s="23" t="n"/>
      <c r="G35" s="23" t="n"/>
      <c r="H35" s="29">
        <f>IF(C35="","",IFERROR(INDEX(Categories!$B$6:$B$65,MATCH(C35,Categories!$A$6:$A$65,0))&amp;"",""))</f>
        <v/>
      </c>
      <c r="I35" s="25">
        <f>IF(AND(A35="",C35="",D35=""),"",IF(A35="","Date missing",IF(NOT(ISNUMBER(A35)),"Date not recognized",IF(YEAR(A35)&lt;&gt;Settings!$C$4,"Not in "&amp;Settings!$C$4,IF(C35="","Category missing",IF(H35="",IF(COUNTIF(Categories!$A$6:$A$65,C35)&gt;0,"Category has no type","Category not in list"),IF(D35="","Amount missing",IF(NOT(ISNUMBER(D35)),"Amount is not a number",IF(F35="","",IF(ISNA(MATCH(F35,Lists!$G$2:$G$25,0)),"Goal / fund not in list",IF(H35="Income","Fund tag ignored on income","")))))))))))</f>
        <v/>
      </c>
    </row>
    <row r="36">
      <c r="A36" s="27" t="n">
        <v>46039</v>
      </c>
      <c r="B36" s="23" t="inlineStr">
        <is>
          <t>Warehouse store</t>
        </is>
      </c>
      <c r="C36" s="23" t="inlineStr">
        <is>
          <t>Groceries</t>
        </is>
      </c>
      <c r="D36" s="28" t="n">
        <v>181.58</v>
      </c>
      <c r="E36" s="23" t="inlineStr">
        <is>
          <t>Debit card</t>
        </is>
      </c>
      <c r="F36" s="23" t="n"/>
      <c r="G36" s="23" t="n"/>
      <c r="H36" s="29">
        <f>IF(C36="","",IFERROR(INDEX(Categories!$B$6:$B$65,MATCH(C36,Categories!$A$6:$A$65,0))&amp;"",""))</f>
        <v/>
      </c>
      <c r="I36" s="25">
        <f>IF(AND(A36="",C36="",D36=""),"",IF(A36="","Date missing",IF(NOT(ISNUMBER(A36)),"Date not recognized",IF(YEAR(A36)&lt;&gt;Settings!$C$4,"Not in "&amp;Settings!$C$4,IF(C36="","Category missing",IF(H36="",IF(COUNTIF(Categories!$A$6:$A$65,C36)&gt;0,"Category has no type","Category not in list"),IF(D36="","Amount missing",IF(NOT(ISNUMBER(D36)),"Amount is not a number",IF(F36="","",IF(ISNA(MATCH(F36,Lists!$G$2:$G$25,0)),"Goal / fund not in list",IF(H36="Income","Fund tag ignored on income","")))))))))))</f>
        <v/>
      </c>
    </row>
    <row r="37">
      <c r="A37" s="27" t="n">
        <v>46039</v>
      </c>
      <c r="B37" s="23" t="inlineStr">
        <is>
          <t>Dinner out</t>
        </is>
      </c>
      <c r="C37" s="23" t="inlineStr">
        <is>
          <t>Dining out</t>
        </is>
      </c>
      <c r="D37" s="28" t="n">
        <v>13.5</v>
      </c>
      <c r="E37" s="23" t="inlineStr">
        <is>
          <t>Credit card</t>
        </is>
      </c>
      <c r="F37" s="23" t="n"/>
      <c r="G37" s="23" t="n"/>
      <c r="H37" s="29">
        <f>IF(C37="","",IFERROR(INDEX(Categories!$B$6:$B$65,MATCH(C37,Categories!$A$6:$A$65,0))&amp;"",""))</f>
        <v/>
      </c>
      <c r="I37" s="25">
        <f>IF(AND(A37="",C37="",D37=""),"",IF(A37="","Date missing",IF(NOT(ISNUMBER(A37)),"Date not recognized",IF(YEAR(A37)&lt;&gt;Settings!$C$4,"Not in "&amp;Settings!$C$4,IF(C37="","Category missing",IF(H37="",IF(COUNTIF(Categories!$A$6:$A$65,C37)&gt;0,"Category has no type","Category not in list"),IF(D37="","Amount missing",IF(NOT(ISNUMBER(D37)),"Amount is not a number",IF(F37="","",IF(ISNA(MATCH(F37,Lists!$G$2:$G$25,0)),"Goal / fund not in list",IF(H37="Income","Fund tag ignored on income","")))))))))))</f>
        <v/>
      </c>
    </row>
    <row r="38">
      <c r="A38" s="27" t="n">
        <v>46039</v>
      </c>
      <c r="B38" s="23" t="inlineStr">
        <is>
          <t>Board game</t>
        </is>
      </c>
      <c r="C38" s="23" t="inlineStr">
        <is>
          <t>Entertainment</t>
        </is>
      </c>
      <c r="D38" s="28" t="n">
        <v>50.85</v>
      </c>
      <c r="E38" s="23" t="inlineStr">
        <is>
          <t>Credit card</t>
        </is>
      </c>
      <c r="F38" s="23" t="n"/>
      <c r="G38" s="23" t="n"/>
      <c r="H38" s="29">
        <f>IF(C38="","",IFERROR(INDEX(Categories!$B$6:$B$65,MATCH(C38,Categories!$A$6:$A$65,0))&amp;"",""))</f>
        <v/>
      </c>
      <c r="I38" s="25">
        <f>IF(AND(A38="",C38="",D38=""),"",IF(A38="","Date missing",IF(NOT(ISNUMBER(A38)),"Date not recognized",IF(YEAR(A38)&lt;&gt;Settings!$C$4,"Not in "&amp;Settings!$C$4,IF(C38="","Category missing",IF(H38="",IF(COUNTIF(Categories!$A$6:$A$65,C38)&gt;0,"Category has no type","Category not in list"),IF(D38="","Amount missing",IF(NOT(ISNUMBER(D38)),"Amount is not a number",IF(F38="","",IF(ISNA(MATCH(F38,Lists!$G$2:$G$25,0)),"Goal / fund not in list",IF(H38="Income","Fund tag ignored on income","")))))))))))</f>
        <v/>
      </c>
    </row>
    <row r="39">
      <c r="A39" s="27" t="n">
        <v>46040</v>
      </c>
      <c r="B39" s="23" t="inlineStr">
        <is>
          <t>Electric bill</t>
        </is>
      </c>
      <c r="C39" s="23" t="inlineStr">
        <is>
          <t>Utilities</t>
        </is>
      </c>
      <c r="D39" s="28" t="n">
        <v>78.98999999999999</v>
      </c>
      <c r="E39" s="23" t="inlineStr">
        <is>
          <t>Checking</t>
        </is>
      </c>
      <c r="F39" s="23" t="n"/>
      <c r="G39" s="23" t="n"/>
      <c r="H39" s="29">
        <f>IF(C39="","",IFERROR(INDEX(Categories!$B$6:$B$65,MATCH(C39,Categories!$A$6:$A$65,0))&amp;"",""))</f>
        <v/>
      </c>
      <c r="I39" s="25">
        <f>IF(AND(A39="",C39="",D39=""),"",IF(A39="","Date missing",IF(NOT(ISNUMBER(A39)),"Date not recognized",IF(YEAR(A39)&lt;&gt;Settings!$C$4,"Not in "&amp;Settings!$C$4,IF(C39="","Category missing",IF(H39="",IF(COUNTIF(Categories!$A$6:$A$65,C39)&gt;0,"Category has no type","Category not in list"),IF(D39="","Amount missing",IF(NOT(ISNUMBER(D39)),"Amount is not a number",IF(F39="","",IF(ISNA(MATCH(F39,Lists!$G$2:$G$25,0)),"Goal / fund not in list",IF(H39="Income","Fund tag ignored on income","")))))))))))</f>
        <v/>
      </c>
    </row>
    <row r="40">
      <c r="A40" s="27" t="n">
        <v>46041</v>
      </c>
      <c r="B40" s="23" t="inlineStr">
        <is>
          <t>Museum</t>
        </is>
      </c>
      <c r="C40" s="23" t="inlineStr">
        <is>
          <t>Entertainment</t>
        </is>
      </c>
      <c r="D40" s="28" t="n">
        <v>35.6</v>
      </c>
      <c r="E40" s="23" t="inlineStr">
        <is>
          <t>Credit card</t>
        </is>
      </c>
      <c r="F40" s="23" t="n"/>
      <c r="G40" s="23" t="n"/>
      <c r="H40" s="29">
        <f>IF(C40="","",IFERROR(INDEX(Categories!$B$6:$B$65,MATCH(C40,Categories!$A$6:$A$65,0))&amp;"",""))</f>
        <v/>
      </c>
      <c r="I40" s="25">
        <f>IF(AND(A40="",C40="",D40=""),"",IF(A40="","Date missing",IF(NOT(ISNUMBER(A40)),"Date not recognized",IF(YEAR(A40)&lt;&gt;Settings!$C$4,"Not in "&amp;Settings!$C$4,IF(C40="","Category missing",IF(H40="",IF(COUNTIF(Categories!$A$6:$A$65,C40)&gt;0,"Category has no type","Category not in list"),IF(D40="","Amount missing",IF(NOT(ISNUMBER(D40)),"Amount is not a number",IF(F40="","",IF(ISNA(MATCH(F40,Lists!$G$2:$G$25,0)),"Goal / fund not in list",IF(H40="Income","Fund tag ignored on income","")))))))))))</f>
        <v/>
      </c>
    </row>
    <row r="41">
      <c r="A41" s="27" t="n">
        <v>46042</v>
      </c>
      <c r="B41" s="23" t="inlineStr">
        <is>
          <t>Gas bill</t>
        </is>
      </c>
      <c r="C41" s="23" t="inlineStr">
        <is>
          <t>Utilities</t>
        </is>
      </c>
      <c r="D41" s="28" t="n">
        <v>102.42</v>
      </c>
      <c r="E41" s="23" t="inlineStr">
        <is>
          <t>Checking</t>
        </is>
      </c>
      <c r="F41" s="23" t="n"/>
      <c r="G41" s="23" t="n"/>
      <c r="H41" s="29">
        <f>IF(C41="","",IFERROR(INDEX(Categories!$B$6:$B$65,MATCH(C41,Categories!$A$6:$A$65,0))&amp;"",""))</f>
        <v/>
      </c>
      <c r="I41" s="25">
        <f>IF(AND(A41="",C41="",D41=""),"",IF(A41="","Date missing",IF(NOT(ISNUMBER(A41)),"Date not recognized",IF(YEAR(A41)&lt;&gt;Settings!$C$4,"Not in "&amp;Settings!$C$4,IF(C41="","Category missing",IF(H41="",IF(COUNTIF(Categories!$A$6:$A$65,C41)&gt;0,"Category has no type","Category not in list"),IF(D41="","Amount missing",IF(NOT(ISNUMBER(D41)),"Amount is not a number",IF(F41="","",IF(ISNA(MATCH(F41,Lists!$G$2:$G$25,0)),"Goal / fund not in list",IF(H41="Income","Fund tag ignored on income","")))))))))))</f>
        <v/>
      </c>
    </row>
    <row r="42">
      <c r="A42" s="27" t="n">
        <v>46042</v>
      </c>
      <c r="B42" s="23" t="inlineStr">
        <is>
          <t>Gas station</t>
        </is>
      </c>
      <c r="C42" s="23" t="inlineStr">
        <is>
          <t>Transport / Gas</t>
        </is>
      </c>
      <c r="D42" s="28" t="n">
        <v>43.26</v>
      </c>
      <c r="E42" s="23" t="inlineStr">
        <is>
          <t>Credit card</t>
        </is>
      </c>
      <c r="F42" s="23" t="n"/>
      <c r="G42" s="23" t="n"/>
      <c r="H42" s="29">
        <f>IF(C42="","",IFERROR(INDEX(Categories!$B$6:$B$65,MATCH(C42,Categories!$A$6:$A$65,0))&amp;"",""))</f>
        <v/>
      </c>
      <c r="I42" s="25">
        <f>IF(AND(A42="",C42="",D42=""),"",IF(A42="","Date missing",IF(NOT(ISNUMBER(A42)),"Date not recognized",IF(YEAR(A42)&lt;&gt;Settings!$C$4,"Not in "&amp;Settings!$C$4,IF(C42="","Category missing",IF(H42="",IF(COUNTIF(Categories!$A$6:$A$65,C42)&gt;0,"Category has no type","Category not in list"),IF(D42="","Amount missing",IF(NOT(ISNUMBER(D42)),"Amount is not a number",IF(F42="","",IF(ISNA(MATCH(F42,Lists!$G$2:$G$25,0)),"Goal / fund not in list",IF(H42="Income","Fund tag ignored on income","")))))))))))</f>
        <v/>
      </c>
    </row>
    <row r="43">
      <c r="A43" s="27" t="n">
        <v>46042</v>
      </c>
      <c r="B43" s="23" t="inlineStr">
        <is>
          <t>Credit card payment + extra</t>
        </is>
      </c>
      <c r="C43" s="23" t="inlineStr">
        <is>
          <t>Debt payments</t>
        </is>
      </c>
      <c r="D43" s="28" t="n">
        <v>260</v>
      </c>
      <c r="E43" s="23" t="inlineStr">
        <is>
          <t>Checking</t>
        </is>
      </c>
      <c r="F43" s="23" t="n"/>
      <c r="G43" s="23" t="n"/>
      <c r="H43" s="29">
        <f>IF(C43="","",IFERROR(INDEX(Categories!$B$6:$B$65,MATCH(C43,Categories!$A$6:$A$65,0))&amp;"",""))</f>
        <v/>
      </c>
      <c r="I43" s="25">
        <f>IF(AND(A43="",C43="",D43=""),"",IF(A43="","Date missing",IF(NOT(ISNUMBER(A43)),"Date not recognized",IF(YEAR(A43)&lt;&gt;Settings!$C$4,"Not in "&amp;Settings!$C$4,IF(C43="","Category missing",IF(H43="",IF(COUNTIF(Categories!$A$6:$A$65,C43)&gt;0,"Category has no type","Category not in list"),IF(D43="","Amount missing",IF(NOT(ISNUMBER(D43)),"Amount is not a number",IF(F43="","",IF(ISNA(MATCH(F43,Lists!$G$2:$G$25,0)),"Goal / fund not in list",IF(H43="Income","Fund tag ignored on income","")))))))))))</f>
        <v/>
      </c>
    </row>
    <row r="44">
      <c r="A44" s="27" t="n">
        <v>46042</v>
      </c>
      <c r="B44" s="23" t="inlineStr">
        <is>
          <t>Medical bill installment</t>
        </is>
      </c>
      <c r="C44" s="23" t="inlineStr">
        <is>
          <t>Debt payments</t>
        </is>
      </c>
      <c r="D44" s="28" t="n">
        <v>40</v>
      </c>
      <c r="E44" s="23" t="inlineStr">
        <is>
          <t>Checking</t>
        </is>
      </c>
      <c r="F44" s="23" t="n"/>
      <c r="G44" s="23" t="n"/>
      <c r="H44" s="29">
        <f>IF(C44="","",IFERROR(INDEX(Categories!$B$6:$B$65,MATCH(C44,Categories!$A$6:$A$65,0))&amp;"",""))</f>
        <v/>
      </c>
      <c r="I44" s="25">
        <f>IF(AND(A44="",C44="",D44=""),"",IF(A44="","Date missing",IF(NOT(ISNUMBER(A44)),"Date not recognized",IF(YEAR(A44)&lt;&gt;Settings!$C$4,"Not in "&amp;Settings!$C$4,IF(C44="","Category missing",IF(H44="",IF(COUNTIF(Categories!$A$6:$A$65,C44)&gt;0,"Category has no type","Category not in list"),IF(D44="","Amount missing",IF(NOT(ISNUMBER(D44)),"Amount is not a number",IF(F44="","",IF(ISNA(MATCH(F44,Lists!$G$2:$G$25,0)),"Goal / fund not in list",IF(H44="Income","Fund tag ignored on income","")))))))))))</f>
        <v/>
      </c>
    </row>
    <row r="45">
      <c r="A45" s="27" t="n">
        <v>46043</v>
      </c>
      <c r="B45" s="23" t="inlineStr">
        <is>
          <t>Personal loan payment</t>
        </is>
      </c>
      <c r="C45" s="23" t="inlineStr">
        <is>
          <t>Debt payments</t>
        </is>
      </c>
      <c r="D45" s="28" t="n">
        <v>210</v>
      </c>
      <c r="E45" s="23" t="inlineStr">
        <is>
          <t>Checking</t>
        </is>
      </c>
      <c r="F45" s="23" t="n"/>
      <c r="G45" s="23" t="n"/>
      <c r="H45" s="29">
        <f>IF(C45="","",IFERROR(INDEX(Categories!$B$6:$B$65,MATCH(C45,Categories!$A$6:$A$65,0))&amp;"",""))</f>
        <v/>
      </c>
      <c r="I45" s="25">
        <f>IF(AND(A45="",C45="",D45=""),"",IF(A45="","Date missing",IF(NOT(ISNUMBER(A45)),"Date not recognized",IF(YEAR(A45)&lt;&gt;Settings!$C$4,"Not in "&amp;Settings!$C$4,IF(C45="","Category missing",IF(H45="",IF(COUNTIF(Categories!$A$6:$A$65,C45)&gt;0,"Category has no type","Category not in list"),IF(D45="","Amount missing",IF(NOT(ISNUMBER(D45)),"Amount is not a number",IF(F45="","",IF(ISNA(MATCH(F45,Lists!$G$2:$G$25,0)),"Goal / fund not in list",IF(H45="Income","Fund tag ignored on income","")))))))))))</f>
        <v/>
      </c>
    </row>
    <row r="46">
      <c r="A46" s="27" t="n">
        <v>46044</v>
      </c>
      <c r="B46" s="23" t="inlineStr">
        <is>
          <t>Water &amp; trash</t>
        </is>
      </c>
      <c r="C46" s="23" t="inlineStr">
        <is>
          <t>Utilities</t>
        </is>
      </c>
      <c r="D46" s="28" t="n">
        <v>54.3</v>
      </c>
      <c r="E46" s="23" t="inlineStr">
        <is>
          <t>Checking</t>
        </is>
      </c>
      <c r="F46" s="23" t="n"/>
      <c r="G46" s="23" t="n"/>
      <c r="H46" s="29">
        <f>IF(C46="","",IFERROR(INDEX(Categories!$B$6:$B$65,MATCH(C46,Categories!$A$6:$A$65,0))&amp;"",""))</f>
        <v/>
      </c>
      <c r="I46" s="25">
        <f>IF(AND(A46="",C46="",D46=""),"",IF(A46="","Date missing",IF(NOT(ISNUMBER(A46)),"Date not recognized",IF(YEAR(A46)&lt;&gt;Settings!$C$4,"Not in "&amp;Settings!$C$4,IF(C46="","Category missing",IF(H46="",IF(COUNTIF(Categories!$A$6:$A$65,C46)&gt;0,"Category has no type","Category not in list"),IF(D46="","Amount missing",IF(NOT(ISNUMBER(D46)),"Amount is not a number",IF(F46="","",IF(ISNA(MATCH(F46,Lists!$G$2:$G$25,0)),"Goal / fund not in list",IF(H46="Income","Fund tag ignored on income","")))))))))))</f>
        <v/>
      </c>
    </row>
    <row r="47">
      <c r="A47" s="27" t="n">
        <v>46044</v>
      </c>
      <c r="B47" s="23" t="inlineStr">
        <is>
          <t>Takeout</t>
        </is>
      </c>
      <c r="C47" s="23" t="inlineStr">
        <is>
          <t>Dining out</t>
        </is>
      </c>
      <c r="D47" s="28" t="n">
        <v>49.08</v>
      </c>
      <c r="E47" s="23" t="inlineStr">
        <is>
          <t>Credit card</t>
        </is>
      </c>
      <c r="F47" s="23" t="n"/>
      <c r="G47" s="23" t="n"/>
      <c r="H47" s="29">
        <f>IF(C47="","",IFERROR(INDEX(Categories!$B$6:$B$65,MATCH(C47,Categories!$A$6:$A$65,0))&amp;"",""))</f>
        <v/>
      </c>
      <c r="I47" s="25">
        <f>IF(AND(A47="",C47="",D47=""),"",IF(A47="","Date missing",IF(NOT(ISNUMBER(A47)),"Date not recognized",IF(YEAR(A47)&lt;&gt;Settings!$C$4,"Not in "&amp;Settings!$C$4,IF(C47="","Category missing",IF(H47="",IF(COUNTIF(Categories!$A$6:$A$65,C47)&gt;0,"Category has no type","Category not in list"),IF(D47="","Amount missing",IF(NOT(ISNUMBER(D47)),"Amount is not a number",IF(F47="","",IF(ISNA(MATCH(F47,Lists!$G$2:$G$25,0)),"Goal / fund not in list",IF(H47="Income","Fund tag ignored on income","")))))))))))</f>
        <v/>
      </c>
    </row>
    <row r="48">
      <c r="A48" s="27" t="n">
        <v>46044</v>
      </c>
      <c r="B48" s="23" t="inlineStr">
        <is>
          <t>Books and toys</t>
        </is>
      </c>
      <c r="C48" s="23" t="inlineStr">
        <is>
          <t>Kids</t>
        </is>
      </c>
      <c r="D48" s="28" t="n">
        <v>35.89</v>
      </c>
      <c r="E48" s="23" t="inlineStr">
        <is>
          <t>Debit card</t>
        </is>
      </c>
      <c r="F48" s="23" t="n"/>
      <c r="G48" s="23" t="n"/>
      <c r="H48" s="29">
        <f>IF(C48="","",IFERROR(INDEX(Categories!$B$6:$B$65,MATCH(C48,Categories!$A$6:$A$65,0))&amp;"",""))</f>
        <v/>
      </c>
      <c r="I48" s="25">
        <f>IF(AND(A48="",C48="",D48=""),"",IF(A48="","Date missing",IF(NOT(ISNUMBER(A48)),"Date not recognized",IF(YEAR(A48)&lt;&gt;Settings!$C$4,"Not in "&amp;Settings!$C$4,IF(C48="","Category missing",IF(H48="",IF(COUNTIF(Categories!$A$6:$A$65,C48)&gt;0,"Category has no type","Category not in list"),IF(D48="","Amount missing",IF(NOT(ISNUMBER(D48)),"Amount is not a number",IF(F48="","",IF(ISNA(MATCH(F48,Lists!$G$2:$G$25,0)),"Goal / fund not in list",IF(H48="Income","Fund tag ignored on income","")))))))))))</f>
        <v/>
      </c>
    </row>
    <row r="49">
      <c r="A49" s="27" t="n">
        <v>46045</v>
      </c>
      <c r="B49" s="23" t="inlineStr">
        <is>
          <t>Dentist copay</t>
        </is>
      </c>
      <c r="C49" s="23" t="inlineStr">
        <is>
          <t>Health</t>
        </is>
      </c>
      <c r="D49" s="28" t="n">
        <v>75.63</v>
      </c>
      <c r="E49" s="23" t="inlineStr">
        <is>
          <t>Debit card</t>
        </is>
      </c>
      <c r="F49" s="23" t="n"/>
      <c r="G49" s="23" t="n"/>
      <c r="H49" s="29">
        <f>IF(C49="","",IFERROR(INDEX(Categories!$B$6:$B$65,MATCH(C49,Categories!$A$6:$A$65,0))&amp;"",""))</f>
        <v/>
      </c>
      <c r="I49" s="25">
        <f>IF(AND(A49="",C49="",D49=""),"",IF(A49="","Date missing",IF(NOT(ISNUMBER(A49)),"Date not recognized",IF(YEAR(A49)&lt;&gt;Settings!$C$4,"Not in "&amp;Settings!$C$4,IF(C49="","Category missing",IF(H49="",IF(COUNTIF(Categories!$A$6:$A$65,C49)&gt;0,"Category has no type","Category not in list"),IF(D49="","Amount missing",IF(NOT(ISNUMBER(D49)),"Amount is not a number",IF(F49="","",IF(ISNA(MATCH(F49,Lists!$G$2:$G$25,0)),"Goal / fund not in list",IF(H49="Income","Fund tag ignored on income","")))))))))))</f>
        <v/>
      </c>
    </row>
    <row r="50">
      <c r="A50" s="27" t="n">
        <v>46045</v>
      </c>
      <c r="B50" s="23" t="inlineStr">
        <is>
          <t>Hardware store</t>
        </is>
      </c>
      <c r="C50" s="23" t="inlineStr">
        <is>
          <t>Home &amp; repairs</t>
        </is>
      </c>
      <c r="D50" s="28" t="n">
        <v>73.23</v>
      </c>
      <c r="E50" s="23" t="inlineStr">
        <is>
          <t>Debit card</t>
        </is>
      </c>
      <c r="F50" s="23" t="n"/>
      <c r="G50" s="23" t="n"/>
      <c r="H50" s="29">
        <f>IF(C50="","",IFERROR(INDEX(Categories!$B$6:$B$65,MATCH(C50,Categories!$A$6:$A$65,0))&amp;"",""))</f>
        <v/>
      </c>
      <c r="I50" s="25">
        <f>IF(AND(A50="",C50="",D50=""),"",IF(A50="","Date missing",IF(NOT(ISNUMBER(A50)),"Date not recognized",IF(YEAR(A50)&lt;&gt;Settings!$C$4,"Not in "&amp;Settings!$C$4,IF(C50="","Category missing",IF(H50="",IF(COUNTIF(Categories!$A$6:$A$65,C50)&gt;0,"Category has no type","Category not in list"),IF(D50="","Amount missing",IF(NOT(ISNUMBER(D50)),"Amount is not a number",IF(F50="","",IF(ISNA(MATCH(F50,Lists!$G$2:$G$25,0)),"Goal / fund not in list",IF(H50="Income","Fund tag ignored on income","")))))))))))</f>
        <v/>
      </c>
    </row>
    <row r="51">
      <c r="A51" s="27" t="n">
        <v>46046</v>
      </c>
      <c r="B51" s="23" t="inlineStr">
        <is>
          <t>Warehouse store</t>
        </is>
      </c>
      <c r="C51" s="23" t="inlineStr">
        <is>
          <t>Groceries</t>
        </is>
      </c>
      <c r="D51" s="28" t="n">
        <v>143.76</v>
      </c>
      <c r="E51" s="23" t="inlineStr">
        <is>
          <t>Debit card</t>
        </is>
      </c>
      <c r="F51" s="23" t="n"/>
      <c r="G51" s="23" t="n"/>
      <c r="H51" s="29">
        <f>IF(C51="","",IFERROR(INDEX(Categories!$B$6:$B$65,MATCH(C51,Categories!$A$6:$A$65,0))&amp;"",""))</f>
        <v/>
      </c>
      <c r="I51" s="25">
        <f>IF(AND(A51="",C51="",D51=""),"",IF(A51="","Date missing",IF(NOT(ISNUMBER(A51)),"Date not recognized",IF(YEAR(A51)&lt;&gt;Settings!$C$4,"Not in "&amp;Settings!$C$4,IF(C51="","Category missing",IF(H51="",IF(COUNTIF(Categories!$A$6:$A$65,C51)&gt;0,"Category has no type","Category not in list"),IF(D51="","Amount missing",IF(NOT(ISNUMBER(D51)),"Amount is not a number",IF(F51="","",IF(ISNA(MATCH(F51,Lists!$G$2:$G$25,0)),"Goal / fund not in list",IF(H51="Income","Fund tag ignored on income","")))))))))))</f>
        <v/>
      </c>
    </row>
    <row r="52">
      <c r="A52" s="27" t="n">
        <v>46047</v>
      </c>
      <c r="B52" s="23" t="inlineStr">
        <is>
          <t>Shoes</t>
        </is>
      </c>
      <c r="C52" s="23" t="inlineStr">
        <is>
          <t>Clothing</t>
        </is>
      </c>
      <c r="D52" s="28" t="n">
        <v>102.72</v>
      </c>
      <c r="E52" s="23" t="inlineStr">
        <is>
          <t>Credit card</t>
        </is>
      </c>
      <c r="F52" s="23" t="n"/>
      <c r="G52" s="23" t="n"/>
      <c r="H52" s="29">
        <f>IF(C52="","",IFERROR(INDEX(Categories!$B$6:$B$65,MATCH(C52,Categories!$A$6:$A$65,0))&amp;"",""))</f>
        <v/>
      </c>
      <c r="I52" s="25">
        <f>IF(AND(A52="",C52="",D52=""),"",IF(A52="","Date missing",IF(NOT(ISNUMBER(A52)),"Date not recognized",IF(YEAR(A52)&lt;&gt;Settings!$C$4,"Not in "&amp;Settings!$C$4,IF(C52="","Category missing",IF(H52="",IF(COUNTIF(Categories!$A$6:$A$65,C52)&gt;0,"Category has no type","Category not in list"),IF(D52="","Amount missing",IF(NOT(ISNUMBER(D52)),"Amount is not a number",IF(F52="","",IF(ISNA(MATCH(F52,Lists!$G$2:$G$25,0)),"Goal / fund not in list",IF(H52="Income","Fund tag ignored on income","")))))))))))</f>
        <v/>
      </c>
    </row>
    <row r="53">
      <c r="A53" s="27" t="n">
        <v>46047</v>
      </c>
      <c r="B53" s="23" t="inlineStr">
        <is>
          <t>Student loan payment</t>
        </is>
      </c>
      <c r="C53" s="23" t="inlineStr">
        <is>
          <t>Debt payments</t>
        </is>
      </c>
      <c r="D53" s="28" t="n">
        <v>165</v>
      </c>
      <c r="E53" s="23" t="inlineStr">
        <is>
          <t>Checking</t>
        </is>
      </c>
      <c r="F53" s="23" t="n"/>
      <c r="G53" s="23" t="n"/>
      <c r="H53" s="29">
        <f>IF(C53="","",IFERROR(INDEX(Categories!$B$6:$B$65,MATCH(C53,Categories!$A$6:$A$65,0))&amp;"",""))</f>
        <v/>
      </c>
      <c r="I53" s="25">
        <f>IF(AND(A53="",C53="",D53=""),"",IF(A53="","Date missing",IF(NOT(ISNUMBER(A53)),"Date not recognized",IF(YEAR(A53)&lt;&gt;Settings!$C$4,"Not in "&amp;Settings!$C$4,IF(C53="","Category missing",IF(H53="",IF(COUNTIF(Categories!$A$6:$A$65,C53)&gt;0,"Category has no type","Category not in list"),IF(D53="","Amount missing",IF(NOT(ISNUMBER(D53)),"Amount is not a number",IF(F53="","",IF(ISNA(MATCH(F53,Lists!$G$2:$G$25,0)),"Goal / fund not in list",IF(H53="Income","Fund tag ignored on income","")))))))))))</f>
        <v/>
      </c>
    </row>
    <row r="54">
      <c r="A54" s="27" t="n">
        <v>46048</v>
      </c>
      <c r="B54" s="23" t="inlineStr">
        <is>
          <t>Haircut</t>
        </is>
      </c>
      <c r="C54" s="23" t="inlineStr">
        <is>
          <t>Personal care</t>
        </is>
      </c>
      <c r="D54" s="28" t="n">
        <v>43.76</v>
      </c>
      <c r="E54" s="23" t="inlineStr">
        <is>
          <t>Debit card</t>
        </is>
      </c>
      <c r="F54" s="23" t="n"/>
      <c r="G54" s="23" t="n"/>
      <c r="H54" s="29">
        <f>IF(C54="","",IFERROR(INDEX(Categories!$B$6:$B$65,MATCH(C54,Categories!$A$6:$A$65,0))&amp;"",""))</f>
        <v/>
      </c>
      <c r="I54" s="25">
        <f>IF(AND(A54="",C54="",D54=""),"",IF(A54="","Date missing",IF(NOT(ISNUMBER(A54)),"Date not recognized",IF(YEAR(A54)&lt;&gt;Settings!$C$4,"Not in "&amp;Settings!$C$4,IF(C54="","Category missing",IF(H54="",IF(COUNTIF(Categories!$A$6:$A$65,C54)&gt;0,"Category has no type","Category not in list"),IF(D54="","Amount missing",IF(NOT(ISNUMBER(D54)),"Amount is not a number",IF(F54="","",IF(ISNA(MATCH(F54,Lists!$G$2:$G$25,0)),"Goal / fund not in list",IF(H54="Income","Fund tag ignored on income","")))))))))))</f>
        <v/>
      </c>
    </row>
    <row r="55">
      <c r="A55" s="27" t="n">
        <v>46049</v>
      </c>
      <c r="B55" s="23" t="inlineStr">
        <is>
          <t>Gas station</t>
        </is>
      </c>
      <c r="C55" s="23" t="inlineStr">
        <is>
          <t>Transport / Gas</t>
        </is>
      </c>
      <c r="D55" s="28" t="n">
        <v>46.23</v>
      </c>
      <c r="E55" s="23" t="inlineStr">
        <is>
          <t>Credit card</t>
        </is>
      </c>
      <c r="F55" s="23" t="n"/>
      <c r="G55" s="23" t="n"/>
      <c r="H55" s="29">
        <f>IF(C55="","",IFERROR(INDEX(Categories!$B$6:$B$65,MATCH(C55,Categories!$A$6:$A$65,0))&amp;"",""))</f>
        <v/>
      </c>
      <c r="I55" s="25">
        <f>IF(AND(A55="",C55="",D55=""),"",IF(A55="","Date missing",IF(NOT(ISNUMBER(A55)),"Date not recognized",IF(YEAR(A55)&lt;&gt;Settings!$C$4,"Not in "&amp;Settings!$C$4,IF(C55="","Category missing",IF(H55="",IF(COUNTIF(Categories!$A$6:$A$65,C55)&gt;0,"Category has no type","Category not in list"),IF(D55="","Amount missing",IF(NOT(ISNUMBER(D55)),"Amount is not a number",IF(F55="","",IF(ISNA(MATCH(F55,Lists!$G$2:$G$25,0)),"Goal / fund not in list",IF(H55="Income","Fund tag ignored on income","")))))))))))</f>
        <v/>
      </c>
    </row>
    <row r="56">
      <c r="A56" s="27" t="n">
        <v>46050</v>
      </c>
      <c r="B56" s="23" t="inlineStr">
        <is>
          <t>Sam paycheck</t>
        </is>
      </c>
      <c r="C56" s="23" t="inlineStr">
        <is>
          <t>Paycheck 2</t>
        </is>
      </c>
      <c r="D56" s="28" t="n">
        <v>2950</v>
      </c>
      <c r="E56" s="23" t="inlineStr">
        <is>
          <t>Checking</t>
        </is>
      </c>
      <c r="F56" s="23" t="n"/>
      <c r="G56" s="23" t="n"/>
      <c r="H56" s="29">
        <f>IF(C56="","",IFERROR(INDEX(Categories!$B$6:$B$65,MATCH(C56,Categories!$A$6:$A$65,0))&amp;"",""))</f>
        <v/>
      </c>
      <c r="I56" s="25">
        <f>IF(AND(A56="",C56="",D56=""),"",IF(A56="","Date missing",IF(NOT(ISNUMBER(A56)),"Date not recognized",IF(YEAR(A56)&lt;&gt;Settings!$C$4,"Not in "&amp;Settings!$C$4,IF(C56="","Category missing",IF(H56="",IF(COUNTIF(Categories!$A$6:$A$65,C56)&gt;0,"Category has no type","Category not in list"),IF(D56="","Amount missing",IF(NOT(ISNUMBER(D56)),"Amount is not a number",IF(F56="","",IF(ISNA(MATCH(F56,Lists!$G$2:$G$25,0)),"Goal / fund not in list",IF(H56="Income","Fund tag ignored on income","")))))))))))</f>
        <v/>
      </c>
    </row>
    <row r="57">
      <c r="A57" s="27" t="n">
        <v>46050</v>
      </c>
      <c r="B57" s="23" t="inlineStr">
        <is>
          <t>Haircut</t>
        </is>
      </c>
      <c r="C57" s="23" t="inlineStr">
        <is>
          <t>Personal care</t>
        </is>
      </c>
      <c r="D57" s="28" t="n">
        <v>28.47</v>
      </c>
      <c r="E57" s="23" t="inlineStr">
        <is>
          <t>Debit card</t>
        </is>
      </c>
      <c r="F57" s="23" t="n"/>
      <c r="G57" s="23" t="n"/>
      <c r="H57" s="29">
        <f>IF(C57="","",IFERROR(INDEX(Categories!$B$6:$B$65,MATCH(C57,Categories!$A$6:$A$65,0))&amp;"",""))</f>
        <v/>
      </c>
      <c r="I57" s="25">
        <f>IF(AND(A57="",C57="",D57=""),"",IF(A57="","Date missing",IF(NOT(ISNUMBER(A57)),"Date not recognized",IF(YEAR(A57)&lt;&gt;Settings!$C$4,"Not in "&amp;Settings!$C$4,IF(C57="","Category missing",IF(H57="",IF(COUNTIF(Categories!$A$6:$A$65,C57)&gt;0,"Category has no type","Category not in list"),IF(D57="","Amount missing",IF(NOT(ISNUMBER(D57)),"Amount is not a number",IF(F57="","",IF(ISNA(MATCH(F57,Lists!$G$2:$G$25,0)),"Goal / fund not in list",IF(H57="Income","Fund tag ignored on income","")))))))))))</f>
        <v/>
      </c>
    </row>
    <row r="58">
      <c r="A58" s="27" t="n">
        <v>46052</v>
      </c>
      <c r="B58" s="23" t="inlineStr">
        <is>
          <t>Supermarket</t>
        </is>
      </c>
      <c r="C58" s="23" t="inlineStr">
        <is>
          <t>Groceries</t>
        </is>
      </c>
      <c r="D58" s="28" t="n">
        <v>134.19</v>
      </c>
      <c r="E58" s="23" t="inlineStr">
        <is>
          <t>Debit card</t>
        </is>
      </c>
      <c r="F58" s="23" t="n"/>
      <c r="G58" s="23" t="n"/>
      <c r="H58" s="29">
        <f>IF(C58="","",IFERROR(INDEX(Categories!$B$6:$B$65,MATCH(C58,Categories!$A$6:$A$65,0))&amp;"",""))</f>
        <v/>
      </c>
      <c r="I58" s="25">
        <f>IF(AND(A58="",C58="",D58=""),"",IF(A58="","Date missing",IF(NOT(ISNUMBER(A58)),"Date not recognized",IF(YEAR(A58)&lt;&gt;Settings!$C$4,"Not in "&amp;Settings!$C$4,IF(C58="","Category missing",IF(H58="",IF(COUNTIF(Categories!$A$6:$A$65,C58)&gt;0,"Category has no type","Category not in list"),IF(D58="","Amount missing",IF(NOT(ISNUMBER(D58)),"Amount is not a number",IF(F58="","",IF(ISNA(MATCH(F58,Lists!$G$2:$G$25,0)),"Goal / fund not in list",IF(H58="Income","Fund tag ignored on income","")))))))))))</f>
        <v/>
      </c>
    </row>
    <row r="59">
      <c r="A59" s="27" t="n">
        <v>46054</v>
      </c>
      <c r="B59" s="23" t="inlineStr">
        <is>
          <t>Alex paycheck</t>
        </is>
      </c>
      <c r="C59" s="23" t="inlineStr">
        <is>
          <t>Paycheck 1</t>
        </is>
      </c>
      <c r="D59" s="28" t="n">
        <v>2100</v>
      </c>
      <c r="E59" s="23" t="inlineStr">
        <is>
          <t>Checking</t>
        </is>
      </c>
      <c r="F59" s="23" t="n"/>
      <c r="G59" s="23" t="n"/>
      <c r="H59" s="29">
        <f>IF(C59="","",IFERROR(INDEX(Categories!$B$6:$B$65,MATCH(C59,Categories!$A$6:$A$65,0))&amp;"",""))</f>
        <v/>
      </c>
      <c r="I59" s="25">
        <f>IF(AND(A59="",C59="",D59=""),"",IF(A59="","Date missing",IF(NOT(ISNUMBER(A59)),"Date not recognized",IF(YEAR(A59)&lt;&gt;Settings!$C$4,"Not in "&amp;Settings!$C$4,IF(C59="","Category missing",IF(H59="",IF(COUNTIF(Categories!$A$6:$A$65,C59)&gt;0,"Category has no type","Category not in list"),IF(D59="","Amount missing",IF(NOT(ISNUMBER(D59)),"Amount is not a number",IF(F59="","",IF(ISNA(MATCH(F59,Lists!$G$2:$G$25,0)),"Goal / fund not in list",IF(H59="Income","Fund tag ignored on income","")))))))))))</f>
        <v/>
      </c>
    </row>
    <row r="60">
      <c r="A60" s="27" t="n">
        <v>46054</v>
      </c>
      <c r="B60" s="23" t="inlineStr">
        <is>
          <t>Rent</t>
        </is>
      </c>
      <c r="C60" s="23" t="inlineStr">
        <is>
          <t>Rent / Mortgage</t>
        </is>
      </c>
      <c r="D60" s="28" t="n">
        <v>1850</v>
      </c>
      <c r="E60" s="23" t="inlineStr">
        <is>
          <t>Checking</t>
        </is>
      </c>
      <c r="F60" s="23" t="n"/>
      <c r="G60" s="23" t="n"/>
      <c r="H60" s="29">
        <f>IF(C60="","",IFERROR(INDEX(Categories!$B$6:$B$65,MATCH(C60,Categories!$A$6:$A$65,0))&amp;"",""))</f>
        <v/>
      </c>
      <c r="I60" s="25">
        <f>IF(AND(A60="",C60="",D60=""),"",IF(A60="","Date missing",IF(NOT(ISNUMBER(A60)),"Date not recognized",IF(YEAR(A60)&lt;&gt;Settings!$C$4,"Not in "&amp;Settings!$C$4,IF(C60="","Category missing",IF(H60="",IF(COUNTIF(Categories!$A$6:$A$65,C60)&gt;0,"Category has no type","Category not in list"),IF(D60="","Amount missing",IF(NOT(ISNUMBER(D60)),"Amount is not a number",IF(F60="","",IF(ISNA(MATCH(F60,Lists!$G$2:$G$25,0)),"Goal / fund not in list",IF(H60="Income","Fund tag ignored on income","")))))))))))</f>
        <v/>
      </c>
    </row>
    <row r="61">
      <c r="A61" s="27" t="n">
        <v>46054</v>
      </c>
      <c r="B61" s="23" t="inlineStr">
        <is>
          <t>After-school program</t>
        </is>
      </c>
      <c r="C61" s="23" t="inlineStr">
        <is>
          <t>Kids</t>
        </is>
      </c>
      <c r="D61" s="28" t="n">
        <v>320</v>
      </c>
      <c r="E61" s="23" t="inlineStr">
        <is>
          <t>Checking</t>
        </is>
      </c>
      <c r="F61" s="23" t="n"/>
      <c r="G61" s="23" t="n"/>
      <c r="H61" s="29">
        <f>IF(C61="","",IFERROR(INDEX(Categories!$B$6:$B$65,MATCH(C61,Categories!$A$6:$A$65,0))&amp;"",""))</f>
        <v/>
      </c>
      <c r="I61" s="25">
        <f>IF(AND(A61="",C61="",D61=""),"",IF(A61="","Date missing",IF(NOT(ISNUMBER(A61)),"Date not recognized",IF(YEAR(A61)&lt;&gt;Settings!$C$4,"Not in "&amp;Settings!$C$4,IF(C61="","Category missing",IF(H61="",IF(COUNTIF(Categories!$A$6:$A$65,C61)&gt;0,"Category has no type","Category not in list"),IF(D61="","Amount missing",IF(NOT(ISNUMBER(D61)),"Amount is not a number",IF(F61="","",IF(ISNA(MATCH(F61,Lists!$G$2:$G$25,0)),"Goal / fund not in list",IF(H61="Income","Fund tag ignored on income","")))))))))))</f>
        <v/>
      </c>
    </row>
    <row r="62">
      <c r="A62" s="27" t="n">
        <v>46055</v>
      </c>
      <c r="B62" s="23" t="inlineStr">
        <is>
          <t>Gym membership</t>
        </is>
      </c>
      <c r="C62" s="23" t="inlineStr">
        <is>
          <t>Subscriptions</t>
        </is>
      </c>
      <c r="D62" s="28" t="n">
        <v>45</v>
      </c>
      <c r="E62" s="23" t="inlineStr">
        <is>
          <t>Checking</t>
        </is>
      </c>
      <c r="F62" s="23" t="n"/>
      <c r="G62" s="23" t="n"/>
      <c r="H62" s="29">
        <f>IF(C62="","",IFERROR(INDEX(Categories!$B$6:$B$65,MATCH(C62,Categories!$A$6:$A$65,0))&amp;"",""))</f>
        <v/>
      </c>
      <c r="I62" s="25">
        <f>IF(AND(A62="",C62="",D62=""),"",IF(A62="","Date missing",IF(NOT(ISNUMBER(A62)),"Date not recognized",IF(YEAR(A62)&lt;&gt;Settings!$C$4,"Not in "&amp;Settings!$C$4,IF(C62="","Category missing",IF(H62="",IF(COUNTIF(Categories!$A$6:$A$65,C62)&gt;0,"Category has no type","Category not in list"),IF(D62="","Amount missing",IF(NOT(ISNUMBER(D62)),"Amount is not a number",IF(F62="","",IF(ISNA(MATCH(F62,Lists!$G$2:$G$25,0)),"Goal / fund not in list",IF(H62="Income","Fund tag ignored on income","")))))))))))</f>
        <v/>
      </c>
    </row>
    <row r="63">
      <c r="A63" s="27" t="n">
        <v>46055</v>
      </c>
      <c r="B63" s="23" t="inlineStr">
        <is>
          <t>Transfer to emergency fund</t>
        </is>
      </c>
      <c r="C63" s="23" t="inlineStr">
        <is>
          <t>Emergency fund</t>
        </is>
      </c>
      <c r="D63" s="28" t="n">
        <v>300</v>
      </c>
      <c r="E63" s="23" t="inlineStr">
        <is>
          <t>Savings</t>
        </is>
      </c>
      <c r="F63" s="23" t="inlineStr">
        <is>
          <t>Emergency fund</t>
        </is>
      </c>
      <c r="G63" s="23" t="n"/>
      <c r="H63" s="29">
        <f>IF(C63="","",IFERROR(INDEX(Categories!$B$6:$B$65,MATCH(C63,Categories!$A$6:$A$65,0))&amp;"",""))</f>
        <v/>
      </c>
      <c r="I63" s="25">
        <f>IF(AND(A63="",C63="",D63=""),"",IF(A63="","Date missing",IF(NOT(ISNUMBER(A63)),"Date not recognized",IF(YEAR(A63)&lt;&gt;Settings!$C$4,"Not in "&amp;Settings!$C$4,IF(C63="","Category missing",IF(H63="",IF(COUNTIF(Categories!$A$6:$A$65,C63)&gt;0,"Category has no type","Category not in list"),IF(D63="","Amount missing",IF(NOT(ISNUMBER(D63)),"Amount is not a number",IF(F63="","",IF(ISNA(MATCH(F63,Lists!$G$2:$G$25,0)),"Goal / fund not in list",IF(H63="Income","Fund tag ignored on income","")))))))))))</f>
        <v/>
      </c>
    </row>
    <row r="64">
      <c r="A64" s="27" t="n">
        <v>46055</v>
      </c>
      <c r="B64" s="23" t="inlineStr">
        <is>
          <t>Transfer: house fund</t>
        </is>
      </c>
      <c r="C64" s="23" t="inlineStr">
        <is>
          <t>Savings goals</t>
        </is>
      </c>
      <c r="D64" s="28" t="n">
        <v>300</v>
      </c>
      <c r="E64" s="23" t="inlineStr">
        <is>
          <t>Savings</t>
        </is>
      </c>
      <c r="F64" s="23" t="inlineStr">
        <is>
          <t>House down payment</t>
        </is>
      </c>
      <c r="G64" s="23" t="n"/>
      <c r="H64" s="29">
        <f>IF(C64="","",IFERROR(INDEX(Categories!$B$6:$B$65,MATCH(C64,Categories!$A$6:$A$65,0))&amp;"",""))</f>
        <v/>
      </c>
      <c r="I64" s="25">
        <f>IF(AND(A64="",C64="",D64=""),"",IF(A64="","Date missing",IF(NOT(ISNUMBER(A64)),"Date not recognized",IF(YEAR(A64)&lt;&gt;Settings!$C$4,"Not in "&amp;Settings!$C$4,IF(C64="","Category missing",IF(H64="",IF(COUNTIF(Categories!$A$6:$A$65,C64)&gt;0,"Category has no type","Category not in list"),IF(D64="","Amount missing",IF(NOT(ISNUMBER(D64)),"Amount is not a number",IF(F64="","",IF(ISNA(MATCH(F64,Lists!$G$2:$G$25,0)),"Goal / fund not in list",IF(H64="Income","Fund tag ignored on income","")))))))))))</f>
        <v/>
      </c>
    </row>
    <row r="65">
      <c r="A65" s="27" t="n">
        <v>46055</v>
      </c>
      <c r="B65" s="23" t="inlineStr">
        <is>
          <t>Transfer: laptop</t>
        </is>
      </c>
      <c r="C65" s="23" t="inlineStr">
        <is>
          <t>Savings goals</t>
        </is>
      </c>
      <c r="D65" s="28" t="n">
        <v>100</v>
      </c>
      <c r="E65" s="23" t="inlineStr">
        <is>
          <t>Savings</t>
        </is>
      </c>
      <c r="F65" s="23" t="inlineStr">
        <is>
          <t>New laptop</t>
        </is>
      </c>
      <c r="G65" s="23" t="n"/>
      <c r="H65" s="29">
        <f>IF(C65="","",IFERROR(INDEX(Categories!$B$6:$B$65,MATCH(C65,Categories!$A$6:$A$65,0))&amp;"",""))</f>
        <v/>
      </c>
      <c r="I65" s="25">
        <f>IF(AND(A65="",C65="",D65=""),"",IF(A65="","Date missing",IF(NOT(ISNUMBER(A65)),"Date not recognized",IF(YEAR(A65)&lt;&gt;Settings!$C$4,"Not in "&amp;Settings!$C$4,IF(C65="","Category missing",IF(H65="",IF(COUNTIF(Categories!$A$6:$A$65,C65)&gt;0,"Category has no type","Category not in list"),IF(D65="","Amount missing",IF(NOT(ISNUMBER(D65)),"Amount is not a number",IF(F65="","",IF(ISNA(MATCH(F65,Lists!$G$2:$G$25,0)),"Goal / fund not in list",IF(H65="Income","Fund tag ignored on income","")))))))))))</f>
        <v/>
      </c>
    </row>
    <row r="66">
      <c r="A66" s="27" t="n">
        <v>46055</v>
      </c>
      <c r="B66" s="23" t="inlineStr">
        <is>
          <t>Set aside: car maintenance</t>
        </is>
      </c>
      <c r="C66" s="23" t="inlineStr">
        <is>
          <t>Sinking funds</t>
        </is>
      </c>
      <c r="D66" s="28" t="n">
        <v>60</v>
      </c>
      <c r="E66" s="23" t="inlineStr">
        <is>
          <t>Savings</t>
        </is>
      </c>
      <c r="F66" s="23" t="inlineStr">
        <is>
          <t>Car maintenance</t>
        </is>
      </c>
      <c r="G66" s="23" t="n"/>
      <c r="H66" s="29">
        <f>IF(C66="","",IFERROR(INDEX(Categories!$B$6:$B$65,MATCH(C66,Categories!$A$6:$A$65,0))&amp;"",""))</f>
        <v/>
      </c>
      <c r="I66" s="25">
        <f>IF(AND(A66="",C66="",D66=""),"",IF(A66="","Date missing",IF(NOT(ISNUMBER(A66)),"Date not recognized",IF(YEAR(A66)&lt;&gt;Settings!$C$4,"Not in "&amp;Settings!$C$4,IF(C66="","Category missing",IF(H66="",IF(COUNTIF(Categories!$A$6:$A$65,C66)&gt;0,"Category has no type","Category not in list"),IF(D66="","Amount missing",IF(NOT(ISNUMBER(D66)),"Amount is not a number",IF(F66="","",IF(ISNA(MATCH(F66,Lists!$G$2:$G$25,0)),"Goal / fund not in list",IF(H66="Income","Fund tag ignored on income","")))))))))))</f>
        <v/>
      </c>
    </row>
    <row r="67">
      <c r="A67" s="27" t="n">
        <v>46055</v>
      </c>
      <c r="B67" s="23" t="inlineStr">
        <is>
          <t>Set aside: holiday gifts</t>
        </is>
      </c>
      <c r="C67" s="23" t="inlineStr">
        <is>
          <t>Sinking funds</t>
        </is>
      </c>
      <c r="D67" s="28" t="n">
        <v>50</v>
      </c>
      <c r="E67" s="23" t="inlineStr">
        <is>
          <t>Savings</t>
        </is>
      </c>
      <c r="F67" s="23" t="inlineStr">
        <is>
          <t>Holiday gifts</t>
        </is>
      </c>
      <c r="G67" s="23" t="n"/>
      <c r="H67" s="29">
        <f>IF(C67="","",IFERROR(INDEX(Categories!$B$6:$B$65,MATCH(C67,Categories!$A$6:$A$65,0))&amp;"",""))</f>
        <v/>
      </c>
      <c r="I67" s="25">
        <f>IF(AND(A67="",C67="",D67=""),"",IF(A67="","Date missing",IF(NOT(ISNUMBER(A67)),"Date not recognized",IF(YEAR(A67)&lt;&gt;Settings!$C$4,"Not in "&amp;Settings!$C$4,IF(C67="","Category missing",IF(H67="",IF(COUNTIF(Categories!$A$6:$A$65,C67)&gt;0,"Category has no type","Category not in list"),IF(D67="","Amount missing",IF(NOT(ISNUMBER(D67)),"Amount is not a number",IF(F67="","",IF(ISNA(MATCH(F67,Lists!$G$2:$G$25,0)),"Goal / fund not in list",IF(H67="Income","Fund tag ignored on income","")))))))))))</f>
        <v/>
      </c>
    </row>
    <row r="68">
      <c r="A68" s="27" t="n">
        <v>46055</v>
      </c>
      <c r="B68" s="23" t="inlineStr">
        <is>
          <t>Set aside: summer vacation</t>
        </is>
      </c>
      <c r="C68" s="23" t="inlineStr">
        <is>
          <t>Sinking funds</t>
        </is>
      </c>
      <c r="D68" s="28" t="n">
        <v>150</v>
      </c>
      <c r="E68" s="23" t="inlineStr">
        <is>
          <t>Savings</t>
        </is>
      </c>
      <c r="F68" s="23" t="inlineStr">
        <is>
          <t>Summer vacation</t>
        </is>
      </c>
      <c r="G68" s="23" t="n"/>
      <c r="H68" s="29">
        <f>IF(C68="","",IFERROR(INDEX(Categories!$B$6:$B$65,MATCH(C68,Categories!$A$6:$A$65,0))&amp;"",""))</f>
        <v/>
      </c>
      <c r="I68" s="25">
        <f>IF(AND(A68="",C68="",D68=""),"",IF(A68="","Date missing",IF(NOT(ISNUMBER(A68)),"Date not recognized",IF(YEAR(A68)&lt;&gt;Settings!$C$4,"Not in "&amp;Settings!$C$4,IF(C68="","Category missing",IF(H68="",IF(COUNTIF(Categories!$A$6:$A$65,C68)&gt;0,"Category has no type","Category not in list"),IF(D68="","Amount missing",IF(NOT(ISNUMBER(D68)),"Amount is not a number",IF(F68="","",IF(ISNA(MATCH(F68,Lists!$G$2:$G$25,0)),"Goal / fund not in list",IF(H68="Income","Fund tag ignored on income","")))))))))))</f>
        <v/>
      </c>
    </row>
    <row r="69">
      <c r="A69" s="27" t="n">
        <v>46055</v>
      </c>
      <c r="B69" s="23" t="inlineStr">
        <is>
          <t>Set aside: home repairs</t>
        </is>
      </c>
      <c r="C69" s="23" t="inlineStr">
        <is>
          <t>Sinking funds</t>
        </is>
      </c>
      <c r="D69" s="28" t="n">
        <v>40</v>
      </c>
      <c r="E69" s="23" t="inlineStr">
        <is>
          <t>Savings</t>
        </is>
      </c>
      <c r="F69" s="23" t="inlineStr">
        <is>
          <t>Home repairs</t>
        </is>
      </c>
      <c r="G69" s="23" t="n"/>
      <c r="H69" s="29">
        <f>IF(C69="","",IFERROR(INDEX(Categories!$B$6:$B$65,MATCH(C69,Categories!$A$6:$A$65,0))&amp;"",""))</f>
        <v/>
      </c>
      <c r="I69" s="25">
        <f>IF(AND(A69="",C69="",D69=""),"",IF(A69="","Date missing",IF(NOT(ISNUMBER(A69)),"Date not recognized",IF(YEAR(A69)&lt;&gt;Settings!$C$4,"Not in "&amp;Settings!$C$4,IF(C69="","Category missing",IF(H69="",IF(COUNTIF(Categories!$A$6:$A$65,C69)&gt;0,"Category has no type","Category not in list"),IF(D69="","Amount missing",IF(NOT(ISNUMBER(D69)),"Amount is not a number",IF(F69="","",IF(ISNA(MATCH(F69,Lists!$G$2:$G$25,0)),"Goal / fund not in list",IF(H69="Income","Fund tag ignored on income","")))))))))))</f>
        <v/>
      </c>
    </row>
    <row r="70">
      <c r="A70" s="27" t="n">
        <v>46056</v>
      </c>
      <c r="B70" s="23" t="inlineStr">
        <is>
          <t>Video streaming</t>
        </is>
      </c>
      <c r="C70" s="23" t="inlineStr">
        <is>
          <t>Subscriptions</t>
        </is>
      </c>
      <c r="D70" s="28" t="n">
        <v>15.49</v>
      </c>
      <c r="E70" s="23" t="inlineStr">
        <is>
          <t>Credit card</t>
        </is>
      </c>
      <c r="F70" s="23" t="n"/>
      <c r="G70" s="23" t="n"/>
      <c r="H70" s="29">
        <f>IF(C70="","",IFERROR(INDEX(Categories!$B$6:$B$65,MATCH(C70,Categories!$A$6:$A$65,0))&amp;"",""))</f>
        <v/>
      </c>
      <c r="I70" s="25">
        <f>IF(AND(A70="",C70="",D70=""),"",IF(A70="","Date missing",IF(NOT(ISNUMBER(A70)),"Date not recognized",IF(YEAR(A70)&lt;&gt;Settings!$C$4,"Not in "&amp;Settings!$C$4,IF(C70="","Category missing",IF(H70="",IF(COUNTIF(Categories!$A$6:$A$65,C70)&gt;0,"Category has no type","Category not in list"),IF(D70="","Amount missing",IF(NOT(ISNUMBER(D70)),"Amount is not a number",IF(F70="","",IF(ISNA(MATCH(F70,Lists!$G$2:$G$25,0)),"Goal / fund not in list",IF(H70="Income","Fund tag ignored on income","")))))))))))</f>
        <v/>
      </c>
    </row>
    <row r="71">
      <c r="A71" s="27" t="n">
        <v>46056</v>
      </c>
      <c r="B71" s="23" t="inlineStr">
        <is>
          <t>Farmers market</t>
        </is>
      </c>
      <c r="C71" s="23" t="inlineStr">
        <is>
          <t>Groceries</t>
        </is>
      </c>
      <c r="D71" s="28" t="n">
        <v>167.42</v>
      </c>
      <c r="E71" s="23" t="inlineStr">
        <is>
          <t>Debit card</t>
        </is>
      </c>
      <c r="F71" s="23" t="n"/>
      <c r="G71" s="23" t="n"/>
      <c r="H71" s="29">
        <f>IF(C71="","",IFERROR(INDEX(Categories!$B$6:$B$65,MATCH(C71,Categories!$A$6:$A$65,0))&amp;"",""))</f>
        <v/>
      </c>
      <c r="I71" s="25">
        <f>IF(AND(A71="",C71="",D71=""),"",IF(A71="","Date missing",IF(NOT(ISNUMBER(A71)),"Date not recognized",IF(YEAR(A71)&lt;&gt;Settings!$C$4,"Not in "&amp;Settings!$C$4,IF(C71="","Category missing",IF(H71="",IF(COUNTIF(Categories!$A$6:$A$65,C71)&gt;0,"Category has no type","Category not in list"),IF(D71="","Amount missing",IF(NOT(ISNUMBER(D71)),"Amount is not a number",IF(F71="","",IF(ISNA(MATCH(F71,Lists!$G$2:$G$25,0)),"Goal / fund not in list",IF(H71="Income","Fund tag ignored on income","")))))))))))</f>
        <v/>
      </c>
    </row>
    <row r="72">
      <c r="A72" s="27" t="n">
        <v>46056</v>
      </c>
      <c r="B72" s="23" t="inlineStr">
        <is>
          <t>Movie tickets</t>
        </is>
      </c>
      <c r="C72" s="23" t="inlineStr">
        <is>
          <t>Entertainment</t>
        </is>
      </c>
      <c r="D72" s="28" t="n">
        <v>32.76</v>
      </c>
      <c r="E72" s="23" t="inlineStr">
        <is>
          <t>Credit card</t>
        </is>
      </c>
      <c r="F72" s="23" t="n"/>
      <c r="G72" s="23" t="n"/>
      <c r="H72" s="29">
        <f>IF(C72="","",IFERROR(INDEX(Categories!$B$6:$B$65,MATCH(C72,Categories!$A$6:$A$65,0))&amp;"",""))</f>
        <v/>
      </c>
      <c r="I72" s="25">
        <f>IF(AND(A72="",C72="",D72=""),"",IF(A72="","Date missing",IF(NOT(ISNUMBER(A72)),"Date not recognized",IF(YEAR(A72)&lt;&gt;Settings!$C$4,"Not in "&amp;Settings!$C$4,IF(C72="","Category missing",IF(H72="",IF(COUNTIF(Categories!$A$6:$A$65,C72)&gt;0,"Category has no type","Category not in list"),IF(D72="","Amount missing",IF(NOT(ISNUMBER(D72)),"Amount is not a number",IF(F72="","",IF(ISNA(MATCH(F72,Lists!$G$2:$G$25,0)),"Goal / fund not in list",IF(H72="Income","Fund tag ignored on income","")))))))))))</f>
        <v/>
      </c>
    </row>
    <row r="73">
      <c r="A73" s="27" t="n">
        <v>46056</v>
      </c>
      <c r="B73" s="23" t="inlineStr">
        <is>
          <t>Retirement contribution</t>
        </is>
      </c>
      <c r="C73" s="23" t="inlineStr">
        <is>
          <t>Retirement &amp; investing</t>
        </is>
      </c>
      <c r="D73" s="28" t="n">
        <v>600</v>
      </c>
      <c r="E73" s="23" t="inlineStr">
        <is>
          <t>Checking</t>
        </is>
      </c>
      <c r="F73" s="23" t="n"/>
      <c r="G73" s="23" t="n"/>
      <c r="H73" s="29">
        <f>IF(C73="","",IFERROR(INDEX(Categories!$B$6:$B$65,MATCH(C73,Categories!$A$6:$A$65,0))&amp;"",""))</f>
        <v/>
      </c>
      <c r="I73" s="25">
        <f>IF(AND(A73="",C73="",D73=""),"",IF(A73="","Date missing",IF(NOT(ISNUMBER(A73)),"Date not recognized",IF(YEAR(A73)&lt;&gt;Settings!$C$4,"Not in "&amp;Settings!$C$4,IF(C73="","Category missing",IF(H73="",IF(COUNTIF(Categories!$A$6:$A$65,C73)&gt;0,"Category has no type","Category not in list"),IF(D73="","Amount missing",IF(NOT(ISNUMBER(D73)),"Amount is not a number",IF(F73="","",IF(ISNA(MATCH(F73,Lists!$G$2:$G$25,0)),"Goal / fund not in list",IF(H73="Income","Fund tag ignored on income","")))))))))))</f>
        <v/>
      </c>
    </row>
    <row r="74">
      <c r="A74" s="27" t="n">
        <v>46057</v>
      </c>
      <c r="B74" s="23" t="inlineStr">
        <is>
          <t>Gas station</t>
        </is>
      </c>
      <c r="C74" s="23" t="inlineStr">
        <is>
          <t>Transport / Gas</t>
        </is>
      </c>
      <c r="D74" s="28" t="n">
        <v>52.97</v>
      </c>
      <c r="E74" s="23" t="inlineStr">
        <is>
          <t>Credit card</t>
        </is>
      </c>
      <c r="F74" s="23" t="n"/>
      <c r="G74" s="23" t="n"/>
      <c r="H74" s="29">
        <f>IF(C74="","",IFERROR(INDEX(Categories!$B$6:$B$65,MATCH(C74,Categories!$A$6:$A$65,0))&amp;"",""))</f>
        <v/>
      </c>
      <c r="I74" s="25">
        <f>IF(AND(A74="",C74="",D74=""),"",IF(A74="","Date missing",IF(NOT(ISNUMBER(A74)),"Date not recognized",IF(YEAR(A74)&lt;&gt;Settings!$C$4,"Not in "&amp;Settings!$C$4,IF(C74="","Category missing",IF(H74="",IF(COUNTIF(Categories!$A$6:$A$65,C74)&gt;0,"Category has no type","Category not in list"),IF(D74="","Amount missing",IF(NOT(ISNUMBER(D74)),"Amount is not a number",IF(F74="","",IF(ISNA(MATCH(F74,Lists!$G$2:$G$25,0)),"Goal / fund not in list",IF(H74="Income","Fund tag ignored on income","")))))))))))</f>
        <v/>
      </c>
    </row>
    <row r="75">
      <c r="A75" s="27" t="n">
        <v>46057</v>
      </c>
      <c r="B75" s="23" t="inlineStr">
        <is>
          <t>Jeans</t>
        </is>
      </c>
      <c r="C75" s="23" t="inlineStr">
        <is>
          <t>Clothing</t>
        </is>
      </c>
      <c r="D75" s="28" t="n">
        <v>96.43000000000001</v>
      </c>
      <c r="E75" s="23" t="inlineStr">
        <is>
          <t>Credit card</t>
        </is>
      </c>
      <c r="F75" s="23" t="n"/>
      <c r="G75" s="23" t="n"/>
      <c r="H75" s="29">
        <f>IF(C75="","",IFERROR(INDEX(Categories!$B$6:$B$65,MATCH(C75,Categories!$A$6:$A$65,0))&amp;"",""))</f>
        <v/>
      </c>
      <c r="I75" s="25">
        <f>IF(AND(A75="",C75="",D75=""),"",IF(A75="","Date missing",IF(NOT(ISNUMBER(A75)),"Date not recognized",IF(YEAR(A75)&lt;&gt;Settings!$C$4,"Not in "&amp;Settings!$C$4,IF(C75="","Category missing",IF(H75="",IF(COUNTIF(Categories!$A$6:$A$65,C75)&gt;0,"Category has no type","Category not in list"),IF(D75="","Amount missing",IF(NOT(ISNUMBER(D75)),"Amount is not a number",IF(F75="","",IF(ISNA(MATCH(F75,Lists!$G$2:$G$25,0)),"Goal / fund not in list",IF(H75="Income","Fund tag ignored on income","")))))))))))</f>
        <v/>
      </c>
    </row>
    <row r="76">
      <c r="A76" s="27" t="n">
        <v>46058</v>
      </c>
      <c r="B76" s="23" t="inlineStr">
        <is>
          <t>Car insurance</t>
        </is>
      </c>
      <c r="C76" s="23" t="inlineStr">
        <is>
          <t>Insurance</t>
        </is>
      </c>
      <c r="D76" s="28" t="n">
        <v>128</v>
      </c>
      <c r="E76" s="23" t="inlineStr">
        <is>
          <t>Checking</t>
        </is>
      </c>
      <c r="F76" s="23" t="n"/>
      <c r="G76" s="23" t="n"/>
      <c r="H76" s="29">
        <f>IF(C76="","",IFERROR(INDEX(Categories!$B$6:$B$65,MATCH(C76,Categories!$A$6:$A$65,0))&amp;"",""))</f>
        <v/>
      </c>
      <c r="I76" s="25">
        <f>IF(AND(A76="",C76="",D76=""),"",IF(A76="","Date missing",IF(NOT(ISNUMBER(A76)),"Date not recognized",IF(YEAR(A76)&lt;&gt;Settings!$C$4,"Not in "&amp;Settings!$C$4,IF(C76="","Category missing",IF(H76="",IF(COUNTIF(Categories!$A$6:$A$65,C76)&gt;0,"Category has no type","Category not in list"),IF(D76="","Amount missing",IF(NOT(ISNUMBER(D76)),"Amount is not a number",IF(F76="","",IF(ISNA(MATCH(F76,Lists!$G$2:$G$25,0)),"Goal / fund not in list",IF(H76="Income","Fund tag ignored on income","")))))))))))</f>
        <v/>
      </c>
    </row>
    <row r="77">
      <c r="A77" s="27" t="n">
        <v>46058</v>
      </c>
      <c r="B77" s="23" t="inlineStr">
        <is>
          <t>Renters insurance</t>
        </is>
      </c>
      <c r="C77" s="23" t="inlineStr">
        <is>
          <t>Insurance</t>
        </is>
      </c>
      <c r="D77" s="28" t="n">
        <v>18</v>
      </c>
      <c r="E77" s="23" t="inlineStr">
        <is>
          <t>Checking</t>
        </is>
      </c>
      <c r="F77" s="23" t="n"/>
      <c r="G77" s="23" t="n"/>
      <c r="H77" s="29">
        <f>IF(C77="","",IFERROR(INDEX(Categories!$B$6:$B$65,MATCH(C77,Categories!$A$6:$A$65,0))&amp;"",""))</f>
        <v/>
      </c>
      <c r="I77" s="25">
        <f>IF(AND(A77="",C77="",D77=""),"",IF(A77="","Date missing",IF(NOT(ISNUMBER(A77)),"Date not recognized",IF(YEAR(A77)&lt;&gt;Settings!$C$4,"Not in "&amp;Settings!$C$4,IF(C77="","Category missing",IF(H77="",IF(COUNTIF(Categories!$A$6:$A$65,C77)&gt;0,"Category has no type","Category not in list"),IF(D77="","Amount missing",IF(NOT(ISNUMBER(D77)),"Amount is not a number",IF(F77="","",IF(ISNA(MATCH(F77,Lists!$G$2:$G$25,0)),"Goal / fund not in list",IF(H77="Income","Fund tag ignored on income","")))))))))))</f>
        <v/>
      </c>
    </row>
    <row r="78">
      <c r="A78" s="27" t="n">
        <v>46058</v>
      </c>
      <c r="B78" s="23" t="inlineStr">
        <is>
          <t>Dinner out</t>
        </is>
      </c>
      <c r="C78" s="23" t="inlineStr">
        <is>
          <t>Dining out</t>
        </is>
      </c>
      <c r="D78" s="28" t="n">
        <v>61.04</v>
      </c>
      <c r="E78" s="23" t="inlineStr">
        <is>
          <t>Credit card</t>
        </is>
      </c>
      <c r="F78" s="23" t="n"/>
      <c r="G78" s="23" t="n"/>
      <c r="H78" s="29">
        <f>IF(C78="","",IFERROR(INDEX(Categories!$B$6:$B$65,MATCH(C78,Categories!$A$6:$A$65,0))&amp;"",""))</f>
        <v/>
      </c>
      <c r="I78" s="25">
        <f>IF(AND(A78="",C78="",D78=""),"",IF(A78="","Date missing",IF(NOT(ISNUMBER(A78)),"Date not recognized",IF(YEAR(A78)&lt;&gt;Settings!$C$4,"Not in "&amp;Settings!$C$4,IF(C78="","Category missing",IF(H78="",IF(COUNTIF(Categories!$A$6:$A$65,C78)&gt;0,"Category has no type","Category not in list"),IF(D78="","Amount missing",IF(NOT(ISNUMBER(D78)),"Amount is not a number",IF(F78="","",IF(ISNA(MATCH(F78,Lists!$G$2:$G$25,0)),"Goal / fund not in list",IF(H78="Income","Fund tag ignored on income","")))))))))))</f>
        <v/>
      </c>
    </row>
    <row r="79">
      <c r="A79" s="27" t="n">
        <v>46060</v>
      </c>
      <c r="B79" s="23" t="inlineStr">
        <is>
          <t>Music streaming</t>
        </is>
      </c>
      <c r="C79" s="23" t="inlineStr">
        <is>
          <t>Subscriptions</t>
        </is>
      </c>
      <c r="D79" s="28" t="n">
        <v>10.99</v>
      </c>
      <c r="E79" s="23" t="inlineStr">
        <is>
          <t>Credit card</t>
        </is>
      </c>
      <c r="F79" s="23" t="n"/>
      <c r="G79" s="23" t="n"/>
      <c r="H79" s="29">
        <f>IF(C79="","",IFERROR(INDEX(Categories!$B$6:$B$65,MATCH(C79,Categories!$A$6:$A$65,0))&amp;"",""))</f>
        <v/>
      </c>
      <c r="I79" s="25">
        <f>IF(AND(A79="",C79="",D79=""),"",IF(A79="","Date missing",IF(NOT(ISNUMBER(A79)),"Date not recognized",IF(YEAR(A79)&lt;&gt;Settings!$C$4,"Not in "&amp;Settings!$C$4,IF(C79="","Category missing",IF(H79="",IF(COUNTIF(Categories!$A$6:$A$65,C79)&gt;0,"Category has no type","Category not in list"),IF(D79="","Amount missing",IF(NOT(ISNUMBER(D79)),"Amount is not a number",IF(F79="","",IF(ISNA(MATCH(F79,Lists!$G$2:$G$25,0)),"Goal / fund not in list",IF(H79="Income","Fund tag ignored on income","")))))))))))</f>
        <v/>
      </c>
    </row>
    <row r="80">
      <c r="A80" s="27" t="n">
        <v>46062</v>
      </c>
      <c r="B80" s="23" t="inlineStr">
        <is>
          <t>Weekend tutoring</t>
        </is>
      </c>
      <c r="C80" s="23" t="inlineStr">
        <is>
          <t>Side income</t>
        </is>
      </c>
      <c r="D80" s="28" t="n">
        <v>340.53</v>
      </c>
      <c r="E80" s="23" t="inlineStr">
        <is>
          <t>Checking</t>
        </is>
      </c>
      <c r="F80" s="23" t="n"/>
      <c r="G80" s="23" t="n"/>
      <c r="H80" s="29">
        <f>IF(C80="","",IFERROR(INDEX(Categories!$B$6:$B$65,MATCH(C80,Categories!$A$6:$A$65,0))&amp;"",""))</f>
        <v/>
      </c>
      <c r="I80" s="25">
        <f>IF(AND(A80="",C80="",D80=""),"",IF(A80="","Date missing",IF(NOT(ISNUMBER(A80)),"Date not recognized",IF(YEAR(A80)&lt;&gt;Settings!$C$4,"Not in "&amp;Settings!$C$4,IF(C80="","Category missing",IF(H80="",IF(COUNTIF(Categories!$A$6:$A$65,C80)&gt;0,"Category has no type","Category not in list"),IF(D80="","Amount missing",IF(NOT(ISNUMBER(D80)),"Amount is not a number",IF(F80="","",IF(ISNA(MATCH(F80,Lists!$G$2:$G$25,0)),"Goal / fund not in list",IF(H80="Income","Fund tag ignored on income","")))))))))))</f>
        <v/>
      </c>
    </row>
    <row r="81">
      <c r="A81" s="27" t="n">
        <v>46062</v>
      </c>
      <c r="B81" s="23" t="inlineStr">
        <is>
          <t>Kitchen items</t>
        </is>
      </c>
      <c r="C81" s="23" t="inlineStr">
        <is>
          <t>Home &amp; repairs</t>
        </is>
      </c>
      <c r="D81" s="28" t="n">
        <v>29.92</v>
      </c>
      <c r="E81" s="23" t="inlineStr">
        <is>
          <t>Debit card</t>
        </is>
      </c>
      <c r="F81" s="23" t="n"/>
      <c r="G81" s="23" t="n"/>
      <c r="H81" s="29">
        <f>IF(C81="","",IFERROR(INDEX(Categories!$B$6:$B$65,MATCH(C81,Categories!$A$6:$A$65,0))&amp;"",""))</f>
        <v/>
      </c>
      <c r="I81" s="25">
        <f>IF(AND(A81="",C81="",D81=""),"",IF(A81="","Date missing",IF(NOT(ISNUMBER(A81)),"Date not recognized",IF(YEAR(A81)&lt;&gt;Settings!$C$4,"Not in "&amp;Settings!$C$4,IF(C81="","Category missing",IF(H81="",IF(COUNTIF(Categories!$A$6:$A$65,C81)&gt;0,"Category has no type","Category not in list"),IF(D81="","Amount missing",IF(NOT(ISNUMBER(D81)),"Amount is not a number",IF(F81="","",IF(ISNA(MATCH(F81,Lists!$G$2:$G$25,0)),"Goal / fund not in list",IF(H81="Income","Fund tag ignored on income","")))))))))))</f>
        <v/>
      </c>
    </row>
    <row r="82">
      <c r="A82" s="27" t="n">
        <v>46062</v>
      </c>
      <c r="B82" s="23" t="inlineStr">
        <is>
          <t>Pet food</t>
        </is>
      </c>
      <c r="C82" s="23" t="inlineStr">
        <is>
          <t>Pets</t>
        </is>
      </c>
      <c r="D82" s="28" t="n">
        <v>45.13</v>
      </c>
      <c r="E82" s="23" t="inlineStr">
        <is>
          <t>Debit card</t>
        </is>
      </c>
      <c r="F82" s="23" t="n"/>
      <c r="G82" s="23" t="n"/>
      <c r="H82" s="29">
        <f>IF(C82="","",IFERROR(INDEX(Categories!$B$6:$B$65,MATCH(C82,Categories!$A$6:$A$65,0))&amp;"",""))</f>
        <v/>
      </c>
      <c r="I82" s="25">
        <f>IF(AND(A82="",C82="",D82=""),"",IF(A82="","Date missing",IF(NOT(ISNUMBER(A82)),"Date not recognized",IF(YEAR(A82)&lt;&gt;Settings!$C$4,"Not in "&amp;Settings!$C$4,IF(C82="","Category missing",IF(H82="",IF(COUNTIF(Categories!$A$6:$A$65,C82)&gt;0,"Category has no type","Category not in list"),IF(D82="","Amount missing",IF(NOT(ISNUMBER(D82)),"Amount is not a number",IF(F82="","",IF(ISNA(MATCH(F82,Lists!$G$2:$G$25,0)),"Goal / fund not in list",IF(H82="Income","Fund tag ignored on income","")))))))))))</f>
        <v/>
      </c>
    </row>
    <row r="83">
      <c r="A83" s="27" t="n">
        <v>46063</v>
      </c>
      <c r="B83" s="23" t="inlineStr">
        <is>
          <t>Car loan payment</t>
        </is>
      </c>
      <c r="C83" s="23" t="inlineStr">
        <is>
          <t>Car payment</t>
        </is>
      </c>
      <c r="D83" s="28" t="n">
        <v>389</v>
      </c>
      <c r="E83" s="23" t="inlineStr">
        <is>
          <t>Checking</t>
        </is>
      </c>
      <c r="F83" s="23" t="n"/>
      <c r="G83" s="23" t="n"/>
      <c r="H83" s="29">
        <f>IF(C83="","",IFERROR(INDEX(Categories!$B$6:$B$65,MATCH(C83,Categories!$A$6:$A$65,0))&amp;"",""))</f>
        <v/>
      </c>
      <c r="I83" s="25">
        <f>IF(AND(A83="",C83="",D83=""),"",IF(A83="","Date missing",IF(NOT(ISNUMBER(A83)),"Date not recognized",IF(YEAR(A83)&lt;&gt;Settings!$C$4,"Not in "&amp;Settings!$C$4,IF(C83="","Category missing",IF(H83="",IF(COUNTIF(Categories!$A$6:$A$65,C83)&gt;0,"Category has no type","Category not in list"),IF(D83="","Amount missing",IF(NOT(ISNUMBER(D83)),"Amount is not a number",IF(F83="","",IF(ISNA(MATCH(F83,Lists!$G$2:$G$25,0)),"Goal / fund not in list",IF(H83="Income","Fund tag ignored on income","")))))))))))</f>
        <v/>
      </c>
    </row>
    <row r="84">
      <c r="A84" s="27" t="n">
        <v>46063</v>
      </c>
      <c r="B84" s="23" t="inlineStr">
        <is>
          <t>Farmers market</t>
        </is>
      </c>
      <c r="C84" s="23" t="inlineStr">
        <is>
          <t>Groceries</t>
        </is>
      </c>
      <c r="D84" s="28" t="n">
        <v>166.56</v>
      </c>
      <c r="E84" s="23" t="inlineStr">
        <is>
          <t>Debit card</t>
        </is>
      </c>
      <c r="F84" s="23" t="n"/>
      <c r="G84" s="23" t="n"/>
      <c r="H84" s="29">
        <f>IF(C84="","",IFERROR(INDEX(Categories!$B$6:$B$65,MATCH(C84,Categories!$A$6:$A$65,0))&amp;"",""))</f>
        <v/>
      </c>
      <c r="I84" s="25">
        <f>IF(AND(A84="",C84="",D84=""),"",IF(A84="","Date missing",IF(NOT(ISNUMBER(A84)),"Date not recognized",IF(YEAR(A84)&lt;&gt;Settings!$C$4,"Not in "&amp;Settings!$C$4,IF(C84="","Category missing",IF(H84="",IF(COUNTIF(Categories!$A$6:$A$65,C84)&gt;0,"Category has no type","Category not in list"),IF(D84="","Amount missing",IF(NOT(ISNUMBER(D84)),"Amount is not a number",IF(F84="","",IF(ISNA(MATCH(F84,Lists!$G$2:$G$25,0)),"Goal / fund not in list",IF(H84="Income","Fund tag ignored on income","")))))))))))</f>
        <v/>
      </c>
    </row>
    <row r="85">
      <c r="A85" s="27" t="n">
        <v>46065</v>
      </c>
      <c r="B85" s="23" t="inlineStr">
        <is>
          <t>Internet</t>
        </is>
      </c>
      <c r="C85" s="23" t="inlineStr">
        <is>
          <t>Internet &amp; Phone</t>
        </is>
      </c>
      <c r="D85" s="28" t="n">
        <v>65</v>
      </c>
      <c r="E85" s="23" t="inlineStr">
        <is>
          <t>Checking</t>
        </is>
      </c>
      <c r="F85" s="23" t="n"/>
      <c r="G85" s="23" t="n"/>
      <c r="H85" s="29">
        <f>IF(C85="","",IFERROR(INDEX(Categories!$B$6:$B$65,MATCH(C85,Categories!$A$6:$A$65,0))&amp;"",""))</f>
        <v/>
      </c>
      <c r="I85" s="25">
        <f>IF(AND(A85="",C85="",D85=""),"",IF(A85="","Date missing",IF(NOT(ISNUMBER(A85)),"Date not recognized",IF(YEAR(A85)&lt;&gt;Settings!$C$4,"Not in "&amp;Settings!$C$4,IF(C85="","Category missing",IF(H85="",IF(COUNTIF(Categories!$A$6:$A$65,C85)&gt;0,"Category has no type","Category not in list"),IF(D85="","Amount missing",IF(NOT(ISNUMBER(D85)),"Amount is not a number",IF(F85="","",IF(ISNA(MATCH(F85,Lists!$G$2:$G$25,0)),"Goal / fund not in list",IF(H85="Income","Fund tag ignored on income","")))))))))))</f>
        <v/>
      </c>
    </row>
    <row r="86">
      <c r="A86" s="27" t="n">
        <v>46065</v>
      </c>
      <c r="B86" s="23" t="inlineStr">
        <is>
          <t>Coffee</t>
        </is>
      </c>
      <c r="C86" s="23" t="inlineStr">
        <is>
          <t>Dining out</t>
        </is>
      </c>
      <c r="D86" s="28" t="n">
        <v>24.35</v>
      </c>
      <c r="E86" s="23" t="inlineStr">
        <is>
          <t>Credit card</t>
        </is>
      </c>
      <c r="F86" s="23" t="n"/>
      <c r="G86" s="23" t="n"/>
      <c r="H86" s="29">
        <f>IF(C86="","",IFERROR(INDEX(Categories!$B$6:$B$65,MATCH(C86,Categories!$A$6:$A$65,0))&amp;"",""))</f>
        <v/>
      </c>
      <c r="I86" s="25">
        <f>IF(AND(A86="",C86="",D86=""),"",IF(A86="","Date missing",IF(NOT(ISNUMBER(A86)),"Date not recognized",IF(YEAR(A86)&lt;&gt;Settings!$C$4,"Not in "&amp;Settings!$C$4,IF(C86="","Category missing",IF(H86="",IF(COUNTIF(Categories!$A$6:$A$65,C86)&gt;0,"Category has no type","Category not in list"),IF(D86="","Amount missing",IF(NOT(ISNUMBER(D86)),"Amount is not a number",IF(F86="","",IF(ISNA(MATCH(F86,Lists!$G$2:$G$25,0)),"Goal / fund not in list",IF(H86="Income","Fund tag ignored on income","")))))))))))</f>
        <v/>
      </c>
    </row>
    <row r="87">
      <c r="A87" s="27" t="n">
        <v>46065</v>
      </c>
      <c r="B87" s="23" t="inlineStr">
        <is>
          <t>Gas station</t>
        </is>
      </c>
      <c r="C87" s="23" t="inlineStr">
        <is>
          <t>Transport / Gas</t>
        </is>
      </c>
      <c r="D87" s="28" t="n">
        <v>43.7</v>
      </c>
      <c r="E87" s="23" t="inlineStr">
        <is>
          <t>Credit card</t>
        </is>
      </c>
      <c r="F87" s="23" t="n"/>
      <c r="G87" s="23" t="n"/>
      <c r="H87" s="29">
        <f>IF(C87="","",IFERROR(INDEX(Categories!$B$6:$B$65,MATCH(C87,Categories!$A$6:$A$65,0))&amp;"",""))</f>
        <v/>
      </c>
      <c r="I87" s="25">
        <f>IF(AND(A87="",C87="",D87=""),"",IF(A87="","Date missing",IF(NOT(ISNUMBER(A87)),"Date not recognized",IF(YEAR(A87)&lt;&gt;Settings!$C$4,"Not in "&amp;Settings!$C$4,IF(C87="","Category missing",IF(H87="",IF(COUNTIF(Categories!$A$6:$A$65,C87)&gt;0,"Category has no type","Category not in list"),IF(D87="","Amount missing",IF(NOT(ISNUMBER(D87)),"Amount is not a number",IF(F87="","",IF(ISNA(MATCH(F87,Lists!$G$2:$G$25,0)),"Goal / fund not in list",IF(H87="Income","Fund tag ignored on income","")))))))))))</f>
        <v/>
      </c>
    </row>
    <row r="88">
      <c r="A88" s="27" t="n">
        <v>46067</v>
      </c>
      <c r="B88" s="23" t="inlineStr">
        <is>
          <t>Phone plan</t>
        </is>
      </c>
      <c r="C88" s="23" t="inlineStr">
        <is>
          <t>Internet &amp; Phone</t>
        </is>
      </c>
      <c r="D88" s="28" t="n">
        <v>70</v>
      </c>
      <c r="E88" s="23" t="inlineStr">
        <is>
          <t>Credit card</t>
        </is>
      </c>
      <c r="F88" s="23" t="n"/>
      <c r="G88" s="23" t="n"/>
      <c r="H88" s="29">
        <f>IF(C88="","",IFERROR(INDEX(Categories!$B$6:$B$65,MATCH(C88,Categories!$A$6:$A$65,0))&amp;"",""))</f>
        <v/>
      </c>
      <c r="I88" s="25">
        <f>IF(AND(A88="",C88="",D88=""),"",IF(A88="","Date missing",IF(NOT(ISNUMBER(A88)),"Date not recognized",IF(YEAR(A88)&lt;&gt;Settings!$C$4,"Not in "&amp;Settings!$C$4,IF(C88="","Category missing",IF(H88="",IF(COUNTIF(Categories!$A$6:$A$65,C88)&gt;0,"Category has no type","Category not in list"),IF(D88="","Amount missing",IF(NOT(ISNUMBER(D88)),"Amount is not a number",IF(F88="","",IF(ISNA(MATCH(F88,Lists!$G$2:$G$25,0)),"Goal / fund not in list",IF(H88="Income","Fund tag ignored on income","")))))))))))</f>
        <v/>
      </c>
    </row>
    <row r="89">
      <c r="A89" s="27" t="n">
        <v>46068</v>
      </c>
      <c r="B89" s="23" t="inlineStr">
        <is>
          <t>Alex paycheck</t>
        </is>
      </c>
      <c r="C89" s="23" t="inlineStr">
        <is>
          <t>Paycheck 1</t>
        </is>
      </c>
      <c r="D89" s="28" t="n">
        <v>2100</v>
      </c>
      <c r="E89" s="23" t="inlineStr">
        <is>
          <t>Checking</t>
        </is>
      </c>
      <c r="F89" s="23" t="n"/>
      <c r="G89" s="23" t="n"/>
      <c r="H89" s="29">
        <f>IF(C89="","",IFERROR(INDEX(Categories!$B$6:$B$65,MATCH(C89,Categories!$A$6:$A$65,0))&amp;"",""))</f>
        <v/>
      </c>
      <c r="I89" s="25">
        <f>IF(AND(A89="",C89="",D89=""),"",IF(A89="","Date missing",IF(NOT(ISNUMBER(A89)),"Date not recognized",IF(YEAR(A89)&lt;&gt;Settings!$C$4,"Not in "&amp;Settings!$C$4,IF(C89="","Category missing",IF(H89="",IF(COUNTIF(Categories!$A$6:$A$65,C89)&gt;0,"Category has no type","Category not in list"),IF(D89="","Amount missing",IF(NOT(ISNUMBER(D89)),"Amount is not a number",IF(F89="","",IF(ISNA(MATCH(F89,Lists!$G$2:$G$25,0)),"Goal / fund not in list",IF(H89="Income","Fund tag ignored on income","")))))))))))</f>
        <v/>
      </c>
    </row>
    <row r="90">
      <c r="A90" s="27" t="n">
        <v>46068</v>
      </c>
      <c r="B90" s="23" t="inlineStr">
        <is>
          <t>Lunch out</t>
        </is>
      </c>
      <c r="C90" s="23" t="inlineStr">
        <is>
          <t>Dining out</t>
        </is>
      </c>
      <c r="D90" s="28" t="n">
        <v>63.69</v>
      </c>
      <c r="E90" s="23" t="inlineStr">
        <is>
          <t>Credit card</t>
        </is>
      </c>
      <c r="F90" s="23" t="n"/>
      <c r="G90" s="23" t="n"/>
      <c r="H90" s="29">
        <f>IF(C90="","",IFERROR(INDEX(Categories!$B$6:$B$65,MATCH(C90,Categories!$A$6:$A$65,0))&amp;"",""))</f>
        <v/>
      </c>
      <c r="I90" s="25">
        <f>IF(AND(A90="",C90="",D90=""),"",IF(A90="","Date missing",IF(NOT(ISNUMBER(A90)),"Date not recognized",IF(YEAR(A90)&lt;&gt;Settings!$C$4,"Not in "&amp;Settings!$C$4,IF(C90="","Category missing",IF(H90="",IF(COUNTIF(Categories!$A$6:$A$65,C90)&gt;0,"Category has no type","Category not in list"),IF(D90="","Amount missing",IF(NOT(ISNUMBER(D90)),"Amount is not a number",IF(F90="","",IF(ISNA(MATCH(F90,Lists!$G$2:$G$25,0)),"Goal / fund not in list",IF(H90="Income","Fund tag ignored on income","")))))))))))</f>
        <v/>
      </c>
    </row>
    <row r="91">
      <c r="A91" s="27" t="n">
        <v>46069</v>
      </c>
      <c r="B91" s="23" t="inlineStr">
        <is>
          <t>Takeout</t>
        </is>
      </c>
      <c r="C91" s="23" t="inlineStr">
        <is>
          <t>Dining out</t>
        </is>
      </c>
      <c r="D91" s="28" t="n">
        <v>39.16</v>
      </c>
      <c r="E91" s="23" t="inlineStr">
        <is>
          <t>Credit card</t>
        </is>
      </c>
      <c r="F91" s="23" t="n"/>
      <c r="G91" s="23" t="n"/>
      <c r="H91" s="29">
        <f>IF(C91="","",IFERROR(INDEX(Categories!$B$6:$B$65,MATCH(C91,Categories!$A$6:$A$65,0))&amp;"",""))</f>
        <v/>
      </c>
      <c r="I91" s="25">
        <f>IF(AND(A91="",C91="",D91=""),"",IF(A91="","Date missing",IF(NOT(ISNUMBER(A91)),"Date not recognized",IF(YEAR(A91)&lt;&gt;Settings!$C$4,"Not in "&amp;Settings!$C$4,IF(C91="","Category missing",IF(H91="",IF(COUNTIF(Categories!$A$6:$A$65,C91)&gt;0,"Category has no type","Category not in list"),IF(D91="","Amount missing",IF(NOT(ISNUMBER(D91)),"Amount is not a number",IF(F91="","",IF(ISNA(MATCH(F91,Lists!$G$2:$G$25,0)),"Goal / fund not in list",IF(H91="Income","Fund tag ignored on income","")))))))))))</f>
        <v/>
      </c>
    </row>
    <row r="92">
      <c r="A92" s="27" t="n">
        <v>46069</v>
      </c>
      <c r="B92" s="23" t="inlineStr">
        <is>
          <t>Toiletries</t>
        </is>
      </c>
      <c r="C92" s="23" t="inlineStr">
        <is>
          <t>Personal care</t>
        </is>
      </c>
      <c r="D92" s="28" t="n">
        <v>17.29</v>
      </c>
      <c r="E92" s="23" t="inlineStr">
        <is>
          <t>Debit card</t>
        </is>
      </c>
      <c r="F92" s="23" t="n"/>
      <c r="G92" s="23" t="n"/>
      <c r="H92" s="29">
        <f>IF(C92="","",IFERROR(INDEX(Categories!$B$6:$B$65,MATCH(C92,Categories!$A$6:$A$65,0))&amp;"",""))</f>
        <v/>
      </c>
      <c r="I92" s="25">
        <f>IF(AND(A92="",C92="",D92=""),"",IF(A92="","Date missing",IF(NOT(ISNUMBER(A92)),"Date not recognized",IF(YEAR(A92)&lt;&gt;Settings!$C$4,"Not in "&amp;Settings!$C$4,IF(C92="","Category missing",IF(H92="",IF(COUNTIF(Categories!$A$6:$A$65,C92)&gt;0,"Category has no type","Category not in list"),IF(D92="","Amount missing",IF(NOT(ISNUMBER(D92)),"Amount is not a number",IF(F92="","",IF(ISNA(MATCH(F92,Lists!$G$2:$G$25,0)),"Goal / fund not in list",IF(H92="Income","Fund tag ignored on income","")))))))))))</f>
        <v/>
      </c>
    </row>
    <row r="93">
      <c r="A93" s="27" t="n">
        <v>46069</v>
      </c>
      <c r="B93" s="23" t="inlineStr">
        <is>
          <t>Phone case</t>
        </is>
      </c>
      <c r="C93" s="23" t="inlineStr">
        <is>
          <t>Misc</t>
        </is>
      </c>
      <c r="D93" s="28" t="n">
        <v>36.75</v>
      </c>
      <c r="E93" s="23" t="inlineStr">
        <is>
          <t>Cash</t>
        </is>
      </c>
      <c r="F93" s="23" t="n"/>
      <c r="G93" s="23" t="n"/>
      <c r="H93" s="29">
        <f>IF(C93="","",IFERROR(INDEX(Categories!$B$6:$B$65,MATCH(C93,Categories!$A$6:$A$65,0))&amp;"",""))</f>
        <v/>
      </c>
      <c r="I93" s="25">
        <f>IF(AND(A93="",C93="",D93=""),"",IF(A93="","Date missing",IF(NOT(ISNUMBER(A93)),"Date not recognized",IF(YEAR(A93)&lt;&gt;Settings!$C$4,"Not in "&amp;Settings!$C$4,IF(C93="","Category missing",IF(H93="",IF(COUNTIF(Categories!$A$6:$A$65,C93)&gt;0,"Category has no type","Category not in list"),IF(D93="","Amount missing",IF(NOT(ISNUMBER(D93)),"Amount is not a number",IF(F93="","",IF(ISNA(MATCH(F93,Lists!$G$2:$G$25,0)),"Goal / fund not in list",IF(H93="Income","Fund tag ignored on income","")))))))))))</f>
        <v/>
      </c>
    </row>
    <row r="94">
      <c r="A94" s="27" t="n">
        <v>46070</v>
      </c>
      <c r="B94" s="23" t="inlineStr">
        <is>
          <t>Warehouse store</t>
        </is>
      </c>
      <c r="C94" s="23" t="inlineStr">
        <is>
          <t>Groceries</t>
        </is>
      </c>
      <c r="D94" s="28" t="n">
        <v>185.56</v>
      </c>
      <c r="E94" s="23" t="inlineStr">
        <is>
          <t>Debit card</t>
        </is>
      </c>
      <c r="F94" s="23" t="n"/>
      <c r="G94" s="23" t="n"/>
      <c r="H94" s="29">
        <f>IF(C94="","",IFERROR(INDEX(Categories!$B$6:$B$65,MATCH(C94,Categories!$A$6:$A$65,0))&amp;"",""))</f>
        <v/>
      </c>
      <c r="I94" s="25">
        <f>IF(AND(A94="",C94="",D94=""),"",IF(A94="","Date missing",IF(NOT(ISNUMBER(A94)),"Date not recognized",IF(YEAR(A94)&lt;&gt;Settings!$C$4,"Not in "&amp;Settings!$C$4,IF(C94="","Category missing",IF(H94="",IF(COUNTIF(Categories!$A$6:$A$65,C94)&gt;0,"Category has no type","Category not in list"),IF(D94="","Amount missing",IF(NOT(ISNUMBER(D94)),"Amount is not a number",IF(F94="","",IF(ISNA(MATCH(F94,Lists!$G$2:$G$25,0)),"Goal / fund not in list",IF(H94="Income","Fund tag ignored on income","")))))))))))</f>
        <v/>
      </c>
    </row>
    <row r="95">
      <c r="A95" s="27" t="n">
        <v>46071</v>
      </c>
      <c r="B95" s="23" t="inlineStr">
        <is>
          <t>Electric bill</t>
        </is>
      </c>
      <c r="C95" s="23" t="inlineStr">
        <is>
          <t>Utilities</t>
        </is>
      </c>
      <c r="D95" s="28" t="n">
        <v>82.37</v>
      </c>
      <c r="E95" s="23" t="inlineStr">
        <is>
          <t>Checking</t>
        </is>
      </c>
      <c r="F95" s="23" t="n"/>
      <c r="G95" s="23" t="n"/>
      <c r="H95" s="29">
        <f>IF(C95="","",IFERROR(INDEX(Categories!$B$6:$B$65,MATCH(C95,Categories!$A$6:$A$65,0))&amp;"",""))</f>
        <v/>
      </c>
      <c r="I95" s="25">
        <f>IF(AND(A95="",C95="",D95=""),"",IF(A95="","Date missing",IF(NOT(ISNUMBER(A95)),"Date not recognized",IF(YEAR(A95)&lt;&gt;Settings!$C$4,"Not in "&amp;Settings!$C$4,IF(C95="","Category missing",IF(H95="",IF(COUNTIF(Categories!$A$6:$A$65,C95)&gt;0,"Category has no type","Category not in list"),IF(D95="","Amount missing",IF(NOT(ISNUMBER(D95)),"Amount is not a number",IF(F95="","",IF(ISNA(MATCH(F95,Lists!$G$2:$G$25,0)),"Goal / fund not in list",IF(H95="Income","Fund tag ignored on income","")))))))))))</f>
        <v/>
      </c>
    </row>
    <row r="96">
      <c r="A96" s="27" t="n">
        <v>46071</v>
      </c>
      <c r="B96" s="23" t="inlineStr">
        <is>
          <t>Dinner out</t>
        </is>
      </c>
      <c r="C96" s="23" t="inlineStr">
        <is>
          <t>Dining out</t>
        </is>
      </c>
      <c r="D96" s="28" t="n">
        <v>62.53</v>
      </c>
      <c r="E96" s="23" t="inlineStr">
        <is>
          <t>Credit card</t>
        </is>
      </c>
      <c r="F96" s="23" t="n"/>
      <c r="G96" s="23" t="n"/>
      <c r="H96" s="29">
        <f>IF(C96="","",IFERROR(INDEX(Categories!$B$6:$B$65,MATCH(C96,Categories!$A$6:$A$65,0))&amp;"",""))</f>
        <v/>
      </c>
      <c r="I96" s="25">
        <f>IF(AND(A96="",C96="",D96=""),"",IF(A96="","Date missing",IF(NOT(ISNUMBER(A96)),"Date not recognized",IF(YEAR(A96)&lt;&gt;Settings!$C$4,"Not in "&amp;Settings!$C$4,IF(C96="","Category missing",IF(H96="",IF(COUNTIF(Categories!$A$6:$A$65,C96)&gt;0,"Category has no type","Category not in list"),IF(D96="","Amount missing",IF(NOT(ISNUMBER(D96)),"Amount is not a number",IF(F96="","",IF(ISNA(MATCH(F96,Lists!$G$2:$G$25,0)),"Goal / fund not in list",IF(H96="Income","Fund tag ignored on income","")))))))))))</f>
        <v/>
      </c>
    </row>
    <row r="97">
      <c r="A97" s="27" t="n">
        <v>46073</v>
      </c>
      <c r="B97" s="23" t="inlineStr">
        <is>
          <t>Gas bill</t>
        </is>
      </c>
      <c r="C97" s="23" t="inlineStr">
        <is>
          <t>Utilities</t>
        </is>
      </c>
      <c r="D97" s="28" t="n">
        <v>96.95999999999999</v>
      </c>
      <c r="E97" s="23" t="inlineStr">
        <is>
          <t>Checking</t>
        </is>
      </c>
      <c r="F97" s="23" t="n"/>
      <c r="G97" s="23" t="n"/>
      <c r="H97" s="29">
        <f>IF(C97="","",IFERROR(INDEX(Categories!$B$6:$B$65,MATCH(C97,Categories!$A$6:$A$65,0))&amp;"",""))</f>
        <v/>
      </c>
      <c r="I97" s="25">
        <f>IF(AND(A97="",C97="",D97=""),"",IF(A97="","Date missing",IF(NOT(ISNUMBER(A97)),"Date not recognized",IF(YEAR(A97)&lt;&gt;Settings!$C$4,"Not in "&amp;Settings!$C$4,IF(C97="","Category missing",IF(H97="",IF(COUNTIF(Categories!$A$6:$A$65,C97)&gt;0,"Category has no type","Category not in list"),IF(D97="","Amount missing",IF(NOT(ISNUMBER(D97)),"Amount is not a number",IF(F97="","",IF(ISNA(MATCH(F97,Lists!$G$2:$G$25,0)),"Goal / fund not in list",IF(H97="Income","Fund tag ignored on income","")))))))))))</f>
        <v/>
      </c>
    </row>
    <row r="98">
      <c r="A98" s="27" t="n">
        <v>46073</v>
      </c>
      <c r="B98" s="23" t="inlineStr">
        <is>
          <t>Gas station</t>
        </is>
      </c>
      <c r="C98" s="23" t="inlineStr">
        <is>
          <t>Transport / Gas</t>
        </is>
      </c>
      <c r="D98" s="28" t="n">
        <v>54.5</v>
      </c>
      <c r="E98" s="23" t="inlineStr">
        <is>
          <t>Credit card</t>
        </is>
      </c>
      <c r="F98" s="23" t="n"/>
      <c r="G98" s="23" t="n"/>
      <c r="H98" s="29">
        <f>IF(C98="","",IFERROR(INDEX(Categories!$B$6:$B$65,MATCH(C98,Categories!$A$6:$A$65,0))&amp;"",""))</f>
        <v/>
      </c>
      <c r="I98" s="25">
        <f>IF(AND(A98="",C98="",D98=""),"",IF(A98="","Date missing",IF(NOT(ISNUMBER(A98)),"Date not recognized",IF(YEAR(A98)&lt;&gt;Settings!$C$4,"Not in "&amp;Settings!$C$4,IF(C98="","Category missing",IF(H98="",IF(COUNTIF(Categories!$A$6:$A$65,C98)&gt;0,"Category has no type","Category not in list"),IF(D98="","Amount missing",IF(NOT(ISNUMBER(D98)),"Amount is not a number",IF(F98="","",IF(ISNA(MATCH(F98,Lists!$G$2:$G$25,0)),"Goal / fund not in list",IF(H98="Income","Fund tag ignored on income","")))))))))))</f>
        <v/>
      </c>
    </row>
    <row r="99">
      <c r="A99" s="27" t="n">
        <v>46073</v>
      </c>
      <c r="B99" s="23" t="inlineStr">
        <is>
          <t>Credit card payment + extra</t>
        </is>
      </c>
      <c r="C99" s="23" t="inlineStr">
        <is>
          <t>Debt payments</t>
        </is>
      </c>
      <c r="D99" s="28" t="n">
        <v>260</v>
      </c>
      <c r="E99" s="23" t="inlineStr">
        <is>
          <t>Checking</t>
        </is>
      </c>
      <c r="F99" s="23" t="n"/>
      <c r="G99" s="23" t="n"/>
      <c r="H99" s="29">
        <f>IF(C99="","",IFERROR(INDEX(Categories!$B$6:$B$65,MATCH(C99,Categories!$A$6:$A$65,0))&amp;"",""))</f>
        <v/>
      </c>
      <c r="I99" s="25">
        <f>IF(AND(A99="",C99="",D99=""),"",IF(A99="","Date missing",IF(NOT(ISNUMBER(A99)),"Date not recognized",IF(YEAR(A99)&lt;&gt;Settings!$C$4,"Not in "&amp;Settings!$C$4,IF(C99="","Category missing",IF(H99="",IF(COUNTIF(Categories!$A$6:$A$65,C99)&gt;0,"Category has no type","Category not in list"),IF(D99="","Amount missing",IF(NOT(ISNUMBER(D99)),"Amount is not a number",IF(F99="","",IF(ISNA(MATCH(F99,Lists!$G$2:$G$25,0)),"Goal / fund not in list",IF(H99="Income","Fund tag ignored on income","")))))))))))</f>
        <v/>
      </c>
    </row>
    <row r="100">
      <c r="A100" s="27" t="n">
        <v>46073</v>
      </c>
      <c r="B100" s="23" t="inlineStr">
        <is>
          <t>Medical bill installment</t>
        </is>
      </c>
      <c r="C100" s="23" t="inlineStr">
        <is>
          <t>Debt payments</t>
        </is>
      </c>
      <c r="D100" s="28" t="n">
        <v>40</v>
      </c>
      <c r="E100" s="23" t="inlineStr">
        <is>
          <t>Checking</t>
        </is>
      </c>
      <c r="F100" s="23" t="n"/>
      <c r="G100" s="23" t="n"/>
      <c r="H100" s="29">
        <f>IF(C100="","",IFERROR(INDEX(Categories!$B$6:$B$65,MATCH(C100,Categories!$A$6:$A$65,0))&amp;"",""))</f>
        <v/>
      </c>
      <c r="I100" s="25">
        <f>IF(AND(A100="",C100="",D100=""),"",IF(A100="","Date missing",IF(NOT(ISNUMBER(A100)),"Date not recognized",IF(YEAR(A100)&lt;&gt;Settings!$C$4,"Not in "&amp;Settings!$C$4,IF(C100="","Category missing",IF(H100="",IF(COUNTIF(Categories!$A$6:$A$65,C100)&gt;0,"Category has no type","Category not in list"),IF(D100="","Amount missing",IF(NOT(ISNUMBER(D100)),"Amount is not a number",IF(F100="","",IF(ISNA(MATCH(F100,Lists!$G$2:$G$25,0)),"Goal / fund not in list",IF(H100="Income","Fund tag ignored on income","")))))))))))</f>
        <v/>
      </c>
    </row>
    <row r="101">
      <c r="A101" s="27" t="n">
        <v>46074</v>
      </c>
      <c r="B101" s="23" t="inlineStr">
        <is>
          <t>Parking</t>
        </is>
      </c>
      <c r="C101" s="23" t="inlineStr">
        <is>
          <t>Transport / Gas</t>
        </is>
      </c>
      <c r="D101" s="28" t="n">
        <v>12.14</v>
      </c>
      <c r="E101" s="23" t="inlineStr">
        <is>
          <t>Cash</t>
        </is>
      </c>
      <c r="F101" s="23" t="n"/>
      <c r="G101" s="23" t="n"/>
      <c r="H101" s="29">
        <f>IF(C101="","",IFERROR(INDEX(Categories!$B$6:$B$65,MATCH(C101,Categories!$A$6:$A$65,0))&amp;"",""))</f>
        <v/>
      </c>
      <c r="I101" s="25">
        <f>IF(AND(A101="",C101="",D101=""),"",IF(A101="","Date missing",IF(NOT(ISNUMBER(A101)),"Date not recognized",IF(YEAR(A101)&lt;&gt;Settings!$C$4,"Not in "&amp;Settings!$C$4,IF(C101="","Category missing",IF(H101="",IF(COUNTIF(Categories!$A$6:$A$65,C101)&gt;0,"Category has no type","Category not in list"),IF(D101="","Amount missing",IF(NOT(ISNUMBER(D101)),"Amount is not a number",IF(F101="","",IF(ISNA(MATCH(F101,Lists!$G$2:$G$25,0)),"Goal / fund not in list",IF(H101="Income","Fund tag ignored on income","")))))))))))</f>
        <v/>
      </c>
    </row>
    <row r="102">
      <c r="A102" s="27" t="n">
        <v>46074</v>
      </c>
      <c r="B102" s="23" t="inlineStr">
        <is>
          <t>Books and toys</t>
        </is>
      </c>
      <c r="C102" s="23" t="inlineStr">
        <is>
          <t>Kids</t>
        </is>
      </c>
      <c r="D102" s="28" t="n">
        <v>91.11</v>
      </c>
      <c r="E102" s="23" t="inlineStr">
        <is>
          <t>Debit card</t>
        </is>
      </c>
      <c r="F102" s="23" t="n"/>
      <c r="G102" s="23" t="n"/>
      <c r="H102" s="29">
        <f>IF(C102="","",IFERROR(INDEX(Categories!$B$6:$B$65,MATCH(C102,Categories!$A$6:$A$65,0))&amp;"",""))</f>
        <v/>
      </c>
      <c r="I102" s="25">
        <f>IF(AND(A102="",C102="",D102=""),"",IF(A102="","Date missing",IF(NOT(ISNUMBER(A102)),"Date not recognized",IF(YEAR(A102)&lt;&gt;Settings!$C$4,"Not in "&amp;Settings!$C$4,IF(C102="","Category missing",IF(H102="",IF(COUNTIF(Categories!$A$6:$A$65,C102)&gt;0,"Category has no type","Category not in list"),IF(D102="","Amount missing",IF(NOT(ISNUMBER(D102)),"Amount is not a number",IF(F102="","",IF(ISNA(MATCH(F102,Lists!$G$2:$G$25,0)),"Goal / fund not in list",IF(H102="Income","Fund tag ignored on income","")))))))))))</f>
        <v/>
      </c>
    </row>
    <row r="103">
      <c r="A103" s="27" t="n">
        <v>46074</v>
      </c>
      <c r="B103" s="23" t="inlineStr">
        <is>
          <t>Personal loan payment</t>
        </is>
      </c>
      <c r="C103" s="23" t="inlineStr">
        <is>
          <t>Debt payments</t>
        </is>
      </c>
      <c r="D103" s="28" t="n">
        <v>210</v>
      </c>
      <c r="E103" s="23" t="inlineStr">
        <is>
          <t>Checking</t>
        </is>
      </c>
      <c r="F103" s="23" t="n"/>
      <c r="G103" s="23" t="n"/>
      <c r="H103" s="29">
        <f>IF(C103="","",IFERROR(INDEX(Categories!$B$6:$B$65,MATCH(C103,Categories!$A$6:$A$65,0))&amp;"",""))</f>
        <v/>
      </c>
      <c r="I103" s="25">
        <f>IF(AND(A103="",C103="",D103=""),"",IF(A103="","Date missing",IF(NOT(ISNUMBER(A103)),"Date not recognized",IF(YEAR(A103)&lt;&gt;Settings!$C$4,"Not in "&amp;Settings!$C$4,IF(C103="","Category missing",IF(H103="",IF(COUNTIF(Categories!$A$6:$A$65,C103)&gt;0,"Category has no type","Category not in list"),IF(D103="","Amount missing",IF(NOT(ISNUMBER(D103)),"Amount is not a number",IF(F103="","",IF(ISNA(MATCH(F103,Lists!$G$2:$G$25,0)),"Goal / fund not in list",IF(H103="Income","Fund tag ignored on income","")))))))))))</f>
        <v/>
      </c>
    </row>
    <row r="104">
      <c r="A104" s="27" t="n">
        <v>46075</v>
      </c>
      <c r="B104" s="23" t="inlineStr">
        <is>
          <t>Water &amp; trash</t>
        </is>
      </c>
      <c r="C104" s="23" t="inlineStr">
        <is>
          <t>Utilities</t>
        </is>
      </c>
      <c r="D104" s="28" t="n">
        <v>54.3</v>
      </c>
      <c r="E104" s="23" t="inlineStr">
        <is>
          <t>Checking</t>
        </is>
      </c>
      <c r="F104" s="23" t="n"/>
      <c r="G104" s="23" t="n"/>
      <c r="H104" s="29">
        <f>IF(C104="","",IFERROR(INDEX(Categories!$B$6:$B$65,MATCH(C104,Categories!$A$6:$A$65,0))&amp;"",""))</f>
        <v/>
      </c>
      <c r="I104" s="25">
        <f>IF(AND(A104="",C104="",D104=""),"",IF(A104="","Date missing",IF(NOT(ISNUMBER(A104)),"Date not recognized",IF(YEAR(A104)&lt;&gt;Settings!$C$4,"Not in "&amp;Settings!$C$4,IF(C104="","Category missing",IF(H104="",IF(COUNTIF(Categories!$A$6:$A$65,C104)&gt;0,"Category has no type","Category not in list"),IF(D104="","Amount missing",IF(NOT(ISNUMBER(D104)),"Amount is not a number",IF(F104="","",IF(ISNA(MATCH(F104,Lists!$G$2:$G$25,0)),"Goal / fund not in list",IF(H104="Income","Fund tag ignored on income","")))))))))))</f>
        <v/>
      </c>
    </row>
    <row r="105">
      <c r="A105" s="27" t="n">
        <v>46076</v>
      </c>
      <c r="B105" s="23" t="inlineStr">
        <is>
          <t>Phone case</t>
        </is>
      </c>
      <c r="C105" s="23" t="inlineStr">
        <is>
          <t>Misc</t>
        </is>
      </c>
      <c r="D105" s="28" t="n">
        <v>24.37</v>
      </c>
      <c r="E105" s="23" t="inlineStr">
        <is>
          <t>Cash</t>
        </is>
      </c>
      <c r="F105" s="23" t="n"/>
      <c r="G105" s="23" t="n"/>
      <c r="H105" s="29">
        <f>IF(C105="","",IFERROR(INDEX(Categories!$B$6:$B$65,MATCH(C105,Categories!$A$6:$A$65,0))&amp;"",""))</f>
        <v/>
      </c>
      <c r="I105" s="25">
        <f>IF(AND(A105="",C105="",D105=""),"",IF(A105="","Date missing",IF(NOT(ISNUMBER(A105)),"Date not recognized",IF(YEAR(A105)&lt;&gt;Settings!$C$4,"Not in "&amp;Settings!$C$4,IF(C105="","Category missing",IF(H105="",IF(COUNTIF(Categories!$A$6:$A$65,C105)&gt;0,"Category has no type","Category not in list"),IF(D105="","Amount missing",IF(NOT(ISNUMBER(D105)),"Amount is not a number",IF(F105="","",IF(ISNA(MATCH(F105,Lists!$G$2:$G$25,0)),"Goal / fund not in list",IF(H105="Income","Fund tag ignored on income","")))))))))))</f>
        <v/>
      </c>
    </row>
    <row r="106">
      <c r="A106" s="27" t="n">
        <v>46077</v>
      </c>
      <c r="B106" s="23" t="inlineStr">
        <is>
          <t>Warehouse store</t>
        </is>
      </c>
      <c r="C106" s="23" t="inlineStr">
        <is>
          <t>Groceries</t>
        </is>
      </c>
      <c r="D106" s="28" t="n">
        <v>158.05</v>
      </c>
      <c r="E106" s="23" t="inlineStr">
        <is>
          <t>Debit card</t>
        </is>
      </c>
      <c r="F106" s="23" t="n"/>
      <c r="G106" s="23" t="n"/>
      <c r="H106" s="29">
        <f>IF(C106="","",IFERROR(INDEX(Categories!$B$6:$B$65,MATCH(C106,Categories!$A$6:$A$65,0))&amp;"",""))</f>
        <v/>
      </c>
      <c r="I106" s="25">
        <f>IF(AND(A106="",C106="",D106=""),"",IF(A106="","Date missing",IF(NOT(ISNUMBER(A106)),"Date not recognized",IF(YEAR(A106)&lt;&gt;Settings!$C$4,"Not in "&amp;Settings!$C$4,IF(C106="","Category missing",IF(H106="",IF(COUNTIF(Categories!$A$6:$A$65,C106)&gt;0,"Category has no type","Category not in list"),IF(D106="","Amount missing",IF(NOT(ISNUMBER(D106)),"Amount is not a number",IF(F106="","",IF(ISNA(MATCH(F106,Lists!$G$2:$G$25,0)),"Goal / fund not in list",IF(H106="Income","Fund tag ignored on income","")))))))))))</f>
        <v/>
      </c>
    </row>
    <row r="107">
      <c r="A107" s="27" t="n">
        <v>46077</v>
      </c>
      <c r="B107" s="23" t="inlineStr">
        <is>
          <t>Toiletries</t>
        </is>
      </c>
      <c r="C107" s="23" t="inlineStr">
        <is>
          <t>Personal care</t>
        </is>
      </c>
      <c r="D107" s="28" t="n">
        <v>18.98</v>
      </c>
      <c r="E107" s="23" t="inlineStr">
        <is>
          <t>Debit card</t>
        </is>
      </c>
      <c r="F107" s="23" t="n"/>
      <c r="G107" s="23" t="n"/>
      <c r="H107" s="29">
        <f>IF(C107="","",IFERROR(INDEX(Categories!$B$6:$B$65,MATCH(C107,Categories!$A$6:$A$65,0))&amp;"",""))</f>
        <v/>
      </c>
      <c r="I107" s="25">
        <f>IF(AND(A107="",C107="",D107=""),"",IF(A107="","Date missing",IF(NOT(ISNUMBER(A107)),"Date not recognized",IF(YEAR(A107)&lt;&gt;Settings!$C$4,"Not in "&amp;Settings!$C$4,IF(C107="","Category missing",IF(H107="",IF(COUNTIF(Categories!$A$6:$A$65,C107)&gt;0,"Category has no type","Category not in list"),IF(D107="","Amount missing",IF(NOT(ISNUMBER(D107)),"Amount is not a number",IF(F107="","",IF(ISNA(MATCH(F107,Lists!$G$2:$G$25,0)),"Goal / fund not in list",IF(H107="Income","Fund tag ignored on income","")))))))))))</f>
        <v/>
      </c>
    </row>
    <row r="108">
      <c r="A108" s="27" t="n">
        <v>46078</v>
      </c>
      <c r="B108" s="23" t="inlineStr">
        <is>
          <t>Student loan payment</t>
        </is>
      </c>
      <c r="C108" s="23" t="inlineStr">
        <is>
          <t>Debt payments</t>
        </is>
      </c>
      <c r="D108" s="28" t="n">
        <v>165</v>
      </c>
      <c r="E108" s="23" t="inlineStr">
        <is>
          <t>Checking</t>
        </is>
      </c>
      <c r="F108" s="23" t="n"/>
      <c r="G108" s="23" t="n"/>
      <c r="H108" s="29">
        <f>IF(C108="","",IFERROR(INDEX(Categories!$B$6:$B$65,MATCH(C108,Categories!$A$6:$A$65,0))&amp;"",""))</f>
        <v/>
      </c>
      <c r="I108" s="25">
        <f>IF(AND(A108="",C108="",D108=""),"",IF(A108="","Date missing",IF(NOT(ISNUMBER(A108)),"Date not recognized",IF(YEAR(A108)&lt;&gt;Settings!$C$4,"Not in "&amp;Settings!$C$4,IF(C108="","Category missing",IF(H108="",IF(COUNTIF(Categories!$A$6:$A$65,C108)&gt;0,"Category has no type","Category not in list"),IF(D108="","Amount missing",IF(NOT(ISNUMBER(D108)),"Amount is not a number",IF(F108="","",IF(ISNA(MATCH(F108,Lists!$G$2:$G$25,0)),"Goal / fund not in list",IF(H108="Income","Fund tag ignored on income","")))))))))))</f>
        <v/>
      </c>
    </row>
    <row r="109">
      <c r="A109" s="27" t="n">
        <v>46080</v>
      </c>
      <c r="B109" s="23" t="inlineStr">
        <is>
          <t>Brunch</t>
        </is>
      </c>
      <c r="C109" s="23" t="inlineStr">
        <is>
          <t>Dining out</t>
        </is>
      </c>
      <c r="D109" s="28" t="n">
        <v>9.550000000000001</v>
      </c>
      <c r="E109" s="23" t="inlineStr">
        <is>
          <t>Credit card</t>
        </is>
      </c>
      <c r="F109" s="23" t="n"/>
      <c r="G109" s="23" t="n"/>
      <c r="H109" s="29">
        <f>IF(C109="","",IFERROR(INDEX(Categories!$B$6:$B$65,MATCH(C109,Categories!$A$6:$A$65,0))&amp;"",""))</f>
        <v/>
      </c>
      <c r="I109" s="25">
        <f>IF(AND(A109="",C109="",D109=""),"",IF(A109="","Date missing",IF(NOT(ISNUMBER(A109)),"Date not recognized",IF(YEAR(A109)&lt;&gt;Settings!$C$4,"Not in "&amp;Settings!$C$4,IF(C109="","Category missing",IF(H109="",IF(COUNTIF(Categories!$A$6:$A$65,C109)&gt;0,"Category has no type","Category not in list"),IF(D109="","Amount missing",IF(NOT(ISNUMBER(D109)),"Amount is not a number",IF(F109="","",IF(ISNA(MATCH(F109,Lists!$G$2:$G$25,0)),"Goal / fund not in list",IF(H109="Income","Fund tag ignored on income","")))))))))))</f>
        <v/>
      </c>
    </row>
    <row r="110">
      <c r="A110" s="27" t="n">
        <v>46080</v>
      </c>
      <c r="B110" s="23" t="inlineStr">
        <is>
          <t>Takeout</t>
        </is>
      </c>
      <c r="C110" s="23" t="inlineStr">
        <is>
          <t>Dining out</t>
        </is>
      </c>
      <c r="D110" s="28" t="n">
        <v>56.67</v>
      </c>
      <c r="E110" s="23" t="inlineStr">
        <is>
          <t>Credit card</t>
        </is>
      </c>
      <c r="F110" s="23" t="n"/>
      <c r="G110" s="23" t="n"/>
      <c r="H110" s="29">
        <f>IF(C110="","",IFERROR(INDEX(Categories!$B$6:$B$65,MATCH(C110,Categories!$A$6:$A$65,0))&amp;"",""))</f>
        <v/>
      </c>
      <c r="I110" s="25">
        <f>IF(AND(A110="",C110="",D110=""),"",IF(A110="","Date missing",IF(NOT(ISNUMBER(A110)),"Date not recognized",IF(YEAR(A110)&lt;&gt;Settings!$C$4,"Not in "&amp;Settings!$C$4,IF(C110="","Category missing",IF(H110="",IF(COUNTIF(Categories!$A$6:$A$65,C110)&gt;0,"Category has no type","Category not in list"),IF(D110="","Amount missing",IF(NOT(ISNUMBER(D110)),"Amount is not a number",IF(F110="","",IF(ISNA(MATCH(F110,Lists!$G$2:$G$25,0)),"Goal / fund not in list",IF(H110="Income","Fund tag ignored on income","")))))))))))</f>
        <v/>
      </c>
    </row>
    <row r="111">
      <c r="A111" s="27" t="n">
        <v>46080</v>
      </c>
      <c r="B111" s="23" t="inlineStr">
        <is>
          <t>Gas station</t>
        </is>
      </c>
      <c r="C111" s="23" t="inlineStr">
        <is>
          <t>Transport / Gas</t>
        </is>
      </c>
      <c r="D111" s="28" t="n">
        <v>39.77</v>
      </c>
      <c r="E111" s="23" t="inlineStr">
        <is>
          <t>Credit card</t>
        </is>
      </c>
      <c r="F111" s="23" t="n"/>
      <c r="G111" s="23" t="n"/>
      <c r="H111" s="29">
        <f>IF(C111="","",IFERROR(INDEX(Categories!$B$6:$B$65,MATCH(C111,Categories!$A$6:$A$65,0))&amp;"",""))</f>
        <v/>
      </c>
      <c r="I111" s="25">
        <f>IF(AND(A111="",C111="",D111=""),"",IF(A111="","Date missing",IF(NOT(ISNUMBER(A111)),"Date not recognized",IF(YEAR(A111)&lt;&gt;Settings!$C$4,"Not in "&amp;Settings!$C$4,IF(C111="","Category missing",IF(H111="",IF(COUNTIF(Categories!$A$6:$A$65,C111)&gt;0,"Category has no type","Category not in list"),IF(D111="","Amount missing",IF(NOT(ISNUMBER(D111)),"Amount is not a number",IF(F111="","",IF(ISNA(MATCH(F111,Lists!$G$2:$G$25,0)),"Goal / fund not in list",IF(H111="Income","Fund tag ignored on income","")))))))))))</f>
        <v/>
      </c>
    </row>
    <row r="112">
      <c r="A112" s="27" t="n">
        <v>46080</v>
      </c>
      <c r="B112" s="23" t="inlineStr">
        <is>
          <t>Birthday present</t>
        </is>
      </c>
      <c r="C112" s="23" t="inlineStr">
        <is>
          <t>Gifts</t>
        </is>
      </c>
      <c r="D112" s="28" t="n">
        <v>52.46</v>
      </c>
      <c r="E112" s="23" t="inlineStr">
        <is>
          <t>Credit card</t>
        </is>
      </c>
      <c r="F112" s="23" t="n"/>
      <c r="G112" s="23" t="n"/>
      <c r="H112" s="29">
        <f>IF(C112="","",IFERROR(INDEX(Categories!$B$6:$B$65,MATCH(C112,Categories!$A$6:$A$65,0))&amp;"",""))</f>
        <v/>
      </c>
      <c r="I112" s="25">
        <f>IF(AND(A112="",C112="",D112=""),"",IF(A112="","Date missing",IF(NOT(ISNUMBER(A112)),"Date not recognized",IF(YEAR(A112)&lt;&gt;Settings!$C$4,"Not in "&amp;Settings!$C$4,IF(C112="","Category missing",IF(H112="",IF(COUNTIF(Categories!$A$6:$A$65,C112)&gt;0,"Category has no type","Category not in list"),IF(D112="","Amount missing",IF(NOT(ISNUMBER(D112)),"Amount is not a number",IF(F112="","",IF(ISNA(MATCH(F112,Lists!$G$2:$G$25,0)),"Goal / fund not in list",IF(H112="Income","Fund tag ignored on income","")))))))))))</f>
        <v/>
      </c>
    </row>
    <row r="113">
      <c r="A113" s="27" t="n">
        <v>46081</v>
      </c>
      <c r="B113" s="23" t="inlineStr">
        <is>
          <t>Sam paycheck</t>
        </is>
      </c>
      <c r="C113" s="23" t="inlineStr">
        <is>
          <t>Paycheck 2</t>
        </is>
      </c>
      <c r="D113" s="28" t="n">
        <v>2950</v>
      </c>
      <c r="E113" s="23" t="inlineStr">
        <is>
          <t>Checking</t>
        </is>
      </c>
      <c r="F113" s="23" t="n"/>
      <c r="G113" s="23" t="n"/>
      <c r="H113" s="29">
        <f>IF(C113="","",IFERROR(INDEX(Categories!$B$6:$B$65,MATCH(C113,Categories!$A$6:$A$65,0))&amp;"",""))</f>
        <v/>
      </c>
      <c r="I113" s="25">
        <f>IF(AND(A113="",C113="",D113=""),"",IF(A113="","Date missing",IF(NOT(ISNUMBER(A113)),"Date not recognized",IF(YEAR(A113)&lt;&gt;Settings!$C$4,"Not in "&amp;Settings!$C$4,IF(C113="","Category missing",IF(H113="",IF(COUNTIF(Categories!$A$6:$A$65,C113)&gt;0,"Category has no type","Category not in list"),IF(D113="","Amount missing",IF(NOT(ISNUMBER(D113)),"Amount is not a number",IF(F113="","",IF(ISNA(MATCH(F113,Lists!$G$2:$G$25,0)),"Goal / fund not in list",IF(H113="Income","Fund tag ignored on income","")))))))))))</f>
        <v/>
      </c>
    </row>
    <row r="114">
      <c r="A114" s="27" t="n">
        <v>46082</v>
      </c>
      <c r="B114" s="23" t="inlineStr">
        <is>
          <t>Alex paycheck</t>
        </is>
      </c>
      <c r="C114" s="23" t="inlineStr">
        <is>
          <t>Paycheck 1</t>
        </is>
      </c>
      <c r="D114" s="28" t="n">
        <v>2100</v>
      </c>
      <c r="E114" s="23" t="inlineStr">
        <is>
          <t>Checking</t>
        </is>
      </c>
      <c r="F114" s="23" t="n"/>
      <c r="G114" s="23" t="n"/>
      <c r="H114" s="29">
        <f>IF(C114="","",IFERROR(INDEX(Categories!$B$6:$B$65,MATCH(C114,Categories!$A$6:$A$65,0))&amp;"",""))</f>
        <v/>
      </c>
      <c r="I114" s="25">
        <f>IF(AND(A114="",C114="",D114=""),"",IF(A114="","Date missing",IF(NOT(ISNUMBER(A114)),"Date not recognized",IF(YEAR(A114)&lt;&gt;Settings!$C$4,"Not in "&amp;Settings!$C$4,IF(C114="","Category missing",IF(H114="",IF(COUNTIF(Categories!$A$6:$A$65,C114)&gt;0,"Category has no type","Category not in list"),IF(D114="","Amount missing",IF(NOT(ISNUMBER(D114)),"Amount is not a number",IF(F114="","",IF(ISNA(MATCH(F114,Lists!$G$2:$G$25,0)),"Goal / fund not in list",IF(H114="Income","Fund tag ignored on income","")))))))))))</f>
        <v/>
      </c>
    </row>
    <row r="115">
      <c r="A115" s="27" t="n">
        <v>46082</v>
      </c>
      <c r="B115" s="23" t="inlineStr">
        <is>
          <t>Rent</t>
        </is>
      </c>
      <c r="C115" s="23" t="inlineStr">
        <is>
          <t>Rent / Mortgage</t>
        </is>
      </c>
      <c r="D115" s="28" t="n">
        <v>1850</v>
      </c>
      <c r="E115" s="23" t="inlineStr">
        <is>
          <t>Checking</t>
        </is>
      </c>
      <c r="F115" s="23" t="n"/>
      <c r="G115" s="23" t="n"/>
      <c r="H115" s="29">
        <f>IF(C115="","",IFERROR(INDEX(Categories!$B$6:$B$65,MATCH(C115,Categories!$A$6:$A$65,0))&amp;"",""))</f>
        <v/>
      </c>
      <c r="I115" s="25">
        <f>IF(AND(A115="",C115="",D115=""),"",IF(A115="","Date missing",IF(NOT(ISNUMBER(A115)),"Date not recognized",IF(YEAR(A115)&lt;&gt;Settings!$C$4,"Not in "&amp;Settings!$C$4,IF(C115="","Category missing",IF(H115="",IF(COUNTIF(Categories!$A$6:$A$65,C115)&gt;0,"Category has no type","Category not in list"),IF(D115="","Amount missing",IF(NOT(ISNUMBER(D115)),"Amount is not a number",IF(F115="","",IF(ISNA(MATCH(F115,Lists!$G$2:$G$25,0)),"Goal / fund not in list",IF(H115="Income","Fund tag ignored on income","")))))))))))</f>
        <v/>
      </c>
    </row>
    <row r="116">
      <c r="A116" s="27" t="n">
        <v>46082</v>
      </c>
      <c r="B116" s="23" t="inlineStr">
        <is>
          <t>After-school program</t>
        </is>
      </c>
      <c r="C116" s="23" t="inlineStr">
        <is>
          <t>Kids</t>
        </is>
      </c>
      <c r="D116" s="28" t="n">
        <v>320</v>
      </c>
      <c r="E116" s="23" t="inlineStr">
        <is>
          <t>Checking</t>
        </is>
      </c>
      <c r="F116" s="23" t="n"/>
      <c r="G116" s="23" t="n"/>
      <c r="H116" s="29">
        <f>IF(C116="","",IFERROR(INDEX(Categories!$B$6:$B$65,MATCH(C116,Categories!$A$6:$A$65,0))&amp;"",""))</f>
        <v/>
      </c>
      <c r="I116" s="25">
        <f>IF(AND(A116="",C116="",D116=""),"",IF(A116="","Date missing",IF(NOT(ISNUMBER(A116)),"Date not recognized",IF(YEAR(A116)&lt;&gt;Settings!$C$4,"Not in "&amp;Settings!$C$4,IF(C116="","Category missing",IF(H116="",IF(COUNTIF(Categories!$A$6:$A$65,C116)&gt;0,"Category has no type","Category not in list"),IF(D116="","Amount missing",IF(NOT(ISNUMBER(D116)),"Amount is not a number",IF(F116="","",IF(ISNA(MATCH(F116,Lists!$G$2:$G$25,0)),"Goal / fund not in list",IF(H116="Income","Fund tag ignored on income","")))))))))))</f>
        <v/>
      </c>
    </row>
    <row r="117">
      <c r="A117" s="27" t="n">
        <v>46082</v>
      </c>
      <c r="B117" s="23" t="inlineStr">
        <is>
          <t>Birthday present</t>
        </is>
      </c>
      <c r="C117" s="23" t="inlineStr">
        <is>
          <t>Gifts</t>
        </is>
      </c>
      <c r="D117" s="28" t="n">
        <v>54.05</v>
      </c>
      <c r="E117" s="23" t="inlineStr">
        <is>
          <t>Credit card</t>
        </is>
      </c>
      <c r="F117" s="23" t="n"/>
      <c r="G117" s="23" t="n"/>
      <c r="H117" s="29">
        <f>IF(C117="","",IFERROR(INDEX(Categories!$B$6:$B$65,MATCH(C117,Categories!$A$6:$A$65,0))&amp;"",""))</f>
        <v/>
      </c>
      <c r="I117" s="25">
        <f>IF(AND(A117="",C117="",D117=""),"",IF(A117="","Date missing",IF(NOT(ISNUMBER(A117)),"Date not recognized",IF(YEAR(A117)&lt;&gt;Settings!$C$4,"Not in "&amp;Settings!$C$4,IF(C117="","Category missing",IF(H117="",IF(COUNTIF(Categories!$A$6:$A$65,C117)&gt;0,"Category has no type","Category not in list"),IF(D117="","Amount missing",IF(NOT(ISNUMBER(D117)),"Amount is not a number",IF(F117="","",IF(ISNA(MATCH(F117,Lists!$G$2:$G$25,0)),"Goal / fund not in list",IF(H117="Income","Fund tag ignored on income","")))))))))))</f>
        <v/>
      </c>
    </row>
    <row r="118">
      <c r="A118" s="27" t="n">
        <v>46083</v>
      </c>
      <c r="B118" s="23" t="inlineStr">
        <is>
          <t>Gym membership</t>
        </is>
      </c>
      <c r="C118" s="23" t="inlineStr">
        <is>
          <t>Subscriptions</t>
        </is>
      </c>
      <c r="D118" s="28" t="n">
        <v>45</v>
      </c>
      <c r="E118" s="23" t="inlineStr">
        <is>
          <t>Checking</t>
        </is>
      </c>
      <c r="F118" s="23" t="n"/>
      <c r="G118" s="23" t="n"/>
      <c r="H118" s="29">
        <f>IF(C118="","",IFERROR(INDEX(Categories!$B$6:$B$65,MATCH(C118,Categories!$A$6:$A$65,0))&amp;"",""))</f>
        <v/>
      </c>
      <c r="I118" s="25">
        <f>IF(AND(A118="",C118="",D118=""),"",IF(A118="","Date missing",IF(NOT(ISNUMBER(A118)),"Date not recognized",IF(YEAR(A118)&lt;&gt;Settings!$C$4,"Not in "&amp;Settings!$C$4,IF(C118="","Category missing",IF(H118="",IF(COUNTIF(Categories!$A$6:$A$65,C118)&gt;0,"Category has no type","Category not in list"),IF(D118="","Amount missing",IF(NOT(ISNUMBER(D118)),"Amount is not a number",IF(F118="","",IF(ISNA(MATCH(F118,Lists!$G$2:$G$25,0)),"Goal / fund not in list",IF(H118="Income","Fund tag ignored on income","")))))))))))</f>
        <v/>
      </c>
    </row>
    <row r="119">
      <c r="A119" s="27" t="n">
        <v>46083</v>
      </c>
      <c r="B119" s="23" t="inlineStr">
        <is>
          <t>Brunch</t>
        </is>
      </c>
      <c r="C119" s="23" t="inlineStr">
        <is>
          <t>Dining out</t>
        </is>
      </c>
      <c r="D119" s="28" t="n">
        <v>47.13</v>
      </c>
      <c r="E119" s="23" t="inlineStr">
        <is>
          <t>Credit card</t>
        </is>
      </c>
      <c r="F119" s="23" t="n"/>
      <c r="G119" s="23" t="n"/>
      <c r="H119" s="29">
        <f>IF(C119="","",IFERROR(INDEX(Categories!$B$6:$B$65,MATCH(C119,Categories!$A$6:$A$65,0))&amp;"",""))</f>
        <v/>
      </c>
      <c r="I119" s="25">
        <f>IF(AND(A119="",C119="",D119=""),"",IF(A119="","Date missing",IF(NOT(ISNUMBER(A119)),"Date not recognized",IF(YEAR(A119)&lt;&gt;Settings!$C$4,"Not in "&amp;Settings!$C$4,IF(C119="","Category missing",IF(H119="",IF(COUNTIF(Categories!$A$6:$A$65,C119)&gt;0,"Category has no type","Category not in list"),IF(D119="","Amount missing",IF(NOT(ISNUMBER(D119)),"Amount is not a number",IF(F119="","",IF(ISNA(MATCH(F119,Lists!$G$2:$G$25,0)),"Goal / fund not in list",IF(H119="Income","Fund tag ignored on income","")))))))))))</f>
        <v/>
      </c>
    </row>
    <row r="120">
      <c r="A120" s="27" t="n">
        <v>46083</v>
      </c>
      <c r="B120" s="23" t="inlineStr">
        <is>
          <t>Haircut</t>
        </is>
      </c>
      <c r="C120" s="23" t="inlineStr">
        <is>
          <t>Personal care</t>
        </is>
      </c>
      <c r="D120" s="28" t="n">
        <v>32.52</v>
      </c>
      <c r="E120" s="23" t="inlineStr">
        <is>
          <t>Debit card</t>
        </is>
      </c>
      <c r="F120" s="23" t="n"/>
      <c r="G120" s="23" t="n"/>
      <c r="H120" s="29">
        <f>IF(C120="","",IFERROR(INDEX(Categories!$B$6:$B$65,MATCH(C120,Categories!$A$6:$A$65,0))&amp;"",""))</f>
        <v/>
      </c>
      <c r="I120" s="25">
        <f>IF(AND(A120="",C120="",D120=""),"",IF(A120="","Date missing",IF(NOT(ISNUMBER(A120)),"Date not recognized",IF(YEAR(A120)&lt;&gt;Settings!$C$4,"Not in "&amp;Settings!$C$4,IF(C120="","Category missing",IF(H120="",IF(COUNTIF(Categories!$A$6:$A$65,C120)&gt;0,"Category has no type","Category not in list"),IF(D120="","Amount missing",IF(NOT(ISNUMBER(D120)),"Amount is not a number",IF(F120="","",IF(ISNA(MATCH(F120,Lists!$G$2:$G$25,0)),"Goal / fund not in list",IF(H120="Income","Fund tag ignored on income","")))))))))))</f>
        <v/>
      </c>
    </row>
    <row r="121">
      <c r="A121" s="27" t="n">
        <v>46083</v>
      </c>
      <c r="B121" s="23" t="inlineStr">
        <is>
          <t>Transfer to emergency fund</t>
        </is>
      </c>
      <c r="C121" s="23" t="inlineStr">
        <is>
          <t>Emergency fund</t>
        </is>
      </c>
      <c r="D121" s="28" t="n">
        <v>300</v>
      </c>
      <c r="E121" s="23" t="inlineStr">
        <is>
          <t>Savings</t>
        </is>
      </c>
      <c r="F121" s="23" t="inlineStr">
        <is>
          <t>Emergency fund</t>
        </is>
      </c>
      <c r="G121" s="23" t="n"/>
      <c r="H121" s="29">
        <f>IF(C121="","",IFERROR(INDEX(Categories!$B$6:$B$65,MATCH(C121,Categories!$A$6:$A$65,0))&amp;"",""))</f>
        <v/>
      </c>
      <c r="I121" s="25">
        <f>IF(AND(A121="",C121="",D121=""),"",IF(A121="","Date missing",IF(NOT(ISNUMBER(A121)),"Date not recognized",IF(YEAR(A121)&lt;&gt;Settings!$C$4,"Not in "&amp;Settings!$C$4,IF(C121="","Category missing",IF(H121="",IF(COUNTIF(Categories!$A$6:$A$65,C121)&gt;0,"Category has no type","Category not in list"),IF(D121="","Amount missing",IF(NOT(ISNUMBER(D121)),"Amount is not a number",IF(F121="","",IF(ISNA(MATCH(F121,Lists!$G$2:$G$25,0)),"Goal / fund not in list",IF(H121="Income","Fund tag ignored on income","")))))))))))</f>
        <v/>
      </c>
    </row>
    <row r="122">
      <c r="A122" s="27" t="n">
        <v>46083</v>
      </c>
      <c r="B122" s="23" t="inlineStr">
        <is>
          <t>Transfer: house fund</t>
        </is>
      </c>
      <c r="C122" s="23" t="inlineStr">
        <is>
          <t>Savings goals</t>
        </is>
      </c>
      <c r="D122" s="28" t="n">
        <v>300</v>
      </c>
      <c r="E122" s="23" t="inlineStr">
        <is>
          <t>Savings</t>
        </is>
      </c>
      <c r="F122" s="23" t="inlineStr">
        <is>
          <t>House down payment</t>
        </is>
      </c>
      <c r="G122" s="23" t="n"/>
      <c r="H122" s="29">
        <f>IF(C122="","",IFERROR(INDEX(Categories!$B$6:$B$65,MATCH(C122,Categories!$A$6:$A$65,0))&amp;"",""))</f>
        <v/>
      </c>
      <c r="I122" s="25">
        <f>IF(AND(A122="",C122="",D122=""),"",IF(A122="","Date missing",IF(NOT(ISNUMBER(A122)),"Date not recognized",IF(YEAR(A122)&lt;&gt;Settings!$C$4,"Not in "&amp;Settings!$C$4,IF(C122="","Category missing",IF(H122="",IF(COUNTIF(Categories!$A$6:$A$65,C122)&gt;0,"Category has no type","Category not in list"),IF(D122="","Amount missing",IF(NOT(ISNUMBER(D122)),"Amount is not a number",IF(F122="","",IF(ISNA(MATCH(F122,Lists!$G$2:$G$25,0)),"Goal / fund not in list",IF(H122="Income","Fund tag ignored on income","")))))))))))</f>
        <v/>
      </c>
    </row>
    <row r="123">
      <c r="A123" s="27" t="n">
        <v>46083</v>
      </c>
      <c r="B123" s="23" t="inlineStr">
        <is>
          <t>Transfer: laptop</t>
        </is>
      </c>
      <c r="C123" s="23" t="inlineStr">
        <is>
          <t>Savings goals</t>
        </is>
      </c>
      <c r="D123" s="28" t="n">
        <v>100</v>
      </c>
      <c r="E123" s="23" t="inlineStr">
        <is>
          <t>Savings</t>
        </is>
      </c>
      <c r="F123" s="23" t="inlineStr">
        <is>
          <t>New laptop</t>
        </is>
      </c>
      <c r="G123" s="23" t="n"/>
      <c r="H123" s="29">
        <f>IF(C123="","",IFERROR(INDEX(Categories!$B$6:$B$65,MATCH(C123,Categories!$A$6:$A$65,0))&amp;"",""))</f>
        <v/>
      </c>
      <c r="I123" s="25">
        <f>IF(AND(A123="",C123="",D123=""),"",IF(A123="","Date missing",IF(NOT(ISNUMBER(A123)),"Date not recognized",IF(YEAR(A123)&lt;&gt;Settings!$C$4,"Not in "&amp;Settings!$C$4,IF(C123="","Category missing",IF(H123="",IF(COUNTIF(Categories!$A$6:$A$65,C123)&gt;0,"Category has no type","Category not in list"),IF(D123="","Amount missing",IF(NOT(ISNUMBER(D123)),"Amount is not a number",IF(F123="","",IF(ISNA(MATCH(F123,Lists!$G$2:$G$25,0)),"Goal / fund not in list",IF(H123="Income","Fund tag ignored on income","")))))))))))</f>
        <v/>
      </c>
    </row>
    <row r="124">
      <c r="A124" s="27" t="n">
        <v>46083</v>
      </c>
      <c r="B124" s="23" t="inlineStr">
        <is>
          <t>Set aside: car maintenance</t>
        </is>
      </c>
      <c r="C124" s="23" t="inlineStr">
        <is>
          <t>Sinking funds</t>
        </is>
      </c>
      <c r="D124" s="28" t="n">
        <v>60</v>
      </c>
      <c r="E124" s="23" t="inlineStr">
        <is>
          <t>Savings</t>
        </is>
      </c>
      <c r="F124" s="23" t="inlineStr">
        <is>
          <t>Car maintenance</t>
        </is>
      </c>
      <c r="G124" s="23" t="n"/>
      <c r="H124" s="29">
        <f>IF(C124="","",IFERROR(INDEX(Categories!$B$6:$B$65,MATCH(C124,Categories!$A$6:$A$65,0))&amp;"",""))</f>
        <v/>
      </c>
      <c r="I124" s="25">
        <f>IF(AND(A124="",C124="",D124=""),"",IF(A124="","Date missing",IF(NOT(ISNUMBER(A124)),"Date not recognized",IF(YEAR(A124)&lt;&gt;Settings!$C$4,"Not in "&amp;Settings!$C$4,IF(C124="","Category missing",IF(H124="",IF(COUNTIF(Categories!$A$6:$A$65,C124)&gt;0,"Category has no type","Category not in list"),IF(D124="","Amount missing",IF(NOT(ISNUMBER(D124)),"Amount is not a number",IF(F124="","",IF(ISNA(MATCH(F124,Lists!$G$2:$G$25,0)),"Goal / fund not in list",IF(H124="Income","Fund tag ignored on income","")))))))))))</f>
        <v/>
      </c>
    </row>
    <row r="125">
      <c r="A125" s="27" t="n">
        <v>46083</v>
      </c>
      <c r="B125" s="23" t="inlineStr">
        <is>
          <t>Set aside: holiday gifts</t>
        </is>
      </c>
      <c r="C125" s="23" t="inlineStr">
        <is>
          <t>Sinking funds</t>
        </is>
      </c>
      <c r="D125" s="28" t="n">
        <v>50</v>
      </c>
      <c r="E125" s="23" t="inlineStr">
        <is>
          <t>Savings</t>
        </is>
      </c>
      <c r="F125" s="23" t="inlineStr">
        <is>
          <t>Holiday gifts</t>
        </is>
      </c>
      <c r="G125" s="23" t="n"/>
      <c r="H125" s="29">
        <f>IF(C125="","",IFERROR(INDEX(Categories!$B$6:$B$65,MATCH(C125,Categories!$A$6:$A$65,0))&amp;"",""))</f>
        <v/>
      </c>
      <c r="I125" s="25">
        <f>IF(AND(A125="",C125="",D125=""),"",IF(A125="","Date missing",IF(NOT(ISNUMBER(A125)),"Date not recognized",IF(YEAR(A125)&lt;&gt;Settings!$C$4,"Not in "&amp;Settings!$C$4,IF(C125="","Category missing",IF(H125="",IF(COUNTIF(Categories!$A$6:$A$65,C125)&gt;0,"Category has no type","Category not in list"),IF(D125="","Amount missing",IF(NOT(ISNUMBER(D125)),"Amount is not a number",IF(F125="","",IF(ISNA(MATCH(F125,Lists!$G$2:$G$25,0)),"Goal / fund not in list",IF(H125="Income","Fund tag ignored on income","")))))))))))</f>
        <v/>
      </c>
    </row>
    <row r="126">
      <c r="A126" s="27" t="n">
        <v>46083</v>
      </c>
      <c r="B126" s="23" t="inlineStr">
        <is>
          <t>Set aside: summer vacation</t>
        </is>
      </c>
      <c r="C126" s="23" t="inlineStr">
        <is>
          <t>Sinking funds</t>
        </is>
      </c>
      <c r="D126" s="28" t="n">
        <v>150</v>
      </c>
      <c r="E126" s="23" t="inlineStr">
        <is>
          <t>Savings</t>
        </is>
      </c>
      <c r="F126" s="23" t="inlineStr">
        <is>
          <t>Summer vacation</t>
        </is>
      </c>
      <c r="G126" s="23" t="n"/>
      <c r="H126" s="29">
        <f>IF(C126="","",IFERROR(INDEX(Categories!$B$6:$B$65,MATCH(C126,Categories!$A$6:$A$65,0))&amp;"",""))</f>
        <v/>
      </c>
      <c r="I126" s="25">
        <f>IF(AND(A126="",C126="",D126=""),"",IF(A126="","Date missing",IF(NOT(ISNUMBER(A126)),"Date not recognized",IF(YEAR(A126)&lt;&gt;Settings!$C$4,"Not in "&amp;Settings!$C$4,IF(C126="","Category missing",IF(H126="",IF(COUNTIF(Categories!$A$6:$A$65,C126)&gt;0,"Category has no type","Category not in list"),IF(D126="","Amount missing",IF(NOT(ISNUMBER(D126)),"Amount is not a number",IF(F126="","",IF(ISNA(MATCH(F126,Lists!$G$2:$G$25,0)),"Goal / fund not in list",IF(H126="Income","Fund tag ignored on income","")))))))))))</f>
        <v/>
      </c>
    </row>
    <row r="127">
      <c r="A127" s="27" t="n">
        <v>46083</v>
      </c>
      <c r="B127" s="23" t="inlineStr">
        <is>
          <t>Set aside: home repairs</t>
        </is>
      </c>
      <c r="C127" s="23" t="inlineStr">
        <is>
          <t>Sinking funds</t>
        </is>
      </c>
      <c r="D127" s="28" t="n">
        <v>40</v>
      </c>
      <c r="E127" s="23" t="inlineStr">
        <is>
          <t>Savings</t>
        </is>
      </c>
      <c r="F127" s="23" t="inlineStr">
        <is>
          <t>Home repairs</t>
        </is>
      </c>
      <c r="G127" s="23" t="n"/>
      <c r="H127" s="29">
        <f>IF(C127="","",IFERROR(INDEX(Categories!$B$6:$B$65,MATCH(C127,Categories!$A$6:$A$65,0))&amp;"",""))</f>
        <v/>
      </c>
      <c r="I127" s="25">
        <f>IF(AND(A127="",C127="",D127=""),"",IF(A127="","Date missing",IF(NOT(ISNUMBER(A127)),"Date not recognized",IF(YEAR(A127)&lt;&gt;Settings!$C$4,"Not in "&amp;Settings!$C$4,IF(C127="","Category missing",IF(H127="",IF(COUNTIF(Categories!$A$6:$A$65,C127)&gt;0,"Category has no type","Category not in list"),IF(D127="","Amount missing",IF(NOT(ISNUMBER(D127)),"Amount is not a number",IF(F127="","",IF(ISNA(MATCH(F127,Lists!$G$2:$G$25,0)),"Goal / fund not in list",IF(H127="Income","Fund tag ignored on income","")))))))))))</f>
        <v/>
      </c>
    </row>
    <row r="128">
      <c r="A128" s="27" t="n">
        <v>46084</v>
      </c>
      <c r="B128" s="23" t="inlineStr">
        <is>
          <t>Video streaming</t>
        </is>
      </c>
      <c r="C128" s="23" t="inlineStr">
        <is>
          <t>Subscriptions</t>
        </is>
      </c>
      <c r="D128" s="28" t="n">
        <v>15.49</v>
      </c>
      <c r="E128" s="23" t="inlineStr">
        <is>
          <t>Credit card</t>
        </is>
      </c>
      <c r="F128" s="23" t="n"/>
      <c r="G128" s="23" t="n"/>
      <c r="H128" s="29">
        <f>IF(C128="","",IFERROR(INDEX(Categories!$B$6:$B$65,MATCH(C128,Categories!$A$6:$A$65,0))&amp;"",""))</f>
        <v/>
      </c>
      <c r="I128" s="25">
        <f>IF(AND(A128="",C128="",D128=""),"",IF(A128="","Date missing",IF(NOT(ISNUMBER(A128)),"Date not recognized",IF(YEAR(A128)&lt;&gt;Settings!$C$4,"Not in "&amp;Settings!$C$4,IF(C128="","Category missing",IF(H128="",IF(COUNTIF(Categories!$A$6:$A$65,C128)&gt;0,"Category has no type","Category not in list"),IF(D128="","Amount missing",IF(NOT(ISNUMBER(D128)),"Amount is not a number",IF(F128="","",IF(ISNA(MATCH(F128,Lists!$G$2:$G$25,0)),"Goal / fund not in list",IF(H128="Income","Fund tag ignored on income","")))))))))))</f>
        <v/>
      </c>
    </row>
    <row r="129">
      <c r="A129" s="27" t="n">
        <v>46084</v>
      </c>
      <c r="B129" s="23" t="inlineStr">
        <is>
          <t>Supermarket</t>
        </is>
      </c>
      <c r="C129" s="23" t="inlineStr">
        <is>
          <t>Groceries</t>
        </is>
      </c>
      <c r="D129" s="28" t="n">
        <v>183.97</v>
      </c>
      <c r="E129" s="23" t="inlineStr">
        <is>
          <t>Debit card</t>
        </is>
      </c>
      <c r="F129" s="23" t="n"/>
      <c r="G129" s="23" t="n"/>
      <c r="H129" s="29">
        <f>IF(C129="","",IFERROR(INDEX(Categories!$B$6:$B$65,MATCH(C129,Categories!$A$6:$A$65,0))&amp;"",""))</f>
        <v/>
      </c>
      <c r="I129" s="25">
        <f>IF(AND(A129="",C129="",D129=""),"",IF(A129="","Date missing",IF(NOT(ISNUMBER(A129)),"Date not recognized",IF(YEAR(A129)&lt;&gt;Settings!$C$4,"Not in "&amp;Settings!$C$4,IF(C129="","Category missing",IF(H129="",IF(COUNTIF(Categories!$A$6:$A$65,C129)&gt;0,"Category has no type","Category not in list"),IF(D129="","Amount missing",IF(NOT(ISNUMBER(D129)),"Amount is not a number",IF(F129="","",IF(ISNA(MATCH(F129,Lists!$G$2:$G$25,0)),"Goal / fund not in list",IF(H129="Income","Fund tag ignored on income","")))))))))))</f>
        <v/>
      </c>
    </row>
    <row r="130">
      <c r="A130" s="27" t="n">
        <v>46084</v>
      </c>
      <c r="B130" s="23" t="inlineStr">
        <is>
          <t>Retirement contribution</t>
        </is>
      </c>
      <c r="C130" s="23" t="inlineStr">
        <is>
          <t>Retirement &amp; investing</t>
        </is>
      </c>
      <c r="D130" s="28" t="n">
        <v>600</v>
      </c>
      <c r="E130" s="23" t="inlineStr">
        <is>
          <t>Checking</t>
        </is>
      </c>
      <c r="F130" s="23" t="n"/>
      <c r="G130" s="23" t="n"/>
      <c r="H130" s="29">
        <f>IF(C130="","",IFERROR(INDEX(Categories!$B$6:$B$65,MATCH(C130,Categories!$A$6:$A$65,0))&amp;"",""))</f>
        <v/>
      </c>
      <c r="I130" s="25">
        <f>IF(AND(A130="",C130="",D130=""),"",IF(A130="","Date missing",IF(NOT(ISNUMBER(A130)),"Date not recognized",IF(YEAR(A130)&lt;&gt;Settings!$C$4,"Not in "&amp;Settings!$C$4,IF(C130="","Category missing",IF(H130="",IF(COUNTIF(Categories!$A$6:$A$65,C130)&gt;0,"Category has no type","Category not in list"),IF(D130="","Amount missing",IF(NOT(ISNUMBER(D130)),"Amount is not a number",IF(F130="","",IF(ISNA(MATCH(F130,Lists!$G$2:$G$25,0)),"Goal / fund not in list",IF(H130="Income","Fund tag ignored on income","")))))))))))</f>
        <v/>
      </c>
    </row>
    <row r="131">
      <c r="A131" s="27" t="n">
        <v>46085</v>
      </c>
      <c r="B131" s="23" t="inlineStr">
        <is>
          <t>Gas station</t>
        </is>
      </c>
      <c r="C131" s="23" t="inlineStr">
        <is>
          <t>Transport / Gas</t>
        </is>
      </c>
      <c r="D131" s="28" t="n">
        <v>52.49</v>
      </c>
      <c r="E131" s="23" t="inlineStr">
        <is>
          <t>Credit card</t>
        </is>
      </c>
      <c r="F131" s="23" t="n"/>
      <c r="G131" s="23" t="n"/>
      <c r="H131" s="29">
        <f>IF(C131="","",IFERROR(INDEX(Categories!$B$6:$B$65,MATCH(C131,Categories!$A$6:$A$65,0))&amp;"",""))</f>
        <v/>
      </c>
      <c r="I131" s="25">
        <f>IF(AND(A131="",C131="",D131=""),"",IF(A131="","Date missing",IF(NOT(ISNUMBER(A131)),"Date not recognized",IF(YEAR(A131)&lt;&gt;Settings!$C$4,"Not in "&amp;Settings!$C$4,IF(C131="","Category missing",IF(H131="",IF(COUNTIF(Categories!$A$6:$A$65,C131)&gt;0,"Category has no type","Category not in list"),IF(D131="","Amount missing",IF(NOT(ISNUMBER(D131)),"Amount is not a number",IF(F131="","",IF(ISNA(MATCH(F131,Lists!$G$2:$G$25,0)),"Goal / fund not in list",IF(H131="Income","Fund tag ignored on income","")))))))))))</f>
        <v/>
      </c>
    </row>
    <row r="132">
      <c r="A132" s="27" t="n">
        <v>46086</v>
      </c>
      <c r="B132" s="23" t="inlineStr">
        <is>
          <t>Car insurance</t>
        </is>
      </c>
      <c r="C132" s="23" t="inlineStr">
        <is>
          <t>Insurance</t>
        </is>
      </c>
      <c r="D132" s="28" t="n">
        <v>128</v>
      </c>
      <c r="E132" s="23" t="inlineStr">
        <is>
          <t>Checking</t>
        </is>
      </c>
      <c r="F132" s="23" t="n"/>
      <c r="G132" s="23" t="n"/>
      <c r="H132" s="29">
        <f>IF(C132="","",IFERROR(INDEX(Categories!$B$6:$B$65,MATCH(C132,Categories!$A$6:$A$65,0))&amp;"",""))</f>
        <v/>
      </c>
      <c r="I132" s="25">
        <f>IF(AND(A132="",C132="",D132=""),"",IF(A132="","Date missing",IF(NOT(ISNUMBER(A132)),"Date not recognized",IF(YEAR(A132)&lt;&gt;Settings!$C$4,"Not in "&amp;Settings!$C$4,IF(C132="","Category missing",IF(H132="",IF(COUNTIF(Categories!$A$6:$A$65,C132)&gt;0,"Category has no type","Category not in list"),IF(D132="","Amount missing",IF(NOT(ISNUMBER(D132)),"Amount is not a number",IF(F132="","",IF(ISNA(MATCH(F132,Lists!$G$2:$G$25,0)),"Goal / fund not in list",IF(H132="Income","Fund tag ignored on income","")))))))))))</f>
        <v/>
      </c>
    </row>
    <row r="133">
      <c r="A133" s="27" t="n">
        <v>46086</v>
      </c>
      <c r="B133" s="23" t="inlineStr">
        <is>
          <t>Renters insurance</t>
        </is>
      </c>
      <c r="C133" s="23" t="inlineStr">
        <is>
          <t>Insurance</t>
        </is>
      </c>
      <c r="D133" s="28" t="n">
        <v>18</v>
      </c>
      <c r="E133" s="23" t="inlineStr">
        <is>
          <t>Checking</t>
        </is>
      </c>
      <c r="F133" s="23" t="n"/>
      <c r="G133" s="23" t="n"/>
      <c r="H133" s="29">
        <f>IF(C133="","",IFERROR(INDEX(Categories!$B$6:$B$65,MATCH(C133,Categories!$A$6:$A$65,0))&amp;"",""))</f>
        <v/>
      </c>
      <c r="I133" s="25">
        <f>IF(AND(A133="",C133="",D133=""),"",IF(A133="","Date missing",IF(NOT(ISNUMBER(A133)),"Date not recognized",IF(YEAR(A133)&lt;&gt;Settings!$C$4,"Not in "&amp;Settings!$C$4,IF(C133="","Category missing",IF(H133="",IF(COUNTIF(Categories!$A$6:$A$65,C133)&gt;0,"Category has no type","Category not in list"),IF(D133="","Amount missing",IF(NOT(ISNUMBER(D133)),"Amount is not a number",IF(F133="","",IF(ISNA(MATCH(F133,Lists!$G$2:$G$25,0)),"Goal / fund not in list",IF(H133="Income","Fund tag ignored on income","")))))))))))</f>
        <v/>
      </c>
    </row>
    <row r="134">
      <c r="A134" s="27" t="n">
        <v>46087</v>
      </c>
      <c r="B134" s="23" t="inlineStr">
        <is>
          <t>Bank fee</t>
        </is>
      </c>
      <c r="C134" s="23" t="inlineStr">
        <is>
          <t>Misc</t>
        </is>
      </c>
      <c r="D134" s="28" t="n">
        <v>13.24</v>
      </c>
      <c r="E134" s="23" t="inlineStr">
        <is>
          <t>Cash</t>
        </is>
      </c>
      <c r="F134" s="23" t="n"/>
      <c r="G134" s="23" t="n"/>
      <c r="H134" s="29">
        <f>IF(C134="","",IFERROR(INDEX(Categories!$B$6:$B$65,MATCH(C134,Categories!$A$6:$A$65,0))&amp;"",""))</f>
        <v/>
      </c>
      <c r="I134" s="25">
        <f>IF(AND(A134="",C134="",D134=""),"",IF(A134="","Date missing",IF(NOT(ISNUMBER(A134)),"Date not recognized",IF(YEAR(A134)&lt;&gt;Settings!$C$4,"Not in "&amp;Settings!$C$4,IF(C134="","Category missing",IF(H134="",IF(COUNTIF(Categories!$A$6:$A$65,C134)&gt;0,"Category has no type","Category not in list"),IF(D134="","Amount missing",IF(NOT(ISNUMBER(D134)),"Amount is not a number",IF(F134="","",IF(ISNA(MATCH(F134,Lists!$G$2:$G$25,0)),"Goal / fund not in list",IF(H134="Income","Fund tag ignored on income","")))))))))))</f>
        <v/>
      </c>
    </row>
    <row r="135">
      <c r="A135" s="27" t="n">
        <v>46088</v>
      </c>
      <c r="B135" s="23" t="inlineStr">
        <is>
          <t>Music streaming</t>
        </is>
      </c>
      <c r="C135" s="23" t="inlineStr">
        <is>
          <t>Subscriptions</t>
        </is>
      </c>
      <c r="D135" s="28" t="n">
        <v>10.99</v>
      </c>
      <c r="E135" s="23" t="inlineStr">
        <is>
          <t>Credit card</t>
        </is>
      </c>
      <c r="F135" s="23" t="n"/>
      <c r="G135" s="23" t="n"/>
      <c r="H135" s="29">
        <f>IF(C135="","",IFERROR(INDEX(Categories!$B$6:$B$65,MATCH(C135,Categories!$A$6:$A$65,0))&amp;"",""))</f>
        <v/>
      </c>
      <c r="I135" s="25">
        <f>IF(AND(A135="",C135="",D135=""),"",IF(A135="","Date missing",IF(NOT(ISNUMBER(A135)),"Date not recognized",IF(YEAR(A135)&lt;&gt;Settings!$C$4,"Not in "&amp;Settings!$C$4,IF(C135="","Category missing",IF(H135="",IF(COUNTIF(Categories!$A$6:$A$65,C135)&gt;0,"Category has no type","Category not in list"),IF(D135="","Amount missing",IF(NOT(ISNUMBER(D135)),"Amount is not a number",IF(F135="","",IF(ISNA(MATCH(F135,Lists!$G$2:$G$25,0)),"Goal / fund not in list",IF(H135="Income","Fund tag ignored on income","")))))))))))</f>
        <v/>
      </c>
    </row>
    <row r="136">
      <c r="A136" s="27" t="n">
        <v>46090</v>
      </c>
      <c r="B136" s="23" t="inlineStr">
        <is>
          <t>Cloud storage (yearly)</t>
        </is>
      </c>
      <c r="C136" s="23" t="inlineStr">
        <is>
          <t>Subscriptions</t>
        </is>
      </c>
      <c r="D136" s="28" t="n">
        <v>29.99</v>
      </c>
      <c r="E136" s="23" t="inlineStr">
        <is>
          <t>Credit card</t>
        </is>
      </c>
      <c r="F136" s="23" t="n"/>
      <c r="G136" s="23" t="n"/>
      <c r="H136" s="29">
        <f>IF(C136="","",IFERROR(INDEX(Categories!$B$6:$B$65,MATCH(C136,Categories!$A$6:$A$65,0))&amp;"",""))</f>
        <v/>
      </c>
      <c r="I136" s="25">
        <f>IF(AND(A136="",C136="",D136=""),"",IF(A136="","Date missing",IF(NOT(ISNUMBER(A136)),"Date not recognized",IF(YEAR(A136)&lt;&gt;Settings!$C$4,"Not in "&amp;Settings!$C$4,IF(C136="","Category missing",IF(H136="",IF(COUNTIF(Categories!$A$6:$A$65,C136)&gt;0,"Category has no type","Category not in list"),IF(D136="","Amount missing",IF(NOT(ISNUMBER(D136)),"Amount is not a number",IF(F136="","",IF(ISNA(MATCH(F136,Lists!$G$2:$G$25,0)),"Goal / fund not in list",IF(H136="Income","Fund tag ignored on income","")))))))))))</f>
        <v/>
      </c>
    </row>
    <row r="137">
      <c r="A137" s="27" t="n">
        <v>46090</v>
      </c>
      <c r="B137" s="23" t="inlineStr">
        <is>
          <t>Pet food</t>
        </is>
      </c>
      <c r="C137" s="23" t="inlineStr">
        <is>
          <t>Pets</t>
        </is>
      </c>
      <c r="D137" s="28" t="n">
        <v>46.25</v>
      </c>
      <c r="E137" s="23" t="inlineStr">
        <is>
          <t>Debit card</t>
        </is>
      </c>
      <c r="F137" s="23" t="n"/>
      <c r="G137" s="23" t="n"/>
      <c r="H137" s="29">
        <f>IF(C137="","",IFERROR(INDEX(Categories!$B$6:$B$65,MATCH(C137,Categories!$A$6:$A$65,0))&amp;"",""))</f>
        <v/>
      </c>
      <c r="I137" s="25">
        <f>IF(AND(A137="",C137="",D137=""),"",IF(A137="","Date missing",IF(NOT(ISNUMBER(A137)),"Date not recognized",IF(YEAR(A137)&lt;&gt;Settings!$C$4,"Not in "&amp;Settings!$C$4,IF(C137="","Category missing",IF(H137="",IF(COUNTIF(Categories!$A$6:$A$65,C137)&gt;0,"Category has no type","Category not in list"),IF(D137="","Amount missing",IF(NOT(ISNUMBER(D137)),"Amount is not a number",IF(F137="","",IF(ISNA(MATCH(F137,Lists!$G$2:$G$25,0)),"Goal / fund not in list",IF(H137="Income","Fund tag ignored on income","")))))))))))</f>
        <v/>
      </c>
    </row>
    <row r="138">
      <c r="A138" s="27" t="n">
        <v>46091</v>
      </c>
      <c r="B138" s="23" t="inlineStr">
        <is>
          <t>Car loan payment</t>
        </is>
      </c>
      <c r="C138" s="23" t="inlineStr">
        <is>
          <t>Car payment</t>
        </is>
      </c>
      <c r="D138" s="28" t="n">
        <v>389</v>
      </c>
      <c r="E138" s="23" t="inlineStr">
        <is>
          <t>Checking</t>
        </is>
      </c>
      <c r="F138" s="23" t="n"/>
      <c r="G138" s="23" t="n"/>
      <c r="H138" s="29">
        <f>IF(C138="","",IFERROR(INDEX(Categories!$B$6:$B$65,MATCH(C138,Categories!$A$6:$A$65,0))&amp;"",""))</f>
        <v/>
      </c>
      <c r="I138" s="25">
        <f>IF(AND(A138="",C138="",D138=""),"",IF(A138="","Date missing",IF(NOT(ISNUMBER(A138)),"Date not recognized",IF(YEAR(A138)&lt;&gt;Settings!$C$4,"Not in "&amp;Settings!$C$4,IF(C138="","Category missing",IF(H138="",IF(COUNTIF(Categories!$A$6:$A$65,C138)&gt;0,"Category has no type","Category not in list"),IF(D138="","Amount missing",IF(NOT(ISNUMBER(D138)),"Amount is not a number",IF(F138="","",IF(ISNA(MATCH(F138,Lists!$G$2:$G$25,0)),"Goal / fund not in list",IF(H138="Income","Fund tag ignored on income","")))))))))))</f>
        <v/>
      </c>
    </row>
    <row r="139">
      <c r="A139" s="27" t="n">
        <v>46091</v>
      </c>
      <c r="B139" s="23" t="inlineStr">
        <is>
          <t>Farmers market</t>
        </is>
      </c>
      <c r="C139" s="23" t="inlineStr">
        <is>
          <t>Groceries</t>
        </is>
      </c>
      <c r="D139" s="28" t="n">
        <v>163.57</v>
      </c>
      <c r="E139" s="23" t="inlineStr">
        <is>
          <t>Debit card</t>
        </is>
      </c>
      <c r="F139" s="23" t="n"/>
      <c r="G139" s="23" t="n"/>
      <c r="H139" s="29">
        <f>IF(C139="","",IFERROR(INDEX(Categories!$B$6:$B$65,MATCH(C139,Categories!$A$6:$A$65,0))&amp;"",""))</f>
        <v/>
      </c>
      <c r="I139" s="25">
        <f>IF(AND(A139="",C139="",D139=""),"",IF(A139="","Date missing",IF(NOT(ISNUMBER(A139)),"Date not recognized",IF(YEAR(A139)&lt;&gt;Settings!$C$4,"Not in "&amp;Settings!$C$4,IF(C139="","Category missing",IF(H139="",IF(COUNTIF(Categories!$A$6:$A$65,C139)&gt;0,"Category has no type","Category not in list"),IF(D139="","Amount missing",IF(NOT(ISNUMBER(D139)),"Amount is not a number",IF(F139="","",IF(ISNA(MATCH(F139,Lists!$G$2:$G$25,0)),"Goal / fund not in list",IF(H139="Income","Fund tag ignored on income","")))))))))))</f>
        <v/>
      </c>
    </row>
    <row r="140">
      <c r="A140" s="27" t="n">
        <v>46091</v>
      </c>
      <c r="B140" s="23" t="inlineStr">
        <is>
          <t>Books and toys</t>
        </is>
      </c>
      <c r="C140" s="23" t="inlineStr">
        <is>
          <t>Kids</t>
        </is>
      </c>
      <c r="D140" s="28" t="n">
        <v>32.22</v>
      </c>
      <c r="E140" s="23" t="inlineStr">
        <is>
          <t>Debit card</t>
        </is>
      </c>
      <c r="F140" s="23" t="n"/>
      <c r="G140" s="23" t="n"/>
      <c r="H140" s="29">
        <f>IF(C140="","",IFERROR(INDEX(Categories!$B$6:$B$65,MATCH(C140,Categories!$A$6:$A$65,0))&amp;"",""))</f>
        <v/>
      </c>
      <c r="I140" s="25">
        <f>IF(AND(A140="",C140="",D140=""),"",IF(A140="","Date missing",IF(NOT(ISNUMBER(A140)),"Date not recognized",IF(YEAR(A140)&lt;&gt;Settings!$C$4,"Not in "&amp;Settings!$C$4,IF(C140="","Category missing",IF(H140="",IF(COUNTIF(Categories!$A$6:$A$65,C140)&gt;0,"Category has no type","Category not in list"),IF(D140="","Amount missing",IF(NOT(ISNUMBER(D140)),"Amount is not a number",IF(F140="","",IF(ISNA(MATCH(F140,Lists!$G$2:$G$25,0)),"Goal / fund not in list",IF(H140="Income","Fund tag ignored on income","")))))))))))</f>
        <v/>
      </c>
    </row>
    <row r="141">
      <c r="A141" s="27" t="n">
        <v>46093</v>
      </c>
      <c r="B141" s="23" t="inlineStr">
        <is>
          <t>Internet</t>
        </is>
      </c>
      <c r="C141" s="23" t="inlineStr">
        <is>
          <t>Internet &amp; Phone</t>
        </is>
      </c>
      <c r="D141" s="28" t="n">
        <v>65</v>
      </c>
      <c r="E141" s="23" t="inlineStr">
        <is>
          <t>Checking</t>
        </is>
      </c>
      <c r="F141" s="23" t="n"/>
      <c r="G141" s="23" t="n"/>
      <c r="H141" s="29">
        <f>IF(C141="","",IFERROR(INDEX(Categories!$B$6:$B$65,MATCH(C141,Categories!$A$6:$A$65,0))&amp;"",""))</f>
        <v/>
      </c>
      <c r="I141" s="25">
        <f>IF(AND(A141="",C141="",D141=""),"",IF(A141="","Date missing",IF(NOT(ISNUMBER(A141)),"Date not recognized",IF(YEAR(A141)&lt;&gt;Settings!$C$4,"Not in "&amp;Settings!$C$4,IF(C141="","Category missing",IF(H141="",IF(COUNTIF(Categories!$A$6:$A$65,C141)&gt;0,"Category has no type","Category not in list"),IF(D141="","Amount missing",IF(NOT(ISNUMBER(D141)),"Amount is not a number",IF(F141="","",IF(ISNA(MATCH(F141,Lists!$G$2:$G$25,0)),"Goal / fund not in list",IF(H141="Income","Fund tag ignored on income","")))))))))))</f>
        <v/>
      </c>
    </row>
    <row r="142">
      <c r="A142" s="27" t="n">
        <v>46093</v>
      </c>
      <c r="B142" s="23" t="inlineStr">
        <is>
          <t>Gas station</t>
        </is>
      </c>
      <c r="C142" s="23" t="inlineStr">
        <is>
          <t>Transport / Gas</t>
        </is>
      </c>
      <c r="D142" s="28" t="n">
        <v>40.77</v>
      </c>
      <c r="E142" s="23" t="inlineStr">
        <is>
          <t>Credit card</t>
        </is>
      </c>
      <c r="F142" s="23" t="n"/>
      <c r="G142" s="23" t="n"/>
      <c r="H142" s="29">
        <f>IF(C142="","",IFERROR(INDEX(Categories!$B$6:$B$65,MATCH(C142,Categories!$A$6:$A$65,0))&amp;"",""))</f>
        <v/>
      </c>
      <c r="I142" s="25">
        <f>IF(AND(A142="",C142="",D142=""),"",IF(A142="","Date missing",IF(NOT(ISNUMBER(A142)),"Date not recognized",IF(YEAR(A142)&lt;&gt;Settings!$C$4,"Not in "&amp;Settings!$C$4,IF(C142="","Category missing",IF(H142="",IF(COUNTIF(Categories!$A$6:$A$65,C142)&gt;0,"Category has no type","Category not in list"),IF(D142="","Amount missing",IF(NOT(ISNUMBER(D142)),"Amount is not a number",IF(F142="","",IF(ISNA(MATCH(F142,Lists!$G$2:$G$25,0)),"Goal / fund not in list",IF(H142="Income","Fund tag ignored on income","")))))))))))</f>
        <v/>
      </c>
    </row>
    <row r="143">
      <c r="A143" s="27" t="n">
        <v>46095</v>
      </c>
      <c r="B143" s="23" t="inlineStr">
        <is>
          <t>Phone plan</t>
        </is>
      </c>
      <c r="C143" s="23" t="inlineStr">
        <is>
          <t>Internet &amp; Phone</t>
        </is>
      </c>
      <c r="D143" s="28" t="n">
        <v>70</v>
      </c>
      <c r="E143" s="23" t="inlineStr">
        <is>
          <t>Credit card</t>
        </is>
      </c>
      <c r="F143" s="23" t="n"/>
      <c r="G143" s="23" t="n"/>
      <c r="H143" s="29">
        <f>IF(C143="","",IFERROR(INDEX(Categories!$B$6:$B$65,MATCH(C143,Categories!$A$6:$A$65,0))&amp;"",""))</f>
        <v/>
      </c>
      <c r="I143" s="25">
        <f>IF(AND(A143="",C143="",D143=""),"",IF(A143="","Date missing",IF(NOT(ISNUMBER(A143)),"Date not recognized",IF(YEAR(A143)&lt;&gt;Settings!$C$4,"Not in "&amp;Settings!$C$4,IF(C143="","Category missing",IF(H143="",IF(COUNTIF(Categories!$A$6:$A$65,C143)&gt;0,"Category has no type","Category not in list"),IF(D143="","Amount missing",IF(NOT(ISNUMBER(D143)),"Amount is not a number",IF(F143="","",IF(ISNA(MATCH(F143,Lists!$G$2:$G$25,0)),"Goal / fund not in list",IF(H143="Income","Fund tag ignored on income","")))))))))))</f>
        <v/>
      </c>
    </row>
    <row r="144">
      <c r="A144" s="27" t="n">
        <v>46095</v>
      </c>
      <c r="B144" s="23" t="inlineStr">
        <is>
          <t>Vet visit</t>
        </is>
      </c>
      <c r="C144" s="23" t="inlineStr">
        <is>
          <t>Pets</t>
        </is>
      </c>
      <c r="D144" s="28" t="n">
        <v>160</v>
      </c>
      <c r="E144" s="23" t="inlineStr">
        <is>
          <t>Debit card</t>
        </is>
      </c>
      <c r="F144" s="23" t="n"/>
      <c r="G144" s="23" t="n"/>
      <c r="H144" s="29">
        <f>IF(C144="","",IFERROR(INDEX(Categories!$B$6:$B$65,MATCH(C144,Categories!$A$6:$A$65,0))&amp;"",""))</f>
        <v/>
      </c>
      <c r="I144" s="25">
        <f>IF(AND(A144="",C144="",D144=""),"",IF(A144="","Date missing",IF(NOT(ISNUMBER(A144)),"Date not recognized",IF(YEAR(A144)&lt;&gt;Settings!$C$4,"Not in "&amp;Settings!$C$4,IF(C144="","Category missing",IF(H144="",IF(COUNTIF(Categories!$A$6:$A$65,C144)&gt;0,"Category has no type","Category not in list"),IF(D144="","Amount missing",IF(NOT(ISNUMBER(D144)),"Amount is not a number",IF(F144="","",IF(ISNA(MATCH(F144,Lists!$G$2:$G$25,0)),"Goal / fund not in list",IF(H144="Income","Fund tag ignored on income","")))))))))))</f>
        <v/>
      </c>
    </row>
    <row r="145">
      <c r="A145" s="27" t="n">
        <v>46096</v>
      </c>
      <c r="B145" s="23" t="inlineStr">
        <is>
          <t>Alex paycheck</t>
        </is>
      </c>
      <c r="C145" s="23" t="inlineStr">
        <is>
          <t>Paycheck 1</t>
        </is>
      </c>
      <c r="D145" s="28" t="n">
        <v>2100</v>
      </c>
      <c r="E145" s="23" t="inlineStr">
        <is>
          <t>Checking</t>
        </is>
      </c>
      <c r="F145" s="23" t="n"/>
      <c r="G145" s="23" t="n"/>
      <c r="H145" s="29">
        <f>IF(C145="","",IFERROR(INDEX(Categories!$B$6:$B$65,MATCH(C145,Categories!$A$6:$A$65,0))&amp;"",""))</f>
        <v/>
      </c>
      <c r="I145" s="25">
        <f>IF(AND(A145="",C145="",D145=""),"",IF(A145="","Date missing",IF(NOT(ISNUMBER(A145)),"Date not recognized",IF(YEAR(A145)&lt;&gt;Settings!$C$4,"Not in "&amp;Settings!$C$4,IF(C145="","Category missing",IF(H145="",IF(COUNTIF(Categories!$A$6:$A$65,C145)&gt;0,"Category has no type","Category not in list"),IF(D145="","Amount missing",IF(NOT(ISNUMBER(D145)),"Amount is not a number",IF(F145="","",IF(ISNA(MATCH(F145,Lists!$G$2:$G$25,0)),"Goal / fund not in list",IF(H145="Income","Fund tag ignored on income","")))))))))))</f>
        <v/>
      </c>
    </row>
    <row r="146">
      <c r="A146" s="27" t="n">
        <v>46096</v>
      </c>
      <c r="B146" s="23" t="inlineStr">
        <is>
          <t>Brunch</t>
        </is>
      </c>
      <c r="C146" s="23" t="inlineStr">
        <is>
          <t>Dining out</t>
        </is>
      </c>
      <c r="D146" s="28" t="n">
        <v>62.92</v>
      </c>
      <c r="E146" s="23" t="inlineStr">
        <is>
          <t>Credit card</t>
        </is>
      </c>
      <c r="F146" s="23" t="n"/>
      <c r="G146" s="23" t="n"/>
      <c r="H146" s="29">
        <f>IF(C146="","",IFERROR(INDEX(Categories!$B$6:$B$65,MATCH(C146,Categories!$A$6:$A$65,0))&amp;"",""))</f>
        <v/>
      </c>
      <c r="I146" s="25">
        <f>IF(AND(A146="",C146="",D146=""),"",IF(A146="","Date missing",IF(NOT(ISNUMBER(A146)),"Date not recognized",IF(YEAR(A146)&lt;&gt;Settings!$C$4,"Not in "&amp;Settings!$C$4,IF(C146="","Category missing",IF(H146="",IF(COUNTIF(Categories!$A$6:$A$65,C146)&gt;0,"Category has no type","Category not in list"),IF(D146="","Amount missing",IF(NOT(ISNUMBER(D146)),"Amount is not a number",IF(F146="","",IF(ISNA(MATCH(F146,Lists!$G$2:$G$25,0)),"Goal / fund not in list",IF(H146="Income","Fund tag ignored on income","")))))))))))</f>
        <v/>
      </c>
    </row>
    <row r="147">
      <c r="A147" s="27" t="n">
        <v>46096</v>
      </c>
      <c r="B147" s="23" t="inlineStr">
        <is>
          <t>Dentist copay</t>
        </is>
      </c>
      <c r="C147" s="23" t="inlineStr">
        <is>
          <t>Health</t>
        </is>
      </c>
      <c r="D147" s="28" t="n">
        <v>39.5</v>
      </c>
      <c r="E147" s="23" t="inlineStr">
        <is>
          <t>Debit card</t>
        </is>
      </c>
      <c r="F147" s="23" t="n"/>
      <c r="G147" s="23" t="n"/>
      <c r="H147" s="29">
        <f>IF(C147="","",IFERROR(INDEX(Categories!$B$6:$B$65,MATCH(C147,Categories!$A$6:$A$65,0))&amp;"",""))</f>
        <v/>
      </c>
      <c r="I147" s="25">
        <f>IF(AND(A147="",C147="",D147=""),"",IF(A147="","Date missing",IF(NOT(ISNUMBER(A147)),"Date not recognized",IF(YEAR(A147)&lt;&gt;Settings!$C$4,"Not in "&amp;Settings!$C$4,IF(C147="","Category missing",IF(H147="",IF(COUNTIF(Categories!$A$6:$A$65,C147)&gt;0,"Category has no type","Category not in list"),IF(D147="","Amount missing",IF(NOT(ISNUMBER(D147)),"Amount is not a number",IF(F147="","",IF(ISNA(MATCH(F147,Lists!$G$2:$G$25,0)),"Goal / fund not in list",IF(H147="Income","Fund tag ignored on income","")))))))))))</f>
        <v/>
      </c>
    </row>
    <row r="148">
      <c r="A148" s="27" t="n">
        <v>46096</v>
      </c>
      <c r="B148" s="23" t="inlineStr">
        <is>
          <t>Concert</t>
        </is>
      </c>
      <c r="C148" s="23" t="inlineStr">
        <is>
          <t>Entertainment</t>
        </is>
      </c>
      <c r="D148" s="28" t="n">
        <v>34.26</v>
      </c>
      <c r="E148" s="23" t="inlineStr">
        <is>
          <t>Credit card</t>
        </is>
      </c>
      <c r="F148" s="23" t="n"/>
      <c r="G148" s="23" t="n"/>
      <c r="H148" s="29">
        <f>IF(C148="","",IFERROR(INDEX(Categories!$B$6:$B$65,MATCH(C148,Categories!$A$6:$A$65,0))&amp;"",""))</f>
        <v/>
      </c>
      <c r="I148" s="25">
        <f>IF(AND(A148="",C148="",D148=""),"",IF(A148="","Date missing",IF(NOT(ISNUMBER(A148)),"Date not recognized",IF(YEAR(A148)&lt;&gt;Settings!$C$4,"Not in "&amp;Settings!$C$4,IF(C148="","Category missing",IF(H148="",IF(COUNTIF(Categories!$A$6:$A$65,C148)&gt;0,"Category has no type","Category not in list"),IF(D148="","Amount missing",IF(NOT(ISNUMBER(D148)),"Amount is not a number",IF(F148="","",IF(ISNA(MATCH(F148,Lists!$G$2:$G$25,0)),"Goal / fund not in list",IF(H148="Income","Fund tag ignored on income","")))))))))))</f>
        <v/>
      </c>
    </row>
    <row r="149">
      <c r="A149" s="27" t="n">
        <v>46097</v>
      </c>
      <c r="B149" s="23" t="inlineStr">
        <is>
          <t>Brunch</t>
        </is>
      </c>
      <c r="C149" s="23" t="inlineStr">
        <is>
          <t>Dining out</t>
        </is>
      </c>
      <c r="D149" s="28" t="n">
        <v>49.28</v>
      </c>
      <c r="E149" s="23" t="inlineStr">
        <is>
          <t>Credit card</t>
        </is>
      </c>
      <c r="F149" s="23" t="n"/>
      <c r="G149" s="23" t="n"/>
      <c r="H149" s="29">
        <f>IF(C149="","",IFERROR(INDEX(Categories!$B$6:$B$65,MATCH(C149,Categories!$A$6:$A$65,0))&amp;"",""))</f>
        <v/>
      </c>
      <c r="I149" s="25">
        <f>IF(AND(A149="",C149="",D149=""),"",IF(A149="","Date missing",IF(NOT(ISNUMBER(A149)),"Date not recognized",IF(YEAR(A149)&lt;&gt;Settings!$C$4,"Not in "&amp;Settings!$C$4,IF(C149="","Category missing",IF(H149="",IF(COUNTIF(Categories!$A$6:$A$65,C149)&gt;0,"Category has no type","Category not in list"),IF(D149="","Amount missing",IF(NOT(ISNUMBER(D149)),"Amount is not a number",IF(F149="","",IF(ISNA(MATCH(F149,Lists!$G$2:$G$25,0)),"Goal / fund not in list",IF(H149="Income","Fund tag ignored on income","")))))))))))</f>
        <v/>
      </c>
    </row>
    <row r="150">
      <c r="A150" s="27" t="n">
        <v>46097</v>
      </c>
      <c r="B150" s="23" t="inlineStr">
        <is>
          <t>Takeout</t>
        </is>
      </c>
      <c r="C150" s="23" t="inlineStr">
        <is>
          <t>Dining out</t>
        </is>
      </c>
      <c r="D150" s="28" t="n">
        <v>42.73</v>
      </c>
      <c r="E150" s="23" t="inlineStr">
        <is>
          <t>Credit card</t>
        </is>
      </c>
      <c r="F150" s="23" t="n"/>
      <c r="G150" s="23" t="n"/>
      <c r="H150" s="29">
        <f>IF(C150="","",IFERROR(INDEX(Categories!$B$6:$B$65,MATCH(C150,Categories!$A$6:$A$65,0))&amp;"",""))</f>
        <v/>
      </c>
      <c r="I150" s="25">
        <f>IF(AND(A150="",C150="",D150=""),"",IF(A150="","Date missing",IF(NOT(ISNUMBER(A150)),"Date not recognized",IF(YEAR(A150)&lt;&gt;Settings!$C$4,"Not in "&amp;Settings!$C$4,IF(C150="","Category missing",IF(H150="",IF(COUNTIF(Categories!$A$6:$A$65,C150)&gt;0,"Category has no type","Category not in list"),IF(D150="","Amount missing",IF(NOT(ISNUMBER(D150)),"Amount is not a number",IF(F150="","",IF(ISNA(MATCH(F150,Lists!$G$2:$G$25,0)),"Goal / fund not in list",IF(H150="Income","Fund tag ignored on income","")))))))))))</f>
        <v/>
      </c>
    </row>
    <row r="151">
      <c r="A151" s="27" t="n">
        <v>46098</v>
      </c>
      <c r="B151" s="23" t="inlineStr">
        <is>
          <t>Warehouse store</t>
        </is>
      </c>
      <c r="C151" s="23" t="inlineStr">
        <is>
          <t>Groceries</t>
        </is>
      </c>
      <c r="D151" s="28" t="n">
        <v>185.79</v>
      </c>
      <c r="E151" s="23" t="inlineStr">
        <is>
          <t>Debit card</t>
        </is>
      </c>
      <c r="F151" s="23" t="n"/>
      <c r="G151" s="23" t="n"/>
      <c r="H151" s="29">
        <f>IF(C151="","",IFERROR(INDEX(Categories!$B$6:$B$65,MATCH(C151,Categories!$A$6:$A$65,0))&amp;"",""))</f>
        <v/>
      </c>
      <c r="I151" s="25">
        <f>IF(AND(A151="",C151="",D151=""),"",IF(A151="","Date missing",IF(NOT(ISNUMBER(A151)),"Date not recognized",IF(YEAR(A151)&lt;&gt;Settings!$C$4,"Not in "&amp;Settings!$C$4,IF(C151="","Category missing",IF(H151="",IF(COUNTIF(Categories!$A$6:$A$65,C151)&gt;0,"Category has no type","Category not in list"),IF(D151="","Amount missing",IF(NOT(ISNUMBER(D151)),"Amount is not a number",IF(F151="","",IF(ISNA(MATCH(F151,Lists!$G$2:$G$25,0)),"Goal / fund not in list",IF(H151="Income","Fund tag ignored on income","")))))))))))</f>
        <v/>
      </c>
    </row>
    <row r="152">
      <c r="A152" s="27" t="n">
        <v>46098</v>
      </c>
      <c r="B152" s="23" t="inlineStr">
        <is>
          <t>Shoes</t>
        </is>
      </c>
      <c r="C152" s="23" t="inlineStr">
        <is>
          <t>Clothing</t>
        </is>
      </c>
      <c r="D152" s="28" t="n">
        <v>40.24</v>
      </c>
      <c r="E152" s="23" t="inlineStr">
        <is>
          <t>Credit card</t>
        </is>
      </c>
      <c r="F152" s="23" t="n"/>
      <c r="G152" s="23" t="n"/>
      <c r="H152" s="29">
        <f>IF(C152="","",IFERROR(INDEX(Categories!$B$6:$B$65,MATCH(C152,Categories!$A$6:$A$65,0))&amp;"",""))</f>
        <v/>
      </c>
      <c r="I152" s="25">
        <f>IF(AND(A152="",C152="",D152=""),"",IF(A152="","Date missing",IF(NOT(ISNUMBER(A152)),"Date not recognized",IF(YEAR(A152)&lt;&gt;Settings!$C$4,"Not in "&amp;Settings!$C$4,IF(C152="","Category missing",IF(H152="",IF(COUNTIF(Categories!$A$6:$A$65,C152)&gt;0,"Category has no type","Category not in list"),IF(D152="","Amount missing",IF(NOT(ISNUMBER(D152)),"Amount is not a number",IF(F152="","",IF(ISNA(MATCH(F152,Lists!$G$2:$G$25,0)),"Goal / fund not in list",IF(H152="Income","Fund tag ignored on income","")))))))))))</f>
        <v/>
      </c>
    </row>
    <row r="153">
      <c r="A153" s="27" t="n">
        <v>46099</v>
      </c>
      <c r="B153" s="23" t="inlineStr">
        <is>
          <t>Electric bill</t>
        </is>
      </c>
      <c r="C153" s="23" t="inlineStr">
        <is>
          <t>Utilities</t>
        </is>
      </c>
      <c r="D153" s="28" t="n">
        <v>81.98</v>
      </c>
      <c r="E153" s="23" t="inlineStr">
        <is>
          <t>Checking</t>
        </is>
      </c>
      <c r="F153" s="23" t="n"/>
      <c r="G153" s="23" t="n"/>
      <c r="H153" s="29">
        <f>IF(C153="","",IFERROR(INDEX(Categories!$B$6:$B$65,MATCH(C153,Categories!$A$6:$A$65,0))&amp;"",""))</f>
        <v/>
      </c>
      <c r="I153" s="25">
        <f>IF(AND(A153="",C153="",D153=""),"",IF(A153="","Date missing",IF(NOT(ISNUMBER(A153)),"Date not recognized",IF(YEAR(A153)&lt;&gt;Settings!$C$4,"Not in "&amp;Settings!$C$4,IF(C153="","Category missing",IF(H153="",IF(COUNTIF(Categories!$A$6:$A$65,C153)&gt;0,"Category has no type","Category not in list"),IF(D153="","Amount missing",IF(NOT(ISNUMBER(D153)),"Amount is not a number",IF(F153="","",IF(ISNA(MATCH(F153,Lists!$G$2:$G$25,0)),"Goal / fund not in list",IF(H153="Income","Fund tag ignored on income","")))))))))))</f>
        <v/>
      </c>
    </row>
    <row r="154">
      <c r="A154" s="27" t="n">
        <v>46101</v>
      </c>
      <c r="B154" s="23" t="inlineStr">
        <is>
          <t>Gas bill</t>
        </is>
      </c>
      <c r="C154" s="23" t="inlineStr">
        <is>
          <t>Utilities</t>
        </is>
      </c>
      <c r="D154" s="28" t="n">
        <v>73.68000000000001</v>
      </c>
      <c r="E154" s="23" t="inlineStr">
        <is>
          <t>Checking</t>
        </is>
      </c>
      <c r="F154" s="23" t="n"/>
      <c r="G154" s="23" t="n"/>
      <c r="H154" s="29">
        <f>IF(C154="","",IFERROR(INDEX(Categories!$B$6:$B$65,MATCH(C154,Categories!$A$6:$A$65,0))&amp;"",""))</f>
        <v/>
      </c>
      <c r="I154" s="25">
        <f>IF(AND(A154="",C154="",D154=""),"",IF(A154="","Date missing",IF(NOT(ISNUMBER(A154)),"Date not recognized",IF(YEAR(A154)&lt;&gt;Settings!$C$4,"Not in "&amp;Settings!$C$4,IF(C154="","Category missing",IF(H154="",IF(COUNTIF(Categories!$A$6:$A$65,C154)&gt;0,"Category has no type","Category not in list"),IF(D154="","Amount missing",IF(NOT(ISNUMBER(D154)),"Amount is not a number",IF(F154="","",IF(ISNA(MATCH(F154,Lists!$G$2:$G$25,0)),"Goal / fund not in list",IF(H154="Income","Fund tag ignored on income","")))))))))))</f>
        <v/>
      </c>
    </row>
    <row r="155">
      <c r="A155" s="27" t="n">
        <v>46101</v>
      </c>
      <c r="B155" s="23" t="inlineStr">
        <is>
          <t>Gas station</t>
        </is>
      </c>
      <c r="C155" s="23" t="inlineStr">
        <is>
          <t>Transport / Gas</t>
        </is>
      </c>
      <c r="D155" s="28" t="n">
        <v>47.35</v>
      </c>
      <c r="E155" s="23" t="inlineStr">
        <is>
          <t>Credit card</t>
        </is>
      </c>
      <c r="F155" s="23" t="n"/>
      <c r="G155" s="23" t="n"/>
      <c r="H155" s="29">
        <f>IF(C155="","",IFERROR(INDEX(Categories!$B$6:$B$65,MATCH(C155,Categories!$A$6:$A$65,0))&amp;"",""))</f>
        <v/>
      </c>
      <c r="I155" s="25">
        <f>IF(AND(A155="",C155="",D155=""),"",IF(A155="","Date missing",IF(NOT(ISNUMBER(A155)),"Date not recognized",IF(YEAR(A155)&lt;&gt;Settings!$C$4,"Not in "&amp;Settings!$C$4,IF(C155="","Category missing",IF(H155="",IF(COUNTIF(Categories!$A$6:$A$65,C155)&gt;0,"Category has no type","Category not in list"),IF(D155="","Amount missing",IF(NOT(ISNUMBER(D155)),"Amount is not a number",IF(F155="","",IF(ISNA(MATCH(F155,Lists!$G$2:$G$25,0)),"Goal / fund not in list",IF(H155="Income","Fund tag ignored on income","")))))))))))</f>
        <v/>
      </c>
    </row>
    <row r="156">
      <c r="A156" s="27" t="n">
        <v>46101</v>
      </c>
      <c r="B156" s="23" t="inlineStr">
        <is>
          <t>Credit card payment + extra</t>
        </is>
      </c>
      <c r="C156" s="23" t="inlineStr">
        <is>
          <t>Debt payments</t>
        </is>
      </c>
      <c r="D156" s="28" t="n">
        <v>260</v>
      </c>
      <c r="E156" s="23" t="inlineStr">
        <is>
          <t>Checking</t>
        </is>
      </c>
      <c r="F156" s="23" t="n"/>
      <c r="G156" s="23" t="n"/>
      <c r="H156" s="29">
        <f>IF(C156="","",IFERROR(INDEX(Categories!$B$6:$B$65,MATCH(C156,Categories!$A$6:$A$65,0))&amp;"",""))</f>
        <v/>
      </c>
      <c r="I156" s="25">
        <f>IF(AND(A156="",C156="",D156=""),"",IF(A156="","Date missing",IF(NOT(ISNUMBER(A156)),"Date not recognized",IF(YEAR(A156)&lt;&gt;Settings!$C$4,"Not in "&amp;Settings!$C$4,IF(C156="","Category missing",IF(H156="",IF(COUNTIF(Categories!$A$6:$A$65,C156)&gt;0,"Category has no type","Category not in list"),IF(D156="","Amount missing",IF(NOT(ISNUMBER(D156)),"Amount is not a number",IF(F156="","",IF(ISNA(MATCH(F156,Lists!$G$2:$G$25,0)),"Goal / fund not in list",IF(H156="Income","Fund tag ignored on income","")))))))))))</f>
        <v/>
      </c>
    </row>
    <row r="157">
      <c r="A157" s="27" t="n">
        <v>46101</v>
      </c>
      <c r="B157" s="23" t="inlineStr">
        <is>
          <t>Medical bill installment</t>
        </is>
      </c>
      <c r="C157" s="23" t="inlineStr">
        <is>
          <t>Debt payments</t>
        </is>
      </c>
      <c r="D157" s="28" t="n">
        <v>40</v>
      </c>
      <c r="E157" s="23" t="inlineStr">
        <is>
          <t>Checking</t>
        </is>
      </c>
      <c r="F157" s="23" t="n"/>
      <c r="G157" s="23" t="n"/>
      <c r="H157" s="29">
        <f>IF(C157="","",IFERROR(INDEX(Categories!$B$6:$B$65,MATCH(C157,Categories!$A$6:$A$65,0))&amp;"",""))</f>
        <v/>
      </c>
      <c r="I157" s="25">
        <f>IF(AND(A157="",C157="",D157=""),"",IF(A157="","Date missing",IF(NOT(ISNUMBER(A157)),"Date not recognized",IF(YEAR(A157)&lt;&gt;Settings!$C$4,"Not in "&amp;Settings!$C$4,IF(C157="","Category missing",IF(H157="",IF(COUNTIF(Categories!$A$6:$A$65,C157)&gt;0,"Category has no type","Category not in list"),IF(D157="","Amount missing",IF(NOT(ISNUMBER(D157)),"Amount is not a number",IF(F157="","",IF(ISNA(MATCH(F157,Lists!$G$2:$G$25,0)),"Goal / fund not in list",IF(H157="Income","Fund tag ignored on income","")))))))))))</f>
        <v/>
      </c>
    </row>
    <row r="158">
      <c r="A158" s="27" t="n">
        <v>46102</v>
      </c>
      <c r="B158" s="23" t="inlineStr">
        <is>
          <t>Oil change</t>
        </is>
      </c>
      <c r="C158" s="23" t="inlineStr">
        <is>
          <t>Transport / Gas</t>
        </is>
      </c>
      <c r="D158" s="28" t="n">
        <v>69.98999999999999</v>
      </c>
      <c r="E158" s="23" t="inlineStr">
        <is>
          <t>Debit card</t>
        </is>
      </c>
      <c r="F158" s="23" t="inlineStr">
        <is>
          <t>Car maintenance</t>
        </is>
      </c>
      <c r="G158" s="23" t="n"/>
      <c r="H158" s="29">
        <f>IF(C158="","",IFERROR(INDEX(Categories!$B$6:$B$65,MATCH(C158,Categories!$A$6:$A$65,0))&amp;"",""))</f>
        <v/>
      </c>
      <c r="I158" s="25">
        <f>IF(AND(A158="",C158="",D158=""),"",IF(A158="","Date missing",IF(NOT(ISNUMBER(A158)),"Date not recognized",IF(YEAR(A158)&lt;&gt;Settings!$C$4,"Not in "&amp;Settings!$C$4,IF(C158="","Category missing",IF(H158="",IF(COUNTIF(Categories!$A$6:$A$65,C158)&gt;0,"Category has no type","Category not in list"),IF(D158="","Amount missing",IF(NOT(ISNUMBER(D158)),"Amount is not a number",IF(F158="","",IF(ISNA(MATCH(F158,Lists!$G$2:$G$25,0)),"Goal / fund not in list",IF(H158="Income","Fund tag ignored on income","")))))))))))</f>
        <v/>
      </c>
    </row>
    <row r="159">
      <c r="A159" s="27" t="n">
        <v>46102</v>
      </c>
      <c r="B159" s="23" t="inlineStr">
        <is>
          <t>Personal loan payment</t>
        </is>
      </c>
      <c r="C159" s="23" t="inlineStr">
        <is>
          <t>Debt payments</t>
        </is>
      </c>
      <c r="D159" s="28" t="n">
        <v>210</v>
      </c>
      <c r="E159" s="23" t="inlineStr">
        <is>
          <t>Checking</t>
        </is>
      </c>
      <c r="F159" s="23" t="n"/>
      <c r="G159" s="23" t="n"/>
      <c r="H159" s="29">
        <f>IF(C159="","",IFERROR(INDEX(Categories!$B$6:$B$65,MATCH(C159,Categories!$A$6:$A$65,0))&amp;"",""))</f>
        <v/>
      </c>
      <c r="I159" s="25">
        <f>IF(AND(A159="",C159="",D159=""),"",IF(A159="","Date missing",IF(NOT(ISNUMBER(A159)),"Date not recognized",IF(YEAR(A159)&lt;&gt;Settings!$C$4,"Not in "&amp;Settings!$C$4,IF(C159="","Category missing",IF(H159="",IF(COUNTIF(Categories!$A$6:$A$65,C159)&gt;0,"Category has no type","Category not in list"),IF(D159="","Amount missing",IF(NOT(ISNUMBER(D159)),"Amount is not a number",IF(F159="","",IF(ISNA(MATCH(F159,Lists!$G$2:$G$25,0)),"Goal / fund not in list",IF(H159="Income","Fund tag ignored on income","")))))))))))</f>
        <v/>
      </c>
    </row>
    <row r="160">
      <c r="A160" s="27" t="n">
        <v>46103</v>
      </c>
      <c r="B160" s="23" t="inlineStr">
        <is>
          <t>Freelance logo</t>
        </is>
      </c>
      <c r="C160" s="23" t="inlineStr">
        <is>
          <t>Side income</t>
        </is>
      </c>
      <c r="D160" s="28" t="n">
        <v>233.02</v>
      </c>
      <c r="E160" s="23" t="inlineStr">
        <is>
          <t>Checking</t>
        </is>
      </c>
      <c r="F160" s="23" t="n"/>
      <c r="G160" s="23" t="n"/>
      <c r="H160" s="29">
        <f>IF(C160="","",IFERROR(INDEX(Categories!$B$6:$B$65,MATCH(C160,Categories!$A$6:$A$65,0))&amp;"",""))</f>
        <v/>
      </c>
      <c r="I160" s="25">
        <f>IF(AND(A160="",C160="",D160=""),"",IF(A160="","Date missing",IF(NOT(ISNUMBER(A160)),"Date not recognized",IF(YEAR(A160)&lt;&gt;Settings!$C$4,"Not in "&amp;Settings!$C$4,IF(C160="","Category missing",IF(H160="",IF(COUNTIF(Categories!$A$6:$A$65,C160)&gt;0,"Category has no type","Category not in list"),IF(D160="","Amount missing",IF(NOT(ISNUMBER(D160)),"Amount is not a number",IF(F160="","",IF(ISNA(MATCH(F160,Lists!$G$2:$G$25,0)),"Goal / fund not in list",IF(H160="Income","Fund tag ignored on income","")))))))))))</f>
        <v/>
      </c>
    </row>
    <row r="161">
      <c r="A161" s="27" t="n">
        <v>46103</v>
      </c>
      <c r="B161" s="23" t="inlineStr">
        <is>
          <t>Water &amp; trash</t>
        </is>
      </c>
      <c r="C161" s="23" t="inlineStr">
        <is>
          <t>Utilities</t>
        </is>
      </c>
      <c r="D161" s="28" t="n">
        <v>54.3</v>
      </c>
      <c r="E161" s="23" t="inlineStr">
        <is>
          <t>Checking</t>
        </is>
      </c>
      <c r="F161" s="23" t="n"/>
      <c r="G161" s="23" t="n"/>
      <c r="H161" s="29">
        <f>IF(C161="","",IFERROR(INDEX(Categories!$B$6:$B$65,MATCH(C161,Categories!$A$6:$A$65,0))&amp;"",""))</f>
        <v/>
      </c>
      <c r="I161" s="25">
        <f>IF(AND(A161="",C161="",D161=""),"",IF(A161="","Date missing",IF(NOT(ISNUMBER(A161)),"Date not recognized",IF(YEAR(A161)&lt;&gt;Settings!$C$4,"Not in "&amp;Settings!$C$4,IF(C161="","Category missing",IF(H161="",IF(COUNTIF(Categories!$A$6:$A$65,C161)&gt;0,"Category has no type","Category not in list"),IF(D161="","Amount missing",IF(NOT(ISNUMBER(D161)),"Amount is not a number",IF(F161="","",IF(ISNA(MATCH(F161,Lists!$G$2:$G$25,0)),"Goal / fund not in list",IF(H161="Income","Fund tag ignored on income","")))))))))))</f>
        <v/>
      </c>
    </row>
    <row r="162">
      <c r="A162" s="27" t="n">
        <v>46105</v>
      </c>
      <c r="B162" s="23" t="inlineStr">
        <is>
          <t>Supermarket</t>
        </is>
      </c>
      <c r="C162" s="23" t="inlineStr">
        <is>
          <t>Groceries</t>
        </is>
      </c>
      <c r="D162" s="28" t="n">
        <v>153.82</v>
      </c>
      <c r="E162" s="23" t="inlineStr">
        <is>
          <t>Debit card</t>
        </is>
      </c>
      <c r="F162" s="23" t="n"/>
      <c r="G162" s="23" t="n"/>
      <c r="H162" s="29">
        <f>IF(C162="","",IFERROR(INDEX(Categories!$B$6:$B$65,MATCH(C162,Categories!$A$6:$A$65,0))&amp;"",""))</f>
        <v/>
      </c>
      <c r="I162" s="25">
        <f>IF(AND(A162="",C162="",D162=""),"",IF(A162="","Date missing",IF(NOT(ISNUMBER(A162)),"Date not recognized",IF(YEAR(A162)&lt;&gt;Settings!$C$4,"Not in "&amp;Settings!$C$4,IF(C162="","Category missing",IF(H162="",IF(COUNTIF(Categories!$A$6:$A$65,C162)&gt;0,"Category has no type","Category not in list"),IF(D162="","Amount missing",IF(NOT(ISNUMBER(D162)),"Amount is not a number",IF(F162="","",IF(ISNA(MATCH(F162,Lists!$G$2:$G$25,0)),"Goal / fund not in list",IF(H162="Income","Fund tag ignored on income","")))))))))))</f>
        <v/>
      </c>
    </row>
    <row r="163">
      <c r="A163" s="27" t="n">
        <v>46106</v>
      </c>
      <c r="B163" s="23" t="inlineStr">
        <is>
          <t>Pizza night</t>
        </is>
      </c>
      <c r="C163" s="23" t="inlineStr">
        <is>
          <t>Dining out</t>
        </is>
      </c>
      <c r="D163" s="28" t="n">
        <v>10.51</v>
      </c>
      <c r="E163" s="23" t="inlineStr">
        <is>
          <t>Credit card</t>
        </is>
      </c>
      <c r="F163" s="23" t="n"/>
      <c r="G163" s="23" t="n"/>
      <c r="H163" s="29">
        <f>IF(C163="","",IFERROR(INDEX(Categories!$B$6:$B$65,MATCH(C163,Categories!$A$6:$A$65,0))&amp;"",""))</f>
        <v/>
      </c>
      <c r="I163" s="25">
        <f>IF(AND(A163="",C163="",D163=""),"",IF(A163="","Date missing",IF(NOT(ISNUMBER(A163)),"Date not recognized",IF(YEAR(A163)&lt;&gt;Settings!$C$4,"Not in "&amp;Settings!$C$4,IF(C163="","Category missing",IF(H163="",IF(COUNTIF(Categories!$A$6:$A$65,C163)&gt;0,"Category has no type","Category not in list"),IF(D163="","Amount missing",IF(NOT(ISNUMBER(D163)),"Amount is not a number",IF(F163="","",IF(ISNA(MATCH(F163,Lists!$G$2:$G$25,0)),"Goal / fund not in list",IF(H163="Income","Fund tag ignored on income","")))))))))))</f>
        <v/>
      </c>
    </row>
    <row r="164">
      <c r="A164" s="27" t="n">
        <v>46106</v>
      </c>
      <c r="B164" s="23" t="inlineStr">
        <is>
          <t>Student loan payment</t>
        </is>
      </c>
      <c r="C164" s="23" t="inlineStr">
        <is>
          <t>Debt payments</t>
        </is>
      </c>
      <c r="D164" s="28" t="n">
        <v>165</v>
      </c>
      <c r="E164" s="23" t="inlineStr">
        <is>
          <t>Checking</t>
        </is>
      </c>
      <c r="F164" s="23" t="n"/>
      <c r="G164" s="23" t="n"/>
      <c r="H164" s="29">
        <f>IF(C164="","",IFERROR(INDEX(Categories!$B$6:$B$65,MATCH(C164,Categories!$A$6:$A$65,0))&amp;"",""))</f>
        <v/>
      </c>
      <c r="I164" s="25">
        <f>IF(AND(A164="",C164="",D164=""),"",IF(A164="","Date missing",IF(NOT(ISNUMBER(A164)),"Date not recognized",IF(YEAR(A164)&lt;&gt;Settings!$C$4,"Not in "&amp;Settings!$C$4,IF(C164="","Category missing",IF(H164="",IF(COUNTIF(Categories!$A$6:$A$65,C164)&gt;0,"Category has no type","Category not in list"),IF(D164="","Amount missing",IF(NOT(ISNUMBER(D164)),"Amount is not a number",IF(F164="","",IF(ISNA(MATCH(F164,Lists!$G$2:$G$25,0)),"Goal / fund not in list",IF(H164="Income","Fund tag ignored on income","")))))))))))</f>
        <v/>
      </c>
    </row>
    <row r="165">
      <c r="A165" s="27" t="n">
        <v>46108</v>
      </c>
      <c r="B165" s="23" t="inlineStr">
        <is>
          <t>Gas station</t>
        </is>
      </c>
      <c r="C165" s="23" t="inlineStr">
        <is>
          <t>Transport / Gas</t>
        </is>
      </c>
      <c r="D165" s="28" t="n">
        <v>45.8</v>
      </c>
      <c r="E165" s="23" t="inlineStr">
        <is>
          <t>Credit card</t>
        </is>
      </c>
      <c r="F165" s="23" t="n"/>
      <c r="G165" s="23" t="n"/>
      <c r="H165" s="29">
        <f>IF(C165="","",IFERROR(INDEX(Categories!$B$6:$B$65,MATCH(C165,Categories!$A$6:$A$65,0))&amp;"",""))</f>
        <v/>
      </c>
      <c r="I165" s="25">
        <f>IF(AND(A165="",C165="",D165=""),"",IF(A165="","Date missing",IF(NOT(ISNUMBER(A165)),"Date not recognized",IF(YEAR(A165)&lt;&gt;Settings!$C$4,"Not in "&amp;Settings!$C$4,IF(C165="","Category missing",IF(H165="",IF(COUNTIF(Categories!$A$6:$A$65,C165)&gt;0,"Category has no type","Category not in list"),IF(D165="","Amount missing",IF(NOT(ISNUMBER(D165)),"Amount is not a number",IF(F165="","",IF(ISNA(MATCH(F165,Lists!$G$2:$G$25,0)),"Goal / fund not in list",IF(H165="Income","Fund tag ignored on income","")))))))))))</f>
        <v/>
      </c>
    </row>
    <row r="166">
      <c r="A166" s="27" t="n">
        <v>46109</v>
      </c>
      <c r="B166" s="23" t="inlineStr">
        <is>
          <t>Sam paycheck</t>
        </is>
      </c>
      <c r="C166" s="23" t="inlineStr">
        <is>
          <t>Paycheck 2</t>
        </is>
      </c>
      <c r="D166" s="28" t="n">
        <v>2950</v>
      </c>
      <c r="E166" s="23" t="inlineStr">
        <is>
          <t>Checking</t>
        </is>
      </c>
      <c r="F166" s="23" t="n"/>
      <c r="G166" s="23" t="n"/>
      <c r="H166" s="29">
        <f>IF(C166="","",IFERROR(INDEX(Categories!$B$6:$B$65,MATCH(C166,Categories!$A$6:$A$65,0))&amp;"",""))</f>
        <v/>
      </c>
      <c r="I166" s="25">
        <f>IF(AND(A166="",C166="",D166=""),"",IF(A166="","Date missing",IF(NOT(ISNUMBER(A166)),"Date not recognized",IF(YEAR(A166)&lt;&gt;Settings!$C$4,"Not in "&amp;Settings!$C$4,IF(C166="","Category missing",IF(H166="",IF(COUNTIF(Categories!$A$6:$A$65,C166)&gt;0,"Category has no type","Category not in list"),IF(D166="","Amount missing",IF(NOT(ISNUMBER(D166)),"Amount is not a number",IF(F166="","",IF(ISNA(MATCH(F166,Lists!$G$2:$G$25,0)),"Goal / fund not in list",IF(H166="Income","Fund tag ignored on income","")))))))))))</f>
        <v/>
      </c>
    </row>
    <row r="167">
      <c r="A167" s="27" t="n">
        <v>46109</v>
      </c>
      <c r="B167" s="23" t="inlineStr">
        <is>
          <t>Light bulbs</t>
        </is>
      </c>
      <c r="C167" s="23" t="inlineStr">
        <is>
          <t>Home &amp; repairs</t>
        </is>
      </c>
      <c r="D167" s="28" t="n">
        <v>48.03</v>
      </c>
      <c r="E167" s="23" t="inlineStr">
        <is>
          <t>Debit card</t>
        </is>
      </c>
      <c r="F167" s="23" t="n"/>
      <c r="G167" s="23" t="n"/>
      <c r="H167" s="29">
        <f>IF(C167="","",IFERROR(INDEX(Categories!$B$6:$B$65,MATCH(C167,Categories!$A$6:$A$65,0))&amp;"",""))</f>
        <v/>
      </c>
      <c r="I167" s="25">
        <f>IF(AND(A167="",C167="",D167=""),"",IF(A167="","Date missing",IF(NOT(ISNUMBER(A167)),"Date not recognized",IF(YEAR(A167)&lt;&gt;Settings!$C$4,"Not in "&amp;Settings!$C$4,IF(C167="","Category missing",IF(H167="",IF(COUNTIF(Categories!$A$6:$A$65,C167)&gt;0,"Category has no type","Category not in list"),IF(D167="","Amount missing",IF(NOT(ISNUMBER(D167)),"Amount is not a number",IF(F167="","",IF(ISNA(MATCH(F167,Lists!$G$2:$G$25,0)),"Goal / fund not in list",IF(H167="Income","Fund tag ignored on income","")))))))))))</f>
        <v/>
      </c>
    </row>
    <row r="168">
      <c r="A168" s="27" t="n">
        <v>46109</v>
      </c>
      <c r="B168" s="23" t="inlineStr">
        <is>
          <t>Post office</t>
        </is>
      </c>
      <c r="C168" s="23" t="inlineStr">
        <is>
          <t>Misc</t>
        </is>
      </c>
      <c r="D168" s="28" t="n">
        <v>19.5</v>
      </c>
      <c r="E168" s="23" t="inlineStr">
        <is>
          <t>Cash</t>
        </is>
      </c>
      <c r="F168" s="23" t="n"/>
      <c r="G168" s="23" t="n"/>
      <c r="H168" s="29">
        <f>IF(C168="","",IFERROR(INDEX(Categories!$B$6:$B$65,MATCH(C168,Categories!$A$6:$A$65,0))&amp;"",""))</f>
        <v/>
      </c>
      <c r="I168" s="25">
        <f>IF(AND(A168="",C168="",D168=""),"",IF(A168="","Date missing",IF(NOT(ISNUMBER(A168)),"Date not recognized",IF(YEAR(A168)&lt;&gt;Settings!$C$4,"Not in "&amp;Settings!$C$4,IF(C168="","Category missing",IF(H168="",IF(COUNTIF(Categories!$A$6:$A$65,C168)&gt;0,"Category has no type","Category not in list"),IF(D168="","Amount missing",IF(NOT(ISNUMBER(D168)),"Amount is not a number",IF(F168="","",IF(ISNA(MATCH(F168,Lists!$G$2:$G$25,0)),"Goal / fund not in list",IF(H168="Income","Fund tag ignored on income","")))))))))))</f>
        <v/>
      </c>
    </row>
    <row r="169">
      <c r="A169" s="27" t="n">
        <v>46111</v>
      </c>
      <c r="B169" s="23" t="inlineStr">
        <is>
          <t>Supermarket</t>
        </is>
      </c>
      <c r="C169" s="23" t="inlineStr">
        <is>
          <t>Groceries</t>
        </is>
      </c>
      <c r="D169" s="28" t="n">
        <v>154.81</v>
      </c>
      <c r="E169" s="23" t="inlineStr">
        <is>
          <t>Debit card</t>
        </is>
      </c>
      <c r="F169" s="23" t="n"/>
      <c r="G169" s="23" t="n"/>
      <c r="H169" s="29">
        <f>IF(C169="","",IFERROR(INDEX(Categories!$B$6:$B$65,MATCH(C169,Categories!$A$6:$A$65,0))&amp;"",""))</f>
        <v/>
      </c>
      <c r="I169" s="25">
        <f>IF(AND(A169="",C169="",D169=""),"",IF(A169="","Date missing",IF(NOT(ISNUMBER(A169)),"Date not recognized",IF(YEAR(A169)&lt;&gt;Settings!$C$4,"Not in "&amp;Settings!$C$4,IF(C169="","Category missing",IF(H169="",IF(COUNTIF(Categories!$A$6:$A$65,C169)&gt;0,"Category has no type","Category not in list"),IF(D169="","Amount missing",IF(NOT(ISNUMBER(D169)),"Amount is not a number",IF(F169="","",IF(ISNA(MATCH(F169,Lists!$G$2:$G$25,0)),"Goal / fund not in list",IF(H169="Income","Fund tag ignored on income","")))))))))))</f>
        <v/>
      </c>
    </row>
    <row r="170">
      <c r="A170" s="27" t="n">
        <v>46113</v>
      </c>
      <c r="B170" s="23" t="inlineStr">
        <is>
          <t>Alex paycheck</t>
        </is>
      </c>
      <c r="C170" s="23" t="inlineStr">
        <is>
          <t>Paycheck 1</t>
        </is>
      </c>
      <c r="D170" s="28" t="n">
        <v>2100</v>
      </c>
      <c r="E170" s="23" t="inlineStr">
        <is>
          <t>Checking</t>
        </is>
      </c>
      <c r="F170" s="23" t="n"/>
      <c r="G170" s="23" t="n"/>
      <c r="H170" s="29">
        <f>IF(C170="","",IFERROR(INDEX(Categories!$B$6:$B$65,MATCH(C170,Categories!$A$6:$A$65,0))&amp;"",""))</f>
        <v/>
      </c>
      <c r="I170" s="25">
        <f>IF(AND(A170="",C170="",D170=""),"",IF(A170="","Date missing",IF(NOT(ISNUMBER(A170)),"Date not recognized",IF(YEAR(A170)&lt;&gt;Settings!$C$4,"Not in "&amp;Settings!$C$4,IF(C170="","Category missing",IF(H170="",IF(COUNTIF(Categories!$A$6:$A$65,C170)&gt;0,"Category has no type","Category not in list"),IF(D170="","Amount missing",IF(NOT(ISNUMBER(D170)),"Amount is not a number",IF(F170="","",IF(ISNA(MATCH(F170,Lists!$G$2:$G$25,0)),"Goal / fund not in list",IF(H170="Income","Fund tag ignored on income","")))))))))))</f>
        <v/>
      </c>
    </row>
    <row r="171">
      <c r="A171" s="27" t="n">
        <v>46113</v>
      </c>
      <c r="B171" s="23" t="inlineStr">
        <is>
          <t>Rent</t>
        </is>
      </c>
      <c r="C171" s="23" t="inlineStr">
        <is>
          <t>Rent / Mortgage</t>
        </is>
      </c>
      <c r="D171" s="28" t="n">
        <v>1850</v>
      </c>
      <c r="E171" s="23" t="inlineStr">
        <is>
          <t>Checking</t>
        </is>
      </c>
      <c r="F171" s="23" t="n"/>
      <c r="G171" s="23" t="n"/>
      <c r="H171" s="29">
        <f>IF(C171="","",IFERROR(INDEX(Categories!$B$6:$B$65,MATCH(C171,Categories!$A$6:$A$65,0))&amp;"",""))</f>
        <v/>
      </c>
      <c r="I171" s="25">
        <f>IF(AND(A171="",C171="",D171=""),"",IF(A171="","Date missing",IF(NOT(ISNUMBER(A171)),"Date not recognized",IF(YEAR(A171)&lt;&gt;Settings!$C$4,"Not in "&amp;Settings!$C$4,IF(C171="","Category missing",IF(H171="",IF(COUNTIF(Categories!$A$6:$A$65,C171)&gt;0,"Category has no type","Category not in list"),IF(D171="","Amount missing",IF(NOT(ISNUMBER(D171)),"Amount is not a number",IF(F171="","",IF(ISNA(MATCH(F171,Lists!$G$2:$G$25,0)),"Goal / fund not in list",IF(H171="Income","Fund tag ignored on income","")))))))))))</f>
        <v/>
      </c>
    </row>
    <row r="172">
      <c r="A172" s="27" t="n">
        <v>46113</v>
      </c>
      <c r="B172" s="23" t="inlineStr">
        <is>
          <t>Brunch</t>
        </is>
      </c>
      <c r="C172" s="23" t="inlineStr">
        <is>
          <t>Dining out</t>
        </is>
      </c>
      <c r="D172" s="28" t="n">
        <v>58.95</v>
      </c>
      <c r="E172" s="23" t="inlineStr">
        <is>
          <t>Credit card</t>
        </is>
      </c>
      <c r="F172" s="23" t="n"/>
      <c r="G172" s="23" t="n"/>
      <c r="H172" s="29">
        <f>IF(C172="","",IFERROR(INDEX(Categories!$B$6:$B$65,MATCH(C172,Categories!$A$6:$A$65,0))&amp;"",""))</f>
        <v/>
      </c>
      <c r="I172" s="25">
        <f>IF(AND(A172="",C172="",D172=""),"",IF(A172="","Date missing",IF(NOT(ISNUMBER(A172)),"Date not recognized",IF(YEAR(A172)&lt;&gt;Settings!$C$4,"Not in "&amp;Settings!$C$4,IF(C172="","Category missing",IF(H172="",IF(COUNTIF(Categories!$A$6:$A$65,C172)&gt;0,"Category has no type","Category not in list"),IF(D172="","Amount missing",IF(NOT(ISNUMBER(D172)),"Amount is not a number",IF(F172="","",IF(ISNA(MATCH(F172,Lists!$G$2:$G$25,0)),"Goal / fund not in list",IF(H172="Income","Fund tag ignored on income","")))))))))))</f>
        <v/>
      </c>
    </row>
    <row r="173">
      <c r="A173" s="27" t="n">
        <v>46113</v>
      </c>
      <c r="B173" s="23" t="inlineStr">
        <is>
          <t>After-school program</t>
        </is>
      </c>
      <c r="C173" s="23" t="inlineStr">
        <is>
          <t>Kids</t>
        </is>
      </c>
      <c r="D173" s="28" t="n">
        <v>320</v>
      </c>
      <c r="E173" s="23" t="inlineStr">
        <is>
          <t>Checking</t>
        </is>
      </c>
      <c r="F173" s="23" t="n"/>
      <c r="G173" s="23" t="n"/>
      <c r="H173" s="29">
        <f>IF(C173="","",IFERROR(INDEX(Categories!$B$6:$B$65,MATCH(C173,Categories!$A$6:$A$65,0))&amp;"",""))</f>
        <v/>
      </c>
      <c r="I173" s="25">
        <f>IF(AND(A173="",C173="",D173=""),"",IF(A173="","Date missing",IF(NOT(ISNUMBER(A173)),"Date not recognized",IF(YEAR(A173)&lt;&gt;Settings!$C$4,"Not in "&amp;Settings!$C$4,IF(C173="","Category missing",IF(H173="",IF(COUNTIF(Categories!$A$6:$A$65,C173)&gt;0,"Category has no type","Category not in list"),IF(D173="","Amount missing",IF(NOT(ISNUMBER(D173)),"Amount is not a number",IF(F173="","",IF(ISNA(MATCH(F173,Lists!$G$2:$G$25,0)),"Goal / fund not in list",IF(H173="Income","Fund tag ignored on income","")))))))))))</f>
        <v/>
      </c>
    </row>
    <row r="174">
      <c r="A174" s="27" t="n">
        <v>46114</v>
      </c>
      <c r="B174" s="23" t="inlineStr">
        <is>
          <t>Gym membership</t>
        </is>
      </c>
      <c r="C174" s="23" t="inlineStr">
        <is>
          <t>Subscriptions</t>
        </is>
      </c>
      <c r="D174" s="28" t="n">
        <v>45</v>
      </c>
      <c r="E174" s="23" t="inlineStr">
        <is>
          <t>Checking</t>
        </is>
      </c>
      <c r="F174" s="23" t="n"/>
      <c r="G174" s="23" t="n"/>
      <c r="H174" s="29">
        <f>IF(C174="","",IFERROR(INDEX(Categories!$B$6:$B$65,MATCH(C174,Categories!$A$6:$A$65,0))&amp;"",""))</f>
        <v/>
      </c>
      <c r="I174" s="25">
        <f>IF(AND(A174="",C174="",D174=""),"",IF(A174="","Date missing",IF(NOT(ISNUMBER(A174)),"Date not recognized",IF(YEAR(A174)&lt;&gt;Settings!$C$4,"Not in "&amp;Settings!$C$4,IF(C174="","Category missing",IF(H174="",IF(COUNTIF(Categories!$A$6:$A$65,C174)&gt;0,"Category has no type","Category not in list"),IF(D174="","Amount missing",IF(NOT(ISNUMBER(D174)),"Amount is not a number",IF(F174="","",IF(ISNA(MATCH(F174,Lists!$G$2:$G$25,0)),"Goal / fund not in list",IF(H174="Income","Fund tag ignored on income","")))))))))))</f>
        <v/>
      </c>
    </row>
    <row r="175">
      <c r="A175" s="27" t="n">
        <v>46114</v>
      </c>
      <c r="B175" s="23" t="inlineStr">
        <is>
          <t>Transfer to emergency fund</t>
        </is>
      </c>
      <c r="C175" s="23" t="inlineStr">
        <is>
          <t>Emergency fund</t>
        </is>
      </c>
      <c r="D175" s="28" t="n">
        <v>300</v>
      </c>
      <c r="E175" s="23" t="inlineStr">
        <is>
          <t>Savings</t>
        </is>
      </c>
      <c r="F175" s="23" t="inlineStr">
        <is>
          <t>Emergency fund</t>
        </is>
      </c>
      <c r="G175" s="23" t="n"/>
      <c r="H175" s="29">
        <f>IF(C175="","",IFERROR(INDEX(Categories!$B$6:$B$65,MATCH(C175,Categories!$A$6:$A$65,0))&amp;"",""))</f>
        <v/>
      </c>
      <c r="I175" s="25">
        <f>IF(AND(A175="",C175="",D175=""),"",IF(A175="","Date missing",IF(NOT(ISNUMBER(A175)),"Date not recognized",IF(YEAR(A175)&lt;&gt;Settings!$C$4,"Not in "&amp;Settings!$C$4,IF(C175="","Category missing",IF(H175="",IF(COUNTIF(Categories!$A$6:$A$65,C175)&gt;0,"Category has no type","Category not in list"),IF(D175="","Amount missing",IF(NOT(ISNUMBER(D175)),"Amount is not a number",IF(F175="","",IF(ISNA(MATCH(F175,Lists!$G$2:$G$25,0)),"Goal / fund not in list",IF(H175="Income","Fund tag ignored on income","")))))))))))</f>
        <v/>
      </c>
    </row>
    <row r="176">
      <c r="A176" s="27" t="n">
        <v>46114</v>
      </c>
      <c r="B176" s="23" t="inlineStr">
        <is>
          <t>Transfer: house fund</t>
        </is>
      </c>
      <c r="C176" s="23" t="inlineStr">
        <is>
          <t>Savings goals</t>
        </is>
      </c>
      <c r="D176" s="28" t="n">
        <v>300</v>
      </c>
      <c r="E176" s="23" t="inlineStr">
        <is>
          <t>Savings</t>
        </is>
      </c>
      <c r="F176" s="23" t="inlineStr">
        <is>
          <t>House down payment</t>
        </is>
      </c>
      <c r="G176" s="23" t="n"/>
      <c r="H176" s="29">
        <f>IF(C176="","",IFERROR(INDEX(Categories!$B$6:$B$65,MATCH(C176,Categories!$A$6:$A$65,0))&amp;"",""))</f>
        <v/>
      </c>
      <c r="I176" s="25">
        <f>IF(AND(A176="",C176="",D176=""),"",IF(A176="","Date missing",IF(NOT(ISNUMBER(A176)),"Date not recognized",IF(YEAR(A176)&lt;&gt;Settings!$C$4,"Not in "&amp;Settings!$C$4,IF(C176="","Category missing",IF(H176="",IF(COUNTIF(Categories!$A$6:$A$65,C176)&gt;0,"Category has no type","Category not in list"),IF(D176="","Amount missing",IF(NOT(ISNUMBER(D176)),"Amount is not a number",IF(F176="","",IF(ISNA(MATCH(F176,Lists!$G$2:$G$25,0)),"Goal / fund not in list",IF(H176="Income","Fund tag ignored on income","")))))))))))</f>
        <v/>
      </c>
    </row>
    <row r="177">
      <c r="A177" s="27" t="n">
        <v>46114</v>
      </c>
      <c r="B177" s="23" t="inlineStr">
        <is>
          <t>Transfer: laptop</t>
        </is>
      </c>
      <c r="C177" s="23" t="inlineStr">
        <is>
          <t>Savings goals</t>
        </is>
      </c>
      <c r="D177" s="28" t="n">
        <v>100</v>
      </c>
      <c r="E177" s="23" t="inlineStr">
        <is>
          <t>Savings</t>
        </is>
      </c>
      <c r="F177" s="23" t="inlineStr">
        <is>
          <t>New laptop</t>
        </is>
      </c>
      <c r="G177" s="23" t="n"/>
      <c r="H177" s="29">
        <f>IF(C177="","",IFERROR(INDEX(Categories!$B$6:$B$65,MATCH(C177,Categories!$A$6:$A$65,0))&amp;"",""))</f>
        <v/>
      </c>
      <c r="I177" s="25">
        <f>IF(AND(A177="",C177="",D177=""),"",IF(A177="","Date missing",IF(NOT(ISNUMBER(A177)),"Date not recognized",IF(YEAR(A177)&lt;&gt;Settings!$C$4,"Not in "&amp;Settings!$C$4,IF(C177="","Category missing",IF(H177="",IF(COUNTIF(Categories!$A$6:$A$65,C177)&gt;0,"Category has no type","Category not in list"),IF(D177="","Amount missing",IF(NOT(ISNUMBER(D177)),"Amount is not a number",IF(F177="","",IF(ISNA(MATCH(F177,Lists!$G$2:$G$25,0)),"Goal / fund not in list",IF(H177="Income","Fund tag ignored on income","")))))))))))</f>
        <v/>
      </c>
    </row>
    <row r="178">
      <c r="A178" s="27" t="n">
        <v>46114</v>
      </c>
      <c r="B178" s="23" t="inlineStr">
        <is>
          <t>Set aside: car maintenance</t>
        </is>
      </c>
      <c r="C178" s="23" t="inlineStr">
        <is>
          <t>Sinking funds</t>
        </is>
      </c>
      <c r="D178" s="28" t="n">
        <v>60</v>
      </c>
      <c r="E178" s="23" t="inlineStr">
        <is>
          <t>Savings</t>
        </is>
      </c>
      <c r="F178" s="23" t="inlineStr">
        <is>
          <t>Car maintenance</t>
        </is>
      </c>
      <c r="G178" s="23" t="n"/>
      <c r="H178" s="29">
        <f>IF(C178="","",IFERROR(INDEX(Categories!$B$6:$B$65,MATCH(C178,Categories!$A$6:$A$65,0))&amp;"",""))</f>
        <v/>
      </c>
      <c r="I178" s="25">
        <f>IF(AND(A178="",C178="",D178=""),"",IF(A178="","Date missing",IF(NOT(ISNUMBER(A178)),"Date not recognized",IF(YEAR(A178)&lt;&gt;Settings!$C$4,"Not in "&amp;Settings!$C$4,IF(C178="","Category missing",IF(H178="",IF(COUNTIF(Categories!$A$6:$A$65,C178)&gt;0,"Category has no type","Category not in list"),IF(D178="","Amount missing",IF(NOT(ISNUMBER(D178)),"Amount is not a number",IF(F178="","",IF(ISNA(MATCH(F178,Lists!$G$2:$G$25,0)),"Goal / fund not in list",IF(H178="Income","Fund tag ignored on income","")))))))))))</f>
        <v/>
      </c>
    </row>
    <row r="179">
      <c r="A179" s="27" t="n">
        <v>46114</v>
      </c>
      <c r="B179" s="23" t="inlineStr">
        <is>
          <t>Set aside: holiday gifts</t>
        </is>
      </c>
      <c r="C179" s="23" t="inlineStr">
        <is>
          <t>Sinking funds</t>
        </is>
      </c>
      <c r="D179" s="28" t="n">
        <v>50</v>
      </c>
      <c r="E179" s="23" t="inlineStr">
        <is>
          <t>Savings</t>
        </is>
      </c>
      <c r="F179" s="23" t="inlineStr">
        <is>
          <t>Holiday gifts</t>
        </is>
      </c>
      <c r="G179" s="23" t="n"/>
      <c r="H179" s="29">
        <f>IF(C179="","",IFERROR(INDEX(Categories!$B$6:$B$65,MATCH(C179,Categories!$A$6:$A$65,0))&amp;"",""))</f>
        <v/>
      </c>
      <c r="I179" s="25">
        <f>IF(AND(A179="",C179="",D179=""),"",IF(A179="","Date missing",IF(NOT(ISNUMBER(A179)),"Date not recognized",IF(YEAR(A179)&lt;&gt;Settings!$C$4,"Not in "&amp;Settings!$C$4,IF(C179="","Category missing",IF(H179="",IF(COUNTIF(Categories!$A$6:$A$65,C179)&gt;0,"Category has no type","Category not in list"),IF(D179="","Amount missing",IF(NOT(ISNUMBER(D179)),"Amount is not a number",IF(F179="","",IF(ISNA(MATCH(F179,Lists!$G$2:$G$25,0)),"Goal / fund not in list",IF(H179="Income","Fund tag ignored on income","")))))))))))</f>
        <v/>
      </c>
    </row>
    <row r="180">
      <c r="A180" s="27" t="n">
        <v>46114</v>
      </c>
      <c r="B180" s="23" t="inlineStr">
        <is>
          <t>Set aside: summer vacation</t>
        </is>
      </c>
      <c r="C180" s="23" t="inlineStr">
        <is>
          <t>Sinking funds</t>
        </is>
      </c>
      <c r="D180" s="28" t="n">
        <v>150</v>
      </c>
      <c r="E180" s="23" t="inlineStr">
        <is>
          <t>Savings</t>
        </is>
      </c>
      <c r="F180" s="23" t="inlineStr">
        <is>
          <t>Summer vacation</t>
        </is>
      </c>
      <c r="G180" s="23" t="n"/>
      <c r="H180" s="29">
        <f>IF(C180="","",IFERROR(INDEX(Categories!$B$6:$B$65,MATCH(C180,Categories!$A$6:$A$65,0))&amp;"",""))</f>
        <v/>
      </c>
      <c r="I180" s="25">
        <f>IF(AND(A180="",C180="",D180=""),"",IF(A180="","Date missing",IF(NOT(ISNUMBER(A180)),"Date not recognized",IF(YEAR(A180)&lt;&gt;Settings!$C$4,"Not in "&amp;Settings!$C$4,IF(C180="","Category missing",IF(H180="",IF(COUNTIF(Categories!$A$6:$A$65,C180)&gt;0,"Category has no type","Category not in list"),IF(D180="","Amount missing",IF(NOT(ISNUMBER(D180)),"Amount is not a number",IF(F180="","",IF(ISNA(MATCH(F180,Lists!$G$2:$G$25,0)),"Goal / fund not in list",IF(H180="Income","Fund tag ignored on income","")))))))))))</f>
        <v/>
      </c>
    </row>
    <row r="181">
      <c r="A181" s="27" t="n">
        <v>46114</v>
      </c>
      <c r="B181" s="23" t="inlineStr">
        <is>
          <t>Set aside: home repairs</t>
        </is>
      </c>
      <c r="C181" s="23" t="inlineStr">
        <is>
          <t>Sinking funds</t>
        </is>
      </c>
      <c r="D181" s="28" t="n">
        <v>40</v>
      </c>
      <c r="E181" s="23" t="inlineStr">
        <is>
          <t>Savings</t>
        </is>
      </c>
      <c r="F181" s="23" t="inlineStr">
        <is>
          <t>Home repairs</t>
        </is>
      </c>
      <c r="G181" s="23" t="n"/>
      <c r="H181" s="29">
        <f>IF(C181="","",IFERROR(INDEX(Categories!$B$6:$B$65,MATCH(C181,Categories!$A$6:$A$65,0))&amp;"",""))</f>
        <v/>
      </c>
      <c r="I181" s="25">
        <f>IF(AND(A181="",C181="",D181=""),"",IF(A181="","Date missing",IF(NOT(ISNUMBER(A181)),"Date not recognized",IF(YEAR(A181)&lt;&gt;Settings!$C$4,"Not in "&amp;Settings!$C$4,IF(C181="","Category missing",IF(H181="",IF(COUNTIF(Categories!$A$6:$A$65,C181)&gt;0,"Category has no type","Category not in list"),IF(D181="","Amount missing",IF(NOT(ISNUMBER(D181)),"Amount is not a number",IF(F181="","",IF(ISNA(MATCH(F181,Lists!$G$2:$G$25,0)),"Goal / fund not in list",IF(H181="Income","Fund tag ignored on income","")))))))))))</f>
        <v/>
      </c>
    </row>
    <row r="182">
      <c r="A182" s="27" t="n">
        <v>46115</v>
      </c>
      <c r="B182" s="23" t="inlineStr">
        <is>
          <t>Video streaming</t>
        </is>
      </c>
      <c r="C182" s="23" t="inlineStr">
        <is>
          <t>Subscriptions</t>
        </is>
      </c>
      <c r="D182" s="28" t="n">
        <v>15.49</v>
      </c>
      <c r="E182" s="23" t="inlineStr">
        <is>
          <t>Credit card</t>
        </is>
      </c>
      <c r="F182" s="23" t="n"/>
      <c r="G182" s="23" t="n"/>
      <c r="H182" s="29">
        <f>IF(C182="","",IFERROR(INDEX(Categories!$B$6:$B$65,MATCH(C182,Categories!$A$6:$A$65,0))&amp;"",""))</f>
        <v/>
      </c>
      <c r="I182" s="25">
        <f>IF(AND(A182="",C182="",D182=""),"",IF(A182="","Date missing",IF(NOT(ISNUMBER(A182)),"Date not recognized",IF(YEAR(A182)&lt;&gt;Settings!$C$4,"Not in "&amp;Settings!$C$4,IF(C182="","Category missing",IF(H182="",IF(COUNTIF(Categories!$A$6:$A$65,C182)&gt;0,"Category has no type","Category not in list"),IF(D182="","Amount missing",IF(NOT(ISNUMBER(D182)),"Amount is not a number",IF(F182="","",IF(ISNA(MATCH(F182,Lists!$G$2:$G$25,0)),"Goal / fund not in list",IF(H182="Income","Fund tag ignored on income","")))))))))))</f>
        <v/>
      </c>
    </row>
    <row r="183">
      <c r="A183" s="27" t="n">
        <v>46115</v>
      </c>
      <c r="B183" s="23" t="inlineStr">
        <is>
          <t>Warehouse store</t>
        </is>
      </c>
      <c r="C183" s="23" t="inlineStr">
        <is>
          <t>Groceries</t>
        </is>
      </c>
      <c r="D183" s="28" t="n">
        <v>147.29</v>
      </c>
      <c r="E183" s="23" t="inlineStr">
        <is>
          <t>Debit card</t>
        </is>
      </c>
      <c r="F183" s="23" t="n"/>
      <c r="G183" s="23" t="n"/>
      <c r="H183" s="29">
        <f>IF(C183="","",IFERROR(INDEX(Categories!$B$6:$B$65,MATCH(C183,Categories!$A$6:$A$65,0))&amp;"",""))</f>
        <v/>
      </c>
      <c r="I183" s="25">
        <f>IF(AND(A183="",C183="",D183=""),"",IF(A183="","Date missing",IF(NOT(ISNUMBER(A183)),"Date not recognized",IF(YEAR(A183)&lt;&gt;Settings!$C$4,"Not in "&amp;Settings!$C$4,IF(C183="","Category missing",IF(H183="",IF(COUNTIF(Categories!$A$6:$A$65,C183)&gt;0,"Category has no type","Category not in list"),IF(D183="","Amount missing",IF(NOT(ISNUMBER(D183)),"Amount is not a number",IF(F183="","",IF(ISNA(MATCH(F183,Lists!$G$2:$G$25,0)),"Goal / fund not in list",IF(H183="Income","Fund tag ignored on income","")))))))))))</f>
        <v/>
      </c>
    </row>
    <row r="184">
      <c r="A184" s="27" t="n">
        <v>46115</v>
      </c>
      <c r="B184" s="23" t="inlineStr">
        <is>
          <t>Charity donation</t>
        </is>
      </c>
      <c r="C184" s="23" t="inlineStr">
        <is>
          <t>Gifts</t>
        </is>
      </c>
      <c r="D184" s="28" t="n">
        <v>66.93000000000001</v>
      </c>
      <c r="E184" s="23" t="inlineStr">
        <is>
          <t>Credit card</t>
        </is>
      </c>
      <c r="F184" s="23" t="n"/>
      <c r="G184" s="23" t="n"/>
      <c r="H184" s="29">
        <f>IF(C184="","",IFERROR(INDEX(Categories!$B$6:$B$65,MATCH(C184,Categories!$A$6:$A$65,0))&amp;"",""))</f>
        <v/>
      </c>
      <c r="I184" s="25">
        <f>IF(AND(A184="",C184="",D184=""),"",IF(A184="","Date missing",IF(NOT(ISNUMBER(A184)),"Date not recognized",IF(YEAR(A184)&lt;&gt;Settings!$C$4,"Not in "&amp;Settings!$C$4,IF(C184="","Category missing",IF(H184="",IF(COUNTIF(Categories!$A$6:$A$65,C184)&gt;0,"Category has no type","Category not in list"),IF(D184="","Amount missing",IF(NOT(ISNUMBER(D184)),"Amount is not a number",IF(F184="","",IF(ISNA(MATCH(F184,Lists!$G$2:$G$25,0)),"Goal / fund not in list",IF(H184="Income","Fund tag ignored on income","")))))))))))</f>
        <v/>
      </c>
    </row>
    <row r="185">
      <c r="A185" s="27" t="n">
        <v>46115</v>
      </c>
      <c r="B185" s="23" t="inlineStr">
        <is>
          <t>Retirement contribution</t>
        </is>
      </c>
      <c r="C185" s="23" t="inlineStr">
        <is>
          <t>Retirement &amp; investing</t>
        </is>
      </c>
      <c r="D185" s="28" t="n">
        <v>600</v>
      </c>
      <c r="E185" s="23" t="inlineStr">
        <is>
          <t>Checking</t>
        </is>
      </c>
      <c r="F185" s="23" t="n"/>
      <c r="G185" s="23" t="n"/>
      <c r="H185" s="29">
        <f>IF(C185="","",IFERROR(INDEX(Categories!$B$6:$B$65,MATCH(C185,Categories!$A$6:$A$65,0))&amp;"",""))</f>
        <v/>
      </c>
      <c r="I185" s="25">
        <f>IF(AND(A185="",C185="",D185=""),"",IF(A185="","Date missing",IF(NOT(ISNUMBER(A185)),"Date not recognized",IF(YEAR(A185)&lt;&gt;Settings!$C$4,"Not in "&amp;Settings!$C$4,IF(C185="","Category missing",IF(H185="",IF(COUNTIF(Categories!$A$6:$A$65,C185)&gt;0,"Category has no type","Category not in list"),IF(D185="","Amount missing",IF(NOT(ISNUMBER(D185)),"Amount is not a number",IF(F185="","",IF(ISNA(MATCH(F185,Lists!$G$2:$G$25,0)),"Goal / fund not in list",IF(H185="Income","Fund tag ignored on income","")))))))))))</f>
        <v/>
      </c>
    </row>
    <row r="186">
      <c r="A186" s="27" t="n">
        <v>46116</v>
      </c>
      <c r="B186" s="23" t="inlineStr">
        <is>
          <t>Gas station</t>
        </is>
      </c>
      <c r="C186" s="23" t="inlineStr">
        <is>
          <t>Transport / Gas</t>
        </is>
      </c>
      <c r="D186" s="28" t="n">
        <v>49.17</v>
      </c>
      <c r="E186" s="23" t="inlineStr">
        <is>
          <t>Credit card</t>
        </is>
      </c>
      <c r="F186" s="23" t="n"/>
      <c r="G186" s="23" t="n"/>
      <c r="H186" s="29">
        <f>IF(C186="","",IFERROR(INDEX(Categories!$B$6:$B$65,MATCH(C186,Categories!$A$6:$A$65,0))&amp;"",""))</f>
        <v/>
      </c>
      <c r="I186" s="25">
        <f>IF(AND(A186="",C186="",D186=""),"",IF(A186="","Date missing",IF(NOT(ISNUMBER(A186)),"Date not recognized",IF(YEAR(A186)&lt;&gt;Settings!$C$4,"Not in "&amp;Settings!$C$4,IF(C186="","Category missing",IF(H186="",IF(COUNTIF(Categories!$A$6:$A$65,C186)&gt;0,"Category has no type","Category not in list"),IF(D186="","Amount missing",IF(NOT(ISNUMBER(D186)),"Amount is not a number",IF(F186="","",IF(ISNA(MATCH(F186,Lists!$G$2:$G$25,0)),"Goal / fund not in list",IF(H186="Income","Fund tag ignored on income","")))))))))))</f>
        <v/>
      </c>
    </row>
    <row r="187">
      <c r="A187" s="27" t="n">
        <v>46116</v>
      </c>
      <c r="B187" s="23" t="inlineStr">
        <is>
          <t>Haircut</t>
        </is>
      </c>
      <c r="C187" s="23" t="inlineStr">
        <is>
          <t>Personal care</t>
        </is>
      </c>
      <c r="D187" s="28" t="n">
        <v>16.05</v>
      </c>
      <c r="E187" s="23" t="inlineStr">
        <is>
          <t>Debit card</t>
        </is>
      </c>
      <c r="F187" s="23" t="n"/>
      <c r="G187" s="23" t="n"/>
      <c r="H187" s="29">
        <f>IF(C187="","",IFERROR(INDEX(Categories!$B$6:$B$65,MATCH(C187,Categories!$A$6:$A$65,0))&amp;"",""))</f>
        <v/>
      </c>
      <c r="I187" s="25">
        <f>IF(AND(A187="",C187="",D187=""),"",IF(A187="","Date missing",IF(NOT(ISNUMBER(A187)),"Date not recognized",IF(YEAR(A187)&lt;&gt;Settings!$C$4,"Not in "&amp;Settings!$C$4,IF(C187="","Category missing",IF(H187="",IF(COUNTIF(Categories!$A$6:$A$65,C187)&gt;0,"Category has no type","Category not in list"),IF(D187="","Amount missing",IF(NOT(ISNUMBER(D187)),"Amount is not a number",IF(F187="","",IF(ISNA(MATCH(F187,Lists!$G$2:$G$25,0)),"Goal / fund not in list",IF(H187="Income","Fund tag ignored on income","")))))))))))</f>
        <v/>
      </c>
    </row>
    <row r="188">
      <c r="A188" s="27" t="n">
        <v>46116</v>
      </c>
      <c r="B188" s="23" t="inlineStr">
        <is>
          <t>Bowling</t>
        </is>
      </c>
      <c r="C188" s="23" t="inlineStr">
        <is>
          <t>Entertainment</t>
        </is>
      </c>
      <c r="D188" s="28" t="n">
        <v>26.42</v>
      </c>
      <c r="E188" s="23" t="inlineStr">
        <is>
          <t>Credit card</t>
        </is>
      </c>
      <c r="F188" s="23" t="n"/>
      <c r="G188" s="23" t="n"/>
      <c r="H188" s="29">
        <f>IF(C188="","",IFERROR(INDEX(Categories!$B$6:$B$65,MATCH(C188,Categories!$A$6:$A$65,0))&amp;"",""))</f>
        <v/>
      </c>
      <c r="I188" s="25">
        <f>IF(AND(A188="",C188="",D188=""),"",IF(A188="","Date missing",IF(NOT(ISNUMBER(A188)),"Date not recognized",IF(YEAR(A188)&lt;&gt;Settings!$C$4,"Not in "&amp;Settings!$C$4,IF(C188="","Category missing",IF(H188="",IF(COUNTIF(Categories!$A$6:$A$65,C188)&gt;0,"Category has no type","Category not in list"),IF(D188="","Amount missing",IF(NOT(ISNUMBER(D188)),"Amount is not a number",IF(F188="","",IF(ISNA(MATCH(F188,Lists!$G$2:$G$25,0)),"Goal / fund not in list",IF(H188="Income","Fund tag ignored on income","")))))))))))</f>
        <v/>
      </c>
    </row>
    <row r="189">
      <c r="A189" s="27" t="n">
        <v>46117</v>
      </c>
      <c r="B189" s="23" t="inlineStr">
        <is>
          <t>Car insurance</t>
        </is>
      </c>
      <c r="C189" s="23" t="inlineStr">
        <is>
          <t>Insurance</t>
        </is>
      </c>
      <c r="D189" s="28" t="n">
        <v>128</v>
      </c>
      <c r="E189" s="23" t="inlineStr">
        <is>
          <t>Checking</t>
        </is>
      </c>
      <c r="F189" s="23" t="n"/>
      <c r="G189" s="23" t="n"/>
      <c r="H189" s="29">
        <f>IF(C189="","",IFERROR(INDEX(Categories!$B$6:$B$65,MATCH(C189,Categories!$A$6:$A$65,0))&amp;"",""))</f>
        <v/>
      </c>
      <c r="I189" s="25">
        <f>IF(AND(A189="",C189="",D189=""),"",IF(A189="","Date missing",IF(NOT(ISNUMBER(A189)),"Date not recognized",IF(YEAR(A189)&lt;&gt;Settings!$C$4,"Not in "&amp;Settings!$C$4,IF(C189="","Category missing",IF(H189="",IF(COUNTIF(Categories!$A$6:$A$65,C189)&gt;0,"Category has no type","Category not in list"),IF(D189="","Amount missing",IF(NOT(ISNUMBER(D189)),"Amount is not a number",IF(F189="","",IF(ISNA(MATCH(F189,Lists!$G$2:$G$25,0)),"Goal / fund not in list",IF(H189="Income","Fund tag ignored on income","")))))))))))</f>
        <v/>
      </c>
    </row>
    <row r="190">
      <c r="A190" s="27" t="n">
        <v>46117</v>
      </c>
      <c r="B190" s="23" t="inlineStr">
        <is>
          <t>Renters insurance</t>
        </is>
      </c>
      <c r="C190" s="23" t="inlineStr">
        <is>
          <t>Insurance</t>
        </is>
      </c>
      <c r="D190" s="28" t="n">
        <v>18</v>
      </c>
      <c r="E190" s="23" t="inlineStr">
        <is>
          <t>Checking</t>
        </is>
      </c>
      <c r="F190" s="23" t="n"/>
      <c r="G190" s="23" t="n"/>
      <c r="H190" s="29">
        <f>IF(C190="","",IFERROR(INDEX(Categories!$B$6:$B$65,MATCH(C190,Categories!$A$6:$A$65,0))&amp;"",""))</f>
        <v/>
      </c>
      <c r="I190" s="25">
        <f>IF(AND(A190="",C190="",D190=""),"",IF(A190="","Date missing",IF(NOT(ISNUMBER(A190)),"Date not recognized",IF(YEAR(A190)&lt;&gt;Settings!$C$4,"Not in "&amp;Settings!$C$4,IF(C190="","Category missing",IF(H190="",IF(COUNTIF(Categories!$A$6:$A$65,C190)&gt;0,"Category has no type","Category not in list"),IF(D190="","Amount missing",IF(NOT(ISNUMBER(D190)),"Amount is not a number",IF(F190="","",IF(ISNA(MATCH(F190,Lists!$G$2:$G$25,0)),"Goal / fund not in list",IF(H190="Income","Fund tag ignored on income","")))))))))))</f>
        <v/>
      </c>
    </row>
    <row r="191">
      <c r="A191" s="27" t="n">
        <v>46119</v>
      </c>
      <c r="B191" s="23" t="inlineStr">
        <is>
          <t>Music streaming</t>
        </is>
      </c>
      <c r="C191" s="23" t="inlineStr">
        <is>
          <t>Subscriptions</t>
        </is>
      </c>
      <c r="D191" s="28" t="n">
        <v>10.99</v>
      </c>
      <c r="E191" s="23" t="inlineStr">
        <is>
          <t>Credit card</t>
        </is>
      </c>
      <c r="F191" s="23" t="n"/>
      <c r="G191" s="23" t="n"/>
      <c r="H191" s="29">
        <f>IF(C191="","",IFERROR(INDEX(Categories!$B$6:$B$65,MATCH(C191,Categories!$A$6:$A$65,0))&amp;"",""))</f>
        <v/>
      </c>
      <c r="I191" s="25">
        <f>IF(AND(A191="",C191="",D191=""),"",IF(A191="","Date missing",IF(NOT(ISNUMBER(A191)),"Date not recognized",IF(YEAR(A191)&lt;&gt;Settings!$C$4,"Not in "&amp;Settings!$C$4,IF(C191="","Category missing",IF(H191="",IF(COUNTIF(Categories!$A$6:$A$65,C191)&gt;0,"Category has no type","Category not in list"),IF(D191="","Amount missing",IF(NOT(ISNUMBER(D191)),"Amount is not a number",IF(F191="","",IF(ISNA(MATCH(F191,Lists!$G$2:$G$25,0)),"Goal / fund not in list",IF(H191="Income","Fund tag ignored on income","")))))))))))</f>
        <v/>
      </c>
    </row>
    <row r="192">
      <c r="A192" s="27" t="n">
        <v>46120</v>
      </c>
      <c r="B192" s="23" t="inlineStr">
        <is>
          <t>Pizza night</t>
        </is>
      </c>
      <c r="C192" s="23" t="inlineStr">
        <is>
          <t>Dining out</t>
        </is>
      </c>
      <c r="D192" s="28" t="n">
        <v>65.27</v>
      </c>
      <c r="E192" s="23" t="inlineStr">
        <is>
          <t>Credit card</t>
        </is>
      </c>
      <c r="F192" s="23" t="n"/>
      <c r="G192" s="23" t="n"/>
      <c r="H192" s="29">
        <f>IF(C192="","",IFERROR(INDEX(Categories!$B$6:$B$65,MATCH(C192,Categories!$A$6:$A$65,0))&amp;"",""))</f>
        <v/>
      </c>
      <c r="I192" s="25">
        <f>IF(AND(A192="",C192="",D192=""),"",IF(A192="","Date missing",IF(NOT(ISNUMBER(A192)),"Date not recognized",IF(YEAR(A192)&lt;&gt;Settings!$C$4,"Not in "&amp;Settings!$C$4,IF(C192="","Category missing",IF(H192="",IF(COUNTIF(Categories!$A$6:$A$65,C192)&gt;0,"Category has no type","Category not in list"),IF(D192="","Amount missing",IF(NOT(ISNUMBER(D192)),"Amount is not a number",IF(F192="","",IF(ISNA(MATCH(F192,Lists!$G$2:$G$25,0)),"Goal / fund not in list",IF(H192="Income","Fund tag ignored on income","")))))))))))</f>
        <v/>
      </c>
    </row>
    <row r="193">
      <c r="A193" s="27" t="n">
        <v>46120</v>
      </c>
      <c r="B193" s="23" t="inlineStr">
        <is>
          <t>Post office</t>
        </is>
      </c>
      <c r="C193" s="23" t="inlineStr">
        <is>
          <t>Misc</t>
        </is>
      </c>
      <c r="D193" s="28" t="n">
        <v>17.3</v>
      </c>
      <c r="E193" s="23" t="inlineStr">
        <is>
          <t>Cash</t>
        </is>
      </c>
      <c r="F193" s="23" t="n"/>
      <c r="G193" s="23" t="n"/>
      <c r="H193" s="29">
        <f>IF(C193="","",IFERROR(INDEX(Categories!$B$6:$B$65,MATCH(C193,Categories!$A$6:$A$65,0))&amp;"",""))</f>
        <v/>
      </c>
      <c r="I193" s="25">
        <f>IF(AND(A193="",C193="",D193=""),"",IF(A193="","Date missing",IF(NOT(ISNUMBER(A193)),"Date not recognized",IF(YEAR(A193)&lt;&gt;Settings!$C$4,"Not in "&amp;Settings!$C$4,IF(C193="","Category missing",IF(H193="",IF(COUNTIF(Categories!$A$6:$A$65,C193)&gt;0,"Category has no type","Category not in list"),IF(D193="","Amount missing",IF(NOT(ISNUMBER(D193)),"Amount is not a number",IF(F193="","",IF(ISNA(MATCH(F193,Lists!$G$2:$G$25,0)),"Goal / fund not in list",IF(H193="Income","Fund tag ignored on income","")))))))))))</f>
        <v/>
      </c>
    </row>
    <row r="194">
      <c r="A194" s="27" t="n">
        <v>46121</v>
      </c>
      <c r="B194" s="23" t="inlineStr">
        <is>
          <t>Jeans</t>
        </is>
      </c>
      <c r="C194" s="23" t="inlineStr">
        <is>
          <t>Clothing</t>
        </is>
      </c>
      <c r="D194" s="28" t="n">
        <v>26.32</v>
      </c>
      <c r="E194" s="23" t="inlineStr">
        <is>
          <t>Credit card</t>
        </is>
      </c>
      <c r="F194" s="23" t="n"/>
      <c r="G194" s="23" t="n"/>
      <c r="H194" s="29">
        <f>IF(C194="","",IFERROR(INDEX(Categories!$B$6:$B$65,MATCH(C194,Categories!$A$6:$A$65,0))&amp;"",""))</f>
        <v/>
      </c>
      <c r="I194" s="25">
        <f>IF(AND(A194="",C194="",D194=""),"",IF(A194="","Date missing",IF(NOT(ISNUMBER(A194)),"Date not recognized",IF(YEAR(A194)&lt;&gt;Settings!$C$4,"Not in "&amp;Settings!$C$4,IF(C194="","Category missing",IF(H194="",IF(COUNTIF(Categories!$A$6:$A$65,C194)&gt;0,"Category has no type","Category not in list"),IF(D194="","Amount missing",IF(NOT(ISNUMBER(D194)),"Amount is not a number",IF(F194="","",IF(ISNA(MATCH(F194,Lists!$G$2:$G$25,0)),"Goal / fund not in list",IF(H194="Income","Fund tag ignored on income","")))))))))))</f>
        <v/>
      </c>
    </row>
    <row r="195">
      <c r="A195" s="27" t="n">
        <v>46121</v>
      </c>
      <c r="B195" s="23" t="inlineStr">
        <is>
          <t>Pet food</t>
        </is>
      </c>
      <c r="C195" s="23" t="inlineStr">
        <is>
          <t>Pets</t>
        </is>
      </c>
      <c r="D195" s="28" t="n">
        <v>42.15</v>
      </c>
      <c r="E195" s="23" t="inlineStr">
        <is>
          <t>Debit card</t>
        </is>
      </c>
      <c r="F195" s="23" t="n"/>
      <c r="G195" s="23" t="n"/>
      <c r="H195" s="29">
        <f>IF(C195="","",IFERROR(INDEX(Categories!$B$6:$B$65,MATCH(C195,Categories!$A$6:$A$65,0))&amp;"",""))</f>
        <v/>
      </c>
      <c r="I195" s="25">
        <f>IF(AND(A195="",C195="",D195=""),"",IF(A195="","Date missing",IF(NOT(ISNUMBER(A195)),"Date not recognized",IF(YEAR(A195)&lt;&gt;Settings!$C$4,"Not in "&amp;Settings!$C$4,IF(C195="","Category missing",IF(H195="",IF(COUNTIF(Categories!$A$6:$A$65,C195)&gt;0,"Category has no type","Category not in list"),IF(D195="","Amount missing",IF(NOT(ISNUMBER(D195)),"Amount is not a number",IF(F195="","",IF(ISNA(MATCH(F195,Lists!$G$2:$G$25,0)),"Goal / fund not in list",IF(H195="Income","Fund tag ignored on income","")))))))))))</f>
        <v/>
      </c>
    </row>
    <row r="196">
      <c r="A196" s="27" t="n">
        <v>46122</v>
      </c>
      <c r="B196" s="23" t="inlineStr">
        <is>
          <t>Car loan payment</t>
        </is>
      </c>
      <c r="C196" s="23" t="inlineStr">
        <is>
          <t>Car payment</t>
        </is>
      </c>
      <c r="D196" s="28" t="n">
        <v>389</v>
      </c>
      <c r="E196" s="23" t="inlineStr">
        <is>
          <t>Checking</t>
        </is>
      </c>
      <c r="F196" s="23" t="n"/>
      <c r="G196" s="23" t="n"/>
      <c r="H196" s="29">
        <f>IF(C196="","",IFERROR(INDEX(Categories!$B$6:$B$65,MATCH(C196,Categories!$A$6:$A$65,0))&amp;"",""))</f>
        <v/>
      </c>
      <c r="I196" s="25">
        <f>IF(AND(A196="",C196="",D196=""),"",IF(A196="","Date missing",IF(NOT(ISNUMBER(A196)),"Date not recognized",IF(YEAR(A196)&lt;&gt;Settings!$C$4,"Not in "&amp;Settings!$C$4,IF(C196="","Category missing",IF(H196="",IF(COUNTIF(Categories!$A$6:$A$65,C196)&gt;0,"Category has no type","Category not in list"),IF(D196="","Amount missing",IF(NOT(ISNUMBER(D196)),"Amount is not a number",IF(F196="","",IF(ISNA(MATCH(F196,Lists!$G$2:$G$25,0)),"Goal / fund not in list",IF(H196="Income","Fund tag ignored on income","")))))))))))</f>
        <v/>
      </c>
    </row>
    <row r="197">
      <c r="A197" s="27" t="n">
        <v>46122</v>
      </c>
      <c r="B197" s="23" t="inlineStr">
        <is>
          <t>Supermarket</t>
        </is>
      </c>
      <c r="C197" s="23" t="inlineStr">
        <is>
          <t>Groceries</t>
        </is>
      </c>
      <c r="D197" s="28" t="n">
        <v>150.11</v>
      </c>
      <c r="E197" s="23" t="inlineStr">
        <is>
          <t>Debit card</t>
        </is>
      </c>
      <c r="F197" s="23" t="n"/>
      <c r="G197" s="23" t="n"/>
      <c r="H197" s="29">
        <f>IF(C197="","",IFERROR(INDEX(Categories!$B$6:$B$65,MATCH(C197,Categories!$A$6:$A$65,0))&amp;"",""))</f>
        <v/>
      </c>
      <c r="I197" s="25">
        <f>IF(AND(A197="",C197="",D197=""),"",IF(A197="","Date missing",IF(NOT(ISNUMBER(A197)),"Date not recognized",IF(YEAR(A197)&lt;&gt;Settings!$C$4,"Not in "&amp;Settings!$C$4,IF(C197="","Category missing",IF(H197="",IF(COUNTIF(Categories!$A$6:$A$65,C197)&gt;0,"Category has no type","Category not in list"),IF(D197="","Amount missing",IF(NOT(ISNUMBER(D197)),"Amount is not a number",IF(F197="","",IF(ISNA(MATCH(F197,Lists!$G$2:$G$25,0)),"Goal / fund not in list",IF(H197="Income","Fund tag ignored on income","")))))))))))</f>
        <v/>
      </c>
    </row>
    <row r="198">
      <c r="A198" s="27" t="n">
        <v>46122</v>
      </c>
      <c r="B198" s="23" t="inlineStr">
        <is>
          <t>Dentist copay</t>
        </is>
      </c>
      <c r="C198" s="23" t="inlineStr">
        <is>
          <t>Health</t>
        </is>
      </c>
      <c r="D198" s="28" t="n">
        <v>43.15</v>
      </c>
      <c r="E198" s="23" t="inlineStr">
        <is>
          <t>Debit card</t>
        </is>
      </c>
      <c r="F198" s="23" t="n"/>
      <c r="G198" s="23" t="n"/>
      <c r="H198" s="29">
        <f>IF(C198="","",IFERROR(INDEX(Categories!$B$6:$B$65,MATCH(C198,Categories!$A$6:$A$65,0))&amp;"",""))</f>
        <v/>
      </c>
      <c r="I198" s="25">
        <f>IF(AND(A198="",C198="",D198=""),"",IF(A198="","Date missing",IF(NOT(ISNUMBER(A198)),"Date not recognized",IF(YEAR(A198)&lt;&gt;Settings!$C$4,"Not in "&amp;Settings!$C$4,IF(C198="","Category missing",IF(H198="",IF(COUNTIF(Categories!$A$6:$A$65,C198)&gt;0,"Category has no type","Category not in list"),IF(D198="","Amount missing",IF(NOT(ISNUMBER(D198)),"Amount is not a number",IF(F198="","",IF(ISNA(MATCH(F198,Lists!$G$2:$G$25,0)),"Goal / fund not in list",IF(H198="Income","Fund tag ignored on income","")))))))))))</f>
        <v/>
      </c>
    </row>
    <row r="199">
      <c r="A199" s="27" t="n">
        <v>46124</v>
      </c>
      <c r="B199" s="23" t="inlineStr">
        <is>
          <t>Internet</t>
        </is>
      </c>
      <c r="C199" s="23" t="inlineStr">
        <is>
          <t>Internet &amp; Phone</t>
        </is>
      </c>
      <c r="D199" s="28" t="n">
        <v>65</v>
      </c>
      <c r="E199" s="23" t="inlineStr">
        <is>
          <t>Checking</t>
        </is>
      </c>
      <c r="F199" s="23" t="n"/>
      <c r="G199" s="23" t="n"/>
      <c r="H199" s="29">
        <f>IF(C199="","",IFERROR(INDEX(Categories!$B$6:$B$65,MATCH(C199,Categories!$A$6:$A$65,0))&amp;"",""))</f>
        <v/>
      </c>
      <c r="I199" s="25">
        <f>IF(AND(A199="",C199="",D199=""),"",IF(A199="","Date missing",IF(NOT(ISNUMBER(A199)),"Date not recognized",IF(YEAR(A199)&lt;&gt;Settings!$C$4,"Not in "&amp;Settings!$C$4,IF(C199="","Category missing",IF(H199="",IF(COUNTIF(Categories!$A$6:$A$65,C199)&gt;0,"Category has no type","Category not in list"),IF(D199="","Amount missing",IF(NOT(ISNUMBER(D199)),"Amount is not a number",IF(F199="","",IF(ISNA(MATCH(F199,Lists!$G$2:$G$25,0)),"Goal / fund not in list",IF(H199="Income","Fund tag ignored on income","")))))))))))</f>
        <v/>
      </c>
    </row>
    <row r="200">
      <c r="A200" s="27" t="n">
        <v>46124</v>
      </c>
      <c r="B200" s="23" t="inlineStr">
        <is>
          <t>Lunch out</t>
        </is>
      </c>
      <c r="C200" s="23" t="inlineStr">
        <is>
          <t>Dining out</t>
        </is>
      </c>
      <c r="D200" s="28" t="n">
        <v>49.54</v>
      </c>
      <c r="E200" s="23" t="inlineStr">
        <is>
          <t>Credit card</t>
        </is>
      </c>
      <c r="F200" s="23" t="n"/>
      <c r="G200" s="23" t="n"/>
      <c r="H200" s="29">
        <f>IF(C200="","",IFERROR(INDEX(Categories!$B$6:$B$65,MATCH(C200,Categories!$A$6:$A$65,0))&amp;"",""))</f>
        <v/>
      </c>
      <c r="I200" s="25">
        <f>IF(AND(A200="",C200="",D200=""),"",IF(A200="","Date missing",IF(NOT(ISNUMBER(A200)),"Date not recognized",IF(YEAR(A200)&lt;&gt;Settings!$C$4,"Not in "&amp;Settings!$C$4,IF(C200="","Category missing",IF(H200="",IF(COUNTIF(Categories!$A$6:$A$65,C200)&gt;0,"Category has no type","Category not in list"),IF(D200="","Amount missing",IF(NOT(ISNUMBER(D200)),"Amount is not a number",IF(F200="","",IF(ISNA(MATCH(F200,Lists!$G$2:$G$25,0)),"Goal / fund not in list",IF(H200="Income","Fund tag ignored on income","")))))))))))</f>
        <v/>
      </c>
    </row>
    <row r="201">
      <c r="A201" s="27" t="n">
        <v>46124</v>
      </c>
      <c r="B201" s="23" t="inlineStr">
        <is>
          <t>Gas station</t>
        </is>
      </c>
      <c r="C201" s="23" t="inlineStr">
        <is>
          <t>Transport / Gas</t>
        </is>
      </c>
      <c r="D201" s="28" t="n">
        <v>43.05</v>
      </c>
      <c r="E201" s="23" t="inlineStr">
        <is>
          <t>Credit card</t>
        </is>
      </c>
      <c r="F201" s="23" t="n"/>
      <c r="G201" s="23" t="n"/>
      <c r="H201" s="29">
        <f>IF(C201="","",IFERROR(INDEX(Categories!$B$6:$B$65,MATCH(C201,Categories!$A$6:$A$65,0))&amp;"",""))</f>
        <v/>
      </c>
      <c r="I201" s="25">
        <f>IF(AND(A201="",C201="",D201=""),"",IF(A201="","Date missing",IF(NOT(ISNUMBER(A201)),"Date not recognized",IF(YEAR(A201)&lt;&gt;Settings!$C$4,"Not in "&amp;Settings!$C$4,IF(C201="","Category missing",IF(H201="",IF(COUNTIF(Categories!$A$6:$A$65,C201)&gt;0,"Category has no type","Category not in list"),IF(D201="","Amount missing",IF(NOT(ISNUMBER(D201)),"Amount is not a number",IF(F201="","",IF(ISNA(MATCH(F201,Lists!$G$2:$G$25,0)),"Goal / fund not in list",IF(H201="Income","Fund tag ignored on income","")))))))))))</f>
        <v/>
      </c>
    </row>
    <row r="202">
      <c r="A202" s="27" t="n">
        <v>46126</v>
      </c>
      <c r="B202" s="23" t="inlineStr">
        <is>
          <t>Phone plan</t>
        </is>
      </c>
      <c r="C202" s="23" t="inlineStr">
        <is>
          <t>Internet &amp; Phone</t>
        </is>
      </c>
      <c r="D202" s="28" t="n">
        <v>70</v>
      </c>
      <c r="E202" s="23" t="inlineStr">
        <is>
          <t>Credit card</t>
        </is>
      </c>
      <c r="F202" s="23" t="n"/>
      <c r="G202" s="23" t="n"/>
      <c r="H202" s="29">
        <f>IF(C202="","",IFERROR(INDEX(Categories!$B$6:$B$65,MATCH(C202,Categories!$A$6:$A$65,0))&amp;"",""))</f>
        <v/>
      </c>
      <c r="I202" s="25">
        <f>IF(AND(A202="",C202="",D202=""),"",IF(A202="","Date missing",IF(NOT(ISNUMBER(A202)),"Date not recognized",IF(YEAR(A202)&lt;&gt;Settings!$C$4,"Not in "&amp;Settings!$C$4,IF(C202="","Category missing",IF(H202="",IF(COUNTIF(Categories!$A$6:$A$65,C202)&gt;0,"Category has no type","Category not in list"),IF(D202="","Amount missing",IF(NOT(ISNUMBER(D202)),"Amount is not a number",IF(F202="","",IF(ISNA(MATCH(F202,Lists!$G$2:$G$25,0)),"Goal / fund not in list",IF(H202="Income","Fund tag ignored on income","")))))))))))</f>
        <v/>
      </c>
    </row>
    <row r="203">
      <c r="A203" s="27" t="n">
        <v>46127</v>
      </c>
      <c r="B203" s="23" t="inlineStr">
        <is>
          <t>Alex paycheck</t>
        </is>
      </c>
      <c r="C203" s="23" t="inlineStr">
        <is>
          <t>Paycheck 1</t>
        </is>
      </c>
      <c r="D203" s="28" t="n">
        <v>2100</v>
      </c>
      <c r="E203" s="23" t="inlineStr">
        <is>
          <t>Checking</t>
        </is>
      </c>
      <c r="F203" s="23" t="n"/>
      <c r="G203" s="23" t="n"/>
      <c r="H203" s="29">
        <f>IF(C203="","",IFERROR(INDEX(Categories!$B$6:$B$65,MATCH(C203,Categories!$A$6:$A$65,0))&amp;"",""))</f>
        <v/>
      </c>
      <c r="I203" s="25">
        <f>IF(AND(A203="",C203="",D203=""),"",IF(A203="","Date missing",IF(NOT(ISNUMBER(A203)),"Date not recognized",IF(YEAR(A203)&lt;&gt;Settings!$C$4,"Not in "&amp;Settings!$C$4,IF(C203="","Category missing",IF(H203="",IF(COUNTIF(Categories!$A$6:$A$65,C203)&gt;0,"Category has no type","Category not in list"),IF(D203="","Amount missing",IF(NOT(ISNUMBER(D203)),"Amount is not a number",IF(F203="","",IF(ISNA(MATCH(F203,Lists!$G$2:$G$25,0)),"Goal / fund not in list",IF(H203="Income","Fund tag ignored on income","")))))))))))</f>
        <v/>
      </c>
    </row>
    <row r="204">
      <c r="A204" s="27" t="n">
        <v>46127</v>
      </c>
      <c r="B204" s="23" t="inlineStr">
        <is>
          <t>Dinner out</t>
        </is>
      </c>
      <c r="C204" s="23" t="inlineStr">
        <is>
          <t>Dining out</t>
        </is>
      </c>
      <c r="D204" s="28" t="n">
        <v>28.5</v>
      </c>
      <c r="E204" s="23" t="inlineStr">
        <is>
          <t>Credit card</t>
        </is>
      </c>
      <c r="F204" s="23" t="n"/>
      <c r="G204" s="23" t="n"/>
      <c r="H204" s="29">
        <f>IF(C204="","",IFERROR(INDEX(Categories!$B$6:$B$65,MATCH(C204,Categories!$A$6:$A$65,0))&amp;"",""))</f>
        <v/>
      </c>
      <c r="I204" s="25">
        <f>IF(AND(A204="",C204="",D204=""),"",IF(A204="","Date missing",IF(NOT(ISNUMBER(A204)),"Date not recognized",IF(YEAR(A204)&lt;&gt;Settings!$C$4,"Not in "&amp;Settings!$C$4,IF(C204="","Category missing",IF(H204="",IF(COUNTIF(Categories!$A$6:$A$65,C204)&gt;0,"Category has no type","Category not in list"),IF(D204="","Amount missing",IF(NOT(ISNUMBER(D204)),"Amount is not a number",IF(F204="","",IF(ISNA(MATCH(F204,Lists!$G$2:$G$25,0)),"Goal / fund not in list",IF(H204="Income","Fund tag ignored on income","")))))))))))</f>
        <v/>
      </c>
    </row>
    <row r="205">
      <c r="A205" s="27" t="n">
        <v>46128</v>
      </c>
      <c r="B205" s="23" t="inlineStr">
        <is>
          <t>Swim lessons</t>
        </is>
      </c>
      <c r="C205" s="23" t="inlineStr">
        <is>
          <t>Kids</t>
        </is>
      </c>
      <c r="D205" s="28" t="n">
        <v>92.06999999999999</v>
      </c>
      <c r="E205" s="23" t="inlineStr">
        <is>
          <t>Debit card</t>
        </is>
      </c>
      <c r="F205" s="23" t="n"/>
      <c r="G205" s="23" t="n"/>
      <c r="H205" s="29">
        <f>IF(C205="","",IFERROR(INDEX(Categories!$B$6:$B$65,MATCH(C205,Categories!$A$6:$A$65,0))&amp;"",""))</f>
        <v/>
      </c>
      <c r="I205" s="25">
        <f>IF(AND(A205="",C205="",D205=""),"",IF(A205="","Date missing",IF(NOT(ISNUMBER(A205)),"Date not recognized",IF(YEAR(A205)&lt;&gt;Settings!$C$4,"Not in "&amp;Settings!$C$4,IF(C205="","Category missing",IF(H205="",IF(COUNTIF(Categories!$A$6:$A$65,C205)&gt;0,"Category has no type","Category not in list"),IF(D205="","Amount missing",IF(NOT(ISNUMBER(D205)),"Amount is not a number",IF(F205="","",IF(ISNA(MATCH(F205,Lists!$G$2:$G$25,0)),"Goal / fund not in list",IF(H205="Income","Fund tag ignored on income","")))))))))))</f>
        <v/>
      </c>
    </row>
    <row r="206">
      <c r="A206" s="27" t="n">
        <v>46129</v>
      </c>
      <c r="B206" s="23" t="inlineStr">
        <is>
          <t>Warehouse store</t>
        </is>
      </c>
      <c r="C206" s="23" t="inlineStr">
        <is>
          <t>Groceries</t>
        </is>
      </c>
      <c r="D206" s="28" t="n">
        <v>158.9</v>
      </c>
      <c r="E206" s="23" t="inlineStr">
        <is>
          <t>Debit card</t>
        </is>
      </c>
      <c r="F206" s="23" t="n"/>
      <c r="G206" s="23" t="n"/>
      <c r="H206" s="29">
        <f>IF(C206="","",IFERROR(INDEX(Categories!$B$6:$B$65,MATCH(C206,Categories!$A$6:$A$65,0))&amp;"",""))</f>
        <v/>
      </c>
      <c r="I206" s="25">
        <f>IF(AND(A206="",C206="",D206=""),"",IF(A206="","Date missing",IF(NOT(ISNUMBER(A206)),"Date not recognized",IF(YEAR(A206)&lt;&gt;Settings!$C$4,"Not in "&amp;Settings!$C$4,IF(C206="","Category missing",IF(H206="",IF(COUNTIF(Categories!$A$6:$A$65,C206)&gt;0,"Category has no type","Category not in list"),IF(D206="","Amount missing",IF(NOT(ISNUMBER(D206)),"Amount is not a number",IF(F206="","",IF(ISNA(MATCH(F206,Lists!$G$2:$G$25,0)),"Goal / fund not in list",IF(H206="Income","Fund tag ignored on income","")))))))))))</f>
        <v/>
      </c>
    </row>
    <row r="207">
      <c r="A207" s="27" t="n">
        <v>46130</v>
      </c>
      <c r="B207" s="23" t="inlineStr">
        <is>
          <t>Electric bill</t>
        </is>
      </c>
      <c r="C207" s="23" t="inlineStr">
        <is>
          <t>Utilities</t>
        </is>
      </c>
      <c r="D207" s="28" t="n">
        <v>82.44</v>
      </c>
      <c r="E207" s="23" t="inlineStr">
        <is>
          <t>Checking</t>
        </is>
      </c>
      <c r="F207" s="23" t="n"/>
      <c r="G207" s="23" t="n"/>
      <c r="H207" s="29">
        <f>IF(C207="","",IFERROR(INDEX(Categories!$B$6:$B$65,MATCH(C207,Categories!$A$6:$A$65,0))&amp;"",""))</f>
        <v/>
      </c>
      <c r="I207" s="25">
        <f>IF(AND(A207="",C207="",D207=""),"",IF(A207="","Date missing",IF(NOT(ISNUMBER(A207)),"Date not recognized",IF(YEAR(A207)&lt;&gt;Settings!$C$4,"Not in "&amp;Settings!$C$4,IF(C207="","Category missing",IF(H207="",IF(COUNTIF(Categories!$A$6:$A$65,C207)&gt;0,"Category has no type","Category not in list"),IF(D207="","Amount missing",IF(NOT(ISNUMBER(D207)),"Amount is not a number",IF(F207="","",IF(ISNA(MATCH(F207,Lists!$G$2:$G$25,0)),"Goal / fund not in list",IF(H207="Income","Fund tag ignored on income","")))))))))))</f>
        <v/>
      </c>
    </row>
    <row r="208">
      <c r="A208" s="27" t="n">
        <v>46130</v>
      </c>
      <c r="B208" s="23" t="inlineStr">
        <is>
          <t>Dinner out</t>
        </is>
      </c>
      <c r="C208" s="23" t="inlineStr">
        <is>
          <t>Dining out</t>
        </is>
      </c>
      <c r="D208" s="28" t="n">
        <v>19.76</v>
      </c>
      <c r="E208" s="23" t="inlineStr">
        <is>
          <t>Credit card</t>
        </is>
      </c>
      <c r="F208" s="23" t="n"/>
      <c r="G208" s="23" t="n"/>
      <c r="H208" s="29">
        <f>IF(C208="","",IFERROR(INDEX(Categories!$B$6:$B$65,MATCH(C208,Categories!$A$6:$A$65,0))&amp;"",""))</f>
        <v/>
      </c>
      <c r="I208" s="25">
        <f>IF(AND(A208="",C208="",D208=""),"",IF(A208="","Date missing",IF(NOT(ISNUMBER(A208)),"Date not recognized",IF(YEAR(A208)&lt;&gt;Settings!$C$4,"Not in "&amp;Settings!$C$4,IF(C208="","Category missing",IF(H208="",IF(COUNTIF(Categories!$A$6:$A$65,C208)&gt;0,"Category has no type","Category not in list"),IF(D208="","Amount missing",IF(NOT(ISNUMBER(D208)),"Amount is not a number",IF(F208="","",IF(ISNA(MATCH(F208,Lists!$G$2:$G$25,0)),"Goal / fund not in list",IF(H208="Income","Fund tag ignored on income","")))))))))))</f>
        <v/>
      </c>
    </row>
    <row r="209">
      <c r="A209" s="27" t="n">
        <v>46130</v>
      </c>
      <c r="B209" s="23" t="inlineStr">
        <is>
          <t>Pharmacy</t>
        </is>
      </c>
      <c r="C209" s="23" t="inlineStr">
        <is>
          <t>Health</t>
        </is>
      </c>
      <c r="D209" s="28" t="n">
        <v>25.65</v>
      </c>
      <c r="E209" s="23" t="inlineStr">
        <is>
          <t>Debit card</t>
        </is>
      </c>
      <c r="F209" s="23" t="n"/>
      <c r="G209" s="23" t="n"/>
      <c r="H209" s="29">
        <f>IF(C209="","",IFERROR(INDEX(Categories!$B$6:$B$65,MATCH(C209,Categories!$A$6:$A$65,0))&amp;"",""))</f>
        <v/>
      </c>
      <c r="I209" s="25">
        <f>IF(AND(A209="",C209="",D209=""),"",IF(A209="","Date missing",IF(NOT(ISNUMBER(A209)),"Date not recognized",IF(YEAR(A209)&lt;&gt;Settings!$C$4,"Not in "&amp;Settings!$C$4,IF(C209="","Category missing",IF(H209="",IF(COUNTIF(Categories!$A$6:$A$65,C209)&gt;0,"Category has no type","Category not in list"),IF(D209="","Amount missing",IF(NOT(ISNUMBER(D209)),"Amount is not a number",IF(F209="","",IF(ISNA(MATCH(F209,Lists!$G$2:$G$25,0)),"Goal / fund not in list",IF(H209="Income","Fund tag ignored on income","")))))))))))</f>
        <v/>
      </c>
    </row>
    <row r="210">
      <c r="A210" s="27" t="n">
        <v>46130</v>
      </c>
      <c r="B210" s="23" t="inlineStr">
        <is>
          <t>Tax refund</t>
        </is>
      </c>
      <c r="C210" s="23" t="inlineStr">
        <is>
          <t>Other income</t>
        </is>
      </c>
      <c r="D210" s="28" t="n">
        <v>1240</v>
      </c>
      <c r="E210" s="23" t="inlineStr">
        <is>
          <t>Checking</t>
        </is>
      </c>
      <c r="F210" s="23" t="n"/>
      <c r="G210" s="23" t="n"/>
      <c r="H210" s="29">
        <f>IF(C210="","",IFERROR(INDEX(Categories!$B$6:$B$65,MATCH(C210,Categories!$A$6:$A$65,0))&amp;"",""))</f>
        <v/>
      </c>
      <c r="I210" s="25">
        <f>IF(AND(A210="",C210="",D210=""),"",IF(A210="","Date missing",IF(NOT(ISNUMBER(A210)),"Date not recognized",IF(YEAR(A210)&lt;&gt;Settings!$C$4,"Not in "&amp;Settings!$C$4,IF(C210="","Category missing",IF(H210="",IF(COUNTIF(Categories!$A$6:$A$65,C210)&gt;0,"Category has no type","Category not in list"),IF(D210="","Amount missing",IF(NOT(ISNUMBER(D210)),"Amount is not a number",IF(F210="","",IF(ISNA(MATCH(F210,Lists!$G$2:$G$25,0)),"Goal / fund not in list",IF(H210="Income","Fund tag ignored on income","")))))))))))</f>
        <v/>
      </c>
    </row>
    <row r="211">
      <c r="A211" s="27" t="n">
        <v>46132</v>
      </c>
      <c r="B211" s="23" t="inlineStr">
        <is>
          <t>Gas bill</t>
        </is>
      </c>
      <c r="C211" s="23" t="inlineStr">
        <is>
          <t>Utilities</t>
        </is>
      </c>
      <c r="D211" s="28" t="n">
        <v>59.59</v>
      </c>
      <c r="E211" s="23" t="inlineStr">
        <is>
          <t>Checking</t>
        </is>
      </c>
      <c r="F211" s="23" t="n"/>
      <c r="G211" s="23" t="n"/>
      <c r="H211" s="29">
        <f>IF(C211="","",IFERROR(INDEX(Categories!$B$6:$B$65,MATCH(C211,Categories!$A$6:$A$65,0))&amp;"",""))</f>
        <v/>
      </c>
      <c r="I211" s="25">
        <f>IF(AND(A211="",C211="",D211=""),"",IF(A211="","Date missing",IF(NOT(ISNUMBER(A211)),"Date not recognized",IF(YEAR(A211)&lt;&gt;Settings!$C$4,"Not in "&amp;Settings!$C$4,IF(C211="","Category missing",IF(H211="",IF(COUNTIF(Categories!$A$6:$A$65,C211)&gt;0,"Category has no type","Category not in list"),IF(D211="","Amount missing",IF(NOT(ISNUMBER(D211)),"Amount is not a number",IF(F211="","",IF(ISNA(MATCH(F211,Lists!$G$2:$G$25,0)),"Goal / fund not in list",IF(H211="Income","Fund tag ignored on income","")))))))))))</f>
        <v/>
      </c>
    </row>
    <row r="212">
      <c r="A212" s="27" t="n">
        <v>46132</v>
      </c>
      <c r="B212" s="23" t="inlineStr">
        <is>
          <t>Gas station</t>
        </is>
      </c>
      <c r="C212" s="23" t="inlineStr">
        <is>
          <t>Transport / Gas</t>
        </is>
      </c>
      <c r="D212" s="28" t="n">
        <v>51.52</v>
      </c>
      <c r="E212" s="23" t="inlineStr">
        <is>
          <t>Credit card</t>
        </is>
      </c>
      <c r="F212" s="23" t="n"/>
      <c r="G212" s="23" t="n"/>
      <c r="H212" s="29">
        <f>IF(C212="","",IFERROR(INDEX(Categories!$B$6:$B$65,MATCH(C212,Categories!$A$6:$A$65,0))&amp;"",""))</f>
        <v/>
      </c>
      <c r="I212" s="25">
        <f>IF(AND(A212="",C212="",D212=""),"",IF(A212="","Date missing",IF(NOT(ISNUMBER(A212)),"Date not recognized",IF(YEAR(A212)&lt;&gt;Settings!$C$4,"Not in "&amp;Settings!$C$4,IF(C212="","Category missing",IF(H212="",IF(COUNTIF(Categories!$A$6:$A$65,C212)&gt;0,"Category has no type","Category not in list"),IF(D212="","Amount missing",IF(NOT(ISNUMBER(D212)),"Amount is not a number",IF(F212="","",IF(ISNA(MATCH(F212,Lists!$G$2:$G$25,0)),"Goal / fund not in list",IF(H212="Income","Fund tag ignored on income","")))))))))))</f>
        <v/>
      </c>
    </row>
    <row r="213">
      <c r="A213" s="27" t="n">
        <v>46132</v>
      </c>
      <c r="B213" s="23" t="inlineStr">
        <is>
          <t>Credit card payment + extra</t>
        </is>
      </c>
      <c r="C213" s="23" t="inlineStr">
        <is>
          <t>Debt payments</t>
        </is>
      </c>
      <c r="D213" s="28" t="n">
        <v>260</v>
      </c>
      <c r="E213" s="23" t="inlineStr">
        <is>
          <t>Checking</t>
        </is>
      </c>
      <c r="F213" s="23" t="n"/>
      <c r="G213" s="23" t="n"/>
      <c r="H213" s="29">
        <f>IF(C213="","",IFERROR(INDEX(Categories!$B$6:$B$65,MATCH(C213,Categories!$A$6:$A$65,0))&amp;"",""))</f>
        <v/>
      </c>
      <c r="I213" s="25">
        <f>IF(AND(A213="",C213="",D213=""),"",IF(A213="","Date missing",IF(NOT(ISNUMBER(A213)),"Date not recognized",IF(YEAR(A213)&lt;&gt;Settings!$C$4,"Not in "&amp;Settings!$C$4,IF(C213="","Category missing",IF(H213="",IF(COUNTIF(Categories!$A$6:$A$65,C213)&gt;0,"Category has no type","Category not in list"),IF(D213="","Amount missing",IF(NOT(ISNUMBER(D213)),"Amount is not a number",IF(F213="","",IF(ISNA(MATCH(F213,Lists!$G$2:$G$25,0)),"Goal / fund not in list",IF(H213="Income","Fund tag ignored on income","")))))))))))</f>
        <v/>
      </c>
    </row>
    <row r="214">
      <c r="A214" s="27" t="n">
        <v>46132</v>
      </c>
      <c r="B214" s="23" t="inlineStr">
        <is>
          <t>Medical bill installment</t>
        </is>
      </c>
      <c r="C214" s="23" t="inlineStr">
        <is>
          <t>Debt payments</t>
        </is>
      </c>
      <c r="D214" s="28" t="n">
        <v>40</v>
      </c>
      <c r="E214" s="23" t="inlineStr">
        <is>
          <t>Checking</t>
        </is>
      </c>
      <c r="F214" s="23" t="n"/>
      <c r="G214" s="23" t="n"/>
      <c r="H214" s="29">
        <f>IF(C214="","",IFERROR(INDEX(Categories!$B$6:$B$65,MATCH(C214,Categories!$A$6:$A$65,0))&amp;"",""))</f>
        <v/>
      </c>
      <c r="I214" s="25">
        <f>IF(AND(A214="",C214="",D214=""),"",IF(A214="","Date missing",IF(NOT(ISNUMBER(A214)),"Date not recognized",IF(YEAR(A214)&lt;&gt;Settings!$C$4,"Not in "&amp;Settings!$C$4,IF(C214="","Category missing",IF(H214="",IF(COUNTIF(Categories!$A$6:$A$65,C214)&gt;0,"Category has no type","Category not in list"),IF(D214="","Amount missing",IF(NOT(ISNUMBER(D214)),"Amount is not a number",IF(F214="","",IF(ISNA(MATCH(F214,Lists!$G$2:$G$25,0)),"Goal / fund not in list",IF(H214="Income","Fund tag ignored on income","")))))))))))</f>
        <v/>
      </c>
    </row>
    <row r="215">
      <c r="A215" s="27" t="n">
        <v>46133</v>
      </c>
      <c r="B215" s="23" t="inlineStr">
        <is>
          <t>Personal loan payment</t>
        </is>
      </c>
      <c r="C215" s="23" t="inlineStr">
        <is>
          <t>Debt payments</t>
        </is>
      </c>
      <c r="D215" s="28" t="n">
        <v>210</v>
      </c>
      <c r="E215" s="23" t="inlineStr">
        <is>
          <t>Checking</t>
        </is>
      </c>
      <c r="F215" s="23" t="n"/>
      <c r="G215" s="23" t="n"/>
      <c r="H215" s="29">
        <f>IF(C215="","",IFERROR(INDEX(Categories!$B$6:$B$65,MATCH(C215,Categories!$A$6:$A$65,0))&amp;"",""))</f>
        <v/>
      </c>
      <c r="I215" s="25">
        <f>IF(AND(A215="",C215="",D215=""),"",IF(A215="","Date missing",IF(NOT(ISNUMBER(A215)),"Date not recognized",IF(YEAR(A215)&lt;&gt;Settings!$C$4,"Not in "&amp;Settings!$C$4,IF(C215="","Category missing",IF(H215="",IF(COUNTIF(Categories!$A$6:$A$65,C215)&gt;0,"Category has no type","Category not in list"),IF(D215="","Amount missing",IF(NOT(ISNUMBER(D215)),"Amount is not a number",IF(F215="","",IF(ISNA(MATCH(F215,Lists!$G$2:$G$25,0)),"Goal / fund not in list",IF(H215="Income","Fund tag ignored on income","")))))))))))</f>
        <v/>
      </c>
    </row>
    <row r="216">
      <c r="A216" s="27" t="n">
        <v>46134</v>
      </c>
      <c r="B216" s="23" t="inlineStr">
        <is>
          <t>Water &amp; trash</t>
        </is>
      </c>
      <c r="C216" s="23" t="inlineStr">
        <is>
          <t>Utilities</t>
        </is>
      </c>
      <c r="D216" s="28" t="n">
        <v>54.3</v>
      </c>
      <c r="E216" s="23" t="inlineStr">
        <is>
          <t>Checking</t>
        </is>
      </c>
      <c r="F216" s="23" t="n"/>
      <c r="G216" s="23" t="n"/>
      <c r="H216" s="29">
        <f>IF(C216="","",IFERROR(INDEX(Categories!$B$6:$B$65,MATCH(C216,Categories!$A$6:$A$65,0))&amp;"",""))</f>
        <v/>
      </c>
      <c r="I216" s="25">
        <f>IF(AND(A216="",C216="",D216=""),"",IF(A216="","Date missing",IF(NOT(ISNUMBER(A216)),"Date not recognized",IF(YEAR(A216)&lt;&gt;Settings!$C$4,"Not in "&amp;Settings!$C$4,IF(C216="","Category missing",IF(H216="",IF(COUNTIF(Categories!$A$6:$A$65,C216)&gt;0,"Category has no type","Category not in list"),IF(D216="","Amount missing",IF(NOT(ISNUMBER(D216)),"Amount is not a number",IF(F216="","",IF(ISNA(MATCH(F216,Lists!$G$2:$G$25,0)),"Goal / fund not in list",IF(H216="Income","Fund tag ignored on income","")))))))))))</f>
        <v/>
      </c>
    </row>
    <row r="217">
      <c r="A217" s="27" t="n">
        <v>46136</v>
      </c>
      <c r="B217" s="23" t="inlineStr">
        <is>
          <t>Farmers market</t>
        </is>
      </c>
      <c r="C217" s="23" t="inlineStr">
        <is>
          <t>Groceries</t>
        </is>
      </c>
      <c r="D217" s="28" t="n">
        <v>186.4</v>
      </c>
      <c r="E217" s="23" t="inlineStr">
        <is>
          <t>Debit card</t>
        </is>
      </c>
      <c r="F217" s="23" t="n"/>
      <c r="G217" s="23" t="n"/>
      <c r="H217" s="29">
        <f>IF(C217="","",IFERROR(INDEX(Categories!$B$6:$B$65,MATCH(C217,Categories!$A$6:$A$65,0))&amp;"",""))</f>
        <v/>
      </c>
      <c r="I217" s="25">
        <f>IF(AND(A217="",C217="",D217=""),"",IF(A217="","Date missing",IF(NOT(ISNUMBER(A217)),"Date not recognized",IF(YEAR(A217)&lt;&gt;Settings!$C$4,"Not in "&amp;Settings!$C$4,IF(C217="","Category missing",IF(H217="",IF(COUNTIF(Categories!$A$6:$A$65,C217)&gt;0,"Category has no type","Category not in list"),IF(D217="","Amount missing",IF(NOT(ISNUMBER(D217)),"Amount is not a number",IF(F217="","",IF(ISNA(MATCH(F217,Lists!$G$2:$G$25,0)),"Goal / fund not in list",IF(H217="Income","Fund tag ignored on income","")))))))))))</f>
        <v/>
      </c>
    </row>
    <row r="218">
      <c r="A218" s="27" t="n">
        <v>46136</v>
      </c>
      <c r="B218" s="23" t="inlineStr">
        <is>
          <t>Concert</t>
        </is>
      </c>
      <c r="C218" s="23" t="inlineStr">
        <is>
          <t>Entertainment</t>
        </is>
      </c>
      <c r="D218" s="28" t="n">
        <v>41.71</v>
      </c>
      <c r="E218" s="23" t="inlineStr">
        <is>
          <t>Credit card</t>
        </is>
      </c>
      <c r="F218" s="23" t="n"/>
      <c r="G218" s="23" t="n"/>
      <c r="H218" s="29">
        <f>IF(C218="","",IFERROR(INDEX(Categories!$B$6:$B$65,MATCH(C218,Categories!$A$6:$A$65,0))&amp;"",""))</f>
        <v/>
      </c>
      <c r="I218" s="25">
        <f>IF(AND(A218="",C218="",D218=""),"",IF(A218="","Date missing",IF(NOT(ISNUMBER(A218)),"Date not recognized",IF(YEAR(A218)&lt;&gt;Settings!$C$4,"Not in "&amp;Settings!$C$4,IF(C218="","Category missing",IF(H218="",IF(COUNTIF(Categories!$A$6:$A$65,C218)&gt;0,"Category has no type","Category not in list"),IF(D218="","Amount missing",IF(NOT(ISNUMBER(D218)),"Amount is not a number",IF(F218="","",IF(ISNA(MATCH(F218,Lists!$G$2:$G$25,0)),"Goal / fund not in list",IF(H218="Income","Fund tag ignored on income","")))))))))))</f>
        <v/>
      </c>
    </row>
    <row r="219">
      <c r="A219" s="27" t="n">
        <v>46137</v>
      </c>
      <c r="B219" s="23" t="inlineStr">
        <is>
          <t>Student loan payment</t>
        </is>
      </c>
      <c r="C219" s="23" t="inlineStr">
        <is>
          <t>Debt payments</t>
        </is>
      </c>
      <c r="D219" s="28" t="n">
        <v>165</v>
      </c>
      <c r="E219" s="23" t="inlineStr">
        <is>
          <t>Checking</t>
        </is>
      </c>
      <c r="F219" s="23" t="n"/>
      <c r="G219" s="23" t="n"/>
      <c r="H219" s="29">
        <f>IF(C219="","",IFERROR(INDEX(Categories!$B$6:$B$65,MATCH(C219,Categories!$A$6:$A$65,0))&amp;"",""))</f>
        <v/>
      </c>
      <c r="I219" s="25">
        <f>IF(AND(A219="",C219="",D219=""),"",IF(A219="","Date missing",IF(NOT(ISNUMBER(A219)),"Date not recognized",IF(YEAR(A219)&lt;&gt;Settings!$C$4,"Not in "&amp;Settings!$C$4,IF(C219="","Category missing",IF(H219="",IF(COUNTIF(Categories!$A$6:$A$65,C219)&gt;0,"Category has no type","Category not in list"),IF(D219="","Amount missing",IF(NOT(ISNUMBER(D219)),"Amount is not a number",IF(F219="","",IF(ISNA(MATCH(F219,Lists!$G$2:$G$25,0)),"Goal / fund not in list",IF(H219="Income","Fund tag ignored on income","")))))))))))</f>
        <v/>
      </c>
    </row>
    <row r="220">
      <c r="A220" s="27" t="n">
        <v>46138</v>
      </c>
      <c r="B220" s="23" t="inlineStr">
        <is>
          <t>Lunch out</t>
        </is>
      </c>
      <c r="C220" s="23" t="inlineStr">
        <is>
          <t>Dining out</t>
        </is>
      </c>
      <c r="D220" s="28" t="n">
        <v>21.78</v>
      </c>
      <c r="E220" s="23" t="inlineStr">
        <is>
          <t>Credit card</t>
        </is>
      </c>
      <c r="F220" s="23" t="n"/>
      <c r="G220" s="23" t="n"/>
      <c r="H220" s="29">
        <f>IF(C220="","",IFERROR(INDEX(Categories!$B$6:$B$65,MATCH(C220,Categories!$A$6:$A$65,0))&amp;"",""))</f>
        <v/>
      </c>
      <c r="I220" s="25">
        <f>IF(AND(A220="",C220="",D220=""),"",IF(A220="","Date missing",IF(NOT(ISNUMBER(A220)),"Date not recognized",IF(YEAR(A220)&lt;&gt;Settings!$C$4,"Not in "&amp;Settings!$C$4,IF(C220="","Category missing",IF(H220="",IF(COUNTIF(Categories!$A$6:$A$65,C220)&gt;0,"Category has no type","Category not in list"),IF(D220="","Amount missing",IF(NOT(ISNUMBER(D220)),"Amount is not a number",IF(F220="","",IF(ISNA(MATCH(F220,Lists!$G$2:$G$25,0)),"Goal / fund not in list",IF(H220="Income","Fund tag ignored on income","")))))))))))</f>
        <v/>
      </c>
    </row>
    <row r="221">
      <c r="A221" s="27" t="n">
        <v>46139</v>
      </c>
      <c r="B221" s="23" t="inlineStr">
        <is>
          <t>Gas station</t>
        </is>
      </c>
      <c r="C221" s="23" t="inlineStr">
        <is>
          <t>Transport / Gas</t>
        </is>
      </c>
      <c r="D221" s="28" t="n">
        <v>51.16</v>
      </c>
      <c r="E221" s="23" t="inlineStr">
        <is>
          <t>Credit card</t>
        </is>
      </c>
      <c r="F221" s="23" t="n"/>
      <c r="G221" s="23" t="n"/>
      <c r="H221" s="29">
        <f>IF(C221="","",IFERROR(INDEX(Categories!$B$6:$B$65,MATCH(C221,Categories!$A$6:$A$65,0))&amp;"",""))</f>
        <v/>
      </c>
      <c r="I221" s="25">
        <f>IF(AND(A221="",C221="",D221=""),"",IF(A221="","Date missing",IF(NOT(ISNUMBER(A221)),"Date not recognized",IF(YEAR(A221)&lt;&gt;Settings!$C$4,"Not in "&amp;Settings!$C$4,IF(C221="","Category missing",IF(H221="",IF(COUNTIF(Categories!$A$6:$A$65,C221)&gt;0,"Category has no type","Category not in list"),IF(D221="","Amount missing",IF(NOT(ISNUMBER(D221)),"Amount is not a number",IF(F221="","",IF(ISNA(MATCH(F221,Lists!$G$2:$G$25,0)),"Goal / fund not in list",IF(H221="Income","Fund tag ignored on income","")))))))))))</f>
        <v/>
      </c>
    </row>
    <row r="222">
      <c r="A222" s="27" t="n">
        <v>46140</v>
      </c>
      <c r="B222" s="23" t="inlineStr">
        <is>
          <t>Sam paycheck</t>
        </is>
      </c>
      <c r="C222" s="23" t="inlineStr">
        <is>
          <t>Paycheck 2</t>
        </is>
      </c>
      <c r="D222" s="28" t="n">
        <v>2950</v>
      </c>
      <c r="E222" s="23" t="inlineStr">
        <is>
          <t>Checking</t>
        </is>
      </c>
      <c r="F222" s="23" t="n"/>
      <c r="G222" s="23" t="n"/>
      <c r="H222" s="29">
        <f>IF(C222="","",IFERROR(INDEX(Categories!$B$6:$B$65,MATCH(C222,Categories!$A$6:$A$65,0))&amp;"",""))</f>
        <v/>
      </c>
      <c r="I222" s="25">
        <f>IF(AND(A222="",C222="",D222=""),"",IF(A222="","Date missing",IF(NOT(ISNUMBER(A222)),"Date not recognized",IF(YEAR(A222)&lt;&gt;Settings!$C$4,"Not in "&amp;Settings!$C$4,IF(C222="","Category missing",IF(H222="",IF(COUNTIF(Categories!$A$6:$A$65,C222)&gt;0,"Category has no type","Category not in list"),IF(D222="","Amount missing",IF(NOT(ISNUMBER(D222)),"Amount is not a number",IF(F222="","",IF(ISNA(MATCH(F222,Lists!$G$2:$G$25,0)),"Goal / fund not in list",IF(H222="Income","Fund tag ignored on income","")))))))))))</f>
        <v/>
      </c>
    </row>
    <row r="223">
      <c r="A223" s="27" t="n">
        <v>46140</v>
      </c>
      <c r="B223" s="23" t="inlineStr">
        <is>
          <t>Kitchen items</t>
        </is>
      </c>
      <c r="C223" s="23" t="inlineStr">
        <is>
          <t>Home &amp; repairs</t>
        </is>
      </c>
      <c r="D223" s="28" t="n">
        <v>49.92</v>
      </c>
      <c r="E223" s="23" t="inlineStr">
        <is>
          <t>Debit card</t>
        </is>
      </c>
      <c r="F223" s="23" t="n"/>
      <c r="G223" s="23" t="n"/>
      <c r="H223" s="29">
        <f>IF(C223="","",IFERROR(INDEX(Categories!$B$6:$B$65,MATCH(C223,Categories!$A$6:$A$65,0))&amp;"",""))</f>
        <v/>
      </c>
      <c r="I223" s="25">
        <f>IF(AND(A223="",C223="",D223=""),"",IF(A223="","Date missing",IF(NOT(ISNUMBER(A223)),"Date not recognized",IF(YEAR(A223)&lt;&gt;Settings!$C$4,"Not in "&amp;Settings!$C$4,IF(C223="","Category missing",IF(H223="",IF(COUNTIF(Categories!$A$6:$A$65,C223)&gt;0,"Category has no type","Category not in list"),IF(D223="","Amount missing",IF(NOT(ISNUMBER(D223)),"Amount is not a number",IF(F223="","",IF(ISNA(MATCH(F223,Lists!$G$2:$G$25,0)),"Goal / fund not in list",IF(H223="Income","Fund tag ignored on income","")))))))))))</f>
        <v/>
      </c>
    </row>
    <row r="224">
      <c r="A224" s="27" t="n">
        <v>46143</v>
      </c>
      <c r="B224" s="23" t="inlineStr">
        <is>
          <t>Alex paycheck</t>
        </is>
      </c>
      <c r="C224" s="23" t="inlineStr">
        <is>
          <t>Paycheck 1</t>
        </is>
      </c>
      <c r="D224" s="28" t="n">
        <v>2100</v>
      </c>
      <c r="E224" s="23" t="inlineStr">
        <is>
          <t>Checking</t>
        </is>
      </c>
      <c r="F224" s="23" t="n"/>
      <c r="G224" s="23" t="n"/>
      <c r="H224" s="29">
        <f>IF(C224="","",IFERROR(INDEX(Categories!$B$6:$B$65,MATCH(C224,Categories!$A$6:$A$65,0))&amp;"",""))</f>
        <v/>
      </c>
      <c r="I224" s="25">
        <f>IF(AND(A224="",C224="",D224=""),"",IF(A224="","Date missing",IF(NOT(ISNUMBER(A224)),"Date not recognized",IF(YEAR(A224)&lt;&gt;Settings!$C$4,"Not in "&amp;Settings!$C$4,IF(C224="","Category missing",IF(H224="",IF(COUNTIF(Categories!$A$6:$A$65,C224)&gt;0,"Category has no type","Category not in list"),IF(D224="","Amount missing",IF(NOT(ISNUMBER(D224)),"Amount is not a number",IF(F224="","",IF(ISNA(MATCH(F224,Lists!$G$2:$G$25,0)),"Goal / fund not in list",IF(H224="Income","Fund tag ignored on income","")))))))))))</f>
        <v/>
      </c>
    </row>
    <row r="225">
      <c r="A225" s="27" t="n">
        <v>46143</v>
      </c>
      <c r="B225" s="23" t="inlineStr">
        <is>
          <t>Rent</t>
        </is>
      </c>
      <c r="C225" s="23" t="inlineStr">
        <is>
          <t>Rent / Mortgage</t>
        </is>
      </c>
      <c r="D225" s="28" t="n">
        <v>1850</v>
      </c>
      <c r="E225" s="23" t="inlineStr">
        <is>
          <t>Checking</t>
        </is>
      </c>
      <c r="F225" s="23" t="n"/>
      <c r="G225" s="23" t="n"/>
      <c r="H225" s="29">
        <f>IF(C225="","",IFERROR(INDEX(Categories!$B$6:$B$65,MATCH(C225,Categories!$A$6:$A$65,0))&amp;"",""))</f>
        <v/>
      </c>
      <c r="I225" s="25">
        <f>IF(AND(A225="",C225="",D225=""),"",IF(A225="","Date missing",IF(NOT(ISNUMBER(A225)),"Date not recognized",IF(YEAR(A225)&lt;&gt;Settings!$C$4,"Not in "&amp;Settings!$C$4,IF(C225="","Category missing",IF(H225="",IF(COUNTIF(Categories!$A$6:$A$65,C225)&gt;0,"Category has no type","Category not in list"),IF(D225="","Amount missing",IF(NOT(ISNUMBER(D225)),"Amount is not a number",IF(F225="","",IF(ISNA(MATCH(F225,Lists!$G$2:$G$25,0)),"Goal / fund not in list",IF(H225="Income","Fund tag ignored on income","")))))))))))</f>
        <v/>
      </c>
    </row>
    <row r="226">
      <c r="A226" s="27" t="n">
        <v>46143</v>
      </c>
      <c r="B226" s="23" t="inlineStr">
        <is>
          <t>After-school program</t>
        </is>
      </c>
      <c r="C226" s="23" t="inlineStr">
        <is>
          <t>Kids</t>
        </is>
      </c>
      <c r="D226" s="28" t="n">
        <v>320</v>
      </c>
      <c r="E226" s="23" t="inlineStr">
        <is>
          <t>Checking</t>
        </is>
      </c>
      <c r="F226" s="23" t="n"/>
      <c r="G226" s="23" t="n"/>
      <c r="H226" s="29">
        <f>IF(C226="","",IFERROR(INDEX(Categories!$B$6:$B$65,MATCH(C226,Categories!$A$6:$A$65,0))&amp;"",""))</f>
        <v/>
      </c>
      <c r="I226" s="25">
        <f>IF(AND(A226="",C226="",D226=""),"",IF(A226="","Date missing",IF(NOT(ISNUMBER(A226)),"Date not recognized",IF(YEAR(A226)&lt;&gt;Settings!$C$4,"Not in "&amp;Settings!$C$4,IF(C226="","Category missing",IF(H226="",IF(COUNTIF(Categories!$A$6:$A$65,C226)&gt;0,"Category has no type","Category not in list"),IF(D226="","Amount missing",IF(NOT(ISNUMBER(D226)),"Amount is not a number",IF(F226="","",IF(ISNA(MATCH(F226,Lists!$G$2:$G$25,0)),"Goal / fund not in list",IF(H226="Income","Fund tag ignored on income","")))))))))))</f>
        <v/>
      </c>
    </row>
    <row r="227">
      <c r="A227" s="27" t="n">
        <v>46144</v>
      </c>
      <c r="B227" s="23" t="inlineStr">
        <is>
          <t>Gym membership</t>
        </is>
      </c>
      <c r="C227" s="23" t="inlineStr">
        <is>
          <t>Subscriptions</t>
        </is>
      </c>
      <c r="D227" s="28" t="n">
        <v>45</v>
      </c>
      <c r="E227" s="23" t="inlineStr">
        <is>
          <t>Checking</t>
        </is>
      </c>
      <c r="F227" s="23" t="n"/>
      <c r="G227" s="23" t="n"/>
      <c r="H227" s="29">
        <f>IF(C227="","",IFERROR(INDEX(Categories!$B$6:$B$65,MATCH(C227,Categories!$A$6:$A$65,0))&amp;"",""))</f>
        <v/>
      </c>
      <c r="I227" s="25">
        <f>IF(AND(A227="",C227="",D227=""),"",IF(A227="","Date missing",IF(NOT(ISNUMBER(A227)),"Date not recognized",IF(YEAR(A227)&lt;&gt;Settings!$C$4,"Not in "&amp;Settings!$C$4,IF(C227="","Category missing",IF(H227="",IF(COUNTIF(Categories!$A$6:$A$65,C227)&gt;0,"Category has no type","Category not in list"),IF(D227="","Amount missing",IF(NOT(ISNUMBER(D227)),"Amount is not a number",IF(F227="","",IF(ISNA(MATCH(F227,Lists!$G$2:$G$25,0)),"Goal / fund not in list",IF(H227="Income","Fund tag ignored on income","")))))))))))</f>
        <v/>
      </c>
    </row>
    <row r="228">
      <c r="A228" s="27" t="n">
        <v>46144</v>
      </c>
      <c r="B228" s="23" t="inlineStr">
        <is>
          <t>Transfer to emergency fund</t>
        </is>
      </c>
      <c r="C228" s="23" t="inlineStr">
        <is>
          <t>Emergency fund</t>
        </is>
      </c>
      <c r="D228" s="28" t="n">
        <v>300</v>
      </c>
      <c r="E228" s="23" t="inlineStr">
        <is>
          <t>Savings</t>
        </is>
      </c>
      <c r="F228" s="23" t="inlineStr">
        <is>
          <t>Emergency fund</t>
        </is>
      </c>
      <c r="G228" s="23" t="n"/>
      <c r="H228" s="29">
        <f>IF(C228="","",IFERROR(INDEX(Categories!$B$6:$B$65,MATCH(C228,Categories!$A$6:$A$65,0))&amp;"",""))</f>
        <v/>
      </c>
      <c r="I228" s="25">
        <f>IF(AND(A228="",C228="",D228=""),"",IF(A228="","Date missing",IF(NOT(ISNUMBER(A228)),"Date not recognized",IF(YEAR(A228)&lt;&gt;Settings!$C$4,"Not in "&amp;Settings!$C$4,IF(C228="","Category missing",IF(H228="",IF(COUNTIF(Categories!$A$6:$A$65,C228)&gt;0,"Category has no type","Category not in list"),IF(D228="","Amount missing",IF(NOT(ISNUMBER(D228)),"Amount is not a number",IF(F228="","",IF(ISNA(MATCH(F228,Lists!$G$2:$G$25,0)),"Goal / fund not in list",IF(H228="Income","Fund tag ignored on income","")))))))))))</f>
        <v/>
      </c>
    </row>
    <row r="229">
      <c r="A229" s="27" t="n">
        <v>46144</v>
      </c>
      <c r="B229" s="23" t="inlineStr">
        <is>
          <t>Transfer: house fund</t>
        </is>
      </c>
      <c r="C229" s="23" t="inlineStr">
        <is>
          <t>Savings goals</t>
        </is>
      </c>
      <c r="D229" s="28" t="n">
        <v>300</v>
      </c>
      <c r="E229" s="23" t="inlineStr">
        <is>
          <t>Savings</t>
        </is>
      </c>
      <c r="F229" s="23" t="inlineStr">
        <is>
          <t>House down payment</t>
        </is>
      </c>
      <c r="G229" s="23" t="n"/>
      <c r="H229" s="29">
        <f>IF(C229="","",IFERROR(INDEX(Categories!$B$6:$B$65,MATCH(C229,Categories!$A$6:$A$65,0))&amp;"",""))</f>
        <v/>
      </c>
      <c r="I229" s="25">
        <f>IF(AND(A229="",C229="",D229=""),"",IF(A229="","Date missing",IF(NOT(ISNUMBER(A229)),"Date not recognized",IF(YEAR(A229)&lt;&gt;Settings!$C$4,"Not in "&amp;Settings!$C$4,IF(C229="","Category missing",IF(H229="",IF(COUNTIF(Categories!$A$6:$A$65,C229)&gt;0,"Category has no type","Category not in list"),IF(D229="","Amount missing",IF(NOT(ISNUMBER(D229)),"Amount is not a number",IF(F229="","",IF(ISNA(MATCH(F229,Lists!$G$2:$G$25,0)),"Goal / fund not in list",IF(H229="Income","Fund tag ignored on income","")))))))))))</f>
        <v/>
      </c>
    </row>
    <row r="230">
      <c r="A230" s="27" t="n">
        <v>46144</v>
      </c>
      <c r="B230" s="23" t="inlineStr">
        <is>
          <t>Transfer: laptop</t>
        </is>
      </c>
      <c r="C230" s="23" t="inlineStr">
        <is>
          <t>Savings goals</t>
        </is>
      </c>
      <c r="D230" s="28" t="n">
        <v>100</v>
      </c>
      <c r="E230" s="23" t="inlineStr">
        <is>
          <t>Savings</t>
        </is>
      </c>
      <c r="F230" s="23" t="inlineStr">
        <is>
          <t>New laptop</t>
        </is>
      </c>
      <c r="G230" s="23" t="n"/>
      <c r="H230" s="29">
        <f>IF(C230="","",IFERROR(INDEX(Categories!$B$6:$B$65,MATCH(C230,Categories!$A$6:$A$65,0))&amp;"",""))</f>
        <v/>
      </c>
      <c r="I230" s="25">
        <f>IF(AND(A230="",C230="",D230=""),"",IF(A230="","Date missing",IF(NOT(ISNUMBER(A230)),"Date not recognized",IF(YEAR(A230)&lt;&gt;Settings!$C$4,"Not in "&amp;Settings!$C$4,IF(C230="","Category missing",IF(H230="",IF(COUNTIF(Categories!$A$6:$A$65,C230)&gt;0,"Category has no type","Category not in list"),IF(D230="","Amount missing",IF(NOT(ISNUMBER(D230)),"Amount is not a number",IF(F230="","",IF(ISNA(MATCH(F230,Lists!$G$2:$G$25,0)),"Goal / fund not in list",IF(H230="Income","Fund tag ignored on income","")))))))))))</f>
        <v/>
      </c>
    </row>
    <row r="231">
      <c r="A231" s="27" t="n">
        <v>46144</v>
      </c>
      <c r="B231" s="23" t="inlineStr">
        <is>
          <t>Set aside: car maintenance</t>
        </is>
      </c>
      <c r="C231" s="23" t="inlineStr">
        <is>
          <t>Sinking funds</t>
        </is>
      </c>
      <c r="D231" s="28" t="n">
        <v>60</v>
      </c>
      <c r="E231" s="23" t="inlineStr">
        <is>
          <t>Savings</t>
        </is>
      </c>
      <c r="F231" s="23" t="inlineStr">
        <is>
          <t>Car maintenance</t>
        </is>
      </c>
      <c r="G231" s="23" t="n"/>
      <c r="H231" s="29">
        <f>IF(C231="","",IFERROR(INDEX(Categories!$B$6:$B$65,MATCH(C231,Categories!$A$6:$A$65,0))&amp;"",""))</f>
        <v/>
      </c>
      <c r="I231" s="25">
        <f>IF(AND(A231="",C231="",D231=""),"",IF(A231="","Date missing",IF(NOT(ISNUMBER(A231)),"Date not recognized",IF(YEAR(A231)&lt;&gt;Settings!$C$4,"Not in "&amp;Settings!$C$4,IF(C231="","Category missing",IF(H231="",IF(COUNTIF(Categories!$A$6:$A$65,C231)&gt;0,"Category has no type","Category not in list"),IF(D231="","Amount missing",IF(NOT(ISNUMBER(D231)),"Amount is not a number",IF(F231="","",IF(ISNA(MATCH(F231,Lists!$G$2:$G$25,0)),"Goal / fund not in list",IF(H231="Income","Fund tag ignored on income","")))))))))))</f>
        <v/>
      </c>
    </row>
    <row r="232">
      <c r="A232" s="27" t="n">
        <v>46144</v>
      </c>
      <c r="B232" s="23" t="inlineStr">
        <is>
          <t>Set aside: holiday gifts</t>
        </is>
      </c>
      <c r="C232" s="23" t="inlineStr">
        <is>
          <t>Sinking funds</t>
        </is>
      </c>
      <c r="D232" s="28" t="n">
        <v>50</v>
      </c>
      <c r="E232" s="23" t="inlineStr">
        <is>
          <t>Savings</t>
        </is>
      </c>
      <c r="F232" s="23" t="inlineStr">
        <is>
          <t>Holiday gifts</t>
        </is>
      </c>
      <c r="G232" s="23" t="n"/>
      <c r="H232" s="29">
        <f>IF(C232="","",IFERROR(INDEX(Categories!$B$6:$B$65,MATCH(C232,Categories!$A$6:$A$65,0))&amp;"",""))</f>
        <v/>
      </c>
      <c r="I232" s="25">
        <f>IF(AND(A232="",C232="",D232=""),"",IF(A232="","Date missing",IF(NOT(ISNUMBER(A232)),"Date not recognized",IF(YEAR(A232)&lt;&gt;Settings!$C$4,"Not in "&amp;Settings!$C$4,IF(C232="","Category missing",IF(H232="",IF(COUNTIF(Categories!$A$6:$A$65,C232)&gt;0,"Category has no type","Category not in list"),IF(D232="","Amount missing",IF(NOT(ISNUMBER(D232)),"Amount is not a number",IF(F232="","",IF(ISNA(MATCH(F232,Lists!$G$2:$G$25,0)),"Goal / fund not in list",IF(H232="Income","Fund tag ignored on income","")))))))))))</f>
        <v/>
      </c>
    </row>
    <row r="233">
      <c r="A233" s="27" t="n">
        <v>46144</v>
      </c>
      <c r="B233" s="23" t="inlineStr">
        <is>
          <t>Set aside: summer vacation</t>
        </is>
      </c>
      <c r="C233" s="23" t="inlineStr">
        <is>
          <t>Sinking funds</t>
        </is>
      </c>
      <c r="D233" s="28" t="n">
        <v>150</v>
      </c>
      <c r="E233" s="23" t="inlineStr">
        <is>
          <t>Savings</t>
        </is>
      </c>
      <c r="F233" s="23" t="inlineStr">
        <is>
          <t>Summer vacation</t>
        </is>
      </c>
      <c r="G233" s="23" t="n"/>
      <c r="H233" s="29">
        <f>IF(C233="","",IFERROR(INDEX(Categories!$B$6:$B$65,MATCH(C233,Categories!$A$6:$A$65,0))&amp;"",""))</f>
        <v/>
      </c>
      <c r="I233" s="25">
        <f>IF(AND(A233="",C233="",D233=""),"",IF(A233="","Date missing",IF(NOT(ISNUMBER(A233)),"Date not recognized",IF(YEAR(A233)&lt;&gt;Settings!$C$4,"Not in "&amp;Settings!$C$4,IF(C233="","Category missing",IF(H233="",IF(COUNTIF(Categories!$A$6:$A$65,C233)&gt;0,"Category has no type","Category not in list"),IF(D233="","Amount missing",IF(NOT(ISNUMBER(D233)),"Amount is not a number",IF(F233="","",IF(ISNA(MATCH(F233,Lists!$G$2:$G$25,0)),"Goal / fund not in list",IF(H233="Income","Fund tag ignored on income","")))))))))))</f>
        <v/>
      </c>
    </row>
    <row r="234">
      <c r="A234" s="27" t="n">
        <v>46144</v>
      </c>
      <c r="B234" s="23" t="inlineStr">
        <is>
          <t>Set aside: home repairs</t>
        </is>
      </c>
      <c r="C234" s="23" t="inlineStr">
        <is>
          <t>Sinking funds</t>
        </is>
      </c>
      <c r="D234" s="28" t="n">
        <v>40</v>
      </c>
      <c r="E234" s="23" t="inlineStr">
        <is>
          <t>Savings</t>
        </is>
      </c>
      <c r="F234" s="23" t="inlineStr">
        <is>
          <t>Home repairs</t>
        </is>
      </c>
      <c r="G234" s="23" t="n"/>
      <c r="H234" s="29">
        <f>IF(C234="","",IFERROR(INDEX(Categories!$B$6:$B$65,MATCH(C234,Categories!$A$6:$A$65,0))&amp;"",""))</f>
        <v/>
      </c>
      <c r="I234" s="25">
        <f>IF(AND(A234="",C234="",D234=""),"",IF(A234="","Date missing",IF(NOT(ISNUMBER(A234)),"Date not recognized",IF(YEAR(A234)&lt;&gt;Settings!$C$4,"Not in "&amp;Settings!$C$4,IF(C234="","Category missing",IF(H234="",IF(COUNTIF(Categories!$A$6:$A$65,C234)&gt;0,"Category has no type","Category not in list"),IF(D234="","Amount missing",IF(NOT(ISNUMBER(D234)),"Amount is not a number",IF(F234="","",IF(ISNA(MATCH(F234,Lists!$G$2:$G$25,0)),"Goal / fund not in list",IF(H234="Income","Fund tag ignored on income","")))))))))))</f>
        <v/>
      </c>
    </row>
    <row r="235">
      <c r="A235" s="27" t="n">
        <v>46145</v>
      </c>
      <c r="B235" s="23" t="inlineStr">
        <is>
          <t>Video streaming</t>
        </is>
      </c>
      <c r="C235" s="23" t="inlineStr">
        <is>
          <t>Subscriptions</t>
        </is>
      </c>
      <c r="D235" s="28" t="n">
        <v>15.49</v>
      </c>
      <c r="E235" s="23" t="inlineStr">
        <is>
          <t>Credit card</t>
        </is>
      </c>
      <c r="F235" s="23" t="n"/>
      <c r="G235" s="23" t="n"/>
      <c r="H235" s="29">
        <f>IF(C235="","",IFERROR(INDEX(Categories!$B$6:$B$65,MATCH(C235,Categories!$A$6:$A$65,0))&amp;"",""))</f>
        <v/>
      </c>
      <c r="I235" s="25">
        <f>IF(AND(A235="",C235="",D235=""),"",IF(A235="","Date missing",IF(NOT(ISNUMBER(A235)),"Date not recognized",IF(YEAR(A235)&lt;&gt;Settings!$C$4,"Not in "&amp;Settings!$C$4,IF(C235="","Category missing",IF(H235="",IF(COUNTIF(Categories!$A$6:$A$65,C235)&gt;0,"Category has no type","Category not in list"),IF(D235="","Amount missing",IF(NOT(ISNUMBER(D235)),"Amount is not a number",IF(F235="","",IF(ISNA(MATCH(F235,Lists!$G$2:$G$25,0)),"Goal / fund not in list",IF(H235="Income","Fund tag ignored on income","")))))))))))</f>
        <v/>
      </c>
    </row>
    <row r="236">
      <c r="A236" s="27" t="n">
        <v>46145</v>
      </c>
      <c r="B236" s="23" t="inlineStr">
        <is>
          <t>Farmers market</t>
        </is>
      </c>
      <c r="C236" s="23" t="inlineStr">
        <is>
          <t>Groceries</t>
        </is>
      </c>
      <c r="D236" s="28" t="n">
        <v>149.31</v>
      </c>
      <c r="E236" s="23" t="inlineStr">
        <is>
          <t>Debit card</t>
        </is>
      </c>
      <c r="F236" s="23" t="n"/>
      <c r="G236" s="23" t="n"/>
      <c r="H236" s="29">
        <f>IF(C236="","",IFERROR(INDEX(Categories!$B$6:$B$65,MATCH(C236,Categories!$A$6:$A$65,0))&amp;"",""))</f>
        <v/>
      </c>
      <c r="I236" s="25">
        <f>IF(AND(A236="",C236="",D236=""),"",IF(A236="","Date missing",IF(NOT(ISNUMBER(A236)),"Date not recognized",IF(YEAR(A236)&lt;&gt;Settings!$C$4,"Not in "&amp;Settings!$C$4,IF(C236="","Category missing",IF(H236="",IF(COUNTIF(Categories!$A$6:$A$65,C236)&gt;0,"Category has no type","Category not in list"),IF(D236="","Amount missing",IF(NOT(ISNUMBER(D236)),"Amount is not a number",IF(F236="","",IF(ISNA(MATCH(F236,Lists!$G$2:$G$25,0)),"Goal / fund not in list",IF(H236="Income","Fund tag ignored on income","")))))))))))</f>
        <v/>
      </c>
    </row>
    <row r="237">
      <c r="A237" s="27" t="n">
        <v>46145</v>
      </c>
      <c r="B237" s="23" t="inlineStr">
        <is>
          <t>Retirement contribution</t>
        </is>
      </c>
      <c r="C237" s="23" t="inlineStr">
        <is>
          <t>Retirement &amp; investing</t>
        </is>
      </c>
      <c r="D237" s="28" t="n">
        <v>600</v>
      </c>
      <c r="E237" s="23" t="inlineStr">
        <is>
          <t>Checking</t>
        </is>
      </c>
      <c r="F237" s="23" t="n"/>
      <c r="G237" s="23" t="n"/>
      <c r="H237" s="29">
        <f>IF(C237="","",IFERROR(INDEX(Categories!$B$6:$B$65,MATCH(C237,Categories!$A$6:$A$65,0))&amp;"",""))</f>
        <v/>
      </c>
      <c r="I237" s="25">
        <f>IF(AND(A237="",C237="",D237=""),"",IF(A237="","Date missing",IF(NOT(ISNUMBER(A237)),"Date not recognized",IF(YEAR(A237)&lt;&gt;Settings!$C$4,"Not in "&amp;Settings!$C$4,IF(C237="","Category missing",IF(H237="",IF(COUNTIF(Categories!$A$6:$A$65,C237)&gt;0,"Category has no type","Category not in list"),IF(D237="","Amount missing",IF(NOT(ISNUMBER(D237)),"Amount is not a number",IF(F237="","",IF(ISNA(MATCH(F237,Lists!$G$2:$G$25,0)),"Goal / fund not in list",IF(H237="Income","Fund tag ignored on income","")))))))))))</f>
        <v/>
      </c>
    </row>
    <row r="238">
      <c r="A238" s="27" t="n">
        <v>46146</v>
      </c>
      <c r="B238" s="23" t="inlineStr">
        <is>
          <t>Gas station</t>
        </is>
      </c>
      <c r="C238" s="23" t="inlineStr">
        <is>
          <t>Transport / Gas</t>
        </is>
      </c>
      <c r="D238" s="28" t="n">
        <v>51.09</v>
      </c>
      <c r="E238" s="23" t="inlineStr">
        <is>
          <t>Credit card</t>
        </is>
      </c>
      <c r="F238" s="23" t="n"/>
      <c r="G238" s="23" t="n"/>
      <c r="H238" s="29">
        <f>IF(C238="","",IFERROR(INDEX(Categories!$B$6:$B$65,MATCH(C238,Categories!$A$6:$A$65,0))&amp;"",""))</f>
        <v/>
      </c>
      <c r="I238" s="25">
        <f>IF(AND(A238="",C238="",D238=""),"",IF(A238="","Date missing",IF(NOT(ISNUMBER(A238)),"Date not recognized",IF(YEAR(A238)&lt;&gt;Settings!$C$4,"Not in "&amp;Settings!$C$4,IF(C238="","Category missing",IF(H238="",IF(COUNTIF(Categories!$A$6:$A$65,C238)&gt;0,"Category has no type","Category not in list"),IF(D238="","Amount missing",IF(NOT(ISNUMBER(D238)),"Amount is not a number",IF(F238="","",IF(ISNA(MATCH(F238,Lists!$G$2:$G$25,0)),"Goal / fund not in list",IF(H238="Income","Fund tag ignored on income","")))))))))))</f>
        <v/>
      </c>
    </row>
    <row r="239">
      <c r="A239" s="27" t="n">
        <v>46146</v>
      </c>
      <c r="B239" s="23" t="inlineStr">
        <is>
          <t>Movie tickets</t>
        </is>
      </c>
      <c r="C239" s="23" t="inlineStr">
        <is>
          <t>Entertainment</t>
        </is>
      </c>
      <c r="D239" s="28" t="n">
        <v>17.78</v>
      </c>
      <c r="E239" s="23" t="inlineStr">
        <is>
          <t>Credit card</t>
        </is>
      </c>
      <c r="F239" s="23" t="n"/>
      <c r="G239" s="23" t="n"/>
      <c r="H239" s="29">
        <f>IF(C239="","",IFERROR(INDEX(Categories!$B$6:$B$65,MATCH(C239,Categories!$A$6:$A$65,0))&amp;"",""))</f>
        <v/>
      </c>
      <c r="I239" s="25">
        <f>IF(AND(A239="",C239="",D239=""),"",IF(A239="","Date missing",IF(NOT(ISNUMBER(A239)),"Date not recognized",IF(YEAR(A239)&lt;&gt;Settings!$C$4,"Not in "&amp;Settings!$C$4,IF(C239="","Category missing",IF(H239="",IF(COUNTIF(Categories!$A$6:$A$65,C239)&gt;0,"Category has no type","Category not in list"),IF(D239="","Amount missing",IF(NOT(ISNUMBER(D239)),"Amount is not a number",IF(F239="","",IF(ISNA(MATCH(F239,Lists!$G$2:$G$25,0)),"Goal / fund not in list",IF(H239="Income","Fund tag ignored on income","")))))))))))</f>
        <v/>
      </c>
    </row>
    <row r="240">
      <c r="A240" s="27" t="n">
        <v>46147</v>
      </c>
      <c r="B240" s="23" t="inlineStr">
        <is>
          <t>Car insurance</t>
        </is>
      </c>
      <c r="C240" s="23" t="inlineStr">
        <is>
          <t>Insurance</t>
        </is>
      </c>
      <c r="D240" s="28" t="n">
        <v>128</v>
      </c>
      <c r="E240" s="23" t="inlineStr">
        <is>
          <t>Checking</t>
        </is>
      </c>
      <c r="F240" s="23" t="n"/>
      <c r="G240" s="23" t="n"/>
      <c r="H240" s="29">
        <f>IF(C240="","",IFERROR(INDEX(Categories!$B$6:$B$65,MATCH(C240,Categories!$A$6:$A$65,0))&amp;"",""))</f>
        <v/>
      </c>
      <c r="I240" s="25">
        <f>IF(AND(A240="",C240="",D240=""),"",IF(A240="","Date missing",IF(NOT(ISNUMBER(A240)),"Date not recognized",IF(YEAR(A240)&lt;&gt;Settings!$C$4,"Not in "&amp;Settings!$C$4,IF(C240="","Category missing",IF(H240="",IF(COUNTIF(Categories!$A$6:$A$65,C240)&gt;0,"Category has no type","Category not in list"),IF(D240="","Amount missing",IF(NOT(ISNUMBER(D240)),"Amount is not a number",IF(F240="","",IF(ISNA(MATCH(F240,Lists!$G$2:$G$25,0)),"Goal / fund not in list",IF(H240="Income","Fund tag ignored on income","")))))))))))</f>
        <v/>
      </c>
    </row>
    <row r="241">
      <c r="A241" s="27" t="n">
        <v>46147</v>
      </c>
      <c r="B241" s="23" t="inlineStr">
        <is>
          <t>Renters insurance</t>
        </is>
      </c>
      <c r="C241" s="23" t="inlineStr">
        <is>
          <t>Insurance</t>
        </is>
      </c>
      <c r="D241" s="28" t="n">
        <v>18</v>
      </c>
      <c r="E241" s="23" t="inlineStr">
        <is>
          <t>Checking</t>
        </is>
      </c>
      <c r="F241" s="23" t="n"/>
      <c r="G241" s="23" t="n"/>
      <c r="H241" s="29">
        <f>IF(C241="","",IFERROR(INDEX(Categories!$B$6:$B$65,MATCH(C241,Categories!$A$6:$A$65,0))&amp;"",""))</f>
        <v/>
      </c>
      <c r="I241" s="25">
        <f>IF(AND(A241="",C241="",D241=""),"",IF(A241="","Date missing",IF(NOT(ISNUMBER(A241)),"Date not recognized",IF(YEAR(A241)&lt;&gt;Settings!$C$4,"Not in "&amp;Settings!$C$4,IF(C241="","Category missing",IF(H241="",IF(COUNTIF(Categories!$A$6:$A$65,C241)&gt;0,"Category has no type","Category not in list"),IF(D241="","Amount missing",IF(NOT(ISNUMBER(D241)),"Amount is not a number",IF(F241="","",IF(ISNA(MATCH(F241,Lists!$G$2:$G$25,0)),"Goal / fund not in list",IF(H241="Income","Fund tag ignored on income","")))))))))))</f>
        <v/>
      </c>
    </row>
    <row r="242">
      <c r="A242" s="27" t="n">
        <v>46147</v>
      </c>
      <c r="B242" s="23" t="inlineStr">
        <is>
          <t>Jacket</t>
        </is>
      </c>
      <c r="C242" s="23" t="inlineStr">
        <is>
          <t>Clothing</t>
        </is>
      </c>
      <c r="D242" s="28" t="n">
        <v>64.45</v>
      </c>
      <c r="E242" s="23" t="inlineStr">
        <is>
          <t>Credit card</t>
        </is>
      </c>
      <c r="F242" s="23" t="n"/>
      <c r="G242" s="23" t="n"/>
      <c r="H242" s="29">
        <f>IF(C242="","",IFERROR(INDEX(Categories!$B$6:$B$65,MATCH(C242,Categories!$A$6:$A$65,0))&amp;"",""))</f>
        <v/>
      </c>
      <c r="I242" s="25">
        <f>IF(AND(A242="",C242="",D242=""),"",IF(A242="","Date missing",IF(NOT(ISNUMBER(A242)),"Date not recognized",IF(YEAR(A242)&lt;&gt;Settings!$C$4,"Not in "&amp;Settings!$C$4,IF(C242="","Category missing",IF(H242="",IF(COUNTIF(Categories!$A$6:$A$65,C242)&gt;0,"Category has no type","Category not in list"),IF(D242="","Amount missing",IF(NOT(ISNUMBER(D242)),"Amount is not a number",IF(F242="","",IF(ISNA(MATCH(F242,Lists!$G$2:$G$25,0)),"Goal / fund not in list",IF(H242="Income","Fund tag ignored on income","")))))))))))</f>
        <v/>
      </c>
    </row>
    <row r="243">
      <c r="A243" s="27" t="n">
        <v>46148</v>
      </c>
      <c r="B243" s="23" t="inlineStr">
        <is>
          <t>Post office</t>
        </is>
      </c>
      <c r="C243" s="23" t="inlineStr">
        <is>
          <t>Misc</t>
        </is>
      </c>
      <c r="D243" s="28" t="n">
        <v>27.85</v>
      </c>
      <c r="E243" s="23" t="inlineStr">
        <is>
          <t>Cash</t>
        </is>
      </c>
      <c r="F243" s="23" t="n"/>
      <c r="G243" s="23" t="n"/>
      <c r="H243" s="29">
        <f>IF(C243="","",IFERROR(INDEX(Categories!$B$6:$B$65,MATCH(C243,Categories!$A$6:$A$65,0))&amp;"",""))</f>
        <v/>
      </c>
      <c r="I243" s="25">
        <f>IF(AND(A243="",C243="",D243=""),"",IF(A243="","Date missing",IF(NOT(ISNUMBER(A243)),"Date not recognized",IF(YEAR(A243)&lt;&gt;Settings!$C$4,"Not in "&amp;Settings!$C$4,IF(C243="","Category missing",IF(H243="",IF(COUNTIF(Categories!$A$6:$A$65,C243)&gt;0,"Category has no type","Category not in list"),IF(D243="","Amount missing",IF(NOT(ISNUMBER(D243)),"Amount is not a number",IF(F243="","",IF(ISNA(MATCH(F243,Lists!$G$2:$G$25,0)),"Goal / fund not in list",IF(H243="Income","Fund tag ignored on income","")))))))))))</f>
        <v/>
      </c>
    </row>
    <row r="244">
      <c r="A244" s="27" t="n">
        <v>46149</v>
      </c>
      <c r="B244" s="23" t="inlineStr">
        <is>
          <t>Music streaming</t>
        </is>
      </c>
      <c r="C244" s="23" t="inlineStr">
        <is>
          <t>Subscriptions</t>
        </is>
      </c>
      <c r="D244" s="28" t="n">
        <v>10.99</v>
      </c>
      <c r="E244" s="23" t="inlineStr">
        <is>
          <t>Credit card</t>
        </is>
      </c>
      <c r="F244" s="23" t="n"/>
      <c r="G244" s="23" t="n"/>
      <c r="H244" s="29">
        <f>IF(C244="","",IFERROR(INDEX(Categories!$B$6:$B$65,MATCH(C244,Categories!$A$6:$A$65,0))&amp;"",""))</f>
        <v/>
      </c>
      <c r="I244" s="25">
        <f>IF(AND(A244="",C244="",D244=""),"",IF(A244="","Date missing",IF(NOT(ISNUMBER(A244)),"Date not recognized",IF(YEAR(A244)&lt;&gt;Settings!$C$4,"Not in "&amp;Settings!$C$4,IF(C244="","Category missing",IF(H244="",IF(COUNTIF(Categories!$A$6:$A$65,C244)&gt;0,"Category has no type","Category not in list"),IF(D244="","Amount missing",IF(NOT(ISNUMBER(D244)),"Amount is not a number",IF(F244="","",IF(ISNA(MATCH(F244,Lists!$G$2:$G$25,0)),"Goal / fund not in list",IF(H244="Income","Fund tag ignored on income","")))))))))))</f>
        <v/>
      </c>
    </row>
    <row r="245">
      <c r="A245" s="27" t="n">
        <v>46151</v>
      </c>
      <c r="B245" s="23" t="inlineStr">
        <is>
          <t>Freelance design job</t>
        </is>
      </c>
      <c r="C245" s="23" t="inlineStr">
        <is>
          <t>Side income</t>
        </is>
      </c>
      <c r="D245" s="28" t="n">
        <v>359.46</v>
      </c>
      <c r="E245" s="23" t="inlineStr">
        <is>
          <t>Checking</t>
        </is>
      </c>
      <c r="F245" s="23" t="n"/>
      <c r="G245" s="23" t="n"/>
      <c r="H245" s="29">
        <f>IF(C245="","",IFERROR(INDEX(Categories!$B$6:$B$65,MATCH(C245,Categories!$A$6:$A$65,0))&amp;"",""))</f>
        <v/>
      </c>
      <c r="I245" s="25">
        <f>IF(AND(A245="",C245="",D245=""),"",IF(A245="","Date missing",IF(NOT(ISNUMBER(A245)),"Date not recognized",IF(YEAR(A245)&lt;&gt;Settings!$C$4,"Not in "&amp;Settings!$C$4,IF(C245="","Category missing",IF(H245="",IF(COUNTIF(Categories!$A$6:$A$65,C245)&gt;0,"Category has no type","Category not in list"),IF(D245="","Amount missing",IF(NOT(ISNUMBER(D245)),"Amount is not a number",IF(F245="","",IF(ISNA(MATCH(F245,Lists!$G$2:$G$25,0)),"Goal / fund not in list",IF(H245="Income","Fund tag ignored on income","")))))))))))</f>
        <v/>
      </c>
    </row>
    <row r="246">
      <c r="A246" s="27" t="n">
        <v>46151</v>
      </c>
      <c r="B246" s="23" t="inlineStr">
        <is>
          <t>Pet food</t>
        </is>
      </c>
      <c r="C246" s="23" t="inlineStr">
        <is>
          <t>Pets</t>
        </is>
      </c>
      <c r="D246" s="28" t="n">
        <v>48.63</v>
      </c>
      <c r="E246" s="23" t="inlineStr">
        <is>
          <t>Debit card</t>
        </is>
      </c>
      <c r="F246" s="23" t="n"/>
      <c r="G246" s="23" t="n"/>
      <c r="H246" s="29">
        <f>IF(C246="","",IFERROR(INDEX(Categories!$B$6:$B$65,MATCH(C246,Categories!$A$6:$A$65,0))&amp;"",""))</f>
        <v/>
      </c>
      <c r="I246" s="25">
        <f>IF(AND(A246="",C246="",D246=""),"",IF(A246="","Date missing",IF(NOT(ISNUMBER(A246)),"Date not recognized",IF(YEAR(A246)&lt;&gt;Settings!$C$4,"Not in "&amp;Settings!$C$4,IF(C246="","Category missing",IF(H246="",IF(COUNTIF(Categories!$A$6:$A$65,C246)&gt;0,"Category has no type","Category not in list"),IF(D246="","Amount missing",IF(NOT(ISNUMBER(D246)),"Amount is not a number",IF(F246="","",IF(ISNA(MATCH(F246,Lists!$G$2:$G$25,0)),"Goal / fund not in list",IF(H246="Income","Fund tag ignored on income","")))))))))))</f>
        <v/>
      </c>
    </row>
    <row r="247">
      <c r="A247" s="27" t="n">
        <v>46152</v>
      </c>
      <c r="B247" s="23" t="inlineStr">
        <is>
          <t>Car loan payment</t>
        </is>
      </c>
      <c r="C247" s="23" t="inlineStr">
        <is>
          <t>Car payment</t>
        </is>
      </c>
      <c r="D247" s="28" t="n">
        <v>389</v>
      </c>
      <c r="E247" s="23" t="inlineStr">
        <is>
          <t>Checking</t>
        </is>
      </c>
      <c r="F247" s="23" t="n"/>
      <c r="G247" s="23" t="n"/>
      <c r="H247" s="29">
        <f>IF(C247="","",IFERROR(INDEX(Categories!$B$6:$B$65,MATCH(C247,Categories!$A$6:$A$65,0))&amp;"",""))</f>
        <v/>
      </c>
      <c r="I247" s="25">
        <f>IF(AND(A247="",C247="",D247=""),"",IF(A247="","Date missing",IF(NOT(ISNUMBER(A247)),"Date not recognized",IF(YEAR(A247)&lt;&gt;Settings!$C$4,"Not in "&amp;Settings!$C$4,IF(C247="","Category missing",IF(H247="",IF(COUNTIF(Categories!$A$6:$A$65,C247)&gt;0,"Category has no type","Category not in list"),IF(D247="","Amount missing",IF(NOT(ISNUMBER(D247)),"Amount is not a number",IF(F247="","",IF(ISNA(MATCH(F247,Lists!$G$2:$G$25,0)),"Goal / fund not in list",IF(H247="Income","Fund tag ignored on income","")))))))))))</f>
        <v/>
      </c>
    </row>
    <row r="248">
      <c r="A248" s="27" t="n">
        <v>46152</v>
      </c>
      <c r="B248" s="23" t="inlineStr">
        <is>
          <t>Warehouse store</t>
        </is>
      </c>
      <c r="C248" s="23" t="inlineStr">
        <is>
          <t>Groceries</t>
        </is>
      </c>
      <c r="D248" s="28" t="n">
        <v>170.94</v>
      </c>
      <c r="E248" s="23" t="inlineStr">
        <is>
          <t>Debit card</t>
        </is>
      </c>
      <c r="F248" s="23" t="n"/>
      <c r="G248" s="23" t="n"/>
      <c r="H248" s="29">
        <f>IF(C248="","",IFERROR(INDEX(Categories!$B$6:$B$65,MATCH(C248,Categories!$A$6:$A$65,0))&amp;"",""))</f>
        <v/>
      </c>
      <c r="I248" s="25">
        <f>IF(AND(A248="",C248="",D248=""),"",IF(A248="","Date missing",IF(NOT(ISNUMBER(A248)),"Date not recognized",IF(YEAR(A248)&lt;&gt;Settings!$C$4,"Not in "&amp;Settings!$C$4,IF(C248="","Category missing",IF(H248="",IF(COUNTIF(Categories!$A$6:$A$65,C248)&gt;0,"Category has no type","Category not in list"),IF(D248="","Amount missing",IF(NOT(ISNUMBER(D248)),"Amount is not a number",IF(F248="","",IF(ISNA(MATCH(F248,Lists!$G$2:$G$25,0)),"Goal / fund not in list",IF(H248="Income","Fund tag ignored on income","")))))))))))</f>
        <v/>
      </c>
    </row>
    <row r="249">
      <c r="A249" s="27" t="n">
        <v>46152</v>
      </c>
      <c r="B249" s="23" t="inlineStr">
        <is>
          <t>Dinner out</t>
        </is>
      </c>
      <c r="C249" s="23" t="inlineStr">
        <is>
          <t>Dining out</t>
        </is>
      </c>
      <c r="D249" s="28" t="n">
        <v>28.5</v>
      </c>
      <c r="E249" s="23" t="inlineStr">
        <is>
          <t>Credit card</t>
        </is>
      </c>
      <c r="F249" s="23" t="n"/>
      <c r="G249" s="23" t="n"/>
      <c r="H249" s="29">
        <f>IF(C249="","",IFERROR(INDEX(Categories!$B$6:$B$65,MATCH(C249,Categories!$A$6:$A$65,0))&amp;"",""))</f>
        <v/>
      </c>
      <c r="I249" s="25">
        <f>IF(AND(A249="",C249="",D249=""),"",IF(A249="","Date missing",IF(NOT(ISNUMBER(A249)),"Date not recognized",IF(YEAR(A249)&lt;&gt;Settings!$C$4,"Not in "&amp;Settings!$C$4,IF(C249="","Category missing",IF(H249="",IF(COUNTIF(Categories!$A$6:$A$65,C249)&gt;0,"Category has no type","Category not in list"),IF(D249="","Amount missing",IF(NOT(ISNUMBER(D249)),"Amount is not a number",IF(F249="","",IF(ISNA(MATCH(F249,Lists!$G$2:$G$25,0)),"Goal / fund not in list",IF(H249="Income","Fund tag ignored on income","")))))))))))</f>
        <v/>
      </c>
    </row>
    <row r="250">
      <c r="A250" s="27" t="n">
        <v>46154</v>
      </c>
      <c r="B250" s="23" t="inlineStr">
        <is>
          <t>Internet</t>
        </is>
      </c>
      <c r="C250" s="23" t="inlineStr">
        <is>
          <t>Internet &amp; Phone</t>
        </is>
      </c>
      <c r="D250" s="28" t="n">
        <v>65</v>
      </c>
      <c r="E250" s="23" t="inlineStr">
        <is>
          <t>Checking</t>
        </is>
      </c>
      <c r="F250" s="23" t="n"/>
      <c r="G250" s="23" t="n"/>
      <c r="H250" s="29">
        <f>IF(C250="","",IFERROR(INDEX(Categories!$B$6:$B$65,MATCH(C250,Categories!$A$6:$A$65,0))&amp;"",""))</f>
        <v/>
      </c>
      <c r="I250" s="25">
        <f>IF(AND(A250="",C250="",D250=""),"",IF(A250="","Date missing",IF(NOT(ISNUMBER(A250)),"Date not recognized",IF(YEAR(A250)&lt;&gt;Settings!$C$4,"Not in "&amp;Settings!$C$4,IF(C250="","Category missing",IF(H250="",IF(COUNTIF(Categories!$A$6:$A$65,C250)&gt;0,"Category has no type","Category not in list"),IF(D250="","Amount missing",IF(NOT(ISNUMBER(D250)),"Amount is not a number",IF(F250="","",IF(ISNA(MATCH(F250,Lists!$G$2:$G$25,0)),"Goal / fund not in list",IF(H250="Income","Fund tag ignored on income","")))))))))))</f>
        <v/>
      </c>
    </row>
    <row r="251">
      <c r="A251" s="27" t="n">
        <v>46154</v>
      </c>
      <c r="B251" s="23" t="inlineStr">
        <is>
          <t>Gas station</t>
        </is>
      </c>
      <c r="C251" s="23" t="inlineStr">
        <is>
          <t>Transport / Gas</t>
        </is>
      </c>
      <c r="D251" s="28" t="n">
        <v>51.84</v>
      </c>
      <c r="E251" s="23" t="inlineStr">
        <is>
          <t>Credit card</t>
        </is>
      </c>
      <c r="F251" s="23" t="n"/>
      <c r="G251" s="23" t="n"/>
      <c r="H251" s="29">
        <f>IF(C251="","",IFERROR(INDEX(Categories!$B$6:$B$65,MATCH(C251,Categories!$A$6:$A$65,0))&amp;"",""))</f>
        <v/>
      </c>
      <c r="I251" s="25">
        <f>IF(AND(A251="",C251="",D251=""),"",IF(A251="","Date missing",IF(NOT(ISNUMBER(A251)),"Date not recognized",IF(YEAR(A251)&lt;&gt;Settings!$C$4,"Not in "&amp;Settings!$C$4,IF(C251="","Category missing",IF(H251="",IF(COUNTIF(Categories!$A$6:$A$65,C251)&gt;0,"Category has no type","Category not in list"),IF(D251="","Amount missing",IF(NOT(ISNUMBER(D251)),"Amount is not a number",IF(F251="","",IF(ISNA(MATCH(F251,Lists!$G$2:$G$25,0)),"Goal / fund not in list",IF(H251="Income","Fund tag ignored on income","")))))))))))</f>
        <v/>
      </c>
    </row>
    <row r="252">
      <c r="A252" s="27" t="n">
        <v>46155</v>
      </c>
      <c r="B252" s="23" t="inlineStr">
        <is>
          <t>Light bulbs</t>
        </is>
      </c>
      <c r="C252" s="23" t="inlineStr">
        <is>
          <t>Home &amp; repairs</t>
        </is>
      </c>
      <c r="D252" s="28" t="n">
        <v>77.8</v>
      </c>
      <c r="E252" s="23" t="inlineStr">
        <is>
          <t>Debit card</t>
        </is>
      </c>
      <c r="F252" s="23" t="n"/>
      <c r="G252" s="23" t="n"/>
      <c r="H252" s="29">
        <f>IF(C252="","",IFERROR(INDEX(Categories!$B$6:$B$65,MATCH(C252,Categories!$A$6:$A$65,0))&amp;"",""))</f>
        <v/>
      </c>
      <c r="I252" s="25">
        <f>IF(AND(A252="",C252="",D252=""),"",IF(A252="","Date missing",IF(NOT(ISNUMBER(A252)),"Date not recognized",IF(YEAR(A252)&lt;&gt;Settings!$C$4,"Not in "&amp;Settings!$C$4,IF(C252="","Category missing",IF(H252="",IF(COUNTIF(Categories!$A$6:$A$65,C252)&gt;0,"Category has no type","Category not in list"),IF(D252="","Amount missing",IF(NOT(ISNUMBER(D252)),"Amount is not a number",IF(F252="","",IF(ISNA(MATCH(F252,Lists!$G$2:$G$25,0)),"Goal / fund not in list",IF(H252="Income","Fund tag ignored on income","")))))))))))</f>
        <v/>
      </c>
    </row>
    <row r="253">
      <c r="A253" s="27" t="n">
        <v>46156</v>
      </c>
      <c r="B253" s="23" t="inlineStr">
        <is>
          <t>Phone plan</t>
        </is>
      </c>
      <c r="C253" s="23" t="inlineStr">
        <is>
          <t>Internet &amp; Phone</t>
        </is>
      </c>
      <c r="D253" s="28" t="n">
        <v>70</v>
      </c>
      <c r="E253" s="23" t="inlineStr">
        <is>
          <t>Credit card</t>
        </is>
      </c>
      <c r="F253" s="23" t="n"/>
      <c r="G253" s="23" t="n"/>
      <c r="H253" s="29">
        <f>IF(C253="","",IFERROR(INDEX(Categories!$B$6:$B$65,MATCH(C253,Categories!$A$6:$A$65,0))&amp;"",""))</f>
        <v/>
      </c>
      <c r="I253" s="25">
        <f>IF(AND(A253="",C253="",D253=""),"",IF(A253="","Date missing",IF(NOT(ISNUMBER(A253)),"Date not recognized",IF(YEAR(A253)&lt;&gt;Settings!$C$4,"Not in "&amp;Settings!$C$4,IF(C253="","Category missing",IF(H253="",IF(COUNTIF(Categories!$A$6:$A$65,C253)&gt;0,"Category has no type","Category not in list"),IF(D253="","Amount missing",IF(NOT(ISNUMBER(D253)),"Amount is not a number",IF(F253="","",IF(ISNA(MATCH(F253,Lists!$G$2:$G$25,0)),"Goal / fund not in list",IF(H253="Income","Fund tag ignored on income","")))))))))))</f>
        <v/>
      </c>
    </row>
    <row r="254">
      <c r="A254" s="27" t="n">
        <v>46157</v>
      </c>
      <c r="B254" s="23" t="inlineStr">
        <is>
          <t>Alex paycheck</t>
        </is>
      </c>
      <c r="C254" s="23" t="inlineStr">
        <is>
          <t>Paycheck 1</t>
        </is>
      </c>
      <c r="D254" s="28" t="n">
        <v>2100</v>
      </c>
      <c r="E254" s="23" t="inlineStr">
        <is>
          <t>Checking</t>
        </is>
      </c>
      <c r="F254" s="23" t="n"/>
      <c r="G254" s="23" t="n"/>
      <c r="H254" s="29">
        <f>IF(C254="","",IFERROR(INDEX(Categories!$B$6:$B$65,MATCH(C254,Categories!$A$6:$A$65,0))&amp;"",""))</f>
        <v/>
      </c>
      <c r="I254" s="25">
        <f>IF(AND(A254="",C254="",D254=""),"",IF(A254="","Date missing",IF(NOT(ISNUMBER(A254)),"Date not recognized",IF(YEAR(A254)&lt;&gt;Settings!$C$4,"Not in "&amp;Settings!$C$4,IF(C254="","Category missing",IF(H254="",IF(COUNTIF(Categories!$A$6:$A$65,C254)&gt;0,"Category has no type","Category not in list"),IF(D254="","Amount missing",IF(NOT(ISNUMBER(D254)),"Amount is not a number",IF(F254="","",IF(ISNA(MATCH(F254,Lists!$G$2:$G$25,0)),"Goal / fund not in list",IF(H254="Income","Fund tag ignored on income","")))))))))))</f>
        <v/>
      </c>
    </row>
    <row r="255">
      <c r="A255" s="27" t="n">
        <v>46159</v>
      </c>
      <c r="B255" s="23" t="inlineStr">
        <is>
          <t>Supermarket</t>
        </is>
      </c>
      <c r="C255" s="23" t="inlineStr">
        <is>
          <t>Groceries</t>
        </is>
      </c>
      <c r="D255" s="28" t="n">
        <v>194.43</v>
      </c>
      <c r="E255" s="23" t="inlineStr">
        <is>
          <t>Debit card</t>
        </is>
      </c>
      <c r="F255" s="23" t="n"/>
      <c r="G255" s="23" t="n"/>
      <c r="H255" s="29">
        <f>IF(C255="","",IFERROR(INDEX(Categories!$B$6:$B$65,MATCH(C255,Categories!$A$6:$A$65,0))&amp;"",""))</f>
        <v/>
      </c>
      <c r="I255" s="25">
        <f>IF(AND(A255="",C255="",D255=""),"",IF(A255="","Date missing",IF(NOT(ISNUMBER(A255)),"Date not recognized",IF(YEAR(A255)&lt;&gt;Settings!$C$4,"Not in "&amp;Settings!$C$4,IF(C255="","Category missing",IF(H255="",IF(COUNTIF(Categories!$A$6:$A$65,C255)&gt;0,"Category has no type","Category not in list"),IF(D255="","Amount missing",IF(NOT(ISNUMBER(D255)),"Amount is not a number",IF(F255="","",IF(ISNA(MATCH(F255,Lists!$G$2:$G$25,0)),"Goal / fund not in list",IF(H255="Income","Fund tag ignored on income","")))))))))))</f>
        <v/>
      </c>
    </row>
    <row r="256">
      <c r="A256" s="27" t="n">
        <v>46160</v>
      </c>
      <c r="B256" s="23" t="inlineStr">
        <is>
          <t>Electric bill</t>
        </is>
      </c>
      <c r="C256" s="23" t="inlineStr">
        <is>
          <t>Utilities</t>
        </is>
      </c>
      <c r="D256" s="28" t="n">
        <v>92.76000000000001</v>
      </c>
      <c r="E256" s="23" t="inlineStr">
        <is>
          <t>Checking</t>
        </is>
      </c>
      <c r="F256" s="23" t="n"/>
      <c r="G256" s="23" t="n"/>
      <c r="H256" s="29">
        <f>IF(C256="","",IFERROR(INDEX(Categories!$B$6:$B$65,MATCH(C256,Categories!$A$6:$A$65,0))&amp;"",""))</f>
        <v/>
      </c>
      <c r="I256" s="25">
        <f>IF(AND(A256="",C256="",D256=""),"",IF(A256="","Date missing",IF(NOT(ISNUMBER(A256)),"Date not recognized",IF(YEAR(A256)&lt;&gt;Settings!$C$4,"Not in "&amp;Settings!$C$4,IF(C256="","Category missing",IF(H256="",IF(COUNTIF(Categories!$A$6:$A$65,C256)&gt;0,"Category has no type","Category not in list"),IF(D256="","Amount missing",IF(NOT(ISNUMBER(D256)),"Amount is not a number",IF(F256="","",IF(ISNA(MATCH(F256,Lists!$G$2:$G$25,0)),"Goal / fund not in list",IF(H256="Income","Fund tag ignored on income","")))))))))))</f>
        <v/>
      </c>
    </row>
    <row r="257">
      <c r="A257" s="27" t="n">
        <v>46160</v>
      </c>
      <c r="B257" s="23" t="inlineStr">
        <is>
          <t>Parking</t>
        </is>
      </c>
      <c r="C257" s="23" t="inlineStr">
        <is>
          <t>Transport / Gas</t>
        </is>
      </c>
      <c r="D257" s="28" t="n">
        <v>13.1</v>
      </c>
      <c r="E257" s="23" t="inlineStr">
        <is>
          <t>Cash</t>
        </is>
      </c>
      <c r="F257" s="23" t="n"/>
      <c r="G257" s="23" t="n"/>
      <c r="H257" s="29">
        <f>IF(C257="","",IFERROR(INDEX(Categories!$B$6:$B$65,MATCH(C257,Categories!$A$6:$A$65,0))&amp;"",""))</f>
        <v/>
      </c>
      <c r="I257" s="25">
        <f>IF(AND(A257="",C257="",D257=""),"",IF(A257="","Date missing",IF(NOT(ISNUMBER(A257)),"Date not recognized",IF(YEAR(A257)&lt;&gt;Settings!$C$4,"Not in "&amp;Settings!$C$4,IF(C257="","Category missing",IF(H257="",IF(COUNTIF(Categories!$A$6:$A$65,C257)&gt;0,"Category has no type","Category not in list"),IF(D257="","Amount missing",IF(NOT(ISNUMBER(D257)),"Amount is not a number",IF(F257="","",IF(ISNA(MATCH(F257,Lists!$G$2:$G$25,0)),"Goal / fund not in list",IF(H257="Income","Fund tag ignored on income","")))))))))))</f>
        <v/>
      </c>
    </row>
    <row r="258">
      <c r="A258" s="27" t="n">
        <v>46162</v>
      </c>
      <c r="B258" s="23" t="inlineStr">
        <is>
          <t>Gas bill</t>
        </is>
      </c>
      <c r="C258" s="23" t="inlineStr">
        <is>
          <t>Utilities</t>
        </is>
      </c>
      <c r="D258" s="28" t="n">
        <v>43.49</v>
      </c>
      <c r="E258" s="23" t="inlineStr">
        <is>
          <t>Checking</t>
        </is>
      </c>
      <c r="F258" s="23" t="n"/>
      <c r="G258" s="23" t="n"/>
      <c r="H258" s="29">
        <f>IF(C258="","",IFERROR(INDEX(Categories!$B$6:$B$65,MATCH(C258,Categories!$A$6:$A$65,0))&amp;"",""))</f>
        <v/>
      </c>
      <c r="I258" s="25">
        <f>IF(AND(A258="",C258="",D258=""),"",IF(A258="","Date missing",IF(NOT(ISNUMBER(A258)),"Date not recognized",IF(YEAR(A258)&lt;&gt;Settings!$C$4,"Not in "&amp;Settings!$C$4,IF(C258="","Category missing",IF(H258="",IF(COUNTIF(Categories!$A$6:$A$65,C258)&gt;0,"Category has no type","Category not in list"),IF(D258="","Amount missing",IF(NOT(ISNUMBER(D258)),"Amount is not a number",IF(F258="","",IF(ISNA(MATCH(F258,Lists!$G$2:$G$25,0)),"Goal / fund not in list",IF(H258="Income","Fund tag ignored on income","")))))))))))</f>
        <v/>
      </c>
    </row>
    <row r="259">
      <c r="A259" s="27" t="n">
        <v>46162</v>
      </c>
      <c r="B259" s="23" t="inlineStr">
        <is>
          <t>Gas station</t>
        </is>
      </c>
      <c r="C259" s="23" t="inlineStr">
        <is>
          <t>Transport / Gas</t>
        </is>
      </c>
      <c r="D259" s="28" t="n">
        <v>54.49</v>
      </c>
      <c r="E259" s="23" t="inlineStr">
        <is>
          <t>Credit card</t>
        </is>
      </c>
      <c r="F259" s="23" t="n"/>
      <c r="G259" s="23" t="n"/>
      <c r="H259" s="29">
        <f>IF(C259="","",IFERROR(INDEX(Categories!$B$6:$B$65,MATCH(C259,Categories!$A$6:$A$65,0))&amp;"",""))</f>
        <v/>
      </c>
      <c r="I259" s="25">
        <f>IF(AND(A259="",C259="",D259=""),"",IF(A259="","Date missing",IF(NOT(ISNUMBER(A259)),"Date not recognized",IF(YEAR(A259)&lt;&gt;Settings!$C$4,"Not in "&amp;Settings!$C$4,IF(C259="","Category missing",IF(H259="",IF(COUNTIF(Categories!$A$6:$A$65,C259)&gt;0,"Category has no type","Category not in list"),IF(D259="","Amount missing",IF(NOT(ISNUMBER(D259)),"Amount is not a number",IF(F259="","",IF(ISNA(MATCH(F259,Lists!$G$2:$G$25,0)),"Goal / fund not in list",IF(H259="Income","Fund tag ignored on income","")))))))))))</f>
        <v/>
      </c>
    </row>
    <row r="260">
      <c r="A260" s="27" t="n">
        <v>46162</v>
      </c>
      <c r="B260" s="23" t="inlineStr">
        <is>
          <t>Credit card payment + extra</t>
        </is>
      </c>
      <c r="C260" s="23" t="inlineStr">
        <is>
          <t>Debt payments</t>
        </is>
      </c>
      <c r="D260" s="28" t="n">
        <v>260</v>
      </c>
      <c r="E260" s="23" t="inlineStr">
        <is>
          <t>Checking</t>
        </is>
      </c>
      <c r="F260" s="23" t="n"/>
      <c r="G260" s="23" t="n"/>
      <c r="H260" s="29">
        <f>IF(C260="","",IFERROR(INDEX(Categories!$B$6:$B$65,MATCH(C260,Categories!$A$6:$A$65,0))&amp;"",""))</f>
        <v/>
      </c>
      <c r="I260" s="25">
        <f>IF(AND(A260="",C260="",D260=""),"",IF(A260="","Date missing",IF(NOT(ISNUMBER(A260)),"Date not recognized",IF(YEAR(A260)&lt;&gt;Settings!$C$4,"Not in "&amp;Settings!$C$4,IF(C260="","Category missing",IF(H260="",IF(COUNTIF(Categories!$A$6:$A$65,C260)&gt;0,"Category has no type","Category not in list"),IF(D260="","Amount missing",IF(NOT(ISNUMBER(D260)),"Amount is not a number",IF(F260="","",IF(ISNA(MATCH(F260,Lists!$G$2:$G$25,0)),"Goal / fund not in list",IF(H260="Income","Fund tag ignored on income","")))))))))))</f>
        <v/>
      </c>
    </row>
    <row r="261">
      <c r="A261" s="27" t="n">
        <v>46162</v>
      </c>
      <c r="B261" s="23" t="inlineStr">
        <is>
          <t>Medical bill installment</t>
        </is>
      </c>
      <c r="C261" s="23" t="inlineStr">
        <is>
          <t>Debt payments</t>
        </is>
      </c>
      <c r="D261" s="28" t="n">
        <v>40</v>
      </c>
      <c r="E261" s="23" t="inlineStr">
        <is>
          <t>Checking</t>
        </is>
      </c>
      <c r="F261" s="23" t="n"/>
      <c r="G261" s="23" t="n"/>
      <c r="H261" s="29">
        <f>IF(C261="","",IFERROR(INDEX(Categories!$B$6:$B$65,MATCH(C261,Categories!$A$6:$A$65,0))&amp;"",""))</f>
        <v/>
      </c>
      <c r="I261" s="25">
        <f>IF(AND(A261="",C261="",D261=""),"",IF(A261="","Date missing",IF(NOT(ISNUMBER(A261)),"Date not recognized",IF(YEAR(A261)&lt;&gt;Settings!$C$4,"Not in "&amp;Settings!$C$4,IF(C261="","Category missing",IF(H261="",IF(COUNTIF(Categories!$A$6:$A$65,C261)&gt;0,"Category has no type","Category not in list"),IF(D261="","Amount missing",IF(NOT(ISNUMBER(D261)),"Amount is not a number",IF(F261="","",IF(ISNA(MATCH(F261,Lists!$G$2:$G$25,0)),"Goal / fund not in list",IF(H261="Income","Fund tag ignored on income","")))))))))))</f>
        <v/>
      </c>
    </row>
    <row r="262">
      <c r="A262" s="27" t="n">
        <v>46163</v>
      </c>
      <c r="B262" s="23" t="inlineStr">
        <is>
          <t>Wedding gift</t>
        </is>
      </c>
      <c r="C262" s="23" t="inlineStr">
        <is>
          <t>Gifts</t>
        </is>
      </c>
      <c r="D262" s="28" t="n">
        <v>38.6</v>
      </c>
      <c r="E262" s="23" t="inlineStr">
        <is>
          <t>Credit card</t>
        </is>
      </c>
      <c r="F262" s="23" t="n"/>
      <c r="G262" s="23" t="n"/>
      <c r="H262" s="29">
        <f>IF(C262="","",IFERROR(INDEX(Categories!$B$6:$B$65,MATCH(C262,Categories!$A$6:$A$65,0))&amp;"",""))</f>
        <v/>
      </c>
      <c r="I262" s="25">
        <f>IF(AND(A262="",C262="",D262=""),"",IF(A262="","Date missing",IF(NOT(ISNUMBER(A262)),"Date not recognized",IF(YEAR(A262)&lt;&gt;Settings!$C$4,"Not in "&amp;Settings!$C$4,IF(C262="","Category missing",IF(H262="",IF(COUNTIF(Categories!$A$6:$A$65,C262)&gt;0,"Category has no type","Category not in list"),IF(D262="","Amount missing",IF(NOT(ISNUMBER(D262)),"Amount is not a number",IF(F262="","",IF(ISNA(MATCH(F262,Lists!$G$2:$G$25,0)),"Goal / fund not in list",IF(H262="Income","Fund tag ignored on income","")))))))))))</f>
        <v/>
      </c>
    </row>
    <row r="263">
      <c r="A263" s="27" t="n">
        <v>46163</v>
      </c>
      <c r="B263" s="23" t="inlineStr">
        <is>
          <t>Personal loan payment</t>
        </is>
      </c>
      <c r="C263" s="23" t="inlineStr">
        <is>
          <t>Debt payments</t>
        </is>
      </c>
      <c r="D263" s="28" t="n">
        <v>210</v>
      </c>
      <c r="E263" s="23" t="inlineStr">
        <is>
          <t>Checking</t>
        </is>
      </c>
      <c r="F263" s="23" t="n"/>
      <c r="G263" s="23" t="n"/>
      <c r="H263" s="29">
        <f>IF(C263="","",IFERROR(INDEX(Categories!$B$6:$B$65,MATCH(C263,Categories!$A$6:$A$65,0))&amp;"",""))</f>
        <v/>
      </c>
      <c r="I263" s="25">
        <f>IF(AND(A263="",C263="",D263=""),"",IF(A263="","Date missing",IF(NOT(ISNUMBER(A263)),"Date not recognized",IF(YEAR(A263)&lt;&gt;Settings!$C$4,"Not in "&amp;Settings!$C$4,IF(C263="","Category missing",IF(H263="",IF(COUNTIF(Categories!$A$6:$A$65,C263)&gt;0,"Category has no type","Category not in list"),IF(D263="","Amount missing",IF(NOT(ISNUMBER(D263)),"Amount is not a number",IF(F263="","",IF(ISNA(MATCH(F263,Lists!$G$2:$G$25,0)),"Goal / fund not in list",IF(H263="Income","Fund tag ignored on income","")))))))))))</f>
        <v/>
      </c>
    </row>
    <row r="264">
      <c r="A264" s="27" t="n">
        <v>46164</v>
      </c>
      <c r="B264" s="23" t="inlineStr">
        <is>
          <t>Water &amp; trash</t>
        </is>
      </c>
      <c r="C264" s="23" t="inlineStr">
        <is>
          <t>Utilities</t>
        </is>
      </c>
      <c r="D264" s="28" t="n">
        <v>54.3</v>
      </c>
      <c r="E264" s="23" t="inlineStr">
        <is>
          <t>Checking</t>
        </is>
      </c>
      <c r="F264" s="23" t="n"/>
      <c r="G264" s="23" t="n"/>
      <c r="H264" s="29">
        <f>IF(C264="","",IFERROR(INDEX(Categories!$B$6:$B$65,MATCH(C264,Categories!$A$6:$A$65,0))&amp;"",""))</f>
        <v/>
      </c>
      <c r="I264" s="25">
        <f>IF(AND(A264="",C264="",D264=""),"",IF(A264="","Date missing",IF(NOT(ISNUMBER(A264)),"Date not recognized",IF(YEAR(A264)&lt;&gt;Settings!$C$4,"Not in "&amp;Settings!$C$4,IF(C264="","Category missing",IF(H264="",IF(COUNTIF(Categories!$A$6:$A$65,C264)&gt;0,"Category has no type","Category not in list"),IF(D264="","Amount missing",IF(NOT(ISNUMBER(D264)),"Amount is not a number",IF(F264="","",IF(ISNA(MATCH(F264,Lists!$G$2:$G$25,0)),"Goal / fund not in list",IF(H264="Income","Fund tag ignored on income","")))))))))))</f>
        <v/>
      </c>
    </row>
    <row r="265">
      <c r="A265" s="27" t="n">
        <v>46164</v>
      </c>
      <c r="B265" s="23" t="inlineStr">
        <is>
          <t>Brunch</t>
        </is>
      </c>
      <c r="C265" s="23" t="inlineStr">
        <is>
          <t>Dining out</t>
        </is>
      </c>
      <c r="D265" s="28" t="n">
        <v>59.82</v>
      </c>
      <c r="E265" s="23" t="inlineStr">
        <is>
          <t>Credit card</t>
        </is>
      </c>
      <c r="F265" s="23" t="n"/>
      <c r="G265" s="23" t="n"/>
      <c r="H265" s="29">
        <f>IF(C265="","",IFERROR(INDEX(Categories!$B$6:$B$65,MATCH(C265,Categories!$A$6:$A$65,0))&amp;"",""))</f>
        <v/>
      </c>
      <c r="I265" s="25">
        <f>IF(AND(A265="",C265="",D265=""),"",IF(A265="","Date missing",IF(NOT(ISNUMBER(A265)),"Date not recognized",IF(YEAR(A265)&lt;&gt;Settings!$C$4,"Not in "&amp;Settings!$C$4,IF(C265="","Category missing",IF(H265="",IF(COUNTIF(Categories!$A$6:$A$65,C265)&gt;0,"Category has no type","Category not in list"),IF(D265="","Amount missing",IF(NOT(ISNUMBER(D265)),"Amount is not a number",IF(F265="","",IF(ISNA(MATCH(F265,Lists!$G$2:$G$25,0)),"Goal / fund not in list",IF(H265="Income","Fund tag ignored on income","")))))))))))</f>
        <v/>
      </c>
    </row>
    <row r="266">
      <c r="A266" s="27" t="n">
        <v>46164</v>
      </c>
      <c r="B266" s="23" t="inlineStr">
        <is>
          <t>Brunch</t>
        </is>
      </c>
      <c r="C266" s="23" t="inlineStr">
        <is>
          <t>Dining out</t>
        </is>
      </c>
      <c r="D266" s="28" t="n">
        <v>31.95</v>
      </c>
      <c r="E266" s="23" t="inlineStr">
        <is>
          <t>Credit card</t>
        </is>
      </c>
      <c r="F266" s="23" t="n"/>
      <c r="G266" s="23" t="n"/>
      <c r="H266" s="29">
        <f>IF(C266="","",IFERROR(INDEX(Categories!$B$6:$B$65,MATCH(C266,Categories!$A$6:$A$65,0))&amp;"",""))</f>
        <v/>
      </c>
      <c r="I266" s="25">
        <f>IF(AND(A266="",C266="",D266=""),"",IF(A266="","Date missing",IF(NOT(ISNUMBER(A266)),"Date not recognized",IF(YEAR(A266)&lt;&gt;Settings!$C$4,"Not in "&amp;Settings!$C$4,IF(C266="","Category missing",IF(H266="",IF(COUNTIF(Categories!$A$6:$A$65,C266)&gt;0,"Category has no type","Category not in list"),IF(D266="","Amount missing",IF(NOT(ISNUMBER(D266)),"Amount is not a number",IF(F266="","",IF(ISNA(MATCH(F266,Lists!$G$2:$G$25,0)),"Goal / fund not in list",IF(H266="Income","Fund tag ignored on income","")))))))))))</f>
        <v/>
      </c>
    </row>
    <row r="267">
      <c r="A267" s="27" t="n">
        <v>46165</v>
      </c>
      <c r="B267" s="23" t="inlineStr">
        <is>
          <t>Takeout</t>
        </is>
      </c>
      <c r="C267" s="23" t="inlineStr">
        <is>
          <t>Dining out</t>
        </is>
      </c>
      <c r="D267" s="28" t="n">
        <v>60.83</v>
      </c>
      <c r="E267" s="23" t="inlineStr">
        <is>
          <t>Credit card</t>
        </is>
      </c>
      <c r="F267" s="23" t="n"/>
      <c r="G267" s="23" t="n"/>
      <c r="H267" s="29">
        <f>IF(C267="","",IFERROR(INDEX(Categories!$B$6:$B$65,MATCH(C267,Categories!$A$6:$A$65,0))&amp;"",""))</f>
        <v/>
      </c>
      <c r="I267" s="25">
        <f>IF(AND(A267="",C267="",D267=""),"",IF(A267="","Date missing",IF(NOT(ISNUMBER(A267)),"Date not recognized",IF(YEAR(A267)&lt;&gt;Settings!$C$4,"Not in "&amp;Settings!$C$4,IF(C267="","Category missing",IF(H267="",IF(COUNTIF(Categories!$A$6:$A$65,C267)&gt;0,"Category has no type","Category not in list"),IF(D267="","Amount missing",IF(NOT(ISNUMBER(D267)),"Amount is not a number",IF(F267="","",IF(ISNA(MATCH(F267,Lists!$G$2:$G$25,0)),"Goal / fund not in list",IF(H267="Income","Fund tag ignored on income","")))))))))))</f>
        <v/>
      </c>
    </row>
    <row r="268">
      <c r="A268" s="27" t="n">
        <v>46165</v>
      </c>
      <c r="B268" s="23" t="inlineStr">
        <is>
          <t>Weekend trip</t>
        </is>
      </c>
      <c r="C268" s="23" t="inlineStr">
        <is>
          <t>Travel</t>
        </is>
      </c>
      <c r="D268" s="28" t="n">
        <v>212.4</v>
      </c>
      <c r="E268" s="23" t="inlineStr">
        <is>
          <t>Credit card</t>
        </is>
      </c>
      <c r="F268" s="23" t="n"/>
      <c r="G268" s="23" t="n"/>
      <c r="H268" s="29">
        <f>IF(C268="","",IFERROR(INDEX(Categories!$B$6:$B$65,MATCH(C268,Categories!$A$6:$A$65,0))&amp;"",""))</f>
        <v/>
      </c>
      <c r="I268" s="25">
        <f>IF(AND(A268="",C268="",D268=""),"",IF(A268="","Date missing",IF(NOT(ISNUMBER(A268)),"Date not recognized",IF(YEAR(A268)&lt;&gt;Settings!$C$4,"Not in "&amp;Settings!$C$4,IF(C268="","Category missing",IF(H268="",IF(COUNTIF(Categories!$A$6:$A$65,C268)&gt;0,"Category has no type","Category not in list"),IF(D268="","Amount missing",IF(NOT(ISNUMBER(D268)),"Amount is not a number",IF(F268="","",IF(ISNA(MATCH(F268,Lists!$G$2:$G$25,0)),"Goal / fund not in list",IF(H268="Income","Fund tag ignored on income","")))))))))))</f>
        <v/>
      </c>
    </row>
    <row r="269">
      <c r="A269" s="27" t="n">
        <v>46166</v>
      </c>
      <c r="B269" s="23" t="inlineStr">
        <is>
          <t>Farmers market</t>
        </is>
      </c>
      <c r="C269" s="23" t="inlineStr">
        <is>
          <t>Groceries</t>
        </is>
      </c>
      <c r="D269" s="28" t="n">
        <v>170.98</v>
      </c>
      <c r="E269" s="23" t="inlineStr">
        <is>
          <t>Debit card</t>
        </is>
      </c>
      <c r="F269" s="23" t="n"/>
      <c r="G269" s="23" t="n"/>
      <c r="H269" s="29">
        <f>IF(C269="","",IFERROR(INDEX(Categories!$B$6:$B$65,MATCH(C269,Categories!$A$6:$A$65,0))&amp;"",""))</f>
        <v/>
      </c>
      <c r="I269" s="25">
        <f>IF(AND(A269="",C269="",D269=""),"",IF(A269="","Date missing",IF(NOT(ISNUMBER(A269)),"Date not recognized",IF(YEAR(A269)&lt;&gt;Settings!$C$4,"Not in "&amp;Settings!$C$4,IF(C269="","Category missing",IF(H269="",IF(COUNTIF(Categories!$A$6:$A$65,C269)&gt;0,"Category has no type","Category not in list"),IF(D269="","Amount missing",IF(NOT(ISNUMBER(D269)),"Amount is not a number",IF(F269="","",IF(ISNA(MATCH(F269,Lists!$G$2:$G$25,0)),"Goal / fund not in list",IF(H269="Income","Fund tag ignored on income","")))))))))))</f>
        <v/>
      </c>
    </row>
    <row r="270">
      <c r="A270" s="27" t="n">
        <v>46166</v>
      </c>
      <c r="B270" s="23" t="inlineStr">
        <is>
          <t>Haircut</t>
        </is>
      </c>
      <c r="C270" s="23" t="inlineStr">
        <is>
          <t>Personal care</t>
        </is>
      </c>
      <c r="D270" s="28" t="n">
        <v>19.51</v>
      </c>
      <c r="E270" s="23" t="inlineStr">
        <is>
          <t>Debit card</t>
        </is>
      </c>
      <c r="F270" s="23" t="n"/>
      <c r="G270" s="23" t="n"/>
      <c r="H270" s="29">
        <f>IF(C270="","",IFERROR(INDEX(Categories!$B$6:$B$65,MATCH(C270,Categories!$A$6:$A$65,0))&amp;"",""))</f>
        <v/>
      </c>
      <c r="I270" s="25">
        <f>IF(AND(A270="",C270="",D270=""),"",IF(A270="","Date missing",IF(NOT(ISNUMBER(A270)),"Date not recognized",IF(YEAR(A270)&lt;&gt;Settings!$C$4,"Not in "&amp;Settings!$C$4,IF(C270="","Category missing",IF(H270="",IF(COUNTIF(Categories!$A$6:$A$65,C270)&gt;0,"Category has no type","Category not in list"),IF(D270="","Amount missing",IF(NOT(ISNUMBER(D270)),"Amount is not a number",IF(F270="","",IF(ISNA(MATCH(F270,Lists!$G$2:$G$25,0)),"Goal / fund not in list",IF(H270="Income","Fund tag ignored on income","")))))))))))</f>
        <v/>
      </c>
    </row>
    <row r="271">
      <c r="A271" s="27" t="n">
        <v>46167</v>
      </c>
      <c r="B271" s="23" t="inlineStr">
        <is>
          <t>Kids clothes</t>
        </is>
      </c>
      <c r="C271" s="23" t="inlineStr">
        <is>
          <t>Kids</t>
        </is>
      </c>
      <c r="D271" s="28" t="n">
        <v>42.83</v>
      </c>
      <c r="E271" s="23" t="inlineStr">
        <is>
          <t>Debit card</t>
        </is>
      </c>
      <c r="F271" s="23" t="n"/>
      <c r="G271" s="23" t="n"/>
      <c r="H271" s="29">
        <f>IF(C271="","",IFERROR(INDEX(Categories!$B$6:$B$65,MATCH(C271,Categories!$A$6:$A$65,0))&amp;"",""))</f>
        <v/>
      </c>
      <c r="I271" s="25">
        <f>IF(AND(A271="",C271="",D271=""),"",IF(A271="","Date missing",IF(NOT(ISNUMBER(A271)),"Date not recognized",IF(YEAR(A271)&lt;&gt;Settings!$C$4,"Not in "&amp;Settings!$C$4,IF(C271="","Category missing",IF(H271="",IF(COUNTIF(Categories!$A$6:$A$65,C271)&gt;0,"Category has no type","Category not in list"),IF(D271="","Amount missing",IF(NOT(ISNUMBER(D271)),"Amount is not a number",IF(F271="","",IF(ISNA(MATCH(F271,Lists!$G$2:$G$25,0)),"Goal / fund not in list",IF(H271="Income","Fund tag ignored on income","")))))))))))</f>
        <v/>
      </c>
    </row>
    <row r="272">
      <c r="A272" s="27" t="n">
        <v>46167</v>
      </c>
      <c r="B272" s="23" t="inlineStr">
        <is>
          <t>Student loan payment</t>
        </is>
      </c>
      <c r="C272" s="23" t="inlineStr">
        <is>
          <t>Debt payments</t>
        </is>
      </c>
      <c r="D272" s="28" t="n">
        <v>165</v>
      </c>
      <c r="E272" s="23" t="inlineStr">
        <is>
          <t>Checking</t>
        </is>
      </c>
      <c r="F272" s="23" t="n"/>
      <c r="G272" s="23" t="n"/>
      <c r="H272" s="29">
        <f>IF(C272="","",IFERROR(INDEX(Categories!$B$6:$B$65,MATCH(C272,Categories!$A$6:$A$65,0))&amp;"",""))</f>
        <v/>
      </c>
      <c r="I272" s="25">
        <f>IF(AND(A272="",C272="",D272=""),"",IF(A272="","Date missing",IF(NOT(ISNUMBER(A272)),"Date not recognized",IF(YEAR(A272)&lt;&gt;Settings!$C$4,"Not in "&amp;Settings!$C$4,IF(C272="","Category missing",IF(H272="",IF(COUNTIF(Categories!$A$6:$A$65,C272)&gt;0,"Category has no type","Category not in list"),IF(D272="","Amount missing",IF(NOT(ISNUMBER(D272)),"Amount is not a number",IF(F272="","",IF(ISNA(MATCH(F272,Lists!$G$2:$G$25,0)),"Goal / fund not in list",IF(H272="Income","Fund tag ignored on income","")))))))))))</f>
        <v/>
      </c>
    </row>
    <row r="273">
      <c r="A273" s="27" t="n">
        <v>46169</v>
      </c>
      <c r="B273" s="23" t="inlineStr">
        <is>
          <t>Brunch</t>
        </is>
      </c>
      <c r="C273" s="23" t="inlineStr">
        <is>
          <t>Dining out</t>
        </is>
      </c>
      <c r="D273" s="28" t="n">
        <v>12.4</v>
      </c>
      <c r="E273" s="23" t="inlineStr">
        <is>
          <t>Credit card</t>
        </is>
      </c>
      <c r="F273" s="23" t="n"/>
      <c r="G273" s="23" t="n"/>
      <c r="H273" s="29">
        <f>IF(C273="","",IFERROR(INDEX(Categories!$B$6:$B$65,MATCH(C273,Categories!$A$6:$A$65,0))&amp;"",""))</f>
        <v/>
      </c>
      <c r="I273" s="25">
        <f>IF(AND(A273="",C273="",D273=""),"",IF(A273="","Date missing",IF(NOT(ISNUMBER(A273)),"Date not recognized",IF(YEAR(A273)&lt;&gt;Settings!$C$4,"Not in "&amp;Settings!$C$4,IF(C273="","Category missing",IF(H273="",IF(COUNTIF(Categories!$A$6:$A$65,C273)&gt;0,"Category has no type","Category not in list"),IF(D273="","Amount missing",IF(NOT(ISNUMBER(D273)),"Amount is not a number",IF(F273="","",IF(ISNA(MATCH(F273,Lists!$G$2:$G$25,0)),"Goal / fund not in list",IF(H273="Income","Fund tag ignored on income","")))))))))))</f>
        <v/>
      </c>
    </row>
    <row r="274">
      <c r="A274" s="27" t="n">
        <v>46169</v>
      </c>
      <c r="B274" s="23" t="inlineStr">
        <is>
          <t>Gas station</t>
        </is>
      </c>
      <c r="C274" s="23" t="inlineStr">
        <is>
          <t>Transport / Gas</t>
        </is>
      </c>
      <c r="D274" s="28" t="n">
        <v>43.34</v>
      </c>
      <c r="E274" s="23" t="inlineStr">
        <is>
          <t>Credit card</t>
        </is>
      </c>
      <c r="F274" s="23" t="n"/>
      <c r="G274" s="23" t="n"/>
      <c r="H274" s="29">
        <f>IF(C274="","",IFERROR(INDEX(Categories!$B$6:$B$65,MATCH(C274,Categories!$A$6:$A$65,0))&amp;"",""))</f>
        <v/>
      </c>
      <c r="I274" s="25">
        <f>IF(AND(A274="",C274="",D274=""),"",IF(A274="","Date missing",IF(NOT(ISNUMBER(A274)),"Date not recognized",IF(YEAR(A274)&lt;&gt;Settings!$C$4,"Not in "&amp;Settings!$C$4,IF(C274="","Category missing",IF(H274="",IF(COUNTIF(Categories!$A$6:$A$65,C274)&gt;0,"Category has no type","Category not in list"),IF(D274="","Amount missing",IF(NOT(ISNUMBER(D274)),"Amount is not a number",IF(F274="","",IF(ISNA(MATCH(F274,Lists!$G$2:$G$25,0)),"Goal / fund not in list",IF(H274="Income","Fund tag ignored on income","")))))))))))</f>
        <v/>
      </c>
    </row>
    <row r="275">
      <c r="A275" s="27" t="n">
        <v>46170</v>
      </c>
      <c r="B275" s="23" t="inlineStr">
        <is>
          <t>Sam paycheck</t>
        </is>
      </c>
      <c r="C275" s="23" t="inlineStr">
        <is>
          <t>Paycheck 2</t>
        </is>
      </c>
      <c r="D275" s="28" t="n">
        <v>2950</v>
      </c>
      <c r="E275" s="23" t="inlineStr">
        <is>
          <t>Checking</t>
        </is>
      </c>
      <c r="F275" s="23" t="n"/>
      <c r="G275" s="23" t="n"/>
      <c r="H275" s="29">
        <f>IF(C275="","",IFERROR(INDEX(Categories!$B$6:$B$65,MATCH(C275,Categories!$A$6:$A$65,0))&amp;"",""))</f>
        <v/>
      </c>
      <c r="I275" s="25">
        <f>IF(AND(A275="",C275="",D275=""),"",IF(A275="","Date missing",IF(NOT(ISNUMBER(A275)),"Date not recognized",IF(YEAR(A275)&lt;&gt;Settings!$C$4,"Not in "&amp;Settings!$C$4,IF(C275="","Category missing",IF(H275="",IF(COUNTIF(Categories!$A$6:$A$65,C275)&gt;0,"Category has no type","Category not in list"),IF(D275="","Amount missing",IF(NOT(ISNUMBER(D275)),"Amount is not a number",IF(F275="","",IF(ISNA(MATCH(F275,Lists!$G$2:$G$25,0)),"Goal / fund not in list",IF(H275="Income","Fund tag ignored on income","")))))))))))</f>
        <v/>
      </c>
    </row>
    <row r="276">
      <c r="A276" s="27" t="n">
        <v>46172</v>
      </c>
      <c r="B276" s="23" t="inlineStr">
        <is>
          <t>Warehouse store</t>
        </is>
      </c>
      <c r="C276" s="23" t="inlineStr">
        <is>
          <t>Groceries</t>
        </is>
      </c>
      <c r="D276" s="28" t="n">
        <v>157.53</v>
      </c>
      <c r="E276" s="23" t="inlineStr">
        <is>
          <t>Debit card</t>
        </is>
      </c>
      <c r="F276" s="23" t="n"/>
      <c r="G276" s="23" t="n"/>
      <c r="H276" s="29">
        <f>IF(C276="","",IFERROR(INDEX(Categories!$B$6:$B$65,MATCH(C276,Categories!$A$6:$A$65,0))&amp;"",""))</f>
        <v/>
      </c>
      <c r="I276" s="25">
        <f>IF(AND(A276="",C276="",D276=""),"",IF(A276="","Date missing",IF(NOT(ISNUMBER(A276)),"Date not recognized",IF(YEAR(A276)&lt;&gt;Settings!$C$4,"Not in "&amp;Settings!$C$4,IF(C276="","Category missing",IF(H276="",IF(COUNTIF(Categories!$A$6:$A$65,C276)&gt;0,"Category has no type","Category not in list"),IF(D276="","Amount missing",IF(NOT(ISNUMBER(D276)),"Amount is not a number",IF(F276="","",IF(ISNA(MATCH(F276,Lists!$G$2:$G$25,0)),"Goal / fund not in list",IF(H276="Income","Fund tag ignored on income","")))))))))))</f>
        <v/>
      </c>
    </row>
    <row r="277">
      <c r="A277" s="27" t="n">
        <v>46174</v>
      </c>
      <c r="B277" s="23" t="inlineStr">
        <is>
          <t>Alex paycheck</t>
        </is>
      </c>
      <c r="C277" s="23" t="inlineStr">
        <is>
          <t>Paycheck 1</t>
        </is>
      </c>
      <c r="D277" s="28" t="n">
        <v>2100</v>
      </c>
      <c r="E277" s="23" t="inlineStr">
        <is>
          <t>Checking</t>
        </is>
      </c>
      <c r="F277" s="23" t="n"/>
      <c r="G277" s="23" t="n"/>
      <c r="H277" s="29">
        <f>IF(C277="","",IFERROR(INDEX(Categories!$B$6:$B$65,MATCH(C277,Categories!$A$6:$A$65,0))&amp;"",""))</f>
        <v/>
      </c>
      <c r="I277" s="25">
        <f>IF(AND(A277="",C277="",D277=""),"",IF(A277="","Date missing",IF(NOT(ISNUMBER(A277)),"Date not recognized",IF(YEAR(A277)&lt;&gt;Settings!$C$4,"Not in "&amp;Settings!$C$4,IF(C277="","Category missing",IF(H277="",IF(COUNTIF(Categories!$A$6:$A$65,C277)&gt;0,"Category has no type","Category not in list"),IF(D277="","Amount missing",IF(NOT(ISNUMBER(D277)),"Amount is not a number",IF(F277="","",IF(ISNA(MATCH(F277,Lists!$G$2:$G$25,0)),"Goal / fund not in list",IF(H277="Income","Fund tag ignored on income","")))))))))))</f>
        <v/>
      </c>
    </row>
    <row r="278">
      <c r="A278" s="27" t="n">
        <v>46174</v>
      </c>
      <c r="B278" s="23" t="inlineStr">
        <is>
          <t>Rent</t>
        </is>
      </c>
      <c r="C278" s="23" t="inlineStr">
        <is>
          <t>Rent / Mortgage</t>
        </is>
      </c>
      <c r="D278" s="28" t="n">
        <v>1850</v>
      </c>
      <c r="E278" s="23" t="inlineStr">
        <is>
          <t>Checking</t>
        </is>
      </c>
      <c r="F278" s="23" t="n"/>
      <c r="G278" s="23" t="n"/>
      <c r="H278" s="29">
        <f>IF(C278="","",IFERROR(INDEX(Categories!$B$6:$B$65,MATCH(C278,Categories!$A$6:$A$65,0))&amp;"",""))</f>
        <v/>
      </c>
      <c r="I278" s="25">
        <f>IF(AND(A278="",C278="",D278=""),"",IF(A278="","Date missing",IF(NOT(ISNUMBER(A278)),"Date not recognized",IF(YEAR(A278)&lt;&gt;Settings!$C$4,"Not in "&amp;Settings!$C$4,IF(C278="","Category missing",IF(H278="",IF(COUNTIF(Categories!$A$6:$A$65,C278)&gt;0,"Category has no type","Category not in list"),IF(D278="","Amount missing",IF(NOT(ISNUMBER(D278)),"Amount is not a number",IF(F278="","",IF(ISNA(MATCH(F278,Lists!$G$2:$G$25,0)),"Goal / fund not in list",IF(H278="Income","Fund tag ignored on income","")))))))))))</f>
        <v/>
      </c>
    </row>
    <row r="279">
      <c r="A279" s="27" t="n">
        <v>46174</v>
      </c>
      <c r="B279" s="23" t="inlineStr">
        <is>
          <t>After-school program</t>
        </is>
      </c>
      <c r="C279" s="23" t="inlineStr">
        <is>
          <t>Kids</t>
        </is>
      </c>
      <c r="D279" s="28" t="n">
        <v>320</v>
      </c>
      <c r="E279" s="23" t="inlineStr">
        <is>
          <t>Checking</t>
        </is>
      </c>
      <c r="F279" s="23" t="n"/>
      <c r="G279" s="23" t="n"/>
      <c r="H279" s="29">
        <f>IF(C279="","",IFERROR(INDEX(Categories!$B$6:$B$65,MATCH(C279,Categories!$A$6:$A$65,0))&amp;"",""))</f>
        <v/>
      </c>
      <c r="I279" s="25">
        <f>IF(AND(A279="",C279="",D279=""),"",IF(A279="","Date missing",IF(NOT(ISNUMBER(A279)),"Date not recognized",IF(YEAR(A279)&lt;&gt;Settings!$C$4,"Not in "&amp;Settings!$C$4,IF(C279="","Category missing",IF(H279="",IF(COUNTIF(Categories!$A$6:$A$65,C279)&gt;0,"Category has no type","Category not in list"),IF(D279="","Amount missing",IF(NOT(ISNUMBER(D279)),"Amount is not a number",IF(F279="","",IF(ISNA(MATCH(F279,Lists!$G$2:$G$25,0)),"Goal / fund not in list",IF(H279="Income","Fund tag ignored on income","")))))))))))</f>
        <v/>
      </c>
    </row>
    <row r="280">
      <c r="A280" s="27" t="n">
        <v>46175</v>
      </c>
      <c r="B280" s="23" t="inlineStr">
        <is>
          <t>Gym membership</t>
        </is>
      </c>
      <c r="C280" s="23" t="inlineStr">
        <is>
          <t>Subscriptions</t>
        </is>
      </c>
      <c r="D280" s="28" t="n">
        <v>45</v>
      </c>
      <c r="E280" s="23" t="inlineStr">
        <is>
          <t>Checking</t>
        </is>
      </c>
      <c r="F280" s="23" t="n"/>
      <c r="G280" s="23" t="n"/>
      <c r="H280" s="29">
        <f>IF(C280="","",IFERROR(INDEX(Categories!$B$6:$B$65,MATCH(C280,Categories!$A$6:$A$65,0))&amp;"",""))</f>
        <v/>
      </c>
      <c r="I280" s="25">
        <f>IF(AND(A280="",C280="",D280=""),"",IF(A280="","Date missing",IF(NOT(ISNUMBER(A280)),"Date not recognized",IF(YEAR(A280)&lt;&gt;Settings!$C$4,"Not in "&amp;Settings!$C$4,IF(C280="","Category missing",IF(H280="",IF(COUNTIF(Categories!$A$6:$A$65,C280)&gt;0,"Category has no type","Category not in list"),IF(D280="","Amount missing",IF(NOT(ISNUMBER(D280)),"Amount is not a number",IF(F280="","",IF(ISNA(MATCH(F280,Lists!$G$2:$G$25,0)),"Goal / fund not in list",IF(H280="Income","Fund tag ignored on income","")))))))))))</f>
        <v/>
      </c>
    </row>
    <row r="281">
      <c r="A281" s="27" t="n">
        <v>46175</v>
      </c>
      <c r="B281" s="23" t="inlineStr">
        <is>
          <t>Transfer to emergency fund</t>
        </is>
      </c>
      <c r="C281" s="23" t="inlineStr">
        <is>
          <t>Emergency fund</t>
        </is>
      </c>
      <c r="D281" s="28" t="n">
        <v>300</v>
      </c>
      <c r="E281" s="23" t="inlineStr">
        <is>
          <t>Savings</t>
        </is>
      </c>
      <c r="F281" s="23" t="inlineStr">
        <is>
          <t>Emergency fund</t>
        </is>
      </c>
      <c r="G281" s="23" t="n"/>
      <c r="H281" s="29">
        <f>IF(C281="","",IFERROR(INDEX(Categories!$B$6:$B$65,MATCH(C281,Categories!$A$6:$A$65,0))&amp;"",""))</f>
        <v/>
      </c>
      <c r="I281" s="25">
        <f>IF(AND(A281="",C281="",D281=""),"",IF(A281="","Date missing",IF(NOT(ISNUMBER(A281)),"Date not recognized",IF(YEAR(A281)&lt;&gt;Settings!$C$4,"Not in "&amp;Settings!$C$4,IF(C281="","Category missing",IF(H281="",IF(COUNTIF(Categories!$A$6:$A$65,C281)&gt;0,"Category has no type","Category not in list"),IF(D281="","Amount missing",IF(NOT(ISNUMBER(D281)),"Amount is not a number",IF(F281="","",IF(ISNA(MATCH(F281,Lists!$G$2:$G$25,0)),"Goal / fund not in list",IF(H281="Income","Fund tag ignored on income","")))))))))))</f>
        <v/>
      </c>
    </row>
    <row r="282">
      <c r="A282" s="27" t="n">
        <v>46175</v>
      </c>
      <c r="B282" s="23" t="inlineStr">
        <is>
          <t>Transfer: house fund</t>
        </is>
      </c>
      <c r="C282" s="23" t="inlineStr">
        <is>
          <t>Savings goals</t>
        </is>
      </c>
      <c r="D282" s="28" t="n">
        <v>300</v>
      </c>
      <c r="E282" s="23" t="inlineStr">
        <is>
          <t>Savings</t>
        </is>
      </c>
      <c r="F282" s="23" t="inlineStr">
        <is>
          <t>House down payment</t>
        </is>
      </c>
      <c r="G282" s="23" t="n"/>
      <c r="H282" s="29">
        <f>IF(C282="","",IFERROR(INDEX(Categories!$B$6:$B$65,MATCH(C282,Categories!$A$6:$A$65,0))&amp;"",""))</f>
        <v/>
      </c>
      <c r="I282" s="25">
        <f>IF(AND(A282="",C282="",D282=""),"",IF(A282="","Date missing",IF(NOT(ISNUMBER(A282)),"Date not recognized",IF(YEAR(A282)&lt;&gt;Settings!$C$4,"Not in "&amp;Settings!$C$4,IF(C282="","Category missing",IF(H282="",IF(COUNTIF(Categories!$A$6:$A$65,C282)&gt;0,"Category has no type","Category not in list"),IF(D282="","Amount missing",IF(NOT(ISNUMBER(D282)),"Amount is not a number",IF(F282="","",IF(ISNA(MATCH(F282,Lists!$G$2:$G$25,0)),"Goal / fund not in list",IF(H282="Income","Fund tag ignored on income","")))))))))))</f>
        <v/>
      </c>
    </row>
    <row r="283">
      <c r="A283" s="27" t="n">
        <v>46175</v>
      </c>
      <c r="B283" s="23" t="inlineStr">
        <is>
          <t>Transfer: laptop</t>
        </is>
      </c>
      <c r="C283" s="23" t="inlineStr">
        <is>
          <t>Savings goals</t>
        </is>
      </c>
      <c r="D283" s="28" t="n">
        <v>100</v>
      </c>
      <c r="E283" s="23" t="inlineStr">
        <is>
          <t>Savings</t>
        </is>
      </c>
      <c r="F283" s="23" t="inlineStr">
        <is>
          <t>New laptop</t>
        </is>
      </c>
      <c r="G283" s="23" t="n"/>
      <c r="H283" s="29">
        <f>IF(C283="","",IFERROR(INDEX(Categories!$B$6:$B$65,MATCH(C283,Categories!$A$6:$A$65,0))&amp;"",""))</f>
        <v/>
      </c>
      <c r="I283" s="25">
        <f>IF(AND(A283="",C283="",D283=""),"",IF(A283="","Date missing",IF(NOT(ISNUMBER(A283)),"Date not recognized",IF(YEAR(A283)&lt;&gt;Settings!$C$4,"Not in "&amp;Settings!$C$4,IF(C283="","Category missing",IF(H283="",IF(COUNTIF(Categories!$A$6:$A$65,C283)&gt;0,"Category has no type","Category not in list"),IF(D283="","Amount missing",IF(NOT(ISNUMBER(D283)),"Amount is not a number",IF(F283="","",IF(ISNA(MATCH(F283,Lists!$G$2:$G$25,0)),"Goal / fund not in list",IF(H283="Income","Fund tag ignored on income","")))))))))))</f>
        <v/>
      </c>
    </row>
    <row r="284">
      <c r="A284" s="27" t="n">
        <v>46175</v>
      </c>
      <c r="B284" s="23" t="inlineStr">
        <is>
          <t>Set aside: car maintenance</t>
        </is>
      </c>
      <c r="C284" s="23" t="inlineStr">
        <is>
          <t>Sinking funds</t>
        </is>
      </c>
      <c r="D284" s="28" t="n">
        <v>60</v>
      </c>
      <c r="E284" s="23" t="inlineStr">
        <is>
          <t>Savings</t>
        </is>
      </c>
      <c r="F284" s="23" t="inlineStr">
        <is>
          <t>Car maintenance</t>
        </is>
      </c>
      <c r="G284" s="23" t="n"/>
      <c r="H284" s="29">
        <f>IF(C284="","",IFERROR(INDEX(Categories!$B$6:$B$65,MATCH(C284,Categories!$A$6:$A$65,0))&amp;"",""))</f>
        <v/>
      </c>
      <c r="I284" s="25">
        <f>IF(AND(A284="",C284="",D284=""),"",IF(A284="","Date missing",IF(NOT(ISNUMBER(A284)),"Date not recognized",IF(YEAR(A284)&lt;&gt;Settings!$C$4,"Not in "&amp;Settings!$C$4,IF(C284="","Category missing",IF(H284="",IF(COUNTIF(Categories!$A$6:$A$65,C284)&gt;0,"Category has no type","Category not in list"),IF(D284="","Amount missing",IF(NOT(ISNUMBER(D284)),"Amount is not a number",IF(F284="","",IF(ISNA(MATCH(F284,Lists!$G$2:$G$25,0)),"Goal / fund not in list",IF(H284="Income","Fund tag ignored on income","")))))))))))</f>
        <v/>
      </c>
    </row>
    <row r="285">
      <c r="A285" s="27" t="n">
        <v>46175</v>
      </c>
      <c r="B285" s="23" t="inlineStr">
        <is>
          <t>Set aside: holiday gifts</t>
        </is>
      </c>
      <c r="C285" s="23" t="inlineStr">
        <is>
          <t>Sinking funds</t>
        </is>
      </c>
      <c r="D285" s="28" t="n">
        <v>50</v>
      </c>
      <c r="E285" s="23" t="inlineStr">
        <is>
          <t>Savings</t>
        </is>
      </c>
      <c r="F285" s="23" t="inlineStr">
        <is>
          <t>Holiday gifts</t>
        </is>
      </c>
      <c r="G285" s="23" t="n"/>
      <c r="H285" s="29">
        <f>IF(C285="","",IFERROR(INDEX(Categories!$B$6:$B$65,MATCH(C285,Categories!$A$6:$A$65,0))&amp;"",""))</f>
        <v/>
      </c>
      <c r="I285" s="25">
        <f>IF(AND(A285="",C285="",D285=""),"",IF(A285="","Date missing",IF(NOT(ISNUMBER(A285)),"Date not recognized",IF(YEAR(A285)&lt;&gt;Settings!$C$4,"Not in "&amp;Settings!$C$4,IF(C285="","Category missing",IF(H285="",IF(COUNTIF(Categories!$A$6:$A$65,C285)&gt;0,"Category has no type","Category not in list"),IF(D285="","Amount missing",IF(NOT(ISNUMBER(D285)),"Amount is not a number",IF(F285="","",IF(ISNA(MATCH(F285,Lists!$G$2:$G$25,0)),"Goal / fund not in list",IF(H285="Income","Fund tag ignored on income","")))))))))))</f>
        <v/>
      </c>
    </row>
    <row r="286">
      <c r="A286" s="27" t="n">
        <v>46175</v>
      </c>
      <c r="B286" s="23" t="inlineStr">
        <is>
          <t>Set aside: summer vacation</t>
        </is>
      </c>
      <c r="C286" s="23" t="inlineStr">
        <is>
          <t>Sinking funds</t>
        </is>
      </c>
      <c r="D286" s="28" t="n">
        <v>150</v>
      </c>
      <c r="E286" s="23" t="inlineStr">
        <is>
          <t>Savings</t>
        </is>
      </c>
      <c r="F286" s="23" t="inlineStr">
        <is>
          <t>Summer vacation</t>
        </is>
      </c>
      <c r="G286" s="23" t="n"/>
      <c r="H286" s="29">
        <f>IF(C286="","",IFERROR(INDEX(Categories!$B$6:$B$65,MATCH(C286,Categories!$A$6:$A$65,0))&amp;"",""))</f>
        <v/>
      </c>
      <c r="I286" s="25">
        <f>IF(AND(A286="",C286="",D286=""),"",IF(A286="","Date missing",IF(NOT(ISNUMBER(A286)),"Date not recognized",IF(YEAR(A286)&lt;&gt;Settings!$C$4,"Not in "&amp;Settings!$C$4,IF(C286="","Category missing",IF(H286="",IF(COUNTIF(Categories!$A$6:$A$65,C286)&gt;0,"Category has no type","Category not in list"),IF(D286="","Amount missing",IF(NOT(ISNUMBER(D286)),"Amount is not a number",IF(F286="","",IF(ISNA(MATCH(F286,Lists!$G$2:$G$25,0)),"Goal / fund not in list",IF(H286="Income","Fund tag ignored on income","")))))))))))</f>
        <v/>
      </c>
    </row>
    <row r="287">
      <c r="A287" s="27" t="n">
        <v>46175</v>
      </c>
      <c r="B287" s="23" t="inlineStr">
        <is>
          <t>Set aside: home repairs</t>
        </is>
      </c>
      <c r="C287" s="23" t="inlineStr">
        <is>
          <t>Sinking funds</t>
        </is>
      </c>
      <c r="D287" s="28" t="n">
        <v>40</v>
      </c>
      <c r="E287" s="23" t="inlineStr">
        <is>
          <t>Savings</t>
        </is>
      </c>
      <c r="F287" s="23" t="inlineStr">
        <is>
          <t>Home repairs</t>
        </is>
      </c>
      <c r="G287" s="23" t="n"/>
      <c r="H287" s="29">
        <f>IF(C287="","",IFERROR(INDEX(Categories!$B$6:$B$65,MATCH(C287,Categories!$A$6:$A$65,0))&amp;"",""))</f>
        <v/>
      </c>
      <c r="I287" s="25">
        <f>IF(AND(A287="",C287="",D287=""),"",IF(A287="","Date missing",IF(NOT(ISNUMBER(A287)),"Date not recognized",IF(YEAR(A287)&lt;&gt;Settings!$C$4,"Not in "&amp;Settings!$C$4,IF(C287="","Category missing",IF(H287="",IF(COUNTIF(Categories!$A$6:$A$65,C287)&gt;0,"Category has no type","Category not in list"),IF(D287="","Amount missing",IF(NOT(ISNUMBER(D287)),"Amount is not a number",IF(F287="","",IF(ISNA(MATCH(F287,Lists!$G$2:$G$25,0)),"Goal / fund not in list",IF(H287="Income","Fund tag ignored on income","")))))))))))</f>
        <v/>
      </c>
    </row>
    <row r="288">
      <c r="A288" s="27" t="n">
        <v>46176</v>
      </c>
      <c r="B288" s="23" t="inlineStr">
        <is>
          <t>Video streaming</t>
        </is>
      </c>
      <c r="C288" s="23" t="inlineStr">
        <is>
          <t>Subscriptions</t>
        </is>
      </c>
      <c r="D288" s="28" t="n">
        <v>15.49</v>
      </c>
      <c r="E288" s="23" t="inlineStr">
        <is>
          <t>Credit card</t>
        </is>
      </c>
      <c r="F288" s="23" t="n"/>
      <c r="G288" s="23" t="n"/>
      <c r="H288" s="29">
        <f>IF(C288="","",IFERROR(INDEX(Categories!$B$6:$B$65,MATCH(C288,Categories!$A$6:$A$65,0))&amp;"",""))</f>
        <v/>
      </c>
      <c r="I288" s="25">
        <f>IF(AND(A288="",C288="",D288=""),"",IF(A288="","Date missing",IF(NOT(ISNUMBER(A288)),"Date not recognized",IF(YEAR(A288)&lt;&gt;Settings!$C$4,"Not in "&amp;Settings!$C$4,IF(C288="","Category missing",IF(H288="",IF(COUNTIF(Categories!$A$6:$A$65,C288)&gt;0,"Category has no type","Category not in list"),IF(D288="","Amount missing",IF(NOT(ISNUMBER(D288)),"Amount is not a number",IF(F288="","",IF(ISNA(MATCH(F288,Lists!$G$2:$G$25,0)),"Goal / fund not in list",IF(H288="Income","Fund tag ignored on income","")))))))))))</f>
        <v/>
      </c>
    </row>
    <row r="289">
      <c r="A289" s="27" t="n">
        <v>46176</v>
      </c>
      <c r="B289" s="23" t="inlineStr">
        <is>
          <t>Supermarket</t>
        </is>
      </c>
      <c r="C289" s="23" t="inlineStr">
        <is>
          <t>Groceries</t>
        </is>
      </c>
      <c r="D289" s="28" t="n">
        <v>142.89</v>
      </c>
      <c r="E289" s="23" t="inlineStr">
        <is>
          <t>Debit card</t>
        </is>
      </c>
      <c r="F289" s="23" t="n"/>
      <c r="G289" s="23" t="n"/>
      <c r="H289" s="29">
        <f>IF(C289="","",IFERROR(INDEX(Categories!$B$6:$B$65,MATCH(C289,Categories!$A$6:$A$65,0))&amp;"",""))</f>
        <v/>
      </c>
      <c r="I289" s="25">
        <f>IF(AND(A289="",C289="",D289=""),"",IF(A289="","Date missing",IF(NOT(ISNUMBER(A289)),"Date not recognized",IF(YEAR(A289)&lt;&gt;Settings!$C$4,"Not in "&amp;Settings!$C$4,IF(C289="","Category missing",IF(H289="",IF(COUNTIF(Categories!$A$6:$A$65,C289)&gt;0,"Category has no type","Category not in list"),IF(D289="","Amount missing",IF(NOT(ISNUMBER(D289)),"Amount is not a number",IF(F289="","",IF(ISNA(MATCH(F289,Lists!$G$2:$G$25,0)),"Goal / fund not in list",IF(H289="Income","Fund tag ignored on income","")))))))))))</f>
        <v/>
      </c>
    </row>
    <row r="290">
      <c r="A290" s="27" t="n">
        <v>46176</v>
      </c>
      <c r="B290" s="23" t="inlineStr">
        <is>
          <t>Retirement contribution</t>
        </is>
      </c>
      <c r="C290" s="23" t="inlineStr">
        <is>
          <t>Retirement &amp; investing</t>
        </is>
      </c>
      <c r="D290" s="28" t="n">
        <v>600</v>
      </c>
      <c r="E290" s="23" t="inlineStr">
        <is>
          <t>Checking</t>
        </is>
      </c>
      <c r="F290" s="23" t="n"/>
      <c r="G290" s="23" t="n"/>
      <c r="H290" s="29">
        <f>IF(C290="","",IFERROR(INDEX(Categories!$B$6:$B$65,MATCH(C290,Categories!$A$6:$A$65,0))&amp;"",""))</f>
        <v/>
      </c>
      <c r="I290" s="25">
        <f>IF(AND(A290="",C290="",D290=""),"",IF(A290="","Date missing",IF(NOT(ISNUMBER(A290)),"Date not recognized",IF(YEAR(A290)&lt;&gt;Settings!$C$4,"Not in "&amp;Settings!$C$4,IF(C290="","Category missing",IF(H290="",IF(COUNTIF(Categories!$A$6:$A$65,C290)&gt;0,"Category has no type","Category not in list"),IF(D290="","Amount missing",IF(NOT(ISNUMBER(D290)),"Amount is not a number",IF(F290="","",IF(ISNA(MATCH(F290,Lists!$G$2:$G$25,0)),"Goal / fund not in list",IF(H290="Income","Fund tag ignored on income","")))))))))))</f>
        <v/>
      </c>
    </row>
    <row r="291">
      <c r="A291" s="27" t="n">
        <v>46177</v>
      </c>
      <c r="B291" s="23" t="inlineStr">
        <is>
          <t>Gas station</t>
        </is>
      </c>
      <c r="C291" s="23" t="inlineStr">
        <is>
          <t>Transport / Gas</t>
        </is>
      </c>
      <c r="D291" s="28" t="n">
        <v>42.37</v>
      </c>
      <c r="E291" s="23" t="inlineStr">
        <is>
          <t>Credit card</t>
        </is>
      </c>
      <c r="F291" s="23" t="n"/>
      <c r="G291" s="23" t="n"/>
      <c r="H291" s="29">
        <f>IF(C291="","",IFERROR(INDEX(Categories!$B$6:$B$65,MATCH(C291,Categories!$A$6:$A$65,0))&amp;"",""))</f>
        <v/>
      </c>
      <c r="I291" s="25">
        <f>IF(AND(A291="",C291="",D291=""),"",IF(A291="","Date missing",IF(NOT(ISNUMBER(A291)),"Date not recognized",IF(YEAR(A291)&lt;&gt;Settings!$C$4,"Not in "&amp;Settings!$C$4,IF(C291="","Category missing",IF(H291="",IF(COUNTIF(Categories!$A$6:$A$65,C291)&gt;0,"Category has no type","Category not in list"),IF(D291="","Amount missing",IF(NOT(ISNUMBER(D291)),"Amount is not a number",IF(F291="","",IF(ISNA(MATCH(F291,Lists!$G$2:$G$25,0)),"Goal / fund not in list",IF(H291="Income","Fund tag ignored on income","")))))))))))</f>
        <v/>
      </c>
    </row>
    <row r="292">
      <c r="A292" s="27" t="n">
        <v>46178</v>
      </c>
      <c r="B292" s="23" t="inlineStr">
        <is>
          <t>Car insurance</t>
        </is>
      </c>
      <c r="C292" s="23" t="inlineStr">
        <is>
          <t>Insurance</t>
        </is>
      </c>
      <c r="D292" s="28" t="n">
        <v>128</v>
      </c>
      <c r="E292" s="23" t="inlineStr">
        <is>
          <t>Checking</t>
        </is>
      </c>
      <c r="F292" s="23" t="n"/>
      <c r="G292" s="23" t="n"/>
      <c r="H292" s="29">
        <f>IF(C292="","",IFERROR(INDEX(Categories!$B$6:$B$65,MATCH(C292,Categories!$A$6:$A$65,0))&amp;"",""))</f>
        <v/>
      </c>
      <c r="I292" s="25">
        <f>IF(AND(A292="",C292="",D292=""),"",IF(A292="","Date missing",IF(NOT(ISNUMBER(A292)),"Date not recognized",IF(YEAR(A292)&lt;&gt;Settings!$C$4,"Not in "&amp;Settings!$C$4,IF(C292="","Category missing",IF(H292="",IF(COUNTIF(Categories!$A$6:$A$65,C292)&gt;0,"Category has no type","Category not in list"),IF(D292="","Amount missing",IF(NOT(ISNUMBER(D292)),"Amount is not a number",IF(F292="","",IF(ISNA(MATCH(F292,Lists!$G$2:$G$25,0)),"Goal / fund not in list",IF(H292="Income","Fund tag ignored on income","")))))))))))</f>
        <v/>
      </c>
    </row>
    <row r="293">
      <c r="A293" s="27" t="n">
        <v>46178</v>
      </c>
      <c r="B293" s="23" t="inlineStr">
        <is>
          <t>Renters insurance</t>
        </is>
      </c>
      <c r="C293" s="23" t="inlineStr">
        <is>
          <t>Insurance</t>
        </is>
      </c>
      <c r="D293" s="28" t="n">
        <v>18</v>
      </c>
      <c r="E293" s="23" t="inlineStr">
        <is>
          <t>Checking</t>
        </is>
      </c>
      <c r="F293" s="23" t="n"/>
      <c r="G293" s="23" t="n"/>
      <c r="H293" s="29">
        <f>IF(C293="","",IFERROR(INDEX(Categories!$B$6:$B$65,MATCH(C293,Categories!$A$6:$A$65,0))&amp;"",""))</f>
        <v/>
      </c>
      <c r="I293" s="25">
        <f>IF(AND(A293="",C293="",D293=""),"",IF(A293="","Date missing",IF(NOT(ISNUMBER(A293)),"Date not recognized",IF(YEAR(A293)&lt;&gt;Settings!$C$4,"Not in "&amp;Settings!$C$4,IF(C293="","Category missing",IF(H293="",IF(COUNTIF(Categories!$A$6:$A$65,C293)&gt;0,"Category has no type","Category not in list"),IF(D293="","Amount missing",IF(NOT(ISNUMBER(D293)),"Amount is not a number",IF(F293="","",IF(ISNA(MATCH(F293,Lists!$G$2:$G$25,0)),"Goal / fund not in list",IF(H293="Income","Fund tag ignored on income","")))))))))))</f>
        <v/>
      </c>
    </row>
    <row r="294">
      <c r="A294" s="27" t="n">
        <v>46180</v>
      </c>
      <c r="B294" s="23" t="inlineStr">
        <is>
          <t>Music streaming</t>
        </is>
      </c>
      <c r="C294" s="23" t="inlineStr">
        <is>
          <t>Subscriptions</t>
        </is>
      </c>
      <c r="D294" s="28" t="n">
        <v>10.99</v>
      </c>
      <c r="E294" s="23" t="inlineStr">
        <is>
          <t>Credit card</t>
        </is>
      </c>
      <c r="F294" s="23" t="n"/>
      <c r="G294" s="23" t="n"/>
      <c r="H294" s="29">
        <f>IF(C294="","",IFERROR(INDEX(Categories!$B$6:$B$65,MATCH(C294,Categories!$A$6:$A$65,0))&amp;"",""))</f>
        <v/>
      </c>
      <c r="I294" s="25">
        <f>IF(AND(A294="",C294="",D294=""),"",IF(A294="","Date missing",IF(NOT(ISNUMBER(A294)),"Date not recognized",IF(YEAR(A294)&lt;&gt;Settings!$C$4,"Not in "&amp;Settings!$C$4,IF(C294="","Category missing",IF(H294="",IF(COUNTIF(Categories!$A$6:$A$65,C294)&gt;0,"Category has no type","Category not in list"),IF(D294="","Amount missing",IF(NOT(ISNUMBER(D294)),"Amount is not a number",IF(F294="","",IF(ISNA(MATCH(F294,Lists!$G$2:$G$25,0)),"Goal / fund not in list",IF(H294="Income","Fund tag ignored on income","")))))))))))</f>
        <v/>
      </c>
    </row>
    <row r="295">
      <c r="A295" s="27" t="n">
        <v>46182</v>
      </c>
      <c r="B295" s="23" t="inlineStr">
        <is>
          <t>Pet food</t>
        </is>
      </c>
      <c r="C295" s="23" t="inlineStr">
        <is>
          <t>Pets</t>
        </is>
      </c>
      <c r="D295" s="28" t="n">
        <v>42.05</v>
      </c>
      <c r="E295" s="23" t="inlineStr">
        <is>
          <t>Debit card</t>
        </is>
      </c>
      <c r="F295" s="23" t="n"/>
      <c r="G295" s="23" t="n"/>
      <c r="H295" s="29">
        <f>IF(C295="","",IFERROR(INDEX(Categories!$B$6:$B$65,MATCH(C295,Categories!$A$6:$A$65,0))&amp;"",""))</f>
        <v/>
      </c>
      <c r="I295" s="25">
        <f>IF(AND(A295="",C295="",D295=""),"",IF(A295="","Date missing",IF(NOT(ISNUMBER(A295)),"Date not recognized",IF(YEAR(A295)&lt;&gt;Settings!$C$4,"Not in "&amp;Settings!$C$4,IF(C295="","Category missing",IF(H295="",IF(COUNTIF(Categories!$A$6:$A$65,C295)&gt;0,"Category has no type","Category not in list"),IF(D295="","Amount missing",IF(NOT(ISNUMBER(D295)),"Amount is not a number",IF(F295="","",IF(ISNA(MATCH(F295,Lists!$G$2:$G$25,0)),"Goal / fund not in list",IF(H295="Income","Fund tag ignored on income","")))))))))))</f>
        <v/>
      </c>
    </row>
    <row r="296">
      <c r="A296" s="27" t="n">
        <v>46183</v>
      </c>
      <c r="B296" s="23" t="inlineStr">
        <is>
          <t>Car loan payment</t>
        </is>
      </c>
      <c r="C296" s="23" t="inlineStr">
        <is>
          <t>Car payment</t>
        </is>
      </c>
      <c r="D296" s="28" t="n">
        <v>389</v>
      </c>
      <c r="E296" s="23" t="inlineStr">
        <is>
          <t>Checking</t>
        </is>
      </c>
      <c r="F296" s="23" t="n"/>
      <c r="G296" s="23" t="n"/>
      <c r="H296" s="29">
        <f>IF(C296="","",IFERROR(INDEX(Categories!$B$6:$B$65,MATCH(C296,Categories!$A$6:$A$65,0))&amp;"",""))</f>
        <v/>
      </c>
      <c r="I296" s="25">
        <f>IF(AND(A296="",C296="",D296=""),"",IF(A296="","Date missing",IF(NOT(ISNUMBER(A296)),"Date not recognized",IF(YEAR(A296)&lt;&gt;Settings!$C$4,"Not in "&amp;Settings!$C$4,IF(C296="","Category missing",IF(H296="",IF(COUNTIF(Categories!$A$6:$A$65,C296)&gt;0,"Category has no type","Category not in list"),IF(D296="","Amount missing",IF(NOT(ISNUMBER(D296)),"Amount is not a number",IF(F296="","",IF(ISNA(MATCH(F296,Lists!$G$2:$G$25,0)),"Goal / fund not in list",IF(H296="Income","Fund tag ignored on income","")))))))))))</f>
        <v/>
      </c>
    </row>
    <row r="297">
      <c r="A297" s="27" t="n">
        <v>46183</v>
      </c>
      <c r="B297" s="23" t="inlineStr">
        <is>
          <t>Supermarket</t>
        </is>
      </c>
      <c r="C297" s="23" t="inlineStr">
        <is>
          <t>Groceries</t>
        </is>
      </c>
      <c r="D297" s="28" t="n">
        <v>146.49</v>
      </c>
      <c r="E297" s="23" t="inlineStr">
        <is>
          <t>Debit card</t>
        </is>
      </c>
      <c r="F297" s="23" t="n"/>
      <c r="G297" s="23" t="n"/>
      <c r="H297" s="29">
        <f>IF(C297="","",IFERROR(INDEX(Categories!$B$6:$B$65,MATCH(C297,Categories!$A$6:$A$65,0))&amp;"",""))</f>
        <v/>
      </c>
      <c r="I297" s="25">
        <f>IF(AND(A297="",C297="",D297=""),"",IF(A297="","Date missing",IF(NOT(ISNUMBER(A297)),"Date not recognized",IF(YEAR(A297)&lt;&gt;Settings!$C$4,"Not in "&amp;Settings!$C$4,IF(C297="","Category missing",IF(H297="",IF(COUNTIF(Categories!$A$6:$A$65,C297)&gt;0,"Category has no type","Category not in list"),IF(D297="","Amount missing",IF(NOT(ISNUMBER(D297)),"Amount is not a number",IF(F297="","",IF(ISNA(MATCH(F297,Lists!$G$2:$G$25,0)),"Goal / fund not in list",IF(H297="Income","Fund tag ignored on income","")))))))))))</f>
        <v/>
      </c>
    </row>
    <row r="298">
      <c r="A298" s="27" t="n">
        <v>46183</v>
      </c>
      <c r="B298" s="23" t="inlineStr">
        <is>
          <t>Shoes</t>
        </is>
      </c>
      <c r="C298" s="23" t="inlineStr">
        <is>
          <t>Clothing</t>
        </is>
      </c>
      <c r="D298" s="28" t="n">
        <v>40.04</v>
      </c>
      <c r="E298" s="23" t="inlineStr">
        <is>
          <t>Credit card</t>
        </is>
      </c>
      <c r="F298" s="23" t="n"/>
      <c r="G298" s="23" t="n"/>
      <c r="H298" s="29">
        <f>IF(C298="","",IFERROR(INDEX(Categories!$B$6:$B$65,MATCH(C298,Categories!$A$6:$A$65,0))&amp;"",""))</f>
        <v/>
      </c>
      <c r="I298" s="25">
        <f>IF(AND(A298="",C298="",D298=""),"",IF(A298="","Date missing",IF(NOT(ISNUMBER(A298)),"Date not recognized",IF(YEAR(A298)&lt;&gt;Settings!$C$4,"Not in "&amp;Settings!$C$4,IF(C298="","Category missing",IF(H298="",IF(COUNTIF(Categories!$A$6:$A$65,C298)&gt;0,"Category has no type","Category not in list"),IF(D298="","Amount missing",IF(NOT(ISNUMBER(D298)),"Amount is not a number",IF(F298="","",IF(ISNA(MATCH(F298,Lists!$G$2:$G$25,0)),"Goal / fund not in list",IF(H298="Income","Fund tag ignored on income","")))))))))))</f>
        <v/>
      </c>
    </row>
    <row r="299">
      <c r="A299" s="27" t="n">
        <v>46184</v>
      </c>
      <c r="B299" s="23" t="inlineStr">
        <is>
          <t>Dinner out</t>
        </is>
      </c>
      <c r="C299" s="23" t="inlineStr">
        <is>
          <t>Dining out</t>
        </is>
      </c>
      <c r="D299" s="28" t="n">
        <v>39.71</v>
      </c>
      <c r="E299" s="23" t="inlineStr">
        <is>
          <t>Credit card</t>
        </is>
      </c>
      <c r="F299" s="23" t="n"/>
      <c r="G299" s="23" t="n"/>
      <c r="H299" s="29">
        <f>IF(C299="","",IFERROR(INDEX(Categories!$B$6:$B$65,MATCH(C299,Categories!$A$6:$A$65,0))&amp;"",""))</f>
        <v/>
      </c>
      <c r="I299" s="25">
        <f>IF(AND(A299="",C299="",D299=""),"",IF(A299="","Date missing",IF(NOT(ISNUMBER(A299)),"Date not recognized",IF(YEAR(A299)&lt;&gt;Settings!$C$4,"Not in "&amp;Settings!$C$4,IF(C299="","Category missing",IF(H299="",IF(COUNTIF(Categories!$A$6:$A$65,C299)&gt;0,"Category has no type","Category not in list"),IF(D299="","Amount missing",IF(NOT(ISNUMBER(D299)),"Amount is not a number",IF(F299="","",IF(ISNA(MATCH(F299,Lists!$G$2:$G$25,0)),"Goal / fund not in list",IF(H299="Income","Fund tag ignored on income","")))))))))))</f>
        <v/>
      </c>
    </row>
    <row r="300">
      <c r="A300" s="27" t="n">
        <v>46185</v>
      </c>
      <c r="B300" s="23" t="inlineStr">
        <is>
          <t>Internet</t>
        </is>
      </c>
      <c r="C300" s="23" t="inlineStr">
        <is>
          <t>Internet &amp; Phone</t>
        </is>
      </c>
      <c r="D300" s="28" t="n">
        <v>65</v>
      </c>
      <c r="E300" s="23" t="inlineStr">
        <is>
          <t>Checking</t>
        </is>
      </c>
      <c r="F300" s="23" t="n"/>
      <c r="G300" s="23" t="n"/>
      <c r="H300" s="29">
        <f>IF(C300="","",IFERROR(INDEX(Categories!$B$6:$B$65,MATCH(C300,Categories!$A$6:$A$65,0))&amp;"",""))</f>
        <v/>
      </c>
      <c r="I300" s="25">
        <f>IF(AND(A300="",C300="",D300=""),"",IF(A300="","Date missing",IF(NOT(ISNUMBER(A300)),"Date not recognized",IF(YEAR(A300)&lt;&gt;Settings!$C$4,"Not in "&amp;Settings!$C$4,IF(C300="","Category missing",IF(H300="",IF(COUNTIF(Categories!$A$6:$A$65,C300)&gt;0,"Category has no type","Category not in list"),IF(D300="","Amount missing",IF(NOT(ISNUMBER(D300)),"Amount is not a number",IF(F300="","",IF(ISNA(MATCH(F300,Lists!$G$2:$G$25,0)),"Goal / fund not in list",IF(H300="Income","Fund tag ignored on income","")))))))))))</f>
        <v/>
      </c>
    </row>
    <row r="301">
      <c r="A301" s="27" t="n">
        <v>46185</v>
      </c>
      <c r="B301" s="23" t="inlineStr">
        <is>
          <t>Gas station</t>
        </is>
      </c>
      <c r="C301" s="23" t="inlineStr">
        <is>
          <t>Transport / Gas</t>
        </is>
      </c>
      <c r="D301" s="28" t="n">
        <v>39.05</v>
      </c>
      <c r="E301" s="23" t="inlineStr">
        <is>
          <t>Credit card</t>
        </is>
      </c>
      <c r="F301" s="23" t="n"/>
      <c r="G301" s="23" t="n"/>
      <c r="H301" s="29">
        <f>IF(C301="","",IFERROR(INDEX(Categories!$B$6:$B$65,MATCH(C301,Categories!$A$6:$A$65,0))&amp;"",""))</f>
        <v/>
      </c>
      <c r="I301" s="25">
        <f>IF(AND(A301="",C301="",D301=""),"",IF(A301="","Date missing",IF(NOT(ISNUMBER(A301)),"Date not recognized",IF(YEAR(A301)&lt;&gt;Settings!$C$4,"Not in "&amp;Settings!$C$4,IF(C301="","Category missing",IF(H301="",IF(COUNTIF(Categories!$A$6:$A$65,C301)&gt;0,"Category has no type","Category not in list"),IF(D301="","Amount missing",IF(NOT(ISNUMBER(D301)),"Amount is not a number",IF(F301="","",IF(ISNA(MATCH(F301,Lists!$G$2:$G$25,0)),"Goal / fund not in list",IF(H301="Income","Fund tag ignored on income","")))))))))))</f>
        <v/>
      </c>
    </row>
    <row r="302">
      <c r="A302" s="27" t="n">
        <v>46185</v>
      </c>
      <c r="B302" s="23" t="inlineStr">
        <is>
          <t>Board game</t>
        </is>
      </c>
      <c r="C302" s="23" t="inlineStr">
        <is>
          <t>Entertainment</t>
        </is>
      </c>
      <c r="D302" s="28" t="n">
        <v>33.13</v>
      </c>
      <c r="E302" s="23" t="inlineStr">
        <is>
          <t>Credit card</t>
        </is>
      </c>
      <c r="F302" s="23" t="n"/>
      <c r="G302" s="23" t="n"/>
      <c r="H302" s="29">
        <f>IF(C302="","",IFERROR(INDEX(Categories!$B$6:$B$65,MATCH(C302,Categories!$A$6:$A$65,0))&amp;"",""))</f>
        <v/>
      </c>
      <c r="I302" s="25">
        <f>IF(AND(A302="",C302="",D302=""),"",IF(A302="","Date missing",IF(NOT(ISNUMBER(A302)),"Date not recognized",IF(YEAR(A302)&lt;&gt;Settings!$C$4,"Not in "&amp;Settings!$C$4,IF(C302="","Category missing",IF(H302="",IF(COUNTIF(Categories!$A$6:$A$65,C302)&gt;0,"Category has no type","Category not in list"),IF(D302="","Amount missing",IF(NOT(ISNUMBER(D302)),"Amount is not a number",IF(F302="","",IF(ISNA(MATCH(F302,Lists!$G$2:$G$25,0)),"Goal / fund not in list",IF(H302="Income","Fund tag ignored on income","")))))))))))</f>
        <v/>
      </c>
    </row>
    <row r="303">
      <c r="A303" s="27" t="n">
        <v>46187</v>
      </c>
      <c r="B303" s="23" t="inlineStr">
        <is>
          <t>Phone plan</t>
        </is>
      </c>
      <c r="C303" s="23" t="inlineStr">
        <is>
          <t>Internet &amp; Phone</t>
        </is>
      </c>
      <c r="D303" s="28" t="n">
        <v>70</v>
      </c>
      <c r="E303" s="23" t="inlineStr">
        <is>
          <t>Credit card</t>
        </is>
      </c>
      <c r="F303" s="23" t="n"/>
      <c r="G303" s="23" t="n"/>
      <c r="H303" s="29">
        <f>IF(C303="","",IFERROR(INDEX(Categories!$B$6:$B$65,MATCH(C303,Categories!$A$6:$A$65,0))&amp;"",""))</f>
        <v/>
      </c>
      <c r="I303" s="25">
        <f>IF(AND(A303="",C303="",D303=""),"",IF(A303="","Date missing",IF(NOT(ISNUMBER(A303)),"Date not recognized",IF(YEAR(A303)&lt;&gt;Settings!$C$4,"Not in "&amp;Settings!$C$4,IF(C303="","Category missing",IF(H303="",IF(COUNTIF(Categories!$A$6:$A$65,C303)&gt;0,"Category has no type","Category not in list"),IF(D303="","Amount missing",IF(NOT(ISNUMBER(D303)),"Amount is not a number",IF(F303="","",IF(ISNA(MATCH(F303,Lists!$G$2:$G$25,0)),"Goal / fund not in list",IF(H303="Income","Fund tag ignored on income","")))))))))))</f>
        <v/>
      </c>
    </row>
    <row r="304">
      <c r="A304" s="27" t="n">
        <v>46187</v>
      </c>
      <c r="B304" s="23" t="inlineStr">
        <is>
          <t>Light bulbs</t>
        </is>
      </c>
      <c r="C304" s="23" t="inlineStr">
        <is>
          <t>Home &amp; repairs</t>
        </is>
      </c>
      <c r="D304" s="28" t="n">
        <v>55.33</v>
      </c>
      <c r="E304" s="23" t="inlineStr">
        <is>
          <t>Debit card</t>
        </is>
      </c>
      <c r="F304" s="23" t="n"/>
      <c r="G304" s="23" t="n"/>
      <c r="H304" s="29">
        <f>IF(C304="","",IFERROR(INDEX(Categories!$B$6:$B$65,MATCH(C304,Categories!$A$6:$A$65,0))&amp;"",""))</f>
        <v/>
      </c>
      <c r="I304" s="25">
        <f>IF(AND(A304="",C304="",D304=""),"",IF(A304="","Date missing",IF(NOT(ISNUMBER(A304)),"Date not recognized",IF(YEAR(A304)&lt;&gt;Settings!$C$4,"Not in "&amp;Settings!$C$4,IF(C304="","Category missing",IF(H304="",IF(COUNTIF(Categories!$A$6:$A$65,C304)&gt;0,"Category has no type","Category not in list"),IF(D304="","Amount missing",IF(NOT(ISNUMBER(D304)),"Amount is not a number",IF(F304="","",IF(ISNA(MATCH(F304,Lists!$G$2:$G$25,0)),"Goal / fund not in list",IF(H304="Income","Fund tag ignored on income","")))))))))))</f>
        <v/>
      </c>
    </row>
    <row r="305">
      <c r="A305" s="27" t="n">
        <v>46188</v>
      </c>
      <c r="B305" s="23" t="inlineStr">
        <is>
          <t>Alex paycheck</t>
        </is>
      </c>
      <c r="C305" s="23" t="inlineStr">
        <is>
          <t>Paycheck 1</t>
        </is>
      </c>
      <c r="D305" s="28" t="n">
        <v>2100</v>
      </c>
      <c r="E305" s="23" t="inlineStr">
        <is>
          <t>Checking</t>
        </is>
      </c>
      <c r="F305" s="23" t="n"/>
      <c r="G305" s="23" t="n"/>
      <c r="H305" s="29">
        <f>IF(C305="","",IFERROR(INDEX(Categories!$B$6:$B$65,MATCH(C305,Categories!$A$6:$A$65,0))&amp;"",""))</f>
        <v/>
      </c>
      <c r="I305" s="25">
        <f>IF(AND(A305="",C305="",D305=""),"",IF(A305="","Date missing",IF(NOT(ISNUMBER(A305)),"Date not recognized",IF(YEAR(A305)&lt;&gt;Settings!$C$4,"Not in "&amp;Settings!$C$4,IF(C305="","Category missing",IF(H305="",IF(COUNTIF(Categories!$A$6:$A$65,C305)&gt;0,"Category has no type","Category not in list"),IF(D305="","Amount missing",IF(NOT(ISNUMBER(D305)),"Amount is not a number",IF(F305="","",IF(ISNA(MATCH(F305,Lists!$G$2:$G$25,0)),"Goal / fund not in list",IF(H305="Income","Fund tag ignored on income","")))))))))))</f>
        <v/>
      </c>
    </row>
    <row r="306">
      <c r="A306" s="27" t="n">
        <v>46190</v>
      </c>
      <c r="B306" s="23" t="inlineStr">
        <is>
          <t>Warehouse store</t>
        </is>
      </c>
      <c r="C306" s="23" t="inlineStr">
        <is>
          <t>Groceries</t>
        </is>
      </c>
      <c r="D306" s="28" t="n">
        <v>156.92</v>
      </c>
      <c r="E306" s="23" t="inlineStr">
        <is>
          <t>Debit card</t>
        </is>
      </c>
      <c r="F306" s="23" t="n"/>
      <c r="G306" s="23" t="n"/>
      <c r="H306" s="29">
        <f>IF(C306="","",IFERROR(INDEX(Categories!$B$6:$B$65,MATCH(C306,Categories!$A$6:$A$65,0))&amp;"",""))</f>
        <v/>
      </c>
      <c r="I306" s="25">
        <f>IF(AND(A306="",C306="",D306=""),"",IF(A306="","Date missing",IF(NOT(ISNUMBER(A306)),"Date not recognized",IF(YEAR(A306)&lt;&gt;Settings!$C$4,"Not in "&amp;Settings!$C$4,IF(C306="","Category missing",IF(H306="",IF(COUNTIF(Categories!$A$6:$A$65,C306)&gt;0,"Category has no type","Category not in list"),IF(D306="","Amount missing",IF(NOT(ISNUMBER(D306)),"Amount is not a number",IF(F306="","",IF(ISNA(MATCH(F306,Lists!$G$2:$G$25,0)),"Goal / fund not in list",IF(H306="Income","Fund tag ignored on income","")))))))))))</f>
        <v/>
      </c>
    </row>
    <row r="307">
      <c r="A307" s="27" t="n">
        <v>46191</v>
      </c>
      <c r="B307" s="23" t="inlineStr">
        <is>
          <t>Electric bill</t>
        </is>
      </c>
      <c r="C307" s="23" t="inlineStr">
        <is>
          <t>Utilities</t>
        </is>
      </c>
      <c r="D307" s="28" t="n">
        <v>113.97</v>
      </c>
      <c r="E307" s="23" t="inlineStr">
        <is>
          <t>Checking</t>
        </is>
      </c>
      <c r="F307" s="23" t="n"/>
      <c r="G307" s="23" t="n"/>
      <c r="H307" s="29">
        <f>IF(C307="","",IFERROR(INDEX(Categories!$B$6:$B$65,MATCH(C307,Categories!$A$6:$A$65,0))&amp;"",""))</f>
        <v/>
      </c>
      <c r="I307" s="25">
        <f>IF(AND(A307="",C307="",D307=""),"",IF(A307="","Date missing",IF(NOT(ISNUMBER(A307)),"Date not recognized",IF(YEAR(A307)&lt;&gt;Settings!$C$4,"Not in "&amp;Settings!$C$4,IF(C307="","Category missing",IF(H307="",IF(COUNTIF(Categories!$A$6:$A$65,C307)&gt;0,"Category has no type","Category not in list"),IF(D307="","Amount missing",IF(NOT(ISNUMBER(D307)),"Amount is not a number",IF(F307="","",IF(ISNA(MATCH(F307,Lists!$G$2:$G$25,0)),"Goal / fund not in list",IF(H307="Income","Fund tag ignored on income","")))))))))))</f>
        <v/>
      </c>
    </row>
    <row r="308">
      <c r="A308" s="27" t="n">
        <v>46191</v>
      </c>
      <c r="B308" s="23" t="inlineStr">
        <is>
          <t>Toiletries</t>
        </is>
      </c>
      <c r="C308" s="23" t="inlineStr">
        <is>
          <t>Personal care</t>
        </is>
      </c>
      <c r="D308" s="28" t="n">
        <v>25.69</v>
      </c>
      <c r="E308" s="23" t="inlineStr">
        <is>
          <t>Debit card</t>
        </is>
      </c>
      <c r="F308" s="23" t="n"/>
      <c r="G308" s="23" t="n"/>
      <c r="H308" s="29">
        <f>IF(C308="","",IFERROR(INDEX(Categories!$B$6:$B$65,MATCH(C308,Categories!$A$6:$A$65,0))&amp;"",""))</f>
        <v/>
      </c>
      <c r="I308" s="25">
        <f>IF(AND(A308="",C308="",D308=""),"",IF(A308="","Date missing",IF(NOT(ISNUMBER(A308)),"Date not recognized",IF(YEAR(A308)&lt;&gt;Settings!$C$4,"Not in "&amp;Settings!$C$4,IF(C308="","Category missing",IF(H308="",IF(COUNTIF(Categories!$A$6:$A$65,C308)&gt;0,"Category has no type","Category not in list"),IF(D308="","Amount missing",IF(NOT(ISNUMBER(D308)),"Amount is not a number",IF(F308="","",IF(ISNA(MATCH(F308,Lists!$G$2:$G$25,0)),"Goal / fund not in list",IF(H308="Income","Fund tag ignored on income","")))))))))))</f>
        <v/>
      </c>
    </row>
    <row r="309">
      <c r="A309" s="27" t="n">
        <v>46193</v>
      </c>
      <c r="B309" s="23" t="inlineStr">
        <is>
          <t>Gas bill</t>
        </is>
      </c>
      <c r="C309" s="23" t="inlineStr">
        <is>
          <t>Utilities</t>
        </is>
      </c>
      <c r="D309" s="28" t="n">
        <v>27.64</v>
      </c>
      <c r="E309" s="23" t="inlineStr">
        <is>
          <t>Checking</t>
        </is>
      </c>
      <c r="F309" s="23" t="n"/>
      <c r="G309" s="23" t="n"/>
      <c r="H309" s="29">
        <f>IF(C309="","",IFERROR(INDEX(Categories!$B$6:$B$65,MATCH(C309,Categories!$A$6:$A$65,0))&amp;"",""))</f>
        <v/>
      </c>
      <c r="I309" s="25">
        <f>IF(AND(A309="",C309="",D309=""),"",IF(A309="","Date missing",IF(NOT(ISNUMBER(A309)),"Date not recognized",IF(YEAR(A309)&lt;&gt;Settings!$C$4,"Not in "&amp;Settings!$C$4,IF(C309="","Category missing",IF(H309="",IF(COUNTIF(Categories!$A$6:$A$65,C309)&gt;0,"Category has no type","Category not in list"),IF(D309="","Amount missing",IF(NOT(ISNUMBER(D309)),"Amount is not a number",IF(F309="","",IF(ISNA(MATCH(F309,Lists!$G$2:$G$25,0)),"Goal / fund not in list",IF(H309="Income","Fund tag ignored on income","")))))))))))</f>
        <v/>
      </c>
    </row>
    <row r="310">
      <c r="A310" s="27" t="n">
        <v>46193</v>
      </c>
      <c r="B310" s="23" t="inlineStr">
        <is>
          <t>Gas station</t>
        </is>
      </c>
      <c r="C310" s="23" t="inlineStr">
        <is>
          <t>Transport / Gas</t>
        </is>
      </c>
      <c r="D310" s="28" t="n">
        <v>41.99</v>
      </c>
      <c r="E310" s="23" t="inlineStr">
        <is>
          <t>Credit card</t>
        </is>
      </c>
      <c r="F310" s="23" t="n"/>
      <c r="G310" s="23" t="n"/>
      <c r="H310" s="29">
        <f>IF(C310="","",IFERROR(INDEX(Categories!$B$6:$B$65,MATCH(C310,Categories!$A$6:$A$65,0))&amp;"",""))</f>
        <v/>
      </c>
      <c r="I310" s="25">
        <f>IF(AND(A310="",C310="",D310=""),"",IF(A310="","Date missing",IF(NOT(ISNUMBER(A310)),"Date not recognized",IF(YEAR(A310)&lt;&gt;Settings!$C$4,"Not in "&amp;Settings!$C$4,IF(C310="","Category missing",IF(H310="",IF(COUNTIF(Categories!$A$6:$A$65,C310)&gt;0,"Category has no type","Category not in list"),IF(D310="","Amount missing",IF(NOT(ISNUMBER(D310)),"Amount is not a number",IF(F310="","",IF(ISNA(MATCH(F310,Lists!$G$2:$G$25,0)),"Goal / fund not in list",IF(H310="Income","Fund tag ignored on income","")))))))))))</f>
        <v/>
      </c>
    </row>
    <row r="311">
      <c r="A311" s="27" t="n">
        <v>46193</v>
      </c>
      <c r="B311" s="23" t="inlineStr">
        <is>
          <t>Kids clothes</t>
        </is>
      </c>
      <c r="C311" s="23" t="inlineStr">
        <is>
          <t>Kids</t>
        </is>
      </c>
      <c r="D311" s="28" t="n">
        <v>91.81</v>
      </c>
      <c r="E311" s="23" t="inlineStr">
        <is>
          <t>Debit card</t>
        </is>
      </c>
      <c r="F311" s="23" t="n"/>
      <c r="G311" s="23" t="n"/>
      <c r="H311" s="29">
        <f>IF(C311="","",IFERROR(INDEX(Categories!$B$6:$B$65,MATCH(C311,Categories!$A$6:$A$65,0))&amp;"",""))</f>
        <v/>
      </c>
      <c r="I311" s="25">
        <f>IF(AND(A311="",C311="",D311=""),"",IF(A311="","Date missing",IF(NOT(ISNUMBER(A311)),"Date not recognized",IF(YEAR(A311)&lt;&gt;Settings!$C$4,"Not in "&amp;Settings!$C$4,IF(C311="","Category missing",IF(H311="",IF(COUNTIF(Categories!$A$6:$A$65,C311)&gt;0,"Category has no type","Category not in list"),IF(D311="","Amount missing",IF(NOT(ISNUMBER(D311)),"Amount is not a number",IF(F311="","",IF(ISNA(MATCH(F311,Lists!$G$2:$G$25,0)),"Goal / fund not in list",IF(H311="Income","Fund tag ignored on income","")))))))))))</f>
        <v/>
      </c>
    </row>
    <row r="312">
      <c r="A312" s="27" t="n">
        <v>46193</v>
      </c>
      <c r="B312" s="23" t="inlineStr">
        <is>
          <t>Credit card payment + extra</t>
        </is>
      </c>
      <c r="C312" s="23" t="inlineStr">
        <is>
          <t>Debt payments</t>
        </is>
      </c>
      <c r="D312" s="28" t="n">
        <v>260</v>
      </c>
      <c r="E312" s="23" t="inlineStr">
        <is>
          <t>Checking</t>
        </is>
      </c>
      <c r="F312" s="23" t="n"/>
      <c r="G312" s="23" t="n"/>
      <c r="H312" s="29">
        <f>IF(C312="","",IFERROR(INDEX(Categories!$B$6:$B$65,MATCH(C312,Categories!$A$6:$A$65,0))&amp;"",""))</f>
        <v/>
      </c>
      <c r="I312" s="25">
        <f>IF(AND(A312="",C312="",D312=""),"",IF(A312="","Date missing",IF(NOT(ISNUMBER(A312)),"Date not recognized",IF(YEAR(A312)&lt;&gt;Settings!$C$4,"Not in "&amp;Settings!$C$4,IF(C312="","Category missing",IF(H312="",IF(COUNTIF(Categories!$A$6:$A$65,C312)&gt;0,"Category has no type","Category not in list"),IF(D312="","Amount missing",IF(NOT(ISNUMBER(D312)),"Amount is not a number",IF(F312="","",IF(ISNA(MATCH(F312,Lists!$G$2:$G$25,0)),"Goal / fund not in list",IF(H312="Income","Fund tag ignored on income","")))))))))))</f>
        <v/>
      </c>
    </row>
    <row r="313">
      <c r="A313" s="27" t="n">
        <v>46193</v>
      </c>
      <c r="B313" s="23" t="inlineStr">
        <is>
          <t>Medical bill installment</t>
        </is>
      </c>
      <c r="C313" s="23" t="inlineStr">
        <is>
          <t>Debt payments</t>
        </is>
      </c>
      <c r="D313" s="28" t="n">
        <v>40</v>
      </c>
      <c r="E313" s="23" t="inlineStr">
        <is>
          <t>Checking</t>
        </is>
      </c>
      <c r="F313" s="23" t="n"/>
      <c r="G313" s="23" t="n"/>
      <c r="H313" s="29">
        <f>IF(C313="","",IFERROR(INDEX(Categories!$B$6:$B$65,MATCH(C313,Categories!$A$6:$A$65,0))&amp;"",""))</f>
        <v/>
      </c>
      <c r="I313" s="25">
        <f>IF(AND(A313="",C313="",D313=""),"",IF(A313="","Date missing",IF(NOT(ISNUMBER(A313)),"Date not recognized",IF(YEAR(A313)&lt;&gt;Settings!$C$4,"Not in "&amp;Settings!$C$4,IF(C313="","Category missing",IF(H313="",IF(COUNTIF(Categories!$A$6:$A$65,C313)&gt;0,"Category has no type","Category not in list"),IF(D313="","Amount missing",IF(NOT(ISNUMBER(D313)),"Amount is not a number",IF(F313="","",IF(ISNA(MATCH(F313,Lists!$G$2:$G$25,0)),"Goal / fund not in list",IF(H313="Income","Fund tag ignored on income","")))))))))))</f>
        <v/>
      </c>
    </row>
    <row r="314">
      <c r="A314" s="27" t="n">
        <v>46194</v>
      </c>
      <c r="B314" s="23" t="inlineStr">
        <is>
          <t>Lunch out</t>
        </is>
      </c>
      <c r="C314" s="23" t="inlineStr">
        <is>
          <t>Dining out</t>
        </is>
      </c>
      <c r="D314" s="28" t="n">
        <v>57.37</v>
      </c>
      <c r="E314" s="23" t="inlineStr">
        <is>
          <t>Credit card</t>
        </is>
      </c>
      <c r="F314" s="23" t="n"/>
      <c r="G314" s="23" t="n"/>
      <c r="H314" s="29">
        <f>IF(C314="","",IFERROR(INDEX(Categories!$B$6:$B$65,MATCH(C314,Categories!$A$6:$A$65,0))&amp;"",""))</f>
        <v/>
      </c>
      <c r="I314" s="25">
        <f>IF(AND(A314="",C314="",D314=""),"",IF(A314="","Date missing",IF(NOT(ISNUMBER(A314)),"Date not recognized",IF(YEAR(A314)&lt;&gt;Settings!$C$4,"Not in "&amp;Settings!$C$4,IF(C314="","Category missing",IF(H314="",IF(COUNTIF(Categories!$A$6:$A$65,C314)&gt;0,"Category has no type","Category not in list"),IF(D314="","Amount missing",IF(NOT(ISNUMBER(D314)),"Amount is not a number",IF(F314="","",IF(ISNA(MATCH(F314,Lists!$G$2:$G$25,0)),"Goal / fund not in list",IF(H314="Income","Fund tag ignored on income","")))))))))))</f>
        <v/>
      </c>
    </row>
    <row r="315">
      <c r="A315" s="27" t="n">
        <v>46194</v>
      </c>
      <c r="B315" s="23" t="inlineStr">
        <is>
          <t>Phone case</t>
        </is>
      </c>
      <c r="C315" s="23" t="inlineStr">
        <is>
          <t>Misc</t>
        </is>
      </c>
      <c r="D315" s="28" t="n">
        <v>10.53</v>
      </c>
      <c r="E315" s="23" t="inlineStr">
        <is>
          <t>Cash</t>
        </is>
      </c>
      <c r="F315" s="23" t="n"/>
      <c r="G315" s="23" t="n"/>
      <c r="H315" s="29">
        <f>IF(C315="","",IFERROR(INDEX(Categories!$B$6:$B$65,MATCH(C315,Categories!$A$6:$A$65,0))&amp;"",""))</f>
        <v/>
      </c>
      <c r="I315" s="25">
        <f>IF(AND(A315="",C315="",D315=""),"",IF(A315="","Date missing",IF(NOT(ISNUMBER(A315)),"Date not recognized",IF(YEAR(A315)&lt;&gt;Settings!$C$4,"Not in "&amp;Settings!$C$4,IF(C315="","Category missing",IF(H315="",IF(COUNTIF(Categories!$A$6:$A$65,C315)&gt;0,"Category has no type","Category not in list"),IF(D315="","Amount missing",IF(NOT(ISNUMBER(D315)),"Amount is not a number",IF(F315="","",IF(ISNA(MATCH(F315,Lists!$G$2:$G$25,0)),"Goal / fund not in list",IF(H315="Income","Fund tag ignored on income","")))))))))))</f>
        <v/>
      </c>
    </row>
    <row r="316">
      <c r="A316" s="27" t="n">
        <v>46194</v>
      </c>
      <c r="B316" s="23" t="inlineStr">
        <is>
          <t>Personal loan payment</t>
        </is>
      </c>
      <c r="C316" s="23" t="inlineStr">
        <is>
          <t>Debt payments</t>
        </is>
      </c>
      <c r="D316" s="28" t="n">
        <v>210</v>
      </c>
      <c r="E316" s="23" t="inlineStr">
        <is>
          <t>Checking</t>
        </is>
      </c>
      <c r="F316" s="23" t="n"/>
      <c r="G316" s="23" t="n"/>
      <c r="H316" s="29">
        <f>IF(C316="","",IFERROR(INDEX(Categories!$B$6:$B$65,MATCH(C316,Categories!$A$6:$A$65,0))&amp;"",""))</f>
        <v/>
      </c>
      <c r="I316" s="25">
        <f>IF(AND(A316="",C316="",D316=""),"",IF(A316="","Date missing",IF(NOT(ISNUMBER(A316)),"Date not recognized",IF(YEAR(A316)&lt;&gt;Settings!$C$4,"Not in "&amp;Settings!$C$4,IF(C316="","Category missing",IF(H316="",IF(COUNTIF(Categories!$A$6:$A$65,C316)&gt;0,"Category has no type","Category not in list"),IF(D316="","Amount missing",IF(NOT(ISNUMBER(D316)),"Amount is not a number",IF(F316="","",IF(ISNA(MATCH(F316,Lists!$G$2:$G$25,0)),"Goal / fund not in list",IF(H316="Income","Fund tag ignored on income","")))))))))))</f>
        <v/>
      </c>
    </row>
    <row r="317">
      <c r="A317" s="27" t="n">
        <v>46195</v>
      </c>
      <c r="B317" s="23" t="inlineStr">
        <is>
          <t>Water &amp; trash</t>
        </is>
      </c>
      <c r="C317" s="23" t="inlineStr">
        <is>
          <t>Utilities</t>
        </is>
      </c>
      <c r="D317" s="28" t="n">
        <v>54.3</v>
      </c>
      <c r="E317" s="23" t="inlineStr">
        <is>
          <t>Checking</t>
        </is>
      </c>
      <c r="F317" s="23" t="n"/>
      <c r="G317" s="23" t="n"/>
      <c r="H317" s="29">
        <f>IF(C317="","",IFERROR(INDEX(Categories!$B$6:$B$65,MATCH(C317,Categories!$A$6:$A$65,0))&amp;"",""))</f>
        <v/>
      </c>
      <c r="I317" s="25">
        <f>IF(AND(A317="",C317="",D317=""),"",IF(A317="","Date missing",IF(NOT(ISNUMBER(A317)),"Date not recognized",IF(YEAR(A317)&lt;&gt;Settings!$C$4,"Not in "&amp;Settings!$C$4,IF(C317="","Category missing",IF(H317="",IF(COUNTIF(Categories!$A$6:$A$65,C317)&gt;0,"Category has no type","Category not in list"),IF(D317="","Amount missing",IF(NOT(ISNUMBER(D317)),"Amount is not a number",IF(F317="","",IF(ISNA(MATCH(F317,Lists!$G$2:$G$25,0)),"Goal / fund not in list",IF(H317="Income","Fund tag ignored on income","")))))))))))</f>
        <v/>
      </c>
    </row>
    <row r="318">
      <c r="A318" s="27" t="n">
        <v>46196</v>
      </c>
      <c r="B318" s="23" t="inlineStr">
        <is>
          <t>Sold old bike</t>
        </is>
      </c>
      <c r="C318" s="23" t="inlineStr">
        <is>
          <t>Side income</t>
        </is>
      </c>
      <c r="D318" s="28" t="n">
        <v>358.8</v>
      </c>
      <c r="E318" s="23" t="inlineStr">
        <is>
          <t>Checking</t>
        </is>
      </c>
      <c r="F318" s="23" t="n"/>
      <c r="G318" s="23" t="n"/>
      <c r="H318" s="29">
        <f>IF(C318="","",IFERROR(INDEX(Categories!$B$6:$B$65,MATCH(C318,Categories!$A$6:$A$65,0))&amp;"",""))</f>
        <v/>
      </c>
      <c r="I318" s="25">
        <f>IF(AND(A318="",C318="",D318=""),"",IF(A318="","Date missing",IF(NOT(ISNUMBER(A318)),"Date not recognized",IF(YEAR(A318)&lt;&gt;Settings!$C$4,"Not in "&amp;Settings!$C$4,IF(C318="","Category missing",IF(H318="",IF(COUNTIF(Categories!$A$6:$A$65,C318)&gt;0,"Category has no type","Category not in list"),IF(D318="","Amount missing",IF(NOT(ISNUMBER(D318)),"Amount is not a number",IF(F318="","",IF(ISNA(MATCH(F318,Lists!$G$2:$G$25,0)),"Goal / fund not in list",IF(H318="Income","Fund tag ignored on income","")))))))))))</f>
        <v/>
      </c>
    </row>
    <row r="319">
      <c r="A319" s="27" t="n">
        <v>46197</v>
      </c>
      <c r="B319" s="23" t="inlineStr">
        <is>
          <t>Farmers market</t>
        </is>
      </c>
      <c r="C319" s="23" t="inlineStr">
        <is>
          <t>Groceries</t>
        </is>
      </c>
      <c r="D319" s="28" t="n">
        <v>136.26</v>
      </c>
      <c r="E319" s="23" t="inlineStr">
        <is>
          <t>Debit card</t>
        </is>
      </c>
      <c r="F319" s="23" t="n"/>
      <c r="G319" s="23" t="n"/>
      <c r="H319" s="29">
        <f>IF(C319="","",IFERROR(INDEX(Categories!$B$6:$B$65,MATCH(C319,Categories!$A$6:$A$65,0))&amp;"",""))</f>
        <v/>
      </c>
      <c r="I319" s="25">
        <f>IF(AND(A319="",C319="",D319=""),"",IF(A319="","Date missing",IF(NOT(ISNUMBER(A319)),"Date not recognized",IF(YEAR(A319)&lt;&gt;Settings!$C$4,"Not in "&amp;Settings!$C$4,IF(C319="","Category missing",IF(H319="",IF(COUNTIF(Categories!$A$6:$A$65,C319)&gt;0,"Category has no type","Category not in list"),IF(D319="","Amount missing",IF(NOT(ISNUMBER(D319)),"Amount is not a number",IF(F319="","",IF(ISNA(MATCH(F319,Lists!$G$2:$G$25,0)),"Goal / fund not in list",IF(H319="Income","Fund tag ignored on income","")))))))))))</f>
        <v/>
      </c>
    </row>
    <row r="320">
      <c r="A320" s="27" t="n">
        <v>46197</v>
      </c>
      <c r="B320" s="23" t="inlineStr">
        <is>
          <t>Brunch</t>
        </is>
      </c>
      <c r="C320" s="23" t="inlineStr">
        <is>
          <t>Dining out</t>
        </is>
      </c>
      <c r="D320" s="28" t="n">
        <v>12.32</v>
      </c>
      <c r="E320" s="23" t="inlineStr">
        <is>
          <t>Credit card</t>
        </is>
      </c>
      <c r="F320" s="23" t="n"/>
      <c r="G320" s="23" t="n"/>
      <c r="H320" s="29">
        <f>IF(C320="","",IFERROR(INDEX(Categories!$B$6:$B$65,MATCH(C320,Categories!$A$6:$A$65,0))&amp;"",""))</f>
        <v/>
      </c>
      <c r="I320" s="25">
        <f>IF(AND(A320="",C320="",D320=""),"",IF(A320="","Date missing",IF(NOT(ISNUMBER(A320)),"Date not recognized",IF(YEAR(A320)&lt;&gt;Settings!$C$4,"Not in "&amp;Settings!$C$4,IF(C320="","Category missing",IF(H320="",IF(COUNTIF(Categories!$A$6:$A$65,C320)&gt;0,"Category has no type","Category not in list"),IF(D320="","Amount missing",IF(NOT(ISNUMBER(D320)),"Amount is not a number",IF(F320="","",IF(ISNA(MATCH(F320,Lists!$G$2:$G$25,0)),"Goal / fund not in list",IF(H320="Income","Fund tag ignored on income","")))))))))))</f>
        <v/>
      </c>
    </row>
    <row r="321">
      <c r="A321" s="27" t="n">
        <v>46198</v>
      </c>
      <c r="B321" s="23" t="inlineStr">
        <is>
          <t>Student loan payment</t>
        </is>
      </c>
      <c r="C321" s="23" t="inlineStr">
        <is>
          <t>Debt payments</t>
        </is>
      </c>
      <c r="D321" s="28" t="n">
        <v>165</v>
      </c>
      <c r="E321" s="23" t="inlineStr">
        <is>
          <t>Checking</t>
        </is>
      </c>
      <c r="F321" s="23" t="n"/>
      <c r="G321" s="23" t="n"/>
      <c r="H321" s="29">
        <f>IF(C321="","",IFERROR(INDEX(Categories!$B$6:$B$65,MATCH(C321,Categories!$A$6:$A$65,0))&amp;"",""))</f>
        <v/>
      </c>
      <c r="I321" s="25">
        <f>IF(AND(A321="",C321="",D321=""),"",IF(A321="","Date missing",IF(NOT(ISNUMBER(A321)),"Date not recognized",IF(YEAR(A321)&lt;&gt;Settings!$C$4,"Not in "&amp;Settings!$C$4,IF(C321="","Category missing",IF(H321="",IF(COUNTIF(Categories!$A$6:$A$65,C321)&gt;0,"Category has no type","Category not in list"),IF(D321="","Amount missing",IF(NOT(ISNUMBER(D321)),"Amount is not a number",IF(F321="","",IF(ISNA(MATCH(F321,Lists!$G$2:$G$25,0)),"Goal / fund not in list",IF(H321="Income","Fund tag ignored on income","")))))))))))</f>
        <v/>
      </c>
    </row>
    <row r="322">
      <c r="A322" s="27" t="n">
        <v>46199</v>
      </c>
      <c r="B322" s="23" t="inlineStr">
        <is>
          <t>Charity donation</t>
        </is>
      </c>
      <c r="C322" s="23" t="inlineStr">
        <is>
          <t>Gifts</t>
        </is>
      </c>
      <c r="D322" s="28" t="n">
        <v>65.37</v>
      </c>
      <c r="E322" s="23" t="inlineStr">
        <is>
          <t>Credit card</t>
        </is>
      </c>
      <c r="F322" s="23" t="n"/>
      <c r="G322" s="23" t="n"/>
      <c r="H322" s="29">
        <f>IF(C322="","",IFERROR(INDEX(Categories!$B$6:$B$65,MATCH(C322,Categories!$A$6:$A$65,0))&amp;"",""))</f>
        <v/>
      </c>
      <c r="I322" s="25">
        <f>IF(AND(A322="",C322="",D322=""),"",IF(A322="","Date missing",IF(NOT(ISNUMBER(A322)),"Date not recognized",IF(YEAR(A322)&lt;&gt;Settings!$C$4,"Not in "&amp;Settings!$C$4,IF(C322="","Category missing",IF(H322="",IF(COUNTIF(Categories!$A$6:$A$65,C322)&gt;0,"Category has no type","Category not in list"),IF(D322="","Amount missing",IF(NOT(ISNUMBER(D322)),"Amount is not a number",IF(F322="","",IF(ISNA(MATCH(F322,Lists!$G$2:$G$25,0)),"Goal / fund not in list",IF(H322="Income","Fund tag ignored on income","")))))))))))</f>
        <v/>
      </c>
    </row>
    <row r="323">
      <c r="A323" s="27" t="n">
        <v>46200</v>
      </c>
      <c r="B323" s="23" t="inlineStr">
        <is>
          <t>Coffee</t>
        </is>
      </c>
      <c r="C323" s="23" t="inlineStr">
        <is>
          <t>Dining out</t>
        </is>
      </c>
      <c r="D323" s="28" t="n">
        <v>41.63</v>
      </c>
      <c r="E323" s="23" t="inlineStr">
        <is>
          <t>Credit card</t>
        </is>
      </c>
      <c r="F323" s="23" t="n"/>
      <c r="G323" s="23" t="n"/>
      <c r="H323" s="29">
        <f>IF(C323="","",IFERROR(INDEX(Categories!$B$6:$B$65,MATCH(C323,Categories!$A$6:$A$65,0))&amp;"",""))</f>
        <v/>
      </c>
      <c r="I323" s="25">
        <f>IF(AND(A323="",C323="",D323=""),"",IF(A323="","Date missing",IF(NOT(ISNUMBER(A323)),"Date not recognized",IF(YEAR(A323)&lt;&gt;Settings!$C$4,"Not in "&amp;Settings!$C$4,IF(C323="","Category missing",IF(H323="",IF(COUNTIF(Categories!$A$6:$A$65,C323)&gt;0,"Category has no type","Category not in list"),IF(D323="","Amount missing",IF(NOT(ISNUMBER(D323)),"Amount is not a number",IF(F323="","",IF(ISNA(MATCH(F323,Lists!$G$2:$G$25,0)),"Goal / fund not in list",IF(H323="Income","Fund tag ignored on income","")))))))))))</f>
        <v/>
      </c>
    </row>
    <row r="324">
      <c r="A324" s="27" t="n">
        <v>46200</v>
      </c>
      <c r="B324" s="23" t="inlineStr">
        <is>
          <t>Pizza night</t>
        </is>
      </c>
      <c r="C324" s="23" t="inlineStr">
        <is>
          <t>Dining out</t>
        </is>
      </c>
      <c r="D324" s="28" t="n">
        <v>46.04</v>
      </c>
      <c r="E324" s="23" t="inlineStr">
        <is>
          <t>Credit card</t>
        </is>
      </c>
      <c r="F324" s="23" t="n"/>
      <c r="G324" s="23" t="n"/>
      <c r="H324" s="29">
        <f>IF(C324="","",IFERROR(INDEX(Categories!$B$6:$B$65,MATCH(C324,Categories!$A$6:$A$65,0))&amp;"",""))</f>
        <v/>
      </c>
      <c r="I324" s="25">
        <f>IF(AND(A324="",C324="",D324=""),"",IF(A324="","Date missing",IF(NOT(ISNUMBER(A324)),"Date not recognized",IF(YEAR(A324)&lt;&gt;Settings!$C$4,"Not in "&amp;Settings!$C$4,IF(C324="","Category missing",IF(H324="",IF(COUNTIF(Categories!$A$6:$A$65,C324)&gt;0,"Category has no type","Category not in list"),IF(D324="","Amount missing",IF(NOT(ISNUMBER(D324)),"Amount is not a number",IF(F324="","",IF(ISNA(MATCH(F324,Lists!$G$2:$G$25,0)),"Goal / fund not in list",IF(H324="Income","Fund tag ignored on income","")))))))))))</f>
        <v/>
      </c>
    </row>
    <row r="325">
      <c r="A325" s="27" t="n">
        <v>46200</v>
      </c>
      <c r="B325" s="23" t="inlineStr">
        <is>
          <t>Gas station</t>
        </is>
      </c>
      <c r="C325" s="23" t="inlineStr">
        <is>
          <t>Transport / Gas</t>
        </is>
      </c>
      <c r="D325" s="28" t="n">
        <v>47.16</v>
      </c>
      <c r="E325" s="23" t="inlineStr">
        <is>
          <t>Credit card</t>
        </is>
      </c>
      <c r="F325" s="23" t="n"/>
      <c r="G325" s="23" t="n"/>
      <c r="H325" s="29">
        <f>IF(C325="","",IFERROR(INDEX(Categories!$B$6:$B$65,MATCH(C325,Categories!$A$6:$A$65,0))&amp;"",""))</f>
        <v/>
      </c>
      <c r="I325" s="25">
        <f>IF(AND(A325="",C325="",D325=""),"",IF(A325="","Date missing",IF(NOT(ISNUMBER(A325)),"Date not recognized",IF(YEAR(A325)&lt;&gt;Settings!$C$4,"Not in "&amp;Settings!$C$4,IF(C325="","Category missing",IF(H325="",IF(COUNTIF(Categories!$A$6:$A$65,C325)&gt;0,"Category has no type","Category not in list"),IF(D325="","Amount missing",IF(NOT(ISNUMBER(D325)),"Amount is not a number",IF(F325="","",IF(ISNA(MATCH(F325,Lists!$G$2:$G$25,0)),"Goal / fund not in list",IF(H325="Income","Fund tag ignored on income","")))))))))))</f>
        <v/>
      </c>
    </row>
    <row r="326">
      <c r="A326" s="27" t="n">
        <v>46200</v>
      </c>
      <c r="B326" s="23" t="inlineStr">
        <is>
          <t>Office supplies</t>
        </is>
      </c>
      <c r="C326" s="23" t="inlineStr">
        <is>
          <t>Misc</t>
        </is>
      </c>
      <c r="D326" s="28" t="n">
        <v>31.86</v>
      </c>
      <c r="E326" s="23" t="inlineStr">
        <is>
          <t>Cash</t>
        </is>
      </c>
      <c r="F326" s="23" t="n"/>
      <c r="G326" s="23" t="n"/>
      <c r="H326" s="29">
        <f>IF(C326="","",IFERROR(INDEX(Categories!$B$6:$B$65,MATCH(C326,Categories!$A$6:$A$65,0))&amp;"",""))</f>
        <v/>
      </c>
      <c r="I326" s="25">
        <f>IF(AND(A326="",C326="",D326=""),"",IF(A326="","Date missing",IF(NOT(ISNUMBER(A326)),"Date not recognized",IF(YEAR(A326)&lt;&gt;Settings!$C$4,"Not in "&amp;Settings!$C$4,IF(C326="","Category missing",IF(H326="",IF(COUNTIF(Categories!$A$6:$A$65,C326)&gt;0,"Category has no type","Category not in list"),IF(D326="","Amount missing",IF(NOT(ISNUMBER(D326)),"Amount is not a number",IF(F326="","",IF(ISNA(MATCH(F326,Lists!$G$2:$G$25,0)),"Goal / fund not in list",IF(H326="Income","Fund tag ignored on income","")))))))))))</f>
        <v/>
      </c>
    </row>
    <row r="327">
      <c r="A327" s="27" t="n">
        <v>46201</v>
      </c>
      <c r="B327" s="23" t="inlineStr">
        <is>
          <t>Sam paycheck</t>
        </is>
      </c>
      <c r="C327" s="23" t="inlineStr">
        <is>
          <t>Paycheck 2</t>
        </is>
      </c>
      <c r="D327" s="28" t="n">
        <v>2950</v>
      </c>
      <c r="E327" s="23" t="inlineStr">
        <is>
          <t>Checking</t>
        </is>
      </c>
      <c r="F327" s="23" t="n"/>
      <c r="G327" s="23" t="n"/>
      <c r="H327" s="29">
        <f>IF(C327="","",IFERROR(INDEX(Categories!$B$6:$B$65,MATCH(C327,Categories!$A$6:$A$65,0))&amp;"",""))</f>
        <v/>
      </c>
      <c r="I327" s="25">
        <f>IF(AND(A327="",C327="",D327=""),"",IF(A327="","Date missing",IF(NOT(ISNUMBER(A327)),"Date not recognized",IF(YEAR(A327)&lt;&gt;Settings!$C$4,"Not in "&amp;Settings!$C$4,IF(C327="","Category missing",IF(H327="",IF(COUNTIF(Categories!$A$6:$A$65,C327)&gt;0,"Category has no type","Category not in list"),IF(D327="","Amount missing",IF(NOT(ISNUMBER(D327)),"Amount is not a number",IF(F327="","",IF(ISNA(MATCH(F327,Lists!$G$2:$G$25,0)),"Goal / fund not in list",IF(H327="Income","Fund tag ignored on income","")))))))))))</f>
        <v/>
      </c>
    </row>
    <row r="328">
      <c r="A328" s="27" t="n">
        <v>46204</v>
      </c>
      <c r="B328" s="23" t="inlineStr">
        <is>
          <t>Alex paycheck</t>
        </is>
      </c>
      <c r="C328" s="23" t="inlineStr">
        <is>
          <t>Paycheck 1</t>
        </is>
      </c>
      <c r="D328" s="28" t="n">
        <v>2100</v>
      </c>
      <c r="E328" s="23" t="inlineStr">
        <is>
          <t>Checking</t>
        </is>
      </c>
      <c r="F328" s="23" t="n"/>
      <c r="G328" s="23" t="n"/>
      <c r="H328" s="29">
        <f>IF(C328="","",IFERROR(INDEX(Categories!$B$6:$B$65,MATCH(C328,Categories!$A$6:$A$65,0))&amp;"",""))</f>
        <v/>
      </c>
      <c r="I328" s="25">
        <f>IF(AND(A328="",C328="",D328=""),"",IF(A328="","Date missing",IF(NOT(ISNUMBER(A328)),"Date not recognized",IF(YEAR(A328)&lt;&gt;Settings!$C$4,"Not in "&amp;Settings!$C$4,IF(C328="","Category missing",IF(H328="",IF(COUNTIF(Categories!$A$6:$A$65,C328)&gt;0,"Category has no type","Category not in list"),IF(D328="","Amount missing",IF(NOT(ISNUMBER(D328)),"Amount is not a number",IF(F328="","",IF(ISNA(MATCH(F328,Lists!$G$2:$G$25,0)),"Goal / fund not in list",IF(H328="Income","Fund tag ignored on income","")))))))))))</f>
        <v/>
      </c>
    </row>
    <row r="329">
      <c r="A329" s="27" t="n">
        <v>46204</v>
      </c>
      <c r="B329" s="23" t="inlineStr">
        <is>
          <t>Rent</t>
        </is>
      </c>
      <c r="C329" s="23" t="inlineStr">
        <is>
          <t>Rent / Mortgage</t>
        </is>
      </c>
      <c r="D329" s="28" t="n">
        <v>1850</v>
      </c>
      <c r="E329" s="23" t="inlineStr">
        <is>
          <t>Checking</t>
        </is>
      </c>
      <c r="F329" s="23" t="n"/>
      <c r="G329" s="23" t="n"/>
      <c r="H329" s="29">
        <f>IF(C329="","",IFERROR(INDEX(Categories!$B$6:$B$65,MATCH(C329,Categories!$A$6:$A$65,0))&amp;"",""))</f>
        <v/>
      </c>
      <c r="I329" s="25">
        <f>IF(AND(A329="",C329="",D329=""),"",IF(A329="","Date missing",IF(NOT(ISNUMBER(A329)),"Date not recognized",IF(YEAR(A329)&lt;&gt;Settings!$C$4,"Not in "&amp;Settings!$C$4,IF(C329="","Category missing",IF(H329="",IF(COUNTIF(Categories!$A$6:$A$65,C329)&gt;0,"Category has no type","Category not in list"),IF(D329="","Amount missing",IF(NOT(ISNUMBER(D329)),"Amount is not a number",IF(F329="","",IF(ISNA(MATCH(F329,Lists!$G$2:$G$25,0)),"Goal / fund not in list",IF(H329="Income","Fund tag ignored on income","")))))))))))</f>
        <v/>
      </c>
    </row>
    <row r="330">
      <c r="A330" s="27" t="n">
        <v>46204</v>
      </c>
      <c r="B330" s="23" t="inlineStr">
        <is>
          <t>Summer camp</t>
        </is>
      </c>
      <c r="C330" s="23" t="inlineStr">
        <is>
          <t>Kids</t>
        </is>
      </c>
      <c r="D330" s="28" t="n">
        <v>430</v>
      </c>
      <c r="E330" s="23" t="inlineStr">
        <is>
          <t>Checking</t>
        </is>
      </c>
      <c r="F330" s="23" t="n"/>
      <c r="G330" s="23" t="n"/>
      <c r="H330" s="29">
        <f>IF(C330="","",IFERROR(INDEX(Categories!$B$6:$B$65,MATCH(C330,Categories!$A$6:$A$65,0))&amp;"",""))</f>
        <v/>
      </c>
      <c r="I330" s="25">
        <f>IF(AND(A330="",C330="",D330=""),"",IF(A330="","Date missing",IF(NOT(ISNUMBER(A330)),"Date not recognized",IF(YEAR(A330)&lt;&gt;Settings!$C$4,"Not in "&amp;Settings!$C$4,IF(C330="","Category missing",IF(H330="",IF(COUNTIF(Categories!$A$6:$A$65,C330)&gt;0,"Category has no type","Category not in list"),IF(D330="","Amount missing",IF(NOT(ISNUMBER(D330)),"Amount is not a number",IF(F330="","",IF(ISNA(MATCH(F330,Lists!$G$2:$G$25,0)),"Goal / fund not in list",IF(H330="Income","Fund tag ignored on income","")))))))))))</f>
        <v/>
      </c>
    </row>
    <row r="331">
      <c r="A331" s="27" t="n">
        <v>46205</v>
      </c>
      <c r="B331" s="23" t="inlineStr">
        <is>
          <t>Gym membership</t>
        </is>
      </c>
      <c r="C331" s="23" t="inlineStr">
        <is>
          <t>Subscriptions</t>
        </is>
      </c>
      <c r="D331" s="28" t="n">
        <v>45</v>
      </c>
      <c r="E331" s="23" t="inlineStr">
        <is>
          <t>Checking</t>
        </is>
      </c>
      <c r="F331" s="23" t="n"/>
      <c r="G331" s="23" t="n"/>
      <c r="H331" s="29">
        <f>IF(C331="","",IFERROR(INDEX(Categories!$B$6:$B$65,MATCH(C331,Categories!$A$6:$A$65,0))&amp;"",""))</f>
        <v/>
      </c>
      <c r="I331" s="25">
        <f>IF(AND(A331="",C331="",D331=""),"",IF(A331="","Date missing",IF(NOT(ISNUMBER(A331)),"Date not recognized",IF(YEAR(A331)&lt;&gt;Settings!$C$4,"Not in "&amp;Settings!$C$4,IF(C331="","Category missing",IF(H331="",IF(COUNTIF(Categories!$A$6:$A$65,C331)&gt;0,"Category has no type","Category not in list"),IF(D331="","Amount missing",IF(NOT(ISNUMBER(D331)),"Amount is not a number",IF(F331="","",IF(ISNA(MATCH(F331,Lists!$G$2:$G$25,0)),"Goal / fund not in list",IF(H331="Income","Fund tag ignored on income","")))))))))))</f>
        <v/>
      </c>
    </row>
    <row r="332">
      <c r="A332" s="27" t="n">
        <v>46205</v>
      </c>
      <c r="B332" s="23" t="inlineStr">
        <is>
          <t>Transfer to emergency fund</t>
        </is>
      </c>
      <c r="C332" s="23" t="inlineStr">
        <is>
          <t>Emergency fund</t>
        </is>
      </c>
      <c r="D332" s="28" t="n">
        <v>300</v>
      </c>
      <c r="E332" s="23" t="inlineStr">
        <is>
          <t>Savings</t>
        </is>
      </c>
      <c r="F332" s="23" t="inlineStr">
        <is>
          <t>Emergency fund</t>
        </is>
      </c>
      <c r="G332" s="23" t="n"/>
      <c r="H332" s="29">
        <f>IF(C332="","",IFERROR(INDEX(Categories!$B$6:$B$65,MATCH(C332,Categories!$A$6:$A$65,0))&amp;"",""))</f>
        <v/>
      </c>
      <c r="I332" s="25">
        <f>IF(AND(A332="",C332="",D332=""),"",IF(A332="","Date missing",IF(NOT(ISNUMBER(A332)),"Date not recognized",IF(YEAR(A332)&lt;&gt;Settings!$C$4,"Not in "&amp;Settings!$C$4,IF(C332="","Category missing",IF(H332="",IF(COUNTIF(Categories!$A$6:$A$65,C332)&gt;0,"Category has no type","Category not in list"),IF(D332="","Amount missing",IF(NOT(ISNUMBER(D332)),"Amount is not a number",IF(F332="","",IF(ISNA(MATCH(F332,Lists!$G$2:$G$25,0)),"Goal / fund not in list",IF(H332="Income","Fund tag ignored on income","")))))))))))</f>
        <v/>
      </c>
    </row>
    <row r="333">
      <c r="A333" s="27" t="n">
        <v>46205</v>
      </c>
      <c r="B333" s="23" t="inlineStr">
        <is>
          <t>Transfer: house fund</t>
        </is>
      </c>
      <c r="C333" s="23" t="inlineStr">
        <is>
          <t>Savings goals</t>
        </is>
      </c>
      <c r="D333" s="28" t="n">
        <v>300</v>
      </c>
      <c r="E333" s="23" t="inlineStr">
        <is>
          <t>Savings</t>
        </is>
      </c>
      <c r="F333" s="23" t="inlineStr">
        <is>
          <t>House down payment</t>
        </is>
      </c>
      <c r="G333" s="23" t="n"/>
      <c r="H333" s="29">
        <f>IF(C333="","",IFERROR(INDEX(Categories!$B$6:$B$65,MATCH(C333,Categories!$A$6:$A$65,0))&amp;"",""))</f>
        <v/>
      </c>
      <c r="I333" s="25">
        <f>IF(AND(A333="",C333="",D333=""),"",IF(A333="","Date missing",IF(NOT(ISNUMBER(A333)),"Date not recognized",IF(YEAR(A333)&lt;&gt;Settings!$C$4,"Not in "&amp;Settings!$C$4,IF(C333="","Category missing",IF(H333="",IF(COUNTIF(Categories!$A$6:$A$65,C333)&gt;0,"Category has no type","Category not in list"),IF(D333="","Amount missing",IF(NOT(ISNUMBER(D333)),"Amount is not a number",IF(F333="","",IF(ISNA(MATCH(F333,Lists!$G$2:$G$25,0)),"Goal / fund not in list",IF(H333="Income","Fund tag ignored on income","")))))))))))</f>
        <v/>
      </c>
    </row>
    <row r="334">
      <c r="A334" s="27" t="n">
        <v>46205</v>
      </c>
      <c r="B334" s="23" t="inlineStr">
        <is>
          <t>Transfer: laptop</t>
        </is>
      </c>
      <c r="C334" s="23" t="inlineStr">
        <is>
          <t>Savings goals</t>
        </is>
      </c>
      <c r="D334" s="28" t="n">
        <v>100</v>
      </c>
      <c r="E334" s="23" t="inlineStr">
        <is>
          <t>Savings</t>
        </is>
      </c>
      <c r="F334" s="23" t="inlineStr">
        <is>
          <t>New laptop</t>
        </is>
      </c>
      <c r="G334" s="23" t="n"/>
      <c r="H334" s="29">
        <f>IF(C334="","",IFERROR(INDEX(Categories!$B$6:$B$65,MATCH(C334,Categories!$A$6:$A$65,0))&amp;"",""))</f>
        <v/>
      </c>
      <c r="I334" s="25">
        <f>IF(AND(A334="",C334="",D334=""),"",IF(A334="","Date missing",IF(NOT(ISNUMBER(A334)),"Date not recognized",IF(YEAR(A334)&lt;&gt;Settings!$C$4,"Not in "&amp;Settings!$C$4,IF(C334="","Category missing",IF(H334="",IF(COUNTIF(Categories!$A$6:$A$65,C334)&gt;0,"Category has no type","Category not in list"),IF(D334="","Amount missing",IF(NOT(ISNUMBER(D334)),"Amount is not a number",IF(F334="","",IF(ISNA(MATCH(F334,Lists!$G$2:$G$25,0)),"Goal / fund not in list",IF(H334="Income","Fund tag ignored on income","")))))))))))</f>
        <v/>
      </c>
    </row>
    <row r="335">
      <c r="A335" s="27" t="n">
        <v>46205</v>
      </c>
      <c r="B335" s="23" t="inlineStr">
        <is>
          <t>Set aside: car maintenance</t>
        </is>
      </c>
      <c r="C335" s="23" t="inlineStr">
        <is>
          <t>Sinking funds</t>
        </is>
      </c>
      <c r="D335" s="28" t="n">
        <v>60</v>
      </c>
      <c r="E335" s="23" t="inlineStr">
        <is>
          <t>Savings</t>
        </is>
      </c>
      <c r="F335" s="23" t="inlineStr">
        <is>
          <t>Car maintenance</t>
        </is>
      </c>
      <c r="G335" s="23" t="n"/>
      <c r="H335" s="29">
        <f>IF(C335="","",IFERROR(INDEX(Categories!$B$6:$B$65,MATCH(C335,Categories!$A$6:$A$65,0))&amp;"",""))</f>
        <v/>
      </c>
      <c r="I335" s="25">
        <f>IF(AND(A335="",C335="",D335=""),"",IF(A335="","Date missing",IF(NOT(ISNUMBER(A335)),"Date not recognized",IF(YEAR(A335)&lt;&gt;Settings!$C$4,"Not in "&amp;Settings!$C$4,IF(C335="","Category missing",IF(H335="",IF(COUNTIF(Categories!$A$6:$A$65,C335)&gt;0,"Category has no type","Category not in list"),IF(D335="","Amount missing",IF(NOT(ISNUMBER(D335)),"Amount is not a number",IF(F335="","",IF(ISNA(MATCH(F335,Lists!$G$2:$G$25,0)),"Goal / fund not in list",IF(H335="Income","Fund tag ignored on income","")))))))))))</f>
        <v/>
      </c>
    </row>
    <row r="336">
      <c r="A336" s="27" t="n">
        <v>46205</v>
      </c>
      <c r="B336" s="23" t="inlineStr">
        <is>
          <t>Set aside: holiday gifts</t>
        </is>
      </c>
      <c r="C336" s="23" t="inlineStr">
        <is>
          <t>Sinking funds</t>
        </is>
      </c>
      <c r="D336" s="28" t="n">
        <v>50</v>
      </c>
      <c r="E336" s="23" t="inlineStr">
        <is>
          <t>Savings</t>
        </is>
      </c>
      <c r="F336" s="23" t="inlineStr">
        <is>
          <t>Holiday gifts</t>
        </is>
      </c>
      <c r="G336" s="23" t="n"/>
      <c r="H336" s="29">
        <f>IF(C336="","",IFERROR(INDEX(Categories!$B$6:$B$65,MATCH(C336,Categories!$A$6:$A$65,0))&amp;"",""))</f>
        <v/>
      </c>
      <c r="I336" s="25">
        <f>IF(AND(A336="",C336="",D336=""),"",IF(A336="","Date missing",IF(NOT(ISNUMBER(A336)),"Date not recognized",IF(YEAR(A336)&lt;&gt;Settings!$C$4,"Not in "&amp;Settings!$C$4,IF(C336="","Category missing",IF(H336="",IF(COUNTIF(Categories!$A$6:$A$65,C336)&gt;0,"Category has no type","Category not in list"),IF(D336="","Amount missing",IF(NOT(ISNUMBER(D336)),"Amount is not a number",IF(F336="","",IF(ISNA(MATCH(F336,Lists!$G$2:$G$25,0)),"Goal / fund not in list",IF(H336="Income","Fund tag ignored on income","")))))))))))</f>
        <v/>
      </c>
    </row>
    <row r="337">
      <c r="A337" s="27" t="n">
        <v>46205</v>
      </c>
      <c r="B337" s="23" t="inlineStr">
        <is>
          <t>Set aside: summer vacation</t>
        </is>
      </c>
      <c r="C337" s="23" t="inlineStr">
        <is>
          <t>Sinking funds</t>
        </is>
      </c>
      <c r="D337" s="28" t="n">
        <v>150</v>
      </c>
      <c r="E337" s="23" t="inlineStr">
        <is>
          <t>Savings</t>
        </is>
      </c>
      <c r="F337" s="23" t="inlineStr">
        <is>
          <t>Summer vacation</t>
        </is>
      </c>
      <c r="G337" s="23" t="n"/>
      <c r="H337" s="29">
        <f>IF(C337="","",IFERROR(INDEX(Categories!$B$6:$B$65,MATCH(C337,Categories!$A$6:$A$65,0))&amp;"",""))</f>
        <v/>
      </c>
      <c r="I337" s="25">
        <f>IF(AND(A337="",C337="",D337=""),"",IF(A337="","Date missing",IF(NOT(ISNUMBER(A337)),"Date not recognized",IF(YEAR(A337)&lt;&gt;Settings!$C$4,"Not in "&amp;Settings!$C$4,IF(C337="","Category missing",IF(H337="",IF(COUNTIF(Categories!$A$6:$A$65,C337)&gt;0,"Category has no type","Category not in list"),IF(D337="","Amount missing",IF(NOT(ISNUMBER(D337)),"Amount is not a number",IF(F337="","",IF(ISNA(MATCH(F337,Lists!$G$2:$G$25,0)),"Goal / fund not in list",IF(H337="Income","Fund tag ignored on income","")))))))))))</f>
        <v/>
      </c>
    </row>
    <row r="338">
      <c r="A338" s="27" t="n">
        <v>46205</v>
      </c>
      <c r="B338" s="23" t="inlineStr">
        <is>
          <t>Set aside: home repairs</t>
        </is>
      </c>
      <c r="C338" s="23" t="inlineStr">
        <is>
          <t>Sinking funds</t>
        </is>
      </c>
      <c r="D338" s="28" t="n">
        <v>40</v>
      </c>
      <c r="E338" s="23" t="inlineStr">
        <is>
          <t>Savings</t>
        </is>
      </c>
      <c r="F338" s="23" t="inlineStr">
        <is>
          <t>Home repairs</t>
        </is>
      </c>
      <c r="G338" s="23" t="n"/>
      <c r="H338" s="29">
        <f>IF(C338="","",IFERROR(INDEX(Categories!$B$6:$B$65,MATCH(C338,Categories!$A$6:$A$65,0))&amp;"",""))</f>
        <v/>
      </c>
      <c r="I338" s="25">
        <f>IF(AND(A338="",C338="",D338=""),"",IF(A338="","Date missing",IF(NOT(ISNUMBER(A338)),"Date not recognized",IF(YEAR(A338)&lt;&gt;Settings!$C$4,"Not in "&amp;Settings!$C$4,IF(C338="","Category missing",IF(H338="",IF(COUNTIF(Categories!$A$6:$A$65,C338)&gt;0,"Category has no type","Category not in list"),IF(D338="","Amount missing",IF(NOT(ISNUMBER(D338)),"Amount is not a number",IF(F338="","",IF(ISNA(MATCH(F338,Lists!$G$2:$G$25,0)),"Goal / fund not in list",IF(H338="Income","Fund tag ignored on income","")))))))))))</f>
        <v/>
      </c>
    </row>
    <row r="339">
      <c r="A339" s="27" t="n">
        <v>46206</v>
      </c>
      <c r="B339" s="23" t="inlineStr">
        <is>
          <t>Video streaming</t>
        </is>
      </c>
      <c r="C339" s="23" t="inlineStr">
        <is>
          <t>Subscriptions</t>
        </is>
      </c>
      <c r="D339" s="28" t="n">
        <v>15.49</v>
      </c>
      <c r="E339" s="23" t="inlineStr">
        <is>
          <t>Credit card</t>
        </is>
      </c>
      <c r="F339" s="23" t="n"/>
      <c r="G339" s="23" t="n"/>
      <c r="H339" s="29">
        <f>IF(C339="","",IFERROR(INDEX(Categories!$B$6:$B$65,MATCH(C339,Categories!$A$6:$A$65,0))&amp;"",""))</f>
        <v/>
      </c>
      <c r="I339" s="25">
        <f>IF(AND(A339="",C339="",D339=""),"",IF(A339="","Date missing",IF(NOT(ISNUMBER(A339)),"Date not recognized",IF(YEAR(A339)&lt;&gt;Settings!$C$4,"Not in "&amp;Settings!$C$4,IF(C339="","Category missing",IF(H339="",IF(COUNTIF(Categories!$A$6:$A$65,C339)&gt;0,"Category has no type","Category not in list"),IF(D339="","Amount missing",IF(NOT(ISNUMBER(D339)),"Amount is not a number",IF(F339="","",IF(ISNA(MATCH(F339,Lists!$G$2:$G$25,0)),"Goal / fund not in list",IF(H339="Income","Fund tag ignored on income","")))))))))))</f>
        <v/>
      </c>
    </row>
    <row r="340">
      <c r="A340" s="27" t="n">
        <v>46206</v>
      </c>
      <c r="B340" s="23" t="inlineStr">
        <is>
          <t>Supermarket</t>
        </is>
      </c>
      <c r="C340" s="23" t="inlineStr">
        <is>
          <t>Groceries</t>
        </is>
      </c>
      <c r="D340" s="28" t="n">
        <v>178.89</v>
      </c>
      <c r="E340" s="23" t="inlineStr">
        <is>
          <t>Debit card</t>
        </is>
      </c>
      <c r="F340" s="23" t="n"/>
      <c r="G340" s="23" t="n"/>
      <c r="H340" s="29">
        <f>IF(C340="","",IFERROR(INDEX(Categories!$B$6:$B$65,MATCH(C340,Categories!$A$6:$A$65,0))&amp;"",""))</f>
        <v/>
      </c>
      <c r="I340" s="25">
        <f>IF(AND(A340="",C340="",D340=""),"",IF(A340="","Date missing",IF(NOT(ISNUMBER(A340)),"Date not recognized",IF(YEAR(A340)&lt;&gt;Settings!$C$4,"Not in "&amp;Settings!$C$4,IF(C340="","Category missing",IF(H340="",IF(COUNTIF(Categories!$A$6:$A$65,C340)&gt;0,"Category has no type","Category not in list"),IF(D340="","Amount missing",IF(NOT(ISNUMBER(D340)),"Amount is not a number",IF(F340="","",IF(ISNA(MATCH(F340,Lists!$G$2:$G$25,0)),"Goal / fund not in list",IF(H340="Income","Fund tag ignored on income","")))))))))))</f>
        <v/>
      </c>
    </row>
    <row r="341">
      <c r="A341" s="27" t="n">
        <v>46206</v>
      </c>
      <c r="B341" s="23" t="inlineStr">
        <is>
          <t>Board game</t>
        </is>
      </c>
      <c r="C341" s="23" t="inlineStr">
        <is>
          <t>Entertainment</t>
        </is>
      </c>
      <c r="D341" s="28" t="n">
        <v>25.92</v>
      </c>
      <c r="E341" s="23" t="inlineStr">
        <is>
          <t>Credit card</t>
        </is>
      </c>
      <c r="F341" s="23" t="n"/>
      <c r="G341" s="23" t="n"/>
      <c r="H341" s="29">
        <f>IF(C341="","",IFERROR(INDEX(Categories!$B$6:$B$65,MATCH(C341,Categories!$A$6:$A$65,0))&amp;"",""))</f>
        <v/>
      </c>
      <c r="I341" s="25">
        <f>IF(AND(A341="",C341="",D341=""),"",IF(A341="","Date missing",IF(NOT(ISNUMBER(A341)),"Date not recognized",IF(YEAR(A341)&lt;&gt;Settings!$C$4,"Not in "&amp;Settings!$C$4,IF(C341="","Category missing",IF(H341="",IF(COUNTIF(Categories!$A$6:$A$65,C341)&gt;0,"Category has no type","Category not in list"),IF(D341="","Amount missing",IF(NOT(ISNUMBER(D341)),"Amount is not a number",IF(F341="","",IF(ISNA(MATCH(F341,Lists!$G$2:$G$25,0)),"Goal / fund not in list",IF(H341="Income","Fund tag ignored on income","")))))))))))</f>
        <v/>
      </c>
    </row>
    <row r="342">
      <c r="A342" s="27" t="n">
        <v>46206</v>
      </c>
      <c r="B342" s="23" t="inlineStr">
        <is>
          <t>Retirement contribution</t>
        </is>
      </c>
      <c r="C342" s="23" t="inlineStr">
        <is>
          <t>Retirement &amp; investing</t>
        </is>
      </c>
      <c r="D342" s="28" t="n">
        <v>600</v>
      </c>
      <c r="E342" s="23" t="inlineStr">
        <is>
          <t>Checking</t>
        </is>
      </c>
      <c r="F342" s="23" t="n"/>
      <c r="G342" s="23" t="n"/>
      <c r="H342" s="29">
        <f>IF(C342="","",IFERROR(INDEX(Categories!$B$6:$B$65,MATCH(C342,Categories!$A$6:$A$65,0))&amp;"",""))</f>
        <v/>
      </c>
      <c r="I342" s="25">
        <f>IF(AND(A342="",C342="",D342=""),"",IF(A342="","Date missing",IF(NOT(ISNUMBER(A342)),"Date not recognized",IF(YEAR(A342)&lt;&gt;Settings!$C$4,"Not in "&amp;Settings!$C$4,IF(C342="","Category missing",IF(H342="",IF(COUNTIF(Categories!$A$6:$A$65,C342)&gt;0,"Category has no type","Category not in list"),IF(D342="","Amount missing",IF(NOT(ISNUMBER(D342)),"Amount is not a number",IF(F342="","",IF(ISNA(MATCH(F342,Lists!$G$2:$G$25,0)),"Goal / fund not in list",IF(H342="Income","Fund tag ignored on income","")))))))))))</f>
        <v/>
      </c>
    </row>
    <row r="343">
      <c r="A343" s="27" t="n">
        <v>46207</v>
      </c>
      <c r="B343" s="23" t="inlineStr">
        <is>
          <t>Gas station</t>
        </is>
      </c>
      <c r="C343" s="23" t="inlineStr">
        <is>
          <t>Transport / Gas</t>
        </is>
      </c>
      <c r="D343" s="28" t="n">
        <v>45</v>
      </c>
      <c r="E343" s="23" t="inlineStr">
        <is>
          <t>Credit card</t>
        </is>
      </c>
      <c r="F343" s="23" t="n"/>
      <c r="G343" s="23" t="n"/>
      <c r="H343" s="29">
        <f>IF(C343="","",IFERROR(INDEX(Categories!$B$6:$B$65,MATCH(C343,Categories!$A$6:$A$65,0))&amp;"",""))</f>
        <v/>
      </c>
      <c r="I343" s="25">
        <f>IF(AND(A343="",C343="",D343=""),"",IF(A343="","Date missing",IF(NOT(ISNUMBER(A343)),"Date not recognized",IF(YEAR(A343)&lt;&gt;Settings!$C$4,"Not in "&amp;Settings!$C$4,IF(C343="","Category missing",IF(H343="",IF(COUNTIF(Categories!$A$6:$A$65,C343)&gt;0,"Category has no type","Category not in list"),IF(D343="","Amount missing",IF(NOT(ISNUMBER(D343)),"Amount is not a number",IF(F343="","",IF(ISNA(MATCH(F343,Lists!$G$2:$G$25,0)),"Goal / fund not in list",IF(H343="Income","Fund tag ignored on income","")))))))))))</f>
        <v/>
      </c>
    </row>
    <row r="344">
      <c r="A344" s="27" t="n">
        <v>46207</v>
      </c>
      <c r="B344" s="23" t="inlineStr">
        <is>
          <t>Charity donation</t>
        </is>
      </c>
      <c r="C344" s="23" t="inlineStr">
        <is>
          <t>Gifts</t>
        </is>
      </c>
      <c r="D344" s="28" t="n">
        <v>46.81</v>
      </c>
      <c r="E344" s="23" t="inlineStr">
        <is>
          <t>Credit card</t>
        </is>
      </c>
      <c r="F344" s="23" t="n"/>
      <c r="G344" s="23" t="n"/>
      <c r="H344" s="29">
        <f>IF(C344="","",IFERROR(INDEX(Categories!$B$6:$B$65,MATCH(C344,Categories!$A$6:$A$65,0))&amp;"",""))</f>
        <v/>
      </c>
      <c r="I344" s="25">
        <f>IF(AND(A344="",C344="",D344=""),"",IF(A344="","Date missing",IF(NOT(ISNUMBER(A344)),"Date not recognized",IF(YEAR(A344)&lt;&gt;Settings!$C$4,"Not in "&amp;Settings!$C$4,IF(C344="","Category missing",IF(H344="",IF(COUNTIF(Categories!$A$6:$A$65,C344)&gt;0,"Category has no type","Category not in list"),IF(D344="","Amount missing",IF(NOT(ISNUMBER(D344)),"Amount is not a number",IF(F344="","",IF(ISNA(MATCH(F344,Lists!$G$2:$G$25,0)),"Goal / fund not in list",IF(H344="Income","Fund tag ignored on income","")))))))))))</f>
        <v/>
      </c>
    </row>
    <row r="345">
      <c r="A345" s="27" t="n">
        <v>46208</v>
      </c>
      <c r="B345" s="23" t="inlineStr">
        <is>
          <t>Car insurance</t>
        </is>
      </c>
      <c r="C345" s="23" t="inlineStr">
        <is>
          <t>Insurance</t>
        </is>
      </c>
      <c r="D345" s="28" t="n">
        <v>128</v>
      </c>
      <c r="E345" s="23" t="inlineStr">
        <is>
          <t>Checking</t>
        </is>
      </c>
      <c r="F345" s="23" t="n"/>
      <c r="G345" s="23" t="n"/>
      <c r="H345" s="29">
        <f>IF(C345="","",IFERROR(INDEX(Categories!$B$6:$B$65,MATCH(C345,Categories!$A$6:$A$65,0))&amp;"",""))</f>
        <v/>
      </c>
      <c r="I345" s="25">
        <f>IF(AND(A345="",C345="",D345=""),"",IF(A345="","Date missing",IF(NOT(ISNUMBER(A345)),"Date not recognized",IF(YEAR(A345)&lt;&gt;Settings!$C$4,"Not in "&amp;Settings!$C$4,IF(C345="","Category missing",IF(H345="",IF(COUNTIF(Categories!$A$6:$A$65,C345)&gt;0,"Category has no type","Category not in list"),IF(D345="","Amount missing",IF(NOT(ISNUMBER(D345)),"Amount is not a number",IF(F345="","",IF(ISNA(MATCH(F345,Lists!$G$2:$G$25,0)),"Goal / fund not in list",IF(H345="Income","Fund tag ignored on income","")))))))))))</f>
        <v/>
      </c>
    </row>
    <row r="346">
      <c r="A346" s="27" t="n">
        <v>46208</v>
      </c>
      <c r="B346" s="23" t="inlineStr">
        <is>
          <t>Renters insurance</t>
        </is>
      </c>
      <c r="C346" s="23" t="inlineStr">
        <is>
          <t>Insurance</t>
        </is>
      </c>
      <c r="D346" s="28" t="n">
        <v>18</v>
      </c>
      <c r="E346" s="23" t="inlineStr">
        <is>
          <t>Checking</t>
        </is>
      </c>
      <c r="F346" s="23" t="n"/>
      <c r="G346" s="23" t="n"/>
      <c r="H346" s="29">
        <f>IF(C346="","",IFERROR(INDEX(Categories!$B$6:$B$65,MATCH(C346,Categories!$A$6:$A$65,0))&amp;"",""))</f>
        <v/>
      </c>
      <c r="I346" s="25">
        <f>IF(AND(A346="",C346="",D346=""),"",IF(A346="","Date missing",IF(NOT(ISNUMBER(A346)),"Date not recognized",IF(YEAR(A346)&lt;&gt;Settings!$C$4,"Not in "&amp;Settings!$C$4,IF(C346="","Category missing",IF(H346="",IF(COUNTIF(Categories!$A$6:$A$65,C346)&gt;0,"Category has no type","Category not in list"),IF(D346="","Amount missing",IF(NOT(ISNUMBER(D346)),"Amount is not a number",IF(F346="","",IF(ISNA(MATCH(F346,Lists!$G$2:$G$25,0)),"Goal / fund not in list",IF(H346="Income","Fund tag ignored on income","")))))))))))</f>
        <v/>
      </c>
    </row>
    <row r="347">
      <c r="A347" s="27" t="n">
        <v>46209</v>
      </c>
      <c r="B347" s="23" t="inlineStr">
        <is>
          <t>Brunch</t>
        </is>
      </c>
      <c r="C347" s="23" t="inlineStr">
        <is>
          <t>Dining out</t>
        </is>
      </c>
      <c r="D347" s="28" t="n">
        <v>26.42</v>
      </c>
      <c r="E347" s="23" t="inlineStr">
        <is>
          <t>Credit card</t>
        </is>
      </c>
      <c r="F347" s="23" t="n"/>
      <c r="G347" s="23" t="n"/>
      <c r="H347" s="29">
        <f>IF(C347="","",IFERROR(INDEX(Categories!$B$6:$B$65,MATCH(C347,Categories!$A$6:$A$65,0))&amp;"",""))</f>
        <v/>
      </c>
      <c r="I347" s="25">
        <f>IF(AND(A347="",C347="",D347=""),"",IF(A347="","Date missing",IF(NOT(ISNUMBER(A347)),"Date not recognized",IF(YEAR(A347)&lt;&gt;Settings!$C$4,"Not in "&amp;Settings!$C$4,IF(C347="","Category missing",IF(H347="",IF(COUNTIF(Categories!$A$6:$A$65,C347)&gt;0,"Category has no type","Category not in list"),IF(D347="","Amount missing",IF(NOT(ISNUMBER(D347)),"Amount is not a number",IF(F347="","",IF(ISNA(MATCH(F347,Lists!$G$2:$G$25,0)),"Goal / fund not in list",IF(H347="Income","Fund tag ignored on income","")))))))))))</f>
        <v/>
      </c>
    </row>
    <row r="348">
      <c r="A348" s="27" t="n">
        <v>46209</v>
      </c>
      <c r="B348" s="23" t="inlineStr">
        <is>
          <t>Haircut</t>
        </is>
      </c>
      <c r="C348" s="23" t="inlineStr">
        <is>
          <t>Personal care</t>
        </is>
      </c>
      <c r="D348" s="28" t="n">
        <v>44.16</v>
      </c>
      <c r="E348" s="23" t="inlineStr">
        <is>
          <t>Debit card</t>
        </is>
      </c>
      <c r="F348" s="23" t="n"/>
      <c r="G348" s="23" t="n"/>
      <c r="H348" s="29">
        <f>IF(C348="","",IFERROR(INDEX(Categories!$B$6:$B$65,MATCH(C348,Categories!$A$6:$A$65,0))&amp;"",""))</f>
        <v/>
      </c>
      <c r="I348" s="25">
        <f>IF(AND(A348="",C348="",D348=""),"",IF(A348="","Date missing",IF(NOT(ISNUMBER(A348)),"Date not recognized",IF(YEAR(A348)&lt;&gt;Settings!$C$4,"Not in "&amp;Settings!$C$4,IF(C348="","Category missing",IF(H348="",IF(COUNTIF(Categories!$A$6:$A$65,C348)&gt;0,"Category has no type","Category not in list"),IF(D348="","Amount missing",IF(NOT(ISNUMBER(D348)),"Amount is not a number",IF(F348="","",IF(ISNA(MATCH(F348,Lists!$G$2:$G$25,0)),"Goal / fund not in list",IF(H348="Income","Fund tag ignored on income","")))))))))))</f>
        <v/>
      </c>
    </row>
    <row r="349">
      <c r="A349" s="27" t="n">
        <v>46209</v>
      </c>
      <c r="B349" s="23" t="inlineStr">
        <is>
          <t>Flights</t>
        </is>
      </c>
      <c r="C349" s="23" t="inlineStr">
        <is>
          <t>Travel</t>
        </is>
      </c>
      <c r="D349" s="28" t="n">
        <v>782</v>
      </c>
      <c r="E349" s="23" t="inlineStr">
        <is>
          <t>Credit card</t>
        </is>
      </c>
      <c r="F349" s="23" t="inlineStr">
        <is>
          <t>Summer vacation</t>
        </is>
      </c>
      <c r="G349" s="23" t="n"/>
      <c r="H349" s="29">
        <f>IF(C349="","",IFERROR(INDEX(Categories!$B$6:$B$65,MATCH(C349,Categories!$A$6:$A$65,0))&amp;"",""))</f>
        <v/>
      </c>
      <c r="I349" s="25">
        <f>IF(AND(A349="",C349="",D349=""),"",IF(A349="","Date missing",IF(NOT(ISNUMBER(A349)),"Date not recognized",IF(YEAR(A349)&lt;&gt;Settings!$C$4,"Not in "&amp;Settings!$C$4,IF(C349="","Category missing",IF(H349="",IF(COUNTIF(Categories!$A$6:$A$65,C349)&gt;0,"Category has no type","Category not in list"),IF(D349="","Amount missing",IF(NOT(ISNUMBER(D349)),"Amount is not a number",IF(F349="","",IF(ISNA(MATCH(F349,Lists!$G$2:$G$25,0)),"Goal / fund not in list",IF(H349="Income","Fund tag ignored on income","")))))))))))</f>
        <v/>
      </c>
    </row>
    <row r="350">
      <c r="A350" s="27" t="n">
        <v>46209</v>
      </c>
      <c r="B350" s="23" t="inlineStr">
        <is>
          <t>Vacation rental</t>
        </is>
      </c>
      <c r="C350" s="23" t="inlineStr">
        <is>
          <t>Travel</t>
        </is>
      </c>
      <c r="D350" s="28" t="n">
        <v>640</v>
      </c>
      <c r="E350" s="23" t="inlineStr">
        <is>
          <t>Credit card</t>
        </is>
      </c>
      <c r="F350" s="23" t="inlineStr">
        <is>
          <t>Summer vacation</t>
        </is>
      </c>
      <c r="G350" s="23" t="n"/>
      <c r="H350" s="29">
        <f>IF(C350="","",IFERROR(INDEX(Categories!$B$6:$B$65,MATCH(C350,Categories!$A$6:$A$65,0))&amp;"",""))</f>
        <v/>
      </c>
      <c r="I350" s="25">
        <f>IF(AND(A350="",C350="",D350=""),"",IF(A350="","Date missing",IF(NOT(ISNUMBER(A350)),"Date not recognized",IF(YEAR(A350)&lt;&gt;Settings!$C$4,"Not in "&amp;Settings!$C$4,IF(C350="","Category missing",IF(H350="",IF(COUNTIF(Categories!$A$6:$A$65,C350)&gt;0,"Category has no type","Category not in list"),IF(D350="","Amount missing",IF(NOT(ISNUMBER(D350)),"Amount is not a number",IF(F350="","",IF(ISNA(MATCH(F350,Lists!$G$2:$G$25,0)),"Goal / fund not in list",IF(H350="Income","Fund tag ignored on income","")))))))))))</f>
        <v/>
      </c>
    </row>
    <row r="351">
      <c r="A351" s="27" t="n">
        <v>46210</v>
      </c>
      <c r="B351" s="23" t="inlineStr">
        <is>
          <t>Music streaming</t>
        </is>
      </c>
      <c r="C351" s="23" t="inlineStr">
        <is>
          <t>Subscriptions</t>
        </is>
      </c>
      <c r="D351" s="28" t="n">
        <v>10.99</v>
      </c>
      <c r="E351" s="23" t="inlineStr">
        <is>
          <t>Credit card</t>
        </is>
      </c>
      <c r="F351" s="23" t="n"/>
      <c r="G351" s="23" t="n"/>
      <c r="H351" s="29">
        <f>IF(C351="","",IFERROR(INDEX(Categories!$B$6:$B$65,MATCH(C351,Categories!$A$6:$A$65,0))&amp;"",""))</f>
        <v/>
      </c>
      <c r="I351" s="25">
        <f>IF(AND(A351="",C351="",D351=""),"",IF(A351="","Date missing",IF(NOT(ISNUMBER(A351)),"Date not recognized",IF(YEAR(A351)&lt;&gt;Settings!$C$4,"Not in "&amp;Settings!$C$4,IF(C351="","Category missing",IF(H351="",IF(COUNTIF(Categories!$A$6:$A$65,C351)&gt;0,"Category has no type","Category not in list"),IF(D351="","Amount missing",IF(NOT(ISNUMBER(D351)),"Amount is not a number",IF(F351="","",IF(ISNA(MATCH(F351,Lists!$G$2:$G$25,0)),"Goal / fund not in list",IF(H351="Income","Fund tag ignored on income","")))))))))))</f>
        <v/>
      </c>
    </row>
    <row r="352">
      <c r="A352" s="27" t="n">
        <v>46212</v>
      </c>
      <c r="B352" s="23" t="inlineStr">
        <is>
          <t>Brunch</t>
        </is>
      </c>
      <c r="C352" s="23" t="inlineStr">
        <is>
          <t>Dining out</t>
        </is>
      </c>
      <c r="D352" s="28" t="n">
        <v>11.45</v>
      </c>
      <c r="E352" s="23" t="inlineStr">
        <is>
          <t>Credit card</t>
        </is>
      </c>
      <c r="F352" s="23" t="n"/>
      <c r="G352" s="23" t="n"/>
      <c r="H352" s="29">
        <f>IF(C352="","",IFERROR(INDEX(Categories!$B$6:$B$65,MATCH(C352,Categories!$A$6:$A$65,0))&amp;"",""))</f>
        <v/>
      </c>
      <c r="I352" s="25">
        <f>IF(AND(A352="",C352="",D352=""),"",IF(A352="","Date missing",IF(NOT(ISNUMBER(A352)),"Date not recognized",IF(YEAR(A352)&lt;&gt;Settings!$C$4,"Not in "&amp;Settings!$C$4,IF(C352="","Category missing",IF(H352="",IF(COUNTIF(Categories!$A$6:$A$65,C352)&gt;0,"Category has no type","Category not in list"),IF(D352="","Amount missing",IF(NOT(ISNUMBER(D352)),"Amount is not a number",IF(F352="","",IF(ISNA(MATCH(F352,Lists!$G$2:$G$25,0)),"Goal / fund not in list",IF(H352="Income","Fund tag ignored on income","")))))))))))</f>
        <v/>
      </c>
    </row>
    <row r="353">
      <c r="A353" s="27" t="n">
        <v>46212</v>
      </c>
      <c r="B353" s="23" t="inlineStr">
        <is>
          <t>Pet food</t>
        </is>
      </c>
      <c r="C353" s="23" t="inlineStr">
        <is>
          <t>Pets</t>
        </is>
      </c>
      <c r="D353" s="28" t="n">
        <v>48.17</v>
      </c>
      <c r="E353" s="23" t="inlineStr">
        <is>
          <t>Debit card</t>
        </is>
      </c>
      <c r="F353" s="23" t="n"/>
      <c r="G353" s="23" t="n"/>
      <c r="H353" s="29">
        <f>IF(C353="","",IFERROR(INDEX(Categories!$B$6:$B$65,MATCH(C353,Categories!$A$6:$A$65,0))&amp;"",""))</f>
        <v/>
      </c>
      <c r="I353" s="25">
        <f>IF(AND(A353="",C353="",D353=""),"",IF(A353="","Date missing",IF(NOT(ISNUMBER(A353)),"Date not recognized",IF(YEAR(A353)&lt;&gt;Settings!$C$4,"Not in "&amp;Settings!$C$4,IF(C353="","Category missing",IF(H353="",IF(COUNTIF(Categories!$A$6:$A$65,C353)&gt;0,"Category has no type","Category not in list"),IF(D353="","Amount missing",IF(NOT(ISNUMBER(D353)),"Amount is not a number",IF(F353="","",IF(ISNA(MATCH(F353,Lists!$G$2:$G$25,0)),"Goal / fund not in list",IF(H353="Income","Fund tag ignored on income","")))))))))))</f>
        <v/>
      </c>
    </row>
    <row r="354">
      <c r="A354" s="27" t="n">
        <v>46213</v>
      </c>
      <c r="B354" s="23" t="inlineStr">
        <is>
          <t>Car loan payment</t>
        </is>
      </c>
      <c r="C354" s="23" t="inlineStr">
        <is>
          <t>Car payment</t>
        </is>
      </c>
      <c r="D354" s="28" t="n">
        <v>389</v>
      </c>
      <c r="E354" s="23" t="inlineStr">
        <is>
          <t>Checking</t>
        </is>
      </c>
      <c r="F354" s="23" t="n"/>
      <c r="G354" s="23" t="n"/>
      <c r="H354" s="29">
        <f>IF(C354="","",IFERROR(INDEX(Categories!$B$6:$B$65,MATCH(C354,Categories!$A$6:$A$65,0))&amp;"",""))</f>
        <v/>
      </c>
      <c r="I354" s="25">
        <f>IF(AND(A354="",C354="",D354=""),"",IF(A354="","Date missing",IF(NOT(ISNUMBER(A354)),"Date not recognized",IF(YEAR(A354)&lt;&gt;Settings!$C$4,"Not in "&amp;Settings!$C$4,IF(C354="","Category missing",IF(H354="",IF(COUNTIF(Categories!$A$6:$A$65,C354)&gt;0,"Category has no type","Category not in list"),IF(D354="","Amount missing",IF(NOT(ISNUMBER(D354)),"Amount is not a number",IF(F354="","",IF(ISNA(MATCH(F354,Lists!$G$2:$G$25,0)),"Goal / fund not in list",IF(H354="Income","Fund tag ignored on income","")))))))))))</f>
        <v/>
      </c>
    </row>
    <row r="355">
      <c r="A355" s="27" t="n">
        <v>46213</v>
      </c>
      <c r="B355" s="23" t="inlineStr">
        <is>
          <t>Supermarket</t>
        </is>
      </c>
      <c r="C355" s="23" t="inlineStr">
        <is>
          <t>Groceries</t>
        </is>
      </c>
      <c r="D355" s="28" t="n">
        <v>199.91</v>
      </c>
      <c r="E355" s="23" t="inlineStr">
        <is>
          <t>Debit card</t>
        </is>
      </c>
      <c r="F355" s="23" t="n"/>
      <c r="G355" s="23" t="n"/>
      <c r="H355" s="29">
        <f>IF(C355="","",IFERROR(INDEX(Categories!$B$6:$B$65,MATCH(C355,Categories!$A$6:$A$65,0))&amp;"",""))</f>
        <v/>
      </c>
      <c r="I355" s="25">
        <f>IF(AND(A355="",C355="",D355=""),"",IF(A355="","Date missing",IF(NOT(ISNUMBER(A355)),"Date not recognized",IF(YEAR(A355)&lt;&gt;Settings!$C$4,"Not in "&amp;Settings!$C$4,IF(C355="","Category missing",IF(H355="",IF(COUNTIF(Categories!$A$6:$A$65,C355)&gt;0,"Category has no type","Category not in list"),IF(D355="","Amount missing",IF(NOT(ISNUMBER(D355)),"Amount is not a number",IF(F355="","",IF(ISNA(MATCH(F355,Lists!$G$2:$G$25,0)),"Goal / fund not in list",IF(H355="Income","Fund tag ignored on income","")))))))))))</f>
        <v/>
      </c>
    </row>
    <row r="356">
      <c r="A356" s="27" t="n">
        <v>46213</v>
      </c>
      <c r="B356" s="23" t="inlineStr">
        <is>
          <t>Brunch</t>
        </is>
      </c>
      <c r="C356" s="23" t="inlineStr">
        <is>
          <t>Dining out</t>
        </is>
      </c>
      <c r="D356" s="28" t="n">
        <v>16.91</v>
      </c>
      <c r="E356" s="23" t="inlineStr">
        <is>
          <t>Credit card</t>
        </is>
      </c>
      <c r="F356" s="23" t="n"/>
      <c r="G356" s="23" t="n"/>
      <c r="H356" s="29">
        <f>IF(C356="","",IFERROR(INDEX(Categories!$B$6:$B$65,MATCH(C356,Categories!$A$6:$A$65,0))&amp;"",""))</f>
        <v/>
      </c>
      <c r="I356" s="25">
        <f>IF(AND(A356="",C356="",D356=""),"",IF(A356="","Date missing",IF(NOT(ISNUMBER(A356)),"Date not recognized",IF(YEAR(A356)&lt;&gt;Settings!$C$4,"Not in "&amp;Settings!$C$4,IF(C356="","Category missing",IF(H356="",IF(COUNTIF(Categories!$A$6:$A$65,C356)&gt;0,"Category has no type","Category not in list"),IF(D356="","Amount missing",IF(NOT(ISNUMBER(D356)),"Amount is not a number",IF(F356="","",IF(ISNA(MATCH(F356,Lists!$G$2:$G$25,0)),"Goal / fund not in list",IF(H356="Income","Fund tag ignored on income","")))))))))))</f>
        <v/>
      </c>
    </row>
    <row r="357">
      <c r="A357" s="27" t="n">
        <v>46215</v>
      </c>
      <c r="B357" s="23" t="inlineStr">
        <is>
          <t>Internet</t>
        </is>
      </c>
      <c r="C357" s="23" t="inlineStr">
        <is>
          <t>Internet &amp; Phone</t>
        </is>
      </c>
      <c r="D357" s="28" t="n">
        <v>65</v>
      </c>
      <c r="E357" s="23" t="inlineStr">
        <is>
          <t>Checking</t>
        </is>
      </c>
      <c r="F357" s="23" t="n"/>
      <c r="G357" s="23" t="n"/>
      <c r="H357" s="29">
        <f>IF(C357="","",IFERROR(INDEX(Categories!$B$6:$B$65,MATCH(C357,Categories!$A$6:$A$65,0))&amp;"",""))</f>
        <v/>
      </c>
      <c r="I357" s="25">
        <f>IF(AND(A357="",C357="",D357=""),"",IF(A357="","Date missing",IF(NOT(ISNUMBER(A357)),"Date not recognized",IF(YEAR(A357)&lt;&gt;Settings!$C$4,"Not in "&amp;Settings!$C$4,IF(C357="","Category missing",IF(H357="",IF(COUNTIF(Categories!$A$6:$A$65,C357)&gt;0,"Category has no type","Category not in list"),IF(D357="","Amount missing",IF(NOT(ISNUMBER(D357)),"Amount is not a number",IF(F357="","",IF(ISNA(MATCH(F357,Lists!$G$2:$G$25,0)),"Goal / fund not in list",IF(H357="Income","Fund tag ignored on income","")))))))))))</f>
        <v/>
      </c>
    </row>
    <row r="358">
      <c r="A358" s="27" t="n">
        <v>46215</v>
      </c>
      <c r="B358" s="23" t="inlineStr">
        <is>
          <t>Gas station</t>
        </is>
      </c>
      <c r="C358" s="23" t="inlineStr">
        <is>
          <t>Transport / Gas</t>
        </is>
      </c>
      <c r="D358" s="28" t="n">
        <v>55.57</v>
      </c>
      <c r="E358" s="23" t="inlineStr">
        <is>
          <t>Credit card</t>
        </is>
      </c>
      <c r="F358" s="23" t="n"/>
      <c r="G358" s="23" t="n"/>
      <c r="H358" s="29">
        <f>IF(C358="","",IFERROR(INDEX(Categories!$B$6:$B$65,MATCH(C358,Categories!$A$6:$A$65,0))&amp;"",""))</f>
        <v/>
      </c>
      <c r="I358" s="25">
        <f>IF(AND(A358="",C358="",D358=""),"",IF(A358="","Date missing",IF(NOT(ISNUMBER(A358)),"Date not recognized",IF(YEAR(A358)&lt;&gt;Settings!$C$4,"Not in "&amp;Settings!$C$4,IF(C358="","Category missing",IF(H358="",IF(COUNTIF(Categories!$A$6:$A$65,C358)&gt;0,"Category has no type","Category not in list"),IF(D358="","Amount missing",IF(NOT(ISNUMBER(D358)),"Amount is not a number",IF(F358="","",IF(ISNA(MATCH(F358,Lists!$G$2:$G$25,0)),"Goal / fund not in list",IF(H358="Income","Fund tag ignored on income","")))))))))))</f>
        <v/>
      </c>
    </row>
    <row r="359">
      <c r="A359" s="27" t="n">
        <v>46215</v>
      </c>
      <c r="B359" s="23" t="inlineStr">
        <is>
          <t>Office supplies</t>
        </is>
      </c>
      <c r="C359" s="23" t="inlineStr">
        <is>
          <t>Misc</t>
        </is>
      </c>
      <c r="D359" s="28" t="n">
        <v>35.28</v>
      </c>
      <c r="E359" s="23" t="inlineStr">
        <is>
          <t>Cash</t>
        </is>
      </c>
      <c r="F359" s="23" t="n"/>
      <c r="G359" s="23" t="n"/>
      <c r="H359" s="29">
        <f>IF(C359="","",IFERROR(INDEX(Categories!$B$6:$B$65,MATCH(C359,Categories!$A$6:$A$65,0))&amp;"",""))</f>
        <v/>
      </c>
      <c r="I359" s="25">
        <f>IF(AND(A359="",C359="",D359=""),"",IF(A359="","Date missing",IF(NOT(ISNUMBER(A359)),"Date not recognized",IF(YEAR(A359)&lt;&gt;Settings!$C$4,"Not in "&amp;Settings!$C$4,IF(C359="","Category missing",IF(H359="",IF(COUNTIF(Categories!$A$6:$A$65,C359)&gt;0,"Category has no type","Category not in list"),IF(D359="","Amount missing",IF(NOT(ISNUMBER(D359)),"Amount is not a number",IF(F359="","",IF(ISNA(MATCH(F359,Lists!$G$2:$G$25,0)),"Goal / fund not in list",IF(H359="Income","Fund tag ignored on income","")))))))))))</f>
        <v/>
      </c>
    </row>
    <row r="360">
      <c r="A360" s="27" t="n">
        <v>46216</v>
      </c>
      <c r="B360" s="23" t="inlineStr">
        <is>
          <t>Lunch out</t>
        </is>
      </c>
      <c r="C360" s="23" t="inlineStr">
        <is>
          <t>Dining out</t>
        </is>
      </c>
      <c r="D360" s="28" t="n">
        <v>65.83</v>
      </c>
      <c r="E360" s="23" t="inlineStr">
        <is>
          <t>Credit card</t>
        </is>
      </c>
      <c r="F360" s="23" t="n"/>
      <c r="G360" s="23" t="n"/>
      <c r="H360" s="29">
        <f>IF(C360="","",IFERROR(INDEX(Categories!$B$6:$B$65,MATCH(C360,Categories!$A$6:$A$65,0))&amp;"",""))</f>
        <v/>
      </c>
      <c r="I360" s="25">
        <f>IF(AND(A360="",C360="",D360=""),"",IF(A360="","Date missing",IF(NOT(ISNUMBER(A360)),"Date not recognized",IF(YEAR(A360)&lt;&gt;Settings!$C$4,"Not in "&amp;Settings!$C$4,IF(C360="","Category missing",IF(H360="",IF(COUNTIF(Categories!$A$6:$A$65,C360)&gt;0,"Category has no type","Category not in list"),IF(D360="","Amount missing",IF(NOT(ISNUMBER(D360)),"Amount is not a number",IF(F360="","",IF(ISNA(MATCH(F360,Lists!$G$2:$G$25,0)),"Goal / fund not in list",IF(H360="Income","Fund tag ignored on income","")))))))))))</f>
        <v/>
      </c>
    </row>
    <row r="361">
      <c r="A361" s="27" t="n">
        <v>46217</v>
      </c>
      <c r="B361" s="23" t="inlineStr">
        <is>
          <t>Phone plan</t>
        </is>
      </c>
      <c r="C361" s="23" t="inlineStr">
        <is>
          <t>Internet &amp; Phone</t>
        </is>
      </c>
      <c r="D361" s="28" t="n">
        <v>70</v>
      </c>
      <c r="E361" s="23" t="inlineStr">
        <is>
          <t>Credit card</t>
        </is>
      </c>
      <c r="F361" s="23" t="n"/>
      <c r="G361" s="23" t="n"/>
      <c r="H361" s="29">
        <f>IF(C361="","",IFERROR(INDEX(Categories!$B$6:$B$65,MATCH(C361,Categories!$A$6:$A$65,0))&amp;"",""))</f>
        <v/>
      </c>
      <c r="I361" s="25">
        <f>IF(AND(A361="",C361="",D361=""),"",IF(A361="","Date missing",IF(NOT(ISNUMBER(A361)),"Date not recognized",IF(YEAR(A361)&lt;&gt;Settings!$C$4,"Not in "&amp;Settings!$C$4,IF(C361="","Category missing",IF(H361="",IF(COUNTIF(Categories!$A$6:$A$65,C361)&gt;0,"Category has no type","Category not in list"),IF(D361="","Amount missing",IF(NOT(ISNUMBER(D361)),"Amount is not a number",IF(F361="","",IF(ISNA(MATCH(F361,Lists!$G$2:$G$25,0)),"Goal / fund not in list",IF(H361="Income","Fund tag ignored on income","")))))))))))</f>
        <v/>
      </c>
    </row>
    <row r="362">
      <c r="A362" s="27" t="n">
        <v>46218</v>
      </c>
      <c r="B362" s="23" t="inlineStr">
        <is>
          <t>Alex paycheck</t>
        </is>
      </c>
      <c r="C362" s="23" t="inlineStr">
        <is>
          <t>Paycheck 1</t>
        </is>
      </c>
      <c r="D362" s="28" t="n">
        <v>2100</v>
      </c>
      <c r="E362" s="23" t="inlineStr">
        <is>
          <t>Checking</t>
        </is>
      </c>
      <c r="F362" s="23" t="n"/>
      <c r="G362" s="23" t="n"/>
      <c r="H362" s="29">
        <f>IF(C362="","",IFERROR(INDEX(Categories!$B$6:$B$65,MATCH(C362,Categories!$A$6:$A$65,0))&amp;"",""))</f>
        <v/>
      </c>
      <c r="I362" s="25">
        <f>IF(AND(A362="",C362="",D362=""),"",IF(A362="","Date missing",IF(NOT(ISNUMBER(A362)),"Date not recognized",IF(YEAR(A362)&lt;&gt;Settings!$C$4,"Not in "&amp;Settings!$C$4,IF(C362="","Category missing",IF(H362="",IF(COUNTIF(Categories!$A$6:$A$65,C362)&gt;0,"Category has no type","Category not in list"),IF(D362="","Amount missing",IF(NOT(ISNUMBER(D362)),"Amount is not a number",IF(F362="","",IF(ISNA(MATCH(F362,Lists!$G$2:$G$25,0)),"Goal / fund not in list",IF(H362="Income","Fund tag ignored on income","")))))))))))</f>
        <v/>
      </c>
    </row>
    <row r="363">
      <c r="A363" s="27" t="n">
        <v>46219</v>
      </c>
      <c r="B363" s="23" t="inlineStr">
        <is>
          <t>Doctor copay</t>
        </is>
      </c>
      <c r="C363" s="23" t="inlineStr">
        <is>
          <t>Health</t>
        </is>
      </c>
      <c r="D363" s="28" t="n">
        <v>52.34</v>
      </c>
      <c r="E363" s="23" t="inlineStr">
        <is>
          <t>Debit card</t>
        </is>
      </c>
      <c r="F363" s="23" t="n"/>
      <c r="G363" s="23" t="n"/>
      <c r="H363" s="29">
        <f>IF(C363="","",IFERROR(INDEX(Categories!$B$6:$B$65,MATCH(C363,Categories!$A$6:$A$65,0))&amp;"",""))</f>
        <v/>
      </c>
      <c r="I363" s="25">
        <f>IF(AND(A363="",C363="",D363=""),"",IF(A363="","Date missing",IF(NOT(ISNUMBER(A363)),"Date not recognized",IF(YEAR(A363)&lt;&gt;Settings!$C$4,"Not in "&amp;Settings!$C$4,IF(C363="","Category missing",IF(H363="",IF(COUNTIF(Categories!$A$6:$A$65,C363)&gt;0,"Category has no type","Category not in list"),IF(D363="","Amount missing",IF(NOT(ISNUMBER(D363)),"Amount is not a number",IF(F363="","",IF(ISNA(MATCH(F363,Lists!$G$2:$G$25,0)),"Goal / fund not in list",IF(H363="Income","Fund tag ignored on income","")))))))))))</f>
        <v/>
      </c>
    </row>
    <row r="364">
      <c r="A364" s="27" t="n">
        <v>46220</v>
      </c>
      <c r="B364" s="23" t="inlineStr">
        <is>
          <t>Supermarket</t>
        </is>
      </c>
      <c r="C364" s="23" t="inlineStr">
        <is>
          <t>Groceries</t>
        </is>
      </c>
      <c r="D364" s="28" t="n">
        <v>165.47</v>
      </c>
      <c r="E364" s="23" t="inlineStr">
        <is>
          <t>Debit card</t>
        </is>
      </c>
      <c r="F364" s="23" t="n"/>
      <c r="G364" s="23" t="n"/>
      <c r="H364" s="29">
        <f>IF(C364="","",IFERROR(INDEX(Categories!$B$6:$B$65,MATCH(C364,Categories!$A$6:$A$65,0))&amp;"",""))</f>
        <v/>
      </c>
      <c r="I364" s="25">
        <f>IF(AND(A364="",C364="",D364=""),"",IF(A364="","Date missing",IF(NOT(ISNUMBER(A364)),"Date not recognized",IF(YEAR(A364)&lt;&gt;Settings!$C$4,"Not in "&amp;Settings!$C$4,IF(C364="","Category missing",IF(H364="",IF(COUNTIF(Categories!$A$6:$A$65,C364)&gt;0,"Category has no type","Category not in list"),IF(D364="","Amount missing",IF(NOT(ISNUMBER(D364)),"Amount is not a number",IF(F364="","",IF(ISNA(MATCH(F364,Lists!$G$2:$G$25,0)),"Goal / fund not in list",IF(H364="Income","Fund tag ignored on income","")))))))))))</f>
        <v/>
      </c>
    </row>
    <row r="365">
      <c r="A365" s="27" t="n">
        <v>46220</v>
      </c>
      <c r="B365" s="23" t="inlineStr">
        <is>
          <t>Dinner out</t>
        </is>
      </c>
      <c r="C365" s="23" t="inlineStr">
        <is>
          <t>Dining out</t>
        </is>
      </c>
      <c r="D365" s="28" t="n">
        <v>48.04</v>
      </c>
      <c r="E365" s="23" t="inlineStr">
        <is>
          <t>Credit card</t>
        </is>
      </c>
      <c r="F365" s="23" t="n"/>
      <c r="G365" s="23" t="n"/>
      <c r="H365" s="29">
        <f>IF(C365="","",IFERROR(INDEX(Categories!$B$6:$B$65,MATCH(C365,Categories!$A$6:$A$65,0))&amp;"",""))</f>
        <v/>
      </c>
      <c r="I365" s="25">
        <f>IF(AND(A365="",C365="",D365=""),"",IF(A365="","Date missing",IF(NOT(ISNUMBER(A365)),"Date not recognized",IF(YEAR(A365)&lt;&gt;Settings!$C$4,"Not in "&amp;Settings!$C$4,IF(C365="","Category missing",IF(H365="",IF(COUNTIF(Categories!$A$6:$A$65,C365)&gt;0,"Category has no type","Category not in list"),IF(D365="","Amount missing",IF(NOT(ISNUMBER(D365)),"Amount is not a number",IF(F365="","",IF(ISNA(MATCH(F365,Lists!$G$2:$G$25,0)),"Goal / fund not in list",IF(H365="Income","Fund tag ignored on income","")))))))))))</f>
        <v/>
      </c>
    </row>
    <row r="366">
      <c r="A366" s="27" t="n">
        <v>46220</v>
      </c>
      <c r="B366" s="23" t="inlineStr">
        <is>
          <t>Pizza night</t>
        </is>
      </c>
      <c r="C366" s="23" t="inlineStr">
        <is>
          <t>Dining out</t>
        </is>
      </c>
      <c r="D366" s="28" t="n">
        <v>14.05</v>
      </c>
      <c r="E366" s="23" t="inlineStr">
        <is>
          <t>Credit card</t>
        </is>
      </c>
      <c r="F366" s="23" t="n"/>
      <c r="G366" s="23" t="n"/>
      <c r="H366" s="29">
        <f>IF(C366="","",IFERROR(INDEX(Categories!$B$6:$B$65,MATCH(C366,Categories!$A$6:$A$65,0))&amp;"",""))</f>
        <v/>
      </c>
      <c r="I366" s="25">
        <f>IF(AND(A366="",C366="",D366=""),"",IF(A366="","Date missing",IF(NOT(ISNUMBER(A366)),"Date not recognized",IF(YEAR(A366)&lt;&gt;Settings!$C$4,"Not in "&amp;Settings!$C$4,IF(C366="","Category missing",IF(H366="",IF(COUNTIF(Categories!$A$6:$A$65,C366)&gt;0,"Category has no type","Category not in list"),IF(D366="","Amount missing",IF(NOT(ISNUMBER(D366)),"Amount is not a number",IF(F366="","",IF(ISNA(MATCH(F366,Lists!$G$2:$G$25,0)),"Goal / fund not in list",IF(H366="Income","Fund tag ignored on income","")))))))))))</f>
        <v/>
      </c>
    </row>
    <row r="367">
      <c r="A367" s="27" t="n">
        <v>46221</v>
      </c>
      <c r="B367" s="23" t="inlineStr">
        <is>
          <t>Electric bill</t>
        </is>
      </c>
      <c r="C367" s="23" t="inlineStr">
        <is>
          <t>Utilities</t>
        </is>
      </c>
      <c r="D367" s="28" t="n">
        <v>136.73</v>
      </c>
      <c r="E367" s="23" t="inlineStr">
        <is>
          <t>Checking</t>
        </is>
      </c>
      <c r="F367" s="23" t="n"/>
      <c r="G367" s="23" t="n"/>
      <c r="H367" s="29">
        <f>IF(C367="","",IFERROR(INDEX(Categories!$B$6:$B$65,MATCH(C367,Categories!$A$6:$A$65,0))&amp;"",""))</f>
        <v/>
      </c>
      <c r="I367" s="25">
        <f>IF(AND(A367="",C367="",D367=""),"",IF(A367="","Date missing",IF(NOT(ISNUMBER(A367)),"Date not recognized",IF(YEAR(A367)&lt;&gt;Settings!$C$4,"Not in "&amp;Settings!$C$4,IF(C367="","Category missing",IF(H367="",IF(COUNTIF(Categories!$A$6:$A$65,C367)&gt;0,"Category has no type","Category not in list"),IF(D367="","Amount missing",IF(NOT(ISNUMBER(D367)),"Amount is not a number",IF(F367="","",IF(ISNA(MATCH(F367,Lists!$G$2:$G$25,0)),"Goal / fund not in list",IF(H367="Income","Fund tag ignored on income","")))))))))))</f>
        <v/>
      </c>
    </row>
    <row r="368">
      <c r="A368" s="27" t="n">
        <v>46221</v>
      </c>
      <c r="B368" s="23" t="inlineStr">
        <is>
          <t>Concert</t>
        </is>
      </c>
      <c r="C368" s="23" t="inlineStr">
        <is>
          <t>Entertainment</t>
        </is>
      </c>
      <c r="D368" s="28" t="n">
        <v>39.58</v>
      </c>
      <c r="E368" s="23" t="inlineStr">
        <is>
          <t>Credit card</t>
        </is>
      </c>
      <c r="F368" s="23" t="n"/>
      <c r="G368" s="23" t="n"/>
      <c r="H368" s="29">
        <f>IF(C368="","",IFERROR(INDEX(Categories!$B$6:$B$65,MATCH(C368,Categories!$A$6:$A$65,0))&amp;"",""))</f>
        <v/>
      </c>
      <c r="I368" s="25">
        <f>IF(AND(A368="",C368="",D368=""),"",IF(A368="","Date missing",IF(NOT(ISNUMBER(A368)),"Date not recognized",IF(YEAR(A368)&lt;&gt;Settings!$C$4,"Not in "&amp;Settings!$C$4,IF(C368="","Category missing",IF(H368="",IF(COUNTIF(Categories!$A$6:$A$65,C368)&gt;0,"Category has no type","Category not in list"),IF(D368="","Amount missing",IF(NOT(ISNUMBER(D368)),"Amount is not a number",IF(F368="","",IF(ISNA(MATCH(F368,Lists!$G$2:$G$25,0)),"Goal / fund not in list",IF(H368="Income","Fund tag ignored on income","")))))))))))</f>
        <v/>
      </c>
    </row>
    <row r="369">
      <c r="A369" s="27" t="n">
        <v>46221</v>
      </c>
      <c r="B369" s="23" t="inlineStr">
        <is>
          <t>Rental car</t>
        </is>
      </c>
      <c r="C369" s="23" t="inlineStr">
        <is>
          <t>Travel</t>
        </is>
      </c>
      <c r="D369" s="28" t="n">
        <v>158</v>
      </c>
      <c r="E369" s="23" t="inlineStr">
        <is>
          <t>Credit card</t>
        </is>
      </c>
      <c r="F369" s="23" t="inlineStr">
        <is>
          <t>Summer vacation</t>
        </is>
      </c>
      <c r="G369" s="23" t="n"/>
      <c r="H369" s="29">
        <f>IF(C369="","",IFERROR(INDEX(Categories!$B$6:$B$65,MATCH(C369,Categories!$A$6:$A$65,0))&amp;"",""))</f>
        <v/>
      </c>
      <c r="I369" s="25">
        <f>IF(AND(A369="",C369="",D369=""),"",IF(A369="","Date missing",IF(NOT(ISNUMBER(A369)),"Date not recognized",IF(YEAR(A369)&lt;&gt;Settings!$C$4,"Not in "&amp;Settings!$C$4,IF(C369="","Category missing",IF(H369="",IF(COUNTIF(Categories!$A$6:$A$65,C369)&gt;0,"Category has no type","Category not in list"),IF(D369="","Amount missing",IF(NOT(ISNUMBER(D369)),"Amount is not a number",IF(F369="","",IF(ISNA(MATCH(F369,Lists!$G$2:$G$25,0)),"Goal / fund not in list",IF(H369="Income","Fund tag ignored on income","")))))))))))</f>
        <v/>
      </c>
    </row>
    <row r="370">
      <c r="A370" s="27" t="n">
        <v>46222</v>
      </c>
      <c r="B370" s="23" t="inlineStr">
        <is>
          <t>Dinner out</t>
        </is>
      </c>
      <c r="C370" s="23" t="inlineStr">
        <is>
          <t>Dining out</t>
        </is>
      </c>
      <c r="D370" s="28" t="n">
        <v>55.45</v>
      </c>
      <c r="E370" s="23" t="inlineStr">
        <is>
          <t>Credit card</t>
        </is>
      </c>
      <c r="F370" s="23" t="n"/>
      <c r="G370" s="23" t="n"/>
      <c r="H370" s="29">
        <f>IF(C370="","",IFERROR(INDEX(Categories!$B$6:$B$65,MATCH(C370,Categories!$A$6:$A$65,0))&amp;"",""))</f>
        <v/>
      </c>
      <c r="I370" s="25">
        <f>IF(AND(A370="",C370="",D370=""),"",IF(A370="","Date missing",IF(NOT(ISNUMBER(A370)),"Date not recognized",IF(YEAR(A370)&lt;&gt;Settings!$C$4,"Not in "&amp;Settings!$C$4,IF(C370="","Category missing",IF(H370="",IF(COUNTIF(Categories!$A$6:$A$65,C370)&gt;0,"Category has no type","Category not in list"),IF(D370="","Amount missing",IF(NOT(ISNUMBER(D370)),"Amount is not a number",IF(F370="","",IF(ISNA(MATCH(F370,Lists!$G$2:$G$25,0)),"Goal / fund not in list",IF(H370="Income","Fund tag ignored on income","")))))))))))</f>
        <v/>
      </c>
    </row>
    <row r="371">
      <c r="A371" s="27" t="n">
        <v>46223</v>
      </c>
      <c r="B371" s="23" t="inlineStr">
        <is>
          <t>Gas bill</t>
        </is>
      </c>
      <c r="C371" s="23" t="inlineStr">
        <is>
          <t>Utilities</t>
        </is>
      </c>
      <c r="D371" s="28" t="n">
        <v>31.45</v>
      </c>
      <c r="E371" s="23" t="inlineStr">
        <is>
          <t>Checking</t>
        </is>
      </c>
      <c r="F371" s="23" t="n"/>
      <c r="G371" s="23" t="n"/>
      <c r="H371" s="29">
        <f>IF(C371="","",IFERROR(INDEX(Categories!$B$6:$B$65,MATCH(C371,Categories!$A$6:$A$65,0))&amp;"",""))</f>
        <v/>
      </c>
      <c r="I371" s="25">
        <f>IF(AND(A371="",C371="",D371=""),"",IF(A371="","Date missing",IF(NOT(ISNUMBER(A371)),"Date not recognized",IF(YEAR(A371)&lt;&gt;Settings!$C$4,"Not in "&amp;Settings!$C$4,IF(C371="","Category missing",IF(H371="",IF(COUNTIF(Categories!$A$6:$A$65,C371)&gt;0,"Category has no type","Category not in list"),IF(D371="","Amount missing",IF(NOT(ISNUMBER(D371)),"Amount is not a number",IF(F371="","",IF(ISNA(MATCH(F371,Lists!$G$2:$G$25,0)),"Goal / fund not in list",IF(H371="Income","Fund tag ignored on income","")))))))))))</f>
        <v/>
      </c>
    </row>
    <row r="372">
      <c r="A372" s="27" t="n">
        <v>46223</v>
      </c>
      <c r="B372" s="23" t="inlineStr">
        <is>
          <t>Gas station</t>
        </is>
      </c>
      <c r="C372" s="23" t="inlineStr">
        <is>
          <t>Transport / Gas</t>
        </is>
      </c>
      <c r="D372" s="28" t="n">
        <v>49.34</v>
      </c>
      <c r="E372" s="23" t="inlineStr">
        <is>
          <t>Credit card</t>
        </is>
      </c>
      <c r="F372" s="23" t="n"/>
      <c r="G372" s="23" t="n"/>
      <c r="H372" s="29">
        <f>IF(C372="","",IFERROR(INDEX(Categories!$B$6:$B$65,MATCH(C372,Categories!$A$6:$A$65,0))&amp;"",""))</f>
        <v/>
      </c>
      <c r="I372" s="25">
        <f>IF(AND(A372="",C372="",D372=""),"",IF(A372="","Date missing",IF(NOT(ISNUMBER(A372)),"Date not recognized",IF(YEAR(A372)&lt;&gt;Settings!$C$4,"Not in "&amp;Settings!$C$4,IF(C372="","Category missing",IF(H372="",IF(COUNTIF(Categories!$A$6:$A$65,C372)&gt;0,"Category has no type","Category not in list"),IF(D372="","Amount missing",IF(NOT(ISNUMBER(D372)),"Amount is not a number",IF(F372="","",IF(ISNA(MATCH(F372,Lists!$G$2:$G$25,0)),"Goal / fund not in list",IF(H372="Income","Fund tag ignored on income","")))))))))))</f>
        <v/>
      </c>
    </row>
    <row r="373">
      <c r="A373" s="27" t="n">
        <v>46223</v>
      </c>
      <c r="B373" s="23" t="inlineStr">
        <is>
          <t>Credit card payment + extra</t>
        </is>
      </c>
      <c r="C373" s="23" t="inlineStr">
        <is>
          <t>Debt payments</t>
        </is>
      </c>
      <c r="D373" s="28" t="n">
        <v>260</v>
      </c>
      <c r="E373" s="23" t="inlineStr">
        <is>
          <t>Checking</t>
        </is>
      </c>
      <c r="F373" s="23" t="n"/>
      <c r="G373" s="23" t="n"/>
      <c r="H373" s="29">
        <f>IF(C373="","",IFERROR(INDEX(Categories!$B$6:$B$65,MATCH(C373,Categories!$A$6:$A$65,0))&amp;"",""))</f>
        <v/>
      </c>
      <c r="I373" s="25">
        <f>IF(AND(A373="",C373="",D373=""),"",IF(A373="","Date missing",IF(NOT(ISNUMBER(A373)),"Date not recognized",IF(YEAR(A373)&lt;&gt;Settings!$C$4,"Not in "&amp;Settings!$C$4,IF(C373="","Category missing",IF(H373="",IF(COUNTIF(Categories!$A$6:$A$65,C373)&gt;0,"Category has no type","Category not in list"),IF(D373="","Amount missing",IF(NOT(ISNUMBER(D373)),"Amount is not a number",IF(F373="","",IF(ISNA(MATCH(F373,Lists!$G$2:$G$25,0)),"Goal / fund not in list",IF(H373="Income","Fund tag ignored on income","")))))))))))</f>
        <v/>
      </c>
    </row>
    <row r="374">
      <c r="A374" s="27" t="n">
        <v>46223</v>
      </c>
      <c r="B374" s="23" t="inlineStr">
        <is>
          <t>Medical bill installment</t>
        </is>
      </c>
      <c r="C374" s="23" t="inlineStr">
        <is>
          <t>Debt payments</t>
        </is>
      </c>
      <c r="D374" s="28" t="n">
        <v>40</v>
      </c>
      <c r="E374" s="23" t="inlineStr">
        <is>
          <t>Checking</t>
        </is>
      </c>
      <c r="F374" s="23" t="n"/>
      <c r="G374" s="23" t="n"/>
      <c r="H374" s="29">
        <f>IF(C374="","",IFERROR(INDEX(Categories!$B$6:$B$65,MATCH(C374,Categories!$A$6:$A$65,0))&amp;"",""))</f>
        <v/>
      </c>
      <c r="I374" s="25">
        <f>IF(AND(A374="",C374="",D374=""),"",IF(A374="","Date missing",IF(NOT(ISNUMBER(A374)),"Date not recognized",IF(YEAR(A374)&lt;&gt;Settings!$C$4,"Not in "&amp;Settings!$C$4,IF(C374="","Category missing",IF(H374="",IF(COUNTIF(Categories!$A$6:$A$65,C374)&gt;0,"Category has no type","Category not in list"),IF(D374="","Amount missing",IF(NOT(ISNUMBER(D374)),"Amount is not a number",IF(F374="","",IF(ISNA(MATCH(F374,Lists!$G$2:$G$25,0)),"Goal / fund not in list",IF(H374="Income","Fund tag ignored on income","")))))))))))</f>
        <v/>
      </c>
    </row>
    <row r="375">
      <c r="A375" s="27" t="n">
        <v>46224</v>
      </c>
      <c r="B375" s="23" t="inlineStr">
        <is>
          <t>Personal loan payment</t>
        </is>
      </c>
      <c r="C375" s="23" t="inlineStr">
        <is>
          <t>Debt payments</t>
        </is>
      </c>
      <c r="D375" s="28" t="n">
        <v>210</v>
      </c>
      <c r="E375" s="23" t="inlineStr">
        <is>
          <t>Checking</t>
        </is>
      </c>
      <c r="F375" s="23" t="n"/>
      <c r="G375" s="23" t="n"/>
      <c r="H375" s="29">
        <f>IF(C375="","",IFERROR(INDEX(Categories!$B$6:$B$65,MATCH(C375,Categories!$A$6:$A$65,0))&amp;"",""))</f>
        <v/>
      </c>
      <c r="I375" s="25">
        <f>IF(AND(A375="",C375="",D375=""),"",IF(A375="","Date missing",IF(NOT(ISNUMBER(A375)),"Date not recognized",IF(YEAR(A375)&lt;&gt;Settings!$C$4,"Not in "&amp;Settings!$C$4,IF(C375="","Category missing",IF(H375="",IF(COUNTIF(Categories!$A$6:$A$65,C375)&gt;0,"Category has no type","Category not in list"),IF(D375="","Amount missing",IF(NOT(ISNUMBER(D375)),"Amount is not a number",IF(F375="","",IF(ISNA(MATCH(F375,Lists!$G$2:$G$25,0)),"Goal / fund not in list",IF(H375="Income","Fund tag ignored on income","")))))))))))</f>
        <v/>
      </c>
    </row>
    <row r="376">
      <c r="A376" s="27" t="n">
        <v>46225</v>
      </c>
      <c r="B376" s="23" t="inlineStr">
        <is>
          <t>Water &amp; trash</t>
        </is>
      </c>
      <c r="C376" s="23" t="inlineStr">
        <is>
          <t>Utilities</t>
        </is>
      </c>
      <c r="D376" s="28" t="n">
        <v>54.3</v>
      </c>
      <c r="E376" s="23" t="inlineStr">
        <is>
          <t>Checking</t>
        </is>
      </c>
      <c r="F376" s="23" t="n"/>
      <c r="G376" s="23" t="n"/>
      <c r="H376" s="29">
        <f>IF(C376="","",IFERROR(INDEX(Categories!$B$6:$B$65,MATCH(C376,Categories!$A$6:$A$65,0))&amp;"",""))</f>
        <v/>
      </c>
      <c r="I376" s="25">
        <f>IF(AND(A376="",C376="",D376=""),"",IF(A376="","Date missing",IF(NOT(ISNUMBER(A376)),"Date not recognized",IF(YEAR(A376)&lt;&gt;Settings!$C$4,"Not in "&amp;Settings!$C$4,IF(C376="","Category missing",IF(H376="",IF(COUNTIF(Categories!$A$6:$A$65,C376)&gt;0,"Category has no type","Category not in list"),IF(D376="","Amount missing",IF(NOT(ISNUMBER(D376)),"Amount is not a number",IF(F376="","",IF(ISNA(MATCH(F376,Lists!$G$2:$G$25,0)),"Goal / fund not in list",IF(H376="Income","Fund tag ignored on income","")))))))))))</f>
        <v/>
      </c>
    </row>
    <row r="377">
      <c r="A377" s="27" t="n">
        <v>46225</v>
      </c>
      <c r="B377" s="23" t="inlineStr">
        <is>
          <t>Movie tickets</t>
        </is>
      </c>
      <c r="C377" s="23" t="inlineStr">
        <is>
          <t>Entertainment</t>
        </is>
      </c>
      <c r="D377" s="28" t="n">
        <v>50.73</v>
      </c>
      <c r="E377" s="23" t="inlineStr">
        <is>
          <t>Credit card</t>
        </is>
      </c>
      <c r="F377" s="23" t="n"/>
      <c r="G377" s="23" t="n"/>
      <c r="H377" s="29">
        <f>IF(C377="","",IFERROR(INDEX(Categories!$B$6:$B$65,MATCH(C377,Categories!$A$6:$A$65,0))&amp;"",""))</f>
        <v/>
      </c>
      <c r="I377" s="25">
        <f>IF(AND(A377="",C377="",D377=""),"",IF(A377="","Date missing",IF(NOT(ISNUMBER(A377)),"Date not recognized",IF(YEAR(A377)&lt;&gt;Settings!$C$4,"Not in "&amp;Settings!$C$4,IF(C377="","Category missing",IF(H377="",IF(COUNTIF(Categories!$A$6:$A$65,C377)&gt;0,"Category has no type","Category not in list"),IF(D377="","Amount missing",IF(NOT(ISNUMBER(D377)),"Amount is not a number",IF(F377="","",IF(ISNA(MATCH(F377,Lists!$G$2:$G$25,0)),"Goal / fund not in list",IF(H377="Income","Fund tag ignored on income","")))))))))))</f>
        <v/>
      </c>
    </row>
    <row r="378">
      <c r="A378" s="27" t="n">
        <v>46227</v>
      </c>
      <c r="B378" s="23" t="inlineStr">
        <is>
          <t>Farmers market</t>
        </is>
      </c>
      <c r="C378" s="23" t="inlineStr">
        <is>
          <t>Groceries</t>
        </is>
      </c>
      <c r="D378" s="28" t="n">
        <v>168.37</v>
      </c>
      <c r="E378" s="23" t="inlineStr">
        <is>
          <t>Debit card</t>
        </is>
      </c>
      <c r="F378" s="23" t="n"/>
      <c r="G378" s="23" t="n"/>
      <c r="H378" s="29">
        <f>IF(C378="","",IFERROR(INDEX(Categories!$B$6:$B$65,MATCH(C378,Categories!$A$6:$A$65,0))&amp;"",""))</f>
        <v/>
      </c>
      <c r="I378" s="25">
        <f>IF(AND(A378="",C378="",D378=""),"",IF(A378="","Date missing",IF(NOT(ISNUMBER(A378)),"Date not recognized",IF(YEAR(A378)&lt;&gt;Settings!$C$4,"Not in "&amp;Settings!$C$4,IF(C378="","Category missing",IF(H378="",IF(COUNTIF(Categories!$A$6:$A$65,C378)&gt;0,"Category has no type","Category not in list"),IF(D378="","Amount missing",IF(NOT(ISNUMBER(D378)),"Amount is not a number",IF(F378="","",IF(ISNA(MATCH(F378,Lists!$G$2:$G$25,0)),"Goal / fund not in list",IF(H378="Income","Fund tag ignored on income","")))))))))))</f>
        <v/>
      </c>
    </row>
    <row r="379">
      <c r="A379" s="27" t="n">
        <v>46227</v>
      </c>
      <c r="B379" s="23" t="inlineStr">
        <is>
          <t>Takeout</t>
        </is>
      </c>
      <c r="C379" s="23" t="inlineStr">
        <is>
          <t>Dining out</t>
        </is>
      </c>
      <c r="D379" s="28" t="n">
        <v>28.68</v>
      </c>
      <c r="E379" s="23" t="inlineStr">
        <is>
          <t>Credit card</t>
        </is>
      </c>
      <c r="F379" s="23" t="n"/>
      <c r="G379" s="23" t="n"/>
      <c r="H379" s="29">
        <f>IF(C379="","",IFERROR(INDEX(Categories!$B$6:$B$65,MATCH(C379,Categories!$A$6:$A$65,0))&amp;"",""))</f>
        <v/>
      </c>
      <c r="I379" s="25">
        <f>IF(AND(A379="",C379="",D379=""),"",IF(A379="","Date missing",IF(NOT(ISNUMBER(A379)),"Date not recognized",IF(YEAR(A379)&lt;&gt;Settings!$C$4,"Not in "&amp;Settings!$C$4,IF(C379="","Category missing",IF(H379="",IF(COUNTIF(Categories!$A$6:$A$65,C379)&gt;0,"Category has no type","Category not in list"),IF(D379="","Amount missing",IF(NOT(ISNUMBER(D379)),"Amount is not a number",IF(F379="","",IF(ISNA(MATCH(F379,Lists!$G$2:$G$25,0)),"Goal / fund not in list",IF(H379="Income","Fund tag ignored on income","")))))))))))</f>
        <v/>
      </c>
    </row>
    <row r="380">
      <c r="A380" s="27" t="n">
        <v>46227</v>
      </c>
      <c r="B380" s="23" t="inlineStr">
        <is>
          <t>Swim lessons</t>
        </is>
      </c>
      <c r="C380" s="23" t="inlineStr">
        <is>
          <t>Kids</t>
        </is>
      </c>
      <c r="D380" s="28" t="n">
        <v>41.68</v>
      </c>
      <c r="E380" s="23" t="inlineStr">
        <is>
          <t>Debit card</t>
        </is>
      </c>
      <c r="F380" s="23" t="n"/>
      <c r="G380" s="23" t="n"/>
      <c r="H380" s="29">
        <f>IF(C380="","",IFERROR(INDEX(Categories!$B$6:$B$65,MATCH(C380,Categories!$A$6:$A$65,0))&amp;"",""))</f>
        <v/>
      </c>
      <c r="I380" s="25">
        <f>IF(AND(A380="",C380="",D380=""),"",IF(A380="","Date missing",IF(NOT(ISNUMBER(A380)),"Date not recognized",IF(YEAR(A380)&lt;&gt;Settings!$C$4,"Not in "&amp;Settings!$C$4,IF(C380="","Category missing",IF(H380="",IF(COUNTIF(Categories!$A$6:$A$65,C380)&gt;0,"Category has no type","Category not in list"),IF(D380="","Amount missing",IF(NOT(ISNUMBER(D380)),"Amount is not a number",IF(F380="","",IF(ISNA(MATCH(F380,Lists!$G$2:$G$25,0)),"Goal / fund not in list",IF(H380="Income","Fund tag ignored on income","")))))))))))</f>
        <v/>
      </c>
    </row>
    <row r="381">
      <c r="A381" s="27" t="n">
        <v>46227</v>
      </c>
      <c r="B381" s="23" t="inlineStr">
        <is>
          <t>Hardware store</t>
        </is>
      </c>
      <c r="C381" s="23" t="inlineStr">
        <is>
          <t>Home &amp; repairs</t>
        </is>
      </c>
      <c r="D381" s="28" t="n">
        <v>47.35</v>
      </c>
      <c r="E381" s="23" t="inlineStr">
        <is>
          <t>Debit card</t>
        </is>
      </c>
      <c r="F381" s="23" t="n"/>
      <c r="G381" s="23" t="n"/>
      <c r="H381" s="29">
        <f>IF(C381="","",IFERROR(INDEX(Categories!$B$6:$B$65,MATCH(C381,Categories!$A$6:$A$65,0))&amp;"",""))</f>
        <v/>
      </c>
      <c r="I381" s="25">
        <f>IF(AND(A381="",C381="",D381=""),"",IF(A381="","Date missing",IF(NOT(ISNUMBER(A381)),"Date not recognized",IF(YEAR(A381)&lt;&gt;Settings!$C$4,"Not in "&amp;Settings!$C$4,IF(C381="","Category missing",IF(H381="",IF(COUNTIF(Categories!$A$6:$A$65,C381)&gt;0,"Category has no type","Category not in list"),IF(D381="","Amount missing",IF(NOT(ISNUMBER(D381)),"Amount is not a number",IF(F381="","",IF(ISNA(MATCH(F381,Lists!$G$2:$G$25,0)),"Goal / fund not in list",IF(H381="Income","Fund tag ignored on income","")))))))))))</f>
        <v/>
      </c>
    </row>
    <row r="382">
      <c r="A382" s="27" t="n">
        <v>46228</v>
      </c>
      <c r="B382" s="23" t="inlineStr">
        <is>
          <t>Dentist copay</t>
        </is>
      </c>
      <c r="C382" s="23" t="inlineStr">
        <is>
          <t>Health</t>
        </is>
      </c>
      <c r="D382" s="28" t="n">
        <v>32.94</v>
      </c>
      <c r="E382" s="23" t="inlineStr">
        <is>
          <t>Debit card</t>
        </is>
      </c>
      <c r="F382" s="23" t="n"/>
      <c r="G382" s="23" t="n"/>
      <c r="H382" s="29">
        <f>IF(C382="","",IFERROR(INDEX(Categories!$B$6:$B$65,MATCH(C382,Categories!$A$6:$A$65,0))&amp;"",""))</f>
        <v/>
      </c>
      <c r="I382" s="25">
        <f>IF(AND(A382="",C382="",D382=""),"",IF(A382="","Date missing",IF(NOT(ISNUMBER(A382)),"Date not recognized",IF(YEAR(A382)&lt;&gt;Settings!$C$4,"Not in "&amp;Settings!$C$4,IF(C382="","Category missing",IF(H382="",IF(COUNTIF(Categories!$A$6:$A$65,C382)&gt;0,"Category has no type","Category not in list"),IF(D382="","Amount missing",IF(NOT(ISNUMBER(D382)),"Amount is not a number",IF(F382="","",IF(ISNA(MATCH(F382,Lists!$G$2:$G$25,0)),"Goal / fund not in list",IF(H382="Income","Fund tag ignored on income","")))))))))))</f>
        <v/>
      </c>
    </row>
    <row r="383">
      <c r="A383" s="27" t="n">
        <v>46228</v>
      </c>
      <c r="B383" s="23" t="inlineStr">
        <is>
          <t>Student loan payment</t>
        </is>
      </c>
      <c r="C383" s="23" t="inlineStr">
        <is>
          <t>Debt payments</t>
        </is>
      </c>
      <c r="D383" s="28" t="n">
        <v>165</v>
      </c>
      <c r="E383" s="23" t="inlineStr">
        <is>
          <t>Checking</t>
        </is>
      </c>
      <c r="F383" s="23" t="n"/>
      <c r="G383" s="23" t="n"/>
      <c r="H383" s="29">
        <f>IF(C383="","",IFERROR(INDEX(Categories!$B$6:$B$65,MATCH(C383,Categories!$A$6:$A$65,0))&amp;"",""))</f>
        <v/>
      </c>
      <c r="I383" s="25">
        <f>IF(AND(A383="",C383="",D383=""),"",IF(A383="","Date missing",IF(NOT(ISNUMBER(A383)),"Date not recognized",IF(YEAR(A383)&lt;&gt;Settings!$C$4,"Not in "&amp;Settings!$C$4,IF(C383="","Category missing",IF(H383="",IF(COUNTIF(Categories!$A$6:$A$65,C383)&gt;0,"Category has no type","Category not in list"),IF(D383="","Amount missing",IF(NOT(ISNUMBER(D383)),"Amount is not a number",IF(F383="","",IF(ISNA(MATCH(F383,Lists!$G$2:$G$25,0)),"Goal / fund not in list",IF(H383="Income","Fund tag ignored on income","")))))))))))</f>
        <v/>
      </c>
    </row>
    <row r="384">
      <c r="A384" s="27" t="n">
        <v>46230</v>
      </c>
      <c r="B384" s="23" t="inlineStr">
        <is>
          <t>Gas station</t>
        </is>
      </c>
      <c r="C384" s="23" t="inlineStr">
        <is>
          <t>Transport / Gas</t>
        </is>
      </c>
      <c r="D384" s="28" t="n">
        <v>53.25</v>
      </c>
      <c r="E384" s="23" t="inlineStr">
        <is>
          <t>Credit card</t>
        </is>
      </c>
      <c r="F384" s="23" t="n"/>
      <c r="G384" s="23" t="n"/>
      <c r="H384" s="29">
        <f>IF(C384="","",IFERROR(INDEX(Categories!$B$6:$B$65,MATCH(C384,Categories!$A$6:$A$65,0))&amp;"",""))</f>
        <v/>
      </c>
      <c r="I384" s="25">
        <f>IF(AND(A384="",C384="",D384=""),"",IF(A384="","Date missing",IF(NOT(ISNUMBER(A384)),"Date not recognized",IF(YEAR(A384)&lt;&gt;Settings!$C$4,"Not in "&amp;Settings!$C$4,IF(C384="","Category missing",IF(H384="",IF(COUNTIF(Categories!$A$6:$A$65,C384)&gt;0,"Category has no type","Category not in list"),IF(D384="","Amount missing",IF(NOT(ISNUMBER(D384)),"Amount is not a number",IF(F384="","",IF(ISNA(MATCH(F384,Lists!$G$2:$G$25,0)),"Goal / fund not in list",IF(H384="Income","Fund tag ignored on income","")))))))))))</f>
        <v/>
      </c>
    </row>
    <row r="385">
      <c r="A385" s="27" t="n">
        <v>46231</v>
      </c>
      <c r="B385" s="23" t="inlineStr">
        <is>
          <t>Sam paycheck</t>
        </is>
      </c>
      <c r="C385" s="23" t="inlineStr">
        <is>
          <t>Paycheck 2</t>
        </is>
      </c>
      <c r="D385" s="28" t="n">
        <v>2950</v>
      </c>
      <c r="E385" s="23" t="inlineStr">
        <is>
          <t>Checking</t>
        </is>
      </c>
      <c r="F385" s="23" t="n"/>
      <c r="G385" s="23" t="n"/>
      <c r="H385" s="29">
        <f>IF(C385="","",IFERROR(INDEX(Categories!$B$6:$B$65,MATCH(C385,Categories!$A$6:$A$65,0))&amp;"",""))</f>
        <v/>
      </c>
      <c r="I385" s="25">
        <f>IF(AND(A385="",C385="",D385=""),"",IF(A385="","Date missing",IF(NOT(ISNUMBER(A385)),"Date not recognized",IF(YEAR(A385)&lt;&gt;Settings!$C$4,"Not in "&amp;Settings!$C$4,IF(C385="","Category missing",IF(H385="",IF(COUNTIF(Categories!$A$6:$A$65,C385)&gt;0,"Category has no type","Category not in list"),IF(D385="","Amount missing",IF(NOT(ISNUMBER(D385)),"Amount is not a number",IF(F385="","",IF(ISNA(MATCH(F385,Lists!$G$2:$G$25,0)),"Goal / fund not in list",IF(H385="Income","Fund tag ignored on income","")))))))))))</f>
        <v/>
      </c>
    </row>
    <row r="386">
      <c r="A386" s="27" t="n">
        <v>46235</v>
      </c>
      <c r="B386" s="23" t="inlineStr">
        <is>
          <t>Alex paycheck</t>
        </is>
      </c>
      <c r="C386" s="23" t="inlineStr">
        <is>
          <t>Paycheck 1</t>
        </is>
      </c>
      <c r="D386" s="28" t="n">
        <v>2100</v>
      </c>
      <c r="E386" s="23" t="inlineStr">
        <is>
          <t>Checking</t>
        </is>
      </c>
      <c r="F386" s="23" t="n"/>
      <c r="G386" s="23" t="n"/>
      <c r="H386" s="29">
        <f>IF(C386="","",IFERROR(INDEX(Categories!$B$6:$B$65,MATCH(C386,Categories!$A$6:$A$65,0))&amp;"",""))</f>
        <v/>
      </c>
      <c r="I386" s="25">
        <f>IF(AND(A386="",C386="",D386=""),"",IF(A386="","Date missing",IF(NOT(ISNUMBER(A386)),"Date not recognized",IF(YEAR(A386)&lt;&gt;Settings!$C$4,"Not in "&amp;Settings!$C$4,IF(C386="","Category missing",IF(H386="",IF(COUNTIF(Categories!$A$6:$A$65,C386)&gt;0,"Category has no type","Category not in list"),IF(D386="","Amount missing",IF(NOT(ISNUMBER(D386)),"Amount is not a number",IF(F386="","",IF(ISNA(MATCH(F386,Lists!$G$2:$G$25,0)),"Goal / fund not in list",IF(H386="Income","Fund tag ignored on income","")))))))))))</f>
        <v/>
      </c>
    </row>
    <row r="387">
      <c r="A387" s="27" t="n">
        <v>46235</v>
      </c>
      <c r="B387" s="23" t="inlineStr">
        <is>
          <t>Rent</t>
        </is>
      </c>
      <c r="C387" s="23" t="inlineStr">
        <is>
          <t>Rent / Mortgage</t>
        </is>
      </c>
      <c r="D387" s="28" t="n">
        <v>1850</v>
      </c>
      <c r="E387" s="23" t="inlineStr">
        <is>
          <t>Checking</t>
        </is>
      </c>
      <c r="F387" s="23" t="n"/>
      <c r="G387" s="23" t="n"/>
      <c r="H387" s="29">
        <f>IF(C387="","",IFERROR(INDEX(Categories!$B$6:$B$65,MATCH(C387,Categories!$A$6:$A$65,0))&amp;"",""))</f>
        <v/>
      </c>
      <c r="I387" s="25">
        <f>IF(AND(A387="",C387="",D387=""),"",IF(A387="","Date missing",IF(NOT(ISNUMBER(A387)),"Date not recognized",IF(YEAR(A387)&lt;&gt;Settings!$C$4,"Not in "&amp;Settings!$C$4,IF(C387="","Category missing",IF(H387="",IF(COUNTIF(Categories!$A$6:$A$65,C387)&gt;0,"Category has no type","Category not in list"),IF(D387="","Amount missing",IF(NOT(ISNUMBER(D387)),"Amount is not a number",IF(F387="","",IF(ISNA(MATCH(F387,Lists!$G$2:$G$25,0)),"Goal / fund not in list",IF(H387="Income","Fund tag ignored on income","")))))))))))</f>
        <v/>
      </c>
    </row>
    <row r="388">
      <c r="A388" s="27" t="n">
        <v>46235</v>
      </c>
      <c r="B388" s="23" t="inlineStr">
        <is>
          <t>Summer camp</t>
        </is>
      </c>
      <c r="C388" s="23" t="inlineStr">
        <is>
          <t>Kids</t>
        </is>
      </c>
      <c r="D388" s="28" t="n">
        <v>430</v>
      </c>
      <c r="E388" s="23" t="inlineStr">
        <is>
          <t>Checking</t>
        </is>
      </c>
      <c r="F388" s="23" t="n"/>
      <c r="G388" s="23" t="n"/>
      <c r="H388" s="29">
        <f>IF(C388="","",IFERROR(INDEX(Categories!$B$6:$B$65,MATCH(C388,Categories!$A$6:$A$65,0))&amp;"",""))</f>
        <v/>
      </c>
      <c r="I388" s="25">
        <f>IF(AND(A388="",C388="",D388=""),"",IF(A388="","Date missing",IF(NOT(ISNUMBER(A388)),"Date not recognized",IF(YEAR(A388)&lt;&gt;Settings!$C$4,"Not in "&amp;Settings!$C$4,IF(C388="","Category missing",IF(H388="",IF(COUNTIF(Categories!$A$6:$A$65,C388)&gt;0,"Category has no type","Category not in list"),IF(D388="","Amount missing",IF(NOT(ISNUMBER(D388)),"Amount is not a number",IF(F388="","",IF(ISNA(MATCH(F388,Lists!$G$2:$G$25,0)),"Goal / fund not in list",IF(H388="Income","Fund tag ignored on income","")))))))))))</f>
        <v/>
      </c>
    </row>
    <row r="389">
      <c r="A389" s="27" t="n">
        <v>46236</v>
      </c>
      <c r="B389" s="23" t="inlineStr">
        <is>
          <t>Gym membership</t>
        </is>
      </c>
      <c r="C389" s="23" t="inlineStr">
        <is>
          <t>Subscriptions</t>
        </is>
      </c>
      <c r="D389" s="28" t="n">
        <v>45</v>
      </c>
      <c r="E389" s="23" t="inlineStr">
        <is>
          <t>Checking</t>
        </is>
      </c>
      <c r="F389" s="23" t="n"/>
      <c r="G389" s="23" t="n"/>
      <c r="H389" s="29">
        <f>IF(C389="","",IFERROR(INDEX(Categories!$B$6:$B$65,MATCH(C389,Categories!$A$6:$A$65,0))&amp;"",""))</f>
        <v/>
      </c>
      <c r="I389" s="25">
        <f>IF(AND(A389="",C389="",D389=""),"",IF(A389="","Date missing",IF(NOT(ISNUMBER(A389)),"Date not recognized",IF(YEAR(A389)&lt;&gt;Settings!$C$4,"Not in "&amp;Settings!$C$4,IF(C389="","Category missing",IF(H389="",IF(COUNTIF(Categories!$A$6:$A$65,C389)&gt;0,"Category has no type","Category not in list"),IF(D389="","Amount missing",IF(NOT(ISNUMBER(D389)),"Amount is not a number",IF(F389="","",IF(ISNA(MATCH(F389,Lists!$G$2:$G$25,0)),"Goal / fund not in list",IF(H389="Income","Fund tag ignored on income","")))))))))))</f>
        <v/>
      </c>
    </row>
    <row r="390">
      <c r="A390" s="27" t="n">
        <v>46236</v>
      </c>
      <c r="B390" s="23" t="inlineStr">
        <is>
          <t>Transfer to emergency fund</t>
        </is>
      </c>
      <c r="C390" s="23" t="inlineStr">
        <is>
          <t>Emergency fund</t>
        </is>
      </c>
      <c r="D390" s="28" t="n">
        <v>300</v>
      </c>
      <c r="E390" s="23" t="inlineStr">
        <is>
          <t>Savings</t>
        </is>
      </c>
      <c r="F390" s="23" t="inlineStr">
        <is>
          <t>Emergency fund</t>
        </is>
      </c>
      <c r="G390" s="23" t="n"/>
      <c r="H390" s="29">
        <f>IF(C390="","",IFERROR(INDEX(Categories!$B$6:$B$65,MATCH(C390,Categories!$A$6:$A$65,0))&amp;"",""))</f>
        <v/>
      </c>
      <c r="I390" s="25">
        <f>IF(AND(A390="",C390="",D390=""),"",IF(A390="","Date missing",IF(NOT(ISNUMBER(A390)),"Date not recognized",IF(YEAR(A390)&lt;&gt;Settings!$C$4,"Not in "&amp;Settings!$C$4,IF(C390="","Category missing",IF(H390="",IF(COUNTIF(Categories!$A$6:$A$65,C390)&gt;0,"Category has no type","Category not in list"),IF(D390="","Amount missing",IF(NOT(ISNUMBER(D390)),"Amount is not a number",IF(F390="","",IF(ISNA(MATCH(F390,Lists!$G$2:$G$25,0)),"Goal / fund not in list",IF(H390="Income","Fund tag ignored on income","")))))))))))</f>
        <v/>
      </c>
    </row>
    <row r="391">
      <c r="A391" s="27" t="n">
        <v>46236</v>
      </c>
      <c r="B391" s="23" t="inlineStr">
        <is>
          <t>Transfer: house fund</t>
        </is>
      </c>
      <c r="C391" s="23" t="inlineStr">
        <is>
          <t>Savings goals</t>
        </is>
      </c>
      <c r="D391" s="28" t="n">
        <v>300</v>
      </c>
      <c r="E391" s="23" t="inlineStr">
        <is>
          <t>Savings</t>
        </is>
      </c>
      <c r="F391" s="23" t="inlineStr">
        <is>
          <t>House down payment</t>
        </is>
      </c>
      <c r="G391" s="23" t="n"/>
      <c r="H391" s="29">
        <f>IF(C391="","",IFERROR(INDEX(Categories!$B$6:$B$65,MATCH(C391,Categories!$A$6:$A$65,0))&amp;"",""))</f>
        <v/>
      </c>
      <c r="I391" s="25">
        <f>IF(AND(A391="",C391="",D391=""),"",IF(A391="","Date missing",IF(NOT(ISNUMBER(A391)),"Date not recognized",IF(YEAR(A391)&lt;&gt;Settings!$C$4,"Not in "&amp;Settings!$C$4,IF(C391="","Category missing",IF(H391="",IF(COUNTIF(Categories!$A$6:$A$65,C391)&gt;0,"Category has no type","Category not in list"),IF(D391="","Amount missing",IF(NOT(ISNUMBER(D391)),"Amount is not a number",IF(F391="","",IF(ISNA(MATCH(F391,Lists!$G$2:$G$25,0)),"Goal / fund not in list",IF(H391="Income","Fund tag ignored on income","")))))))))))</f>
        <v/>
      </c>
    </row>
    <row r="392">
      <c r="A392" s="27" t="n">
        <v>46236</v>
      </c>
      <c r="B392" s="23" t="inlineStr">
        <is>
          <t>Transfer: laptop</t>
        </is>
      </c>
      <c r="C392" s="23" t="inlineStr">
        <is>
          <t>Savings goals</t>
        </is>
      </c>
      <c r="D392" s="28" t="n">
        <v>100</v>
      </c>
      <c r="E392" s="23" t="inlineStr">
        <is>
          <t>Savings</t>
        </is>
      </c>
      <c r="F392" s="23" t="inlineStr">
        <is>
          <t>New laptop</t>
        </is>
      </c>
      <c r="G392" s="23" t="n"/>
      <c r="H392" s="29">
        <f>IF(C392="","",IFERROR(INDEX(Categories!$B$6:$B$65,MATCH(C392,Categories!$A$6:$A$65,0))&amp;"",""))</f>
        <v/>
      </c>
      <c r="I392" s="25">
        <f>IF(AND(A392="",C392="",D392=""),"",IF(A392="","Date missing",IF(NOT(ISNUMBER(A392)),"Date not recognized",IF(YEAR(A392)&lt;&gt;Settings!$C$4,"Not in "&amp;Settings!$C$4,IF(C392="","Category missing",IF(H392="",IF(COUNTIF(Categories!$A$6:$A$65,C392)&gt;0,"Category has no type","Category not in list"),IF(D392="","Amount missing",IF(NOT(ISNUMBER(D392)),"Amount is not a number",IF(F392="","",IF(ISNA(MATCH(F392,Lists!$G$2:$G$25,0)),"Goal / fund not in list",IF(H392="Income","Fund tag ignored on income","")))))))))))</f>
        <v/>
      </c>
    </row>
    <row r="393">
      <c r="A393" s="27" t="n">
        <v>46236</v>
      </c>
      <c r="B393" s="23" t="inlineStr">
        <is>
          <t>Set aside: car maintenance</t>
        </is>
      </c>
      <c r="C393" s="23" t="inlineStr">
        <is>
          <t>Sinking funds</t>
        </is>
      </c>
      <c r="D393" s="28" t="n">
        <v>60</v>
      </c>
      <c r="E393" s="23" t="inlineStr">
        <is>
          <t>Savings</t>
        </is>
      </c>
      <c r="F393" s="23" t="inlineStr">
        <is>
          <t>Car maintenance</t>
        </is>
      </c>
      <c r="G393" s="23" t="n"/>
      <c r="H393" s="29">
        <f>IF(C393="","",IFERROR(INDEX(Categories!$B$6:$B$65,MATCH(C393,Categories!$A$6:$A$65,0))&amp;"",""))</f>
        <v/>
      </c>
      <c r="I393" s="25">
        <f>IF(AND(A393="",C393="",D393=""),"",IF(A393="","Date missing",IF(NOT(ISNUMBER(A393)),"Date not recognized",IF(YEAR(A393)&lt;&gt;Settings!$C$4,"Not in "&amp;Settings!$C$4,IF(C393="","Category missing",IF(H393="",IF(COUNTIF(Categories!$A$6:$A$65,C393)&gt;0,"Category has no type","Category not in list"),IF(D393="","Amount missing",IF(NOT(ISNUMBER(D393)),"Amount is not a number",IF(F393="","",IF(ISNA(MATCH(F393,Lists!$G$2:$G$25,0)),"Goal / fund not in list",IF(H393="Income","Fund tag ignored on income","")))))))))))</f>
        <v/>
      </c>
    </row>
    <row r="394">
      <c r="A394" s="27" t="n">
        <v>46236</v>
      </c>
      <c r="B394" s="23" t="inlineStr">
        <is>
          <t>Set aside: holiday gifts</t>
        </is>
      </c>
      <c r="C394" s="23" t="inlineStr">
        <is>
          <t>Sinking funds</t>
        </is>
      </c>
      <c r="D394" s="28" t="n">
        <v>50</v>
      </c>
      <c r="E394" s="23" t="inlineStr">
        <is>
          <t>Savings</t>
        </is>
      </c>
      <c r="F394" s="23" t="inlineStr">
        <is>
          <t>Holiday gifts</t>
        </is>
      </c>
      <c r="G394" s="23" t="n"/>
      <c r="H394" s="29">
        <f>IF(C394="","",IFERROR(INDEX(Categories!$B$6:$B$65,MATCH(C394,Categories!$A$6:$A$65,0))&amp;"",""))</f>
        <v/>
      </c>
      <c r="I394" s="25">
        <f>IF(AND(A394="",C394="",D394=""),"",IF(A394="","Date missing",IF(NOT(ISNUMBER(A394)),"Date not recognized",IF(YEAR(A394)&lt;&gt;Settings!$C$4,"Not in "&amp;Settings!$C$4,IF(C394="","Category missing",IF(H394="",IF(COUNTIF(Categories!$A$6:$A$65,C394)&gt;0,"Category has no type","Category not in list"),IF(D394="","Amount missing",IF(NOT(ISNUMBER(D394)),"Amount is not a number",IF(F394="","",IF(ISNA(MATCH(F394,Lists!$G$2:$G$25,0)),"Goal / fund not in list",IF(H394="Income","Fund tag ignored on income","")))))))))))</f>
        <v/>
      </c>
    </row>
    <row r="395">
      <c r="A395" s="27" t="n">
        <v>46236</v>
      </c>
      <c r="B395" s="23" t="inlineStr">
        <is>
          <t>Set aside: summer vacation</t>
        </is>
      </c>
      <c r="C395" s="23" t="inlineStr">
        <is>
          <t>Sinking funds</t>
        </is>
      </c>
      <c r="D395" s="28" t="n">
        <v>150</v>
      </c>
      <c r="E395" s="23" t="inlineStr">
        <is>
          <t>Savings</t>
        </is>
      </c>
      <c r="F395" s="23" t="inlineStr">
        <is>
          <t>Summer vacation</t>
        </is>
      </c>
      <c r="G395" s="23" t="n"/>
      <c r="H395" s="29">
        <f>IF(C395="","",IFERROR(INDEX(Categories!$B$6:$B$65,MATCH(C395,Categories!$A$6:$A$65,0))&amp;"",""))</f>
        <v/>
      </c>
      <c r="I395" s="25">
        <f>IF(AND(A395="",C395="",D395=""),"",IF(A395="","Date missing",IF(NOT(ISNUMBER(A395)),"Date not recognized",IF(YEAR(A395)&lt;&gt;Settings!$C$4,"Not in "&amp;Settings!$C$4,IF(C395="","Category missing",IF(H395="",IF(COUNTIF(Categories!$A$6:$A$65,C395)&gt;0,"Category has no type","Category not in list"),IF(D395="","Amount missing",IF(NOT(ISNUMBER(D395)),"Amount is not a number",IF(F395="","",IF(ISNA(MATCH(F395,Lists!$G$2:$G$25,0)),"Goal / fund not in list",IF(H395="Income","Fund tag ignored on income","")))))))))))</f>
        <v/>
      </c>
    </row>
    <row r="396">
      <c r="A396" s="27" t="n">
        <v>46236</v>
      </c>
      <c r="B396" s="23" t="inlineStr">
        <is>
          <t>Set aside: home repairs</t>
        </is>
      </c>
      <c r="C396" s="23" t="inlineStr">
        <is>
          <t>Sinking funds</t>
        </is>
      </c>
      <c r="D396" s="28" t="n">
        <v>40</v>
      </c>
      <c r="E396" s="23" t="inlineStr">
        <is>
          <t>Savings</t>
        </is>
      </c>
      <c r="F396" s="23" t="inlineStr">
        <is>
          <t>Home repairs</t>
        </is>
      </c>
      <c r="G396" s="23" t="n"/>
      <c r="H396" s="29">
        <f>IF(C396="","",IFERROR(INDEX(Categories!$B$6:$B$65,MATCH(C396,Categories!$A$6:$A$65,0))&amp;"",""))</f>
        <v/>
      </c>
      <c r="I396" s="25">
        <f>IF(AND(A396="",C396="",D396=""),"",IF(A396="","Date missing",IF(NOT(ISNUMBER(A396)),"Date not recognized",IF(YEAR(A396)&lt;&gt;Settings!$C$4,"Not in "&amp;Settings!$C$4,IF(C396="","Category missing",IF(H396="",IF(COUNTIF(Categories!$A$6:$A$65,C396)&gt;0,"Category has no type","Category not in list"),IF(D396="","Amount missing",IF(NOT(ISNUMBER(D396)),"Amount is not a number",IF(F396="","",IF(ISNA(MATCH(F396,Lists!$G$2:$G$25,0)),"Goal / fund not in list",IF(H396="Income","Fund tag ignored on income","")))))))))))</f>
        <v/>
      </c>
    </row>
    <row r="397">
      <c r="A397" s="27" t="n">
        <v>46237</v>
      </c>
      <c r="B397" s="23" t="inlineStr">
        <is>
          <t>Video streaming</t>
        </is>
      </c>
      <c r="C397" s="23" t="inlineStr">
        <is>
          <t>Subscriptions</t>
        </is>
      </c>
      <c r="D397" s="28" t="n">
        <v>15.49</v>
      </c>
      <c r="E397" s="23" t="inlineStr">
        <is>
          <t>Credit card</t>
        </is>
      </c>
      <c r="F397" s="23" t="n"/>
      <c r="G397" s="23" t="n"/>
      <c r="H397" s="29">
        <f>IF(C397="","",IFERROR(INDEX(Categories!$B$6:$B$65,MATCH(C397,Categories!$A$6:$A$65,0))&amp;"",""))</f>
        <v/>
      </c>
      <c r="I397" s="25">
        <f>IF(AND(A397="",C397="",D397=""),"",IF(A397="","Date missing",IF(NOT(ISNUMBER(A397)),"Date not recognized",IF(YEAR(A397)&lt;&gt;Settings!$C$4,"Not in "&amp;Settings!$C$4,IF(C397="","Category missing",IF(H397="",IF(COUNTIF(Categories!$A$6:$A$65,C397)&gt;0,"Category has no type","Category not in list"),IF(D397="","Amount missing",IF(NOT(ISNUMBER(D397)),"Amount is not a number",IF(F397="","",IF(ISNA(MATCH(F397,Lists!$G$2:$G$25,0)),"Goal / fund not in list",IF(H397="Income","Fund tag ignored on income","")))))))))))</f>
        <v/>
      </c>
    </row>
    <row r="398">
      <c r="A398" s="27" t="n">
        <v>46237</v>
      </c>
      <c r="B398" s="23" t="inlineStr">
        <is>
          <t>Warehouse store</t>
        </is>
      </c>
      <c r="C398" s="23" t="inlineStr">
        <is>
          <t>Groceries</t>
        </is>
      </c>
      <c r="D398" s="28" t="n">
        <v>193.91</v>
      </c>
      <c r="E398" s="23" t="inlineStr">
        <is>
          <t>Debit card</t>
        </is>
      </c>
      <c r="F398" s="23" t="n"/>
      <c r="G398" s="23" t="n"/>
      <c r="H398" s="29">
        <f>IF(C398="","",IFERROR(INDEX(Categories!$B$6:$B$65,MATCH(C398,Categories!$A$6:$A$65,0))&amp;"",""))</f>
        <v/>
      </c>
      <c r="I398" s="25">
        <f>IF(AND(A398="",C398="",D398=""),"",IF(A398="","Date missing",IF(NOT(ISNUMBER(A398)),"Date not recognized",IF(YEAR(A398)&lt;&gt;Settings!$C$4,"Not in "&amp;Settings!$C$4,IF(C398="","Category missing",IF(H398="",IF(COUNTIF(Categories!$A$6:$A$65,C398)&gt;0,"Category has no type","Category not in list"),IF(D398="","Amount missing",IF(NOT(ISNUMBER(D398)),"Amount is not a number",IF(F398="","",IF(ISNA(MATCH(F398,Lists!$G$2:$G$25,0)),"Goal / fund not in list",IF(H398="Income","Fund tag ignored on income","")))))))))))</f>
        <v/>
      </c>
    </row>
    <row r="399">
      <c r="A399" s="27" t="n">
        <v>46237</v>
      </c>
      <c r="B399" s="23" t="inlineStr">
        <is>
          <t>Retirement contribution</t>
        </is>
      </c>
      <c r="C399" s="23" t="inlineStr">
        <is>
          <t>Retirement &amp; investing</t>
        </is>
      </c>
      <c r="D399" s="28" t="n">
        <v>600</v>
      </c>
      <c r="E399" s="23" t="inlineStr">
        <is>
          <t>Checking</t>
        </is>
      </c>
      <c r="F399" s="23" t="n"/>
      <c r="G399" s="23" t="n"/>
      <c r="H399" s="29">
        <f>IF(C399="","",IFERROR(INDEX(Categories!$B$6:$B$65,MATCH(C399,Categories!$A$6:$A$65,0))&amp;"",""))</f>
        <v/>
      </c>
      <c r="I399" s="25">
        <f>IF(AND(A399="",C399="",D399=""),"",IF(A399="","Date missing",IF(NOT(ISNUMBER(A399)),"Date not recognized",IF(YEAR(A399)&lt;&gt;Settings!$C$4,"Not in "&amp;Settings!$C$4,IF(C399="","Category missing",IF(H399="",IF(COUNTIF(Categories!$A$6:$A$65,C399)&gt;0,"Category has no type","Category not in list"),IF(D399="","Amount missing",IF(NOT(ISNUMBER(D399)),"Amount is not a number",IF(F399="","",IF(ISNA(MATCH(F399,Lists!$G$2:$G$25,0)),"Goal / fund not in list",IF(H399="Income","Fund tag ignored on income","")))))))))))</f>
        <v/>
      </c>
    </row>
    <row r="400">
      <c r="A400" s="27" t="n">
        <v>46238</v>
      </c>
      <c r="B400" s="23" t="inlineStr">
        <is>
          <t>Gas station</t>
        </is>
      </c>
      <c r="C400" s="23" t="inlineStr">
        <is>
          <t>Transport / Gas</t>
        </is>
      </c>
      <c r="D400" s="28" t="n">
        <v>51.25</v>
      </c>
      <c r="E400" s="23" t="inlineStr">
        <is>
          <t>Credit card</t>
        </is>
      </c>
      <c r="F400" s="23" t="n"/>
      <c r="G400" s="23" t="n"/>
      <c r="H400" s="29">
        <f>IF(C400="","",IFERROR(INDEX(Categories!$B$6:$B$65,MATCH(C400,Categories!$A$6:$A$65,0))&amp;"",""))</f>
        <v/>
      </c>
      <c r="I400" s="25">
        <f>IF(AND(A400="",C400="",D400=""),"",IF(A400="","Date missing",IF(NOT(ISNUMBER(A400)),"Date not recognized",IF(YEAR(A400)&lt;&gt;Settings!$C$4,"Not in "&amp;Settings!$C$4,IF(C400="","Category missing",IF(H400="",IF(COUNTIF(Categories!$A$6:$A$65,C400)&gt;0,"Category has no type","Category not in list"),IF(D400="","Amount missing",IF(NOT(ISNUMBER(D400)),"Amount is not a number",IF(F400="","",IF(ISNA(MATCH(F400,Lists!$G$2:$G$25,0)),"Goal / fund not in list",IF(H400="Income","Fund tag ignored on income","")))))))))))</f>
        <v/>
      </c>
    </row>
    <row r="401">
      <c r="A401" s="27" t="n">
        <v>46239</v>
      </c>
      <c r="B401" s="23" t="inlineStr">
        <is>
          <t>Car insurance</t>
        </is>
      </c>
      <c r="C401" s="23" t="inlineStr">
        <is>
          <t>Insurance</t>
        </is>
      </c>
      <c r="D401" s="28" t="n">
        <v>128</v>
      </c>
      <c r="E401" s="23" t="inlineStr">
        <is>
          <t>Checking</t>
        </is>
      </c>
      <c r="F401" s="23" t="n"/>
      <c r="G401" s="23" t="n"/>
      <c r="H401" s="29">
        <f>IF(C401="","",IFERROR(INDEX(Categories!$B$6:$B$65,MATCH(C401,Categories!$A$6:$A$65,0))&amp;"",""))</f>
        <v/>
      </c>
      <c r="I401" s="25">
        <f>IF(AND(A401="",C401="",D401=""),"",IF(A401="","Date missing",IF(NOT(ISNUMBER(A401)),"Date not recognized",IF(YEAR(A401)&lt;&gt;Settings!$C$4,"Not in "&amp;Settings!$C$4,IF(C401="","Category missing",IF(H401="",IF(COUNTIF(Categories!$A$6:$A$65,C401)&gt;0,"Category has no type","Category not in list"),IF(D401="","Amount missing",IF(NOT(ISNUMBER(D401)),"Amount is not a number",IF(F401="","",IF(ISNA(MATCH(F401,Lists!$G$2:$G$25,0)),"Goal / fund not in list",IF(H401="Income","Fund tag ignored on income","")))))))))))</f>
        <v/>
      </c>
    </row>
    <row r="402">
      <c r="A402" s="27" t="n">
        <v>46239</v>
      </c>
      <c r="B402" s="23" t="inlineStr">
        <is>
          <t>Renters insurance</t>
        </is>
      </c>
      <c r="C402" s="23" t="inlineStr">
        <is>
          <t>Insurance</t>
        </is>
      </c>
      <c r="D402" s="28" t="n">
        <v>18</v>
      </c>
      <c r="E402" s="23" t="inlineStr">
        <is>
          <t>Checking</t>
        </is>
      </c>
      <c r="F402" s="23" t="n"/>
      <c r="G402" s="23" t="n"/>
      <c r="H402" s="29">
        <f>IF(C402="","",IFERROR(INDEX(Categories!$B$6:$B$65,MATCH(C402,Categories!$A$6:$A$65,0))&amp;"",""))</f>
        <v/>
      </c>
      <c r="I402" s="25">
        <f>IF(AND(A402="",C402="",D402=""),"",IF(A402="","Date missing",IF(NOT(ISNUMBER(A402)),"Date not recognized",IF(YEAR(A402)&lt;&gt;Settings!$C$4,"Not in "&amp;Settings!$C$4,IF(C402="","Category missing",IF(H402="",IF(COUNTIF(Categories!$A$6:$A$65,C402)&gt;0,"Category has no type","Category not in list"),IF(D402="","Amount missing",IF(NOT(ISNUMBER(D402)),"Amount is not a number",IF(F402="","",IF(ISNA(MATCH(F402,Lists!$G$2:$G$25,0)),"Goal / fund not in list",IF(H402="Income","Fund tag ignored on income","")))))))))))</f>
        <v/>
      </c>
    </row>
    <row r="403">
      <c r="A403" s="27" t="n">
        <v>46241</v>
      </c>
      <c r="B403" s="23" t="inlineStr">
        <is>
          <t>Music streaming</t>
        </is>
      </c>
      <c r="C403" s="23" t="inlineStr">
        <is>
          <t>Subscriptions</t>
        </is>
      </c>
      <c r="D403" s="28" t="n">
        <v>10.99</v>
      </c>
      <c r="E403" s="23" t="inlineStr">
        <is>
          <t>Credit card</t>
        </is>
      </c>
      <c r="F403" s="23" t="n"/>
      <c r="G403" s="23" t="n"/>
      <c r="H403" s="29">
        <f>IF(C403="","",IFERROR(INDEX(Categories!$B$6:$B$65,MATCH(C403,Categories!$A$6:$A$65,0))&amp;"",""))</f>
        <v/>
      </c>
      <c r="I403" s="25">
        <f>IF(AND(A403="",C403="",D403=""),"",IF(A403="","Date missing",IF(NOT(ISNUMBER(A403)),"Date not recognized",IF(YEAR(A403)&lt;&gt;Settings!$C$4,"Not in "&amp;Settings!$C$4,IF(C403="","Category missing",IF(H403="",IF(COUNTIF(Categories!$A$6:$A$65,C403)&gt;0,"Category has no type","Category not in list"),IF(D403="","Amount missing",IF(NOT(ISNUMBER(D403)),"Amount is not a number",IF(F403="","",IF(ISNA(MATCH(F403,Lists!$G$2:$G$25,0)),"Goal / fund not in list",IF(H403="Income","Fund tag ignored on income","")))))))))))</f>
        <v/>
      </c>
    </row>
    <row r="404">
      <c r="A404" s="27" t="n">
        <v>46243</v>
      </c>
      <c r="B404" s="23" t="inlineStr">
        <is>
          <t>Freelance logo</t>
        </is>
      </c>
      <c r="C404" s="23" t="inlineStr">
        <is>
          <t>Side income</t>
        </is>
      </c>
      <c r="D404" s="28" t="n">
        <v>317.79</v>
      </c>
      <c r="E404" s="23" t="inlineStr">
        <is>
          <t>Checking</t>
        </is>
      </c>
      <c r="F404" s="23" t="n"/>
      <c r="G404" s="23" t="n"/>
      <c r="H404" s="29">
        <f>IF(C404="","",IFERROR(INDEX(Categories!$B$6:$B$65,MATCH(C404,Categories!$A$6:$A$65,0))&amp;"",""))</f>
        <v/>
      </c>
      <c r="I404" s="25">
        <f>IF(AND(A404="",C404="",D404=""),"",IF(A404="","Date missing",IF(NOT(ISNUMBER(A404)),"Date not recognized",IF(YEAR(A404)&lt;&gt;Settings!$C$4,"Not in "&amp;Settings!$C$4,IF(C404="","Category missing",IF(H404="",IF(COUNTIF(Categories!$A$6:$A$65,C404)&gt;0,"Category has no type","Category not in list"),IF(D404="","Amount missing",IF(NOT(ISNUMBER(D404)),"Amount is not a number",IF(F404="","",IF(ISNA(MATCH(F404,Lists!$G$2:$G$25,0)),"Goal / fund not in list",IF(H404="Income","Fund tag ignored on income","")))))))))))</f>
        <v/>
      </c>
    </row>
    <row r="405">
      <c r="A405" s="27" t="n">
        <v>46243</v>
      </c>
      <c r="B405" s="23" t="inlineStr">
        <is>
          <t>Pet food</t>
        </is>
      </c>
      <c r="C405" s="23" t="inlineStr">
        <is>
          <t>Pets</t>
        </is>
      </c>
      <c r="D405" s="28" t="n">
        <v>48.48</v>
      </c>
      <c r="E405" s="23" t="inlineStr">
        <is>
          <t>Debit card</t>
        </is>
      </c>
      <c r="F405" s="23" t="n"/>
      <c r="G405" s="23" t="n"/>
      <c r="H405" s="29">
        <f>IF(C405="","",IFERROR(INDEX(Categories!$B$6:$B$65,MATCH(C405,Categories!$A$6:$A$65,0))&amp;"",""))</f>
        <v/>
      </c>
      <c r="I405" s="25">
        <f>IF(AND(A405="",C405="",D405=""),"",IF(A405="","Date missing",IF(NOT(ISNUMBER(A405)),"Date not recognized",IF(YEAR(A405)&lt;&gt;Settings!$C$4,"Not in "&amp;Settings!$C$4,IF(C405="","Category missing",IF(H405="",IF(COUNTIF(Categories!$A$6:$A$65,C405)&gt;0,"Category has no type","Category not in list"),IF(D405="","Amount missing",IF(NOT(ISNUMBER(D405)),"Amount is not a number",IF(F405="","",IF(ISNA(MATCH(F405,Lists!$G$2:$G$25,0)),"Goal / fund not in list",IF(H405="Income","Fund tag ignored on income","")))))))))))</f>
        <v/>
      </c>
    </row>
    <row r="406">
      <c r="A406" s="27" t="n">
        <v>46244</v>
      </c>
      <c r="B406" s="23" t="inlineStr">
        <is>
          <t>Car loan payment</t>
        </is>
      </c>
      <c r="C406" s="23" t="inlineStr">
        <is>
          <t>Car payment</t>
        </is>
      </c>
      <c r="D406" s="28" t="n">
        <v>389</v>
      </c>
      <c r="E406" s="23" t="inlineStr">
        <is>
          <t>Checking</t>
        </is>
      </c>
      <c r="F406" s="23" t="n"/>
      <c r="G406" s="23" t="n"/>
      <c r="H406" s="29">
        <f>IF(C406="","",IFERROR(INDEX(Categories!$B$6:$B$65,MATCH(C406,Categories!$A$6:$A$65,0))&amp;"",""))</f>
        <v/>
      </c>
      <c r="I406" s="25">
        <f>IF(AND(A406="",C406="",D406=""),"",IF(A406="","Date missing",IF(NOT(ISNUMBER(A406)),"Date not recognized",IF(YEAR(A406)&lt;&gt;Settings!$C$4,"Not in "&amp;Settings!$C$4,IF(C406="","Category missing",IF(H406="",IF(COUNTIF(Categories!$A$6:$A$65,C406)&gt;0,"Category has no type","Category not in list"),IF(D406="","Amount missing",IF(NOT(ISNUMBER(D406)),"Amount is not a number",IF(F406="","",IF(ISNA(MATCH(F406,Lists!$G$2:$G$25,0)),"Goal / fund not in list",IF(H406="Income","Fund tag ignored on income","")))))))))))</f>
        <v/>
      </c>
    </row>
    <row r="407">
      <c r="A407" s="27" t="n">
        <v>46244</v>
      </c>
      <c r="B407" s="23" t="inlineStr">
        <is>
          <t>Farmers market</t>
        </is>
      </c>
      <c r="C407" s="23" t="inlineStr">
        <is>
          <t>Groceries</t>
        </is>
      </c>
      <c r="D407" s="28" t="n">
        <v>132.11</v>
      </c>
      <c r="E407" s="23" t="inlineStr">
        <is>
          <t>Debit card</t>
        </is>
      </c>
      <c r="F407" s="23" t="n"/>
      <c r="G407" s="23" t="n"/>
      <c r="H407" s="29">
        <f>IF(C407="","",IFERROR(INDEX(Categories!$B$6:$B$65,MATCH(C407,Categories!$A$6:$A$65,0))&amp;"",""))</f>
        <v/>
      </c>
      <c r="I407" s="25">
        <f>IF(AND(A407="",C407="",D407=""),"",IF(A407="","Date missing",IF(NOT(ISNUMBER(A407)),"Date not recognized",IF(YEAR(A407)&lt;&gt;Settings!$C$4,"Not in "&amp;Settings!$C$4,IF(C407="","Category missing",IF(H407="",IF(COUNTIF(Categories!$A$6:$A$65,C407)&gt;0,"Category has no type","Category not in list"),IF(D407="","Amount missing",IF(NOT(ISNUMBER(D407)),"Amount is not a number",IF(F407="","",IF(ISNA(MATCH(F407,Lists!$G$2:$G$25,0)),"Goal / fund not in list",IF(H407="Income","Fund tag ignored on income","")))))))))))</f>
        <v/>
      </c>
    </row>
    <row r="408">
      <c r="A408" s="27" t="n">
        <v>46245</v>
      </c>
      <c r="B408" s="23" t="inlineStr">
        <is>
          <t>Movie tickets</t>
        </is>
      </c>
      <c r="C408" s="23" t="inlineStr">
        <is>
          <t>Entertainment</t>
        </is>
      </c>
      <c r="D408" s="28" t="n">
        <v>43.24</v>
      </c>
      <c r="E408" s="23" t="inlineStr">
        <is>
          <t>Credit card</t>
        </is>
      </c>
      <c r="F408" s="23" t="n"/>
      <c r="G408" s="23" t="n"/>
      <c r="H408" s="29">
        <f>IF(C408="","",IFERROR(INDEX(Categories!$B$6:$B$65,MATCH(C408,Categories!$A$6:$A$65,0))&amp;"",""))</f>
        <v/>
      </c>
      <c r="I408" s="25">
        <f>IF(AND(A408="",C408="",D408=""),"",IF(A408="","Date missing",IF(NOT(ISNUMBER(A408)),"Date not recognized",IF(YEAR(A408)&lt;&gt;Settings!$C$4,"Not in "&amp;Settings!$C$4,IF(C408="","Category missing",IF(H408="",IF(COUNTIF(Categories!$A$6:$A$65,C408)&gt;0,"Category has no type","Category not in list"),IF(D408="","Amount missing",IF(NOT(ISNUMBER(D408)),"Amount is not a number",IF(F408="","",IF(ISNA(MATCH(F408,Lists!$G$2:$G$25,0)),"Goal / fund not in list",IF(H408="Income","Fund tag ignored on income","")))))))))))</f>
        <v/>
      </c>
    </row>
    <row r="409">
      <c r="A409" s="27" t="n">
        <v>46246</v>
      </c>
      <c r="B409" s="23" t="inlineStr">
        <is>
          <t>Internet</t>
        </is>
      </c>
      <c r="C409" s="23" t="inlineStr">
        <is>
          <t>Internet &amp; Phone</t>
        </is>
      </c>
      <c r="D409" s="28" t="n">
        <v>65</v>
      </c>
      <c r="E409" s="23" t="inlineStr">
        <is>
          <t>Checking</t>
        </is>
      </c>
      <c r="F409" s="23" t="n"/>
      <c r="G409" s="23" t="n"/>
      <c r="H409" s="29">
        <f>IF(C409="","",IFERROR(INDEX(Categories!$B$6:$B$65,MATCH(C409,Categories!$A$6:$A$65,0))&amp;"",""))</f>
        <v/>
      </c>
      <c r="I409" s="25">
        <f>IF(AND(A409="",C409="",D409=""),"",IF(A409="","Date missing",IF(NOT(ISNUMBER(A409)),"Date not recognized",IF(YEAR(A409)&lt;&gt;Settings!$C$4,"Not in "&amp;Settings!$C$4,IF(C409="","Category missing",IF(H409="",IF(COUNTIF(Categories!$A$6:$A$65,C409)&gt;0,"Category has no type","Category not in list"),IF(D409="","Amount missing",IF(NOT(ISNUMBER(D409)),"Amount is not a number",IF(F409="","",IF(ISNA(MATCH(F409,Lists!$G$2:$G$25,0)),"Goal / fund not in list",IF(H409="Income","Fund tag ignored on income","")))))))))))</f>
        <v/>
      </c>
    </row>
    <row r="410">
      <c r="A410" s="27" t="n">
        <v>46246</v>
      </c>
      <c r="B410" s="23" t="inlineStr">
        <is>
          <t>Takeout</t>
        </is>
      </c>
      <c r="C410" s="23" t="inlineStr">
        <is>
          <t>Dining out</t>
        </is>
      </c>
      <c r="D410" s="28" t="n">
        <v>58.07</v>
      </c>
      <c r="E410" s="23" t="inlineStr">
        <is>
          <t>Credit card</t>
        </is>
      </c>
      <c r="F410" s="23" t="n"/>
      <c r="G410" s="23" t="n"/>
      <c r="H410" s="29">
        <f>IF(C410="","",IFERROR(INDEX(Categories!$B$6:$B$65,MATCH(C410,Categories!$A$6:$A$65,0))&amp;"",""))</f>
        <v/>
      </c>
      <c r="I410" s="25">
        <f>IF(AND(A410="",C410="",D410=""),"",IF(A410="","Date missing",IF(NOT(ISNUMBER(A410)),"Date not recognized",IF(YEAR(A410)&lt;&gt;Settings!$C$4,"Not in "&amp;Settings!$C$4,IF(C410="","Category missing",IF(H410="",IF(COUNTIF(Categories!$A$6:$A$65,C410)&gt;0,"Category has no type","Category not in list"),IF(D410="","Amount missing",IF(NOT(ISNUMBER(D410)),"Amount is not a number",IF(F410="","",IF(ISNA(MATCH(F410,Lists!$G$2:$G$25,0)),"Goal / fund not in list",IF(H410="Income","Fund tag ignored on income","")))))))))))</f>
        <v/>
      </c>
    </row>
    <row r="411">
      <c r="A411" s="27" t="n">
        <v>46246</v>
      </c>
      <c r="B411" s="23" t="inlineStr">
        <is>
          <t>Gas station</t>
        </is>
      </c>
      <c r="C411" s="23" t="inlineStr">
        <is>
          <t>Transport / Gas</t>
        </is>
      </c>
      <c r="D411" s="28" t="n">
        <v>45.76</v>
      </c>
      <c r="E411" s="23" t="inlineStr">
        <is>
          <t>Credit card</t>
        </is>
      </c>
      <c r="F411" s="23" t="n"/>
      <c r="G411" s="23" t="n"/>
      <c r="H411" s="29">
        <f>IF(C411="","",IFERROR(INDEX(Categories!$B$6:$B$65,MATCH(C411,Categories!$A$6:$A$65,0))&amp;"",""))</f>
        <v/>
      </c>
      <c r="I411" s="25">
        <f>IF(AND(A411="",C411="",D411=""),"",IF(A411="","Date missing",IF(NOT(ISNUMBER(A411)),"Date not recognized",IF(YEAR(A411)&lt;&gt;Settings!$C$4,"Not in "&amp;Settings!$C$4,IF(C411="","Category missing",IF(H411="",IF(COUNTIF(Categories!$A$6:$A$65,C411)&gt;0,"Category has no type","Category not in list"),IF(D411="","Amount missing",IF(NOT(ISNUMBER(D411)),"Amount is not a number",IF(F411="","",IF(ISNA(MATCH(F411,Lists!$G$2:$G$25,0)),"Goal / fund not in list",IF(H411="Income","Fund tag ignored on income","")))))))))))</f>
        <v/>
      </c>
    </row>
    <row r="412">
      <c r="A412" s="27" t="n">
        <v>46247</v>
      </c>
      <c r="B412" s="23" t="inlineStr">
        <is>
          <t>Brunch</t>
        </is>
      </c>
      <c r="C412" s="23" t="inlineStr">
        <is>
          <t>Dining out</t>
        </is>
      </c>
      <c r="D412" s="28" t="n">
        <v>19.43</v>
      </c>
      <c r="E412" s="23" t="inlineStr">
        <is>
          <t>Credit card</t>
        </is>
      </c>
      <c r="F412" s="23" t="n"/>
      <c r="G412" s="23" t="n"/>
      <c r="H412" s="29">
        <f>IF(C412="","",IFERROR(INDEX(Categories!$B$6:$B$65,MATCH(C412,Categories!$A$6:$A$65,0))&amp;"",""))</f>
        <v/>
      </c>
      <c r="I412" s="25">
        <f>IF(AND(A412="",C412="",D412=""),"",IF(A412="","Date missing",IF(NOT(ISNUMBER(A412)),"Date not recognized",IF(YEAR(A412)&lt;&gt;Settings!$C$4,"Not in "&amp;Settings!$C$4,IF(C412="","Category missing",IF(H412="",IF(COUNTIF(Categories!$A$6:$A$65,C412)&gt;0,"Category has no type","Category not in list"),IF(D412="","Amount missing",IF(NOT(ISNUMBER(D412)),"Amount is not a number",IF(F412="","",IF(ISNA(MATCH(F412,Lists!$G$2:$G$25,0)),"Goal / fund not in list",IF(H412="Income","Fund tag ignored on income","")))))))))))</f>
        <v/>
      </c>
    </row>
    <row r="413">
      <c r="A413" s="27" t="n">
        <v>46247</v>
      </c>
      <c r="B413" s="23" t="inlineStr">
        <is>
          <t>Phone case</t>
        </is>
      </c>
      <c r="C413" s="23" t="inlineStr">
        <is>
          <t>Misc</t>
        </is>
      </c>
      <c r="D413" s="28" t="n">
        <v>8.32</v>
      </c>
      <c r="E413" s="23" t="inlineStr">
        <is>
          <t>Cash</t>
        </is>
      </c>
      <c r="F413" s="23" t="n"/>
      <c r="G413" s="23" t="n"/>
      <c r="H413" s="29">
        <f>IF(C413="","",IFERROR(INDEX(Categories!$B$6:$B$65,MATCH(C413,Categories!$A$6:$A$65,0))&amp;"",""))</f>
        <v/>
      </c>
      <c r="I413" s="25">
        <f>IF(AND(A413="",C413="",D413=""),"",IF(A413="","Date missing",IF(NOT(ISNUMBER(A413)),"Date not recognized",IF(YEAR(A413)&lt;&gt;Settings!$C$4,"Not in "&amp;Settings!$C$4,IF(C413="","Category missing",IF(H413="",IF(COUNTIF(Categories!$A$6:$A$65,C413)&gt;0,"Category has no type","Category not in list"),IF(D413="","Amount missing",IF(NOT(ISNUMBER(D413)),"Amount is not a number",IF(F413="","",IF(ISNA(MATCH(F413,Lists!$G$2:$G$25,0)),"Goal / fund not in list",IF(H413="Income","Fund tag ignored on income","")))))))))))</f>
        <v/>
      </c>
    </row>
    <row r="414">
      <c r="A414" s="27" t="n">
        <v>46248</v>
      </c>
      <c r="B414" s="23" t="inlineStr">
        <is>
          <t>Phone plan</t>
        </is>
      </c>
      <c r="C414" s="23" t="inlineStr">
        <is>
          <t>Internet &amp; Phone</t>
        </is>
      </c>
      <c r="D414" s="28" t="n">
        <v>70</v>
      </c>
      <c r="E414" s="23" t="inlineStr">
        <is>
          <t>Credit card</t>
        </is>
      </c>
      <c r="F414" s="23" t="n"/>
      <c r="G414" s="23" t="n"/>
      <c r="H414" s="29">
        <f>IF(C414="","",IFERROR(INDEX(Categories!$B$6:$B$65,MATCH(C414,Categories!$A$6:$A$65,0))&amp;"",""))</f>
        <v/>
      </c>
      <c r="I414" s="25">
        <f>IF(AND(A414="",C414="",D414=""),"",IF(A414="","Date missing",IF(NOT(ISNUMBER(A414)),"Date not recognized",IF(YEAR(A414)&lt;&gt;Settings!$C$4,"Not in "&amp;Settings!$C$4,IF(C414="","Category missing",IF(H414="",IF(COUNTIF(Categories!$A$6:$A$65,C414)&gt;0,"Category has no type","Category not in list"),IF(D414="","Amount missing",IF(NOT(ISNUMBER(D414)),"Amount is not a number",IF(F414="","",IF(ISNA(MATCH(F414,Lists!$G$2:$G$25,0)),"Goal / fund not in list",IF(H414="Income","Fund tag ignored on income","")))))))))))</f>
        <v/>
      </c>
    </row>
    <row r="415">
      <c r="A415" s="27" t="n">
        <v>46249</v>
      </c>
      <c r="B415" s="23" t="inlineStr">
        <is>
          <t>Alex paycheck</t>
        </is>
      </c>
      <c r="C415" s="23" t="inlineStr">
        <is>
          <t>Paycheck 1</t>
        </is>
      </c>
      <c r="D415" s="28" t="n">
        <v>2100</v>
      </c>
      <c r="E415" s="23" t="inlineStr">
        <is>
          <t>Checking</t>
        </is>
      </c>
      <c r="F415" s="23" t="n"/>
      <c r="G415" s="23" t="n"/>
      <c r="H415" s="29">
        <f>IF(C415="","",IFERROR(INDEX(Categories!$B$6:$B$65,MATCH(C415,Categories!$A$6:$A$65,0))&amp;"",""))</f>
        <v/>
      </c>
      <c r="I415" s="25">
        <f>IF(AND(A415="",C415="",D415=""),"",IF(A415="","Date missing",IF(NOT(ISNUMBER(A415)),"Date not recognized",IF(YEAR(A415)&lt;&gt;Settings!$C$4,"Not in "&amp;Settings!$C$4,IF(C415="","Category missing",IF(H415="",IF(COUNTIF(Categories!$A$6:$A$65,C415)&gt;0,"Category has no type","Category not in list"),IF(D415="","Amount missing",IF(NOT(ISNUMBER(D415)),"Amount is not a number",IF(F415="","",IF(ISNA(MATCH(F415,Lists!$G$2:$G$25,0)),"Goal / fund not in list",IF(H415="Income","Fund tag ignored on income","")))))))))))</f>
        <v/>
      </c>
    </row>
    <row r="416">
      <c r="A416" s="27" t="n">
        <v>46249</v>
      </c>
      <c r="B416" s="23" t="inlineStr">
        <is>
          <t>Dinner out</t>
        </is>
      </c>
      <c r="C416" s="23" t="inlineStr">
        <is>
          <t>Dining out</t>
        </is>
      </c>
      <c r="D416" s="28" t="n">
        <v>42.43</v>
      </c>
      <c r="E416" s="23" t="inlineStr">
        <is>
          <t>Credit card</t>
        </is>
      </c>
      <c r="F416" s="23" t="n"/>
      <c r="G416" s="23" t="n"/>
      <c r="H416" s="29">
        <f>IF(C416="","",IFERROR(INDEX(Categories!$B$6:$B$65,MATCH(C416,Categories!$A$6:$A$65,0))&amp;"",""))</f>
        <v/>
      </c>
      <c r="I416" s="25">
        <f>IF(AND(A416="",C416="",D416=""),"",IF(A416="","Date missing",IF(NOT(ISNUMBER(A416)),"Date not recognized",IF(YEAR(A416)&lt;&gt;Settings!$C$4,"Not in "&amp;Settings!$C$4,IF(C416="","Category missing",IF(H416="",IF(COUNTIF(Categories!$A$6:$A$65,C416)&gt;0,"Category has no type","Category not in list"),IF(D416="","Amount missing",IF(NOT(ISNUMBER(D416)),"Amount is not a number",IF(F416="","",IF(ISNA(MATCH(F416,Lists!$G$2:$G$25,0)),"Goal / fund not in list",IF(H416="Income","Fund tag ignored on income","")))))))))))</f>
        <v/>
      </c>
    </row>
    <row r="417">
      <c r="A417" s="27" t="n">
        <v>46249</v>
      </c>
      <c r="B417" s="23" t="inlineStr">
        <is>
          <t>Museum</t>
        </is>
      </c>
      <c r="C417" s="23" t="inlineStr">
        <is>
          <t>Entertainment</t>
        </is>
      </c>
      <c r="D417" s="28" t="n">
        <v>30.37</v>
      </c>
      <c r="E417" s="23" t="inlineStr">
        <is>
          <t>Credit card</t>
        </is>
      </c>
      <c r="F417" s="23" t="n"/>
      <c r="G417" s="23" t="n"/>
      <c r="H417" s="29">
        <f>IF(C417="","",IFERROR(INDEX(Categories!$B$6:$B$65,MATCH(C417,Categories!$A$6:$A$65,0))&amp;"",""))</f>
        <v/>
      </c>
      <c r="I417" s="25">
        <f>IF(AND(A417="",C417="",D417=""),"",IF(A417="","Date missing",IF(NOT(ISNUMBER(A417)),"Date not recognized",IF(YEAR(A417)&lt;&gt;Settings!$C$4,"Not in "&amp;Settings!$C$4,IF(C417="","Category missing",IF(H417="",IF(COUNTIF(Categories!$A$6:$A$65,C417)&gt;0,"Category has no type","Category not in list"),IF(D417="","Amount missing",IF(NOT(ISNUMBER(D417)),"Amount is not a number",IF(F417="","",IF(ISNA(MATCH(F417,Lists!$G$2:$G$25,0)),"Goal / fund not in list",IF(H417="Income","Fund tag ignored on income","")))))))))))</f>
        <v/>
      </c>
    </row>
    <row r="418">
      <c r="A418" s="27" t="n">
        <v>46251</v>
      </c>
      <c r="B418" s="23" t="inlineStr">
        <is>
          <t>Supermarket</t>
        </is>
      </c>
      <c r="C418" s="23" t="inlineStr">
        <is>
          <t>Groceries</t>
        </is>
      </c>
      <c r="D418" s="28" t="n">
        <v>185.82</v>
      </c>
      <c r="E418" s="23" t="inlineStr">
        <is>
          <t>Debit card</t>
        </is>
      </c>
      <c r="F418" s="23" t="n"/>
      <c r="G418" s="23" t="n"/>
      <c r="H418" s="29">
        <f>IF(C418="","",IFERROR(INDEX(Categories!$B$6:$B$65,MATCH(C418,Categories!$A$6:$A$65,0))&amp;"",""))</f>
        <v/>
      </c>
      <c r="I418" s="25">
        <f>IF(AND(A418="",C418="",D418=""),"",IF(A418="","Date missing",IF(NOT(ISNUMBER(A418)),"Date not recognized",IF(YEAR(A418)&lt;&gt;Settings!$C$4,"Not in "&amp;Settings!$C$4,IF(C418="","Category missing",IF(H418="",IF(COUNTIF(Categories!$A$6:$A$65,C418)&gt;0,"Category has no type","Category not in list"),IF(D418="","Amount missing",IF(NOT(ISNUMBER(D418)),"Amount is not a number",IF(F418="","",IF(ISNA(MATCH(F418,Lists!$G$2:$G$25,0)),"Goal / fund not in list",IF(H418="Income","Fund tag ignored on income","")))))))))))</f>
        <v/>
      </c>
    </row>
    <row r="419">
      <c r="A419" s="27" t="n">
        <v>46251</v>
      </c>
      <c r="B419" s="23" t="inlineStr">
        <is>
          <t>Lunch out</t>
        </is>
      </c>
      <c r="C419" s="23" t="inlineStr">
        <is>
          <t>Dining out</t>
        </is>
      </c>
      <c r="D419" s="28" t="n">
        <v>28.57</v>
      </c>
      <c r="E419" s="23" t="inlineStr">
        <is>
          <t>Credit card</t>
        </is>
      </c>
      <c r="F419" s="23" t="n"/>
      <c r="G419" s="23" t="n"/>
      <c r="H419" s="29">
        <f>IF(C419="","",IFERROR(INDEX(Categories!$B$6:$B$65,MATCH(C419,Categories!$A$6:$A$65,0))&amp;"",""))</f>
        <v/>
      </c>
      <c r="I419" s="25">
        <f>IF(AND(A419="",C419="",D419=""),"",IF(A419="","Date missing",IF(NOT(ISNUMBER(A419)),"Date not recognized",IF(YEAR(A419)&lt;&gt;Settings!$C$4,"Not in "&amp;Settings!$C$4,IF(C419="","Category missing",IF(H419="",IF(COUNTIF(Categories!$A$6:$A$65,C419)&gt;0,"Category has no type","Category not in list"),IF(D419="","Amount missing",IF(NOT(ISNUMBER(D419)),"Amount is not a number",IF(F419="","",IF(ISNA(MATCH(F419,Lists!$G$2:$G$25,0)),"Goal / fund not in list",IF(H419="Income","Fund tag ignored on income","")))))))))))</f>
        <v/>
      </c>
    </row>
    <row r="420">
      <c r="A420" s="27" t="n">
        <v>46252</v>
      </c>
      <c r="B420" s="23" t="inlineStr">
        <is>
          <t>Electric bill</t>
        </is>
      </c>
      <c r="C420" s="23" t="inlineStr">
        <is>
          <t>Utilities</t>
        </is>
      </c>
      <c r="D420" s="28" t="n">
        <v>140.07</v>
      </c>
      <c r="E420" s="23" t="inlineStr">
        <is>
          <t>Checking</t>
        </is>
      </c>
      <c r="F420" s="23" t="n"/>
      <c r="G420" s="23" t="n"/>
      <c r="H420" s="29">
        <f>IF(C420="","",IFERROR(INDEX(Categories!$B$6:$B$65,MATCH(C420,Categories!$A$6:$A$65,0))&amp;"",""))</f>
        <v/>
      </c>
      <c r="I420" s="25">
        <f>IF(AND(A420="",C420="",D420=""),"",IF(A420="","Date missing",IF(NOT(ISNUMBER(A420)),"Date not recognized",IF(YEAR(A420)&lt;&gt;Settings!$C$4,"Not in "&amp;Settings!$C$4,IF(C420="","Category missing",IF(H420="",IF(COUNTIF(Categories!$A$6:$A$65,C420)&gt;0,"Category has no type","Category not in list"),IF(D420="","Amount missing",IF(NOT(ISNUMBER(D420)),"Amount is not a number",IF(F420="","",IF(ISNA(MATCH(F420,Lists!$G$2:$G$25,0)),"Goal / fund not in list",IF(H420="Income","Fund tag ignored on income","")))))))))))</f>
        <v/>
      </c>
    </row>
    <row r="421">
      <c r="A421" s="27" t="n">
        <v>46252</v>
      </c>
      <c r="B421" s="23" t="inlineStr">
        <is>
          <t>Haircut</t>
        </is>
      </c>
      <c r="C421" s="23" t="inlineStr">
        <is>
          <t>Personal care</t>
        </is>
      </c>
      <c r="D421" s="28" t="n">
        <v>23.11</v>
      </c>
      <c r="E421" s="23" t="inlineStr">
        <is>
          <t>Debit card</t>
        </is>
      </c>
      <c r="F421" s="23" t="n"/>
      <c r="G421" s="23" t="n"/>
      <c r="H421" s="29">
        <f>IF(C421="","",IFERROR(INDEX(Categories!$B$6:$B$65,MATCH(C421,Categories!$A$6:$A$65,0))&amp;"",""))</f>
        <v/>
      </c>
      <c r="I421" s="25">
        <f>IF(AND(A421="",C421="",D421=""),"",IF(A421="","Date missing",IF(NOT(ISNUMBER(A421)),"Date not recognized",IF(YEAR(A421)&lt;&gt;Settings!$C$4,"Not in "&amp;Settings!$C$4,IF(C421="","Category missing",IF(H421="",IF(COUNTIF(Categories!$A$6:$A$65,C421)&gt;0,"Category has no type","Category not in list"),IF(D421="","Amount missing",IF(NOT(ISNUMBER(D421)),"Amount is not a number",IF(F421="","",IF(ISNA(MATCH(F421,Lists!$G$2:$G$25,0)),"Goal / fund not in list",IF(H421="Income","Fund tag ignored on income","")))))))))))</f>
        <v/>
      </c>
    </row>
    <row r="422">
      <c r="A422" s="27" t="n">
        <v>46252</v>
      </c>
      <c r="B422" s="23" t="inlineStr">
        <is>
          <t>Board game</t>
        </is>
      </c>
      <c r="C422" s="23" t="inlineStr">
        <is>
          <t>Entertainment</t>
        </is>
      </c>
      <c r="D422" s="28" t="n">
        <v>43.01</v>
      </c>
      <c r="E422" s="23" t="inlineStr">
        <is>
          <t>Credit card</t>
        </is>
      </c>
      <c r="F422" s="23" t="n"/>
      <c r="G422" s="23" t="n"/>
      <c r="H422" s="29">
        <f>IF(C422="","",IFERROR(INDEX(Categories!$B$6:$B$65,MATCH(C422,Categories!$A$6:$A$65,0))&amp;"",""))</f>
        <v/>
      </c>
      <c r="I422" s="25">
        <f>IF(AND(A422="",C422="",D422=""),"",IF(A422="","Date missing",IF(NOT(ISNUMBER(A422)),"Date not recognized",IF(YEAR(A422)&lt;&gt;Settings!$C$4,"Not in "&amp;Settings!$C$4,IF(C422="","Category missing",IF(H422="",IF(COUNTIF(Categories!$A$6:$A$65,C422)&gt;0,"Category has no type","Category not in list"),IF(D422="","Amount missing",IF(NOT(ISNUMBER(D422)),"Amount is not a number",IF(F422="","",IF(ISNA(MATCH(F422,Lists!$G$2:$G$25,0)),"Goal / fund not in list",IF(H422="Income","Fund tag ignored on income","")))))))))))</f>
        <v/>
      </c>
    </row>
    <row r="423">
      <c r="A423" s="27" t="n">
        <v>46253</v>
      </c>
      <c r="B423" s="23" t="inlineStr">
        <is>
          <t>Takeout</t>
        </is>
      </c>
      <c r="C423" s="23" t="inlineStr">
        <is>
          <t>Dining out</t>
        </is>
      </c>
      <c r="D423" s="28" t="n">
        <v>21.56</v>
      </c>
      <c r="E423" s="23" t="inlineStr">
        <is>
          <t>Credit card</t>
        </is>
      </c>
      <c r="F423" s="23" t="n"/>
      <c r="G423" s="23" t="n"/>
      <c r="H423" s="29">
        <f>IF(C423="","",IFERROR(INDEX(Categories!$B$6:$B$65,MATCH(C423,Categories!$A$6:$A$65,0))&amp;"",""))</f>
        <v/>
      </c>
      <c r="I423" s="25">
        <f>IF(AND(A423="",C423="",D423=""),"",IF(A423="","Date missing",IF(NOT(ISNUMBER(A423)),"Date not recognized",IF(YEAR(A423)&lt;&gt;Settings!$C$4,"Not in "&amp;Settings!$C$4,IF(C423="","Category missing",IF(H423="",IF(COUNTIF(Categories!$A$6:$A$65,C423)&gt;0,"Category has no type","Category not in list"),IF(D423="","Amount missing",IF(NOT(ISNUMBER(D423)),"Amount is not a number",IF(F423="","",IF(ISNA(MATCH(F423,Lists!$G$2:$G$25,0)),"Goal / fund not in list",IF(H423="Income","Fund tag ignored on income","")))))))))))</f>
        <v/>
      </c>
    </row>
    <row r="424">
      <c r="A424" s="27" t="n">
        <v>46254</v>
      </c>
      <c r="B424" s="23" t="inlineStr">
        <is>
          <t>Gas bill</t>
        </is>
      </c>
      <c r="C424" s="23" t="inlineStr">
        <is>
          <t>Utilities</t>
        </is>
      </c>
      <c r="D424" s="28" t="n">
        <v>28.47</v>
      </c>
      <c r="E424" s="23" t="inlineStr">
        <is>
          <t>Checking</t>
        </is>
      </c>
      <c r="F424" s="23" t="n"/>
      <c r="G424" s="23" t="n"/>
      <c r="H424" s="29">
        <f>IF(C424="","",IFERROR(INDEX(Categories!$B$6:$B$65,MATCH(C424,Categories!$A$6:$A$65,0))&amp;"",""))</f>
        <v/>
      </c>
      <c r="I424" s="25">
        <f>IF(AND(A424="",C424="",D424=""),"",IF(A424="","Date missing",IF(NOT(ISNUMBER(A424)),"Date not recognized",IF(YEAR(A424)&lt;&gt;Settings!$C$4,"Not in "&amp;Settings!$C$4,IF(C424="","Category missing",IF(H424="",IF(COUNTIF(Categories!$A$6:$A$65,C424)&gt;0,"Category has no type","Category not in list"),IF(D424="","Amount missing",IF(NOT(ISNUMBER(D424)),"Amount is not a number",IF(F424="","",IF(ISNA(MATCH(F424,Lists!$G$2:$G$25,0)),"Goal / fund not in list",IF(H424="Income","Fund tag ignored on income","")))))))))))</f>
        <v/>
      </c>
    </row>
    <row r="425">
      <c r="A425" s="27" t="n">
        <v>46254</v>
      </c>
      <c r="B425" s="23" t="inlineStr">
        <is>
          <t>Gas station</t>
        </is>
      </c>
      <c r="C425" s="23" t="inlineStr">
        <is>
          <t>Transport / Gas</t>
        </is>
      </c>
      <c r="D425" s="28" t="n">
        <v>43.92</v>
      </c>
      <c r="E425" s="23" t="inlineStr">
        <is>
          <t>Credit card</t>
        </is>
      </c>
      <c r="F425" s="23" t="n"/>
      <c r="G425" s="23" t="n"/>
      <c r="H425" s="29">
        <f>IF(C425="","",IFERROR(INDEX(Categories!$B$6:$B$65,MATCH(C425,Categories!$A$6:$A$65,0))&amp;"",""))</f>
        <v/>
      </c>
      <c r="I425" s="25">
        <f>IF(AND(A425="",C425="",D425=""),"",IF(A425="","Date missing",IF(NOT(ISNUMBER(A425)),"Date not recognized",IF(YEAR(A425)&lt;&gt;Settings!$C$4,"Not in "&amp;Settings!$C$4,IF(C425="","Category missing",IF(H425="",IF(COUNTIF(Categories!$A$6:$A$65,C425)&gt;0,"Category has no type","Category not in list"),IF(D425="","Amount missing",IF(NOT(ISNUMBER(D425)),"Amount is not a number",IF(F425="","",IF(ISNA(MATCH(F425,Lists!$G$2:$G$25,0)),"Goal / fund not in list",IF(H425="Income","Fund tag ignored on income","")))))))))))</f>
        <v/>
      </c>
    </row>
    <row r="426">
      <c r="A426" s="27" t="n">
        <v>46254</v>
      </c>
      <c r="B426" s="23" t="inlineStr">
        <is>
          <t>School supplies</t>
        </is>
      </c>
      <c r="C426" s="23" t="inlineStr">
        <is>
          <t>Kids</t>
        </is>
      </c>
      <c r="D426" s="28" t="n">
        <v>145.6</v>
      </c>
      <c r="E426" s="23" t="inlineStr">
        <is>
          <t>Debit card</t>
        </is>
      </c>
      <c r="F426" s="23" t="n"/>
      <c r="G426" s="23" t="n"/>
      <c r="H426" s="29">
        <f>IF(C426="","",IFERROR(INDEX(Categories!$B$6:$B$65,MATCH(C426,Categories!$A$6:$A$65,0))&amp;"",""))</f>
        <v/>
      </c>
      <c r="I426" s="25">
        <f>IF(AND(A426="",C426="",D426=""),"",IF(A426="","Date missing",IF(NOT(ISNUMBER(A426)),"Date not recognized",IF(YEAR(A426)&lt;&gt;Settings!$C$4,"Not in "&amp;Settings!$C$4,IF(C426="","Category missing",IF(H426="",IF(COUNTIF(Categories!$A$6:$A$65,C426)&gt;0,"Category has no type","Category not in list"),IF(D426="","Amount missing",IF(NOT(ISNUMBER(D426)),"Amount is not a number",IF(F426="","",IF(ISNA(MATCH(F426,Lists!$G$2:$G$25,0)),"Goal / fund not in list",IF(H426="Income","Fund tag ignored on income","")))))))))))</f>
        <v/>
      </c>
    </row>
    <row r="427">
      <c r="A427" s="27" t="n">
        <v>46254</v>
      </c>
      <c r="B427" s="23" t="inlineStr">
        <is>
          <t>Credit card payment + extra</t>
        </is>
      </c>
      <c r="C427" s="23" t="inlineStr">
        <is>
          <t>Debt payments</t>
        </is>
      </c>
      <c r="D427" s="28" t="n">
        <v>260</v>
      </c>
      <c r="E427" s="23" t="inlineStr">
        <is>
          <t>Checking</t>
        </is>
      </c>
      <c r="F427" s="23" t="n"/>
      <c r="G427" s="23" t="n"/>
      <c r="H427" s="29">
        <f>IF(C427="","",IFERROR(INDEX(Categories!$B$6:$B$65,MATCH(C427,Categories!$A$6:$A$65,0))&amp;"",""))</f>
        <v/>
      </c>
      <c r="I427" s="25">
        <f>IF(AND(A427="",C427="",D427=""),"",IF(A427="","Date missing",IF(NOT(ISNUMBER(A427)),"Date not recognized",IF(YEAR(A427)&lt;&gt;Settings!$C$4,"Not in "&amp;Settings!$C$4,IF(C427="","Category missing",IF(H427="",IF(COUNTIF(Categories!$A$6:$A$65,C427)&gt;0,"Category has no type","Category not in list"),IF(D427="","Amount missing",IF(NOT(ISNUMBER(D427)),"Amount is not a number",IF(F427="","",IF(ISNA(MATCH(F427,Lists!$G$2:$G$25,0)),"Goal / fund not in list",IF(H427="Income","Fund tag ignored on income","")))))))))))</f>
        <v/>
      </c>
    </row>
    <row r="428">
      <c r="A428" s="27" t="n">
        <v>46254</v>
      </c>
      <c r="B428" s="23" t="inlineStr">
        <is>
          <t>Medical bill installment</t>
        </is>
      </c>
      <c r="C428" s="23" t="inlineStr">
        <is>
          <t>Debt payments</t>
        </is>
      </c>
      <c r="D428" s="28" t="n">
        <v>40</v>
      </c>
      <c r="E428" s="23" t="inlineStr">
        <is>
          <t>Checking</t>
        </is>
      </c>
      <c r="F428" s="23" t="n"/>
      <c r="G428" s="23" t="n"/>
      <c r="H428" s="29">
        <f>IF(C428="","",IFERROR(INDEX(Categories!$B$6:$B$65,MATCH(C428,Categories!$A$6:$A$65,0))&amp;"",""))</f>
        <v/>
      </c>
      <c r="I428" s="25">
        <f>IF(AND(A428="",C428="",D428=""),"",IF(A428="","Date missing",IF(NOT(ISNUMBER(A428)),"Date not recognized",IF(YEAR(A428)&lt;&gt;Settings!$C$4,"Not in "&amp;Settings!$C$4,IF(C428="","Category missing",IF(H428="",IF(COUNTIF(Categories!$A$6:$A$65,C428)&gt;0,"Category has no type","Category not in list"),IF(D428="","Amount missing",IF(NOT(ISNUMBER(D428)),"Amount is not a number",IF(F428="","",IF(ISNA(MATCH(F428,Lists!$G$2:$G$25,0)),"Goal / fund not in list",IF(H428="Income","Fund tag ignored on income","")))))))))))</f>
        <v/>
      </c>
    </row>
    <row r="429">
      <c r="A429" s="27" t="n">
        <v>46255</v>
      </c>
      <c r="B429" s="23" t="inlineStr">
        <is>
          <t>Personal loan payment</t>
        </is>
      </c>
      <c r="C429" s="23" t="inlineStr">
        <is>
          <t>Debt payments</t>
        </is>
      </c>
      <c r="D429" s="28" t="n">
        <v>210</v>
      </c>
      <c r="E429" s="23" t="inlineStr">
        <is>
          <t>Checking</t>
        </is>
      </c>
      <c r="F429" s="23" t="n"/>
      <c r="G429" s="23" t="n"/>
      <c r="H429" s="29">
        <f>IF(C429="","",IFERROR(INDEX(Categories!$B$6:$B$65,MATCH(C429,Categories!$A$6:$A$65,0))&amp;"",""))</f>
        <v/>
      </c>
      <c r="I429" s="25">
        <f>IF(AND(A429="",C429="",D429=""),"",IF(A429="","Date missing",IF(NOT(ISNUMBER(A429)),"Date not recognized",IF(YEAR(A429)&lt;&gt;Settings!$C$4,"Not in "&amp;Settings!$C$4,IF(C429="","Category missing",IF(H429="",IF(COUNTIF(Categories!$A$6:$A$65,C429)&gt;0,"Category has no type","Category not in list"),IF(D429="","Amount missing",IF(NOT(ISNUMBER(D429)),"Amount is not a number",IF(F429="","",IF(ISNA(MATCH(F429,Lists!$G$2:$G$25,0)),"Goal / fund not in list",IF(H429="Income","Fund tag ignored on income","")))))))))))</f>
        <v/>
      </c>
    </row>
    <row r="430">
      <c r="A430" s="27" t="n">
        <v>46256</v>
      </c>
      <c r="B430" s="23" t="inlineStr">
        <is>
          <t>Water &amp; trash</t>
        </is>
      </c>
      <c r="C430" s="23" t="inlineStr">
        <is>
          <t>Utilities</t>
        </is>
      </c>
      <c r="D430" s="28" t="n">
        <v>54.3</v>
      </c>
      <c r="E430" s="23" t="inlineStr">
        <is>
          <t>Checking</t>
        </is>
      </c>
      <c r="F430" s="23" t="n"/>
      <c r="G430" s="23" t="n"/>
      <c r="H430" s="29">
        <f>IF(C430="","",IFERROR(INDEX(Categories!$B$6:$B$65,MATCH(C430,Categories!$A$6:$A$65,0))&amp;"",""))</f>
        <v/>
      </c>
      <c r="I430" s="25">
        <f>IF(AND(A430="",C430="",D430=""),"",IF(A430="","Date missing",IF(NOT(ISNUMBER(A430)),"Date not recognized",IF(YEAR(A430)&lt;&gt;Settings!$C$4,"Not in "&amp;Settings!$C$4,IF(C430="","Category missing",IF(H430="",IF(COUNTIF(Categories!$A$6:$A$65,C430)&gt;0,"Category has no type","Category not in list"),IF(D430="","Amount missing",IF(NOT(ISNUMBER(D430)),"Amount is not a number",IF(F430="","",IF(ISNA(MATCH(F430,Lists!$G$2:$G$25,0)),"Goal / fund not in list",IF(H430="Income","Fund tag ignored on income","")))))))))))</f>
        <v/>
      </c>
    </row>
    <row r="431">
      <c r="A431" s="27" t="n">
        <v>46257</v>
      </c>
      <c r="B431" s="23" t="inlineStr">
        <is>
          <t>Brunch</t>
        </is>
      </c>
      <c r="C431" s="23" t="inlineStr">
        <is>
          <t>Dining out</t>
        </is>
      </c>
      <c r="D431" s="28" t="n">
        <v>53.77</v>
      </c>
      <c r="E431" s="23" t="inlineStr">
        <is>
          <t>Credit card</t>
        </is>
      </c>
      <c r="F431" s="23" t="n"/>
      <c r="G431" s="23" t="n"/>
      <c r="H431" s="29">
        <f>IF(C431="","",IFERROR(INDEX(Categories!$B$6:$B$65,MATCH(C431,Categories!$A$6:$A$65,0))&amp;"",""))</f>
        <v/>
      </c>
      <c r="I431" s="25">
        <f>IF(AND(A431="",C431="",D431=""),"",IF(A431="","Date missing",IF(NOT(ISNUMBER(A431)),"Date not recognized",IF(YEAR(A431)&lt;&gt;Settings!$C$4,"Not in "&amp;Settings!$C$4,IF(C431="","Category missing",IF(H431="",IF(COUNTIF(Categories!$A$6:$A$65,C431)&gt;0,"Category has no type","Category not in list"),IF(D431="","Amount missing",IF(NOT(ISNUMBER(D431)),"Amount is not a number",IF(F431="","",IF(ISNA(MATCH(F431,Lists!$G$2:$G$25,0)),"Goal / fund not in list",IF(H431="Income","Fund tag ignored on income","")))))))))))</f>
        <v/>
      </c>
    </row>
    <row r="432">
      <c r="A432" s="27" t="n">
        <v>46258</v>
      </c>
      <c r="B432" s="23" t="inlineStr">
        <is>
          <t>Farmers market</t>
        </is>
      </c>
      <c r="C432" s="23" t="inlineStr">
        <is>
          <t>Groceries</t>
        </is>
      </c>
      <c r="D432" s="28" t="n">
        <v>145.63</v>
      </c>
      <c r="E432" s="23" t="inlineStr">
        <is>
          <t>Debit card</t>
        </is>
      </c>
      <c r="F432" s="23" t="n"/>
      <c r="G432" s="23" t="n"/>
      <c r="H432" s="29">
        <f>IF(C432="","",IFERROR(INDEX(Categories!$B$6:$B$65,MATCH(C432,Categories!$A$6:$A$65,0))&amp;"",""))</f>
        <v/>
      </c>
      <c r="I432" s="25">
        <f>IF(AND(A432="",C432="",D432=""),"",IF(A432="","Date missing",IF(NOT(ISNUMBER(A432)),"Date not recognized",IF(YEAR(A432)&lt;&gt;Settings!$C$4,"Not in "&amp;Settings!$C$4,IF(C432="","Category missing",IF(H432="",IF(COUNTIF(Categories!$A$6:$A$65,C432)&gt;0,"Category has no type","Category not in list"),IF(D432="","Amount missing",IF(NOT(ISNUMBER(D432)),"Amount is not a number",IF(F432="","",IF(ISNA(MATCH(F432,Lists!$G$2:$G$25,0)),"Goal / fund not in list",IF(H432="Income","Fund tag ignored on income","")))))))))))</f>
        <v/>
      </c>
    </row>
    <row r="433">
      <c r="A433" s="27" t="n">
        <v>46258</v>
      </c>
      <c r="B433" s="23" t="inlineStr">
        <is>
          <t>Dinner out</t>
        </is>
      </c>
      <c r="C433" s="23" t="inlineStr">
        <is>
          <t>Dining out</t>
        </is>
      </c>
      <c r="D433" s="28" t="n">
        <v>59.58</v>
      </c>
      <c r="E433" s="23" t="inlineStr">
        <is>
          <t>Credit card</t>
        </is>
      </c>
      <c r="F433" s="23" t="n"/>
      <c r="G433" s="23" t="n"/>
      <c r="H433" s="29">
        <f>IF(C433="","",IFERROR(INDEX(Categories!$B$6:$B$65,MATCH(C433,Categories!$A$6:$A$65,0))&amp;"",""))</f>
        <v/>
      </c>
      <c r="I433" s="25">
        <f>IF(AND(A433="",C433="",D433=""),"",IF(A433="","Date missing",IF(NOT(ISNUMBER(A433)),"Date not recognized",IF(YEAR(A433)&lt;&gt;Settings!$C$4,"Not in "&amp;Settings!$C$4,IF(C433="","Category missing",IF(H433="",IF(COUNTIF(Categories!$A$6:$A$65,C433)&gt;0,"Category has no type","Category not in list"),IF(D433="","Amount missing",IF(NOT(ISNUMBER(D433)),"Amount is not a number",IF(F433="","",IF(ISNA(MATCH(F433,Lists!$G$2:$G$25,0)),"Goal / fund not in list",IF(H433="Income","Fund tag ignored on income","")))))))))))</f>
        <v/>
      </c>
    </row>
    <row r="434">
      <c r="A434" s="27" t="n">
        <v>46259</v>
      </c>
      <c r="B434" s="23" t="inlineStr">
        <is>
          <t>Kids clothes</t>
        </is>
      </c>
      <c r="C434" s="23" t="inlineStr">
        <is>
          <t>Kids</t>
        </is>
      </c>
      <c r="D434" s="28" t="n">
        <v>45.23</v>
      </c>
      <c r="E434" s="23" t="inlineStr">
        <is>
          <t>Debit card</t>
        </is>
      </c>
      <c r="F434" s="23" t="n"/>
      <c r="G434" s="23" t="n"/>
      <c r="H434" s="29">
        <f>IF(C434="","",IFERROR(INDEX(Categories!$B$6:$B$65,MATCH(C434,Categories!$A$6:$A$65,0))&amp;"",""))</f>
        <v/>
      </c>
      <c r="I434" s="25">
        <f>IF(AND(A434="",C434="",D434=""),"",IF(A434="","Date missing",IF(NOT(ISNUMBER(A434)),"Date not recognized",IF(YEAR(A434)&lt;&gt;Settings!$C$4,"Not in "&amp;Settings!$C$4,IF(C434="","Category missing",IF(H434="",IF(COUNTIF(Categories!$A$6:$A$65,C434)&gt;0,"Category has no type","Category not in list"),IF(D434="","Amount missing",IF(NOT(ISNUMBER(D434)),"Amount is not a number",IF(F434="","",IF(ISNA(MATCH(F434,Lists!$G$2:$G$25,0)),"Goal / fund not in list",IF(H434="Income","Fund tag ignored on income","")))))))))))</f>
        <v/>
      </c>
    </row>
    <row r="435">
      <c r="A435" s="27" t="n">
        <v>46259</v>
      </c>
      <c r="B435" s="23" t="inlineStr">
        <is>
          <t>Student loan payment</t>
        </is>
      </c>
      <c r="C435" s="23" t="inlineStr">
        <is>
          <t>Debt payments</t>
        </is>
      </c>
      <c r="D435" s="28" t="n">
        <v>165</v>
      </c>
      <c r="E435" s="23" t="inlineStr">
        <is>
          <t>Checking</t>
        </is>
      </c>
      <c r="F435" s="23" t="n"/>
      <c r="G435" s="23" t="n"/>
      <c r="H435" s="29">
        <f>IF(C435="","",IFERROR(INDEX(Categories!$B$6:$B$65,MATCH(C435,Categories!$A$6:$A$65,0))&amp;"",""))</f>
        <v/>
      </c>
      <c r="I435" s="25">
        <f>IF(AND(A435="",C435="",D435=""),"",IF(A435="","Date missing",IF(NOT(ISNUMBER(A435)),"Date not recognized",IF(YEAR(A435)&lt;&gt;Settings!$C$4,"Not in "&amp;Settings!$C$4,IF(C435="","Category missing",IF(H435="",IF(COUNTIF(Categories!$A$6:$A$65,C435)&gt;0,"Category has no type","Category not in list"),IF(D435="","Amount missing",IF(NOT(ISNUMBER(D435)),"Amount is not a number",IF(F435="","",IF(ISNA(MATCH(F435,Lists!$G$2:$G$25,0)),"Goal / fund not in list",IF(H435="Income","Fund tag ignored on income","")))))))))))</f>
        <v/>
      </c>
    </row>
    <row r="436">
      <c r="A436" s="27" t="n">
        <v>46260</v>
      </c>
      <c r="B436" s="23" t="inlineStr">
        <is>
          <t>Takeout</t>
        </is>
      </c>
      <c r="C436" s="23" t="inlineStr">
        <is>
          <t>Dining out</t>
        </is>
      </c>
      <c r="D436" s="28" t="n">
        <v>21.99</v>
      </c>
      <c r="E436" s="23" t="inlineStr">
        <is>
          <t>Credit card</t>
        </is>
      </c>
      <c r="F436" s="23" t="n"/>
      <c r="G436" s="23" t="n"/>
      <c r="H436" s="29">
        <f>IF(C436="","",IFERROR(INDEX(Categories!$B$6:$B$65,MATCH(C436,Categories!$A$6:$A$65,0))&amp;"",""))</f>
        <v/>
      </c>
      <c r="I436" s="25">
        <f>IF(AND(A436="",C436="",D436=""),"",IF(A436="","Date missing",IF(NOT(ISNUMBER(A436)),"Date not recognized",IF(YEAR(A436)&lt;&gt;Settings!$C$4,"Not in "&amp;Settings!$C$4,IF(C436="","Category missing",IF(H436="",IF(COUNTIF(Categories!$A$6:$A$65,C436)&gt;0,"Category has no type","Category not in list"),IF(D436="","Amount missing",IF(NOT(ISNUMBER(D436)),"Amount is not a number",IF(F436="","",IF(ISNA(MATCH(F436,Lists!$G$2:$G$25,0)),"Goal / fund not in list",IF(H436="Income","Fund tag ignored on income","")))))))))))</f>
        <v/>
      </c>
    </row>
    <row r="437">
      <c r="A437" s="27" t="n">
        <v>46261</v>
      </c>
      <c r="B437" s="23" t="inlineStr">
        <is>
          <t>Gas station</t>
        </is>
      </c>
      <c r="C437" s="23" t="inlineStr">
        <is>
          <t>Transport / Gas</t>
        </is>
      </c>
      <c r="D437" s="28" t="n">
        <v>40.12</v>
      </c>
      <c r="E437" s="23" t="inlineStr">
        <is>
          <t>Credit card</t>
        </is>
      </c>
      <c r="F437" s="23" t="n"/>
      <c r="G437" s="23" t="n"/>
      <c r="H437" s="29">
        <f>IF(C437="","",IFERROR(INDEX(Categories!$B$6:$B$65,MATCH(C437,Categories!$A$6:$A$65,0))&amp;"",""))</f>
        <v/>
      </c>
      <c r="I437" s="25">
        <f>IF(AND(A437="",C437="",D437=""),"",IF(A437="","Date missing",IF(NOT(ISNUMBER(A437)),"Date not recognized",IF(YEAR(A437)&lt;&gt;Settings!$C$4,"Not in "&amp;Settings!$C$4,IF(C437="","Category missing",IF(H437="",IF(COUNTIF(Categories!$A$6:$A$65,C437)&gt;0,"Category has no type","Category not in list"),IF(D437="","Amount missing",IF(NOT(ISNUMBER(D437)),"Amount is not a number",IF(F437="","",IF(ISNA(MATCH(F437,Lists!$G$2:$G$25,0)),"Goal / fund not in list",IF(H437="Income","Fund tag ignored on income","")))))))))))</f>
        <v/>
      </c>
    </row>
    <row r="438">
      <c r="A438" s="27" t="n">
        <v>46261</v>
      </c>
      <c r="B438" s="23" t="inlineStr">
        <is>
          <t>Doctor copay</t>
        </is>
      </c>
      <c r="C438" s="23" t="inlineStr">
        <is>
          <t>Health</t>
        </is>
      </c>
      <c r="D438" s="28" t="n">
        <v>42.68</v>
      </c>
      <c r="E438" s="23" t="inlineStr">
        <is>
          <t>Debit card</t>
        </is>
      </c>
      <c r="F438" s="23" t="n"/>
      <c r="G438" s="23" t="n"/>
      <c r="H438" s="29">
        <f>IF(C438="","",IFERROR(INDEX(Categories!$B$6:$B$65,MATCH(C438,Categories!$A$6:$A$65,0))&amp;"",""))</f>
        <v/>
      </c>
      <c r="I438" s="25">
        <f>IF(AND(A438="",C438="",D438=""),"",IF(A438="","Date missing",IF(NOT(ISNUMBER(A438)),"Date not recognized",IF(YEAR(A438)&lt;&gt;Settings!$C$4,"Not in "&amp;Settings!$C$4,IF(C438="","Category missing",IF(H438="",IF(COUNTIF(Categories!$A$6:$A$65,C438)&gt;0,"Category has no type","Category not in list"),IF(D438="","Amount missing",IF(NOT(ISNUMBER(D438)),"Amount is not a number",IF(F438="","",IF(ISNA(MATCH(F438,Lists!$G$2:$G$25,0)),"Goal / fund not in list",IF(H438="Income","Fund tag ignored on income","")))))))))))</f>
        <v/>
      </c>
    </row>
    <row r="439">
      <c r="A439" s="27" t="n">
        <v>46262</v>
      </c>
      <c r="B439" s="23" t="inlineStr">
        <is>
          <t>Sam paycheck</t>
        </is>
      </c>
      <c r="C439" s="23" t="inlineStr">
        <is>
          <t>Paycheck 2</t>
        </is>
      </c>
      <c r="D439" s="28" t="n">
        <v>2950</v>
      </c>
      <c r="E439" s="23" t="inlineStr">
        <is>
          <t>Checking</t>
        </is>
      </c>
      <c r="F439" s="23" t="n"/>
      <c r="G439" s="23" t="n"/>
      <c r="H439" s="29">
        <f>IF(C439="","",IFERROR(INDEX(Categories!$B$6:$B$65,MATCH(C439,Categories!$A$6:$A$65,0))&amp;"",""))</f>
        <v/>
      </c>
      <c r="I439" s="25">
        <f>IF(AND(A439="",C439="",D439=""),"",IF(A439="","Date missing",IF(NOT(ISNUMBER(A439)),"Date not recognized",IF(YEAR(A439)&lt;&gt;Settings!$C$4,"Not in "&amp;Settings!$C$4,IF(C439="","Category missing",IF(H439="",IF(COUNTIF(Categories!$A$6:$A$65,C439)&gt;0,"Category has no type","Category not in list"),IF(D439="","Amount missing",IF(NOT(ISNUMBER(D439)),"Amount is not a number",IF(F439="","",IF(ISNA(MATCH(F439,Lists!$G$2:$G$25,0)),"Goal / fund not in list",IF(H439="Income","Fund tag ignored on income","")))))))))))</f>
        <v/>
      </c>
    </row>
    <row r="440">
      <c r="A440" s="27" t="n">
        <v>46262</v>
      </c>
      <c r="B440" s="23" t="inlineStr">
        <is>
          <t>Light bulbs</t>
        </is>
      </c>
      <c r="C440" s="23" t="inlineStr">
        <is>
          <t>Home &amp; repairs</t>
        </is>
      </c>
      <c r="D440" s="28" t="n">
        <v>50.68</v>
      </c>
      <c r="E440" s="23" t="inlineStr">
        <is>
          <t>Debit card</t>
        </is>
      </c>
      <c r="F440" s="23" t="n"/>
      <c r="G440" s="23" t="n"/>
      <c r="H440" s="29">
        <f>IF(C440="","",IFERROR(INDEX(Categories!$B$6:$B$65,MATCH(C440,Categories!$A$6:$A$65,0))&amp;"",""))</f>
        <v/>
      </c>
      <c r="I440" s="25">
        <f>IF(AND(A440="",C440="",D440=""),"",IF(A440="","Date missing",IF(NOT(ISNUMBER(A440)),"Date not recognized",IF(YEAR(A440)&lt;&gt;Settings!$C$4,"Not in "&amp;Settings!$C$4,IF(C440="","Category missing",IF(H440="",IF(COUNTIF(Categories!$A$6:$A$65,C440)&gt;0,"Category has no type","Category not in list"),IF(D440="","Amount missing",IF(NOT(ISNUMBER(D440)),"Amount is not a number",IF(F440="","",IF(ISNA(MATCH(F440,Lists!$G$2:$G$25,0)),"Goal / fund not in list",IF(H440="Income","Fund tag ignored on income","")))))))))))</f>
        <v/>
      </c>
    </row>
    <row r="441">
      <c r="A441" s="27" t="n">
        <v>46264</v>
      </c>
      <c r="B441" s="23" t="inlineStr">
        <is>
          <t>Supermarket</t>
        </is>
      </c>
      <c r="C441" s="23" t="inlineStr">
        <is>
          <t>Groceries</t>
        </is>
      </c>
      <c r="D441" s="28" t="n">
        <v>138.46</v>
      </c>
      <c r="E441" s="23" t="inlineStr">
        <is>
          <t>Debit card</t>
        </is>
      </c>
      <c r="F441" s="23" t="n"/>
      <c r="G441" s="23" t="n"/>
      <c r="H441" s="29">
        <f>IF(C441="","",IFERROR(INDEX(Categories!$B$6:$B$65,MATCH(C441,Categories!$A$6:$A$65,0))&amp;"",""))</f>
        <v/>
      </c>
      <c r="I441" s="25">
        <f>IF(AND(A441="",C441="",D441=""),"",IF(A441="","Date missing",IF(NOT(ISNUMBER(A441)),"Date not recognized",IF(YEAR(A441)&lt;&gt;Settings!$C$4,"Not in "&amp;Settings!$C$4,IF(C441="","Category missing",IF(H441="",IF(COUNTIF(Categories!$A$6:$A$65,C441)&gt;0,"Category has no type","Category not in list"),IF(D441="","Amount missing",IF(NOT(ISNUMBER(D441)),"Amount is not a number",IF(F441="","",IF(ISNA(MATCH(F441,Lists!$G$2:$G$25,0)),"Goal / fund not in list",IF(H441="Income","Fund tag ignored on income","")))))))))))</f>
        <v/>
      </c>
    </row>
    <row r="442">
      <c r="A442" s="27" t="n">
        <v>46266</v>
      </c>
      <c r="B442" s="23" t="inlineStr">
        <is>
          <t>Alex paycheck</t>
        </is>
      </c>
      <c r="C442" s="23" t="inlineStr">
        <is>
          <t>Paycheck 1</t>
        </is>
      </c>
      <c r="D442" s="28" t="n">
        <v>2100</v>
      </c>
      <c r="E442" s="23" t="inlineStr">
        <is>
          <t>Checking</t>
        </is>
      </c>
      <c r="F442" s="23" t="n"/>
      <c r="G442" s="23" t="n"/>
      <c r="H442" s="29">
        <f>IF(C442="","",IFERROR(INDEX(Categories!$B$6:$B$65,MATCH(C442,Categories!$A$6:$A$65,0))&amp;"",""))</f>
        <v/>
      </c>
      <c r="I442" s="25">
        <f>IF(AND(A442="",C442="",D442=""),"",IF(A442="","Date missing",IF(NOT(ISNUMBER(A442)),"Date not recognized",IF(YEAR(A442)&lt;&gt;Settings!$C$4,"Not in "&amp;Settings!$C$4,IF(C442="","Category missing",IF(H442="",IF(COUNTIF(Categories!$A$6:$A$65,C442)&gt;0,"Category has no type","Category not in list"),IF(D442="","Amount missing",IF(NOT(ISNUMBER(D442)),"Amount is not a number",IF(F442="","",IF(ISNA(MATCH(F442,Lists!$G$2:$G$25,0)),"Goal / fund not in list",IF(H442="Income","Fund tag ignored on income","")))))))))))</f>
        <v/>
      </c>
    </row>
    <row r="443">
      <c r="A443" s="27" t="n">
        <v>46266</v>
      </c>
      <c r="B443" s="23" t="inlineStr">
        <is>
          <t>Rent</t>
        </is>
      </c>
      <c r="C443" s="23" t="inlineStr">
        <is>
          <t>Rent / Mortgage</t>
        </is>
      </c>
      <c r="D443" s="28" t="n">
        <v>1850</v>
      </c>
      <c r="E443" s="23" t="inlineStr">
        <is>
          <t>Checking</t>
        </is>
      </c>
      <c r="F443" s="23" t="n"/>
      <c r="G443" s="23" t="n"/>
      <c r="H443" s="29">
        <f>IF(C443="","",IFERROR(INDEX(Categories!$B$6:$B$65,MATCH(C443,Categories!$A$6:$A$65,0))&amp;"",""))</f>
        <v/>
      </c>
      <c r="I443" s="25">
        <f>IF(AND(A443="",C443="",D443=""),"",IF(A443="","Date missing",IF(NOT(ISNUMBER(A443)),"Date not recognized",IF(YEAR(A443)&lt;&gt;Settings!$C$4,"Not in "&amp;Settings!$C$4,IF(C443="","Category missing",IF(H443="",IF(COUNTIF(Categories!$A$6:$A$65,C443)&gt;0,"Category has no type","Category not in list"),IF(D443="","Amount missing",IF(NOT(ISNUMBER(D443)),"Amount is not a number",IF(F443="","",IF(ISNA(MATCH(F443,Lists!$G$2:$G$25,0)),"Goal / fund not in list",IF(H443="Income","Fund tag ignored on income","")))))))))))</f>
        <v/>
      </c>
    </row>
    <row r="444">
      <c r="A444" s="27" t="n">
        <v>46266</v>
      </c>
      <c r="B444" s="23" t="inlineStr">
        <is>
          <t>After-school program</t>
        </is>
      </c>
      <c r="C444" s="23" t="inlineStr">
        <is>
          <t>Kids</t>
        </is>
      </c>
      <c r="D444" s="28" t="n">
        <v>320</v>
      </c>
      <c r="E444" s="23" t="inlineStr">
        <is>
          <t>Checking</t>
        </is>
      </c>
      <c r="F444" s="23" t="n"/>
      <c r="G444" s="23" t="n"/>
      <c r="H444" s="29">
        <f>IF(C444="","",IFERROR(INDEX(Categories!$B$6:$B$65,MATCH(C444,Categories!$A$6:$A$65,0))&amp;"",""))</f>
        <v/>
      </c>
      <c r="I444" s="25">
        <f>IF(AND(A444="",C444="",D444=""),"",IF(A444="","Date missing",IF(NOT(ISNUMBER(A444)),"Date not recognized",IF(YEAR(A444)&lt;&gt;Settings!$C$4,"Not in "&amp;Settings!$C$4,IF(C444="","Category missing",IF(H444="",IF(COUNTIF(Categories!$A$6:$A$65,C444)&gt;0,"Category has no type","Category not in list"),IF(D444="","Amount missing",IF(NOT(ISNUMBER(D444)),"Amount is not a number",IF(F444="","",IF(ISNA(MATCH(F444,Lists!$G$2:$G$25,0)),"Goal / fund not in list",IF(H444="Income","Fund tag ignored on income","")))))))))))</f>
        <v/>
      </c>
    </row>
    <row r="445">
      <c r="A445" s="27" t="n">
        <v>46267</v>
      </c>
      <c r="B445" s="23" t="inlineStr">
        <is>
          <t>Gym membership</t>
        </is>
      </c>
      <c r="C445" s="23" t="inlineStr">
        <is>
          <t>Subscriptions</t>
        </is>
      </c>
      <c r="D445" s="28" t="n">
        <v>45</v>
      </c>
      <c r="E445" s="23" t="inlineStr">
        <is>
          <t>Checking</t>
        </is>
      </c>
      <c r="F445" s="23" t="n"/>
      <c r="G445" s="23" t="n"/>
      <c r="H445" s="29">
        <f>IF(C445="","",IFERROR(INDEX(Categories!$B$6:$B$65,MATCH(C445,Categories!$A$6:$A$65,0))&amp;"",""))</f>
        <v/>
      </c>
      <c r="I445" s="25">
        <f>IF(AND(A445="",C445="",D445=""),"",IF(A445="","Date missing",IF(NOT(ISNUMBER(A445)),"Date not recognized",IF(YEAR(A445)&lt;&gt;Settings!$C$4,"Not in "&amp;Settings!$C$4,IF(C445="","Category missing",IF(H445="",IF(COUNTIF(Categories!$A$6:$A$65,C445)&gt;0,"Category has no type","Category not in list"),IF(D445="","Amount missing",IF(NOT(ISNUMBER(D445)),"Amount is not a number",IF(F445="","",IF(ISNA(MATCH(F445,Lists!$G$2:$G$25,0)),"Goal / fund not in list",IF(H445="Income","Fund tag ignored on income","")))))))))))</f>
        <v/>
      </c>
    </row>
    <row r="446">
      <c r="A446" s="27" t="n">
        <v>46267</v>
      </c>
      <c r="B446" s="23" t="inlineStr">
        <is>
          <t>Concert</t>
        </is>
      </c>
      <c r="C446" s="23" t="inlineStr">
        <is>
          <t>Entertainment</t>
        </is>
      </c>
      <c r="D446" s="28" t="n">
        <v>37.31</v>
      </c>
      <c r="E446" s="23" t="inlineStr">
        <is>
          <t>Credit card</t>
        </is>
      </c>
      <c r="F446" s="23" t="n"/>
      <c r="G446" s="23" t="n"/>
      <c r="H446" s="29">
        <f>IF(C446="","",IFERROR(INDEX(Categories!$B$6:$B$65,MATCH(C446,Categories!$A$6:$A$65,0))&amp;"",""))</f>
        <v/>
      </c>
      <c r="I446" s="25">
        <f>IF(AND(A446="",C446="",D446=""),"",IF(A446="","Date missing",IF(NOT(ISNUMBER(A446)),"Date not recognized",IF(YEAR(A446)&lt;&gt;Settings!$C$4,"Not in "&amp;Settings!$C$4,IF(C446="","Category missing",IF(H446="",IF(COUNTIF(Categories!$A$6:$A$65,C446)&gt;0,"Category has no type","Category not in list"),IF(D446="","Amount missing",IF(NOT(ISNUMBER(D446)),"Amount is not a number",IF(F446="","",IF(ISNA(MATCH(F446,Lists!$G$2:$G$25,0)),"Goal / fund not in list",IF(H446="Income","Fund tag ignored on income","")))))))))))</f>
        <v/>
      </c>
    </row>
    <row r="447">
      <c r="A447" s="27" t="n">
        <v>46267</v>
      </c>
      <c r="B447" s="23" t="inlineStr">
        <is>
          <t>Office supplies</t>
        </is>
      </c>
      <c r="C447" s="23" t="inlineStr">
        <is>
          <t>Misc</t>
        </is>
      </c>
      <c r="D447" s="28" t="n">
        <v>12</v>
      </c>
      <c r="E447" s="23" t="inlineStr">
        <is>
          <t>Cash</t>
        </is>
      </c>
      <c r="F447" s="23" t="n"/>
      <c r="G447" s="23" t="n"/>
      <c r="H447" s="29">
        <f>IF(C447="","",IFERROR(INDEX(Categories!$B$6:$B$65,MATCH(C447,Categories!$A$6:$A$65,0))&amp;"",""))</f>
        <v/>
      </c>
      <c r="I447" s="25">
        <f>IF(AND(A447="",C447="",D447=""),"",IF(A447="","Date missing",IF(NOT(ISNUMBER(A447)),"Date not recognized",IF(YEAR(A447)&lt;&gt;Settings!$C$4,"Not in "&amp;Settings!$C$4,IF(C447="","Category missing",IF(H447="",IF(COUNTIF(Categories!$A$6:$A$65,C447)&gt;0,"Category has no type","Category not in list"),IF(D447="","Amount missing",IF(NOT(ISNUMBER(D447)),"Amount is not a number",IF(F447="","",IF(ISNA(MATCH(F447,Lists!$G$2:$G$25,0)),"Goal / fund not in list",IF(H447="Income","Fund tag ignored on income","")))))))))))</f>
        <v/>
      </c>
    </row>
    <row r="448">
      <c r="A448" s="27" t="n">
        <v>46267</v>
      </c>
      <c r="B448" s="23" t="inlineStr">
        <is>
          <t>Transfer to emergency fund</t>
        </is>
      </c>
      <c r="C448" s="23" t="inlineStr">
        <is>
          <t>Emergency fund</t>
        </is>
      </c>
      <c r="D448" s="28" t="n">
        <v>300</v>
      </c>
      <c r="E448" s="23" t="inlineStr">
        <is>
          <t>Savings</t>
        </is>
      </c>
      <c r="F448" s="23" t="inlineStr">
        <is>
          <t>Emergency fund</t>
        </is>
      </c>
      <c r="G448" s="23" t="n"/>
      <c r="H448" s="29">
        <f>IF(C448="","",IFERROR(INDEX(Categories!$B$6:$B$65,MATCH(C448,Categories!$A$6:$A$65,0))&amp;"",""))</f>
        <v/>
      </c>
      <c r="I448" s="25">
        <f>IF(AND(A448="",C448="",D448=""),"",IF(A448="","Date missing",IF(NOT(ISNUMBER(A448)),"Date not recognized",IF(YEAR(A448)&lt;&gt;Settings!$C$4,"Not in "&amp;Settings!$C$4,IF(C448="","Category missing",IF(H448="",IF(COUNTIF(Categories!$A$6:$A$65,C448)&gt;0,"Category has no type","Category not in list"),IF(D448="","Amount missing",IF(NOT(ISNUMBER(D448)),"Amount is not a number",IF(F448="","",IF(ISNA(MATCH(F448,Lists!$G$2:$G$25,0)),"Goal / fund not in list",IF(H448="Income","Fund tag ignored on income","")))))))))))</f>
        <v/>
      </c>
    </row>
    <row r="449">
      <c r="A449" s="27" t="n">
        <v>46267</v>
      </c>
      <c r="B449" s="23" t="inlineStr">
        <is>
          <t>Transfer: house fund</t>
        </is>
      </c>
      <c r="C449" s="23" t="inlineStr">
        <is>
          <t>Savings goals</t>
        </is>
      </c>
      <c r="D449" s="28" t="n">
        <v>300</v>
      </c>
      <c r="E449" s="23" t="inlineStr">
        <is>
          <t>Savings</t>
        </is>
      </c>
      <c r="F449" s="23" t="inlineStr">
        <is>
          <t>House down payment</t>
        </is>
      </c>
      <c r="G449" s="23" t="n"/>
      <c r="H449" s="29">
        <f>IF(C449="","",IFERROR(INDEX(Categories!$B$6:$B$65,MATCH(C449,Categories!$A$6:$A$65,0))&amp;"",""))</f>
        <v/>
      </c>
      <c r="I449" s="25">
        <f>IF(AND(A449="",C449="",D449=""),"",IF(A449="","Date missing",IF(NOT(ISNUMBER(A449)),"Date not recognized",IF(YEAR(A449)&lt;&gt;Settings!$C$4,"Not in "&amp;Settings!$C$4,IF(C449="","Category missing",IF(H449="",IF(COUNTIF(Categories!$A$6:$A$65,C449)&gt;0,"Category has no type","Category not in list"),IF(D449="","Amount missing",IF(NOT(ISNUMBER(D449)),"Amount is not a number",IF(F449="","",IF(ISNA(MATCH(F449,Lists!$G$2:$G$25,0)),"Goal / fund not in list",IF(H449="Income","Fund tag ignored on income","")))))))))))</f>
        <v/>
      </c>
    </row>
    <row r="450">
      <c r="A450" s="27" t="n">
        <v>46267</v>
      </c>
      <c r="B450" s="23" t="inlineStr">
        <is>
          <t>Transfer: laptop</t>
        </is>
      </c>
      <c r="C450" s="23" t="inlineStr">
        <is>
          <t>Savings goals</t>
        </is>
      </c>
      <c r="D450" s="28" t="n">
        <v>100</v>
      </c>
      <c r="E450" s="23" t="inlineStr">
        <is>
          <t>Savings</t>
        </is>
      </c>
      <c r="F450" s="23" t="inlineStr">
        <is>
          <t>New laptop</t>
        </is>
      </c>
      <c r="G450" s="23" t="n"/>
      <c r="H450" s="29">
        <f>IF(C450="","",IFERROR(INDEX(Categories!$B$6:$B$65,MATCH(C450,Categories!$A$6:$A$65,0))&amp;"",""))</f>
        <v/>
      </c>
      <c r="I450" s="25">
        <f>IF(AND(A450="",C450="",D450=""),"",IF(A450="","Date missing",IF(NOT(ISNUMBER(A450)),"Date not recognized",IF(YEAR(A450)&lt;&gt;Settings!$C$4,"Not in "&amp;Settings!$C$4,IF(C450="","Category missing",IF(H450="",IF(COUNTIF(Categories!$A$6:$A$65,C450)&gt;0,"Category has no type","Category not in list"),IF(D450="","Amount missing",IF(NOT(ISNUMBER(D450)),"Amount is not a number",IF(F450="","",IF(ISNA(MATCH(F450,Lists!$G$2:$G$25,0)),"Goal / fund not in list",IF(H450="Income","Fund tag ignored on income","")))))))))))</f>
        <v/>
      </c>
    </row>
    <row r="451">
      <c r="A451" s="27" t="n">
        <v>46267</v>
      </c>
      <c r="B451" s="23" t="inlineStr">
        <is>
          <t>Set aside: car maintenance</t>
        </is>
      </c>
      <c r="C451" s="23" t="inlineStr">
        <is>
          <t>Sinking funds</t>
        </is>
      </c>
      <c r="D451" s="28" t="n">
        <v>60</v>
      </c>
      <c r="E451" s="23" t="inlineStr">
        <is>
          <t>Savings</t>
        </is>
      </c>
      <c r="F451" s="23" t="inlineStr">
        <is>
          <t>Car maintenance</t>
        </is>
      </c>
      <c r="G451" s="23" t="n"/>
      <c r="H451" s="29">
        <f>IF(C451="","",IFERROR(INDEX(Categories!$B$6:$B$65,MATCH(C451,Categories!$A$6:$A$65,0))&amp;"",""))</f>
        <v/>
      </c>
      <c r="I451" s="25">
        <f>IF(AND(A451="",C451="",D451=""),"",IF(A451="","Date missing",IF(NOT(ISNUMBER(A451)),"Date not recognized",IF(YEAR(A451)&lt;&gt;Settings!$C$4,"Not in "&amp;Settings!$C$4,IF(C451="","Category missing",IF(H451="",IF(COUNTIF(Categories!$A$6:$A$65,C451)&gt;0,"Category has no type","Category not in list"),IF(D451="","Amount missing",IF(NOT(ISNUMBER(D451)),"Amount is not a number",IF(F451="","",IF(ISNA(MATCH(F451,Lists!$G$2:$G$25,0)),"Goal / fund not in list",IF(H451="Income","Fund tag ignored on income","")))))))))))</f>
        <v/>
      </c>
    </row>
    <row r="452">
      <c r="A452" s="27" t="n">
        <v>46267</v>
      </c>
      <c r="B452" s="23" t="inlineStr">
        <is>
          <t>Set aside: holiday gifts</t>
        </is>
      </c>
      <c r="C452" s="23" t="inlineStr">
        <is>
          <t>Sinking funds</t>
        </is>
      </c>
      <c r="D452" s="28" t="n">
        <v>50</v>
      </c>
      <c r="E452" s="23" t="inlineStr">
        <is>
          <t>Savings</t>
        </is>
      </c>
      <c r="F452" s="23" t="inlineStr">
        <is>
          <t>Holiday gifts</t>
        </is>
      </c>
      <c r="G452" s="23" t="n"/>
      <c r="H452" s="29">
        <f>IF(C452="","",IFERROR(INDEX(Categories!$B$6:$B$65,MATCH(C452,Categories!$A$6:$A$65,0))&amp;"",""))</f>
        <v/>
      </c>
      <c r="I452" s="25">
        <f>IF(AND(A452="",C452="",D452=""),"",IF(A452="","Date missing",IF(NOT(ISNUMBER(A452)),"Date not recognized",IF(YEAR(A452)&lt;&gt;Settings!$C$4,"Not in "&amp;Settings!$C$4,IF(C452="","Category missing",IF(H452="",IF(COUNTIF(Categories!$A$6:$A$65,C452)&gt;0,"Category has no type","Category not in list"),IF(D452="","Amount missing",IF(NOT(ISNUMBER(D452)),"Amount is not a number",IF(F452="","",IF(ISNA(MATCH(F452,Lists!$G$2:$G$25,0)),"Goal / fund not in list",IF(H452="Income","Fund tag ignored on income","")))))))))))</f>
        <v/>
      </c>
    </row>
    <row r="453">
      <c r="A453" s="27" t="n">
        <v>46267</v>
      </c>
      <c r="B453" s="23" t="inlineStr">
        <is>
          <t>Set aside: summer vacation</t>
        </is>
      </c>
      <c r="C453" s="23" t="inlineStr">
        <is>
          <t>Sinking funds</t>
        </is>
      </c>
      <c r="D453" s="28" t="n">
        <v>150</v>
      </c>
      <c r="E453" s="23" t="inlineStr">
        <is>
          <t>Savings</t>
        </is>
      </c>
      <c r="F453" s="23" t="inlineStr">
        <is>
          <t>Summer vacation</t>
        </is>
      </c>
      <c r="G453" s="23" t="n"/>
      <c r="H453" s="29">
        <f>IF(C453="","",IFERROR(INDEX(Categories!$B$6:$B$65,MATCH(C453,Categories!$A$6:$A$65,0))&amp;"",""))</f>
        <v/>
      </c>
      <c r="I453" s="25">
        <f>IF(AND(A453="",C453="",D453=""),"",IF(A453="","Date missing",IF(NOT(ISNUMBER(A453)),"Date not recognized",IF(YEAR(A453)&lt;&gt;Settings!$C$4,"Not in "&amp;Settings!$C$4,IF(C453="","Category missing",IF(H453="",IF(COUNTIF(Categories!$A$6:$A$65,C453)&gt;0,"Category has no type","Category not in list"),IF(D453="","Amount missing",IF(NOT(ISNUMBER(D453)),"Amount is not a number",IF(F453="","",IF(ISNA(MATCH(F453,Lists!$G$2:$G$25,0)),"Goal / fund not in list",IF(H453="Income","Fund tag ignored on income","")))))))))))</f>
        <v/>
      </c>
    </row>
    <row r="454">
      <c r="A454" s="27" t="n">
        <v>46267</v>
      </c>
      <c r="B454" s="23" t="inlineStr">
        <is>
          <t>Set aside: home repairs</t>
        </is>
      </c>
      <c r="C454" s="23" t="inlineStr">
        <is>
          <t>Sinking funds</t>
        </is>
      </c>
      <c r="D454" s="28" t="n">
        <v>40</v>
      </c>
      <c r="E454" s="23" t="inlineStr">
        <is>
          <t>Savings</t>
        </is>
      </c>
      <c r="F454" s="23" t="inlineStr">
        <is>
          <t>Home repairs</t>
        </is>
      </c>
      <c r="G454" s="23" t="n"/>
      <c r="H454" s="29">
        <f>IF(C454="","",IFERROR(INDEX(Categories!$B$6:$B$65,MATCH(C454,Categories!$A$6:$A$65,0))&amp;"",""))</f>
        <v/>
      </c>
      <c r="I454" s="25">
        <f>IF(AND(A454="",C454="",D454=""),"",IF(A454="","Date missing",IF(NOT(ISNUMBER(A454)),"Date not recognized",IF(YEAR(A454)&lt;&gt;Settings!$C$4,"Not in "&amp;Settings!$C$4,IF(C454="","Category missing",IF(H454="",IF(COUNTIF(Categories!$A$6:$A$65,C454)&gt;0,"Category has no type","Category not in list"),IF(D454="","Amount missing",IF(NOT(ISNUMBER(D454)),"Amount is not a number",IF(F454="","",IF(ISNA(MATCH(F454,Lists!$G$2:$G$25,0)),"Goal / fund not in list",IF(H454="Income","Fund tag ignored on income","")))))))))))</f>
        <v/>
      </c>
    </row>
    <row r="455">
      <c r="A455" s="27" t="n">
        <v>46268</v>
      </c>
      <c r="B455" s="23" t="inlineStr">
        <is>
          <t>Video streaming</t>
        </is>
      </c>
      <c r="C455" s="23" t="inlineStr">
        <is>
          <t>Subscriptions</t>
        </is>
      </c>
      <c r="D455" s="28" t="n">
        <v>15.49</v>
      </c>
      <c r="E455" s="23" t="inlineStr">
        <is>
          <t>Credit card</t>
        </is>
      </c>
      <c r="F455" s="23" t="n"/>
      <c r="G455" s="23" t="n"/>
      <c r="H455" s="29">
        <f>IF(C455="","",IFERROR(INDEX(Categories!$B$6:$B$65,MATCH(C455,Categories!$A$6:$A$65,0))&amp;"",""))</f>
        <v/>
      </c>
      <c r="I455" s="25">
        <f>IF(AND(A455="",C455="",D455=""),"",IF(A455="","Date missing",IF(NOT(ISNUMBER(A455)),"Date not recognized",IF(YEAR(A455)&lt;&gt;Settings!$C$4,"Not in "&amp;Settings!$C$4,IF(C455="","Category missing",IF(H455="",IF(COUNTIF(Categories!$A$6:$A$65,C455)&gt;0,"Category has no type","Category not in list"),IF(D455="","Amount missing",IF(NOT(ISNUMBER(D455)),"Amount is not a number",IF(F455="","",IF(ISNA(MATCH(F455,Lists!$G$2:$G$25,0)),"Goal / fund not in list",IF(H455="Income","Fund tag ignored on income","")))))))))))</f>
        <v/>
      </c>
    </row>
    <row r="456">
      <c r="A456" s="27" t="n">
        <v>46268</v>
      </c>
      <c r="B456" s="23" t="inlineStr">
        <is>
          <t>Warehouse store</t>
        </is>
      </c>
      <c r="C456" s="23" t="inlineStr">
        <is>
          <t>Groceries</t>
        </is>
      </c>
      <c r="D456" s="28" t="n">
        <v>187.64</v>
      </c>
      <c r="E456" s="23" t="inlineStr">
        <is>
          <t>Debit card</t>
        </is>
      </c>
      <c r="F456" s="23" t="n"/>
      <c r="G456" s="23" t="n"/>
      <c r="H456" s="29">
        <f>IF(C456="","",IFERROR(INDEX(Categories!$B$6:$B$65,MATCH(C456,Categories!$A$6:$A$65,0))&amp;"",""))</f>
        <v/>
      </c>
      <c r="I456" s="25">
        <f>IF(AND(A456="",C456="",D456=""),"",IF(A456="","Date missing",IF(NOT(ISNUMBER(A456)),"Date not recognized",IF(YEAR(A456)&lt;&gt;Settings!$C$4,"Not in "&amp;Settings!$C$4,IF(C456="","Category missing",IF(H456="",IF(COUNTIF(Categories!$A$6:$A$65,C456)&gt;0,"Category has no type","Category not in list"),IF(D456="","Amount missing",IF(NOT(ISNUMBER(D456)),"Amount is not a number",IF(F456="","",IF(ISNA(MATCH(F456,Lists!$G$2:$G$25,0)),"Goal / fund not in list",IF(H456="Income","Fund tag ignored on income","")))))))))))</f>
        <v/>
      </c>
    </row>
    <row r="457">
      <c r="A457" s="27" t="n">
        <v>46268</v>
      </c>
      <c r="B457" s="23" t="inlineStr">
        <is>
          <t>Retirement contribution</t>
        </is>
      </c>
      <c r="C457" s="23" t="inlineStr">
        <is>
          <t>Retirement &amp; investing</t>
        </is>
      </c>
      <c r="D457" s="28" t="n">
        <v>600</v>
      </c>
      <c r="E457" s="23" t="inlineStr">
        <is>
          <t>Checking</t>
        </is>
      </c>
      <c r="F457" s="23" t="n"/>
      <c r="G457" s="23" t="n"/>
      <c r="H457" s="29">
        <f>IF(C457="","",IFERROR(INDEX(Categories!$B$6:$B$65,MATCH(C457,Categories!$A$6:$A$65,0))&amp;"",""))</f>
        <v/>
      </c>
      <c r="I457" s="25">
        <f>IF(AND(A457="",C457="",D457=""),"",IF(A457="","Date missing",IF(NOT(ISNUMBER(A457)),"Date not recognized",IF(YEAR(A457)&lt;&gt;Settings!$C$4,"Not in "&amp;Settings!$C$4,IF(C457="","Category missing",IF(H457="",IF(COUNTIF(Categories!$A$6:$A$65,C457)&gt;0,"Category has no type","Category not in list"),IF(D457="","Amount missing",IF(NOT(ISNUMBER(D457)),"Amount is not a number",IF(F457="","",IF(ISNA(MATCH(F457,Lists!$G$2:$G$25,0)),"Goal / fund not in list",IF(H457="Income","Fund tag ignored on income","")))))))))))</f>
        <v/>
      </c>
    </row>
    <row r="458">
      <c r="A458" s="27" t="n">
        <v>46269</v>
      </c>
      <c r="B458" s="23" t="inlineStr">
        <is>
          <t>Gas station</t>
        </is>
      </c>
      <c r="C458" s="23" t="inlineStr">
        <is>
          <t>Transport / Gas</t>
        </is>
      </c>
      <c r="D458" s="28" t="n">
        <v>55.69</v>
      </c>
      <c r="E458" s="23" t="inlineStr">
        <is>
          <t>Credit card</t>
        </is>
      </c>
      <c r="F458" s="23" t="n"/>
      <c r="G458" s="23" t="n"/>
      <c r="H458" s="29">
        <f>IF(C458="","",IFERROR(INDEX(Categories!$B$6:$B$65,MATCH(C458,Categories!$A$6:$A$65,0))&amp;"",""))</f>
        <v/>
      </c>
      <c r="I458" s="25">
        <f>IF(AND(A458="",C458="",D458=""),"",IF(A458="","Date missing",IF(NOT(ISNUMBER(A458)),"Date not recognized",IF(YEAR(A458)&lt;&gt;Settings!$C$4,"Not in "&amp;Settings!$C$4,IF(C458="","Category missing",IF(H458="",IF(COUNTIF(Categories!$A$6:$A$65,C458)&gt;0,"Category has no type","Category not in list"),IF(D458="","Amount missing",IF(NOT(ISNUMBER(D458)),"Amount is not a number",IF(F458="","",IF(ISNA(MATCH(F458,Lists!$G$2:$G$25,0)),"Goal / fund not in list",IF(H458="Income","Fund tag ignored on income","")))))))))))</f>
        <v/>
      </c>
    </row>
    <row r="459">
      <c r="A459" s="27" t="n">
        <v>46269</v>
      </c>
      <c r="B459" s="23" t="inlineStr">
        <is>
          <t>Haircut</t>
        </is>
      </c>
      <c r="C459" s="23" t="inlineStr">
        <is>
          <t>Personal care</t>
        </is>
      </c>
      <c r="D459" s="28" t="n">
        <v>23.21</v>
      </c>
      <c r="E459" s="23" t="inlineStr">
        <is>
          <t>Debit card</t>
        </is>
      </c>
      <c r="F459" s="23" t="n"/>
      <c r="G459" s="23" t="n"/>
      <c r="H459" s="29">
        <f>IF(C459="","",IFERROR(INDEX(Categories!$B$6:$B$65,MATCH(C459,Categories!$A$6:$A$65,0))&amp;"",""))</f>
        <v/>
      </c>
      <c r="I459" s="25">
        <f>IF(AND(A459="",C459="",D459=""),"",IF(A459="","Date missing",IF(NOT(ISNUMBER(A459)),"Date not recognized",IF(YEAR(A459)&lt;&gt;Settings!$C$4,"Not in "&amp;Settings!$C$4,IF(C459="","Category missing",IF(H459="",IF(COUNTIF(Categories!$A$6:$A$65,C459)&gt;0,"Category has no type","Category not in list"),IF(D459="","Amount missing",IF(NOT(ISNUMBER(D459)),"Amount is not a number",IF(F459="","",IF(ISNA(MATCH(F459,Lists!$G$2:$G$25,0)),"Goal / fund not in list",IF(H459="Income","Fund tag ignored on income","")))))))))))</f>
        <v/>
      </c>
    </row>
    <row r="460">
      <c r="A460" s="27" t="n">
        <v>46270</v>
      </c>
      <c r="B460" s="23" t="inlineStr">
        <is>
          <t>Car insurance</t>
        </is>
      </c>
      <c r="C460" s="23" t="inlineStr">
        <is>
          <t>Insurance</t>
        </is>
      </c>
      <c r="D460" s="28" t="n">
        <v>128</v>
      </c>
      <c r="E460" s="23" t="inlineStr">
        <is>
          <t>Checking</t>
        </is>
      </c>
      <c r="F460" s="23" t="n"/>
      <c r="G460" s="23" t="n"/>
      <c r="H460" s="29">
        <f>IF(C460="","",IFERROR(INDEX(Categories!$B$6:$B$65,MATCH(C460,Categories!$A$6:$A$65,0))&amp;"",""))</f>
        <v/>
      </c>
      <c r="I460" s="25">
        <f>IF(AND(A460="",C460="",D460=""),"",IF(A460="","Date missing",IF(NOT(ISNUMBER(A460)),"Date not recognized",IF(YEAR(A460)&lt;&gt;Settings!$C$4,"Not in "&amp;Settings!$C$4,IF(C460="","Category missing",IF(H460="",IF(COUNTIF(Categories!$A$6:$A$65,C460)&gt;0,"Category has no type","Category not in list"),IF(D460="","Amount missing",IF(NOT(ISNUMBER(D460)),"Amount is not a number",IF(F460="","",IF(ISNA(MATCH(F460,Lists!$G$2:$G$25,0)),"Goal / fund not in list",IF(H460="Income","Fund tag ignored on income","")))))))))))</f>
        <v/>
      </c>
    </row>
    <row r="461">
      <c r="A461" s="27" t="n">
        <v>46270</v>
      </c>
      <c r="B461" s="23" t="inlineStr">
        <is>
          <t>Renters insurance</t>
        </is>
      </c>
      <c r="C461" s="23" t="inlineStr">
        <is>
          <t>Insurance</t>
        </is>
      </c>
      <c r="D461" s="28" t="n">
        <v>18</v>
      </c>
      <c r="E461" s="23" t="inlineStr">
        <is>
          <t>Checking</t>
        </is>
      </c>
      <c r="F461" s="23" t="n"/>
      <c r="G461" s="23" t="n"/>
      <c r="H461" s="29">
        <f>IF(C461="","",IFERROR(INDEX(Categories!$B$6:$B$65,MATCH(C461,Categories!$A$6:$A$65,0))&amp;"",""))</f>
        <v/>
      </c>
      <c r="I461" s="25">
        <f>IF(AND(A461="",C461="",D461=""),"",IF(A461="","Date missing",IF(NOT(ISNUMBER(A461)),"Date not recognized",IF(YEAR(A461)&lt;&gt;Settings!$C$4,"Not in "&amp;Settings!$C$4,IF(C461="","Category missing",IF(H461="",IF(COUNTIF(Categories!$A$6:$A$65,C461)&gt;0,"Category has no type","Category not in list"),IF(D461="","Amount missing",IF(NOT(ISNUMBER(D461)),"Amount is not a number",IF(F461="","",IF(ISNA(MATCH(F461,Lists!$G$2:$G$25,0)),"Goal / fund not in list",IF(H461="Income","Fund tag ignored on income","")))))))))))</f>
        <v/>
      </c>
    </row>
    <row r="462">
      <c r="A462" s="27" t="n">
        <v>46272</v>
      </c>
      <c r="B462" s="23" t="inlineStr">
        <is>
          <t>Music streaming</t>
        </is>
      </c>
      <c r="C462" s="23" t="inlineStr">
        <is>
          <t>Subscriptions</t>
        </is>
      </c>
      <c r="D462" s="28" t="n">
        <v>10.99</v>
      </c>
      <c r="E462" s="23" t="inlineStr">
        <is>
          <t>Credit card</t>
        </is>
      </c>
      <c r="F462" s="23" t="n"/>
      <c r="G462" s="23" t="n"/>
      <c r="H462" s="29">
        <f>IF(C462="","",IFERROR(INDEX(Categories!$B$6:$B$65,MATCH(C462,Categories!$A$6:$A$65,0))&amp;"",""))</f>
        <v/>
      </c>
      <c r="I462" s="25">
        <f>IF(AND(A462="",C462="",D462=""),"",IF(A462="","Date missing",IF(NOT(ISNUMBER(A462)),"Date not recognized",IF(YEAR(A462)&lt;&gt;Settings!$C$4,"Not in "&amp;Settings!$C$4,IF(C462="","Category missing",IF(H462="",IF(COUNTIF(Categories!$A$6:$A$65,C462)&gt;0,"Category has no type","Category not in list"),IF(D462="","Amount missing",IF(NOT(ISNUMBER(D462)),"Amount is not a number",IF(F462="","",IF(ISNA(MATCH(F462,Lists!$G$2:$G$25,0)),"Goal / fund not in list",IF(H462="Income","Fund tag ignored on income","")))))))))))</f>
        <v/>
      </c>
    </row>
    <row r="463">
      <c r="A463" s="27" t="n">
        <v>46272</v>
      </c>
      <c r="B463" s="23" t="inlineStr">
        <is>
          <t>Lunch out</t>
        </is>
      </c>
      <c r="C463" s="23" t="inlineStr">
        <is>
          <t>Dining out</t>
        </is>
      </c>
      <c r="D463" s="28" t="n">
        <v>54.37</v>
      </c>
      <c r="E463" s="23" t="inlineStr">
        <is>
          <t>Credit card</t>
        </is>
      </c>
      <c r="F463" s="23" t="n"/>
      <c r="G463" s="23" t="n"/>
      <c r="H463" s="29">
        <f>IF(C463="","",IFERROR(INDEX(Categories!$B$6:$B$65,MATCH(C463,Categories!$A$6:$A$65,0))&amp;"",""))</f>
        <v/>
      </c>
      <c r="I463" s="25">
        <f>IF(AND(A463="",C463="",D463=""),"",IF(A463="","Date missing",IF(NOT(ISNUMBER(A463)),"Date not recognized",IF(YEAR(A463)&lt;&gt;Settings!$C$4,"Not in "&amp;Settings!$C$4,IF(C463="","Category missing",IF(H463="",IF(COUNTIF(Categories!$A$6:$A$65,C463)&gt;0,"Category has no type","Category not in list"),IF(D463="","Amount missing",IF(NOT(ISNUMBER(D463)),"Amount is not a number",IF(F463="","",IF(ISNA(MATCH(F463,Lists!$G$2:$G$25,0)),"Goal / fund not in list",IF(H463="Income","Fund tag ignored on income","")))))))))))</f>
        <v/>
      </c>
    </row>
    <row r="464">
      <c r="A464" s="27" t="n">
        <v>46274</v>
      </c>
      <c r="B464" s="23" t="inlineStr">
        <is>
          <t>Pet food</t>
        </is>
      </c>
      <c r="C464" s="23" t="inlineStr">
        <is>
          <t>Pets</t>
        </is>
      </c>
      <c r="D464" s="28" t="n">
        <v>50.83</v>
      </c>
      <c r="E464" s="23" t="inlineStr">
        <is>
          <t>Debit card</t>
        </is>
      </c>
      <c r="F464" s="23" t="n"/>
      <c r="G464" s="23" t="n"/>
      <c r="H464" s="29">
        <f>IF(C464="","",IFERROR(INDEX(Categories!$B$6:$B$65,MATCH(C464,Categories!$A$6:$A$65,0))&amp;"",""))</f>
        <v/>
      </c>
      <c r="I464" s="25">
        <f>IF(AND(A464="",C464="",D464=""),"",IF(A464="","Date missing",IF(NOT(ISNUMBER(A464)),"Date not recognized",IF(YEAR(A464)&lt;&gt;Settings!$C$4,"Not in "&amp;Settings!$C$4,IF(C464="","Category missing",IF(H464="",IF(COUNTIF(Categories!$A$6:$A$65,C464)&gt;0,"Category has no type","Category not in list"),IF(D464="","Amount missing",IF(NOT(ISNUMBER(D464)),"Amount is not a number",IF(F464="","",IF(ISNA(MATCH(F464,Lists!$G$2:$G$25,0)),"Goal / fund not in list",IF(H464="Income","Fund tag ignored on income","")))))))))))</f>
        <v/>
      </c>
    </row>
    <row r="465">
      <c r="A465" s="27" t="n">
        <v>46275</v>
      </c>
      <c r="B465" s="23" t="inlineStr">
        <is>
          <t>Car loan payment</t>
        </is>
      </c>
      <c r="C465" s="23" t="inlineStr">
        <is>
          <t>Car payment</t>
        </is>
      </c>
      <c r="D465" s="28" t="n">
        <v>389</v>
      </c>
      <c r="E465" s="23" t="inlineStr">
        <is>
          <t>Checking</t>
        </is>
      </c>
      <c r="F465" s="23" t="n"/>
      <c r="G465" s="23" t="n"/>
      <c r="H465" s="29">
        <f>IF(C465="","",IFERROR(INDEX(Categories!$B$6:$B$65,MATCH(C465,Categories!$A$6:$A$65,0))&amp;"",""))</f>
        <v/>
      </c>
      <c r="I465" s="25">
        <f>IF(AND(A465="",C465="",D465=""),"",IF(A465="","Date missing",IF(NOT(ISNUMBER(A465)),"Date not recognized",IF(YEAR(A465)&lt;&gt;Settings!$C$4,"Not in "&amp;Settings!$C$4,IF(C465="","Category missing",IF(H465="",IF(COUNTIF(Categories!$A$6:$A$65,C465)&gt;0,"Category has no type","Category not in list"),IF(D465="","Amount missing",IF(NOT(ISNUMBER(D465)),"Amount is not a number",IF(F465="","",IF(ISNA(MATCH(F465,Lists!$G$2:$G$25,0)),"Goal / fund not in list",IF(H465="Income","Fund tag ignored on income","")))))))))))</f>
        <v/>
      </c>
    </row>
    <row r="466">
      <c r="A466" s="27" t="n">
        <v>46275</v>
      </c>
      <c r="B466" s="23" t="inlineStr">
        <is>
          <t>Warehouse store</t>
        </is>
      </c>
      <c r="C466" s="23" t="inlineStr">
        <is>
          <t>Groceries</t>
        </is>
      </c>
      <c r="D466" s="28" t="n">
        <v>189</v>
      </c>
      <c r="E466" s="23" t="inlineStr">
        <is>
          <t>Debit card</t>
        </is>
      </c>
      <c r="F466" s="23" t="n"/>
      <c r="G466" s="23" t="n"/>
      <c r="H466" s="29">
        <f>IF(C466="","",IFERROR(INDEX(Categories!$B$6:$B$65,MATCH(C466,Categories!$A$6:$A$65,0))&amp;"",""))</f>
        <v/>
      </c>
      <c r="I466" s="25">
        <f>IF(AND(A466="",C466="",D466=""),"",IF(A466="","Date missing",IF(NOT(ISNUMBER(A466)),"Date not recognized",IF(YEAR(A466)&lt;&gt;Settings!$C$4,"Not in "&amp;Settings!$C$4,IF(C466="","Category missing",IF(H466="",IF(COUNTIF(Categories!$A$6:$A$65,C466)&gt;0,"Category has no type","Category not in list"),IF(D466="","Amount missing",IF(NOT(ISNUMBER(D466)),"Amount is not a number",IF(F466="","",IF(ISNA(MATCH(F466,Lists!$G$2:$G$25,0)),"Goal / fund not in list",IF(H466="Income","Fund tag ignored on income","")))))))))))</f>
        <v/>
      </c>
    </row>
    <row r="467">
      <c r="A467" s="27" t="n">
        <v>46276</v>
      </c>
      <c r="B467" s="23" t="inlineStr">
        <is>
          <t>Parking</t>
        </is>
      </c>
      <c r="C467" s="23" t="inlineStr">
        <is>
          <t>Transport / Gas</t>
        </is>
      </c>
      <c r="D467" s="28" t="n">
        <v>17.7</v>
      </c>
      <c r="E467" s="23" t="inlineStr">
        <is>
          <t>Cash</t>
        </is>
      </c>
      <c r="F467" s="23" t="n"/>
      <c r="G467" s="23" t="n"/>
      <c r="H467" s="29">
        <f>IF(C467="","",IFERROR(INDEX(Categories!$B$6:$B$65,MATCH(C467,Categories!$A$6:$A$65,0))&amp;"",""))</f>
        <v/>
      </c>
      <c r="I467" s="25">
        <f>IF(AND(A467="",C467="",D467=""),"",IF(A467="","Date missing",IF(NOT(ISNUMBER(A467)),"Date not recognized",IF(YEAR(A467)&lt;&gt;Settings!$C$4,"Not in "&amp;Settings!$C$4,IF(C467="","Category missing",IF(H467="",IF(COUNTIF(Categories!$A$6:$A$65,C467)&gt;0,"Category has no type","Category not in list"),IF(D467="","Amount missing",IF(NOT(ISNUMBER(D467)),"Amount is not a number",IF(F467="","",IF(ISNA(MATCH(F467,Lists!$G$2:$G$25,0)),"Goal / fund not in list",IF(H467="Income","Fund tag ignored on income","")))))))))))</f>
        <v/>
      </c>
    </row>
    <row r="468">
      <c r="A468" s="27" t="n">
        <v>46276</v>
      </c>
      <c r="B468" s="23" t="inlineStr">
        <is>
          <t>Jacket</t>
        </is>
      </c>
      <c r="C468" s="23" t="inlineStr">
        <is>
          <t>Clothing</t>
        </is>
      </c>
      <c r="D468" s="28" t="n">
        <v>58</v>
      </c>
      <c r="E468" s="23" t="inlineStr">
        <is>
          <t>Credit card</t>
        </is>
      </c>
      <c r="F468" s="23" t="n"/>
      <c r="G468" s="23" t="n"/>
      <c r="H468" s="29">
        <f>IF(C468="","",IFERROR(INDEX(Categories!$B$6:$B$65,MATCH(C468,Categories!$A$6:$A$65,0))&amp;"",""))</f>
        <v/>
      </c>
      <c r="I468" s="25">
        <f>IF(AND(A468="",C468="",D468=""),"",IF(A468="","Date missing",IF(NOT(ISNUMBER(A468)),"Date not recognized",IF(YEAR(A468)&lt;&gt;Settings!$C$4,"Not in "&amp;Settings!$C$4,IF(C468="","Category missing",IF(H468="",IF(COUNTIF(Categories!$A$6:$A$65,C468)&gt;0,"Category has no type","Category not in list"),IF(D468="","Amount missing",IF(NOT(ISNUMBER(D468)),"Amount is not a number",IF(F468="","",IF(ISNA(MATCH(F468,Lists!$G$2:$G$25,0)),"Goal / fund not in list",IF(H468="Income","Fund tag ignored on income","")))))))))))</f>
        <v/>
      </c>
    </row>
    <row r="469">
      <c r="A469" s="27" t="n">
        <v>46277</v>
      </c>
      <c r="B469" s="23" t="inlineStr">
        <is>
          <t>Internet</t>
        </is>
      </c>
      <c r="C469" s="23" t="inlineStr">
        <is>
          <t>Internet &amp; Phone</t>
        </is>
      </c>
      <c r="D469" s="28" t="n">
        <v>65</v>
      </c>
      <c r="E469" s="23" t="inlineStr">
        <is>
          <t>Checking</t>
        </is>
      </c>
      <c r="F469" s="23" t="n"/>
      <c r="G469" s="23" t="n"/>
      <c r="H469" s="29">
        <f>IF(C469="","",IFERROR(INDEX(Categories!$B$6:$B$65,MATCH(C469,Categories!$A$6:$A$65,0))&amp;"",""))</f>
        <v/>
      </c>
      <c r="I469" s="25">
        <f>IF(AND(A469="",C469="",D469=""),"",IF(A469="","Date missing",IF(NOT(ISNUMBER(A469)),"Date not recognized",IF(YEAR(A469)&lt;&gt;Settings!$C$4,"Not in "&amp;Settings!$C$4,IF(C469="","Category missing",IF(H469="",IF(COUNTIF(Categories!$A$6:$A$65,C469)&gt;0,"Category has no type","Category not in list"),IF(D469="","Amount missing",IF(NOT(ISNUMBER(D469)),"Amount is not a number",IF(F469="","",IF(ISNA(MATCH(F469,Lists!$G$2:$G$25,0)),"Goal / fund not in list",IF(H469="Income","Fund tag ignored on income","")))))))))))</f>
        <v/>
      </c>
    </row>
    <row r="470">
      <c r="A470" s="27" t="n">
        <v>46277</v>
      </c>
      <c r="B470" s="23" t="inlineStr">
        <is>
          <t>Pizza night</t>
        </is>
      </c>
      <c r="C470" s="23" t="inlineStr">
        <is>
          <t>Dining out</t>
        </is>
      </c>
      <c r="D470" s="28" t="n">
        <v>41.79</v>
      </c>
      <c r="E470" s="23" t="inlineStr">
        <is>
          <t>Credit card</t>
        </is>
      </c>
      <c r="F470" s="23" t="n"/>
      <c r="G470" s="23" t="n"/>
      <c r="H470" s="29">
        <f>IF(C470="","",IFERROR(INDEX(Categories!$B$6:$B$65,MATCH(C470,Categories!$A$6:$A$65,0))&amp;"",""))</f>
        <v/>
      </c>
      <c r="I470" s="25">
        <f>IF(AND(A470="",C470="",D470=""),"",IF(A470="","Date missing",IF(NOT(ISNUMBER(A470)),"Date not recognized",IF(YEAR(A470)&lt;&gt;Settings!$C$4,"Not in "&amp;Settings!$C$4,IF(C470="","Category missing",IF(H470="",IF(COUNTIF(Categories!$A$6:$A$65,C470)&gt;0,"Category has no type","Category not in list"),IF(D470="","Amount missing",IF(NOT(ISNUMBER(D470)),"Amount is not a number",IF(F470="","",IF(ISNA(MATCH(F470,Lists!$G$2:$G$25,0)),"Goal / fund not in list",IF(H470="Income","Fund tag ignored on income","")))))))))))</f>
        <v/>
      </c>
    </row>
    <row r="471">
      <c r="A471" s="27" t="n">
        <v>46277</v>
      </c>
      <c r="B471" s="23" t="inlineStr">
        <is>
          <t>Gas station</t>
        </is>
      </c>
      <c r="C471" s="23" t="inlineStr">
        <is>
          <t>Transport / Gas</t>
        </is>
      </c>
      <c r="D471" s="28" t="n">
        <v>40.8</v>
      </c>
      <c r="E471" s="23" t="inlineStr">
        <is>
          <t>Credit card</t>
        </is>
      </c>
      <c r="F471" s="23" t="n"/>
      <c r="G471" s="23" t="n"/>
      <c r="H471" s="29">
        <f>IF(C471="","",IFERROR(INDEX(Categories!$B$6:$B$65,MATCH(C471,Categories!$A$6:$A$65,0))&amp;"",""))</f>
        <v/>
      </c>
      <c r="I471" s="25">
        <f>IF(AND(A471="",C471="",D471=""),"",IF(A471="","Date missing",IF(NOT(ISNUMBER(A471)),"Date not recognized",IF(YEAR(A471)&lt;&gt;Settings!$C$4,"Not in "&amp;Settings!$C$4,IF(C471="","Category missing",IF(H471="",IF(COUNTIF(Categories!$A$6:$A$65,C471)&gt;0,"Category has no type","Category not in list"),IF(D471="","Amount missing",IF(NOT(ISNUMBER(D471)),"Amount is not a number",IF(F471="","",IF(ISNA(MATCH(F471,Lists!$G$2:$G$25,0)),"Goal / fund not in list",IF(H471="Income","Fund tag ignored on income","")))))))))))</f>
        <v/>
      </c>
    </row>
    <row r="472">
      <c r="A472" s="27" t="n">
        <v>46279</v>
      </c>
      <c r="B472" s="23" t="inlineStr">
        <is>
          <t>Phone plan</t>
        </is>
      </c>
      <c r="C472" s="23" t="inlineStr">
        <is>
          <t>Internet &amp; Phone</t>
        </is>
      </c>
      <c r="D472" s="28" t="n">
        <v>70</v>
      </c>
      <c r="E472" s="23" t="inlineStr">
        <is>
          <t>Credit card</t>
        </is>
      </c>
      <c r="F472" s="23" t="n"/>
      <c r="G472" s="23" t="n"/>
      <c r="H472" s="29">
        <f>IF(C472="","",IFERROR(INDEX(Categories!$B$6:$B$65,MATCH(C472,Categories!$A$6:$A$65,0))&amp;"",""))</f>
        <v/>
      </c>
      <c r="I472" s="25">
        <f>IF(AND(A472="",C472="",D472=""),"",IF(A472="","Date missing",IF(NOT(ISNUMBER(A472)),"Date not recognized",IF(YEAR(A472)&lt;&gt;Settings!$C$4,"Not in "&amp;Settings!$C$4,IF(C472="","Category missing",IF(H472="",IF(COUNTIF(Categories!$A$6:$A$65,C472)&gt;0,"Category has no type","Category not in list"),IF(D472="","Amount missing",IF(NOT(ISNUMBER(D472)),"Amount is not a number",IF(F472="","",IF(ISNA(MATCH(F472,Lists!$G$2:$G$25,0)),"Goal / fund not in list",IF(H472="Income","Fund tag ignored on income","")))))))))))</f>
        <v/>
      </c>
    </row>
    <row r="473">
      <c r="A473" s="27" t="n">
        <v>46280</v>
      </c>
      <c r="B473" s="23" t="inlineStr">
        <is>
          <t>Alex paycheck</t>
        </is>
      </c>
      <c r="C473" s="23" t="inlineStr">
        <is>
          <t>Paycheck 1</t>
        </is>
      </c>
      <c r="D473" s="28" t="n">
        <v>2100</v>
      </c>
      <c r="E473" s="23" t="inlineStr">
        <is>
          <t>Checking</t>
        </is>
      </c>
      <c r="F473" s="23" t="n"/>
      <c r="G473" s="23" t="n"/>
      <c r="H473" s="29">
        <f>IF(C473="","",IFERROR(INDEX(Categories!$B$6:$B$65,MATCH(C473,Categories!$A$6:$A$65,0))&amp;"",""))</f>
        <v/>
      </c>
      <c r="I473" s="25">
        <f>IF(AND(A473="",C473="",D473=""),"",IF(A473="","Date missing",IF(NOT(ISNUMBER(A473)),"Date not recognized",IF(YEAR(A473)&lt;&gt;Settings!$C$4,"Not in "&amp;Settings!$C$4,IF(C473="","Category missing",IF(H473="",IF(COUNTIF(Categories!$A$6:$A$65,C473)&gt;0,"Category has no type","Category not in list"),IF(D473="","Amount missing",IF(NOT(ISNUMBER(D473)),"Amount is not a number",IF(F473="","",IF(ISNA(MATCH(F473,Lists!$G$2:$G$25,0)),"Goal / fund not in list",IF(H473="Income","Fund tag ignored on income","")))))))))))</f>
        <v/>
      </c>
    </row>
    <row r="474">
      <c r="A474" s="27" t="n">
        <v>46281</v>
      </c>
      <c r="B474" s="23" t="inlineStr">
        <is>
          <t>New tires</t>
        </is>
      </c>
      <c r="C474" s="23" t="inlineStr">
        <is>
          <t>Transport / Gas</t>
        </is>
      </c>
      <c r="D474" s="28" t="n">
        <v>520</v>
      </c>
      <c r="E474" s="23" t="inlineStr">
        <is>
          <t>Debit card</t>
        </is>
      </c>
      <c r="F474" s="23" t="inlineStr">
        <is>
          <t>Car maintenance</t>
        </is>
      </c>
      <c r="G474" s="23" t="n"/>
      <c r="H474" s="29">
        <f>IF(C474="","",IFERROR(INDEX(Categories!$B$6:$B$65,MATCH(C474,Categories!$A$6:$A$65,0))&amp;"",""))</f>
        <v/>
      </c>
      <c r="I474" s="25">
        <f>IF(AND(A474="",C474="",D474=""),"",IF(A474="","Date missing",IF(NOT(ISNUMBER(A474)),"Date not recognized",IF(YEAR(A474)&lt;&gt;Settings!$C$4,"Not in "&amp;Settings!$C$4,IF(C474="","Category missing",IF(H474="",IF(COUNTIF(Categories!$A$6:$A$65,C474)&gt;0,"Category has no type","Category not in list"),IF(D474="","Amount missing",IF(NOT(ISNUMBER(D474)),"Amount is not a number",IF(F474="","",IF(ISNA(MATCH(F474,Lists!$G$2:$G$25,0)),"Goal / fund not in list",IF(H474="Income","Fund tag ignored on income","")))))))))))</f>
        <v/>
      </c>
    </row>
    <row r="475">
      <c r="A475" s="27" t="n">
        <v>46281</v>
      </c>
      <c r="B475" s="23" t="inlineStr">
        <is>
          <t>Bank fee</t>
        </is>
      </c>
      <c r="C475" s="23" t="inlineStr">
        <is>
          <t>Misc</t>
        </is>
      </c>
      <c r="D475" s="28" t="n">
        <v>15.62</v>
      </c>
      <c r="E475" s="23" t="inlineStr">
        <is>
          <t>Cash</t>
        </is>
      </c>
      <c r="F475" s="23" t="n"/>
      <c r="G475" s="23" t="n"/>
      <c r="H475" s="29">
        <f>IF(C475="","",IFERROR(INDEX(Categories!$B$6:$B$65,MATCH(C475,Categories!$A$6:$A$65,0))&amp;"",""))</f>
        <v/>
      </c>
      <c r="I475" s="25">
        <f>IF(AND(A475="",C475="",D475=""),"",IF(A475="","Date missing",IF(NOT(ISNUMBER(A475)),"Date not recognized",IF(YEAR(A475)&lt;&gt;Settings!$C$4,"Not in "&amp;Settings!$C$4,IF(C475="","Category missing",IF(H475="",IF(COUNTIF(Categories!$A$6:$A$65,C475)&gt;0,"Category has no type","Category not in list"),IF(D475="","Amount missing",IF(NOT(ISNUMBER(D475)),"Amount is not a number",IF(F475="","",IF(ISNA(MATCH(F475,Lists!$G$2:$G$25,0)),"Goal / fund not in list",IF(H475="Income","Fund tag ignored on income","")))))))))))</f>
        <v/>
      </c>
    </row>
    <row r="476">
      <c r="A476" s="27" t="n">
        <v>46282</v>
      </c>
      <c r="B476" s="23" t="inlineStr">
        <is>
          <t>Warehouse store</t>
        </is>
      </c>
      <c r="C476" s="23" t="inlineStr">
        <is>
          <t>Groceries</t>
        </is>
      </c>
      <c r="D476" s="28" t="n">
        <v>151.07</v>
      </c>
      <c r="E476" s="23" t="inlineStr">
        <is>
          <t>Debit card</t>
        </is>
      </c>
      <c r="F476" s="23" t="n"/>
      <c r="G476" s="23" t="n"/>
      <c r="H476" s="29">
        <f>IF(C476="","",IFERROR(INDEX(Categories!$B$6:$B$65,MATCH(C476,Categories!$A$6:$A$65,0))&amp;"",""))</f>
        <v/>
      </c>
      <c r="I476" s="25">
        <f>IF(AND(A476="",C476="",D476=""),"",IF(A476="","Date missing",IF(NOT(ISNUMBER(A476)),"Date not recognized",IF(YEAR(A476)&lt;&gt;Settings!$C$4,"Not in "&amp;Settings!$C$4,IF(C476="","Category missing",IF(H476="",IF(COUNTIF(Categories!$A$6:$A$65,C476)&gt;0,"Category has no type","Category not in list"),IF(D476="","Amount missing",IF(NOT(ISNUMBER(D476)),"Amount is not a number",IF(F476="","",IF(ISNA(MATCH(F476,Lists!$G$2:$G$25,0)),"Goal / fund not in list",IF(H476="Income","Fund tag ignored on income","")))))))))))</f>
        <v/>
      </c>
    </row>
    <row r="477">
      <c r="A477" s="27" t="n">
        <v>46282</v>
      </c>
      <c r="B477" s="23" t="inlineStr">
        <is>
          <t>Brunch</t>
        </is>
      </c>
      <c r="C477" s="23" t="inlineStr">
        <is>
          <t>Dining out</t>
        </is>
      </c>
      <c r="D477" s="28" t="n">
        <v>45.75</v>
      </c>
      <c r="E477" s="23" t="inlineStr">
        <is>
          <t>Credit card</t>
        </is>
      </c>
      <c r="F477" s="23" t="n"/>
      <c r="G477" s="23" t="n"/>
      <c r="H477" s="29">
        <f>IF(C477="","",IFERROR(INDEX(Categories!$B$6:$B$65,MATCH(C477,Categories!$A$6:$A$65,0))&amp;"",""))</f>
        <v/>
      </c>
      <c r="I477" s="25">
        <f>IF(AND(A477="",C477="",D477=""),"",IF(A477="","Date missing",IF(NOT(ISNUMBER(A477)),"Date not recognized",IF(YEAR(A477)&lt;&gt;Settings!$C$4,"Not in "&amp;Settings!$C$4,IF(C477="","Category missing",IF(H477="",IF(COUNTIF(Categories!$A$6:$A$65,C477)&gt;0,"Category has no type","Category not in list"),IF(D477="","Amount missing",IF(NOT(ISNUMBER(D477)),"Amount is not a number",IF(F477="","",IF(ISNA(MATCH(F477,Lists!$G$2:$G$25,0)),"Goal / fund not in list",IF(H477="Income","Fund tag ignored on income","")))))))))))</f>
        <v/>
      </c>
    </row>
    <row r="478">
      <c r="A478" s="27" t="n">
        <v>46282</v>
      </c>
      <c r="B478" s="23" t="inlineStr">
        <is>
          <t>Swim lessons</t>
        </is>
      </c>
      <c r="C478" s="23" t="inlineStr">
        <is>
          <t>Kids</t>
        </is>
      </c>
      <c r="D478" s="28" t="n">
        <v>66.90000000000001</v>
      </c>
      <c r="E478" s="23" t="inlineStr">
        <is>
          <t>Debit card</t>
        </is>
      </c>
      <c r="F478" s="23" t="n"/>
      <c r="G478" s="23" t="n"/>
      <c r="H478" s="29">
        <f>IF(C478="","",IFERROR(INDEX(Categories!$B$6:$B$65,MATCH(C478,Categories!$A$6:$A$65,0))&amp;"",""))</f>
        <v/>
      </c>
      <c r="I478" s="25">
        <f>IF(AND(A478="",C478="",D478=""),"",IF(A478="","Date missing",IF(NOT(ISNUMBER(A478)),"Date not recognized",IF(YEAR(A478)&lt;&gt;Settings!$C$4,"Not in "&amp;Settings!$C$4,IF(C478="","Category missing",IF(H478="",IF(COUNTIF(Categories!$A$6:$A$65,C478)&gt;0,"Category has no type","Category not in list"),IF(D478="","Amount missing",IF(NOT(ISNUMBER(D478)),"Amount is not a number",IF(F478="","",IF(ISNA(MATCH(F478,Lists!$G$2:$G$25,0)),"Goal / fund not in list",IF(H478="Income","Fund tag ignored on income","")))))))))))</f>
        <v/>
      </c>
    </row>
    <row r="479">
      <c r="A479" s="27" t="n">
        <v>46282</v>
      </c>
      <c r="B479" s="23" t="inlineStr">
        <is>
          <t>Concert</t>
        </is>
      </c>
      <c r="C479" s="23" t="inlineStr">
        <is>
          <t>Entertainment</t>
        </is>
      </c>
      <c r="D479" s="28" t="n">
        <v>57.47</v>
      </c>
      <c r="E479" s="23" t="inlineStr">
        <is>
          <t>Credit card</t>
        </is>
      </c>
      <c r="F479" s="23" t="n"/>
      <c r="G479" s="23" t="n"/>
      <c r="H479" s="29">
        <f>IF(C479="","",IFERROR(INDEX(Categories!$B$6:$B$65,MATCH(C479,Categories!$A$6:$A$65,0))&amp;"",""))</f>
        <v/>
      </c>
      <c r="I479" s="25">
        <f>IF(AND(A479="",C479="",D479=""),"",IF(A479="","Date missing",IF(NOT(ISNUMBER(A479)),"Date not recognized",IF(YEAR(A479)&lt;&gt;Settings!$C$4,"Not in "&amp;Settings!$C$4,IF(C479="","Category missing",IF(H479="",IF(COUNTIF(Categories!$A$6:$A$65,C479)&gt;0,"Category has no type","Category not in list"),IF(D479="","Amount missing",IF(NOT(ISNUMBER(D479)),"Amount is not a number",IF(F479="","",IF(ISNA(MATCH(F479,Lists!$G$2:$G$25,0)),"Goal / fund not in list",IF(H479="Income","Fund tag ignored on income","")))))))))))</f>
        <v/>
      </c>
    </row>
    <row r="480">
      <c r="A480" s="27" t="n">
        <v>46283</v>
      </c>
      <c r="B480" s="23" t="inlineStr">
        <is>
          <t>Electric bill</t>
        </is>
      </c>
      <c r="C480" s="23" t="inlineStr">
        <is>
          <t>Utilities</t>
        </is>
      </c>
      <c r="D480" s="28" t="n">
        <v>106.71</v>
      </c>
      <c r="E480" s="23" t="inlineStr">
        <is>
          <t>Checking</t>
        </is>
      </c>
      <c r="F480" s="23" t="n"/>
      <c r="G480" s="23" t="n"/>
      <c r="H480" s="29">
        <f>IF(C480="","",IFERROR(INDEX(Categories!$B$6:$B$65,MATCH(C480,Categories!$A$6:$A$65,0))&amp;"",""))</f>
        <v/>
      </c>
      <c r="I480" s="25">
        <f>IF(AND(A480="",C480="",D480=""),"",IF(A480="","Date missing",IF(NOT(ISNUMBER(A480)),"Date not recognized",IF(YEAR(A480)&lt;&gt;Settings!$C$4,"Not in "&amp;Settings!$C$4,IF(C480="","Category missing",IF(H480="",IF(COUNTIF(Categories!$A$6:$A$65,C480)&gt;0,"Category has no type","Category not in list"),IF(D480="","Amount missing",IF(NOT(ISNUMBER(D480)),"Amount is not a number",IF(F480="","",IF(ISNA(MATCH(F480,Lists!$G$2:$G$25,0)),"Goal / fund not in list",IF(H480="Income","Fund tag ignored on income","")))))))))))</f>
        <v/>
      </c>
    </row>
    <row r="481">
      <c r="A481" s="27" t="n">
        <v>46285</v>
      </c>
      <c r="B481" s="23" t="inlineStr">
        <is>
          <t>Gas bill</t>
        </is>
      </c>
      <c r="C481" s="23" t="inlineStr">
        <is>
          <t>Utilities</t>
        </is>
      </c>
      <c r="D481" s="28" t="n">
        <v>35.43</v>
      </c>
      <c r="E481" s="23" t="inlineStr">
        <is>
          <t>Checking</t>
        </is>
      </c>
      <c r="F481" s="23" t="n"/>
      <c r="G481" s="23" t="n"/>
      <c r="H481" s="29">
        <f>IF(C481="","",IFERROR(INDEX(Categories!$B$6:$B$65,MATCH(C481,Categories!$A$6:$A$65,0))&amp;"",""))</f>
        <v/>
      </c>
      <c r="I481" s="25">
        <f>IF(AND(A481="",C481="",D481=""),"",IF(A481="","Date missing",IF(NOT(ISNUMBER(A481)),"Date not recognized",IF(YEAR(A481)&lt;&gt;Settings!$C$4,"Not in "&amp;Settings!$C$4,IF(C481="","Category missing",IF(H481="",IF(COUNTIF(Categories!$A$6:$A$65,C481)&gt;0,"Category has no type","Category not in list"),IF(D481="","Amount missing",IF(NOT(ISNUMBER(D481)),"Amount is not a number",IF(F481="","",IF(ISNA(MATCH(F481,Lists!$G$2:$G$25,0)),"Goal / fund not in list",IF(H481="Income","Fund tag ignored on income","")))))))))))</f>
        <v/>
      </c>
    </row>
    <row r="482">
      <c r="A482" s="27" t="n">
        <v>46285</v>
      </c>
      <c r="B482" s="23" t="inlineStr">
        <is>
          <t>Gas station</t>
        </is>
      </c>
      <c r="C482" s="23" t="inlineStr">
        <is>
          <t>Transport / Gas</t>
        </is>
      </c>
      <c r="D482" s="28" t="n">
        <v>55.5</v>
      </c>
      <c r="E482" s="23" t="inlineStr">
        <is>
          <t>Credit card</t>
        </is>
      </c>
      <c r="F482" s="23" t="n"/>
      <c r="G482" s="23" t="n"/>
      <c r="H482" s="29">
        <f>IF(C482="","",IFERROR(INDEX(Categories!$B$6:$B$65,MATCH(C482,Categories!$A$6:$A$65,0))&amp;"",""))</f>
        <v/>
      </c>
      <c r="I482" s="25">
        <f>IF(AND(A482="",C482="",D482=""),"",IF(A482="","Date missing",IF(NOT(ISNUMBER(A482)),"Date not recognized",IF(YEAR(A482)&lt;&gt;Settings!$C$4,"Not in "&amp;Settings!$C$4,IF(C482="","Category missing",IF(H482="",IF(COUNTIF(Categories!$A$6:$A$65,C482)&gt;0,"Category has no type","Category not in list"),IF(D482="","Amount missing",IF(NOT(ISNUMBER(D482)),"Amount is not a number",IF(F482="","",IF(ISNA(MATCH(F482,Lists!$G$2:$G$25,0)),"Goal / fund not in list",IF(H482="Income","Fund tag ignored on income","")))))))))))</f>
        <v/>
      </c>
    </row>
    <row r="483">
      <c r="A483" s="27" t="n">
        <v>46285</v>
      </c>
      <c r="B483" s="23" t="inlineStr">
        <is>
          <t>Garden supplies</t>
        </is>
      </c>
      <c r="C483" s="23" t="inlineStr">
        <is>
          <t>Home &amp; repairs</t>
        </is>
      </c>
      <c r="D483" s="28" t="n">
        <v>37.66</v>
      </c>
      <c r="E483" s="23" t="inlineStr">
        <is>
          <t>Debit card</t>
        </is>
      </c>
      <c r="F483" s="23" t="n"/>
      <c r="G483" s="23" t="n"/>
      <c r="H483" s="29">
        <f>IF(C483="","",IFERROR(INDEX(Categories!$B$6:$B$65,MATCH(C483,Categories!$A$6:$A$65,0))&amp;"",""))</f>
        <v/>
      </c>
      <c r="I483" s="25">
        <f>IF(AND(A483="",C483="",D483=""),"",IF(A483="","Date missing",IF(NOT(ISNUMBER(A483)),"Date not recognized",IF(YEAR(A483)&lt;&gt;Settings!$C$4,"Not in "&amp;Settings!$C$4,IF(C483="","Category missing",IF(H483="",IF(COUNTIF(Categories!$A$6:$A$65,C483)&gt;0,"Category has no type","Category not in list"),IF(D483="","Amount missing",IF(NOT(ISNUMBER(D483)),"Amount is not a number",IF(F483="","",IF(ISNA(MATCH(F483,Lists!$G$2:$G$25,0)),"Goal / fund not in list",IF(H483="Income","Fund tag ignored on income","")))))))))))</f>
        <v/>
      </c>
    </row>
    <row r="484">
      <c r="A484" s="27" t="n">
        <v>46285</v>
      </c>
      <c r="B484" s="23" t="inlineStr">
        <is>
          <t>Credit card payment + extra</t>
        </is>
      </c>
      <c r="C484" s="23" t="inlineStr">
        <is>
          <t>Debt payments</t>
        </is>
      </c>
      <c r="D484" s="28" t="n">
        <v>260</v>
      </c>
      <c r="E484" s="23" t="inlineStr">
        <is>
          <t>Checking</t>
        </is>
      </c>
      <c r="F484" s="23" t="n"/>
      <c r="G484" s="23" t="n"/>
      <c r="H484" s="29">
        <f>IF(C484="","",IFERROR(INDEX(Categories!$B$6:$B$65,MATCH(C484,Categories!$A$6:$A$65,0))&amp;"",""))</f>
        <v/>
      </c>
      <c r="I484" s="25">
        <f>IF(AND(A484="",C484="",D484=""),"",IF(A484="","Date missing",IF(NOT(ISNUMBER(A484)),"Date not recognized",IF(YEAR(A484)&lt;&gt;Settings!$C$4,"Not in "&amp;Settings!$C$4,IF(C484="","Category missing",IF(H484="",IF(COUNTIF(Categories!$A$6:$A$65,C484)&gt;0,"Category has no type","Category not in list"),IF(D484="","Amount missing",IF(NOT(ISNUMBER(D484)),"Amount is not a number",IF(F484="","",IF(ISNA(MATCH(F484,Lists!$G$2:$G$25,0)),"Goal / fund not in list",IF(H484="Income","Fund tag ignored on income","")))))))))))</f>
        <v/>
      </c>
    </row>
    <row r="485">
      <c r="A485" s="27" t="n">
        <v>46285</v>
      </c>
      <c r="B485" s="23" t="inlineStr">
        <is>
          <t>Medical bill installment</t>
        </is>
      </c>
      <c r="C485" s="23" t="inlineStr">
        <is>
          <t>Debt payments</t>
        </is>
      </c>
      <c r="D485" s="28" t="n">
        <v>40</v>
      </c>
      <c r="E485" s="23" t="inlineStr">
        <is>
          <t>Checking</t>
        </is>
      </c>
      <c r="F485" s="23" t="n"/>
      <c r="G485" s="23" t="n"/>
      <c r="H485" s="29">
        <f>IF(C485="","",IFERROR(INDEX(Categories!$B$6:$B$65,MATCH(C485,Categories!$A$6:$A$65,0))&amp;"",""))</f>
        <v/>
      </c>
      <c r="I485" s="25">
        <f>IF(AND(A485="",C485="",D485=""),"",IF(A485="","Date missing",IF(NOT(ISNUMBER(A485)),"Date not recognized",IF(YEAR(A485)&lt;&gt;Settings!$C$4,"Not in "&amp;Settings!$C$4,IF(C485="","Category missing",IF(H485="",IF(COUNTIF(Categories!$A$6:$A$65,C485)&gt;0,"Category has no type","Category not in list"),IF(D485="","Amount missing",IF(NOT(ISNUMBER(D485)),"Amount is not a number",IF(F485="","",IF(ISNA(MATCH(F485,Lists!$G$2:$G$25,0)),"Goal / fund not in list",IF(H485="Income","Fund tag ignored on income","")))))))))))</f>
        <v/>
      </c>
    </row>
    <row r="486">
      <c r="A486" s="27" t="n">
        <v>46286</v>
      </c>
      <c r="B486" s="23" t="inlineStr">
        <is>
          <t>Personal loan payment</t>
        </is>
      </c>
      <c r="C486" s="23" t="inlineStr">
        <is>
          <t>Debt payments</t>
        </is>
      </c>
      <c r="D486" s="28" t="n">
        <v>210</v>
      </c>
      <c r="E486" s="23" t="inlineStr">
        <is>
          <t>Checking</t>
        </is>
      </c>
      <c r="F486" s="23" t="n"/>
      <c r="G486" s="23" t="n"/>
      <c r="H486" s="29">
        <f>IF(C486="","",IFERROR(INDEX(Categories!$B$6:$B$65,MATCH(C486,Categories!$A$6:$A$65,0))&amp;"",""))</f>
        <v/>
      </c>
      <c r="I486" s="25">
        <f>IF(AND(A486="",C486="",D486=""),"",IF(A486="","Date missing",IF(NOT(ISNUMBER(A486)),"Date not recognized",IF(YEAR(A486)&lt;&gt;Settings!$C$4,"Not in "&amp;Settings!$C$4,IF(C486="","Category missing",IF(H486="",IF(COUNTIF(Categories!$A$6:$A$65,C486)&gt;0,"Category has no type","Category not in list"),IF(D486="","Amount missing",IF(NOT(ISNUMBER(D486)),"Amount is not a number",IF(F486="","",IF(ISNA(MATCH(F486,Lists!$G$2:$G$25,0)),"Goal / fund not in list",IF(H486="Income","Fund tag ignored on income","")))))))))))</f>
        <v/>
      </c>
    </row>
    <row r="487">
      <c r="A487" s="27" t="n">
        <v>46287</v>
      </c>
      <c r="B487" s="23" t="inlineStr">
        <is>
          <t>Water &amp; trash</t>
        </is>
      </c>
      <c r="C487" s="23" t="inlineStr">
        <is>
          <t>Utilities</t>
        </is>
      </c>
      <c r="D487" s="28" t="n">
        <v>54.3</v>
      </c>
      <c r="E487" s="23" t="inlineStr">
        <is>
          <t>Checking</t>
        </is>
      </c>
      <c r="F487" s="23" t="n"/>
      <c r="G487" s="23" t="n"/>
      <c r="H487" s="29">
        <f>IF(C487="","",IFERROR(INDEX(Categories!$B$6:$B$65,MATCH(C487,Categories!$A$6:$A$65,0))&amp;"",""))</f>
        <v/>
      </c>
      <c r="I487" s="25">
        <f>IF(AND(A487="",C487="",D487=""),"",IF(A487="","Date missing",IF(NOT(ISNUMBER(A487)),"Date not recognized",IF(YEAR(A487)&lt;&gt;Settings!$C$4,"Not in "&amp;Settings!$C$4,IF(C487="","Category missing",IF(H487="",IF(COUNTIF(Categories!$A$6:$A$65,C487)&gt;0,"Category has no type","Category not in list"),IF(D487="","Amount missing",IF(NOT(ISNUMBER(D487)),"Amount is not a number",IF(F487="","",IF(ISNA(MATCH(F487,Lists!$G$2:$G$25,0)),"Goal / fund not in list",IF(H487="Income","Fund tag ignored on income","")))))))))))</f>
        <v/>
      </c>
    </row>
    <row r="488">
      <c r="A488" s="27" t="n">
        <v>46287</v>
      </c>
      <c r="B488" s="23" t="inlineStr">
        <is>
          <t>Brunch</t>
        </is>
      </c>
      <c r="C488" s="23" t="inlineStr">
        <is>
          <t>Dining out</t>
        </is>
      </c>
      <c r="D488" s="28" t="n">
        <v>28.27</v>
      </c>
      <c r="E488" s="23" t="inlineStr">
        <is>
          <t>Credit card</t>
        </is>
      </c>
      <c r="F488" s="23" t="n"/>
      <c r="G488" s="23" t="n"/>
      <c r="H488" s="29">
        <f>IF(C488="","",IFERROR(INDEX(Categories!$B$6:$B$65,MATCH(C488,Categories!$A$6:$A$65,0))&amp;"",""))</f>
        <v/>
      </c>
      <c r="I488" s="25">
        <f>IF(AND(A488="",C488="",D488=""),"",IF(A488="","Date missing",IF(NOT(ISNUMBER(A488)),"Date not recognized",IF(YEAR(A488)&lt;&gt;Settings!$C$4,"Not in "&amp;Settings!$C$4,IF(C488="","Category missing",IF(H488="",IF(COUNTIF(Categories!$A$6:$A$65,C488)&gt;0,"Category has no type","Category not in list"),IF(D488="","Amount missing",IF(NOT(ISNUMBER(D488)),"Amount is not a number",IF(F488="","",IF(ISNA(MATCH(F488,Lists!$G$2:$G$25,0)),"Goal / fund not in list",IF(H488="Income","Fund tag ignored on income","")))))))))))</f>
        <v/>
      </c>
    </row>
    <row r="489">
      <c r="A489" s="27" t="n">
        <v>46288</v>
      </c>
      <c r="B489" s="23" t="inlineStr">
        <is>
          <t>Sold furniture online</t>
        </is>
      </c>
      <c r="C489" s="23" t="inlineStr">
        <is>
          <t>Side income</t>
        </is>
      </c>
      <c r="D489" s="28" t="n">
        <v>364.54</v>
      </c>
      <c r="E489" s="23" t="inlineStr">
        <is>
          <t>Checking</t>
        </is>
      </c>
      <c r="F489" s="23" t="n"/>
      <c r="G489" s="23" t="n"/>
      <c r="H489" s="29">
        <f>IF(C489="","",IFERROR(INDEX(Categories!$B$6:$B$65,MATCH(C489,Categories!$A$6:$A$65,0))&amp;"",""))</f>
        <v/>
      </c>
      <c r="I489" s="25">
        <f>IF(AND(A489="",C489="",D489=""),"",IF(A489="","Date missing",IF(NOT(ISNUMBER(A489)),"Date not recognized",IF(YEAR(A489)&lt;&gt;Settings!$C$4,"Not in "&amp;Settings!$C$4,IF(C489="","Category missing",IF(H489="",IF(COUNTIF(Categories!$A$6:$A$65,C489)&gt;0,"Category has no type","Category not in list"),IF(D489="","Amount missing",IF(NOT(ISNUMBER(D489)),"Amount is not a number",IF(F489="","",IF(ISNA(MATCH(F489,Lists!$G$2:$G$25,0)),"Goal / fund not in list",IF(H489="Income","Fund tag ignored on income","")))))))))))</f>
        <v/>
      </c>
    </row>
    <row r="490">
      <c r="A490" s="27" t="n">
        <v>46289</v>
      </c>
      <c r="B490" s="23" t="inlineStr">
        <is>
          <t>Supermarket</t>
        </is>
      </c>
      <c r="C490" s="23" t="inlineStr">
        <is>
          <t>Groceries</t>
        </is>
      </c>
      <c r="D490" s="28" t="n">
        <v>182.04</v>
      </c>
      <c r="E490" s="23" t="inlineStr">
        <is>
          <t>Debit card</t>
        </is>
      </c>
      <c r="F490" s="23" t="n"/>
      <c r="G490" s="23" t="n"/>
      <c r="H490" s="29">
        <f>IF(C490="","",IFERROR(INDEX(Categories!$B$6:$B$65,MATCH(C490,Categories!$A$6:$A$65,0))&amp;"",""))</f>
        <v/>
      </c>
      <c r="I490" s="25">
        <f>IF(AND(A490="",C490="",D490=""),"",IF(A490="","Date missing",IF(NOT(ISNUMBER(A490)),"Date not recognized",IF(YEAR(A490)&lt;&gt;Settings!$C$4,"Not in "&amp;Settings!$C$4,IF(C490="","Category missing",IF(H490="",IF(COUNTIF(Categories!$A$6:$A$65,C490)&gt;0,"Category has no type","Category not in list"),IF(D490="","Amount missing",IF(NOT(ISNUMBER(D490)),"Amount is not a number",IF(F490="","",IF(ISNA(MATCH(F490,Lists!$G$2:$G$25,0)),"Goal / fund not in list",IF(H490="Income","Fund tag ignored on income","")))))))))))</f>
        <v/>
      </c>
    </row>
    <row r="491">
      <c r="A491" s="27" t="n">
        <v>46290</v>
      </c>
      <c r="B491" s="23" t="inlineStr">
        <is>
          <t>Coffee</t>
        </is>
      </c>
      <c r="C491" s="23" t="inlineStr">
        <is>
          <t>Dining out</t>
        </is>
      </c>
      <c r="D491" s="28" t="n">
        <v>55.65</v>
      </c>
      <c r="E491" s="23" t="inlineStr">
        <is>
          <t>Credit card</t>
        </is>
      </c>
      <c r="F491" s="23" t="n"/>
      <c r="G491" s="23" t="n"/>
      <c r="H491" s="29">
        <f>IF(C491="","",IFERROR(INDEX(Categories!$B$6:$B$65,MATCH(C491,Categories!$A$6:$A$65,0))&amp;"",""))</f>
        <v/>
      </c>
      <c r="I491" s="25">
        <f>IF(AND(A491="",C491="",D491=""),"",IF(A491="","Date missing",IF(NOT(ISNUMBER(A491)),"Date not recognized",IF(YEAR(A491)&lt;&gt;Settings!$C$4,"Not in "&amp;Settings!$C$4,IF(C491="","Category missing",IF(H491="",IF(COUNTIF(Categories!$A$6:$A$65,C491)&gt;0,"Category has no type","Category not in list"),IF(D491="","Amount missing",IF(NOT(ISNUMBER(D491)),"Amount is not a number",IF(F491="","",IF(ISNA(MATCH(F491,Lists!$G$2:$G$25,0)),"Goal / fund not in list",IF(H491="Income","Fund tag ignored on income","")))))))))))</f>
        <v/>
      </c>
    </row>
    <row r="492">
      <c r="A492" s="27" t="n">
        <v>46290</v>
      </c>
      <c r="B492" s="23" t="inlineStr">
        <is>
          <t>Student loan payment</t>
        </is>
      </c>
      <c r="C492" s="23" t="inlineStr">
        <is>
          <t>Debt payments</t>
        </is>
      </c>
      <c r="D492" s="28" t="n">
        <v>165</v>
      </c>
      <c r="E492" s="23" t="inlineStr">
        <is>
          <t>Checking</t>
        </is>
      </c>
      <c r="F492" s="23" t="n"/>
      <c r="G492" s="23" t="n"/>
      <c r="H492" s="29">
        <f>IF(C492="","",IFERROR(INDEX(Categories!$B$6:$B$65,MATCH(C492,Categories!$A$6:$A$65,0))&amp;"",""))</f>
        <v/>
      </c>
      <c r="I492" s="25">
        <f>IF(AND(A492="",C492="",D492=""),"",IF(A492="","Date missing",IF(NOT(ISNUMBER(A492)),"Date not recognized",IF(YEAR(A492)&lt;&gt;Settings!$C$4,"Not in "&amp;Settings!$C$4,IF(C492="","Category missing",IF(H492="",IF(COUNTIF(Categories!$A$6:$A$65,C492)&gt;0,"Category has no type","Category not in list"),IF(D492="","Amount missing",IF(NOT(ISNUMBER(D492)),"Amount is not a number",IF(F492="","",IF(ISNA(MATCH(F492,Lists!$G$2:$G$25,0)),"Goal / fund not in list",IF(H492="Income","Fund tag ignored on income","")))))))))))</f>
        <v/>
      </c>
    </row>
    <row r="493">
      <c r="A493" s="27" t="n">
        <v>46292</v>
      </c>
      <c r="B493" s="23" t="inlineStr">
        <is>
          <t>Gas station</t>
        </is>
      </c>
      <c r="C493" s="23" t="inlineStr">
        <is>
          <t>Transport / Gas</t>
        </is>
      </c>
      <c r="D493" s="28" t="n">
        <v>54.98</v>
      </c>
      <c r="E493" s="23" t="inlineStr">
        <is>
          <t>Credit card</t>
        </is>
      </c>
      <c r="F493" s="23" t="n"/>
      <c r="G493" s="23" t="n"/>
      <c r="H493" s="29">
        <f>IF(C493="","",IFERROR(INDEX(Categories!$B$6:$B$65,MATCH(C493,Categories!$A$6:$A$65,0))&amp;"",""))</f>
        <v/>
      </c>
      <c r="I493" s="25">
        <f>IF(AND(A493="",C493="",D493=""),"",IF(A493="","Date missing",IF(NOT(ISNUMBER(A493)),"Date not recognized",IF(YEAR(A493)&lt;&gt;Settings!$C$4,"Not in "&amp;Settings!$C$4,IF(C493="","Category missing",IF(H493="",IF(COUNTIF(Categories!$A$6:$A$65,C493)&gt;0,"Category has no type","Category not in list"),IF(D493="","Amount missing",IF(NOT(ISNUMBER(D493)),"Amount is not a number",IF(F493="","",IF(ISNA(MATCH(F493,Lists!$G$2:$G$25,0)),"Goal / fund not in list",IF(H493="Income","Fund tag ignored on income","")))))))))))</f>
        <v/>
      </c>
    </row>
    <row r="494">
      <c r="A494" s="27" t="n">
        <v>46293</v>
      </c>
      <c r="B494" s="23" t="inlineStr">
        <is>
          <t>Sam paycheck</t>
        </is>
      </c>
      <c r="C494" s="23" t="inlineStr">
        <is>
          <t>Paycheck 2</t>
        </is>
      </c>
      <c r="D494" s="28" t="n">
        <v>2950</v>
      </c>
      <c r="E494" s="23" t="inlineStr">
        <is>
          <t>Checking</t>
        </is>
      </c>
      <c r="F494" s="23" t="n"/>
      <c r="G494" s="23" t="n"/>
      <c r="H494" s="29">
        <f>IF(C494="","",IFERROR(INDEX(Categories!$B$6:$B$65,MATCH(C494,Categories!$A$6:$A$65,0))&amp;"",""))</f>
        <v/>
      </c>
      <c r="I494" s="25">
        <f>IF(AND(A494="",C494="",D494=""),"",IF(A494="","Date missing",IF(NOT(ISNUMBER(A494)),"Date not recognized",IF(YEAR(A494)&lt;&gt;Settings!$C$4,"Not in "&amp;Settings!$C$4,IF(C494="","Category missing",IF(H494="",IF(COUNTIF(Categories!$A$6:$A$65,C494)&gt;0,"Category has no type","Category not in list"),IF(D494="","Amount missing",IF(NOT(ISNUMBER(D494)),"Amount is not a number",IF(F494="","",IF(ISNA(MATCH(F494,Lists!$G$2:$G$25,0)),"Goal / fund not in list",IF(H494="Income","Fund tag ignored on income","")))))))))))</f>
        <v/>
      </c>
    </row>
    <row r="495">
      <c r="A495" s="27" t="n">
        <v>46296</v>
      </c>
      <c r="B495" s="23" t="inlineStr">
        <is>
          <t>Alex paycheck</t>
        </is>
      </c>
      <c r="C495" s="23" t="inlineStr">
        <is>
          <t>Paycheck 1</t>
        </is>
      </c>
      <c r="D495" s="28" t="n">
        <v>2100</v>
      </c>
      <c r="E495" s="23" t="inlineStr">
        <is>
          <t>Checking</t>
        </is>
      </c>
      <c r="F495" s="23" t="n"/>
      <c r="G495" s="23" t="n"/>
      <c r="H495" s="29">
        <f>IF(C495="","",IFERROR(INDEX(Categories!$B$6:$B$65,MATCH(C495,Categories!$A$6:$A$65,0))&amp;"",""))</f>
        <v/>
      </c>
      <c r="I495" s="25">
        <f>IF(AND(A495="",C495="",D495=""),"",IF(A495="","Date missing",IF(NOT(ISNUMBER(A495)),"Date not recognized",IF(YEAR(A495)&lt;&gt;Settings!$C$4,"Not in "&amp;Settings!$C$4,IF(C495="","Category missing",IF(H495="",IF(COUNTIF(Categories!$A$6:$A$65,C495)&gt;0,"Category has no type","Category not in list"),IF(D495="","Amount missing",IF(NOT(ISNUMBER(D495)),"Amount is not a number",IF(F495="","",IF(ISNA(MATCH(F495,Lists!$G$2:$G$25,0)),"Goal / fund not in list",IF(H495="Income","Fund tag ignored on income","")))))))))))</f>
        <v/>
      </c>
    </row>
    <row r="496">
      <c r="A496" s="27" t="n">
        <v>46296</v>
      </c>
      <c r="B496" s="23" t="inlineStr">
        <is>
          <t>Rent</t>
        </is>
      </c>
      <c r="C496" s="23" t="inlineStr">
        <is>
          <t>Rent / Mortgage</t>
        </is>
      </c>
      <c r="D496" s="28" t="n">
        <v>1850</v>
      </c>
      <c r="E496" s="23" t="inlineStr">
        <is>
          <t>Checking</t>
        </is>
      </c>
      <c r="F496" s="23" t="n"/>
      <c r="G496" s="23" t="n"/>
      <c r="H496" s="29">
        <f>IF(C496="","",IFERROR(INDEX(Categories!$B$6:$B$65,MATCH(C496,Categories!$A$6:$A$65,0))&amp;"",""))</f>
        <v/>
      </c>
      <c r="I496" s="25">
        <f>IF(AND(A496="",C496="",D496=""),"",IF(A496="","Date missing",IF(NOT(ISNUMBER(A496)),"Date not recognized",IF(YEAR(A496)&lt;&gt;Settings!$C$4,"Not in "&amp;Settings!$C$4,IF(C496="","Category missing",IF(H496="",IF(COUNTIF(Categories!$A$6:$A$65,C496)&gt;0,"Category has no type","Category not in list"),IF(D496="","Amount missing",IF(NOT(ISNUMBER(D496)),"Amount is not a number",IF(F496="","",IF(ISNA(MATCH(F496,Lists!$G$2:$G$25,0)),"Goal / fund not in list",IF(H496="Income","Fund tag ignored on income","")))))))))))</f>
        <v/>
      </c>
    </row>
    <row r="497">
      <c r="A497" s="27" t="n">
        <v>46296</v>
      </c>
      <c r="B497" s="23" t="inlineStr">
        <is>
          <t>After-school program</t>
        </is>
      </c>
      <c r="C497" s="23" t="inlineStr">
        <is>
          <t>Kids</t>
        </is>
      </c>
      <c r="D497" s="28" t="n">
        <v>320</v>
      </c>
      <c r="E497" s="23" t="inlineStr">
        <is>
          <t>Checking</t>
        </is>
      </c>
      <c r="F497" s="23" t="n"/>
      <c r="G497" s="23" t="n"/>
      <c r="H497" s="29">
        <f>IF(C497="","",IFERROR(INDEX(Categories!$B$6:$B$65,MATCH(C497,Categories!$A$6:$A$65,0))&amp;"",""))</f>
        <v/>
      </c>
      <c r="I497" s="25">
        <f>IF(AND(A497="",C497="",D497=""),"",IF(A497="","Date missing",IF(NOT(ISNUMBER(A497)),"Date not recognized",IF(YEAR(A497)&lt;&gt;Settings!$C$4,"Not in "&amp;Settings!$C$4,IF(C497="","Category missing",IF(H497="",IF(COUNTIF(Categories!$A$6:$A$65,C497)&gt;0,"Category has no type","Category not in list"),IF(D497="","Amount missing",IF(NOT(ISNUMBER(D497)),"Amount is not a number",IF(F497="","",IF(ISNA(MATCH(F497,Lists!$G$2:$G$25,0)),"Goal / fund not in list",IF(H497="Income","Fund tag ignored on income","")))))))))))</f>
        <v/>
      </c>
    </row>
    <row r="498">
      <c r="A498" s="27" t="n">
        <v>46297</v>
      </c>
      <c r="B498" s="23" t="inlineStr">
        <is>
          <t>Gym membership</t>
        </is>
      </c>
      <c r="C498" s="23" t="inlineStr">
        <is>
          <t>Subscriptions</t>
        </is>
      </c>
      <c r="D498" s="28" t="n">
        <v>45</v>
      </c>
      <c r="E498" s="23" t="inlineStr">
        <is>
          <t>Checking</t>
        </is>
      </c>
      <c r="F498" s="23" t="n"/>
      <c r="G498" s="23" t="n"/>
      <c r="H498" s="29">
        <f>IF(C498="","",IFERROR(INDEX(Categories!$B$6:$B$65,MATCH(C498,Categories!$A$6:$A$65,0))&amp;"",""))</f>
        <v/>
      </c>
      <c r="I498" s="25">
        <f>IF(AND(A498="",C498="",D498=""),"",IF(A498="","Date missing",IF(NOT(ISNUMBER(A498)),"Date not recognized",IF(YEAR(A498)&lt;&gt;Settings!$C$4,"Not in "&amp;Settings!$C$4,IF(C498="","Category missing",IF(H498="",IF(COUNTIF(Categories!$A$6:$A$65,C498)&gt;0,"Category has no type","Category not in list"),IF(D498="","Amount missing",IF(NOT(ISNUMBER(D498)),"Amount is not a number",IF(F498="","",IF(ISNA(MATCH(F498,Lists!$G$2:$G$25,0)),"Goal / fund not in list",IF(H498="Income","Fund tag ignored on income","")))))))))))</f>
        <v/>
      </c>
    </row>
    <row r="499">
      <c r="A499" s="27" t="n">
        <v>46297</v>
      </c>
      <c r="B499" s="23" t="inlineStr">
        <is>
          <t>Transfer to emergency fund</t>
        </is>
      </c>
      <c r="C499" s="23" t="inlineStr">
        <is>
          <t>Emergency fund</t>
        </is>
      </c>
      <c r="D499" s="28" t="n">
        <v>300</v>
      </c>
      <c r="E499" s="23" t="inlineStr">
        <is>
          <t>Savings</t>
        </is>
      </c>
      <c r="F499" s="23" t="inlineStr">
        <is>
          <t>Emergency fund</t>
        </is>
      </c>
      <c r="G499" s="23" t="n"/>
      <c r="H499" s="29">
        <f>IF(C499="","",IFERROR(INDEX(Categories!$B$6:$B$65,MATCH(C499,Categories!$A$6:$A$65,0))&amp;"",""))</f>
        <v/>
      </c>
      <c r="I499" s="25">
        <f>IF(AND(A499="",C499="",D499=""),"",IF(A499="","Date missing",IF(NOT(ISNUMBER(A499)),"Date not recognized",IF(YEAR(A499)&lt;&gt;Settings!$C$4,"Not in "&amp;Settings!$C$4,IF(C499="","Category missing",IF(H499="",IF(COUNTIF(Categories!$A$6:$A$65,C499)&gt;0,"Category has no type","Category not in list"),IF(D499="","Amount missing",IF(NOT(ISNUMBER(D499)),"Amount is not a number",IF(F499="","",IF(ISNA(MATCH(F499,Lists!$G$2:$G$25,0)),"Goal / fund not in list",IF(H499="Income","Fund tag ignored on income","")))))))))))</f>
        <v/>
      </c>
    </row>
    <row r="500">
      <c r="A500" s="27" t="n">
        <v>46297</v>
      </c>
      <c r="B500" s="23" t="inlineStr">
        <is>
          <t>Transfer: house fund</t>
        </is>
      </c>
      <c r="C500" s="23" t="inlineStr">
        <is>
          <t>Savings goals</t>
        </is>
      </c>
      <c r="D500" s="28" t="n">
        <v>300</v>
      </c>
      <c r="E500" s="23" t="inlineStr">
        <is>
          <t>Savings</t>
        </is>
      </c>
      <c r="F500" s="23" t="inlineStr">
        <is>
          <t>House down payment</t>
        </is>
      </c>
      <c r="G500" s="23" t="n"/>
      <c r="H500" s="29">
        <f>IF(C500="","",IFERROR(INDEX(Categories!$B$6:$B$65,MATCH(C500,Categories!$A$6:$A$65,0))&amp;"",""))</f>
        <v/>
      </c>
      <c r="I500" s="25">
        <f>IF(AND(A500="",C500="",D500=""),"",IF(A500="","Date missing",IF(NOT(ISNUMBER(A500)),"Date not recognized",IF(YEAR(A500)&lt;&gt;Settings!$C$4,"Not in "&amp;Settings!$C$4,IF(C500="","Category missing",IF(H500="",IF(COUNTIF(Categories!$A$6:$A$65,C500)&gt;0,"Category has no type","Category not in list"),IF(D500="","Amount missing",IF(NOT(ISNUMBER(D500)),"Amount is not a number",IF(F500="","",IF(ISNA(MATCH(F500,Lists!$G$2:$G$25,0)),"Goal / fund not in list",IF(H500="Income","Fund tag ignored on income","")))))))))))</f>
        <v/>
      </c>
    </row>
    <row r="501">
      <c r="A501" s="27" t="n">
        <v>46297</v>
      </c>
      <c r="B501" s="23" t="inlineStr">
        <is>
          <t>Transfer: laptop</t>
        </is>
      </c>
      <c r="C501" s="23" t="inlineStr">
        <is>
          <t>Savings goals</t>
        </is>
      </c>
      <c r="D501" s="28" t="n">
        <v>100</v>
      </c>
      <c r="E501" s="23" t="inlineStr">
        <is>
          <t>Savings</t>
        </is>
      </c>
      <c r="F501" s="23" t="inlineStr">
        <is>
          <t>New laptop</t>
        </is>
      </c>
      <c r="G501" s="23" t="n"/>
      <c r="H501" s="29">
        <f>IF(C501="","",IFERROR(INDEX(Categories!$B$6:$B$65,MATCH(C501,Categories!$A$6:$A$65,0))&amp;"",""))</f>
        <v/>
      </c>
      <c r="I501" s="25">
        <f>IF(AND(A501="",C501="",D501=""),"",IF(A501="","Date missing",IF(NOT(ISNUMBER(A501)),"Date not recognized",IF(YEAR(A501)&lt;&gt;Settings!$C$4,"Not in "&amp;Settings!$C$4,IF(C501="","Category missing",IF(H501="",IF(COUNTIF(Categories!$A$6:$A$65,C501)&gt;0,"Category has no type","Category not in list"),IF(D501="","Amount missing",IF(NOT(ISNUMBER(D501)),"Amount is not a number",IF(F501="","",IF(ISNA(MATCH(F501,Lists!$G$2:$G$25,0)),"Goal / fund not in list",IF(H501="Income","Fund tag ignored on income","")))))))))))</f>
        <v/>
      </c>
    </row>
    <row r="502">
      <c r="A502" s="27" t="n">
        <v>46297</v>
      </c>
      <c r="B502" s="23" t="inlineStr">
        <is>
          <t>Set aside: car maintenance</t>
        </is>
      </c>
      <c r="C502" s="23" t="inlineStr">
        <is>
          <t>Sinking funds</t>
        </is>
      </c>
      <c r="D502" s="28" t="n">
        <v>60</v>
      </c>
      <c r="E502" s="23" t="inlineStr">
        <is>
          <t>Savings</t>
        </is>
      </c>
      <c r="F502" s="23" t="inlineStr">
        <is>
          <t>Car maintenance</t>
        </is>
      </c>
      <c r="G502" s="23" t="n"/>
      <c r="H502" s="29">
        <f>IF(C502="","",IFERROR(INDEX(Categories!$B$6:$B$65,MATCH(C502,Categories!$A$6:$A$65,0))&amp;"",""))</f>
        <v/>
      </c>
      <c r="I502" s="25">
        <f>IF(AND(A502="",C502="",D502=""),"",IF(A502="","Date missing",IF(NOT(ISNUMBER(A502)),"Date not recognized",IF(YEAR(A502)&lt;&gt;Settings!$C$4,"Not in "&amp;Settings!$C$4,IF(C502="","Category missing",IF(H502="",IF(COUNTIF(Categories!$A$6:$A$65,C502)&gt;0,"Category has no type","Category not in list"),IF(D502="","Amount missing",IF(NOT(ISNUMBER(D502)),"Amount is not a number",IF(F502="","",IF(ISNA(MATCH(F502,Lists!$G$2:$G$25,0)),"Goal / fund not in list",IF(H502="Income","Fund tag ignored on income","")))))))))))</f>
        <v/>
      </c>
    </row>
    <row r="503">
      <c r="A503" s="27" t="n">
        <v>46297</v>
      </c>
      <c r="B503" s="23" t="inlineStr">
        <is>
          <t>Set aside: holiday gifts</t>
        </is>
      </c>
      <c r="C503" s="23" t="inlineStr">
        <is>
          <t>Sinking funds</t>
        </is>
      </c>
      <c r="D503" s="28" t="n">
        <v>50</v>
      </c>
      <c r="E503" s="23" t="inlineStr">
        <is>
          <t>Savings</t>
        </is>
      </c>
      <c r="F503" s="23" t="inlineStr">
        <is>
          <t>Holiday gifts</t>
        </is>
      </c>
      <c r="G503" s="23" t="n"/>
      <c r="H503" s="29">
        <f>IF(C503="","",IFERROR(INDEX(Categories!$B$6:$B$65,MATCH(C503,Categories!$A$6:$A$65,0))&amp;"",""))</f>
        <v/>
      </c>
      <c r="I503" s="25">
        <f>IF(AND(A503="",C503="",D503=""),"",IF(A503="","Date missing",IF(NOT(ISNUMBER(A503)),"Date not recognized",IF(YEAR(A503)&lt;&gt;Settings!$C$4,"Not in "&amp;Settings!$C$4,IF(C503="","Category missing",IF(H503="",IF(COUNTIF(Categories!$A$6:$A$65,C503)&gt;0,"Category has no type","Category not in list"),IF(D503="","Amount missing",IF(NOT(ISNUMBER(D503)),"Amount is not a number",IF(F503="","",IF(ISNA(MATCH(F503,Lists!$G$2:$G$25,0)),"Goal / fund not in list",IF(H503="Income","Fund tag ignored on income","")))))))))))</f>
        <v/>
      </c>
    </row>
    <row r="504">
      <c r="A504" s="27" t="n">
        <v>46297</v>
      </c>
      <c r="B504" s="23" t="inlineStr">
        <is>
          <t>Set aside: summer vacation</t>
        </is>
      </c>
      <c r="C504" s="23" t="inlineStr">
        <is>
          <t>Sinking funds</t>
        </is>
      </c>
      <c r="D504" s="28" t="n">
        <v>150</v>
      </c>
      <c r="E504" s="23" t="inlineStr">
        <is>
          <t>Savings</t>
        </is>
      </c>
      <c r="F504" s="23" t="inlineStr">
        <is>
          <t>Summer vacation</t>
        </is>
      </c>
      <c r="G504" s="23" t="n"/>
      <c r="H504" s="29">
        <f>IF(C504="","",IFERROR(INDEX(Categories!$B$6:$B$65,MATCH(C504,Categories!$A$6:$A$65,0))&amp;"",""))</f>
        <v/>
      </c>
      <c r="I504" s="25">
        <f>IF(AND(A504="",C504="",D504=""),"",IF(A504="","Date missing",IF(NOT(ISNUMBER(A504)),"Date not recognized",IF(YEAR(A504)&lt;&gt;Settings!$C$4,"Not in "&amp;Settings!$C$4,IF(C504="","Category missing",IF(H504="",IF(COUNTIF(Categories!$A$6:$A$65,C504)&gt;0,"Category has no type","Category not in list"),IF(D504="","Amount missing",IF(NOT(ISNUMBER(D504)),"Amount is not a number",IF(F504="","",IF(ISNA(MATCH(F504,Lists!$G$2:$G$25,0)),"Goal / fund not in list",IF(H504="Income","Fund tag ignored on income","")))))))))))</f>
        <v/>
      </c>
    </row>
    <row r="505">
      <c r="A505" s="27" t="n">
        <v>46297</v>
      </c>
      <c r="B505" s="23" t="inlineStr">
        <is>
          <t>Set aside: home repairs</t>
        </is>
      </c>
      <c r="C505" s="23" t="inlineStr">
        <is>
          <t>Sinking funds</t>
        </is>
      </c>
      <c r="D505" s="28" t="n">
        <v>40</v>
      </c>
      <c r="E505" s="23" t="inlineStr">
        <is>
          <t>Savings</t>
        </is>
      </c>
      <c r="F505" s="23" t="inlineStr">
        <is>
          <t>Home repairs</t>
        </is>
      </c>
      <c r="G505" s="23" t="n"/>
      <c r="H505" s="29">
        <f>IF(C505="","",IFERROR(INDEX(Categories!$B$6:$B$65,MATCH(C505,Categories!$A$6:$A$65,0))&amp;"",""))</f>
        <v/>
      </c>
      <c r="I505" s="25">
        <f>IF(AND(A505="",C505="",D505=""),"",IF(A505="","Date missing",IF(NOT(ISNUMBER(A505)),"Date not recognized",IF(YEAR(A505)&lt;&gt;Settings!$C$4,"Not in "&amp;Settings!$C$4,IF(C505="","Category missing",IF(H505="",IF(COUNTIF(Categories!$A$6:$A$65,C505)&gt;0,"Category has no type","Category not in list"),IF(D505="","Amount missing",IF(NOT(ISNUMBER(D505)),"Amount is not a number",IF(F505="","",IF(ISNA(MATCH(F505,Lists!$G$2:$G$25,0)),"Goal / fund not in list",IF(H505="Income","Fund tag ignored on income","")))))))))))</f>
        <v/>
      </c>
    </row>
    <row r="506">
      <c r="A506" s="27" t="n">
        <v>46298</v>
      </c>
      <c r="B506" s="23" t="inlineStr">
        <is>
          <t>Video streaming</t>
        </is>
      </c>
      <c r="C506" s="23" t="inlineStr">
        <is>
          <t>Subscriptions</t>
        </is>
      </c>
      <c r="D506" s="28" t="n">
        <v>15.49</v>
      </c>
      <c r="E506" s="23" t="inlineStr">
        <is>
          <t>Credit card</t>
        </is>
      </c>
      <c r="F506" s="23" t="n"/>
      <c r="G506" s="23" t="n"/>
      <c r="H506" s="29">
        <f>IF(C506="","",IFERROR(INDEX(Categories!$B$6:$B$65,MATCH(C506,Categories!$A$6:$A$65,0))&amp;"",""))</f>
        <v/>
      </c>
      <c r="I506" s="25">
        <f>IF(AND(A506="",C506="",D506=""),"",IF(A506="","Date missing",IF(NOT(ISNUMBER(A506)),"Date not recognized",IF(YEAR(A506)&lt;&gt;Settings!$C$4,"Not in "&amp;Settings!$C$4,IF(C506="","Category missing",IF(H506="",IF(COUNTIF(Categories!$A$6:$A$65,C506)&gt;0,"Category has no type","Category not in list"),IF(D506="","Amount missing",IF(NOT(ISNUMBER(D506)),"Amount is not a number",IF(F506="","",IF(ISNA(MATCH(F506,Lists!$G$2:$G$25,0)),"Goal / fund not in list",IF(H506="Income","Fund tag ignored on income","")))))))))))</f>
        <v/>
      </c>
    </row>
    <row r="507">
      <c r="A507" s="27" t="n">
        <v>46298</v>
      </c>
      <c r="B507" s="23" t="inlineStr">
        <is>
          <t>Warehouse store</t>
        </is>
      </c>
      <c r="C507" s="23" t="inlineStr">
        <is>
          <t>Groceries</t>
        </is>
      </c>
      <c r="D507" s="28" t="n">
        <v>148.5</v>
      </c>
      <c r="E507" s="23" t="inlineStr">
        <is>
          <t>Debit card</t>
        </is>
      </c>
      <c r="F507" s="23" t="n"/>
      <c r="G507" s="23" t="n"/>
      <c r="H507" s="29">
        <f>IF(C507="","",IFERROR(INDEX(Categories!$B$6:$B$65,MATCH(C507,Categories!$A$6:$A$65,0))&amp;"",""))</f>
        <v/>
      </c>
      <c r="I507" s="25">
        <f>IF(AND(A507="",C507="",D507=""),"",IF(A507="","Date missing",IF(NOT(ISNUMBER(A507)),"Date not recognized",IF(YEAR(A507)&lt;&gt;Settings!$C$4,"Not in "&amp;Settings!$C$4,IF(C507="","Category missing",IF(H507="",IF(COUNTIF(Categories!$A$6:$A$65,C507)&gt;0,"Category has no type","Category not in list"),IF(D507="","Amount missing",IF(NOT(ISNUMBER(D507)),"Amount is not a number",IF(F507="","",IF(ISNA(MATCH(F507,Lists!$G$2:$G$25,0)),"Goal / fund not in list",IF(H507="Income","Fund tag ignored on income","")))))))))))</f>
        <v/>
      </c>
    </row>
    <row r="508">
      <c r="A508" s="27" t="n">
        <v>46298</v>
      </c>
      <c r="B508" s="23" t="inlineStr">
        <is>
          <t>Retirement contribution</t>
        </is>
      </c>
      <c r="C508" s="23" t="inlineStr">
        <is>
          <t>Retirement &amp; investing</t>
        </is>
      </c>
      <c r="D508" s="28" t="n">
        <v>600</v>
      </c>
      <c r="E508" s="23" t="inlineStr">
        <is>
          <t>Checking</t>
        </is>
      </c>
      <c r="F508" s="23" t="n"/>
      <c r="G508" s="23" t="n"/>
      <c r="H508" s="29">
        <f>IF(C508="","",IFERROR(INDEX(Categories!$B$6:$B$65,MATCH(C508,Categories!$A$6:$A$65,0))&amp;"",""))</f>
        <v/>
      </c>
      <c r="I508" s="25">
        <f>IF(AND(A508="",C508="",D508=""),"",IF(A508="","Date missing",IF(NOT(ISNUMBER(A508)),"Date not recognized",IF(YEAR(A508)&lt;&gt;Settings!$C$4,"Not in "&amp;Settings!$C$4,IF(C508="","Category missing",IF(H508="",IF(COUNTIF(Categories!$A$6:$A$65,C508)&gt;0,"Category has no type","Category not in list"),IF(D508="","Amount missing",IF(NOT(ISNUMBER(D508)),"Amount is not a number",IF(F508="","",IF(ISNA(MATCH(F508,Lists!$G$2:$G$25,0)),"Goal / fund not in list",IF(H508="Income","Fund tag ignored on income","")))))))))))</f>
        <v/>
      </c>
    </row>
    <row r="509">
      <c r="A509" s="27" t="n">
        <v>46299</v>
      </c>
      <c r="B509" s="23" t="inlineStr">
        <is>
          <t>Gas station</t>
        </is>
      </c>
      <c r="C509" s="23" t="inlineStr">
        <is>
          <t>Transport / Gas</t>
        </is>
      </c>
      <c r="D509" s="28" t="n">
        <v>53.4</v>
      </c>
      <c r="E509" s="23" t="inlineStr">
        <is>
          <t>Credit card</t>
        </is>
      </c>
      <c r="F509" s="23" t="n"/>
      <c r="G509" s="23" t="n"/>
      <c r="H509" s="29">
        <f>IF(C509="","",IFERROR(INDEX(Categories!$B$6:$B$65,MATCH(C509,Categories!$A$6:$A$65,0))&amp;"",""))</f>
        <v/>
      </c>
      <c r="I509" s="25">
        <f>IF(AND(A509="",C509="",D509=""),"",IF(A509="","Date missing",IF(NOT(ISNUMBER(A509)),"Date not recognized",IF(YEAR(A509)&lt;&gt;Settings!$C$4,"Not in "&amp;Settings!$C$4,IF(C509="","Category missing",IF(H509="",IF(COUNTIF(Categories!$A$6:$A$65,C509)&gt;0,"Category has no type","Category not in list"),IF(D509="","Amount missing",IF(NOT(ISNUMBER(D509)),"Amount is not a number",IF(F509="","",IF(ISNA(MATCH(F509,Lists!$G$2:$G$25,0)),"Goal / fund not in list",IF(H509="Income","Fund tag ignored on income","")))))))))))</f>
        <v/>
      </c>
    </row>
    <row r="510">
      <c r="A510" s="27" t="n">
        <v>46300</v>
      </c>
      <c r="B510" s="23" t="inlineStr">
        <is>
          <t>Car insurance</t>
        </is>
      </c>
      <c r="C510" s="23" t="inlineStr">
        <is>
          <t>Insurance</t>
        </is>
      </c>
      <c r="D510" s="28" t="n">
        <v>128</v>
      </c>
      <c r="E510" s="23" t="inlineStr">
        <is>
          <t>Checking</t>
        </is>
      </c>
      <c r="F510" s="23" t="n"/>
      <c r="G510" s="23" t="n"/>
      <c r="H510" s="29">
        <f>IF(C510="","",IFERROR(INDEX(Categories!$B$6:$B$65,MATCH(C510,Categories!$A$6:$A$65,0))&amp;"",""))</f>
        <v/>
      </c>
      <c r="I510" s="25">
        <f>IF(AND(A510="",C510="",D510=""),"",IF(A510="","Date missing",IF(NOT(ISNUMBER(A510)),"Date not recognized",IF(YEAR(A510)&lt;&gt;Settings!$C$4,"Not in "&amp;Settings!$C$4,IF(C510="","Category missing",IF(H510="",IF(COUNTIF(Categories!$A$6:$A$65,C510)&gt;0,"Category has no type","Category not in list"),IF(D510="","Amount missing",IF(NOT(ISNUMBER(D510)),"Amount is not a number",IF(F510="","",IF(ISNA(MATCH(F510,Lists!$G$2:$G$25,0)),"Goal / fund not in list",IF(H510="Income","Fund tag ignored on income","")))))))))))</f>
        <v/>
      </c>
    </row>
    <row r="511">
      <c r="A511" s="27" t="n">
        <v>46300</v>
      </c>
      <c r="B511" s="23" t="inlineStr">
        <is>
          <t>Renters insurance</t>
        </is>
      </c>
      <c r="C511" s="23" t="inlineStr">
        <is>
          <t>Insurance</t>
        </is>
      </c>
      <c r="D511" s="28" t="n">
        <v>18</v>
      </c>
      <c r="E511" s="23" t="inlineStr">
        <is>
          <t>Checking</t>
        </is>
      </c>
      <c r="F511" s="23" t="n"/>
      <c r="G511" s="23" t="n"/>
      <c r="H511" s="29">
        <f>IF(C511="","",IFERROR(INDEX(Categories!$B$6:$B$65,MATCH(C511,Categories!$A$6:$A$65,0))&amp;"",""))</f>
        <v/>
      </c>
      <c r="I511" s="25">
        <f>IF(AND(A511="",C511="",D511=""),"",IF(A511="","Date missing",IF(NOT(ISNUMBER(A511)),"Date not recognized",IF(YEAR(A511)&lt;&gt;Settings!$C$4,"Not in "&amp;Settings!$C$4,IF(C511="","Category missing",IF(H511="",IF(COUNTIF(Categories!$A$6:$A$65,C511)&gt;0,"Category has no type","Category not in list"),IF(D511="","Amount missing",IF(NOT(ISNUMBER(D511)),"Amount is not a number",IF(F511="","",IF(ISNA(MATCH(F511,Lists!$G$2:$G$25,0)),"Goal / fund not in list",IF(H511="Income","Fund tag ignored on income","")))))))))))</f>
        <v/>
      </c>
    </row>
    <row r="512">
      <c r="A512" s="27" t="n">
        <v>46300</v>
      </c>
      <c r="B512" s="23" t="inlineStr">
        <is>
          <t>T-shirts</t>
        </is>
      </c>
      <c r="C512" s="23" t="inlineStr">
        <is>
          <t>Clothing</t>
        </is>
      </c>
      <c r="D512" s="28" t="n">
        <v>40.99</v>
      </c>
      <c r="E512" s="23" t="inlineStr">
        <is>
          <t>Credit card</t>
        </is>
      </c>
      <c r="F512" s="23" t="n"/>
      <c r="G512" s="23" t="n"/>
      <c r="H512" s="29">
        <f>IF(C512="","",IFERROR(INDEX(Categories!$B$6:$B$65,MATCH(C512,Categories!$A$6:$A$65,0))&amp;"",""))</f>
        <v/>
      </c>
      <c r="I512" s="25">
        <f>IF(AND(A512="",C512="",D512=""),"",IF(A512="","Date missing",IF(NOT(ISNUMBER(A512)),"Date not recognized",IF(YEAR(A512)&lt;&gt;Settings!$C$4,"Not in "&amp;Settings!$C$4,IF(C512="","Category missing",IF(H512="",IF(COUNTIF(Categories!$A$6:$A$65,C512)&gt;0,"Category has no type","Category not in list"),IF(D512="","Amount missing",IF(NOT(ISNUMBER(D512)),"Amount is not a number",IF(F512="","",IF(ISNA(MATCH(F512,Lists!$G$2:$G$25,0)),"Goal / fund not in list",IF(H512="Income","Fund tag ignored on income","")))))))))))</f>
        <v/>
      </c>
    </row>
    <row r="513">
      <c r="A513" s="27" t="n">
        <v>46302</v>
      </c>
      <c r="B513" s="23" t="inlineStr">
        <is>
          <t>Music streaming</t>
        </is>
      </c>
      <c r="C513" s="23" t="inlineStr">
        <is>
          <t>Subscriptions</t>
        </is>
      </c>
      <c r="D513" s="28" t="n">
        <v>10.99</v>
      </c>
      <c r="E513" s="23" t="inlineStr">
        <is>
          <t>Credit card</t>
        </is>
      </c>
      <c r="F513" s="23" t="n"/>
      <c r="G513" s="23" t="n"/>
      <c r="H513" s="29">
        <f>IF(C513="","",IFERROR(INDEX(Categories!$B$6:$B$65,MATCH(C513,Categories!$A$6:$A$65,0))&amp;"",""))</f>
        <v/>
      </c>
      <c r="I513" s="25">
        <f>IF(AND(A513="",C513="",D513=""),"",IF(A513="","Date missing",IF(NOT(ISNUMBER(A513)),"Date not recognized",IF(YEAR(A513)&lt;&gt;Settings!$C$4,"Not in "&amp;Settings!$C$4,IF(C513="","Category missing",IF(H513="",IF(COUNTIF(Categories!$A$6:$A$65,C513)&gt;0,"Category has no type","Category not in list"),IF(D513="","Amount missing",IF(NOT(ISNUMBER(D513)),"Amount is not a number",IF(F513="","",IF(ISNA(MATCH(F513,Lists!$G$2:$G$25,0)),"Goal / fund not in list",IF(H513="Income","Fund tag ignored on income","")))))))))))</f>
        <v/>
      </c>
    </row>
    <row r="514">
      <c r="A514" s="27" t="n">
        <v>46303</v>
      </c>
      <c r="B514" s="23" t="inlineStr">
        <is>
          <t>Coffee</t>
        </is>
      </c>
      <c r="C514" s="23" t="inlineStr">
        <is>
          <t>Dining out</t>
        </is>
      </c>
      <c r="D514" s="28" t="n">
        <v>34.31</v>
      </c>
      <c r="E514" s="23" t="inlineStr">
        <is>
          <t>Credit card</t>
        </is>
      </c>
      <c r="F514" s="23" t="n"/>
      <c r="G514" s="23" t="n"/>
      <c r="H514" s="29">
        <f>IF(C514="","",IFERROR(INDEX(Categories!$B$6:$B$65,MATCH(C514,Categories!$A$6:$A$65,0))&amp;"",""))</f>
        <v/>
      </c>
      <c r="I514" s="25">
        <f>IF(AND(A514="",C514="",D514=""),"",IF(A514="","Date missing",IF(NOT(ISNUMBER(A514)),"Date not recognized",IF(YEAR(A514)&lt;&gt;Settings!$C$4,"Not in "&amp;Settings!$C$4,IF(C514="","Category missing",IF(H514="",IF(COUNTIF(Categories!$A$6:$A$65,C514)&gt;0,"Category has no type","Category not in list"),IF(D514="","Amount missing",IF(NOT(ISNUMBER(D514)),"Amount is not a number",IF(F514="","",IF(ISNA(MATCH(F514,Lists!$G$2:$G$25,0)),"Goal / fund not in list",IF(H514="Income","Fund tag ignored on income","")))))))))))</f>
        <v/>
      </c>
    </row>
    <row r="515">
      <c r="A515" s="27" t="n">
        <v>46304</v>
      </c>
      <c r="B515" s="23" t="inlineStr">
        <is>
          <t>Washer repair</t>
        </is>
      </c>
      <c r="C515" s="23" t="inlineStr">
        <is>
          <t>Home &amp; repairs</t>
        </is>
      </c>
      <c r="D515" s="28" t="n">
        <v>185</v>
      </c>
      <c r="E515" s="23" t="inlineStr">
        <is>
          <t>Debit card</t>
        </is>
      </c>
      <c r="F515" s="23" t="inlineStr">
        <is>
          <t>Home repairs</t>
        </is>
      </c>
      <c r="G515" s="23" t="n"/>
      <c r="H515" s="29">
        <f>IF(C515="","",IFERROR(INDEX(Categories!$B$6:$B$65,MATCH(C515,Categories!$A$6:$A$65,0))&amp;"",""))</f>
        <v/>
      </c>
      <c r="I515" s="25">
        <f>IF(AND(A515="",C515="",D515=""),"",IF(A515="","Date missing",IF(NOT(ISNUMBER(A515)),"Date not recognized",IF(YEAR(A515)&lt;&gt;Settings!$C$4,"Not in "&amp;Settings!$C$4,IF(C515="","Category missing",IF(H515="",IF(COUNTIF(Categories!$A$6:$A$65,C515)&gt;0,"Category has no type","Category not in list"),IF(D515="","Amount missing",IF(NOT(ISNUMBER(D515)),"Amount is not a number",IF(F515="","",IF(ISNA(MATCH(F515,Lists!$G$2:$G$25,0)),"Goal / fund not in list",IF(H515="Income","Fund tag ignored on income","")))))))))))</f>
        <v/>
      </c>
    </row>
    <row r="516">
      <c r="A516" s="27" t="n">
        <v>46304</v>
      </c>
      <c r="B516" s="23" t="inlineStr">
        <is>
          <t>Pet food</t>
        </is>
      </c>
      <c r="C516" s="23" t="inlineStr">
        <is>
          <t>Pets</t>
        </is>
      </c>
      <c r="D516" s="28" t="n">
        <v>48.93</v>
      </c>
      <c r="E516" s="23" t="inlineStr">
        <is>
          <t>Debit card</t>
        </is>
      </c>
      <c r="F516" s="23" t="n"/>
      <c r="G516" s="23" t="n"/>
      <c r="H516" s="29">
        <f>IF(C516="","",IFERROR(INDEX(Categories!$B$6:$B$65,MATCH(C516,Categories!$A$6:$A$65,0))&amp;"",""))</f>
        <v/>
      </c>
      <c r="I516" s="25">
        <f>IF(AND(A516="",C516="",D516=""),"",IF(A516="","Date missing",IF(NOT(ISNUMBER(A516)),"Date not recognized",IF(YEAR(A516)&lt;&gt;Settings!$C$4,"Not in "&amp;Settings!$C$4,IF(C516="","Category missing",IF(H516="",IF(COUNTIF(Categories!$A$6:$A$65,C516)&gt;0,"Category has no type","Category not in list"),IF(D516="","Amount missing",IF(NOT(ISNUMBER(D516)),"Amount is not a number",IF(F516="","",IF(ISNA(MATCH(F516,Lists!$G$2:$G$25,0)),"Goal / fund not in list",IF(H516="Income","Fund tag ignored on income","")))))))))))</f>
        <v/>
      </c>
    </row>
    <row r="517">
      <c r="A517" s="27" t="n">
        <v>46305</v>
      </c>
      <c r="B517" s="23" t="inlineStr">
        <is>
          <t>Car loan payment</t>
        </is>
      </c>
      <c r="C517" s="23" t="inlineStr">
        <is>
          <t>Car payment</t>
        </is>
      </c>
      <c r="D517" s="28" t="n">
        <v>389</v>
      </c>
      <c r="E517" s="23" t="inlineStr">
        <is>
          <t>Checking</t>
        </is>
      </c>
      <c r="F517" s="23" t="n"/>
      <c r="G517" s="23" t="n"/>
      <c r="H517" s="29">
        <f>IF(C517="","",IFERROR(INDEX(Categories!$B$6:$B$65,MATCH(C517,Categories!$A$6:$A$65,0))&amp;"",""))</f>
        <v/>
      </c>
      <c r="I517" s="25">
        <f>IF(AND(A517="",C517="",D517=""),"",IF(A517="","Date missing",IF(NOT(ISNUMBER(A517)),"Date not recognized",IF(YEAR(A517)&lt;&gt;Settings!$C$4,"Not in "&amp;Settings!$C$4,IF(C517="","Category missing",IF(H517="",IF(COUNTIF(Categories!$A$6:$A$65,C517)&gt;0,"Category has no type","Category not in list"),IF(D517="","Amount missing",IF(NOT(ISNUMBER(D517)),"Amount is not a number",IF(F517="","",IF(ISNA(MATCH(F517,Lists!$G$2:$G$25,0)),"Goal / fund not in list",IF(H517="Income","Fund tag ignored on income","")))))))))))</f>
        <v/>
      </c>
    </row>
    <row r="518">
      <c r="A518" s="27" t="n">
        <v>46305</v>
      </c>
      <c r="B518" s="23" t="inlineStr">
        <is>
          <t>Supermarket</t>
        </is>
      </c>
      <c r="C518" s="23" t="inlineStr">
        <is>
          <t>Groceries</t>
        </is>
      </c>
      <c r="D518" s="28" t="n">
        <v>186.31</v>
      </c>
      <c r="E518" s="23" t="inlineStr">
        <is>
          <t>Debit card</t>
        </is>
      </c>
      <c r="F518" s="23" t="n"/>
      <c r="G518" s="23" t="n"/>
      <c r="H518" s="29">
        <f>IF(C518="","",IFERROR(INDEX(Categories!$B$6:$B$65,MATCH(C518,Categories!$A$6:$A$65,0))&amp;"",""))</f>
        <v/>
      </c>
      <c r="I518" s="25">
        <f>IF(AND(A518="",C518="",D518=""),"",IF(A518="","Date missing",IF(NOT(ISNUMBER(A518)),"Date not recognized",IF(YEAR(A518)&lt;&gt;Settings!$C$4,"Not in "&amp;Settings!$C$4,IF(C518="","Category missing",IF(H518="",IF(COUNTIF(Categories!$A$6:$A$65,C518)&gt;0,"Category has no type","Category not in list"),IF(D518="","Amount missing",IF(NOT(ISNUMBER(D518)),"Amount is not a number",IF(F518="","",IF(ISNA(MATCH(F518,Lists!$G$2:$G$25,0)),"Goal / fund not in list",IF(H518="Income","Fund tag ignored on income","")))))))))))</f>
        <v/>
      </c>
    </row>
    <row r="519">
      <c r="A519" s="27" t="n">
        <v>46305</v>
      </c>
      <c r="B519" s="23" t="inlineStr">
        <is>
          <t>Concert</t>
        </is>
      </c>
      <c r="C519" s="23" t="inlineStr">
        <is>
          <t>Entertainment</t>
        </is>
      </c>
      <c r="D519" s="28" t="n">
        <v>18.4</v>
      </c>
      <c r="E519" s="23" t="inlineStr">
        <is>
          <t>Credit card</t>
        </is>
      </c>
      <c r="F519" s="23" t="n"/>
      <c r="G519" s="23" t="n"/>
      <c r="H519" s="29">
        <f>IF(C519="","",IFERROR(INDEX(Categories!$B$6:$B$65,MATCH(C519,Categories!$A$6:$A$65,0))&amp;"",""))</f>
        <v/>
      </c>
      <c r="I519" s="25">
        <f>IF(AND(A519="",C519="",D519=""),"",IF(A519="","Date missing",IF(NOT(ISNUMBER(A519)),"Date not recognized",IF(YEAR(A519)&lt;&gt;Settings!$C$4,"Not in "&amp;Settings!$C$4,IF(C519="","Category missing",IF(H519="",IF(COUNTIF(Categories!$A$6:$A$65,C519)&gt;0,"Category has no type","Category not in list"),IF(D519="","Amount missing",IF(NOT(ISNUMBER(D519)),"Amount is not a number",IF(F519="","",IF(ISNA(MATCH(F519,Lists!$G$2:$G$25,0)),"Goal / fund not in list",IF(H519="Income","Fund tag ignored on income","")))))))))))</f>
        <v/>
      </c>
    </row>
    <row r="520">
      <c r="A520" s="27" t="n">
        <v>46307</v>
      </c>
      <c r="B520" s="23" t="inlineStr">
        <is>
          <t>Internet</t>
        </is>
      </c>
      <c r="C520" s="23" t="inlineStr">
        <is>
          <t>Internet &amp; Phone</t>
        </is>
      </c>
      <c r="D520" s="28" t="n">
        <v>65</v>
      </c>
      <c r="E520" s="23" t="inlineStr">
        <is>
          <t>Checking</t>
        </is>
      </c>
      <c r="F520" s="23" t="n"/>
      <c r="G520" s="23" t="n"/>
      <c r="H520" s="29">
        <f>IF(C520="","",IFERROR(INDEX(Categories!$B$6:$B$65,MATCH(C520,Categories!$A$6:$A$65,0))&amp;"",""))</f>
        <v/>
      </c>
      <c r="I520" s="25">
        <f>IF(AND(A520="",C520="",D520=""),"",IF(A520="","Date missing",IF(NOT(ISNUMBER(A520)),"Date not recognized",IF(YEAR(A520)&lt;&gt;Settings!$C$4,"Not in "&amp;Settings!$C$4,IF(C520="","Category missing",IF(H520="",IF(COUNTIF(Categories!$A$6:$A$65,C520)&gt;0,"Category has no type","Category not in list"),IF(D520="","Amount missing",IF(NOT(ISNUMBER(D520)),"Amount is not a number",IF(F520="","",IF(ISNA(MATCH(F520,Lists!$G$2:$G$25,0)),"Goal / fund not in list",IF(H520="Income","Fund tag ignored on income","")))))))))))</f>
        <v/>
      </c>
    </row>
    <row r="521">
      <c r="A521" s="27" t="n">
        <v>46307</v>
      </c>
      <c r="B521" s="23" t="inlineStr">
        <is>
          <t>Coffee</t>
        </is>
      </c>
      <c r="C521" s="23" t="inlineStr">
        <is>
          <t>Dining out</t>
        </is>
      </c>
      <c r="D521" s="28" t="n">
        <v>13.61</v>
      </c>
      <c r="E521" s="23" t="inlineStr">
        <is>
          <t>Credit card</t>
        </is>
      </c>
      <c r="F521" s="23" t="n"/>
      <c r="G521" s="23" t="n"/>
      <c r="H521" s="29">
        <f>IF(C521="","",IFERROR(INDEX(Categories!$B$6:$B$65,MATCH(C521,Categories!$A$6:$A$65,0))&amp;"",""))</f>
        <v/>
      </c>
      <c r="I521" s="25">
        <f>IF(AND(A521="",C521="",D521=""),"",IF(A521="","Date missing",IF(NOT(ISNUMBER(A521)),"Date not recognized",IF(YEAR(A521)&lt;&gt;Settings!$C$4,"Not in "&amp;Settings!$C$4,IF(C521="","Category missing",IF(H521="",IF(COUNTIF(Categories!$A$6:$A$65,C521)&gt;0,"Category has no type","Category not in list"),IF(D521="","Amount missing",IF(NOT(ISNUMBER(D521)),"Amount is not a number",IF(F521="","",IF(ISNA(MATCH(F521,Lists!$G$2:$G$25,0)),"Goal / fund not in list",IF(H521="Income","Fund tag ignored on income","")))))))))))</f>
        <v/>
      </c>
    </row>
    <row r="522">
      <c r="A522" s="27" t="n">
        <v>46307</v>
      </c>
      <c r="B522" s="23" t="inlineStr">
        <is>
          <t>Gas station</t>
        </is>
      </c>
      <c r="C522" s="23" t="inlineStr">
        <is>
          <t>Transport / Gas</t>
        </is>
      </c>
      <c r="D522" s="28" t="n">
        <v>40.28</v>
      </c>
      <c r="E522" s="23" t="inlineStr">
        <is>
          <t>Credit card</t>
        </is>
      </c>
      <c r="F522" s="23" t="n"/>
      <c r="G522" s="23" t="n"/>
      <c r="H522" s="29">
        <f>IF(C522="","",IFERROR(INDEX(Categories!$B$6:$B$65,MATCH(C522,Categories!$A$6:$A$65,0))&amp;"",""))</f>
        <v/>
      </c>
      <c r="I522" s="25">
        <f>IF(AND(A522="",C522="",D522=""),"",IF(A522="","Date missing",IF(NOT(ISNUMBER(A522)),"Date not recognized",IF(YEAR(A522)&lt;&gt;Settings!$C$4,"Not in "&amp;Settings!$C$4,IF(C522="","Category missing",IF(H522="",IF(COUNTIF(Categories!$A$6:$A$65,C522)&gt;0,"Category has no type","Category not in list"),IF(D522="","Amount missing",IF(NOT(ISNUMBER(D522)),"Amount is not a number",IF(F522="","",IF(ISNA(MATCH(F522,Lists!$G$2:$G$25,0)),"Goal / fund not in list",IF(H522="Income","Fund tag ignored on income","")))))))))))</f>
        <v/>
      </c>
    </row>
    <row r="523">
      <c r="A523" s="27" t="n">
        <v>46308</v>
      </c>
      <c r="B523" s="23" t="inlineStr">
        <is>
          <t>Dinner out</t>
        </is>
      </c>
      <c r="C523" s="23" t="inlineStr">
        <is>
          <t>Dining out</t>
        </is>
      </c>
      <c r="D523" s="28" t="n">
        <v>15.28</v>
      </c>
      <c r="E523" s="23" t="inlineStr">
        <is>
          <t>Credit card</t>
        </is>
      </c>
      <c r="F523" s="23" t="n"/>
      <c r="G523" s="23" t="n"/>
      <c r="H523" s="29">
        <f>IF(C523="","",IFERROR(INDEX(Categories!$B$6:$B$65,MATCH(C523,Categories!$A$6:$A$65,0))&amp;"",""))</f>
        <v/>
      </c>
      <c r="I523" s="25">
        <f>IF(AND(A523="",C523="",D523=""),"",IF(A523="","Date missing",IF(NOT(ISNUMBER(A523)),"Date not recognized",IF(YEAR(A523)&lt;&gt;Settings!$C$4,"Not in "&amp;Settings!$C$4,IF(C523="","Category missing",IF(H523="",IF(COUNTIF(Categories!$A$6:$A$65,C523)&gt;0,"Category has no type","Category not in list"),IF(D523="","Amount missing",IF(NOT(ISNUMBER(D523)),"Amount is not a number",IF(F523="","",IF(ISNA(MATCH(F523,Lists!$G$2:$G$25,0)),"Goal / fund not in list",IF(H523="Income","Fund tag ignored on income","")))))))))))</f>
        <v/>
      </c>
    </row>
    <row r="524">
      <c r="A524" s="27" t="n">
        <v>46309</v>
      </c>
      <c r="B524" s="23" t="inlineStr">
        <is>
          <t>Phone plan</t>
        </is>
      </c>
      <c r="C524" s="23" t="inlineStr">
        <is>
          <t>Internet &amp; Phone</t>
        </is>
      </c>
      <c r="D524" s="28" t="n">
        <v>70</v>
      </c>
      <c r="E524" s="23" t="inlineStr">
        <is>
          <t>Credit card</t>
        </is>
      </c>
      <c r="F524" s="23" t="n"/>
      <c r="G524" s="23" t="n"/>
      <c r="H524" s="29">
        <f>IF(C524="","",IFERROR(INDEX(Categories!$B$6:$B$65,MATCH(C524,Categories!$A$6:$A$65,0))&amp;"",""))</f>
        <v/>
      </c>
      <c r="I524" s="25">
        <f>IF(AND(A524="",C524="",D524=""),"",IF(A524="","Date missing",IF(NOT(ISNUMBER(A524)),"Date not recognized",IF(YEAR(A524)&lt;&gt;Settings!$C$4,"Not in "&amp;Settings!$C$4,IF(C524="","Category missing",IF(H524="",IF(COUNTIF(Categories!$A$6:$A$65,C524)&gt;0,"Category has no type","Category not in list"),IF(D524="","Amount missing",IF(NOT(ISNUMBER(D524)),"Amount is not a number",IF(F524="","",IF(ISNA(MATCH(F524,Lists!$G$2:$G$25,0)),"Goal / fund not in list",IF(H524="Income","Fund tag ignored on income","")))))))))))</f>
        <v/>
      </c>
    </row>
    <row r="525">
      <c r="A525" s="27" t="n">
        <v>46310</v>
      </c>
      <c r="B525" s="23" t="inlineStr">
        <is>
          <t>Alex paycheck</t>
        </is>
      </c>
      <c r="C525" s="23" t="inlineStr">
        <is>
          <t>Paycheck 1</t>
        </is>
      </c>
      <c r="D525" s="28" t="n">
        <v>2100</v>
      </c>
      <c r="E525" s="23" t="inlineStr">
        <is>
          <t>Checking</t>
        </is>
      </c>
      <c r="F525" s="23" t="n"/>
      <c r="G525" s="23" t="n"/>
      <c r="H525" s="29">
        <f>IF(C525="","",IFERROR(INDEX(Categories!$B$6:$B$65,MATCH(C525,Categories!$A$6:$A$65,0))&amp;"",""))</f>
        <v/>
      </c>
      <c r="I525" s="25">
        <f>IF(AND(A525="",C525="",D525=""),"",IF(A525="","Date missing",IF(NOT(ISNUMBER(A525)),"Date not recognized",IF(YEAR(A525)&lt;&gt;Settings!$C$4,"Not in "&amp;Settings!$C$4,IF(C525="","Category missing",IF(H525="",IF(COUNTIF(Categories!$A$6:$A$65,C525)&gt;0,"Category has no type","Category not in list"),IF(D525="","Amount missing",IF(NOT(ISNUMBER(D525)),"Amount is not a number",IF(F525="","",IF(ISNA(MATCH(F525,Lists!$G$2:$G$25,0)),"Goal / fund not in list",IF(H525="Income","Fund tag ignored on income","")))))))))))</f>
        <v/>
      </c>
    </row>
    <row r="526">
      <c r="A526" s="27" t="n">
        <v>46311</v>
      </c>
      <c r="B526" s="23" t="inlineStr">
        <is>
          <t>Brunch</t>
        </is>
      </c>
      <c r="C526" s="23" t="inlineStr">
        <is>
          <t>Dining out</t>
        </is>
      </c>
      <c r="D526" s="28" t="n">
        <v>47.97</v>
      </c>
      <c r="E526" s="23" t="inlineStr">
        <is>
          <t>Credit card</t>
        </is>
      </c>
      <c r="F526" s="23" t="n"/>
      <c r="G526" s="23" t="n"/>
      <c r="H526" s="29">
        <f>IF(C526="","",IFERROR(INDEX(Categories!$B$6:$B$65,MATCH(C526,Categories!$A$6:$A$65,0))&amp;"",""))</f>
        <v/>
      </c>
      <c r="I526" s="25">
        <f>IF(AND(A526="",C526="",D526=""),"",IF(A526="","Date missing",IF(NOT(ISNUMBER(A526)),"Date not recognized",IF(YEAR(A526)&lt;&gt;Settings!$C$4,"Not in "&amp;Settings!$C$4,IF(C526="","Category missing",IF(H526="",IF(COUNTIF(Categories!$A$6:$A$65,C526)&gt;0,"Category has no type","Category not in list"),IF(D526="","Amount missing",IF(NOT(ISNUMBER(D526)),"Amount is not a number",IF(F526="","",IF(ISNA(MATCH(F526,Lists!$G$2:$G$25,0)),"Goal / fund not in list",IF(H526="Income","Fund tag ignored on income","")))))))))))</f>
        <v/>
      </c>
    </row>
    <row r="527">
      <c r="A527" s="27" t="n">
        <v>46311</v>
      </c>
      <c r="B527" s="23" t="inlineStr">
        <is>
          <t>Pharmacy</t>
        </is>
      </c>
      <c r="C527" s="23" t="inlineStr">
        <is>
          <t>Health</t>
        </is>
      </c>
      <c r="D527" s="28" t="n">
        <v>73.68000000000001</v>
      </c>
      <c r="E527" s="23" t="inlineStr">
        <is>
          <t>Debit card</t>
        </is>
      </c>
      <c r="F527" s="23" t="n"/>
      <c r="G527" s="23" t="n"/>
      <c r="H527" s="29">
        <f>IF(C527="","",IFERROR(INDEX(Categories!$B$6:$B$65,MATCH(C527,Categories!$A$6:$A$65,0))&amp;"",""))</f>
        <v/>
      </c>
      <c r="I527" s="25">
        <f>IF(AND(A527="",C527="",D527=""),"",IF(A527="","Date missing",IF(NOT(ISNUMBER(A527)),"Date not recognized",IF(YEAR(A527)&lt;&gt;Settings!$C$4,"Not in "&amp;Settings!$C$4,IF(C527="","Category missing",IF(H527="",IF(COUNTIF(Categories!$A$6:$A$65,C527)&gt;0,"Category has no type","Category not in list"),IF(D527="","Amount missing",IF(NOT(ISNUMBER(D527)),"Amount is not a number",IF(F527="","",IF(ISNA(MATCH(F527,Lists!$G$2:$G$25,0)),"Goal / fund not in list",IF(H527="Income","Fund tag ignored on income","")))))))))))</f>
        <v/>
      </c>
    </row>
    <row r="528">
      <c r="A528" s="27" t="n">
        <v>46312</v>
      </c>
      <c r="B528" s="23" t="inlineStr">
        <is>
          <t>Supermarket</t>
        </is>
      </c>
      <c r="C528" s="23" t="inlineStr">
        <is>
          <t>Groceries</t>
        </is>
      </c>
      <c r="D528" s="28" t="n">
        <v>179.72</v>
      </c>
      <c r="E528" s="23" t="inlineStr">
        <is>
          <t>Debit card</t>
        </is>
      </c>
      <c r="F528" s="23" t="n"/>
      <c r="G528" s="23" t="n"/>
      <c r="H528" s="29">
        <f>IF(C528="","",IFERROR(INDEX(Categories!$B$6:$B$65,MATCH(C528,Categories!$A$6:$A$65,0))&amp;"",""))</f>
        <v/>
      </c>
      <c r="I528" s="25">
        <f>IF(AND(A528="",C528="",D528=""),"",IF(A528="","Date missing",IF(NOT(ISNUMBER(A528)),"Date not recognized",IF(YEAR(A528)&lt;&gt;Settings!$C$4,"Not in "&amp;Settings!$C$4,IF(C528="","Category missing",IF(H528="",IF(COUNTIF(Categories!$A$6:$A$65,C528)&gt;0,"Category has no type","Category not in list"),IF(D528="","Amount missing",IF(NOT(ISNUMBER(D528)),"Amount is not a number",IF(F528="","",IF(ISNA(MATCH(F528,Lists!$G$2:$G$25,0)),"Goal / fund not in list",IF(H528="Income","Fund tag ignored on income","")))))))))))</f>
        <v/>
      </c>
    </row>
    <row r="529">
      <c r="A529" s="27" t="n">
        <v>46313</v>
      </c>
      <c r="B529" s="23" t="inlineStr">
        <is>
          <t>Electric bill</t>
        </is>
      </c>
      <c r="C529" s="23" t="inlineStr">
        <is>
          <t>Utilities</t>
        </is>
      </c>
      <c r="D529" s="28" t="n">
        <v>85.14</v>
      </c>
      <c r="E529" s="23" t="inlineStr">
        <is>
          <t>Checking</t>
        </is>
      </c>
      <c r="F529" s="23" t="n"/>
      <c r="G529" s="23" t="n"/>
      <c r="H529" s="29">
        <f>IF(C529="","",IFERROR(INDEX(Categories!$B$6:$B$65,MATCH(C529,Categories!$A$6:$A$65,0))&amp;"",""))</f>
        <v/>
      </c>
      <c r="I529" s="25">
        <f>IF(AND(A529="",C529="",D529=""),"",IF(A529="","Date missing",IF(NOT(ISNUMBER(A529)),"Date not recognized",IF(YEAR(A529)&lt;&gt;Settings!$C$4,"Not in "&amp;Settings!$C$4,IF(C529="","Category missing",IF(H529="",IF(COUNTIF(Categories!$A$6:$A$65,C529)&gt;0,"Category has no type","Category not in list"),IF(D529="","Amount missing",IF(NOT(ISNUMBER(D529)),"Amount is not a number",IF(F529="","",IF(ISNA(MATCH(F529,Lists!$G$2:$G$25,0)),"Goal / fund not in list",IF(H529="Income","Fund tag ignored on income","")))))))))))</f>
        <v/>
      </c>
    </row>
    <row r="530">
      <c r="A530" s="27" t="n">
        <v>46313</v>
      </c>
      <c r="B530" s="23" t="inlineStr">
        <is>
          <t>Coffee</t>
        </is>
      </c>
      <c r="C530" s="23" t="inlineStr">
        <is>
          <t>Dining out</t>
        </is>
      </c>
      <c r="D530" s="28" t="n">
        <v>53.8</v>
      </c>
      <c r="E530" s="23" t="inlineStr">
        <is>
          <t>Credit card</t>
        </is>
      </c>
      <c r="F530" s="23" t="n"/>
      <c r="G530" s="23" t="n"/>
      <c r="H530" s="29">
        <f>IF(C530="","",IFERROR(INDEX(Categories!$B$6:$B$65,MATCH(C530,Categories!$A$6:$A$65,0))&amp;"",""))</f>
        <v/>
      </c>
      <c r="I530" s="25">
        <f>IF(AND(A530="",C530="",D530=""),"",IF(A530="","Date missing",IF(NOT(ISNUMBER(A530)),"Date not recognized",IF(YEAR(A530)&lt;&gt;Settings!$C$4,"Not in "&amp;Settings!$C$4,IF(C530="","Category missing",IF(H530="",IF(COUNTIF(Categories!$A$6:$A$65,C530)&gt;0,"Category has no type","Category not in list"),IF(D530="","Amount missing",IF(NOT(ISNUMBER(D530)),"Amount is not a number",IF(F530="","",IF(ISNA(MATCH(F530,Lists!$G$2:$G$25,0)),"Goal / fund not in list",IF(H530="Income","Fund tag ignored on income","")))))))))))</f>
        <v/>
      </c>
    </row>
    <row r="531">
      <c r="A531" s="27" t="n">
        <v>46314</v>
      </c>
      <c r="B531" s="23" t="inlineStr">
        <is>
          <t>Movie tickets</t>
        </is>
      </c>
      <c r="C531" s="23" t="inlineStr">
        <is>
          <t>Entertainment</t>
        </is>
      </c>
      <c r="D531" s="28" t="n">
        <v>48.89</v>
      </c>
      <c r="E531" s="23" t="inlineStr">
        <is>
          <t>Credit card</t>
        </is>
      </c>
      <c r="F531" s="23" t="n"/>
      <c r="G531" s="23" t="n"/>
      <c r="H531" s="29">
        <f>IF(C531="","",IFERROR(INDEX(Categories!$B$6:$B$65,MATCH(C531,Categories!$A$6:$A$65,0))&amp;"",""))</f>
        <v/>
      </c>
      <c r="I531" s="25">
        <f>IF(AND(A531="",C531="",D531=""),"",IF(A531="","Date missing",IF(NOT(ISNUMBER(A531)),"Date not recognized",IF(YEAR(A531)&lt;&gt;Settings!$C$4,"Not in "&amp;Settings!$C$4,IF(C531="","Category missing",IF(H531="",IF(COUNTIF(Categories!$A$6:$A$65,C531)&gt;0,"Category has no type","Category not in list"),IF(D531="","Amount missing",IF(NOT(ISNUMBER(D531)),"Amount is not a number",IF(F531="","",IF(ISNA(MATCH(F531,Lists!$G$2:$G$25,0)),"Goal / fund not in list",IF(H531="Income","Fund tag ignored on income","")))))))))))</f>
        <v/>
      </c>
    </row>
    <row r="532">
      <c r="A532" s="27" t="n">
        <v>46315</v>
      </c>
      <c r="B532" s="23" t="inlineStr">
        <is>
          <t>Freelance design job</t>
        </is>
      </c>
      <c r="C532" s="23" t="inlineStr">
        <is>
          <t>Side income</t>
        </is>
      </c>
      <c r="D532" s="28" t="n">
        <v>203.59</v>
      </c>
      <c r="E532" s="23" t="inlineStr">
        <is>
          <t>Checking</t>
        </is>
      </c>
      <c r="F532" s="23" t="n"/>
      <c r="G532" s="23" t="n"/>
      <c r="H532" s="29">
        <f>IF(C532="","",IFERROR(INDEX(Categories!$B$6:$B$65,MATCH(C532,Categories!$A$6:$A$65,0))&amp;"",""))</f>
        <v/>
      </c>
      <c r="I532" s="25">
        <f>IF(AND(A532="",C532="",D532=""),"",IF(A532="","Date missing",IF(NOT(ISNUMBER(A532)),"Date not recognized",IF(YEAR(A532)&lt;&gt;Settings!$C$4,"Not in "&amp;Settings!$C$4,IF(C532="","Category missing",IF(H532="",IF(COUNTIF(Categories!$A$6:$A$65,C532)&gt;0,"Category has no type","Category not in list"),IF(D532="","Amount missing",IF(NOT(ISNUMBER(D532)),"Amount is not a number",IF(F532="","",IF(ISNA(MATCH(F532,Lists!$G$2:$G$25,0)),"Goal / fund not in list",IF(H532="Income","Fund tag ignored on income","")))))))))))</f>
        <v/>
      </c>
    </row>
    <row r="533">
      <c r="A533" s="27" t="n">
        <v>46315</v>
      </c>
      <c r="B533" s="23" t="inlineStr">
        <is>
          <t>Gas bill</t>
        </is>
      </c>
      <c r="C533" s="23" t="inlineStr">
        <is>
          <t>Utilities</t>
        </is>
      </c>
      <c r="D533" s="28" t="n">
        <v>58.34</v>
      </c>
      <c r="E533" s="23" t="inlineStr">
        <is>
          <t>Checking</t>
        </is>
      </c>
      <c r="F533" s="23" t="n"/>
      <c r="G533" s="23" t="n"/>
      <c r="H533" s="29">
        <f>IF(C533="","",IFERROR(INDEX(Categories!$B$6:$B$65,MATCH(C533,Categories!$A$6:$A$65,0))&amp;"",""))</f>
        <v/>
      </c>
      <c r="I533" s="25">
        <f>IF(AND(A533="",C533="",D533=""),"",IF(A533="","Date missing",IF(NOT(ISNUMBER(A533)),"Date not recognized",IF(YEAR(A533)&lt;&gt;Settings!$C$4,"Not in "&amp;Settings!$C$4,IF(C533="","Category missing",IF(H533="",IF(COUNTIF(Categories!$A$6:$A$65,C533)&gt;0,"Category has no type","Category not in list"),IF(D533="","Amount missing",IF(NOT(ISNUMBER(D533)),"Amount is not a number",IF(F533="","",IF(ISNA(MATCH(F533,Lists!$G$2:$G$25,0)),"Goal / fund not in list",IF(H533="Income","Fund tag ignored on income","")))))))))))</f>
        <v/>
      </c>
    </row>
    <row r="534">
      <c r="A534" s="27" t="n">
        <v>46315</v>
      </c>
      <c r="B534" s="23" t="inlineStr">
        <is>
          <t>Coffee</t>
        </is>
      </c>
      <c r="C534" s="23" t="inlineStr">
        <is>
          <t>Dining out</t>
        </is>
      </c>
      <c r="D534" s="28" t="n">
        <v>10.7</v>
      </c>
      <c r="E534" s="23" t="inlineStr">
        <is>
          <t>Credit card</t>
        </is>
      </c>
      <c r="F534" s="23" t="n"/>
      <c r="G534" s="23" t="n"/>
      <c r="H534" s="29">
        <f>IF(C534="","",IFERROR(INDEX(Categories!$B$6:$B$65,MATCH(C534,Categories!$A$6:$A$65,0))&amp;"",""))</f>
        <v/>
      </c>
      <c r="I534" s="25">
        <f>IF(AND(A534="",C534="",D534=""),"",IF(A534="","Date missing",IF(NOT(ISNUMBER(A534)),"Date not recognized",IF(YEAR(A534)&lt;&gt;Settings!$C$4,"Not in "&amp;Settings!$C$4,IF(C534="","Category missing",IF(H534="",IF(COUNTIF(Categories!$A$6:$A$65,C534)&gt;0,"Category has no type","Category not in list"),IF(D534="","Amount missing",IF(NOT(ISNUMBER(D534)),"Amount is not a number",IF(F534="","",IF(ISNA(MATCH(F534,Lists!$G$2:$G$25,0)),"Goal / fund not in list",IF(H534="Income","Fund tag ignored on income","")))))))))))</f>
        <v/>
      </c>
    </row>
    <row r="535">
      <c r="A535" s="27" t="n">
        <v>46315</v>
      </c>
      <c r="B535" s="23" t="inlineStr">
        <is>
          <t>Gas station</t>
        </is>
      </c>
      <c r="C535" s="23" t="inlineStr">
        <is>
          <t>Transport / Gas</t>
        </is>
      </c>
      <c r="D535" s="28" t="n">
        <v>41.8</v>
      </c>
      <c r="E535" s="23" t="inlineStr">
        <is>
          <t>Credit card</t>
        </is>
      </c>
      <c r="F535" s="23" t="n"/>
      <c r="G535" s="23" t="n"/>
      <c r="H535" s="29">
        <f>IF(C535="","",IFERROR(INDEX(Categories!$B$6:$B$65,MATCH(C535,Categories!$A$6:$A$65,0))&amp;"",""))</f>
        <v/>
      </c>
      <c r="I535" s="25">
        <f>IF(AND(A535="",C535="",D535=""),"",IF(A535="","Date missing",IF(NOT(ISNUMBER(A535)),"Date not recognized",IF(YEAR(A535)&lt;&gt;Settings!$C$4,"Not in "&amp;Settings!$C$4,IF(C535="","Category missing",IF(H535="",IF(COUNTIF(Categories!$A$6:$A$65,C535)&gt;0,"Category has no type","Category not in list"),IF(D535="","Amount missing",IF(NOT(ISNUMBER(D535)),"Amount is not a number",IF(F535="","",IF(ISNA(MATCH(F535,Lists!$G$2:$G$25,0)),"Goal / fund not in list",IF(H535="Income","Fund tag ignored on income","")))))))))))</f>
        <v/>
      </c>
    </row>
    <row r="536">
      <c r="A536" s="27" t="n">
        <v>46315</v>
      </c>
      <c r="B536" s="23" t="inlineStr">
        <is>
          <t>School trip</t>
        </is>
      </c>
      <c r="C536" s="23" t="inlineStr">
        <is>
          <t>Kids</t>
        </is>
      </c>
      <c r="D536" s="28" t="n">
        <v>39.88</v>
      </c>
      <c r="E536" s="23" t="inlineStr">
        <is>
          <t>Debit card</t>
        </is>
      </c>
      <c r="F536" s="23" t="n"/>
      <c r="G536" s="23" t="n"/>
      <c r="H536" s="29">
        <f>IF(C536="","",IFERROR(INDEX(Categories!$B$6:$B$65,MATCH(C536,Categories!$A$6:$A$65,0))&amp;"",""))</f>
        <v/>
      </c>
      <c r="I536" s="25">
        <f>IF(AND(A536="",C536="",D536=""),"",IF(A536="","Date missing",IF(NOT(ISNUMBER(A536)),"Date not recognized",IF(YEAR(A536)&lt;&gt;Settings!$C$4,"Not in "&amp;Settings!$C$4,IF(C536="","Category missing",IF(H536="",IF(COUNTIF(Categories!$A$6:$A$65,C536)&gt;0,"Category has no type","Category not in list"),IF(D536="","Amount missing",IF(NOT(ISNUMBER(D536)),"Amount is not a number",IF(F536="","",IF(ISNA(MATCH(F536,Lists!$G$2:$G$25,0)),"Goal / fund not in list",IF(H536="Income","Fund tag ignored on income","")))))))))))</f>
        <v/>
      </c>
    </row>
    <row r="537">
      <c r="A537" s="27" t="n">
        <v>46315</v>
      </c>
      <c r="B537" s="23" t="inlineStr">
        <is>
          <t>Credit card payment + extra</t>
        </is>
      </c>
      <c r="C537" s="23" t="inlineStr">
        <is>
          <t>Debt payments</t>
        </is>
      </c>
      <c r="D537" s="28" t="n">
        <v>260</v>
      </c>
      <c r="E537" s="23" t="inlineStr">
        <is>
          <t>Checking</t>
        </is>
      </c>
      <c r="F537" s="23" t="n"/>
      <c r="G537" s="23" t="n"/>
      <c r="H537" s="29">
        <f>IF(C537="","",IFERROR(INDEX(Categories!$B$6:$B$65,MATCH(C537,Categories!$A$6:$A$65,0))&amp;"",""))</f>
        <v/>
      </c>
      <c r="I537" s="25">
        <f>IF(AND(A537="",C537="",D537=""),"",IF(A537="","Date missing",IF(NOT(ISNUMBER(A537)),"Date not recognized",IF(YEAR(A537)&lt;&gt;Settings!$C$4,"Not in "&amp;Settings!$C$4,IF(C537="","Category missing",IF(H537="",IF(COUNTIF(Categories!$A$6:$A$65,C537)&gt;0,"Category has no type","Category not in list"),IF(D537="","Amount missing",IF(NOT(ISNUMBER(D537)),"Amount is not a number",IF(F537="","",IF(ISNA(MATCH(F537,Lists!$G$2:$G$25,0)),"Goal / fund not in list",IF(H537="Income","Fund tag ignored on income","")))))))))))</f>
        <v/>
      </c>
    </row>
    <row r="538">
      <c r="A538" s="27" t="n">
        <v>46315</v>
      </c>
      <c r="B538" s="23" t="inlineStr">
        <is>
          <t>Medical bill installment</t>
        </is>
      </c>
      <c r="C538" s="23" t="inlineStr">
        <is>
          <t>Debt payments</t>
        </is>
      </c>
      <c r="D538" s="28" t="n">
        <v>40</v>
      </c>
      <c r="E538" s="23" t="inlineStr">
        <is>
          <t>Checking</t>
        </is>
      </c>
      <c r="F538" s="23" t="n"/>
      <c r="G538" s="23" t="n"/>
      <c r="H538" s="29">
        <f>IF(C538="","",IFERROR(INDEX(Categories!$B$6:$B$65,MATCH(C538,Categories!$A$6:$A$65,0))&amp;"",""))</f>
        <v/>
      </c>
      <c r="I538" s="25">
        <f>IF(AND(A538="",C538="",D538=""),"",IF(A538="","Date missing",IF(NOT(ISNUMBER(A538)),"Date not recognized",IF(YEAR(A538)&lt;&gt;Settings!$C$4,"Not in "&amp;Settings!$C$4,IF(C538="","Category missing",IF(H538="",IF(COUNTIF(Categories!$A$6:$A$65,C538)&gt;0,"Category has no type","Category not in list"),IF(D538="","Amount missing",IF(NOT(ISNUMBER(D538)),"Amount is not a number",IF(F538="","",IF(ISNA(MATCH(F538,Lists!$G$2:$G$25,0)),"Goal / fund not in list",IF(H538="Income","Fund tag ignored on income","")))))))))))</f>
        <v/>
      </c>
    </row>
    <row r="539">
      <c r="A539" s="27" t="n">
        <v>46316</v>
      </c>
      <c r="B539" s="23" t="inlineStr">
        <is>
          <t>Personal loan payment</t>
        </is>
      </c>
      <c r="C539" s="23" t="inlineStr">
        <is>
          <t>Debt payments</t>
        </is>
      </c>
      <c r="D539" s="28" t="n">
        <v>210</v>
      </c>
      <c r="E539" s="23" t="inlineStr">
        <is>
          <t>Checking</t>
        </is>
      </c>
      <c r="F539" s="23" t="n"/>
      <c r="G539" s="23" t="n"/>
      <c r="H539" s="29">
        <f>IF(C539="","",IFERROR(INDEX(Categories!$B$6:$B$65,MATCH(C539,Categories!$A$6:$A$65,0))&amp;"",""))</f>
        <v/>
      </c>
      <c r="I539" s="25">
        <f>IF(AND(A539="",C539="",D539=""),"",IF(A539="","Date missing",IF(NOT(ISNUMBER(A539)),"Date not recognized",IF(YEAR(A539)&lt;&gt;Settings!$C$4,"Not in "&amp;Settings!$C$4,IF(C539="","Category missing",IF(H539="",IF(COUNTIF(Categories!$A$6:$A$65,C539)&gt;0,"Category has no type","Category not in list"),IF(D539="","Amount missing",IF(NOT(ISNUMBER(D539)),"Amount is not a number",IF(F539="","",IF(ISNA(MATCH(F539,Lists!$G$2:$G$25,0)),"Goal / fund not in list",IF(H539="Income","Fund tag ignored on income","")))))))))))</f>
        <v/>
      </c>
    </row>
    <row r="540">
      <c r="A540" s="27" t="n">
        <v>46317</v>
      </c>
      <c r="B540" s="23" t="inlineStr">
        <is>
          <t>Water &amp; trash</t>
        </is>
      </c>
      <c r="C540" s="23" t="inlineStr">
        <is>
          <t>Utilities</t>
        </is>
      </c>
      <c r="D540" s="28" t="n">
        <v>54.3</v>
      </c>
      <c r="E540" s="23" t="inlineStr">
        <is>
          <t>Checking</t>
        </is>
      </c>
      <c r="F540" s="23" t="n"/>
      <c r="G540" s="23" t="n"/>
      <c r="H540" s="29">
        <f>IF(C540="","",IFERROR(INDEX(Categories!$B$6:$B$65,MATCH(C540,Categories!$A$6:$A$65,0))&amp;"",""))</f>
        <v/>
      </c>
      <c r="I540" s="25">
        <f>IF(AND(A540="",C540="",D540=""),"",IF(A540="","Date missing",IF(NOT(ISNUMBER(A540)),"Date not recognized",IF(YEAR(A540)&lt;&gt;Settings!$C$4,"Not in "&amp;Settings!$C$4,IF(C540="","Category missing",IF(H540="",IF(COUNTIF(Categories!$A$6:$A$65,C540)&gt;0,"Category has no type","Category not in list"),IF(D540="","Amount missing",IF(NOT(ISNUMBER(D540)),"Amount is not a number",IF(F540="","",IF(ISNA(MATCH(F540,Lists!$G$2:$G$25,0)),"Goal / fund not in list",IF(H540="Income","Fund tag ignored on income","")))))))))))</f>
        <v/>
      </c>
    </row>
    <row r="541">
      <c r="A541" s="27" t="n">
        <v>46317</v>
      </c>
      <c r="B541" s="23" t="inlineStr">
        <is>
          <t>Phone case</t>
        </is>
      </c>
      <c r="C541" s="23" t="inlineStr">
        <is>
          <t>Misc</t>
        </is>
      </c>
      <c r="D541" s="28" t="n">
        <v>20.42</v>
      </c>
      <c r="E541" s="23" t="inlineStr">
        <is>
          <t>Cash</t>
        </is>
      </c>
      <c r="F541" s="23" t="n"/>
      <c r="G541" s="23" t="n"/>
      <c r="H541" s="29">
        <f>IF(C541="","",IFERROR(INDEX(Categories!$B$6:$B$65,MATCH(C541,Categories!$A$6:$A$65,0))&amp;"",""))</f>
        <v/>
      </c>
      <c r="I541" s="25">
        <f>IF(AND(A541="",C541="",D541=""),"",IF(A541="","Date missing",IF(NOT(ISNUMBER(A541)),"Date not recognized",IF(YEAR(A541)&lt;&gt;Settings!$C$4,"Not in "&amp;Settings!$C$4,IF(C541="","Category missing",IF(H541="",IF(COUNTIF(Categories!$A$6:$A$65,C541)&gt;0,"Category has no type","Category not in list"),IF(D541="","Amount missing",IF(NOT(ISNUMBER(D541)),"Amount is not a number",IF(F541="","",IF(ISNA(MATCH(F541,Lists!$G$2:$G$25,0)),"Goal / fund not in list",IF(H541="Income","Fund tag ignored on income","")))))))))))</f>
        <v/>
      </c>
    </row>
    <row r="542">
      <c r="A542" s="27" t="n">
        <v>46319</v>
      </c>
      <c r="B542" s="23" t="inlineStr">
        <is>
          <t>Farmers market</t>
        </is>
      </c>
      <c r="C542" s="23" t="inlineStr">
        <is>
          <t>Groceries</t>
        </is>
      </c>
      <c r="D542" s="28" t="n">
        <v>198.6</v>
      </c>
      <c r="E542" s="23" t="inlineStr">
        <is>
          <t>Debit card</t>
        </is>
      </c>
      <c r="F542" s="23" t="n"/>
      <c r="G542" s="23" t="n"/>
      <c r="H542" s="29">
        <f>IF(C542="","",IFERROR(INDEX(Categories!$B$6:$B$65,MATCH(C542,Categories!$A$6:$A$65,0))&amp;"",""))</f>
        <v/>
      </c>
      <c r="I542" s="25">
        <f>IF(AND(A542="",C542="",D542=""),"",IF(A542="","Date missing",IF(NOT(ISNUMBER(A542)),"Date not recognized",IF(YEAR(A542)&lt;&gt;Settings!$C$4,"Not in "&amp;Settings!$C$4,IF(C542="","Category missing",IF(H542="",IF(COUNTIF(Categories!$A$6:$A$65,C542)&gt;0,"Category has no type","Category not in list"),IF(D542="","Amount missing",IF(NOT(ISNUMBER(D542)),"Amount is not a number",IF(F542="","",IF(ISNA(MATCH(F542,Lists!$G$2:$G$25,0)),"Goal / fund not in list",IF(H542="Income","Fund tag ignored on income","")))))))))))</f>
        <v/>
      </c>
    </row>
    <row r="543">
      <c r="A543" s="27" t="n">
        <v>46319</v>
      </c>
      <c r="B543" s="23" t="inlineStr">
        <is>
          <t>Haircut</t>
        </is>
      </c>
      <c r="C543" s="23" t="inlineStr">
        <is>
          <t>Personal care</t>
        </is>
      </c>
      <c r="D543" s="28" t="n">
        <v>18.46</v>
      </c>
      <c r="E543" s="23" t="inlineStr">
        <is>
          <t>Debit card</t>
        </is>
      </c>
      <c r="F543" s="23" t="n"/>
      <c r="G543" s="23" t="n"/>
      <c r="H543" s="29">
        <f>IF(C543="","",IFERROR(INDEX(Categories!$B$6:$B$65,MATCH(C543,Categories!$A$6:$A$65,0))&amp;"",""))</f>
        <v/>
      </c>
      <c r="I543" s="25">
        <f>IF(AND(A543="",C543="",D543=""),"",IF(A543="","Date missing",IF(NOT(ISNUMBER(A543)),"Date not recognized",IF(YEAR(A543)&lt;&gt;Settings!$C$4,"Not in "&amp;Settings!$C$4,IF(C543="","Category missing",IF(H543="",IF(COUNTIF(Categories!$A$6:$A$65,C543)&gt;0,"Category has no type","Category not in list"),IF(D543="","Amount missing",IF(NOT(ISNUMBER(D543)),"Amount is not a number",IF(F543="","",IF(ISNA(MATCH(F543,Lists!$G$2:$G$25,0)),"Goal / fund not in list",IF(H543="Income","Fund tag ignored on income","")))))))))))</f>
        <v/>
      </c>
    </row>
    <row r="544">
      <c r="A544" s="27" t="n">
        <v>46320</v>
      </c>
      <c r="B544" s="23" t="inlineStr">
        <is>
          <t>Student loan payment</t>
        </is>
      </c>
      <c r="C544" s="23" t="inlineStr">
        <is>
          <t>Debt payments</t>
        </is>
      </c>
      <c r="D544" s="28" t="n">
        <v>165</v>
      </c>
      <c r="E544" s="23" t="inlineStr">
        <is>
          <t>Checking</t>
        </is>
      </c>
      <c r="F544" s="23" t="n"/>
      <c r="G544" s="23" t="n"/>
      <c r="H544" s="29">
        <f>IF(C544="","",IFERROR(INDEX(Categories!$B$6:$B$65,MATCH(C544,Categories!$A$6:$A$65,0))&amp;"",""))</f>
        <v/>
      </c>
      <c r="I544" s="25">
        <f>IF(AND(A544="",C544="",D544=""),"",IF(A544="","Date missing",IF(NOT(ISNUMBER(A544)),"Date not recognized",IF(YEAR(A544)&lt;&gt;Settings!$C$4,"Not in "&amp;Settings!$C$4,IF(C544="","Category missing",IF(H544="",IF(COUNTIF(Categories!$A$6:$A$65,C544)&gt;0,"Category has no type","Category not in list"),IF(D544="","Amount missing",IF(NOT(ISNUMBER(D544)),"Amount is not a number",IF(F544="","",IF(ISNA(MATCH(F544,Lists!$G$2:$G$25,0)),"Goal / fund not in list",IF(H544="Income","Fund tag ignored on income","")))))))))))</f>
        <v/>
      </c>
    </row>
    <row r="545">
      <c r="A545" s="27" t="n">
        <v>46322</v>
      </c>
      <c r="B545" s="23" t="inlineStr">
        <is>
          <t>Gas station</t>
        </is>
      </c>
      <c r="C545" s="23" t="inlineStr">
        <is>
          <t>Transport / Gas</t>
        </is>
      </c>
      <c r="D545" s="28" t="n">
        <v>53.5</v>
      </c>
      <c r="E545" s="23" t="inlineStr">
        <is>
          <t>Credit card</t>
        </is>
      </c>
      <c r="F545" s="23" t="n"/>
      <c r="G545" s="23" t="n"/>
      <c r="H545" s="29">
        <f>IF(C545="","",IFERROR(INDEX(Categories!$B$6:$B$65,MATCH(C545,Categories!$A$6:$A$65,0))&amp;"",""))</f>
        <v/>
      </c>
      <c r="I545" s="25">
        <f>IF(AND(A545="",C545="",D545=""),"",IF(A545="","Date missing",IF(NOT(ISNUMBER(A545)),"Date not recognized",IF(YEAR(A545)&lt;&gt;Settings!$C$4,"Not in "&amp;Settings!$C$4,IF(C545="","Category missing",IF(H545="",IF(COUNTIF(Categories!$A$6:$A$65,C545)&gt;0,"Category has no type","Category not in list"),IF(D545="","Amount missing",IF(NOT(ISNUMBER(D545)),"Amount is not a number",IF(F545="","",IF(ISNA(MATCH(F545,Lists!$G$2:$G$25,0)),"Goal / fund not in list",IF(H545="Income","Fund tag ignored on income","")))))))))))</f>
        <v/>
      </c>
    </row>
    <row r="546">
      <c r="A546" s="27" t="n">
        <v>46322</v>
      </c>
      <c r="B546" s="23" t="inlineStr">
        <is>
          <t>Doctor copay</t>
        </is>
      </c>
      <c r="C546" s="23" t="inlineStr">
        <is>
          <t>Health</t>
        </is>
      </c>
      <c r="D546" s="28" t="n">
        <v>53.19</v>
      </c>
      <c r="E546" s="23" t="inlineStr">
        <is>
          <t>Debit card</t>
        </is>
      </c>
      <c r="F546" s="23" t="n"/>
      <c r="G546" s="23" t="n"/>
      <c r="H546" s="29">
        <f>IF(C546="","",IFERROR(INDEX(Categories!$B$6:$B$65,MATCH(C546,Categories!$A$6:$A$65,0))&amp;"",""))</f>
        <v/>
      </c>
      <c r="I546" s="25">
        <f>IF(AND(A546="",C546="",D546=""),"",IF(A546="","Date missing",IF(NOT(ISNUMBER(A546)),"Date not recognized",IF(YEAR(A546)&lt;&gt;Settings!$C$4,"Not in "&amp;Settings!$C$4,IF(C546="","Category missing",IF(H546="",IF(COUNTIF(Categories!$A$6:$A$65,C546)&gt;0,"Category has no type","Category not in list"),IF(D546="","Amount missing",IF(NOT(ISNUMBER(D546)),"Amount is not a number",IF(F546="","",IF(ISNA(MATCH(F546,Lists!$G$2:$G$25,0)),"Goal / fund not in list",IF(H546="Income","Fund tag ignored on income","")))))))))))</f>
        <v/>
      </c>
    </row>
    <row r="547">
      <c r="A547" s="27" t="n">
        <v>46323</v>
      </c>
      <c r="B547" s="23" t="inlineStr">
        <is>
          <t>Sam paycheck</t>
        </is>
      </c>
      <c r="C547" s="23" t="inlineStr">
        <is>
          <t>Paycheck 2</t>
        </is>
      </c>
      <c r="D547" s="28" t="n">
        <v>2950</v>
      </c>
      <c r="E547" s="23" t="inlineStr">
        <is>
          <t>Checking</t>
        </is>
      </c>
      <c r="F547" s="23" t="n"/>
      <c r="G547" s="23" t="n"/>
      <c r="H547" s="29">
        <f>IF(C547="","",IFERROR(INDEX(Categories!$B$6:$B$65,MATCH(C547,Categories!$A$6:$A$65,0))&amp;"",""))</f>
        <v/>
      </c>
      <c r="I547" s="25">
        <f>IF(AND(A547="",C547="",D547=""),"",IF(A547="","Date missing",IF(NOT(ISNUMBER(A547)),"Date not recognized",IF(YEAR(A547)&lt;&gt;Settings!$C$4,"Not in "&amp;Settings!$C$4,IF(C547="","Category missing",IF(H547="",IF(COUNTIF(Categories!$A$6:$A$65,C547)&gt;0,"Category has no type","Category not in list"),IF(D547="","Amount missing",IF(NOT(ISNUMBER(D547)),"Amount is not a number",IF(F547="","",IF(ISNA(MATCH(F547,Lists!$G$2:$G$25,0)),"Goal / fund not in list",IF(H547="Income","Fund tag ignored on income","")))))))))))</f>
        <v/>
      </c>
    </row>
    <row r="548">
      <c r="A548" s="27" t="n">
        <v>46323</v>
      </c>
      <c r="B548" s="23" t="inlineStr">
        <is>
          <t>Lunch out</t>
        </is>
      </c>
      <c r="C548" s="23" t="inlineStr">
        <is>
          <t>Dining out</t>
        </is>
      </c>
      <c r="D548" s="28" t="n">
        <v>39.71</v>
      </c>
      <c r="E548" s="23" t="inlineStr">
        <is>
          <t>Credit card</t>
        </is>
      </c>
      <c r="F548" s="23" t="n"/>
      <c r="G548" s="23" t="n"/>
      <c r="H548" s="29">
        <f>IF(C548="","",IFERROR(INDEX(Categories!$B$6:$B$65,MATCH(C548,Categories!$A$6:$A$65,0))&amp;"",""))</f>
        <v/>
      </c>
      <c r="I548" s="25">
        <f>IF(AND(A548="",C548="",D548=""),"",IF(A548="","Date missing",IF(NOT(ISNUMBER(A548)),"Date not recognized",IF(YEAR(A548)&lt;&gt;Settings!$C$4,"Not in "&amp;Settings!$C$4,IF(C548="","Category missing",IF(H548="",IF(COUNTIF(Categories!$A$6:$A$65,C548)&gt;0,"Category has no type","Category not in list"),IF(D548="","Amount missing",IF(NOT(ISNUMBER(D548)),"Amount is not a number",IF(F548="","",IF(ISNA(MATCH(F548,Lists!$G$2:$G$25,0)),"Goal / fund not in list",IF(H548="Income","Fund tag ignored on income","")))))))))))</f>
        <v/>
      </c>
    </row>
    <row r="549">
      <c r="A549" s="27" t="n">
        <v>46323</v>
      </c>
      <c r="B549" s="23" t="inlineStr">
        <is>
          <t>Movie tickets</t>
        </is>
      </c>
      <c r="C549" s="23" t="inlineStr">
        <is>
          <t>Entertainment</t>
        </is>
      </c>
      <c r="D549" s="28" t="n">
        <v>24.9</v>
      </c>
      <c r="E549" s="23" t="inlineStr">
        <is>
          <t>Credit card</t>
        </is>
      </c>
      <c r="F549" s="23" t="n"/>
      <c r="G549" s="23" t="n"/>
      <c r="H549" s="29">
        <f>IF(C549="","",IFERROR(INDEX(Categories!$B$6:$B$65,MATCH(C549,Categories!$A$6:$A$65,0))&amp;"",""))</f>
        <v/>
      </c>
      <c r="I549" s="25">
        <f>IF(AND(A549="",C549="",D549=""),"",IF(A549="","Date missing",IF(NOT(ISNUMBER(A549)),"Date not recognized",IF(YEAR(A549)&lt;&gt;Settings!$C$4,"Not in "&amp;Settings!$C$4,IF(C549="","Category missing",IF(H549="",IF(COUNTIF(Categories!$A$6:$A$65,C549)&gt;0,"Category has no type","Category not in list"),IF(D549="","Amount missing",IF(NOT(ISNUMBER(D549)),"Amount is not a number",IF(F549="","",IF(ISNA(MATCH(F549,Lists!$G$2:$G$25,0)),"Goal / fund not in list",IF(H549="Income","Fund tag ignored on income","")))))))))))</f>
        <v/>
      </c>
    </row>
    <row r="550">
      <c r="A550" s="27" t="n">
        <v>46325</v>
      </c>
      <c r="B550" s="23" t="inlineStr">
        <is>
          <t>Supermarket</t>
        </is>
      </c>
      <c r="C550" s="23" t="inlineStr">
        <is>
          <t>Groceries</t>
        </is>
      </c>
      <c r="D550" s="28" t="n">
        <v>189.13</v>
      </c>
      <c r="E550" s="23" t="inlineStr">
        <is>
          <t>Debit card</t>
        </is>
      </c>
      <c r="F550" s="23" t="n"/>
      <c r="G550" s="23" t="n"/>
      <c r="H550" s="29">
        <f>IF(C550="","",IFERROR(INDEX(Categories!$B$6:$B$65,MATCH(C550,Categories!$A$6:$A$65,0))&amp;"",""))</f>
        <v/>
      </c>
      <c r="I550" s="25">
        <f>IF(AND(A550="",C550="",D550=""),"",IF(A550="","Date missing",IF(NOT(ISNUMBER(A550)),"Date not recognized",IF(YEAR(A550)&lt;&gt;Settings!$C$4,"Not in "&amp;Settings!$C$4,IF(C550="","Category missing",IF(H550="",IF(COUNTIF(Categories!$A$6:$A$65,C550)&gt;0,"Category has no type","Category not in list"),IF(D550="","Amount missing",IF(NOT(ISNUMBER(D550)),"Amount is not a number",IF(F550="","",IF(ISNA(MATCH(F550,Lists!$G$2:$G$25,0)),"Goal / fund not in list",IF(H550="Income","Fund tag ignored on income","")))))))))))</f>
        <v/>
      </c>
    </row>
    <row r="551">
      <c r="A551" s="27" t="n">
        <v>46327</v>
      </c>
      <c r="B551" s="23" t="inlineStr">
        <is>
          <t>Alex paycheck</t>
        </is>
      </c>
      <c r="C551" s="23" t="inlineStr">
        <is>
          <t>Paycheck 1</t>
        </is>
      </c>
      <c r="D551" s="28" t="n">
        <v>2100</v>
      </c>
      <c r="E551" s="23" t="inlineStr">
        <is>
          <t>Checking</t>
        </is>
      </c>
      <c r="F551" s="23" t="n"/>
      <c r="G551" s="23" t="n"/>
      <c r="H551" s="29">
        <f>IF(C551="","",IFERROR(INDEX(Categories!$B$6:$B$65,MATCH(C551,Categories!$A$6:$A$65,0))&amp;"",""))</f>
        <v/>
      </c>
      <c r="I551" s="25">
        <f>IF(AND(A551="",C551="",D551=""),"",IF(A551="","Date missing",IF(NOT(ISNUMBER(A551)),"Date not recognized",IF(YEAR(A551)&lt;&gt;Settings!$C$4,"Not in "&amp;Settings!$C$4,IF(C551="","Category missing",IF(H551="",IF(COUNTIF(Categories!$A$6:$A$65,C551)&gt;0,"Category has no type","Category not in list"),IF(D551="","Amount missing",IF(NOT(ISNUMBER(D551)),"Amount is not a number",IF(F551="","",IF(ISNA(MATCH(F551,Lists!$G$2:$G$25,0)),"Goal / fund not in list",IF(H551="Income","Fund tag ignored on income","")))))))))))</f>
        <v/>
      </c>
    </row>
    <row r="552">
      <c r="A552" s="27" t="n">
        <v>46327</v>
      </c>
      <c r="B552" s="23" t="inlineStr">
        <is>
          <t>Rent</t>
        </is>
      </c>
      <c r="C552" s="23" t="inlineStr">
        <is>
          <t>Rent / Mortgage</t>
        </is>
      </c>
      <c r="D552" s="28" t="n">
        <v>1850</v>
      </c>
      <c r="E552" s="23" t="inlineStr">
        <is>
          <t>Checking</t>
        </is>
      </c>
      <c r="F552" s="23" t="n"/>
      <c r="G552" s="23" t="n"/>
      <c r="H552" s="29">
        <f>IF(C552="","",IFERROR(INDEX(Categories!$B$6:$B$65,MATCH(C552,Categories!$A$6:$A$65,0))&amp;"",""))</f>
        <v/>
      </c>
      <c r="I552" s="25">
        <f>IF(AND(A552="",C552="",D552=""),"",IF(A552="","Date missing",IF(NOT(ISNUMBER(A552)),"Date not recognized",IF(YEAR(A552)&lt;&gt;Settings!$C$4,"Not in "&amp;Settings!$C$4,IF(C552="","Category missing",IF(H552="",IF(COUNTIF(Categories!$A$6:$A$65,C552)&gt;0,"Category has no type","Category not in list"),IF(D552="","Amount missing",IF(NOT(ISNUMBER(D552)),"Amount is not a number",IF(F552="","",IF(ISNA(MATCH(F552,Lists!$G$2:$G$25,0)),"Goal / fund not in list",IF(H552="Income","Fund tag ignored on income","")))))))))))</f>
        <v/>
      </c>
    </row>
    <row r="553">
      <c r="A553" s="27" t="n">
        <v>46327</v>
      </c>
      <c r="B553" s="23" t="inlineStr">
        <is>
          <t>Coffee</t>
        </is>
      </c>
      <c r="C553" s="23" t="inlineStr">
        <is>
          <t>Dining out</t>
        </is>
      </c>
      <c r="D553" s="28" t="n">
        <v>38.69</v>
      </c>
      <c r="E553" s="23" t="inlineStr">
        <is>
          <t>Credit card</t>
        </is>
      </c>
      <c r="F553" s="23" t="n"/>
      <c r="G553" s="23" t="n"/>
      <c r="H553" s="29">
        <f>IF(C553="","",IFERROR(INDEX(Categories!$B$6:$B$65,MATCH(C553,Categories!$A$6:$A$65,0))&amp;"",""))</f>
        <v/>
      </c>
      <c r="I553" s="25">
        <f>IF(AND(A553="",C553="",D553=""),"",IF(A553="","Date missing",IF(NOT(ISNUMBER(A553)),"Date not recognized",IF(YEAR(A553)&lt;&gt;Settings!$C$4,"Not in "&amp;Settings!$C$4,IF(C553="","Category missing",IF(H553="",IF(COUNTIF(Categories!$A$6:$A$65,C553)&gt;0,"Category has no type","Category not in list"),IF(D553="","Amount missing",IF(NOT(ISNUMBER(D553)),"Amount is not a number",IF(F553="","",IF(ISNA(MATCH(F553,Lists!$G$2:$G$25,0)),"Goal / fund not in list",IF(H553="Income","Fund tag ignored on income","")))))))))))</f>
        <v/>
      </c>
    </row>
    <row r="554">
      <c r="A554" s="27" t="n">
        <v>46327</v>
      </c>
      <c r="B554" s="23" t="inlineStr">
        <is>
          <t>After-school program</t>
        </is>
      </c>
      <c r="C554" s="23" t="inlineStr">
        <is>
          <t>Kids</t>
        </is>
      </c>
      <c r="D554" s="28" t="n">
        <v>320</v>
      </c>
      <c r="E554" s="23" t="inlineStr">
        <is>
          <t>Checking</t>
        </is>
      </c>
      <c r="F554" s="23" t="n"/>
      <c r="G554" s="23" t="n"/>
      <c r="H554" s="29">
        <f>IF(C554="","",IFERROR(INDEX(Categories!$B$6:$B$65,MATCH(C554,Categories!$A$6:$A$65,0))&amp;"",""))</f>
        <v/>
      </c>
      <c r="I554" s="25">
        <f>IF(AND(A554="",C554="",D554=""),"",IF(A554="","Date missing",IF(NOT(ISNUMBER(A554)),"Date not recognized",IF(YEAR(A554)&lt;&gt;Settings!$C$4,"Not in "&amp;Settings!$C$4,IF(C554="","Category missing",IF(H554="",IF(COUNTIF(Categories!$A$6:$A$65,C554)&gt;0,"Category has no type","Category not in list"),IF(D554="","Amount missing",IF(NOT(ISNUMBER(D554)),"Amount is not a number",IF(F554="","",IF(ISNA(MATCH(F554,Lists!$G$2:$G$25,0)),"Goal / fund not in list",IF(H554="Income","Fund tag ignored on income","")))))))))))</f>
        <v/>
      </c>
    </row>
    <row r="555">
      <c r="A555" s="27" t="n">
        <v>46328</v>
      </c>
      <c r="B555" s="23" t="inlineStr">
        <is>
          <t>Gym membership</t>
        </is>
      </c>
      <c r="C555" s="23" t="inlineStr">
        <is>
          <t>Subscriptions</t>
        </is>
      </c>
      <c r="D555" s="28" t="n">
        <v>45</v>
      </c>
      <c r="E555" s="23" t="inlineStr">
        <is>
          <t>Checking</t>
        </is>
      </c>
      <c r="F555" s="23" t="n"/>
      <c r="G555" s="23" t="n"/>
      <c r="H555" s="29">
        <f>IF(C555="","",IFERROR(INDEX(Categories!$B$6:$B$65,MATCH(C555,Categories!$A$6:$A$65,0))&amp;"",""))</f>
        <v/>
      </c>
      <c r="I555" s="25">
        <f>IF(AND(A555="",C555="",D555=""),"",IF(A555="","Date missing",IF(NOT(ISNUMBER(A555)),"Date not recognized",IF(YEAR(A555)&lt;&gt;Settings!$C$4,"Not in "&amp;Settings!$C$4,IF(C555="","Category missing",IF(H555="",IF(COUNTIF(Categories!$A$6:$A$65,C555)&gt;0,"Category has no type","Category not in list"),IF(D555="","Amount missing",IF(NOT(ISNUMBER(D555)),"Amount is not a number",IF(F555="","",IF(ISNA(MATCH(F555,Lists!$G$2:$G$25,0)),"Goal / fund not in list",IF(H555="Income","Fund tag ignored on income","")))))))))))</f>
        <v/>
      </c>
    </row>
    <row r="556">
      <c r="A556" s="27" t="n">
        <v>46328</v>
      </c>
      <c r="B556" s="23" t="inlineStr">
        <is>
          <t>Transfer to emergency fund</t>
        </is>
      </c>
      <c r="C556" s="23" t="inlineStr">
        <is>
          <t>Emergency fund</t>
        </is>
      </c>
      <c r="D556" s="28" t="n">
        <v>300</v>
      </c>
      <c r="E556" s="23" t="inlineStr">
        <is>
          <t>Savings</t>
        </is>
      </c>
      <c r="F556" s="23" t="inlineStr">
        <is>
          <t>Emergency fund</t>
        </is>
      </c>
      <c r="G556" s="23" t="n"/>
      <c r="H556" s="29">
        <f>IF(C556="","",IFERROR(INDEX(Categories!$B$6:$B$65,MATCH(C556,Categories!$A$6:$A$65,0))&amp;"",""))</f>
        <v/>
      </c>
      <c r="I556" s="25">
        <f>IF(AND(A556="",C556="",D556=""),"",IF(A556="","Date missing",IF(NOT(ISNUMBER(A556)),"Date not recognized",IF(YEAR(A556)&lt;&gt;Settings!$C$4,"Not in "&amp;Settings!$C$4,IF(C556="","Category missing",IF(H556="",IF(COUNTIF(Categories!$A$6:$A$65,C556)&gt;0,"Category has no type","Category not in list"),IF(D556="","Amount missing",IF(NOT(ISNUMBER(D556)),"Amount is not a number",IF(F556="","",IF(ISNA(MATCH(F556,Lists!$G$2:$G$25,0)),"Goal / fund not in list",IF(H556="Income","Fund tag ignored on income","")))))))))))</f>
        <v/>
      </c>
    </row>
    <row r="557">
      <c r="A557" s="27" t="n">
        <v>46328</v>
      </c>
      <c r="B557" s="23" t="inlineStr">
        <is>
          <t>Transfer: house fund</t>
        </is>
      </c>
      <c r="C557" s="23" t="inlineStr">
        <is>
          <t>Savings goals</t>
        </is>
      </c>
      <c r="D557" s="28" t="n">
        <v>300</v>
      </c>
      <c r="E557" s="23" t="inlineStr">
        <is>
          <t>Savings</t>
        </is>
      </c>
      <c r="F557" s="23" t="inlineStr">
        <is>
          <t>House down payment</t>
        </is>
      </c>
      <c r="G557" s="23" t="n"/>
      <c r="H557" s="29">
        <f>IF(C557="","",IFERROR(INDEX(Categories!$B$6:$B$65,MATCH(C557,Categories!$A$6:$A$65,0))&amp;"",""))</f>
        <v/>
      </c>
      <c r="I557" s="25">
        <f>IF(AND(A557="",C557="",D557=""),"",IF(A557="","Date missing",IF(NOT(ISNUMBER(A557)),"Date not recognized",IF(YEAR(A557)&lt;&gt;Settings!$C$4,"Not in "&amp;Settings!$C$4,IF(C557="","Category missing",IF(H557="",IF(COUNTIF(Categories!$A$6:$A$65,C557)&gt;0,"Category has no type","Category not in list"),IF(D557="","Amount missing",IF(NOT(ISNUMBER(D557)),"Amount is not a number",IF(F557="","",IF(ISNA(MATCH(F557,Lists!$G$2:$G$25,0)),"Goal / fund not in list",IF(H557="Income","Fund tag ignored on income","")))))))))))</f>
        <v/>
      </c>
    </row>
    <row r="558">
      <c r="A558" s="27" t="n">
        <v>46328</v>
      </c>
      <c r="B558" s="23" t="inlineStr">
        <is>
          <t>Transfer: laptop</t>
        </is>
      </c>
      <c r="C558" s="23" t="inlineStr">
        <is>
          <t>Savings goals</t>
        </is>
      </c>
      <c r="D558" s="28" t="n">
        <v>100</v>
      </c>
      <c r="E558" s="23" t="inlineStr">
        <is>
          <t>Savings</t>
        </is>
      </c>
      <c r="F558" s="23" t="inlineStr">
        <is>
          <t>New laptop</t>
        </is>
      </c>
      <c r="G558" s="23" t="n"/>
      <c r="H558" s="29">
        <f>IF(C558="","",IFERROR(INDEX(Categories!$B$6:$B$65,MATCH(C558,Categories!$A$6:$A$65,0))&amp;"",""))</f>
        <v/>
      </c>
      <c r="I558" s="25">
        <f>IF(AND(A558="",C558="",D558=""),"",IF(A558="","Date missing",IF(NOT(ISNUMBER(A558)),"Date not recognized",IF(YEAR(A558)&lt;&gt;Settings!$C$4,"Not in "&amp;Settings!$C$4,IF(C558="","Category missing",IF(H558="",IF(COUNTIF(Categories!$A$6:$A$65,C558)&gt;0,"Category has no type","Category not in list"),IF(D558="","Amount missing",IF(NOT(ISNUMBER(D558)),"Amount is not a number",IF(F558="","",IF(ISNA(MATCH(F558,Lists!$G$2:$G$25,0)),"Goal / fund not in list",IF(H558="Income","Fund tag ignored on income","")))))))))))</f>
        <v/>
      </c>
    </row>
    <row r="559">
      <c r="A559" s="27" t="n">
        <v>46328</v>
      </c>
      <c r="B559" s="23" t="inlineStr">
        <is>
          <t>Set aside: car maintenance</t>
        </is>
      </c>
      <c r="C559" s="23" t="inlineStr">
        <is>
          <t>Sinking funds</t>
        </is>
      </c>
      <c r="D559" s="28" t="n">
        <v>60</v>
      </c>
      <c r="E559" s="23" t="inlineStr">
        <is>
          <t>Savings</t>
        </is>
      </c>
      <c r="F559" s="23" t="inlineStr">
        <is>
          <t>Car maintenance</t>
        </is>
      </c>
      <c r="G559" s="23" t="n"/>
      <c r="H559" s="29">
        <f>IF(C559="","",IFERROR(INDEX(Categories!$B$6:$B$65,MATCH(C559,Categories!$A$6:$A$65,0))&amp;"",""))</f>
        <v/>
      </c>
      <c r="I559" s="25">
        <f>IF(AND(A559="",C559="",D559=""),"",IF(A559="","Date missing",IF(NOT(ISNUMBER(A559)),"Date not recognized",IF(YEAR(A559)&lt;&gt;Settings!$C$4,"Not in "&amp;Settings!$C$4,IF(C559="","Category missing",IF(H559="",IF(COUNTIF(Categories!$A$6:$A$65,C559)&gt;0,"Category has no type","Category not in list"),IF(D559="","Amount missing",IF(NOT(ISNUMBER(D559)),"Amount is not a number",IF(F559="","",IF(ISNA(MATCH(F559,Lists!$G$2:$G$25,0)),"Goal / fund not in list",IF(H559="Income","Fund tag ignored on income","")))))))))))</f>
        <v/>
      </c>
    </row>
    <row r="560">
      <c r="A560" s="27" t="n">
        <v>46328</v>
      </c>
      <c r="B560" s="23" t="inlineStr">
        <is>
          <t>Set aside: holiday gifts</t>
        </is>
      </c>
      <c r="C560" s="23" t="inlineStr">
        <is>
          <t>Sinking funds</t>
        </is>
      </c>
      <c r="D560" s="28" t="n">
        <v>50</v>
      </c>
      <c r="E560" s="23" t="inlineStr">
        <is>
          <t>Savings</t>
        </is>
      </c>
      <c r="F560" s="23" t="inlineStr">
        <is>
          <t>Holiday gifts</t>
        </is>
      </c>
      <c r="G560" s="23" t="n"/>
      <c r="H560" s="29">
        <f>IF(C560="","",IFERROR(INDEX(Categories!$B$6:$B$65,MATCH(C560,Categories!$A$6:$A$65,0))&amp;"",""))</f>
        <v/>
      </c>
      <c r="I560" s="25">
        <f>IF(AND(A560="",C560="",D560=""),"",IF(A560="","Date missing",IF(NOT(ISNUMBER(A560)),"Date not recognized",IF(YEAR(A560)&lt;&gt;Settings!$C$4,"Not in "&amp;Settings!$C$4,IF(C560="","Category missing",IF(H560="",IF(COUNTIF(Categories!$A$6:$A$65,C560)&gt;0,"Category has no type","Category not in list"),IF(D560="","Amount missing",IF(NOT(ISNUMBER(D560)),"Amount is not a number",IF(F560="","",IF(ISNA(MATCH(F560,Lists!$G$2:$G$25,0)),"Goal / fund not in list",IF(H560="Income","Fund tag ignored on income","")))))))))))</f>
        <v/>
      </c>
    </row>
    <row r="561">
      <c r="A561" s="27" t="n">
        <v>46328</v>
      </c>
      <c r="B561" s="23" t="inlineStr">
        <is>
          <t>Set aside: summer vacation</t>
        </is>
      </c>
      <c r="C561" s="23" t="inlineStr">
        <is>
          <t>Sinking funds</t>
        </is>
      </c>
      <c r="D561" s="28" t="n">
        <v>150</v>
      </c>
      <c r="E561" s="23" t="inlineStr">
        <is>
          <t>Savings</t>
        </is>
      </c>
      <c r="F561" s="23" t="inlineStr">
        <is>
          <t>Summer vacation</t>
        </is>
      </c>
      <c r="G561" s="23" t="n"/>
      <c r="H561" s="29">
        <f>IF(C561="","",IFERROR(INDEX(Categories!$B$6:$B$65,MATCH(C561,Categories!$A$6:$A$65,0))&amp;"",""))</f>
        <v/>
      </c>
      <c r="I561" s="25">
        <f>IF(AND(A561="",C561="",D561=""),"",IF(A561="","Date missing",IF(NOT(ISNUMBER(A561)),"Date not recognized",IF(YEAR(A561)&lt;&gt;Settings!$C$4,"Not in "&amp;Settings!$C$4,IF(C561="","Category missing",IF(H561="",IF(COUNTIF(Categories!$A$6:$A$65,C561)&gt;0,"Category has no type","Category not in list"),IF(D561="","Amount missing",IF(NOT(ISNUMBER(D561)),"Amount is not a number",IF(F561="","",IF(ISNA(MATCH(F561,Lists!$G$2:$G$25,0)),"Goal / fund not in list",IF(H561="Income","Fund tag ignored on income","")))))))))))</f>
        <v/>
      </c>
    </row>
    <row r="562">
      <c r="A562" s="27" t="n">
        <v>46328</v>
      </c>
      <c r="B562" s="23" t="inlineStr">
        <is>
          <t>Set aside: home repairs</t>
        </is>
      </c>
      <c r="C562" s="23" t="inlineStr">
        <is>
          <t>Sinking funds</t>
        </is>
      </c>
      <c r="D562" s="28" t="n">
        <v>40</v>
      </c>
      <c r="E562" s="23" t="inlineStr">
        <is>
          <t>Savings</t>
        </is>
      </c>
      <c r="F562" s="23" t="inlineStr">
        <is>
          <t>Home repairs</t>
        </is>
      </c>
      <c r="G562" s="23" t="n"/>
      <c r="H562" s="29">
        <f>IF(C562="","",IFERROR(INDEX(Categories!$B$6:$B$65,MATCH(C562,Categories!$A$6:$A$65,0))&amp;"",""))</f>
        <v/>
      </c>
      <c r="I562" s="25">
        <f>IF(AND(A562="",C562="",D562=""),"",IF(A562="","Date missing",IF(NOT(ISNUMBER(A562)),"Date not recognized",IF(YEAR(A562)&lt;&gt;Settings!$C$4,"Not in "&amp;Settings!$C$4,IF(C562="","Category missing",IF(H562="",IF(COUNTIF(Categories!$A$6:$A$65,C562)&gt;0,"Category has no type","Category not in list"),IF(D562="","Amount missing",IF(NOT(ISNUMBER(D562)),"Amount is not a number",IF(F562="","",IF(ISNA(MATCH(F562,Lists!$G$2:$G$25,0)),"Goal / fund not in list",IF(H562="Income","Fund tag ignored on income","")))))))))))</f>
        <v/>
      </c>
    </row>
    <row r="563">
      <c r="A563" s="27" t="n">
        <v>46329</v>
      </c>
      <c r="B563" s="23" t="inlineStr">
        <is>
          <t>Video streaming</t>
        </is>
      </c>
      <c r="C563" s="23" t="inlineStr">
        <is>
          <t>Subscriptions</t>
        </is>
      </c>
      <c r="D563" s="28" t="n">
        <v>15.49</v>
      </c>
      <c r="E563" s="23" t="inlineStr">
        <is>
          <t>Credit card</t>
        </is>
      </c>
      <c r="F563" s="23" t="n"/>
      <c r="G563" s="23" t="n"/>
      <c r="H563" s="29">
        <f>IF(C563="","",IFERROR(INDEX(Categories!$B$6:$B$65,MATCH(C563,Categories!$A$6:$A$65,0))&amp;"",""))</f>
        <v/>
      </c>
      <c r="I563" s="25">
        <f>IF(AND(A563="",C563="",D563=""),"",IF(A563="","Date missing",IF(NOT(ISNUMBER(A563)),"Date not recognized",IF(YEAR(A563)&lt;&gt;Settings!$C$4,"Not in "&amp;Settings!$C$4,IF(C563="","Category missing",IF(H563="",IF(COUNTIF(Categories!$A$6:$A$65,C563)&gt;0,"Category has no type","Category not in list"),IF(D563="","Amount missing",IF(NOT(ISNUMBER(D563)),"Amount is not a number",IF(F563="","",IF(ISNA(MATCH(F563,Lists!$G$2:$G$25,0)),"Goal / fund not in list",IF(H563="Income","Fund tag ignored on income","")))))))))))</f>
        <v/>
      </c>
    </row>
    <row r="564">
      <c r="A564" s="27" t="n">
        <v>46329</v>
      </c>
      <c r="B564" s="23" t="inlineStr">
        <is>
          <t>Farmers market</t>
        </is>
      </c>
      <c r="C564" s="23" t="inlineStr">
        <is>
          <t>Groceries</t>
        </is>
      </c>
      <c r="D564" s="28" t="n">
        <v>208.71</v>
      </c>
      <c r="E564" s="23" t="inlineStr">
        <is>
          <t>Debit card</t>
        </is>
      </c>
      <c r="F564" s="23" t="n"/>
      <c r="G564" s="23" t="n"/>
      <c r="H564" s="29">
        <f>IF(C564="","",IFERROR(INDEX(Categories!$B$6:$B$65,MATCH(C564,Categories!$A$6:$A$65,0))&amp;"",""))</f>
        <v/>
      </c>
      <c r="I564" s="25">
        <f>IF(AND(A564="",C564="",D564=""),"",IF(A564="","Date missing",IF(NOT(ISNUMBER(A564)),"Date not recognized",IF(YEAR(A564)&lt;&gt;Settings!$C$4,"Not in "&amp;Settings!$C$4,IF(C564="","Category missing",IF(H564="",IF(COUNTIF(Categories!$A$6:$A$65,C564)&gt;0,"Category has no type","Category not in list"),IF(D564="","Amount missing",IF(NOT(ISNUMBER(D564)),"Amount is not a number",IF(F564="","",IF(ISNA(MATCH(F564,Lists!$G$2:$G$25,0)),"Goal / fund not in list",IF(H564="Income","Fund tag ignored on income","")))))))))))</f>
        <v/>
      </c>
    </row>
    <row r="565">
      <c r="A565" s="27" t="n">
        <v>46329</v>
      </c>
      <c r="B565" s="23" t="inlineStr">
        <is>
          <t>Board game</t>
        </is>
      </c>
      <c r="C565" s="23" t="inlineStr">
        <is>
          <t>Entertainment</t>
        </is>
      </c>
      <c r="D565" s="28" t="n">
        <v>44.88</v>
      </c>
      <c r="E565" s="23" t="inlineStr">
        <is>
          <t>Credit card</t>
        </is>
      </c>
      <c r="F565" s="23" t="n"/>
      <c r="G565" s="23" t="n"/>
      <c r="H565" s="29">
        <f>IF(C565="","",IFERROR(INDEX(Categories!$B$6:$B$65,MATCH(C565,Categories!$A$6:$A$65,0))&amp;"",""))</f>
        <v/>
      </c>
      <c r="I565" s="25">
        <f>IF(AND(A565="",C565="",D565=""),"",IF(A565="","Date missing",IF(NOT(ISNUMBER(A565)),"Date not recognized",IF(YEAR(A565)&lt;&gt;Settings!$C$4,"Not in "&amp;Settings!$C$4,IF(C565="","Category missing",IF(H565="",IF(COUNTIF(Categories!$A$6:$A$65,C565)&gt;0,"Category has no type","Category not in list"),IF(D565="","Amount missing",IF(NOT(ISNUMBER(D565)),"Amount is not a number",IF(F565="","",IF(ISNA(MATCH(F565,Lists!$G$2:$G$25,0)),"Goal / fund not in list",IF(H565="Income","Fund tag ignored on income","")))))))))))</f>
        <v/>
      </c>
    </row>
    <row r="566">
      <c r="A566" s="27" t="n">
        <v>46329</v>
      </c>
      <c r="B566" s="23" t="inlineStr">
        <is>
          <t>Retirement contribution</t>
        </is>
      </c>
      <c r="C566" s="23" t="inlineStr">
        <is>
          <t>Retirement &amp; investing</t>
        </is>
      </c>
      <c r="D566" s="28" t="n">
        <v>600</v>
      </c>
      <c r="E566" s="23" t="inlineStr">
        <is>
          <t>Checking</t>
        </is>
      </c>
      <c r="F566" s="23" t="n"/>
      <c r="G566" s="23" t="n"/>
      <c r="H566" s="29">
        <f>IF(C566="","",IFERROR(INDEX(Categories!$B$6:$B$65,MATCH(C566,Categories!$A$6:$A$65,0))&amp;"",""))</f>
        <v/>
      </c>
      <c r="I566" s="25">
        <f>IF(AND(A566="",C566="",D566=""),"",IF(A566="","Date missing",IF(NOT(ISNUMBER(A566)),"Date not recognized",IF(YEAR(A566)&lt;&gt;Settings!$C$4,"Not in "&amp;Settings!$C$4,IF(C566="","Category missing",IF(H566="",IF(COUNTIF(Categories!$A$6:$A$65,C566)&gt;0,"Category has no type","Category not in list"),IF(D566="","Amount missing",IF(NOT(ISNUMBER(D566)),"Amount is not a number",IF(F566="","",IF(ISNA(MATCH(F566,Lists!$G$2:$G$25,0)),"Goal / fund not in list",IF(H566="Income","Fund tag ignored on income","")))))))))))</f>
        <v/>
      </c>
    </row>
    <row r="567">
      <c r="A567" s="27" t="n">
        <v>46330</v>
      </c>
      <c r="B567" s="23" t="inlineStr">
        <is>
          <t>Gas station</t>
        </is>
      </c>
      <c r="C567" s="23" t="inlineStr">
        <is>
          <t>Transport / Gas</t>
        </is>
      </c>
      <c r="D567" s="28" t="n">
        <v>45.8</v>
      </c>
      <c r="E567" s="23" t="inlineStr">
        <is>
          <t>Credit card</t>
        </is>
      </c>
      <c r="F567" s="23" t="n"/>
      <c r="G567" s="23" t="n"/>
      <c r="H567" s="29">
        <f>IF(C567="","",IFERROR(INDEX(Categories!$B$6:$B$65,MATCH(C567,Categories!$A$6:$A$65,0))&amp;"",""))</f>
        <v/>
      </c>
      <c r="I567" s="25">
        <f>IF(AND(A567="",C567="",D567=""),"",IF(A567="","Date missing",IF(NOT(ISNUMBER(A567)),"Date not recognized",IF(YEAR(A567)&lt;&gt;Settings!$C$4,"Not in "&amp;Settings!$C$4,IF(C567="","Category missing",IF(H567="",IF(COUNTIF(Categories!$A$6:$A$65,C567)&gt;0,"Category has no type","Category not in list"),IF(D567="","Amount missing",IF(NOT(ISNUMBER(D567)),"Amount is not a number",IF(F567="","",IF(ISNA(MATCH(F567,Lists!$G$2:$G$25,0)),"Goal / fund not in list",IF(H567="Income","Fund tag ignored on income","")))))))))))</f>
        <v/>
      </c>
    </row>
    <row r="568">
      <c r="A568" s="27" t="n">
        <v>46331</v>
      </c>
      <c r="B568" s="23" t="inlineStr">
        <is>
          <t>Car insurance</t>
        </is>
      </c>
      <c r="C568" s="23" t="inlineStr">
        <is>
          <t>Insurance</t>
        </is>
      </c>
      <c r="D568" s="28" t="n">
        <v>128</v>
      </c>
      <c r="E568" s="23" t="inlineStr">
        <is>
          <t>Checking</t>
        </is>
      </c>
      <c r="F568" s="23" t="n"/>
      <c r="G568" s="23" t="n"/>
      <c r="H568" s="29">
        <f>IF(C568="","",IFERROR(INDEX(Categories!$B$6:$B$65,MATCH(C568,Categories!$A$6:$A$65,0))&amp;"",""))</f>
        <v/>
      </c>
      <c r="I568" s="25">
        <f>IF(AND(A568="",C568="",D568=""),"",IF(A568="","Date missing",IF(NOT(ISNUMBER(A568)),"Date not recognized",IF(YEAR(A568)&lt;&gt;Settings!$C$4,"Not in "&amp;Settings!$C$4,IF(C568="","Category missing",IF(H568="",IF(COUNTIF(Categories!$A$6:$A$65,C568)&gt;0,"Category has no type","Category not in list"),IF(D568="","Amount missing",IF(NOT(ISNUMBER(D568)),"Amount is not a number",IF(F568="","",IF(ISNA(MATCH(F568,Lists!$G$2:$G$25,0)),"Goal / fund not in list",IF(H568="Income","Fund tag ignored on income","")))))))))))</f>
        <v/>
      </c>
    </row>
    <row r="569">
      <c r="A569" s="27" t="n">
        <v>46331</v>
      </c>
      <c r="B569" s="23" t="inlineStr">
        <is>
          <t>Renters insurance</t>
        </is>
      </c>
      <c r="C569" s="23" t="inlineStr">
        <is>
          <t>Insurance</t>
        </is>
      </c>
      <c r="D569" s="28" t="n">
        <v>18</v>
      </c>
      <c r="E569" s="23" t="inlineStr">
        <is>
          <t>Checking</t>
        </is>
      </c>
      <c r="F569" s="23" t="n"/>
      <c r="G569" s="23" t="n"/>
      <c r="H569" s="29">
        <f>IF(C569="","",IFERROR(INDEX(Categories!$B$6:$B$65,MATCH(C569,Categories!$A$6:$A$65,0))&amp;"",""))</f>
        <v/>
      </c>
      <c r="I569" s="25">
        <f>IF(AND(A569="",C569="",D569=""),"",IF(A569="","Date missing",IF(NOT(ISNUMBER(A569)),"Date not recognized",IF(YEAR(A569)&lt;&gt;Settings!$C$4,"Not in "&amp;Settings!$C$4,IF(C569="","Category missing",IF(H569="",IF(COUNTIF(Categories!$A$6:$A$65,C569)&gt;0,"Category has no type","Category not in list"),IF(D569="","Amount missing",IF(NOT(ISNUMBER(D569)),"Amount is not a number",IF(F569="","",IF(ISNA(MATCH(F569,Lists!$G$2:$G$25,0)),"Goal / fund not in list",IF(H569="Income","Fund tag ignored on income","")))))))))))</f>
        <v/>
      </c>
    </row>
    <row r="570">
      <c r="A570" s="27" t="n">
        <v>46331</v>
      </c>
      <c r="B570" s="23" t="inlineStr">
        <is>
          <t>Kitchen items</t>
        </is>
      </c>
      <c r="C570" s="23" t="inlineStr">
        <is>
          <t>Home &amp; repairs</t>
        </is>
      </c>
      <c r="D570" s="28" t="n">
        <v>40.11</v>
      </c>
      <c r="E570" s="23" t="inlineStr">
        <is>
          <t>Debit card</t>
        </is>
      </c>
      <c r="F570" s="23" t="n"/>
      <c r="G570" s="23" t="n"/>
      <c r="H570" s="29">
        <f>IF(C570="","",IFERROR(INDEX(Categories!$B$6:$B$65,MATCH(C570,Categories!$A$6:$A$65,0))&amp;"",""))</f>
        <v/>
      </c>
      <c r="I570" s="25">
        <f>IF(AND(A570="",C570="",D570=""),"",IF(A570="","Date missing",IF(NOT(ISNUMBER(A570)),"Date not recognized",IF(YEAR(A570)&lt;&gt;Settings!$C$4,"Not in "&amp;Settings!$C$4,IF(C570="","Category missing",IF(H570="",IF(COUNTIF(Categories!$A$6:$A$65,C570)&gt;0,"Category has no type","Category not in list"),IF(D570="","Amount missing",IF(NOT(ISNUMBER(D570)),"Amount is not a number",IF(F570="","",IF(ISNA(MATCH(F570,Lists!$G$2:$G$25,0)),"Goal / fund not in list",IF(H570="Income","Fund tag ignored on income","")))))))))))</f>
        <v/>
      </c>
    </row>
    <row r="571">
      <c r="A571" s="27" t="n">
        <v>46332</v>
      </c>
      <c r="B571" s="23" t="inlineStr">
        <is>
          <t>Birthday present</t>
        </is>
      </c>
      <c r="C571" s="23" t="inlineStr">
        <is>
          <t>Gifts</t>
        </is>
      </c>
      <c r="D571" s="28" t="n">
        <v>32.75</v>
      </c>
      <c r="E571" s="23" t="inlineStr">
        <is>
          <t>Credit card</t>
        </is>
      </c>
      <c r="F571" s="23" t="n"/>
      <c r="G571" s="23" t="n"/>
      <c r="H571" s="29">
        <f>IF(C571="","",IFERROR(INDEX(Categories!$B$6:$B$65,MATCH(C571,Categories!$A$6:$A$65,0))&amp;"",""))</f>
        <v/>
      </c>
      <c r="I571" s="25">
        <f>IF(AND(A571="",C571="",D571=""),"",IF(A571="","Date missing",IF(NOT(ISNUMBER(A571)),"Date not recognized",IF(YEAR(A571)&lt;&gt;Settings!$C$4,"Not in "&amp;Settings!$C$4,IF(C571="","Category missing",IF(H571="",IF(COUNTIF(Categories!$A$6:$A$65,C571)&gt;0,"Category has no type","Category not in list"),IF(D571="","Amount missing",IF(NOT(ISNUMBER(D571)),"Amount is not a number",IF(F571="","",IF(ISNA(MATCH(F571,Lists!$G$2:$G$25,0)),"Goal / fund not in list",IF(H571="Income","Fund tag ignored on income","")))))))))))</f>
        <v/>
      </c>
    </row>
    <row r="572">
      <c r="A572" s="27" t="n">
        <v>46333</v>
      </c>
      <c r="B572" s="23" t="inlineStr">
        <is>
          <t>Music streaming</t>
        </is>
      </c>
      <c r="C572" s="23" t="inlineStr">
        <is>
          <t>Subscriptions</t>
        </is>
      </c>
      <c r="D572" s="28" t="n">
        <v>10.99</v>
      </c>
      <c r="E572" s="23" t="inlineStr">
        <is>
          <t>Credit card</t>
        </is>
      </c>
      <c r="F572" s="23" t="n"/>
      <c r="G572" s="23" t="n"/>
      <c r="H572" s="29">
        <f>IF(C572="","",IFERROR(INDEX(Categories!$B$6:$B$65,MATCH(C572,Categories!$A$6:$A$65,0))&amp;"",""))</f>
        <v/>
      </c>
      <c r="I572" s="25">
        <f>IF(AND(A572="",C572="",D572=""),"",IF(A572="","Date missing",IF(NOT(ISNUMBER(A572)),"Date not recognized",IF(YEAR(A572)&lt;&gt;Settings!$C$4,"Not in "&amp;Settings!$C$4,IF(C572="","Category missing",IF(H572="",IF(COUNTIF(Categories!$A$6:$A$65,C572)&gt;0,"Category has no type","Category not in list"),IF(D572="","Amount missing",IF(NOT(ISNUMBER(D572)),"Amount is not a number",IF(F572="","",IF(ISNA(MATCH(F572,Lists!$G$2:$G$25,0)),"Goal / fund not in list",IF(H572="Income","Fund tag ignored on income","")))))))))))</f>
        <v/>
      </c>
    </row>
    <row r="573">
      <c r="A573" s="27" t="n">
        <v>46333</v>
      </c>
      <c r="B573" s="23" t="inlineStr">
        <is>
          <t>Concert</t>
        </is>
      </c>
      <c r="C573" s="23" t="inlineStr">
        <is>
          <t>Entertainment</t>
        </is>
      </c>
      <c r="D573" s="28" t="n">
        <v>17.33</v>
      </c>
      <c r="E573" s="23" t="inlineStr">
        <is>
          <t>Credit card</t>
        </is>
      </c>
      <c r="F573" s="23" t="n"/>
      <c r="G573" s="23" t="n"/>
      <c r="H573" s="29">
        <f>IF(C573="","",IFERROR(INDEX(Categories!$B$6:$B$65,MATCH(C573,Categories!$A$6:$A$65,0))&amp;"",""))</f>
        <v/>
      </c>
      <c r="I573" s="25">
        <f>IF(AND(A573="",C573="",D573=""),"",IF(A573="","Date missing",IF(NOT(ISNUMBER(A573)),"Date not recognized",IF(YEAR(A573)&lt;&gt;Settings!$C$4,"Not in "&amp;Settings!$C$4,IF(C573="","Category missing",IF(H573="",IF(COUNTIF(Categories!$A$6:$A$65,C573)&gt;0,"Category has no type","Category not in list"),IF(D573="","Amount missing",IF(NOT(ISNUMBER(D573)),"Amount is not a number",IF(F573="","",IF(ISNA(MATCH(F573,Lists!$G$2:$G$25,0)),"Goal / fund not in list",IF(H573="Income","Fund tag ignored on income","")))))))))))</f>
        <v/>
      </c>
    </row>
    <row r="574">
      <c r="A574" s="27" t="n">
        <v>46333</v>
      </c>
      <c r="B574" s="23" t="inlineStr">
        <is>
          <t>T-shirts</t>
        </is>
      </c>
      <c r="C574" s="23" t="inlineStr">
        <is>
          <t>Clothing</t>
        </is>
      </c>
      <c r="D574" s="28" t="n">
        <v>27.9</v>
      </c>
      <c r="E574" s="23" t="inlineStr">
        <is>
          <t>Credit card</t>
        </is>
      </c>
      <c r="F574" s="23" t="n"/>
      <c r="G574" s="23" t="n"/>
      <c r="H574" s="29">
        <f>IF(C574="","",IFERROR(INDEX(Categories!$B$6:$B$65,MATCH(C574,Categories!$A$6:$A$65,0))&amp;"",""))</f>
        <v/>
      </c>
      <c r="I574" s="25">
        <f>IF(AND(A574="",C574="",D574=""),"",IF(A574="","Date missing",IF(NOT(ISNUMBER(A574)),"Date not recognized",IF(YEAR(A574)&lt;&gt;Settings!$C$4,"Not in "&amp;Settings!$C$4,IF(C574="","Category missing",IF(H574="",IF(COUNTIF(Categories!$A$6:$A$65,C574)&gt;0,"Category has no type","Category not in list"),IF(D574="","Amount missing",IF(NOT(ISNUMBER(D574)),"Amount is not a number",IF(F574="","",IF(ISNA(MATCH(F574,Lists!$G$2:$G$25,0)),"Goal / fund not in list",IF(H574="Income","Fund tag ignored on income","")))))))))))</f>
        <v/>
      </c>
    </row>
    <row r="575">
      <c r="A575" s="27" t="n">
        <v>46335</v>
      </c>
      <c r="B575" s="23" t="inlineStr">
        <is>
          <t>Pet food</t>
        </is>
      </c>
      <c r="C575" s="23" t="inlineStr">
        <is>
          <t>Pets</t>
        </is>
      </c>
      <c r="D575" s="28" t="n">
        <v>45.65</v>
      </c>
      <c r="E575" s="23" t="inlineStr">
        <is>
          <t>Debit card</t>
        </is>
      </c>
      <c r="F575" s="23" t="n"/>
      <c r="G575" s="23" t="n"/>
      <c r="H575" s="29">
        <f>IF(C575="","",IFERROR(INDEX(Categories!$B$6:$B$65,MATCH(C575,Categories!$A$6:$A$65,0))&amp;"",""))</f>
        <v/>
      </c>
      <c r="I575" s="25">
        <f>IF(AND(A575="",C575="",D575=""),"",IF(A575="","Date missing",IF(NOT(ISNUMBER(A575)),"Date not recognized",IF(YEAR(A575)&lt;&gt;Settings!$C$4,"Not in "&amp;Settings!$C$4,IF(C575="","Category missing",IF(H575="",IF(COUNTIF(Categories!$A$6:$A$65,C575)&gt;0,"Category has no type","Category not in list"),IF(D575="","Amount missing",IF(NOT(ISNUMBER(D575)),"Amount is not a number",IF(F575="","",IF(ISNA(MATCH(F575,Lists!$G$2:$G$25,0)),"Goal / fund not in list",IF(H575="Income","Fund tag ignored on income","")))))))))))</f>
        <v/>
      </c>
    </row>
    <row r="576">
      <c r="A576" s="27" t="n">
        <v>46336</v>
      </c>
      <c r="B576" s="23" t="inlineStr">
        <is>
          <t>Car loan payment</t>
        </is>
      </c>
      <c r="C576" s="23" t="inlineStr">
        <is>
          <t>Car payment</t>
        </is>
      </c>
      <c r="D576" s="28" t="n">
        <v>389</v>
      </c>
      <c r="E576" s="23" t="inlineStr">
        <is>
          <t>Checking</t>
        </is>
      </c>
      <c r="F576" s="23" t="n"/>
      <c r="G576" s="23" t="n"/>
      <c r="H576" s="29">
        <f>IF(C576="","",IFERROR(INDEX(Categories!$B$6:$B$65,MATCH(C576,Categories!$A$6:$A$65,0))&amp;"",""))</f>
        <v/>
      </c>
      <c r="I576" s="25">
        <f>IF(AND(A576="",C576="",D576=""),"",IF(A576="","Date missing",IF(NOT(ISNUMBER(A576)),"Date not recognized",IF(YEAR(A576)&lt;&gt;Settings!$C$4,"Not in "&amp;Settings!$C$4,IF(C576="","Category missing",IF(H576="",IF(COUNTIF(Categories!$A$6:$A$65,C576)&gt;0,"Category has no type","Category not in list"),IF(D576="","Amount missing",IF(NOT(ISNUMBER(D576)),"Amount is not a number",IF(F576="","",IF(ISNA(MATCH(F576,Lists!$G$2:$G$25,0)),"Goal / fund not in list",IF(H576="Income","Fund tag ignored on income","")))))))))))</f>
        <v/>
      </c>
    </row>
    <row r="577">
      <c r="A577" s="27" t="n">
        <v>46336</v>
      </c>
      <c r="B577" s="23" t="inlineStr">
        <is>
          <t>Supermarket</t>
        </is>
      </c>
      <c r="C577" s="23" t="inlineStr">
        <is>
          <t>Groceries</t>
        </is>
      </c>
      <c r="D577" s="28" t="n">
        <v>177.46</v>
      </c>
      <c r="E577" s="23" t="inlineStr">
        <is>
          <t>Debit card</t>
        </is>
      </c>
      <c r="F577" s="23" t="n"/>
      <c r="G577" s="23" t="n"/>
      <c r="H577" s="29">
        <f>IF(C577="","",IFERROR(INDEX(Categories!$B$6:$B$65,MATCH(C577,Categories!$A$6:$A$65,0))&amp;"",""))</f>
        <v/>
      </c>
      <c r="I577" s="25">
        <f>IF(AND(A577="",C577="",D577=""),"",IF(A577="","Date missing",IF(NOT(ISNUMBER(A577)),"Date not recognized",IF(YEAR(A577)&lt;&gt;Settings!$C$4,"Not in "&amp;Settings!$C$4,IF(C577="","Category missing",IF(H577="",IF(COUNTIF(Categories!$A$6:$A$65,C577)&gt;0,"Category has no type","Category not in list"),IF(D577="","Amount missing",IF(NOT(ISNUMBER(D577)),"Amount is not a number",IF(F577="","",IF(ISNA(MATCH(F577,Lists!$G$2:$G$25,0)),"Goal / fund not in list",IF(H577="Income","Fund tag ignored on income","")))))))))))</f>
        <v/>
      </c>
    </row>
    <row r="578">
      <c r="A578" s="27" t="n">
        <v>46336</v>
      </c>
      <c r="B578" s="23" t="inlineStr">
        <is>
          <t>Haircut</t>
        </is>
      </c>
      <c r="C578" s="23" t="inlineStr">
        <is>
          <t>Personal care</t>
        </is>
      </c>
      <c r="D578" s="28" t="n">
        <v>39.11</v>
      </c>
      <c r="E578" s="23" t="inlineStr">
        <is>
          <t>Debit card</t>
        </is>
      </c>
      <c r="F578" s="23" t="n"/>
      <c r="G578" s="23" t="n"/>
      <c r="H578" s="29">
        <f>IF(C578="","",IFERROR(INDEX(Categories!$B$6:$B$65,MATCH(C578,Categories!$A$6:$A$65,0))&amp;"",""))</f>
        <v/>
      </c>
      <c r="I578" s="25">
        <f>IF(AND(A578="",C578="",D578=""),"",IF(A578="","Date missing",IF(NOT(ISNUMBER(A578)),"Date not recognized",IF(YEAR(A578)&lt;&gt;Settings!$C$4,"Not in "&amp;Settings!$C$4,IF(C578="","Category missing",IF(H578="",IF(COUNTIF(Categories!$A$6:$A$65,C578)&gt;0,"Category has no type","Category not in list"),IF(D578="","Amount missing",IF(NOT(ISNUMBER(D578)),"Amount is not a number",IF(F578="","",IF(ISNA(MATCH(F578,Lists!$G$2:$G$25,0)),"Goal / fund not in list",IF(H578="Income","Fund tag ignored on income","")))))))))))</f>
        <v/>
      </c>
    </row>
    <row r="579">
      <c r="A579" s="27" t="n">
        <v>46338</v>
      </c>
      <c r="B579" s="23" t="inlineStr">
        <is>
          <t>Internet</t>
        </is>
      </c>
      <c r="C579" s="23" t="inlineStr">
        <is>
          <t>Internet &amp; Phone</t>
        </is>
      </c>
      <c r="D579" s="28" t="n">
        <v>65</v>
      </c>
      <c r="E579" s="23" t="inlineStr">
        <is>
          <t>Checking</t>
        </is>
      </c>
      <c r="F579" s="23" t="n"/>
      <c r="G579" s="23" t="n"/>
      <c r="H579" s="29">
        <f>IF(C579="","",IFERROR(INDEX(Categories!$B$6:$B$65,MATCH(C579,Categories!$A$6:$A$65,0))&amp;"",""))</f>
        <v/>
      </c>
      <c r="I579" s="25">
        <f>IF(AND(A579="",C579="",D579=""),"",IF(A579="","Date missing",IF(NOT(ISNUMBER(A579)),"Date not recognized",IF(YEAR(A579)&lt;&gt;Settings!$C$4,"Not in "&amp;Settings!$C$4,IF(C579="","Category missing",IF(H579="",IF(COUNTIF(Categories!$A$6:$A$65,C579)&gt;0,"Category has no type","Category not in list"),IF(D579="","Amount missing",IF(NOT(ISNUMBER(D579)),"Amount is not a number",IF(F579="","",IF(ISNA(MATCH(F579,Lists!$G$2:$G$25,0)),"Goal / fund not in list",IF(H579="Income","Fund tag ignored on income","")))))))))))</f>
        <v/>
      </c>
    </row>
    <row r="580">
      <c r="A580" s="27" t="n">
        <v>46338</v>
      </c>
      <c r="B580" s="23" t="inlineStr">
        <is>
          <t>Lunch out</t>
        </is>
      </c>
      <c r="C580" s="23" t="inlineStr">
        <is>
          <t>Dining out</t>
        </is>
      </c>
      <c r="D580" s="28" t="n">
        <v>58.79</v>
      </c>
      <c r="E580" s="23" t="inlineStr">
        <is>
          <t>Credit card</t>
        </is>
      </c>
      <c r="F580" s="23" t="n"/>
      <c r="G580" s="23" t="n"/>
      <c r="H580" s="29">
        <f>IF(C580="","",IFERROR(INDEX(Categories!$B$6:$B$65,MATCH(C580,Categories!$A$6:$A$65,0))&amp;"",""))</f>
        <v/>
      </c>
      <c r="I580" s="25">
        <f>IF(AND(A580="",C580="",D580=""),"",IF(A580="","Date missing",IF(NOT(ISNUMBER(A580)),"Date not recognized",IF(YEAR(A580)&lt;&gt;Settings!$C$4,"Not in "&amp;Settings!$C$4,IF(C580="","Category missing",IF(H580="",IF(COUNTIF(Categories!$A$6:$A$65,C580)&gt;0,"Category has no type","Category not in list"),IF(D580="","Amount missing",IF(NOT(ISNUMBER(D580)),"Amount is not a number",IF(F580="","",IF(ISNA(MATCH(F580,Lists!$G$2:$G$25,0)),"Goal / fund not in list",IF(H580="Income","Fund tag ignored on income","")))))))))))</f>
        <v/>
      </c>
    </row>
    <row r="581">
      <c r="A581" s="27" t="n">
        <v>46338</v>
      </c>
      <c r="B581" s="23" t="inlineStr">
        <is>
          <t>Gas station</t>
        </is>
      </c>
      <c r="C581" s="23" t="inlineStr">
        <is>
          <t>Transport / Gas</t>
        </is>
      </c>
      <c r="D581" s="28" t="n">
        <v>53</v>
      </c>
      <c r="E581" s="23" t="inlineStr">
        <is>
          <t>Credit card</t>
        </is>
      </c>
      <c r="F581" s="23" t="n"/>
      <c r="G581" s="23" t="n"/>
      <c r="H581" s="29">
        <f>IF(C581="","",IFERROR(INDEX(Categories!$B$6:$B$65,MATCH(C581,Categories!$A$6:$A$65,0))&amp;"",""))</f>
        <v/>
      </c>
      <c r="I581" s="25">
        <f>IF(AND(A581="",C581="",D581=""),"",IF(A581="","Date missing",IF(NOT(ISNUMBER(A581)),"Date not recognized",IF(YEAR(A581)&lt;&gt;Settings!$C$4,"Not in "&amp;Settings!$C$4,IF(C581="","Category missing",IF(H581="",IF(COUNTIF(Categories!$A$6:$A$65,C581)&gt;0,"Category has no type","Category not in list"),IF(D581="","Amount missing",IF(NOT(ISNUMBER(D581)),"Amount is not a number",IF(F581="","",IF(ISNA(MATCH(F581,Lists!$G$2:$G$25,0)),"Goal / fund not in list",IF(H581="Income","Fund tag ignored on income","")))))))))))</f>
        <v/>
      </c>
    </row>
    <row r="582">
      <c r="A582" s="27" t="n">
        <v>46340</v>
      </c>
      <c r="B582" s="23" t="inlineStr">
        <is>
          <t>Phone plan</t>
        </is>
      </c>
      <c r="C582" s="23" t="inlineStr">
        <is>
          <t>Internet &amp; Phone</t>
        </is>
      </c>
      <c r="D582" s="28" t="n">
        <v>70</v>
      </c>
      <c r="E582" s="23" t="inlineStr">
        <is>
          <t>Credit card</t>
        </is>
      </c>
      <c r="F582" s="23" t="n"/>
      <c r="G582" s="23" t="n"/>
      <c r="H582" s="29">
        <f>IF(C582="","",IFERROR(INDEX(Categories!$B$6:$B$65,MATCH(C582,Categories!$A$6:$A$65,0))&amp;"",""))</f>
        <v/>
      </c>
      <c r="I582" s="25">
        <f>IF(AND(A582="",C582="",D582=""),"",IF(A582="","Date missing",IF(NOT(ISNUMBER(A582)),"Date not recognized",IF(YEAR(A582)&lt;&gt;Settings!$C$4,"Not in "&amp;Settings!$C$4,IF(C582="","Category missing",IF(H582="",IF(COUNTIF(Categories!$A$6:$A$65,C582)&gt;0,"Category has no type","Category not in list"),IF(D582="","Amount missing",IF(NOT(ISNUMBER(D582)),"Amount is not a number",IF(F582="","",IF(ISNA(MATCH(F582,Lists!$G$2:$G$25,0)),"Goal / fund not in list",IF(H582="Income","Fund tag ignored on income","")))))))))))</f>
        <v/>
      </c>
    </row>
    <row r="583">
      <c r="A583" s="27" t="n">
        <v>46341</v>
      </c>
      <c r="B583" s="23" t="inlineStr">
        <is>
          <t>Alex paycheck</t>
        </is>
      </c>
      <c r="C583" s="23" t="inlineStr">
        <is>
          <t>Paycheck 1</t>
        </is>
      </c>
      <c r="D583" s="28" t="n">
        <v>2100</v>
      </c>
      <c r="E583" s="23" t="inlineStr">
        <is>
          <t>Checking</t>
        </is>
      </c>
      <c r="F583" s="23" t="n"/>
      <c r="G583" s="23" t="n"/>
      <c r="H583" s="29">
        <f>IF(C583="","",IFERROR(INDEX(Categories!$B$6:$B$65,MATCH(C583,Categories!$A$6:$A$65,0))&amp;"",""))</f>
        <v/>
      </c>
      <c r="I583" s="25">
        <f>IF(AND(A583="",C583="",D583=""),"",IF(A583="","Date missing",IF(NOT(ISNUMBER(A583)),"Date not recognized",IF(YEAR(A583)&lt;&gt;Settings!$C$4,"Not in "&amp;Settings!$C$4,IF(C583="","Category missing",IF(H583="",IF(COUNTIF(Categories!$A$6:$A$65,C583)&gt;0,"Category has no type","Category not in list"),IF(D583="","Amount missing",IF(NOT(ISNUMBER(D583)),"Amount is not a number",IF(F583="","",IF(ISNA(MATCH(F583,Lists!$G$2:$G$25,0)),"Goal / fund not in list",IF(H583="Income","Fund tag ignored on income","")))))))))))</f>
        <v/>
      </c>
    </row>
    <row r="584">
      <c r="A584" s="27" t="n">
        <v>46342</v>
      </c>
      <c r="B584" s="23" t="inlineStr">
        <is>
          <t>Pizza night</t>
        </is>
      </c>
      <c r="C584" s="23" t="inlineStr">
        <is>
          <t>Dining out</t>
        </is>
      </c>
      <c r="D584" s="28" t="n">
        <v>12.43</v>
      </c>
      <c r="E584" s="23" t="inlineStr">
        <is>
          <t>Credit card</t>
        </is>
      </c>
      <c r="F584" s="23" t="n"/>
      <c r="G584" s="23" t="n"/>
      <c r="H584" s="29">
        <f>IF(C584="","",IFERROR(INDEX(Categories!$B$6:$B$65,MATCH(C584,Categories!$A$6:$A$65,0))&amp;"",""))</f>
        <v/>
      </c>
      <c r="I584" s="25">
        <f>IF(AND(A584="",C584="",D584=""),"",IF(A584="","Date missing",IF(NOT(ISNUMBER(A584)),"Date not recognized",IF(YEAR(A584)&lt;&gt;Settings!$C$4,"Not in "&amp;Settings!$C$4,IF(C584="","Category missing",IF(H584="",IF(COUNTIF(Categories!$A$6:$A$65,C584)&gt;0,"Category has no type","Category not in list"),IF(D584="","Amount missing",IF(NOT(ISNUMBER(D584)),"Amount is not a number",IF(F584="","",IF(ISNA(MATCH(F584,Lists!$G$2:$G$25,0)),"Goal / fund not in list",IF(H584="Income","Fund tag ignored on income","")))))))))))</f>
        <v/>
      </c>
    </row>
    <row r="585">
      <c r="A585" s="27" t="n">
        <v>46342</v>
      </c>
      <c r="B585" s="23" t="inlineStr">
        <is>
          <t>Office supplies</t>
        </is>
      </c>
      <c r="C585" s="23" t="inlineStr">
        <is>
          <t>Misc</t>
        </is>
      </c>
      <c r="D585" s="28" t="n">
        <v>34.6</v>
      </c>
      <c r="E585" s="23" t="inlineStr">
        <is>
          <t>Cash</t>
        </is>
      </c>
      <c r="F585" s="23" t="n"/>
      <c r="G585" s="23" t="n"/>
      <c r="H585" s="29">
        <f>IF(C585="","",IFERROR(INDEX(Categories!$B$6:$B$65,MATCH(C585,Categories!$A$6:$A$65,0))&amp;"",""))</f>
        <v/>
      </c>
      <c r="I585" s="25">
        <f>IF(AND(A585="",C585="",D585=""),"",IF(A585="","Date missing",IF(NOT(ISNUMBER(A585)),"Date not recognized",IF(YEAR(A585)&lt;&gt;Settings!$C$4,"Not in "&amp;Settings!$C$4,IF(C585="","Category missing",IF(H585="",IF(COUNTIF(Categories!$A$6:$A$65,C585)&gt;0,"Category has no type","Category not in list"),IF(D585="","Amount missing",IF(NOT(ISNUMBER(D585)),"Amount is not a number",IF(F585="","",IF(ISNA(MATCH(F585,Lists!$G$2:$G$25,0)),"Goal / fund not in list",IF(H585="Income","Fund tag ignored on income","")))))))))))</f>
        <v/>
      </c>
    </row>
    <row r="586">
      <c r="A586" s="27" t="n">
        <v>46343</v>
      </c>
      <c r="B586" s="23" t="inlineStr">
        <is>
          <t>Warehouse store</t>
        </is>
      </c>
      <c r="C586" s="23" t="inlineStr">
        <is>
          <t>Groceries</t>
        </is>
      </c>
      <c r="D586" s="28" t="n">
        <v>154.47</v>
      </c>
      <c r="E586" s="23" t="inlineStr">
        <is>
          <t>Debit card</t>
        </is>
      </c>
      <c r="F586" s="23" t="n"/>
      <c r="G586" s="23" t="n"/>
      <c r="H586" s="29">
        <f>IF(C586="","",IFERROR(INDEX(Categories!$B$6:$B$65,MATCH(C586,Categories!$A$6:$A$65,0))&amp;"",""))</f>
        <v/>
      </c>
      <c r="I586" s="25">
        <f>IF(AND(A586="",C586="",D586=""),"",IF(A586="","Date missing",IF(NOT(ISNUMBER(A586)),"Date not recognized",IF(YEAR(A586)&lt;&gt;Settings!$C$4,"Not in "&amp;Settings!$C$4,IF(C586="","Category missing",IF(H586="",IF(COUNTIF(Categories!$A$6:$A$65,C586)&gt;0,"Category has no type","Category not in list"),IF(D586="","Amount missing",IF(NOT(ISNUMBER(D586)),"Amount is not a number",IF(F586="","",IF(ISNA(MATCH(F586,Lists!$G$2:$G$25,0)),"Goal / fund not in list",IF(H586="Income","Fund tag ignored on income","")))))))))))</f>
        <v/>
      </c>
    </row>
    <row r="587">
      <c r="A587" s="27" t="n">
        <v>46344</v>
      </c>
      <c r="B587" s="23" t="inlineStr">
        <is>
          <t>Electric bill</t>
        </is>
      </c>
      <c r="C587" s="23" t="inlineStr">
        <is>
          <t>Utilities</t>
        </is>
      </c>
      <c r="D587" s="28" t="n">
        <v>87.37</v>
      </c>
      <c r="E587" s="23" t="inlineStr">
        <is>
          <t>Checking</t>
        </is>
      </c>
      <c r="F587" s="23" t="n"/>
      <c r="G587" s="23" t="n"/>
      <c r="H587" s="29">
        <f>IF(C587="","",IFERROR(INDEX(Categories!$B$6:$B$65,MATCH(C587,Categories!$A$6:$A$65,0))&amp;"",""))</f>
        <v/>
      </c>
      <c r="I587" s="25">
        <f>IF(AND(A587="",C587="",D587=""),"",IF(A587="","Date missing",IF(NOT(ISNUMBER(A587)),"Date not recognized",IF(YEAR(A587)&lt;&gt;Settings!$C$4,"Not in "&amp;Settings!$C$4,IF(C587="","Category missing",IF(H587="",IF(COUNTIF(Categories!$A$6:$A$65,C587)&gt;0,"Category has no type","Category not in list"),IF(D587="","Amount missing",IF(NOT(ISNUMBER(D587)),"Amount is not a number",IF(F587="","",IF(ISNA(MATCH(F587,Lists!$G$2:$G$25,0)),"Goal / fund not in list",IF(H587="Income","Fund tag ignored on income","")))))))))))</f>
        <v/>
      </c>
    </row>
    <row r="588">
      <c r="A588" s="27" t="n">
        <v>46346</v>
      </c>
      <c r="B588" s="23" t="inlineStr">
        <is>
          <t>Gas bill</t>
        </is>
      </c>
      <c r="C588" s="23" t="inlineStr">
        <is>
          <t>Utilities</t>
        </is>
      </c>
      <c r="D588" s="28" t="n">
        <v>80.01000000000001</v>
      </c>
      <c r="E588" s="23" t="inlineStr">
        <is>
          <t>Checking</t>
        </is>
      </c>
      <c r="F588" s="23" t="n"/>
      <c r="G588" s="23" t="n"/>
      <c r="H588" s="29">
        <f>IF(C588="","",IFERROR(INDEX(Categories!$B$6:$B$65,MATCH(C588,Categories!$A$6:$A$65,0))&amp;"",""))</f>
        <v/>
      </c>
      <c r="I588" s="25">
        <f>IF(AND(A588="",C588="",D588=""),"",IF(A588="","Date missing",IF(NOT(ISNUMBER(A588)),"Date not recognized",IF(YEAR(A588)&lt;&gt;Settings!$C$4,"Not in "&amp;Settings!$C$4,IF(C588="","Category missing",IF(H588="",IF(COUNTIF(Categories!$A$6:$A$65,C588)&gt;0,"Category has no type","Category not in list"),IF(D588="","Amount missing",IF(NOT(ISNUMBER(D588)),"Amount is not a number",IF(F588="","",IF(ISNA(MATCH(F588,Lists!$G$2:$G$25,0)),"Goal / fund not in list",IF(H588="Income","Fund tag ignored on income","")))))))))))</f>
        <v/>
      </c>
    </row>
    <row r="589">
      <c r="A589" s="27" t="n">
        <v>46346</v>
      </c>
      <c r="B589" s="23" t="inlineStr">
        <is>
          <t>Gas station</t>
        </is>
      </c>
      <c r="C589" s="23" t="inlineStr">
        <is>
          <t>Transport / Gas</t>
        </is>
      </c>
      <c r="D589" s="28" t="n">
        <v>41.07</v>
      </c>
      <c r="E589" s="23" t="inlineStr">
        <is>
          <t>Credit card</t>
        </is>
      </c>
      <c r="F589" s="23" t="n"/>
      <c r="G589" s="23" t="n"/>
      <c r="H589" s="29">
        <f>IF(C589="","",IFERROR(INDEX(Categories!$B$6:$B$65,MATCH(C589,Categories!$A$6:$A$65,0))&amp;"",""))</f>
        <v/>
      </c>
      <c r="I589" s="25">
        <f>IF(AND(A589="",C589="",D589=""),"",IF(A589="","Date missing",IF(NOT(ISNUMBER(A589)),"Date not recognized",IF(YEAR(A589)&lt;&gt;Settings!$C$4,"Not in "&amp;Settings!$C$4,IF(C589="","Category missing",IF(H589="",IF(COUNTIF(Categories!$A$6:$A$65,C589)&gt;0,"Category has no type","Category not in list"),IF(D589="","Amount missing",IF(NOT(ISNUMBER(D589)),"Amount is not a number",IF(F589="","",IF(ISNA(MATCH(F589,Lists!$G$2:$G$25,0)),"Goal / fund not in list",IF(H589="Income","Fund tag ignored on income","")))))))))))</f>
        <v/>
      </c>
    </row>
    <row r="590">
      <c r="A590" s="27" t="n">
        <v>46346</v>
      </c>
      <c r="B590" s="23" t="inlineStr">
        <is>
          <t>Parking</t>
        </is>
      </c>
      <c r="C590" s="23" t="inlineStr">
        <is>
          <t>Transport / Gas</t>
        </is>
      </c>
      <c r="D590" s="28" t="n">
        <v>11.4</v>
      </c>
      <c r="E590" s="23" t="inlineStr">
        <is>
          <t>Cash</t>
        </is>
      </c>
      <c r="F590" s="23" t="n"/>
      <c r="G590" s="23" t="n"/>
      <c r="H590" s="29">
        <f>IF(C590="","",IFERROR(INDEX(Categories!$B$6:$B$65,MATCH(C590,Categories!$A$6:$A$65,0))&amp;"",""))</f>
        <v/>
      </c>
      <c r="I590" s="25">
        <f>IF(AND(A590="",C590="",D590=""),"",IF(A590="","Date missing",IF(NOT(ISNUMBER(A590)),"Date not recognized",IF(YEAR(A590)&lt;&gt;Settings!$C$4,"Not in "&amp;Settings!$C$4,IF(C590="","Category missing",IF(H590="",IF(COUNTIF(Categories!$A$6:$A$65,C590)&gt;0,"Category has no type","Category not in list"),IF(D590="","Amount missing",IF(NOT(ISNUMBER(D590)),"Amount is not a number",IF(F590="","",IF(ISNA(MATCH(F590,Lists!$G$2:$G$25,0)),"Goal / fund not in list",IF(H590="Income","Fund tag ignored on income","")))))))))))</f>
        <v/>
      </c>
    </row>
    <row r="591">
      <c r="A591" s="27" t="n">
        <v>46346</v>
      </c>
      <c r="B591" s="23" t="inlineStr">
        <is>
          <t>Museum</t>
        </is>
      </c>
      <c r="C591" s="23" t="inlineStr">
        <is>
          <t>Entertainment</t>
        </is>
      </c>
      <c r="D591" s="28" t="n">
        <v>16.22</v>
      </c>
      <c r="E591" s="23" t="inlineStr">
        <is>
          <t>Credit card</t>
        </is>
      </c>
      <c r="F591" s="23" t="n"/>
      <c r="G591" s="23" t="n"/>
      <c r="H591" s="29">
        <f>IF(C591="","",IFERROR(INDEX(Categories!$B$6:$B$65,MATCH(C591,Categories!$A$6:$A$65,0))&amp;"",""))</f>
        <v/>
      </c>
      <c r="I591" s="25">
        <f>IF(AND(A591="",C591="",D591=""),"",IF(A591="","Date missing",IF(NOT(ISNUMBER(A591)),"Date not recognized",IF(YEAR(A591)&lt;&gt;Settings!$C$4,"Not in "&amp;Settings!$C$4,IF(C591="","Category missing",IF(H591="",IF(COUNTIF(Categories!$A$6:$A$65,C591)&gt;0,"Category has no type","Category not in list"),IF(D591="","Amount missing",IF(NOT(ISNUMBER(D591)),"Amount is not a number",IF(F591="","",IF(ISNA(MATCH(F591,Lists!$G$2:$G$25,0)),"Goal / fund not in list",IF(H591="Income","Fund tag ignored on income","")))))))))))</f>
        <v/>
      </c>
    </row>
    <row r="592">
      <c r="A592" s="27" t="n">
        <v>46346</v>
      </c>
      <c r="B592" s="23" t="inlineStr">
        <is>
          <t>Credit card payment + extra</t>
        </is>
      </c>
      <c r="C592" s="23" t="inlineStr">
        <is>
          <t>Debt payments</t>
        </is>
      </c>
      <c r="D592" s="28" t="n">
        <v>260</v>
      </c>
      <c r="E592" s="23" t="inlineStr">
        <is>
          <t>Checking</t>
        </is>
      </c>
      <c r="F592" s="23" t="n"/>
      <c r="G592" s="23" t="n"/>
      <c r="H592" s="29">
        <f>IF(C592="","",IFERROR(INDEX(Categories!$B$6:$B$65,MATCH(C592,Categories!$A$6:$A$65,0))&amp;"",""))</f>
        <v/>
      </c>
      <c r="I592" s="25">
        <f>IF(AND(A592="",C592="",D592=""),"",IF(A592="","Date missing",IF(NOT(ISNUMBER(A592)),"Date not recognized",IF(YEAR(A592)&lt;&gt;Settings!$C$4,"Not in "&amp;Settings!$C$4,IF(C592="","Category missing",IF(H592="",IF(COUNTIF(Categories!$A$6:$A$65,C592)&gt;0,"Category has no type","Category not in list"),IF(D592="","Amount missing",IF(NOT(ISNUMBER(D592)),"Amount is not a number",IF(F592="","",IF(ISNA(MATCH(F592,Lists!$G$2:$G$25,0)),"Goal / fund not in list",IF(H592="Income","Fund tag ignored on income","")))))))))))</f>
        <v/>
      </c>
    </row>
    <row r="593">
      <c r="A593" s="27" t="n">
        <v>46346</v>
      </c>
      <c r="B593" s="23" t="inlineStr">
        <is>
          <t>Medical bill installment</t>
        </is>
      </c>
      <c r="C593" s="23" t="inlineStr">
        <is>
          <t>Debt payments</t>
        </is>
      </c>
      <c r="D593" s="28" t="n">
        <v>40</v>
      </c>
      <c r="E593" s="23" t="inlineStr">
        <is>
          <t>Checking</t>
        </is>
      </c>
      <c r="F593" s="23" t="n"/>
      <c r="G593" s="23" t="n"/>
      <c r="H593" s="29">
        <f>IF(C593="","",IFERROR(INDEX(Categories!$B$6:$B$65,MATCH(C593,Categories!$A$6:$A$65,0))&amp;"",""))</f>
        <v/>
      </c>
      <c r="I593" s="25">
        <f>IF(AND(A593="",C593="",D593=""),"",IF(A593="","Date missing",IF(NOT(ISNUMBER(A593)),"Date not recognized",IF(YEAR(A593)&lt;&gt;Settings!$C$4,"Not in "&amp;Settings!$C$4,IF(C593="","Category missing",IF(H593="",IF(COUNTIF(Categories!$A$6:$A$65,C593)&gt;0,"Category has no type","Category not in list"),IF(D593="","Amount missing",IF(NOT(ISNUMBER(D593)),"Amount is not a number",IF(F593="","",IF(ISNA(MATCH(F593,Lists!$G$2:$G$25,0)),"Goal / fund not in list",IF(H593="Income","Fund tag ignored on income","")))))))))))</f>
        <v/>
      </c>
    </row>
    <row r="594">
      <c r="A594" s="27" t="n">
        <v>46347</v>
      </c>
      <c r="B594" s="23" t="inlineStr">
        <is>
          <t>Sold old bike</t>
        </is>
      </c>
      <c r="C594" s="23" t="inlineStr">
        <is>
          <t>Side income</t>
        </is>
      </c>
      <c r="D594" s="28" t="n">
        <v>431.96</v>
      </c>
      <c r="E594" s="23" t="inlineStr">
        <is>
          <t>Checking</t>
        </is>
      </c>
      <c r="F594" s="23" t="n"/>
      <c r="G594" s="23" t="n"/>
      <c r="H594" s="29">
        <f>IF(C594="","",IFERROR(INDEX(Categories!$B$6:$B$65,MATCH(C594,Categories!$A$6:$A$65,0))&amp;"",""))</f>
        <v/>
      </c>
      <c r="I594" s="25">
        <f>IF(AND(A594="",C594="",D594=""),"",IF(A594="","Date missing",IF(NOT(ISNUMBER(A594)),"Date not recognized",IF(YEAR(A594)&lt;&gt;Settings!$C$4,"Not in "&amp;Settings!$C$4,IF(C594="","Category missing",IF(H594="",IF(COUNTIF(Categories!$A$6:$A$65,C594)&gt;0,"Category has no type","Category not in list"),IF(D594="","Amount missing",IF(NOT(ISNUMBER(D594)),"Amount is not a number",IF(F594="","",IF(ISNA(MATCH(F594,Lists!$G$2:$G$25,0)),"Goal / fund not in list",IF(H594="Income","Fund tag ignored on income","")))))))))))</f>
        <v/>
      </c>
    </row>
    <row r="595">
      <c r="A595" s="27" t="n">
        <v>46347</v>
      </c>
      <c r="B595" s="23" t="inlineStr">
        <is>
          <t>Personal loan payment</t>
        </is>
      </c>
      <c r="C595" s="23" t="inlineStr">
        <is>
          <t>Debt payments</t>
        </is>
      </c>
      <c r="D595" s="28" t="n">
        <v>210</v>
      </c>
      <c r="E595" s="23" t="inlineStr">
        <is>
          <t>Checking</t>
        </is>
      </c>
      <c r="F595" s="23" t="n"/>
      <c r="G595" s="23" t="n"/>
      <c r="H595" s="29">
        <f>IF(C595="","",IFERROR(INDEX(Categories!$B$6:$B$65,MATCH(C595,Categories!$A$6:$A$65,0))&amp;"",""))</f>
        <v/>
      </c>
      <c r="I595" s="25">
        <f>IF(AND(A595="",C595="",D595=""),"",IF(A595="","Date missing",IF(NOT(ISNUMBER(A595)),"Date not recognized",IF(YEAR(A595)&lt;&gt;Settings!$C$4,"Not in "&amp;Settings!$C$4,IF(C595="","Category missing",IF(H595="",IF(COUNTIF(Categories!$A$6:$A$65,C595)&gt;0,"Category has no type","Category not in list"),IF(D595="","Amount missing",IF(NOT(ISNUMBER(D595)),"Amount is not a number",IF(F595="","",IF(ISNA(MATCH(F595,Lists!$G$2:$G$25,0)),"Goal / fund not in list",IF(H595="Income","Fund tag ignored on income","")))))))))))</f>
        <v/>
      </c>
    </row>
    <row r="596">
      <c r="A596" s="27" t="n">
        <v>46348</v>
      </c>
      <c r="B596" s="23" t="inlineStr">
        <is>
          <t>Water &amp; trash</t>
        </is>
      </c>
      <c r="C596" s="23" t="inlineStr">
        <is>
          <t>Utilities</t>
        </is>
      </c>
      <c r="D596" s="28" t="n">
        <v>54.3</v>
      </c>
      <c r="E596" s="23" t="inlineStr">
        <is>
          <t>Checking</t>
        </is>
      </c>
      <c r="F596" s="23" t="n"/>
      <c r="G596" s="23" t="n"/>
      <c r="H596" s="29">
        <f>IF(C596="","",IFERROR(INDEX(Categories!$B$6:$B$65,MATCH(C596,Categories!$A$6:$A$65,0))&amp;"",""))</f>
        <v/>
      </c>
      <c r="I596" s="25">
        <f>IF(AND(A596="",C596="",D596=""),"",IF(A596="","Date missing",IF(NOT(ISNUMBER(A596)),"Date not recognized",IF(YEAR(A596)&lt;&gt;Settings!$C$4,"Not in "&amp;Settings!$C$4,IF(C596="","Category missing",IF(H596="",IF(COUNTIF(Categories!$A$6:$A$65,C596)&gt;0,"Category has no type","Category not in list"),IF(D596="","Amount missing",IF(NOT(ISNUMBER(D596)),"Amount is not a number",IF(F596="","",IF(ISNA(MATCH(F596,Lists!$G$2:$G$25,0)),"Goal / fund not in list",IF(H596="Income","Fund tag ignored on income","")))))))))))</f>
        <v/>
      </c>
    </row>
    <row r="597">
      <c r="A597" s="27" t="n">
        <v>46349</v>
      </c>
      <c r="B597" s="23" t="inlineStr">
        <is>
          <t>Brunch</t>
        </is>
      </c>
      <c r="C597" s="23" t="inlineStr">
        <is>
          <t>Dining out</t>
        </is>
      </c>
      <c r="D597" s="28" t="n">
        <v>28.4</v>
      </c>
      <c r="E597" s="23" t="inlineStr">
        <is>
          <t>Credit card</t>
        </is>
      </c>
      <c r="F597" s="23" t="n"/>
      <c r="G597" s="23" t="n"/>
      <c r="H597" s="29">
        <f>IF(C597="","",IFERROR(INDEX(Categories!$B$6:$B$65,MATCH(C597,Categories!$A$6:$A$65,0))&amp;"",""))</f>
        <v/>
      </c>
      <c r="I597" s="25">
        <f>IF(AND(A597="",C597="",D597=""),"",IF(A597="","Date missing",IF(NOT(ISNUMBER(A597)),"Date not recognized",IF(YEAR(A597)&lt;&gt;Settings!$C$4,"Not in "&amp;Settings!$C$4,IF(C597="","Category missing",IF(H597="",IF(COUNTIF(Categories!$A$6:$A$65,C597)&gt;0,"Category has no type","Category not in list"),IF(D597="","Amount missing",IF(NOT(ISNUMBER(D597)),"Amount is not a number",IF(F597="","",IF(ISNA(MATCH(F597,Lists!$G$2:$G$25,0)),"Goal / fund not in list",IF(H597="Income","Fund tag ignored on income","")))))))))))</f>
        <v/>
      </c>
    </row>
    <row r="598">
      <c r="A598" s="27" t="n">
        <v>46350</v>
      </c>
      <c r="B598" s="23" t="inlineStr">
        <is>
          <t>Farmers market</t>
        </is>
      </c>
      <c r="C598" s="23" t="inlineStr">
        <is>
          <t>Groceries</t>
        </is>
      </c>
      <c r="D598" s="28" t="n">
        <v>153.78</v>
      </c>
      <c r="E598" s="23" t="inlineStr">
        <is>
          <t>Debit card</t>
        </is>
      </c>
      <c r="F598" s="23" t="n"/>
      <c r="G598" s="23" t="n"/>
      <c r="H598" s="29">
        <f>IF(C598="","",IFERROR(INDEX(Categories!$B$6:$B$65,MATCH(C598,Categories!$A$6:$A$65,0))&amp;"",""))</f>
        <v/>
      </c>
      <c r="I598" s="25">
        <f>IF(AND(A598="",C598="",D598=""),"",IF(A598="","Date missing",IF(NOT(ISNUMBER(A598)),"Date not recognized",IF(YEAR(A598)&lt;&gt;Settings!$C$4,"Not in "&amp;Settings!$C$4,IF(C598="","Category missing",IF(H598="",IF(COUNTIF(Categories!$A$6:$A$65,C598)&gt;0,"Category has no type","Category not in list"),IF(D598="","Amount missing",IF(NOT(ISNUMBER(D598)),"Amount is not a number",IF(F598="","",IF(ISNA(MATCH(F598,Lists!$G$2:$G$25,0)),"Goal / fund not in list",IF(H598="Income","Fund tag ignored on income","")))))))))))</f>
        <v/>
      </c>
    </row>
    <row r="599">
      <c r="A599" s="27" t="n">
        <v>46351</v>
      </c>
      <c r="B599" s="23" t="inlineStr">
        <is>
          <t>Books and toys</t>
        </is>
      </c>
      <c r="C599" s="23" t="inlineStr">
        <is>
          <t>Kids</t>
        </is>
      </c>
      <c r="D599" s="28" t="n">
        <v>76.87</v>
      </c>
      <c r="E599" s="23" t="inlineStr">
        <is>
          <t>Debit card</t>
        </is>
      </c>
      <c r="F599" s="23" t="n"/>
      <c r="G599" s="23" t="n"/>
      <c r="H599" s="29">
        <f>IF(C599="","",IFERROR(INDEX(Categories!$B$6:$B$65,MATCH(C599,Categories!$A$6:$A$65,0))&amp;"",""))</f>
        <v/>
      </c>
      <c r="I599" s="25">
        <f>IF(AND(A599="",C599="",D599=""),"",IF(A599="","Date missing",IF(NOT(ISNUMBER(A599)),"Date not recognized",IF(YEAR(A599)&lt;&gt;Settings!$C$4,"Not in "&amp;Settings!$C$4,IF(C599="","Category missing",IF(H599="",IF(COUNTIF(Categories!$A$6:$A$65,C599)&gt;0,"Category has no type","Category not in list"),IF(D599="","Amount missing",IF(NOT(ISNUMBER(D599)),"Amount is not a number",IF(F599="","",IF(ISNA(MATCH(F599,Lists!$G$2:$G$25,0)),"Goal / fund not in list",IF(H599="Income","Fund tag ignored on income","")))))))))))</f>
        <v/>
      </c>
    </row>
    <row r="600">
      <c r="A600" s="27" t="n">
        <v>46351</v>
      </c>
      <c r="B600" s="23" t="inlineStr">
        <is>
          <t>Student loan payment</t>
        </is>
      </c>
      <c r="C600" s="23" t="inlineStr">
        <is>
          <t>Debt payments</t>
        </is>
      </c>
      <c r="D600" s="28" t="n">
        <v>165</v>
      </c>
      <c r="E600" s="23" t="inlineStr">
        <is>
          <t>Checking</t>
        </is>
      </c>
      <c r="F600" s="23" t="n"/>
      <c r="G600" s="23" t="n"/>
      <c r="H600" s="29">
        <f>IF(C600="","",IFERROR(INDEX(Categories!$B$6:$B$65,MATCH(C600,Categories!$A$6:$A$65,0))&amp;"",""))</f>
        <v/>
      </c>
      <c r="I600" s="25">
        <f>IF(AND(A600="",C600="",D600=""),"",IF(A600="","Date missing",IF(NOT(ISNUMBER(A600)),"Date not recognized",IF(YEAR(A600)&lt;&gt;Settings!$C$4,"Not in "&amp;Settings!$C$4,IF(C600="","Category missing",IF(H600="",IF(COUNTIF(Categories!$A$6:$A$65,C600)&gt;0,"Category has no type","Category not in list"),IF(D600="","Amount missing",IF(NOT(ISNUMBER(D600)),"Amount is not a number",IF(F600="","",IF(ISNA(MATCH(F600,Lists!$G$2:$G$25,0)),"Goal / fund not in list",IF(H600="Income","Fund tag ignored on income","")))))))))))</f>
        <v/>
      </c>
    </row>
    <row r="601">
      <c r="A601" s="27" t="n">
        <v>46353</v>
      </c>
      <c r="B601" s="23" t="inlineStr">
        <is>
          <t>Gas station</t>
        </is>
      </c>
      <c r="C601" s="23" t="inlineStr">
        <is>
          <t>Transport / Gas</t>
        </is>
      </c>
      <c r="D601" s="28" t="n">
        <v>42.04</v>
      </c>
      <c r="E601" s="23" t="inlineStr">
        <is>
          <t>Credit card</t>
        </is>
      </c>
      <c r="F601" s="23" t="n"/>
      <c r="G601" s="23" t="n"/>
      <c r="H601" s="29">
        <f>IF(C601="","",IFERROR(INDEX(Categories!$B$6:$B$65,MATCH(C601,Categories!$A$6:$A$65,0))&amp;"",""))</f>
        <v/>
      </c>
      <c r="I601" s="25">
        <f>IF(AND(A601="",C601="",D601=""),"",IF(A601="","Date missing",IF(NOT(ISNUMBER(A601)),"Date not recognized",IF(YEAR(A601)&lt;&gt;Settings!$C$4,"Not in "&amp;Settings!$C$4,IF(C601="","Category missing",IF(H601="",IF(COUNTIF(Categories!$A$6:$A$65,C601)&gt;0,"Category has no type","Category not in list"),IF(D601="","Amount missing",IF(NOT(ISNUMBER(D601)),"Amount is not a number",IF(F601="","",IF(ISNA(MATCH(F601,Lists!$G$2:$G$25,0)),"Goal / fund not in list",IF(H601="Income","Fund tag ignored on income","")))))))))))</f>
        <v/>
      </c>
    </row>
    <row r="602">
      <c r="A602" s="27" t="n">
        <v>46354</v>
      </c>
      <c r="B602" s="23" t="inlineStr">
        <is>
          <t>Sam paycheck</t>
        </is>
      </c>
      <c r="C602" s="23" t="inlineStr">
        <is>
          <t>Paycheck 2</t>
        </is>
      </c>
      <c r="D602" s="28" t="n">
        <v>2950</v>
      </c>
      <c r="E602" s="23" t="inlineStr">
        <is>
          <t>Checking</t>
        </is>
      </c>
      <c r="F602" s="23" t="n"/>
      <c r="G602" s="23" t="n"/>
      <c r="H602" s="29">
        <f>IF(C602="","",IFERROR(INDEX(Categories!$B$6:$B$65,MATCH(C602,Categories!$A$6:$A$65,0))&amp;"",""))</f>
        <v/>
      </c>
      <c r="I602" s="25">
        <f>IF(AND(A602="",C602="",D602=""),"",IF(A602="","Date missing",IF(NOT(ISNUMBER(A602)),"Date not recognized",IF(YEAR(A602)&lt;&gt;Settings!$C$4,"Not in "&amp;Settings!$C$4,IF(C602="","Category missing",IF(H602="",IF(COUNTIF(Categories!$A$6:$A$65,C602)&gt;0,"Category has no type","Category not in list"),IF(D602="","Amount missing",IF(NOT(ISNUMBER(D602)),"Amount is not a number",IF(F602="","",IF(ISNA(MATCH(F602,Lists!$G$2:$G$25,0)),"Goal / fund not in list",IF(H602="Income","Fund tag ignored on income","")))))))))))</f>
        <v/>
      </c>
    </row>
    <row r="603">
      <c r="A603" s="27" t="n">
        <v>46354</v>
      </c>
      <c r="B603" s="23" t="inlineStr">
        <is>
          <t>Pizza night</t>
        </is>
      </c>
      <c r="C603" s="23" t="inlineStr">
        <is>
          <t>Dining out</t>
        </is>
      </c>
      <c r="D603" s="28" t="n">
        <v>33.95</v>
      </c>
      <c r="E603" s="23" t="inlineStr">
        <is>
          <t>Credit card</t>
        </is>
      </c>
      <c r="F603" s="23" t="n"/>
      <c r="G603" s="23" t="n"/>
      <c r="H603" s="29">
        <f>IF(C603="","",IFERROR(INDEX(Categories!$B$6:$B$65,MATCH(C603,Categories!$A$6:$A$65,0))&amp;"",""))</f>
        <v/>
      </c>
      <c r="I603" s="25">
        <f>IF(AND(A603="",C603="",D603=""),"",IF(A603="","Date missing",IF(NOT(ISNUMBER(A603)),"Date not recognized",IF(YEAR(A603)&lt;&gt;Settings!$C$4,"Not in "&amp;Settings!$C$4,IF(C603="","Category missing",IF(H603="",IF(COUNTIF(Categories!$A$6:$A$65,C603)&gt;0,"Category has no type","Category not in list"),IF(D603="","Amount missing",IF(NOT(ISNUMBER(D603)),"Amount is not a number",IF(F603="","",IF(ISNA(MATCH(F603,Lists!$G$2:$G$25,0)),"Goal / fund not in list",IF(H603="Income","Fund tag ignored on income","")))))))))))</f>
        <v/>
      </c>
    </row>
    <row r="604">
      <c r="A604" s="27" t="n">
        <v>46354</v>
      </c>
      <c r="B604" s="23" t="inlineStr">
        <is>
          <t>Toiletries</t>
        </is>
      </c>
      <c r="C604" s="23" t="inlineStr">
        <is>
          <t>Personal care</t>
        </is>
      </c>
      <c r="D604" s="28" t="n">
        <v>37.97</v>
      </c>
      <c r="E604" s="23" t="inlineStr">
        <is>
          <t>Debit card</t>
        </is>
      </c>
      <c r="F604" s="23" t="n"/>
      <c r="G604" s="23" t="n"/>
      <c r="H604" s="29">
        <f>IF(C604="","",IFERROR(INDEX(Categories!$B$6:$B$65,MATCH(C604,Categories!$A$6:$A$65,0))&amp;"",""))</f>
        <v/>
      </c>
      <c r="I604" s="25">
        <f>IF(AND(A604="",C604="",D604=""),"",IF(A604="","Date missing",IF(NOT(ISNUMBER(A604)),"Date not recognized",IF(YEAR(A604)&lt;&gt;Settings!$C$4,"Not in "&amp;Settings!$C$4,IF(C604="","Category missing",IF(H604="",IF(COUNTIF(Categories!$A$6:$A$65,C604)&gt;0,"Category has no type","Category not in list"),IF(D604="","Amount missing",IF(NOT(ISNUMBER(D604)),"Amount is not a number",IF(F604="","",IF(ISNA(MATCH(F604,Lists!$G$2:$G$25,0)),"Goal / fund not in list",IF(H604="Income","Fund tag ignored on income","")))))))))))</f>
        <v/>
      </c>
    </row>
    <row r="605">
      <c r="A605" s="27" t="n">
        <v>46357</v>
      </c>
      <c r="B605" s="23" t="inlineStr">
        <is>
          <t>Alex paycheck</t>
        </is>
      </c>
      <c r="C605" s="23" t="inlineStr">
        <is>
          <t>Paycheck 1</t>
        </is>
      </c>
      <c r="D605" s="28" t="n">
        <v>2100</v>
      </c>
      <c r="E605" s="23" t="inlineStr">
        <is>
          <t>Checking</t>
        </is>
      </c>
      <c r="F605" s="23" t="n"/>
      <c r="G605" s="23" t="n"/>
      <c r="H605" s="29">
        <f>IF(C605="","",IFERROR(INDEX(Categories!$B$6:$B$65,MATCH(C605,Categories!$A$6:$A$65,0))&amp;"",""))</f>
        <v/>
      </c>
      <c r="I605" s="25">
        <f>IF(AND(A605="",C605="",D605=""),"",IF(A605="","Date missing",IF(NOT(ISNUMBER(A605)),"Date not recognized",IF(YEAR(A605)&lt;&gt;Settings!$C$4,"Not in "&amp;Settings!$C$4,IF(C605="","Category missing",IF(H605="",IF(COUNTIF(Categories!$A$6:$A$65,C605)&gt;0,"Category has no type","Category not in list"),IF(D605="","Amount missing",IF(NOT(ISNUMBER(D605)),"Amount is not a number",IF(F605="","",IF(ISNA(MATCH(F605,Lists!$G$2:$G$25,0)),"Goal / fund not in list",IF(H605="Income","Fund tag ignored on income","")))))))))))</f>
        <v/>
      </c>
    </row>
    <row r="606">
      <c r="A606" s="27" t="n">
        <v>46357</v>
      </c>
      <c r="B606" s="23" t="inlineStr">
        <is>
          <t>Rent</t>
        </is>
      </c>
      <c r="C606" s="23" t="inlineStr">
        <is>
          <t>Rent / Mortgage</t>
        </is>
      </c>
      <c r="D606" s="28" t="n">
        <v>1850</v>
      </c>
      <c r="E606" s="23" t="inlineStr">
        <is>
          <t>Checking</t>
        </is>
      </c>
      <c r="F606" s="23" t="n"/>
      <c r="G606" s="23" t="n"/>
      <c r="H606" s="29">
        <f>IF(C606="","",IFERROR(INDEX(Categories!$B$6:$B$65,MATCH(C606,Categories!$A$6:$A$65,0))&amp;"",""))</f>
        <v/>
      </c>
      <c r="I606" s="25">
        <f>IF(AND(A606="",C606="",D606=""),"",IF(A606="","Date missing",IF(NOT(ISNUMBER(A606)),"Date not recognized",IF(YEAR(A606)&lt;&gt;Settings!$C$4,"Not in "&amp;Settings!$C$4,IF(C606="","Category missing",IF(H606="",IF(COUNTIF(Categories!$A$6:$A$65,C606)&gt;0,"Category has no type","Category not in list"),IF(D606="","Amount missing",IF(NOT(ISNUMBER(D606)),"Amount is not a number",IF(F606="","",IF(ISNA(MATCH(F606,Lists!$G$2:$G$25,0)),"Goal / fund not in list",IF(H606="Income","Fund tag ignored on income","")))))))))))</f>
        <v/>
      </c>
    </row>
    <row r="607">
      <c r="A607" s="27" t="n">
        <v>46357</v>
      </c>
      <c r="B607" s="23" t="inlineStr">
        <is>
          <t>After-school program</t>
        </is>
      </c>
      <c r="C607" s="23" t="inlineStr">
        <is>
          <t>Kids</t>
        </is>
      </c>
      <c r="D607" s="28" t="n">
        <v>320</v>
      </c>
      <c r="E607" s="23" t="inlineStr">
        <is>
          <t>Checking</t>
        </is>
      </c>
      <c r="F607" s="23" t="n"/>
      <c r="G607" s="23" t="n"/>
      <c r="H607" s="29">
        <f>IF(C607="","",IFERROR(INDEX(Categories!$B$6:$B$65,MATCH(C607,Categories!$A$6:$A$65,0))&amp;"",""))</f>
        <v/>
      </c>
      <c r="I607" s="25">
        <f>IF(AND(A607="",C607="",D607=""),"",IF(A607="","Date missing",IF(NOT(ISNUMBER(A607)),"Date not recognized",IF(YEAR(A607)&lt;&gt;Settings!$C$4,"Not in "&amp;Settings!$C$4,IF(C607="","Category missing",IF(H607="",IF(COUNTIF(Categories!$A$6:$A$65,C607)&gt;0,"Category has no type","Category not in list"),IF(D607="","Amount missing",IF(NOT(ISNUMBER(D607)),"Amount is not a number",IF(F607="","",IF(ISNA(MATCH(F607,Lists!$G$2:$G$25,0)),"Goal / fund not in list",IF(H607="Income","Fund tag ignored on income","")))))))))))</f>
        <v/>
      </c>
    </row>
    <row r="608">
      <c r="A608" s="27" t="n">
        <v>46358</v>
      </c>
      <c r="B608" s="23" t="inlineStr">
        <is>
          <t>Gym membership</t>
        </is>
      </c>
      <c r="C608" s="23" t="inlineStr">
        <is>
          <t>Subscriptions</t>
        </is>
      </c>
      <c r="D608" s="28" t="n">
        <v>45</v>
      </c>
      <c r="E608" s="23" t="inlineStr">
        <is>
          <t>Checking</t>
        </is>
      </c>
      <c r="F608" s="23" t="n"/>
      <c r="G608" s="23" t="n"/>
      <c r="H608" s="29">
        <f>IF(C608="","",IFERROR(INDEX(Categories!$B$6:$B$65,MATCH(C608,Categories!$A$6:$A$65,0))&amp;"",""))</f>
        <v/>
      </c>
      <c r="I608" s="25">
        <f>IF(AND(A608="",C608="",D608=""),"",IF(A608="","Date missing",IF(NOT(ISNUMBER(A608)),"Date not recognized",IF(YEAR(A608)&lt;&gt;Settings!$C$4,"Not in "&amp;Settings!$C$4,IF(C608="","Category missing",IF(H608="",IF(COUNTIF(Categories!$A$6:$A$65,C608)&gt;0,"Category has no type","Category not in list"),IF(D608="","Amount missing",IF(NOT(ISNUMBER(D608)),"Amount is not a number",IF(F608="","",IF(ISNA(MATCH(F608,Lists!$G$2:$G$25,0)),"Goal / fund not in list",IF(H608="Income","Fund tag ignored on income","")))))))))))</f>
        <v/>
      </c>
    </row>
    <row r="609">
      <c r="A609" s="27" t="n">
        <v>46358</v>
      </c>
      <c r="B609" s="23" t="inlineStr">
        <is>
          <t>Transfer to emergency fund</t>
        </is>
      </c>
      <c r="C609" s="23" t="inlineStr">
        <is>
          <t>Emergency fund</t>
        </is>
      </c>
      <c r="D609" s="28" t="n">
        <v>300</v>
      </c>
      <c r="E609" s="23" t="inlineStr">
        <is>
          <t>Savings</t>
        </is>
      </c>
      <c r="F609" s="23" t="inlineStr">
        <is>
          <t>Emergency fund</t>
        </is>
      </c>
      <c r="G609" s="23" t="n"/>
      <c r="H609" s="29">
        <f>IF(C609="","",IFERROR(INDEX(Categories!$B$6:$B$65,MATCH(C609,Categories!$A$6:$A$65,0))&amp;"",""))</f>
        <v/>
      </c>
      <c r="I609" s="25">
        <f>IF(AND(A609="",C609="",D609=""),"",IF(A609="","Date missing",IF(NOT(ISNUMBER(A609)),"Date not recognized",IF(YEAR(A609)&lt;&gt;Settings!$C$4,"Not in "&amp;Settings!$C$4,IF(C609="","Category missing",IF(H609="",IF(COUNTIF(Categories!$A$6:$A$65,C609)&gt;0,"Category has no type","Category not in list"),IF(D609="","Amount missing",IF(NOT(ISNUMBER(D609)),"Amount is not a number",IF(F609="","",IF(ISNA(MATCH(F609,Lists!$G$2:$G$25,0)),"Goal / fund not in list",IF(H609="Income","Fund tag ignored on income","")))))))))))</f>
        <v/>
      </c>
    </row>
    <row r="610">
      <c r="A610" s="27" t="n">
        <v>46358</v>
      </c>
      <c r="B610" s="23" t="inlineStr">
        <is>
          <t>Transfer: house fund</t>
        </is>
      </c>
      <c r="C610" s="23" t="inlineStr">
        <is>
          <t>Savings goals</t>
        </is>
      </c>
      <c r="D610" s="28" t="n">
        <v>300</v>
      </c>
      <c r="E610" s="23" t="inlineStr">
        <is>
          <t>Savings</t>
        </is>
      </c>
      <c r="F610" s="23" t="inlineStr">
        <is>
          <t>House down payment</t>
        </is>
      </c>
      <c r="G610" s="23" t="n"/>
      <c r="H610" s="29">
        <f>IF(C610="","",IFERROR(INDEX(Categories!$B$6:$B$65,MATCH(C610,Categories!$A$6:$A$65,0))&amp;"",""))</f>
        <v/>
      </c>
      <c r="I610" s="25">
        <f>IF(AND(A610="",C610="",D610=""),"",IF(A610="","Date missing",IF(NOT(ISNUMBER(A610)),"Date not recognized",IF(YEAR(A610)&lt;&gt;Settings!$C$4,"Not in "&amp;Settings!$C$4,IF(C610="","Category missing",IF(H610="",IF(COUNTIF(Categories!$A$6:$A$65,C610)&gt;0,"Category has no type","Category not in list"),IF(D610="","Amount missing",IF(NOT(ISNUMBER(D610)),"Amount is not a number",IF(F610="","",IF(ISNA(MATCH(F610,Lists!$G$2:$G$25,0)),"Goal / fund not in list",IF(H610="Income","Fund tag ignored on income","")))))))))))</f>
        <v/>
      </c>
    </row>
    <row r="611">
      <c r="A611" s="27" t="n">
        <v>46358</v>
      </c>
      <c r="B611" s="23" t="inlineStr">
        <is>
          <t>Transfer: laptop</t>
        </is>
      </c>
      <c r="C611" s="23" t="inlineStr">
        <is>
          <t>Savings goals</t>
        </is>
      </c>
      <c r="D611" s="28" t="n">
        <v>100</v>
      </c>
      <c r="E611" s="23" t="inlineStr">
        <is>
          <t>Savings</t>
        </is>
      </c>
      <c r="F611" s="23" t="inlineStr">
        <is>
          <t>New laptop</t>
        </is>
      </c>
      <c r="G611" s="23" t="n"/>
      <c r="H611" s="29">
        <f>IF(C611="","",IFERROR(INDEX(Categories!$B$6:$B$65,MATCH(C611,Categories!$A$6:$A$65,0))&amp;"",""))</f>
        <v/>
      </c>
      <c r="I611" s="25">
        <f>IF(AND(A611="",C611="",D611=""),"",IF(A611="","Date missing",IF(NOT(ISNUMBER(A611)),"Date not recognized",IF(YEAR(A611)&lt;&gt;Settings!$C$4,"Not in "&amp;Settings!$C$4,IF(C611="","Category missing",IF(H611="",IF(COUNTIF(Categories!$A$6:$A$65,C611)&gt;0,"Category has no type","Category not in list"),IF(D611="","Amount missing",IF(NOT(ISNUMBER(D611)),"Amount is not a number",IF(F611="","",IF(ISNA(MATCH(F611,Lists!$G$2:$G$25,0)),"Goal / fund not in list",IF(H611="Income","Fund tag ignored on income","")))))))))))</f>
        <v/>
      </c>
    </row>
    <row r="612">
      <c r="A612" s="27" t="n">
        <v>46358</v>
      </c>
      <c r="B612" s="23" t="inlineStr">
        <is>
          <t>Set aside: car maintenance</t>
        </is>
      </c>
      <c r="C612" s="23" t="inlineStr">
        <is>
          <t>Sinking funds</t>
        </is>
      </c>
      <c r="D612" s="28" t="n">
        <v>60</v>
      </c>
      <c r="E612" s="23" t="inlineStr">
        <is>
          <t>Savings</t>
        </is>
      </c>
      <c r="F612" s="23" t="inlineStr">
        <is>
          <t>Car maintenance</t>
        </is>
      </c>
      <c r="G612" s="23" t="n"/>
      <c r="H612" s="29">
        <f>IF(C612="","",IFERROR(INDEX(Categories!$B$6:$B$65,MATCH(C612,Categories!$A$6:$A$65,0))&amp;"",""))</f>
        <v/>
      </c>
      <c r="I612" s="25">
        <f>IF(AND(A612="",C612="",D612=""),"",IF(A612="","Date missing",IF(NOT(ISNUMBER(A612)),"Date not recognized",IF(YEAR(A612)&lt;&gt;Settings!$C$4,"Not in "&amp;Settings!$C$4,IF(C612="","Category missing",IF(H612="",IF(COUNTIF(Categories!$A$6:$A$65,C612)&gt;0,"Category has no type","Category not in list"),IF(D612="","Amount missing",IF(NOT(ISNUMBER(D612)),"Amount is not a number",IF(F612="","",IF(ISNA(MATCH(F612,Lists!$G$2:$G$25,0)),"Goal / fund not in list",IF(H612="Income","Fund tag ignored on income","")))))))))))</f>
        <v/>
      </c>
    </row>
    <row r="613">
      <c r="A613" s="27" t="n">
        <v>46358</v>
      </c>
      <c r="B613" s="23" t="inlineStr">
        <is>
          <t>Set aside: holiday gifts</t>
        </is>
      </c>
      <c r="C613" s="23" t="inlineStr">
        <is>
          <t>Sinking funds</t>
        </is>
      </c>
      <c r="D613" s="28" t="n">
        <v>50</v>
      </c>
      <c r="E613" s="23" t="inlineStr">
        <is>
          <t>Savings</t>
        </is>
      </c>
      <c r="F613" s="23" t="inlineStr">
        <is>
          <t>Holiday gifts</t>
        </is>
      </c>
      <c r="G613" s="23" t="n"/>
      <c r="H613" s="29">
        <f>IF(C613="","",IFERROR(INDEX(Categories!$B$6:$B$65,MATCH(C613,Categories!$A$6:$A$65,0))&amp;"",""))</f>
        <v/>
      </c>
      <c r="I613" s="25">
        <f>IF(AND(A613="",C613="",D613=""),"",IF(A613="","Date missing",IF(NOT(ISNUMBER(A613)),"Date not recognized",IF(YEAR(A613)&lt;&gt;Settings!$C$4,"Not in "&amp;Settings!$C$4,IF(C613="","Category missing",IF(H613="",IF(COUNTIF(Categories!$A$6:$A$65,C613)&gt;0,"Category has no type","Category not in list"),IF(D613="","Amount missing",IF(NOT(ISNUMBER(D613)),"Amount is not a number",IF(F613="","",IF(ISNA(MATCH(F613,Lists!$G$2:$G$25,0)),"Goal / fund not in list",IF(H613="Income","Fund tag ignored on income","")))))))))))</f>
        <v/>
      </c>
    </row>
    <row r="614">
      <c r="A614" s="27" t="n">
        <v>46358</v>
      </c>
      <c r="B614" s="23" t="inlineStr">
        <is>
          <t>Set aside: summer vacation</t>
        </is>
      </c>
      <c r="C614" s="23" t="inlineStr">
        <is>
          <t>Sinking funds</t>
        </is>
      </c>
      <c r="D614" s="28" t="n">
        <v>150</v>
      </c>
      <c r="E614" s="23" t="inlineStr">
        <is>
          <t>Savings</t>
        </is>
      </c>
      <c r="F614" s="23" t="inlineStr">
        <is>
          <t>Summer vacation</t>
        </is>
      </c>
      <c r="G614" s="23" t="n"/>
      <c r="H614" s="29">
        <f>IF(C614="","",IFERROR(INDEX(Categories!$B$6:$B$65,MATCH(C614,Categories!$A$6:$A$65,0))&amp;"",""))</f>
        <v/>
      </c>
      <c r="I614" s="25">
        <f>IF(AND(A614="",C614="",D614=""),"",IF(A614="","Date missing",IF(NOT(ISNUMBER(A614)),"Date not recognized",IF(YEAR(A614)&lt;&gt;Settings!$C$4,"Not in "&amp;Settings!$C$4,IF(C614="","Category missing",IF(H614="",IF(COUNTIF(Categories!$A$6:$A$65,C614)&gt;0,"Category has no type","Category not in list"),IF(D614="","Amount missing",IF(NOT(ISNUMBER(D614)),"Amount is not a number",IF(F614="","",IF(ISNA(MATCH(F614,Lists!$G$2:$G$25,0)),"Goal / fund not in list",IF(H614="Income","Fund tag ignored on income","")))))))))))</f>
        <v/>
      </c>
    </row>
    <row r="615">
      <c r="A615" s="27" t="n">
        <v>46358</v>
      </c>
      <c r="B615" s="23" t="inlineStr">
        <is>
          <t>Set aside: home repairs</t>
        </is>
      </c>
      <c r="C615" s="23" t="inlineStr">
        <is>
          <t>Sinking funds</t>
        </is>
      </c>
      <c r="D615" s="28" t="n">
        <v>40</v>
      </c>
      <c r="E615" s="23" t="inlineStr">
        <is>
          <t>Savings</t>
        </is>
      </c>
      <c r="F615" s="23" t="inlineStr">
        <is>
          <t>Home repairs</t>
        </is>
      </c>
      <c r="G615" s="23" t="n"/>
      <c r="H615" s="29">
        <f>IF(C615="","",IFERROR(INDEX(Categories!$B$6:$B$65,MATCH(C615,Categories!$A$6:$A$65,0))&amp;"",""))</f>
        <v/>
      </c>
      <c r="I615" s="25">
        <f>IF(AND(A615="",C615="",D615=""),"",IF(A615="","Date missing",IF(NOT(ISNUMBER(A615)),"Date not recognized",IF(YEAR(A615)&lt;&gt;Settings!$C$4,"Not in "&amp;Settings!$C$4,IF(C615="","Category missing",IF(H615="",IF(COUNTIF(Categories!$A$6:$A$65,C615)&gt;0,"Category has no type","Category not in list"),IF(D615="","Amount missing",IF(NOT(ISNUMBER(D615)),"Amount is not a number",IF(F615="","",IF(ISNA(MATCH(F615,Lists!$G$2:$G$25,0)),"Goal / fund not in list",IF(H615="Income","Fund tag ignored on income","")))))))))))</f>
        <v/>
      </c>
    </row>
    <row r="616">
      <c r="A616" s="27" t="n">
        <v>46359</v>
      </c>
      <c r="B616" s="23" t="inlineStr">
        <is>
          <t>Video streaming</t>
        </is>
      </c>
      <c r="C616" s="23" t="inlineStr">
        <is>
          <t>Subscriptions</t>
        </is>
      </c>
      <c r="D616" s="28" t="n">
        <v>15.49</v>
      </c>
      <c r="E616" s="23" t="inlineStr">
        <is>
          <t>Credit card</t>
        </is>
      </c>
      <c r="F616" s="23" t="n"/>
      <c r="G616" s="23" t="n"/>
      <c r="H616" s="29">
        <f>IF(C616="","",IFERROR(INDEX(Categories!$B$6:$B$65,MATCH(C616,Categories!$A$6:$A$65,0))&amp;"",""))</f>
        <v/>
      </c>
      <c r="I616" s="25">
        <f>IF(AND(A616="",C616="",D616=""),"",IF(A616="","Date missing",IF(NOT(ISNUMBER(A616)),"Date not recognized",IF(YEAR(A616)&lt;&gt;Settings!$C$4,"Not in "&amp;Settings!$C$4,IF(C616="","Category missing",IF(H616="",IF(COUNTIF(Categories!$A$6:$A$65,C616)&gt;0,"Category has no type","Category not in list"),IF(D616="","Amount missing",IF(NOT(ISNUMBER(D616)),"Amount is not a number",IF(F616="","",IF(ISNA(MATCH(F616,Lists!$G$2:$G$25,0)),"Goal / fund not in list",IF(H616="Income","Fund tag ignored on income","")))))))))))</f>
        <v/>
      </c>
    </row>
    <row r="617">
      <c r="A617" s="27" t="n">
        <v>46359</v>
      </c>
      <c r="B617" s="23" t="inlineStr">
        <is>
          <t>Supermarket</t>
        </is>
      </c>
      <c r="C617" s="23" t="inlineStr">
        <is>
          <t>Groceries</t>
        </is>
      </c>
      <c r="D617" s="28" t="n">
        <v>150.95</v>
      </c>
      <c r="E617" s="23" t="inlineStr">
        <is>
          <t>Debit card</t>
        </is>
      </c>
      <c r="F617" s="23" t="n"/>
      <c r="G617" s="23" t="n"/>
      <c r="H617" s="29">
        <f>IF(C617="","",IFERROR(INDEX(Categories!$B$6:$B$65,MATCH(C617,Categories!$A$6:$A$65,0))&amp;"",""))</f>
        <v/>
      </c>
      <c r="I617" s="25">
        <f>IF(AND(A617="",C617="",D617=""),"",IF(A617="","Date missing",IF(NOT(ISNUMBER(A617)),"Date not recognized",IF(YEAR(A617)&lt;&gt;Settings!$C$4,"Not in "&amp;Settings!$C$4,IF(C617="","Category missing",IF(H617="",IF(COUNTIF(Categories!$A$6:$A$65,C617)&gt;0,"Category has no type","Category not in list"),IF(D617="","Amount missing",IF(NOT(ISNUMBER(D617)),"Amount is not a number",IF(F617="","",IF(ISNA(MATCH(F617,Lists!$G$2:$G$25,0)),"Goal / fund not in list",IF(H617="Income","Fund tag ignored on income","")))))))))))</f>
        <v/>
      </c>
    </row>
    <row r="618">
      <c r="A618" s="27" t="n">
        <v>46359</v>
      </c>
      <c r="B618" s="23" t="inlineStr">
        <is>
          <t>Lunch out</t>
        </is>
      </c>
      <c r="C618" s="23" t="inlineStr">
        <is>
          <t>Dining out</t>
        </is>
      </c>
      <c r="D618" s="28" t="n">
        <v>11.47</v>
      </c>
      <c r="E618" s="23" t="inlineStr">
        <is>
          <t>Credit card</t>
        </is>
      </c>
      <c r="F618" s="23" t="n"/>
      <c r="G618" s="23" t="n"/>
      <c r="H618" s="29">
        <f>IF(C618="","",IFERROR(INDEX(Categories!$B$6:$B$65,MATCH(C618,Categories!$A$6:$A$65,0))&amp;"",""))</f>
        <v/>
      </c>
      <c r="I618" s="25">
        <f>IF(AND(A618="",C618="",D618=""),"",IF(A618="","Date missing",IF(NOT(ISNUMBER(A618)),"Date not recognized",IF(YEAR(A618)&lt;&gt;Settings!$C$4,"Not in "&amp;Settings!$C$4,IF(C618="","Category missing",IF(H618="",IF(COUNTIF(Categories!$A$6:$A$65,C618)&gt;0,"Category has no type","Category not in list"),IF(D618="","Amount missing",IF(NOT(ISNUMBER(D618)),"Amount is not a number",IF(F618="","",IF(ISNA(MATCH(F618,Lists!$G$2:$G$25,0)),"Goal / fund not in list",IF(H618="Income","Fund tag ignored on income","")))))))))))</f>
        <v/>
      </c>
    </row>
    <row r="619">
      <c r="A619" s="27" t="n">
        <v>46359</v>
      </c>
      <c r="B619" s="23" t="inlineStr">
        <is>
          <t>Haircut</t>
        </is>
      </c>
      <c r="C619" s="23" t="inlineStr">
        <is>
          <t>Personal care</t>
        </is>
      </c>
      <c r="D619" s="28" t="n">
        <v>32.18</v>
      </c>
      <c r="E619" s="23" t="inlineStr">
        <is>
          <t>Debit card</t>
        </is>
      </c>
      <c r="F619" s="23" t="n"/>
      <c r="G619" s="23" t="n"/>
      <c r="H619" s="29">
        <f>IF(C619="","",IFERROR(INDEX(Categories!$B$6:$B$65,MATCH(C619,Categories!$A$6:$A$65,0))&amp;"",""))</f>
        <v/>
      </c>
      <c r="I619" s="25">
        <f>IF(AND(A619="",C619="",D619=""),"",IF(A619="","Date missing",IF(NOT(ISNUMBER(A619)),"Date not recognized",IF(YEAR(A619)&lt;&gt;Settings!$C$4,"Not in "&amp;Settings!$C$4,IF(C619="","Category missing",IF(H619="",IF(COUNTIF(Categories!$A$6:$A$65,C619)&gt;0,"Category has no type","Category not in list"),IF(D619="","Amount missing",IF(NOT(ISNUMBER(D619)),"Amount is not a number",IF(F619="","",IF(ISNA(MATCH(F619,Lists!$G$2:$G$25,0)),"Goal / fund not in list",IF(H619="Income","Fund tag ignored on income","")))))))))))</f>
        <v/>
      </c>
    </row>
    <row r="620">
      <c r="A620" s="27" t="n">
        <v>46359</v>
      </c>
      <c r="B620" s="23" t="inlineStr">
        <is>
          <t>Bowling</t>
        </is>
      </c>
      <c r="C620" s="23" t="inlineStr">
        <is>
          <t>Entertainment</t>
        </is>
      </c>
      <c r="D620" s="28" t="n">
        <v>35.96</v>
      </c>
      <c r="E620" s="23" t="inlineStr">
        <is>
          <t>Credit card</t>
        </is>
      </c>
      <c r="F620" s="23" t="n"/>
      <c r="G620" s="23" t="n"/>
      <c r="H620" s="29">
        <f>IF(C620="","",IFERROR(INDEX(Categories!$B$6:$B$65,MATCH(C620,Categories!$A$6:$A$65,0))&amp;"",""))</f>
        <v/>
      </c>
      <c r="I620" s="25">
        <f>IF(AND(A620="",C620="",D620=""),"",IF(A620="","Date missing",IF(NOT(ISNUMBER(A620)),"Date not recognized",IF(YEAR(A620)&lt;&gt;Settings!$C$4,"Not in "&amp;Settings!$C$4,IF(C620="","Category missing",IF(H620="",IF(COUNTIF(Categories!$A$6:$A$65,C620)&gt;0,"Category has no type","Category not in list"),IF(D620="","Amount missing",IF(NOT(ISNUMBER(D620)),"Amount is not a number",IF(F620="","",IF(ISNA(MATCH(F620,Lists!$G$2:$G$25,0)),"Goal / fund not in list",IF(H620="Income","Fund tag ignored on income","")))))))))))</f>
        <v/>
      </c>
    </row>
    <row r="621">
      <c r="A621" s="27" t="n">
        <v>46359</v>
      </c>
      <c r="B621" s="23" t="inlineStr">
        <is>
          <t>Retirement contribution</t>
        </is>
      </c>
      <c r="C621" s="23" t="inlineStr">
        <is>
          <t>Retirement &amp; investing</t>
        </is>
      </c>
      <c r="D621" s="28" t="n">
        <v>600</v>
      </c>
      <c r="E621" s="23" t="inlineStr">
        <is>
          <t>Checking</t>
        </is>
      </c>
      <c r="F621" s="23" t="n"/>
      <c r="G621" s="23" t="n"/>
      <c r="H621" s="29">
        <f>IF(C621="","",IFERROR(INDEX(Categories!$B$6:$B$65,MATCH(C621,Categories!$A$6:$A$65,0))&amp;"",""))</f>
        <v/>
      </c>
      <c r="I621" s="25">
        <f>IF(AND(A621="",C621="",D621=""),"",IF(A621="","Date missing",IF(NOT(ISNUMBER(A621)),"Date not recognized",IF(YEAR(A621)&lt;&gt;Settings!$C$4,"Not in "&amp;Settings!$C$4,IF(C621="","Category missing",IF(H621="",IF(COUNTIF(Categories!$A$6:$A$65,C621)&gt;0,"Category has no type","Category not in list"),IF(D621="","Amount missing",IF(NOT(ISNUMBER(D621)),"Amount is not a number",IF(F621="","",IF(ISNA(MATCH(F621,Lists!$G$2:$G$25,0)),"Goal / fund not in list",IF(H621="Income","Fund tag ignored on income","")))))))))))</f>
        <v/>
      </c>
    </row>
    <row r="622">
      <c r="A622" s="27" t="n">
        <v>46360</v>
      </c>
      <c r="B622" s="23" t="inlineStr">
        <is>
          <t>Brunch</t>
        </is>
      </c>
      <c r="C622" s="23" t="inlineStr">
        <is>
          <t>Dining out</t>
        </is>
      </c>
      <c r="D622" s="28" t="n">
        <v>26.51</v>
      </c>
      <c r="E622" s="23" t="inlineStr">
        <is>
          <t>Credit card</t>
        </is>
      </c>
      <c r="F622" s="23" t="n"/>
      <c r="G622" s="23" t="n"/>
      <c r="H622" s="29">
        <f>IF(C622="","",IFERROR(INDEX(Categories!$B$6:$B$65,MATCH(C622,Categories!$A$6:$A$65,0))&amp;"",""))</f>
        <v/>
      </c>
      <c r="I622" s="25">
        <f>IF(AND(A622="",C622="",D622=""),"",IF(A622="","Date missing",IF(NOT(ISNUMBER(A622)),"Date not recognized",IF(YEAR(A622)&lt;&gt;Settings!$C$4,"Not in "&amp;Settings!$C$4,IF(C622="","Category missing",IF(H622="",IF(COUNTIF(Categories!$A$6:$A$65,C622)&gt;0,"Category has no type","Category not in list"),IF(D622="","Amount missing",IF(NOT(ISNUMBER(D622)),"Amount is not a number",IF(F622="","",IF(ISNA(MATCH(F622,Lists!$G$2:$G$25,0)),"Goal / fund not in list",IF(H622="Income","Fund tag ignored on income","")))))))))))</f>
        <v/>
      </c>
    </row>
    <row r="623">
      <c r="A623" s="27" t="n">
        <v>46360</v>
      </c>
      <c r="B623" s="23" t="inlineStr">
        <is>
          <t>Gas station</t>
        </is>
      </c>
      <c r="C623" s="23" t="inlineStr">
        <is>
          <t>Transport / Gas</t>
        </is>
      </c>
      <c r="D623" s="28" t="n">
        <v>44.95</v>
      </c>
      <c r="E623" s="23" t="inlineStr">
        <is>
          <t>Credit card</t>
        </is>
      </c>
      <c r="F623" s="23" t="n"/>
      <c r="G623" s="23" t="n"/>
      <c r="H623" s="29">
        <f>IF(C623="","",IFERROR(INDEX(Categories!$B$6:$B$65,MATCH(C623,Categories!$A$6:$A$65,0))&amp;"",""))</f>
        <v/>
      </c>
      <c r="I623" s="25">
        <f>IF(AND(A623="",C623="",D623=""),"",IF(A623="","Date missing",IF(NOT(ISNUMBER(A623)),"Date not recognized",IF(YEAR(A623)&lt;&gt;Settings!$C$4,"Not in "&amp;Settings!$C$4,IF(C623="","Category missing",IF(H623="",IF(COUNTIF(Categories!$A$6:$A$65,C623)&gt;0,"Category has no type","Category not in list"),IF(D623="","Amount missing",IF(NOT(ISNUMBER(D623)),"Amount is not a number",IF(F623="","",IF(ISNA(MATCH(F623,Lists!$G$2:$G$25,0)),"Goal / fund not in list",IF(H623="Income","Fund tag ignored on income","")))))))))))</f>
        <v/>
      </c>
    </row>
    <row r="624">
      <c r="A624" s="27" t="n">
        <v>46360</v>
      </c>
      <c r="B624" s="23" t="inlineStr">
        <is>
          <t>Holiday gifts</t>
        </is>
      </c>
      <c r="C624" s="23" t="inlineStr">
        <is>
          <t>Gifts</t>
        </is>
      </c>
      <c r="D624" s="28" t="n">
        <v>214.8</v>
      </c>
      <c r="E624" s="23" t="inlineStr">
        <is>
          <t>Credit card</t>
        </is>
      </c>
      <c r="F624" s="23" t="inlineStr">
        <is>
          <t>Holiday gifts</t>
        </is>
      </c>
      <c r="G624" s="23" t="n"/>
      <c r="H624" s="29">
        <f>IF(C624="","",IFERROR(INDEX(Categories!$B$6:$B$65,MATCH(C624,Categories!$A$6:$A$65,0))&amp;"",""))</f>
        <v/>
      </c>
      <c r="I624" s="25">
        <f>IF(AND(A624="",C624="",D624=""),"",IF(A624="","Date missing",IF(NOT(ISNUMBER(A624)),"Date not recognized",IF(YEAR(A624)&lt;&gt;Settings!$C$4,"Not in "&amp;Settings!$C$4,IF(C624="","Category missing",IF(H624="",IF(COUNTIF(Categories!$A$6:$A$65,C624)&gt;0,"Category has no type","Category not in list"),IF(D624="","Amount missing",IF(NOT(ISNUMBER(D624)),"Amount is not a number",IF(F624="","",IF(ISNA(MATCH(F624,Lists!$G$2:$G$25,0)),"Goal / fund not in list",IF(H624="Income","Fund tag ignored on income","")))))))))))</f>
        <v/>
      </c>
    </row>
    <row r="625">
      <c r="A625" s="27" t="n">
        <v>46361</v>
      </c>
      <c r="B625" s="23" t="inlineStr">
        <is>
          <t>Car insurance</t>
        </is>
      </c>
      <c r="C625" s="23" t="inlineStr">
        <is>
          <t>Insurance</t>
        </is>
      </c>
      <c r="D625" s="28" t="n">
        <v>128</v>
      </c>
      <c r="E625" s="23" t="inlineStr">
        <is>
          <t>Checking</t>
        </is>
      </c>
      <c r="F625" s="23" t="n"/>
      <c r="G625" s="23" t="n"/>
      <c r="H625" s="29">
        <f>IF(C625="","",IFERROR(INDEX(Categories!$B$6:$B$65,MATCH(C625,Categories!$A$6:$A$65,0))&amp;"",""))</f>
        <v/>
      </c>
      <c r="I625" s="25">
        <f>IF(AND(A625="",C625="",D625=""),"",IF(A625="","Date missing",IF(NOT(ISNUMBER(A625)),"Date not recognized",IF(YEAR(A625)&lt;&gt;Settings!$C$4,"Not in "&amp;Settings!$C$4,IF(C625="","Category missing",IF(H625="",IF(COUNTIF(Categories!$A$6:$A$65,C625)&gt;0,"Category has no type","Category not in list"),IF(D625="","Amount missing",IF(NOT(ISNUMBER(D625)),"Amount is not a number",IF(F625="","",IF(ISNA(MATCH(F625,Lists!$G$2:$G$25,0)),"Goal / fund not in list",IF(H625="Income","Fund tag ignored on income","")))))))))))</f>
        <v/>
      </c>
    </row>
    <row r="626">
      <c r="A626" s="27" t="n">
        <v>46361</v>
      </c>
      <c r="B626" s="23" t="inlineStr">
        <is>
          <t>Renters insurance</t>
        </is>
      </c>
      <c r="C626" s="23" t="inlineStr">
        <is>
          <t>Insurance</t>
        </is>
      </c>
      <c r="D626" s="28" t="n">
        <v>18</v>
      </c>
      <c r="E626" s="23" t="inlineStr">
        <is>
          <t>Checking</t>
        </is>
      </c>
      <c r="F626" s="23" t="n"/>
      <c r="G626" s="23" t="n"/>
      <c r="H626" s="29">
        <f>IF(C626="","",IFERROR(INDEX(Categories!$B$6:$B$65,MATCH(C626,Categories!$A$6:$A$65,0))&amp;"",""))</f>
        <v/>
      </c>
      <c r="I626" s="25">
        <f>IF(AND(A626="",C626="",D626=""),"",IF(A626="","Date missing",IF(NOT(ISNUMBER(A626)),"Date not recognized",IF(YEAR(A626)&lt;&gt;Settings!$C$4,"Not in "&amp;Settings!$C$4,IF(C626="","Category missing",IF(H626="",IF(COUNTIF(Categories!$A$6:$A$65,C626)&gt;0,"Category has no type","Category not in list"),IF(D626="","Amount missing",IF(NOT(ISNUMBER(D626)),"Amount is not a number",IF(F626="","",IF(ISNA(MATCH(F626,Lists!$G$2:$G$25,0)),"Goal / fund not in list",IF(H626="Income","Fund tag ignored on income","")))))))))))</f>
        <v/>
      </c>
    </row>
    <row r="627">
      <c r="A627" s="27" t="n">
        <v>46363</v>
      </c>
      <c r="B627" s="23" t="inlineStr">
        <is>
          <t>Music streaming</t>
        </is>
      </c>
      <c r="C627" s="23" t="inlineStr">
        <is>
          <t>Subscriptions</t>
        </is>
      </c>
      <c r="D627" s="28" t="n">
        <v>10.99</v>
      </c>
      <c r="E627" s="23" t="inlineStr">
        <is>
          <t>Credit card</t>
        </is>
      </c>
      <c r="F627" s="23" t="n"/>
      <c r="G627" s="23" t="n"/>
      <c r="H627" s="29">
        <f>IF(C627="","",IFERROR(INDEX(Categories!$B$6:$B$65,MATCH(C627,Categories!$A$6:$A$65,0))&amp;"",""))</f>
        <v/>
      </c>
      <c r="I627" s="25">
        <f>IF(AND(A627="",C627="",D627=""),"",IF(A627="","Date missing",IF(NOT(ISNUMBER(A627)),"Date not recognized",IF(YEAR(A627)&lt;&gt;Settings!$C$4,"Not in "&amp;Settings!$C$4,IF(C627="","Category missing",IF(H627="",IF(COUNTIF(Categories!$A$6:$A$65,C627)&gt;0,"Category has no type","Category not in list"),IF(D627="","Amount missing",IF(NOT(ISNUMBER(D627)),"Amount is not a number",IF(F627="","",IF(ISNA(MATCH(F627,Lists!$G$2:$G$25,0)),"Goal / fund not in list",IF(H627="Income","Fund tag ignored on income","")))))))))))</f>
        <v/>
      </c>
    </row>
    <row r="628">
      <c r="A628" s="27" t="n">
        <v>46365</v>
      </c>
      <c r="B628" s="23" t="inlineStr">
        <is>
          <t>Haircut</t>
        </is>
      </c>
      <c r="C628" s="23" t="inlineStr">
        <is>
          <t>Personal care</t>
        </is>
      </c>
      <c r="D628" s="28" t="n">
        <v>47.04</v>
      </c>
      <c r="E628" s="23" t="inlineStr">
        <is>
          <t>Debit card</t>
        </is>
      </c>
      <c r="F628" s="23" t="n"/>
      <c r="G628" s="23" t="n"/>
      <c r="H628" s="29">
        <f>IF(C628="","",IFERROR(INDEX(Categories!$B$6:$B$65,MATCH(C628,Categories!$A$6:$A$65,0))&amp;"",""))</f>
        <v/>
      </c>
      <c r="I628" s="25">
        <f>IF(AND(A628="",C628="",D628=""),"",IF(A628="","Date missing",IF(NOT(ISNUMBER(A628)),"Date not recognized",IF(YEAR(A628)&lt;&gt;Settings!$C$4,"Not in "&amp;Settings!$C$4,IF(C628="","Category missing",IF(H628="",IF(COUNTIF(Categories!$A$6:$A$65,C628)&gt;0,"Category has no type","Category not in list"),IF(D628="","Amount missing",IF(NOT(ISNUMBER(D628)),"Amount is not a number",IF(F628="","",IF(ISNA(MATCH(F628,Lists!$G$2:$G$25,0)),"Goal / fund not in list",IF(H628="Income","Fund tag ignored on income","")))))))))))</f>
        <v/>
      </c>
    </row>
    <row r="629">
      <c r="A629" s="27" t="n">
        <v>46365</v>
      </c>
      <c r="B629" s="23" t="inlineStr">
        <is>
          <t>Pet food</t>
        </is>
      </c>
      <c r="C629" s="23" t="inlineStr">
        <is>
          <t>Pets</t>
        </is>
      </c>
      <c r="D629" s="28" t="n">
        <v>46.89</v>
      </c>
      <c r="E629" s="23" t="inlineStr">
        <is>
          <t>Debit card</t>
        </is>
      </c>
      <c r="F629" s="23" t="n"/>
      <c r="G629" s="23" t="n"/>
      <c r="H629" s="29">
        <f>IF(C629="","",IFERROR(INDEX(Categories!$B$6:$B$65,MATCH(C629,Categories!$A$6:$A$65,0))&amp;"",""))</f>
        <v/>
      </c>
      <c r="I629" s="25">
        <f>IF(AND(A629="",C629="",D629=""),"",IF(A629="","Date missing",IF(NOT(ISNUMBER(A629)),"Date not recognized",IF(YEAR(A629)&lt;&gt;Settings!$C$4,"Not in "&amp;Settings!$C$4,IF(C629="","Category missing",IF(H629="",IF(COUNTIF(Categories!$A$6:$A$65,C629)&gt;0,"Category has no type","Category not in list"),IF(D629="","Amount missing",IF(NOT(ISNUMBER(D629)),"Amount is not a number",IF(F629="","",IF(ISNA(MATCH(F629,Lists!$G$2:$G$25,0)),"Goal / fund not in list",IF(H629="Income","Fund tag ignored on income","")))))))))))</f>
        <v/>
      </c>
    </row>
    <row r="630">
      <c r="A630" s="27" t="n">
        <v>46366</v>
      </c>
      <c r="B630" s="23" t="inlineStr">
        <is>
          <t>Car loan payment</t>
        </is>
      </c>
      <c r="C630" s="23" t="inlineStr">
        <is>
          <t>Car payment</t>
        </is>
      </c>
      <c r="D630" s="28" t="n">
        <v>389</v>
      </c>
      <c r="E630" s="23" t="inlineStr">
        <is>
          <t>Checking</t>
        </is>
      </c>
      <c r="F630" s="23" t="n"/>
      <c r="G630" s="23" t="n"/>
      <c r="H630" s="29">
        <f>IF(C630="","",IFERROR(INDEX(Categories!$B$6:$B$65,MATCH(C630,Categories!$A$6:$A$65,0))&amp;"",""))</f>
        <v/>
      </c>
      <c r="I630" s="25">
        <f>IF(AND(A630="",C630="",D630=""),"",IF(A630="","Date missing",IF(NOT(ISNUMBER(A630)),"Date not recognized",IF(YEAR(A630)&lt;&gt;Settings!$C$4,"Not in "&amp;Settings!$C$4,IF(C630="","Category missing",IF(H630="",IF(COUNTIF(Categories!$A$6:$A$65,C630)&gt;0,"Category has no type","Category not in list"),IF(D630="","Amount missing",IF(NOT(ISNUMBER(D630)),"Amount is not a number",IF(F630="","",IF(ISNA(MATCH(F630,Lists!$G$2:$G$25,0)),"Goal / fund not in list",IF(H630="Income","Fund tag ignored on income","")))))))))))</f>
        <v/>
      </c>
    </row>
    <row r="631">
      <c r="A631" s="27" t="n">
        <v>46366</v>
      </c>
      <c r="B631" s="23" t="inlineStr">
        <is>
          <t>Supermarket</t>
        </is>
      </c>
      <c r="C631" s="23" t="inlineStr">
        <is>
          <t>Groceries</t>
        </is>
      </c>
      <c r="D631" s="28" t="n">
        <v>184.41</v>
      </c>
      <c r="E631" s="23" t="inlineStr">
        <is>
          <t>Debit card</t>
        </is>
      </c>
      <c r="F631" s="23" t="n"/>
      <c r="G631" s="23" t="n"/>
      <c r="H631" s="29">
        <f>IF(C631="","",IFERROR(INDEX(Categories!$B$6:$B$65,MATCH(C631,Categories!$A$6:$A$65,0))&amp;"",""))</f>
        <v/>
      </c>
      <c r="I631" s="25">
        <f>IF(AND(A631="",C631="",D631=""),"",IF(A631="","Date missing",IF(NOT(ISNUMBER(A631)),"Date not recognized",IF(YEAR(A631)&lt;&gt;Settings!$C$4,"Not in "&amp;Settings!$C$4,IF(C631="","Category missing",IF(H631="",IF(COUNTIF(Categories!$A$6:$A$65,C631)&gt;0,"Category has no type","Category not in list"),IF(D631="","Amount missing",IF(NOT(ISNUMBER(D631)),"Amount is not a number",IF(F631="","",IF(ISNA(MATCH(F631,Lists!$G$2:$G$25,0)),"Goal / fund not in list",IF(H631="Income","Fund tag ignored on income","")))))))))))</f>
        <v/>
      </c>
    </row>
    <row r="632">
      <c r="A632" s="27" t="n">
        <v>46366</v>
      </c>
      <c r="B632" s="23" t="inlineStr">
        <is>
          <t>Museum</t>
        </is>
      </c>
      <c r="C632" s="23" t="inlineStr">
        <is>
          <t>Entertainment</t>
        </is>
      </c>
      <c r="D632" s="28" t="n">
        <v>23.13</v>
      </c>
      <c r="E632" s="23" t="inlineStr">
        <is>
          <t>Credit card</t>
        </is>
      </c>
      <c r="F632" s="23" t="n"/>
      <c r="G632" s="23" t="n"/>
      <c r="H632" s="29">
        <f>IF(C632="","",IFERROR(INDEX(Categories!$B$6:$B$65,MATCH(C632,Categories!$A$6:$A$65,0))&amp;"",""))</f>
        <v/>
      </c>
      <c r="I632" s="25">
        <f>IF(AND(A632="",C632="",D632=""),"",IF(A632="","Date missing",IF(NOT(ISNUMBER(A632)),"Date not recognized",IF(YEAR(A632)&lt;&gt;Settings!$C$4,"Not in "&amp;Settings!$C$4,IF(C632="","Category missing",IF(H632="",IF(COUNTIF(Categories!$A$6:$A$65,C632)&gt;0,"Category has no type","Category not in list"),IF(D632="","Amount missing",IF(NOT(ISNUMBER(D632)),"Amount is not a number",IF(F632="","",IF(ISNA(MATCH(F632,Lists!$G$2:$G$25,0)),"Goal / fund not in list",IF(H632="Income","Fund tag ignored on income","")))))))))))</f>
        <v/>
      </c>
    </row>
    <row r="633">
      <c r="A633" s="27" t="n">
        <v>46367</v>
      </c>
      <c r="B633" s="23" t="inlineStr">
        <is>
          <t>Holiday gifts</t>
        </is>
      </c>
      <c r="C633" s="23" t="inlineStr">
        <is>
          <t>Gifts</t>
        </is>
      </c>
      <c r="D633" s="28" t="n">
        <v>188.45</v>
      </c>
      <c r="E633" s="23" t="inlineStr">
        <is>
          <t>Credit card</t>
        </is>
      </c>
      <c r="F633" s="23" t="inlineStr">
        <is>
          <t>Holiday gifts</t>
        </is>
      </c>
      <c r="G633" s="23" t="n"/>
      <c r="H633" s="29">
        <f>IF(C633="","",IFERROR(INDEX(Categories!$B$6:$B$65,MATCH(C633,Categories!$A$6:$A$65,0))&amp;"",""))</f>
        <v/>
      </c>
      <c r="I633" s="25">
        <f>IF(AND(A633="",C633="",D633=""),"",IF(A633="","Date missing",IF(NOT(ISNUMBER(A633)),"Date not recognized",IF(YEAR(A633)&lt;&gt;Settings!$C$4,"Not in "&amp;Settings!$C$4,IF(C633="","Category missing",IF(H633="",IF(COUNTIF(Categories!$A$6:$A$65,C633)&gt;0,"Category has no type","Category not in list"),IF(D633="","Amount missing",IF(NOT(ISNUMBER(D633)),"Amount is not a number",IF(F633="","",IF(ISNA(MATCH(F633,Lists!$G$2:$G$25,0)),"Goal / fund not in list",IF(H633="Income","Fund tag ignored on income","")))))))))))</f>
        <v/>
      </c>
    </row>
    <row r="634">
      <c r="A634" s="27" t="n">
        <v>46368</v>
      </c>
      <c r="B634" s="23" t="inlineStr">
        <is>
          <t>Internet</t>
        </is>
      </c>
      <c r="C634" s="23" t="inlineStr">
        <is>
          <t>Internet &amp; Phone</t>
        </is>
      </c>
      <c r="D634" s="28" t="n">
        <v>65</v>
      </c>
      <c r="E634" s="23" t="inlineStr">
        <is>
          <t>Checking</t>
        </is>
      </c>
      <c r="F634" s="23" t="n"/>
      <c r="G634" s="23" t="n"/>
      <c r="H634" s="29">
        <f>IF(C634="","",IFERROR(INDEX(Categories!$B$6:$B$65,MATCH(C634,Categories!$A$6:$A$65,0))&amp;"",""))</f>
        <v/>
      </c>
      <c r="I634" s="25">
        <f>IF(AND(A634="",C634="",D634=""),"",IF(A634="","Date missing",IF(NOT(ISNUMBER(A634)),"Date not recognized",IF(YEAR(A634)&lt;&gt;Settings!$C$4,"Not in "&amp;Settings!$C$4,IF(C634="","Category missing",IF(H634="",IF(COUNTIF(Categories!$A$6:$A$65,C634)&gt;0,"Category has no type","Category not in list"),IF(D634="","Amount missing",IF(NOT(ISNUMBER(D634)),"Amount is not a number",IF(F634="","",IF(ISNA(MATCH(F634,Lists!$G$2:$G$25,0)),"Goal / fund not in list",IF(H634="Income","Fund tag ignored on income","")))))))))))</f>
        <v/>
      </c>
    </row>
    <row r="635">
      <c r="A635" s="27" t="n">
        <v>46368</v>
      </c>
      <c r="B635" s="23" t="inlineStr">
        <is>
          <t>Gas station</t>
        </is>
      </c>
      <c r="C635" s="23" t="inlineStr">
        <is>
          <t>Transport / Gas</t>
        </is>
      </c>
      <c r="D635" s="28" t="n">
        <v>49.62</v>
      </c>
      <c r="E635" s="23" t="inlineStr">
        <is>
          <t>Credit card</t>
        </is>
      </c>
      <c r="F635" s="23" t="n"/>
      <c r="G635" s="23" t="n"/>
      <c r="H635" s="29">
        <f>IF(C635="","",IFERROR(INDEX(Categories!$B$6:$B$65,MATCH(C635,Categories!$A$6:$A$65,0))&amp;"",""))</f>
        <v/>
      </c>
      <c r="I635" s="25">
        <f>IF(AND(A635="",C635="",D635=""),"",IF(A635="","Date missing",IF(NOT(ISNUMBER(A635)),"Date not recognized",IF(YEAR(A635)&lt;&gt;Settings!$C$4,"Not in "&amp;Settings!$C$4,IF(C635="","Category missing",IF(H635="",IF(COUNTIF(Categories!$A$6:$A$65,C635)&gt;0,"Category has no type","Category not in list"),IF(D635="","Amount missing",IF(NOT(ISNUMBER(D635)),"Amount is not a number",IF(F635="","",IF(ISNA(MATCH(F635,Lists!$G$2:$G$25,0)),"Goal / fund not in list",IF(H635="Income","Fund tag ignored on income","")))))))))))</f>
        <v/>
      </c>
    </row>
    <row r="636">
      <c r="A636" s="27" t="n">
        <v>46370</v>
      </c>
      <c r="B636" s="23" t="inlineStr">
        <is>
          <t>Phone plan</t>
        </is>
      </c>
      <c r="C636" s="23" t="inlineStr">
        <is>
          <t>Internet &amp; Phone</t>
        </is>
      </c>
      <c r="D636" s="28" t="n">
        <v>70</v>
      </c>
      <c r="E636" s="23" t="inlineStr">
        <is>
          <t>Credit card</t>
        </is>
      </c>
      <c r="F636" s="23" t="n"/>
      <c r="G636" s="23" t="n"/>
      <c r="H636" s="29">
        <f>IF(C636="","",IFERROR(INDEX(Categories!$B$6:$B$65,MATCH(C636,Categories!$A$6:$A$65,0))&amp;"",""))</f>
        <v/>
      </c>
      <c r="I636" s="25">
        <f>IF(AND(A636="",C636="",D636=""),"",IF(A636="","Date missing",IF(NOT(ISNUMBER(A636)),"Date not recognized",IF(YEAR(A636)&lt;&gt;Settings!$C$4,"Not in "&amp;Settings!$C$4,IF(C636="","Category missing",IF(H636="",IF(COUNTIF(Categories!$A$6:$A$65,C636)&gt;0,"Category has no type","Category not in list"),IF(D636="","Amount missing",IF(NOT(ISNUMBER(D636)),"Amount is not a number",IF(F636="","",IF(ISNA(MATCH(F636,Lists!$G$2:$G$25,0)),"Goal / fund not in list",IF(H636="Income","Fund tag ignored on income","")))))))))))</f>
        <v/>
      </c>
    </row>
    <row r="637">
      <c r="A637" s="27" t="n">
        <v>46371</v>
      </c>
      <c r="B637" s="23" t="inlineStr">
        <is>
          <t>Alex paycheck</t>
        </is>
      </c>
      <c r="C637" s="23" t="inlineStr">
        <is>
          <t>Paycheck 1</t>
        </is>
      </c>
      <c r="D637" s="28" t="n">
        <v>2100</v>
      </c>
      <c r="E637" s="23" t="inlineStr">
        <is>
          <t>Checking</t>
        </is>
      </c>
      <c r="F637" s="23" t="n"/>
      <c r="G637" s="23" t="n"/>
      <c r="H637" s="29">
        <f>IF(C637="","",IFERROR(INDEX(Categories!$B$6:$B$65,MATCH(C637,Categories!$A$6:$A$65,0))&amp;"",""))</f>
        <v/>
      </c>
      <c r="I637" s="25">
        <f>IF(AND(A637="",C637="",D637=""),"",IF(A637="","Date missing",IF(NOT(ISNUMBER(A637)),"Date not recognized",IF(YEAR(A637)&lt;&gt;Settings!$C$4,"Not in "&amp;Settings!$C$4,IF(C637="","Category missing",IF(H637="",IF(COUNTIF(Categories!$A$6:$A$65,C637)&gt;0,"Category has no type","Category not in list"),IF(D637="","Amount missing",IF(NOT(ISNUMBER(D637)),"Amount is not a number",IF(F637="","",IF(ISNA(MATCH(F637,Lists!$G$2:$G$25,0)),"Goal / fund not in list",IF(H637="Income","Fund tag ignored on income","")))))))))))</f>
        <v/>
      </c>
    </row>
    <row r="638">
      <c r="A638" s="27" t="n">
        <v>46371</v>
      </c>
      <c r="B638" s="23" t="inlineStr">
        <is>
          <t>Takeout</t>
        </is>
      </c>
      <c r="C638" s="23" t="inlineStr">
        <is>
          <t>Dining out</t>
        </is>
      </c>
      <c r="D638" s="28" t="n">
        <v>29.41</v>
      </c>
      <c r="E638" s="23" t="inlineStr">
        <is>
          <t>Credit card</t>
        </is>
      </c>
      <c r="F638" s="23" t="n"/>
      <c r="G638" s="23" t="n"/>
      <c r="H638" s="29">
        <f>IF(C638="","",IFERROR(INDEX(Categories!$B$6:$B$65,MATCH(C638,Categories!$A$6:$A$65,0))&amp;"",""))</f>
        <v/>
      </c>
      <c r="I638" s="25">
        <f>IF(AND(A638="",C638="",D638=""),"",IF(A638="","Date missing",IF(NOT(ISNUMBER(A638)),"Date not recognized",IF(YEAR(A638)&lt;&gt;Settings!$C$4,"Not in "&amp;Settings!$C$4,IF(C638="","Category missing",IF(H638="",IF(COUNTIF(Categories!$A$6:$A$65,C638)&gt;0,"Category has no type","Category not in list"),IF(D638="","Amount missing",IF(NOT(ISNUMBER(D638)),"Amount is not a number",IF(F638="","",IF(ISNA(MATCH(F638,Lists!$G$2:$G$25,0)),"Goal / fund not in list",IF(H638="Income","Fund tag ignored on income","")))))))))))</f>
        <v/>
      </c>
    </row>
    <row r="639">
      <c r="A639" s="27" t="n">
        <v>46371</v>
      </c>
      <c r="B639" s="23" t="inlineStr">
        <is>
          <t>Shoes</t>
        </is>
      </c>
      <c r="C639" s="23" t="inlineStr">
        <is>
          <t>Clothing</t>
        </is>
      </c>
      <c r="D639" s="28" t="n">
        <v>63</v>
      </c>
      <c r="E639" s="23" t="inlineStr">
        <is>
          <t>Credit card</t>
        </is>
      </c>
      <c r="F639" s="23" t="n"/>
      <c r="G639" s="23" t="n"/>
      <c r="H639" s="29">
        <f>IF(C639="","",IFERROR(INDEX(Categories!$B$6:$B$65,MATCH(C639,Categories!$A$6:$A$65,0))&amp;"",""))</f>
        <v/>
      </c>
      <c r="I639" s="25">
        <f>IF(AND(A639="",C639="",D639=""),"",IF(A639="","Date missing",IF(NOT(ISNUMBER(A639)),"Date not recognized",IF(YEAR(A639)&lt;&gt;Settings!$C$4,"Not in "&amp;Settings!$C$4,IF(C639="","Category missing",IF(H639="",IF(COUNTIF(Categories!$A$6:$A$65,C639)&gt;0,"Category has no type","Category not in list"),IF(D639="","Amount missing",IF(NOT(ISNUMBER(D639)),"Amount is not a number",IF(F639="","",IF(ISNA(MATCH(F639,Lists!$G$2:$G$25,0)),"Goal / fund not in list",IF(H639="Income","Fund tag ignored on income","")))))))))))</f>
        <v/>
      </c>
    </row>
    <row r="640">
      <c r="A640" s="27" t="n">
        <v>46371</v>
      </c>
      <c r="B640" s="23" t="inlineStr">
        <is>
          <t>Phone case</t>
        </is>
      </c>
      <c r="C640" s="23" t="inlineStr">
        <is>
          <t>Misc</t>
        </is>
      </c>
      <c r="D640" s="28" t="n">
        <v>31.06</v>
      </c>
      <c r="E640" s="23" t="inlineStr">
        <is>
          <t>Cash</t>
        </is>
      </c>
      <c r="F640" s="23" t="n"/>
      <c r="G640" s="23" t="n"/>
      <c r="H640" s="29">
        <f>IF(C640="","",IFERROR(INDEX(Categories!$B$6:$B$65,MATCH(C640,Categories!$A$6:$A$65,0))&amp;"",""))</f>
        <v/>
      </c>
      <c r="I640" s="25">
        <f>IF(AND(A640="",C640="",D640=""),"",IF(A640="","Date missing",IF(NOT(ISNUMBER(A640)),"Date not recognized",IF(YEAR(A640)&lt;&gt;Settings!$C$4,"Not in "&amp;Settings!$C$4,IF(C640="","Category missing",IF(H640="",IF(COUNTIF(Categories!$A$6:$A$65,C640)&gt;0,"Category has no type","Category not in list"),IF(D640="","Amount missing",IF(NOT(ISNUMBER(D640)),"Amount is not a number",IF(F640="","",IF(ISNA(MATCH(F640,Lists!$G$2:$G$25,0)),"Goal / fund not in list",IF(H640="Income","Fund tag ignored on income","")))))))))))</f>
        <v/>
      </c>
    </row>
    <row r="641">
      <c r="A641" s="27" t="n">
        <v>46372</v>
      </c>
      <c r="B641" s="23" t="inlineStr">
        <is>
          <t>Holiday gifts</t>
        </is>
      </c>
      <c r="C641" s="23" t="inlineStr">
        <is>
          <t>Gifts</t>
        </is>
      </c>
      <c r="D641" s="28" t="n">
        <v>162.25</v>
      </c>
      <c r="E641" s="23" t="inlineStr">
        <is>
          <t>Credit card</t>
        </is>
      </c>
      <c r="F641" s="23" t="inlineStr">
        <is>
          <t>Holiday gifts</t>
        </is>
      </c>
      <c r="G641" s="23" t="n"/>
      <c r="H641" s="29">
        <f>IF(C641="","",IFERROR(INDEX(Categories!$B$6:$B$65,MATCH(C641,Categories!$A$6:$A$65,0))&amp;"",""))</f>
        <v/>
      </c>
      <c r="I641" s="25">
        <f>IF(AND(A641="",C641="",D641=""),"",IF(A641="","Date missing",IF(NOT(ISNUMBER(A641)),"Date not recognized",IF(YEAR(A641)&lt;&gt;Settings!$C$4,"Not in "&amp;Settings!$C$4,IF(C641="","Category missing",IF(H641="",IF(COUNTIF(Categories!$A$6:$A$65,C641)&gt;0,"Category has no type","Category not in list"),IF(D641="","Amount missing",IF(NOT(ISNUMBER(D641)),"Amount is not a number",IF(F641="","",IF(ISNA(MATCH(F641,Lists!$G$2:$G$25,0)),"Goal / fund not in list",IF(H641="Income","Fund tag ignored on income","")))))))))))</f>
        <v/>
      </c>
    </row>
    <row r="642">
      <c r="A642" s="27" t="n">
        <v>46373</v>
      </c>
      <c r="B642" s="23" t="inlineStr">
        <is>
          <t>Farmers market</t>
        </is>
      </c>
      <c r="C642" s="23" t="inlineStr">
        <is>
          <t>Groceries</t>
        </is>
      </c>
      <c r="D642" s="28" t="n">
        <v>176.75</v>
      </c>
      <c r="E642" s="23" t="inlineStr">
        <is>
          <t>Debit card</t>
        </is>
      </c>
      <c r="F642" s="23" t="n"/>
      <c r="G642" s="23" t="n"/>
      <c r="H642" s="29">
        <f>IF(C642="","",IFERROR(INDEX(Categories!$B$6:$B$65,MATCH(C642,Categories!$A$6:$A$65,0))&amp;"",""))</f>
        <v/>
      </c>
      <c r="I642" s="25">
        <f>IF(AND(A642="",C642="",D642=""),"",IF(A642="","Date missing",IF(NOT(ISNUMBER(A642)),"Date not recognized",IF(YEAR(A642)&lt;&gt;Settings!$C$4,"Not in "&amp;Settings!$C$4,IF(C642="","Category missing",IF(H642="",IF(COUNTIF(Categories!$A$6:$A$65,C642)&gt;0,"Category has no type","Category not in list"),IF(D642="","Amount missing",IF(NOT(ISNUMBER(D642)),"Amount is not a number",IF(F642="","",IF(ISNA(MATCH(F642,Lists!$G$2:$G$25,0)),"Goal / fund not in list",IF(H642="Income","Fund tag ignored on income","")))))))))))</f>
        <v/>
      </c>
    </row>
    <row r="643">
      <c r="A643" s="27" t="n">
        <v>46373</v>
      </c>
      <c r="B643" s="23" t="inlineStr">
        <is>
          <t>Takeout</t>
        </is>
      </c>
      <c r="C643" s="23" t="inlineStr">
        <is>
          <t>Dining out</t>
        </is>
      </c>
      <c r="D643" s="28" t="n">
        <v>42.3</v>
      </c>
      <c r="E643" s="23" t="inlineStr">
        <is>
          <t>Credit card</t>
        </is>
      </c>
      <c r="F643" s="23" t="n"/>
      <c r="G643" s="23" t="n"/>
      <c r="H643" s="29">
        <f>IF(C643="","",IFERROR(INDEX(Categories!$B$6:$B$65,MATCH(C643,Categories!$A$6:$A$65,0))&amp;"",""))</f>
        <v/>
      </c>
      <c r="I643" s="25">
        <f>IF(AND(A643="",C643="",D643=""),"",IF(A643="","Date missing",IF(NOT(ISNUMBER(A643)),"Date not recognized",IF(YEAR(A643)&lt;&gt;Settings!$C$4,"Not in "&amp;Settings!$C$4,IF(C643="","Category missing",IF(H643="",IF(COUNTIF(Categories!$A$6:$A$65,C643)&gt;0,"Category has no type","Category not in list"),IF(D643="","Amount missing",IF(NOT(ISNUMBER(D643)),"Amount is not a number",IF(F643="","",IF(ISNA(MATCH(F643,Lists!$G$2:$G$25,0)),"Goal / fund not in list",IF(H643="Income","Fund tag ignored on income","")))))))))))</f>
        <v/>
      </c>
    </row>
    <row r="644">
      <c r="A644" s="27" t="n">
        <v>46373</v>
      </c>
      <c r="B644" s="23" t="inlineStr">
        <is>
          <t>Kitchen items</t>
        </is>
      </c>
      <c r="C644" s="23" t="inlineStr">
        <is>
          <t>Home &amp; repairs</t>
        </is>
      </c>
      <c r="D644" s="28" t="n">
        <v>50.25</v>
      </c>
      <c r="E644" s="23" t="inlineStr">
        <is>
          <t>Debit card</t>
        </is>
      </c>
      <c r="F644" s="23" t="n"/>
      <c r="G644" s="23" t="n"/>
      <c r="H644" s="29">
        <f>IF(C644="","",IFERROR(INDEX(Categories!$B$6:$B$65,MATCH(C644,Categories!$A$6:$A$65,0))&amp;"",""))</f>
        <v/>
      </c>
      <c r="I644" s="25">
        <f>IF(AND(A644="",C644="",D644=""),"",IF(A644="","Date missing",IF(NOT(ISNUMBER(A644)),"Date not recognized",IF(YEAR(A644)&lt;&gt;Settings!$C$4,"Not in "&amp;Settings!$C$4,IF(C644="","Category missing",IF(H644="",IF(COUNTIF(Categories!$A$6:$A$65,C644)&gt;0,"Category has no type","Category not in list"),IF(D644="","Amount missing",IF(NOT(ISNUMBER(D644)),"Amount is not a number",IF(F644="","",IF(ISNA(MATCH(F644,Lists!$G$2:$G$25,0)),"Goal / fund not in list",IF(H644="Income","Fund tag ignored on income","")))))))))))</f>
        <v/>
      </c>
    </row>
    <row r="645">
      <c r="A645" s="27" t="n">
        <v>46374</v>
      </c>
      <c r="B645" s="23" t="inlineStr">
        <is>
          <t>Electric bill</t>
        </is>
      </c>
      <c r="C645" s="23" t="inlineStr">
        <is>
          <t>Utilities</t>
        </is>
      </c>
      <c r="D645" s="28" t="n">
        <v>95.40000000000001</v>
      </c>
      <c r="E645" s="23" t="inlineStr">
        <is>
          <t>Checking</t>
        </is>
      </c>
      <c r="F645" s="23" t="n"/>
      <c r="G645" s="23" t="n"/>
      <c r="H645" s="29">
        <f>IF(C645="","",IFERROR(INDEX(Categories!$B$6:$B$65,MATCH(C645,Categories!$A$6:$A$65,0))&amp;"",""))</f>
        <v/>
      </c>
      <c r="I645" s="25">
        <f>IF(AND(A645="",C645="",D645=""),"",IF(A645="","Date missing",IF(NOT(ISNUMBER(A645)),"Date not recognized",IF(YEAR(A645)&lt;&gt;Settings!$C$4,"Not in "&amp;Settings!$C$4,IF(C645="","Category missing",IF(H645="",IF(COUNTIF(Categories!$A$6:$A$65,C645)&gt;0,"Category has no type","Category not in list"),IF(D645="","Amount missing",IF(NOT(ISNUMBER(D645)),"Amount is not a number",IF(F645="","",IF(ISNA(MATCH(F645,Lists!$G$2:$G$25,0)),"Goal / fund not in list",IF(H645="Income","Fund tag ignored on income","")))))))))))</f>
        <v/>
      </c>
    </row>
    <row r="646">
      <c r="A646" s="27" t="n">
        <v>46374</v>
      </c>
      <c r="B646" s="23" t="inlineStr">
        <is>
          <t>Pharmacy</t>
        </is>
      </c>
      <c r="C646" s="23" t="inlineStr">
        <is>
          <t>Health</t>
        </is>
      </c>
      <c r="D646" s="28" t="n">
        <v>31.08</v>
      </c>
      <c r="E646" s="23" t="inlineStr">
        <is>
          <t>Debit card</t>
        </is>
      </c>
      <c r="F646" s="23" t="n"/>
      <c r="G646" s="23" t="n"/>
      <c r="H646" s="29">
        <f>IF(C646="","",IFERROR(INDEX(Categories!$B$6:$B$65,MATCH(C646,Categories!$A$6:$A$65,0))&amp;"",""))</f>
        <v/>
      </c>
      <c r="I646" s="25">
        <f>IF(AND(A646="",C646="",D646=""),"",IF(A646="","Date missing",IF(NOT(ISNUMBER(A646)),"Date not recognized",IF(YEAR(A646)&lt;&gt;Settings!$C$4,"Not in "&amp;Settings!$C$4,IF(C646="","Category missing",IF(H646="",IF(COUNTIF(Categories!$A$6:$A$65,C646)&gt;0,"Category has no type","Category not in list"),IF(D646="","Amount missing",IF(NOT(ISNUMBER(D646)),"Amount is not a number",IF(F646="","",IF(ISNA(MATCH(F646,Lists!$G$2:$G$25,0)),"Goal / fund not in list",IF(H646="Income","Fund tag ignored on income","")))))))))))</f>
        <v/>
      </c>
    </row>
    <row r="647">
      <c r="A647" s="27" t="n">
        <v>46374</v>
      </c>
      <c r="B647" s="23" t="inlineStr">
        <is>
          <t>School trip</t>
        </is>
      </c>
      <c r="C647" s="23" t="inlineStr">
        <is>
          <t>Kids</t>
        </is>
      </c>
      <c r="D647" s="28" t="n">
        <v>31.73</v>
      </c>
      <c r="E647" s="23" t="inlineStr">
        <is>
          <t>Debit card</t>
        </is>
      </c>
      <c r="F647" s="23" t="n"/>
      <c r="G647" s="23" t="n"/>
      <c r="H647" s="29">
        <f>IF(C647="","",IFERROR(INDEX(Categories!$B$6:$B$65,MATCH(C647,Categories!$A$6:$A$65,0))&amp;"",""))</f>
        <v/>
      </c>
      <c r="I647" s="25">
        <f>IF(AND(A647="",C647="",D647=""),"",IF(A647="","Date missing",IF(NOT(ISNUMBER(A647)),"Date not recognized",IF(YEAR(A647)&lt;&gt;Settings!$C$4,"Not in "&amp;Settings!$C$4,IF(C647="","Category missing",IF(H647="",IF(COUNTIF(Categories!$A$6:$A$65,C647)&gt;0,"Category has no type","Category not in list"),IF(D647="","Amount missing",IF(NOT(ISNUMBER(D647)),"Amount is not a number",IF(F647="","",IF(ISNA(MATCH(F647,Lists!$G$2:$G$25,0)),"Goal / fund not in list",IF(H647="Income","Fund tag ignored on income","")))))))))))</f>
        <v/>
      </c>
    </row>
    <row r="648">
      <c r="A648" s="27" t="n">
        <v>46375</v>
      </c>
      <c r="B648" s="23" t="inlineStr">
        <is>
          <t>Holiday decorations</t>
        </is>
      </c>
      <c r="C648" s="23" t="inlineStr">
        <is>
          <t>Gifts</t>
        </is>
      </c>
      <c r="D648" s="28" t="n">
        <v>89.5</v>
      </c>
      <c r="E648" s="23" t="inlineStr">
        <is>
          <t>Credit card</t>
        </is>
      </c>
      <c r="F648" s="23" t="inlineStr">
        <is>
          <t>Holiday gifts</t>
        </is>
      </c>
      <c r="G648" s="23" t="n"/>
      <c r="H648" s="29">
        <f>IF(C648="","",IFERROR(INDEX(Categories!$B$6:$B$65,MATCH(C648,Categories!$A$6:$A$65,0))&amp;"",""))</f>
        <v/>
      </c>
      <c r="I648" s="25">
        <f>IF(AND(A648="",C648="",D648=""),"",IF(A648="","Date missing",IF(NOT(ISNUMBER(A648)),"Date not recognized",IF(YEAR(A648)&lt;&gt;Settings!$C$4,"Not in "&amp;Settings!$C$4,IF(C648="","Category missing",IF(H648="",IF(COUNTIF(Categories!$A$6:$A$65,C648)&gt;0,"Category has no type","Category not in list"),IF(D648="","Amount missing",IF(NOT(ISNUMBER(D648)),"Amount is not a number",IF(F648="","",IF(ISNA(MATCH(F648,Lists!$G$2:$G$25,0)),"Goal / fund not in list",IF(H648="Income","Fund tag ignored on income","")))))))))))</f>
        <v/>
      </c>
    </row>
    <row r="649">
      <c r="A649" s="27" t="n">
        <v>46376</v>
      </c>
      <c r="B649" s="23" t="inlineStr">
        <is>
          <t>Gas bill</t>
        </is>
      </c>
      <c r="C649" s="23" t="inlineStr">
        <is>
          <t>Utilities</t>
        </is>
      </c>
      <c r="D649" s="28" t="n">
        <v>102.31</v>
      </c>
      <c r="E649" s="23" t="inlineStr">
        <is>
          <t>Checking</t>
        </is>
      </c>
      <c r="F649" s="23" t="n"/>
      <c r="G649" s="23" t="n"/>
      <c r="H649" s="29">
        <f>IF(C649="","",IFERROR(INDEX(Categories!$B$6:$B$65,MATCH(C649,Categories!$A$6:$A$65,0))&amp;"",""))</f>
        <v/>
      </c>
      <c r="I649" s="25">
        <f>IF(AND(A649="",C649="",D649=""),"",IF(A649="","Date missing",IF(NOT(ISNUMBER(A649)),"Date not recognized",IF(YEAR(A649)&lt;&gt;Settings!$C$4,"Not in "&amp;Settings!$C$4,IF(C649="","Category missing",IF(H649="",IF(COUNTIF(Categories!$A$6:$A$65,C649)&gt;0,"Category has no type","Category not in list"),IF(D649="","Amount missing",IF(NOT(ISNUMBER(D649)),"Amount is not a number",IF(F649="","",IF(ISNA(MATCH(F649,Lists!$G$2:$G$25,0)),"Goal / fund not in list",IF(H649="Income","Fund tag ignored on income","")))))))))))</f>
        <v/>
      </c>
    </row>
    <row r="650">
      <c r="A650" s="27" t="n">
        <v>46376</v>
      </c>
      <c r="B650" s="23" t="inlineStr">
        <is>
          <t>Gas station</t>
        </is>
      </c>
      <c r="C650" s="23" t="inlineStr">
        <is>
          <t>Transport / Gas</t>
        </is>
      </c>
      <c r="D650" s="28" t="n">
        <v>48.35</v>
      </c>
      <c r="E650" s="23" t="inlineStr">
        <is>
          <t>Credit card</t>
        </is>
      </c>
      <c r="F650" s="23" t="n"/>
      <c r="G650" s="23" t="n"/>
      <c r="H650" s="29">
        <f>IF(C650="","",IFERROR(INDEX(Categories!$B$6:$B$65,MATCH(C650,Categories!$A$6:$A$65,0))&amp;"",""))</f>
        <v/>
      </c>
      <c r="I650" s="25">
        <f>IF(AND(A650="",C650="",D650=""),"",IF(A650="","Date missing",IF(NOT(ISNUMBER(A650)),"Date not recognized",IF(YEAR(A650)&lt;&gt;Settings!$C$4,"Not in "&amp;Settings!$C$4,IF(C650="","Category missing",IF(H650="",IF(COUNTIF(Categories!$A$6:$A$65,C650)&gt;0,"Category has no type","Category not in list"),IF(D650="","Amount missing",IF(NOT(ISNUMBER(D650)),"Amount is not a number",IF(F650="","",IF(ISNA(MATCH(F650,Lists!$G$2:$G$25,0)),"Goal / fund not in list",IF(H650="Income","Fund tag ignored on income","")))))))))))</f>
        <v/>
      </c>
    </row>
    <row r="651">
      <c r="A651" s="27" t="n">
        <v>46376</v>
      </c>
      <c r="B651" s="23" t="inlineStr">
        <is>
          <t>Credit card payment + extra</t>
        </is>
      </c>
      <c r="C651" s="23" t="inlineStr">
        <is>
          <t>Debt payments</t>
        </is>
      </c>
      <c r="D651" s="28" t="n">
        <v>260</v>
      </c>
      <c r="E651" s="23" t="inlineStr">
        <is>
          <t>Checking</t>
        </is>
      </c>
      <c r="F651" s="23" t="n"/>
      <c r="G651" s="23" t="n"/>
      <c r="H651" s="29">
        <f>IF(C651="","",IFERROR(INDEX(Categories!$B$6:$B$65,MATCH(C651,Categories!$A$6:$A$65,0))&amp;"",""))</f>
        <v/>
      </c>
      <c r="I651" s="25">
        <f>IF(AND(A651="",C651="",D651=""),"",IF(A651="","Date missing",IF(NOT(ISNUMBER(A651)),"Date not recognized",IF(YEAR(A651)&lt;&gt;Settings!$C$4,"Not in "&amp;Settings!$C$4,IF(C651="","Category missing",IF(H651="",IF(COUNTIF(Categories!$A$6:$A$65,C651)&gt;0,"Category has no type","Category not in list"),IF(D651="","Amount missing",IF(NOT(ISNUMBER(D651)),"Amount is not a number",IF(F651="","",IF(ISNA(MATCH(F651,Lists!$G$2:$G$25,0)),"Goal / fund not in list",IF(H651="Income","Fund tag ignored on income","")))))))))))</f>
        <v/>
      </c>
    </row>
    <row r="652">
      <c r="A652" s="27" t="n">
        <v>46376</v>
      </c>
      <c r="B652" s="23" t="inlineStr">
        <is>
          <t>Medical bill installment</t>
        </is>
      </c>
      <c r="C652" s="23" t="inlineStr">
        <is>
          <t>Debt payments</t>
        </is>
      </c>
      <c r="D652" s="28" t="n">
        <v>40</v>
      </c>
      <c r="E652" s="23" t="inlineStr">
        <is>
          <t>Checking</t>
        </is>
      </c>
      <c r="F652" s="23" t="n"/>
      <c r="G652" s="23" t="n"/>
      <c r="H652" s="29">
        <f>IF(C652="","",IFERROR(INDEX(Categories!$B$6:$B$65,MATCH(C652,Categories!$A$6:$A$65,0))&amp;"",""))</f>
        <v/>
      </c>
      <c r="I652" s="25">
        <f>IF(AND(A652="",C652="",D652=""),"",IF(A652="","Date missing",IF(NOT(ISNUMBER(A652)),"Date not recognized",IF(YEAR(A652)&lt;&gt;Settings!$C$4,"Not in "&amp;Settings!$C$4,IF(C652="","Category missing",IF(H652="",IF(COUNTIF(Categories!$A$6:$A$65,C652)&gt;0,"Category has no type","Category not in list"),IF(D652="","Amount missing",IF(NOT(ISNUMBER(D652)),"Amount is not a number",IF(F652="","",IF(ISNA(MATCH(F652,Lists!$G$2:$G$25,0)),"Goal / fund not in list",IF(H652="Income","Fund tag ignored on income","")))))))))))</f>
        <v/>
      </c>
    </row>
    <row r="653">
      <c r="A653" s="27" t="n">
        <v>46377</v>
      </c>
      <c r="B653" s="23" t="inlineStr">
        <is>
          <t>Personal loan payment</t>
        </is>
      </c>
      <c r="C653" s="23" t="inlineStr">
        <is>
          <t>Debt payments</t>
        </is>
      </c>
      <c r="D653" s="28" t="n">
        <v>210</v>
      </c>
      <c r="E653" s="23" t="inlineStr">
        <is>
          <t>Checking</t>
        </is>
      </c>
      <c r="F653" s="23" t="n"/>
      <c r="G653" s="23" t="n"/>
      <c r="H653" s="29">
        <f>IF(C653="","",IFERROR(INDEX(Categories!$B$6:$B$65,MATCH(C653,Categories!$A$6:$A$65,0))&amp;"",""))</f>
        <v/>
      </c>
      <c r="I653" s="25">
        <f>IF(AND(A653="",C653="",D653=""),"",IF(A653="","Date missing",IF(NOT(ISNUMBER(A653)),"Date not recognized",IF(YEAR(A653)&lt;&gt;Settings!$C$4,"Not in "&amp;Settings!$C$4,IF(C653="","Category missing",IF(H653="",IF(COUNTIF(Categories!$A$6:$A$65,C653)&gt;0,"Category has no type","Category not in list"),IF(D653="","Amount missing",IF(NOT(ISNUMBER(D653)),"Amount is not a number",IF(F653="","",IF(ISNA(MATCH(F653,Lists!$G$2:$G$25,0)),"Goal / fund not in list",IF(H653="Income","Fund tag ignored on income","")))))))))))</f>
        <v/>
      </c>
    </row>
    <row r="654">
      <c r="A654" s="27" t="n">
        <v>46378</v>
      </c>
      <c r="B654" s="23" t="inlineStr">
        <is>
          <t>Water &amp; trash</t>
        </is>
      </c>
      <c r="C654" s="23" t="inlineStr">
        <is>
          <t>Utilities</t>
        </is>
      </c>
      <c r="D654" s="28" t="n">
        <v>54.3</v>
      </c>
      <c r="E654" s="23" t="inlineStr">
        <is>
          <t>Checking</t>
        </is>
      </c>
      <c r="F654" s="23" t="n"/>
      <c r="G654" s="23" t="n"/>
      <c r="H654" s="29">
        <f>IF(C654="","",IFERROR(INDEX(Categories!$B$6:$B$65,MATCH(C654,Categories!$A$6:$A$65,0))&amp;"",""))</f>
        <v/>
      </c>
      <c r="I654" s="25">
        <f>IF(AND(A654="",C654="",D654=""),"",IF(A654="","Date missing",IF(NOT(ISNUMBER(A654)),"Date not recognized",IF(YEAR(A654)&lt;&gt;Settings!$C$4,"Not in "&amp;Settings!$C$4,IF(C654="","Category missing",IF(H654="",IF(COUNTIF(Categories!$A$6:$A$65,C654)&gt;0,"Category has no type","Category not in list"),IF(D654="","Amount missing",IF(NOT(ISNUMBER(D654)),"Amount is not a number",IF(F654="","",IF(ISNA(MATCH(F654,Lists!$G$2:$G$25,0)),"Goal / fund not in list",IF(H654="Income","Fund tag ignored on income","")))))))))))</f>
        <v/>
      </c>
    </row>
    <row r="655">
      <c r="A655" s="27" t="n">
        <v>46378</v>
      </c>
      <c r="B655" s="23" t="inlineStr">
        <is>
          <t>Holiday gift from family</t>
        </is>
      </c>
      <c r="C655" s="23" t="inlineStr">
        <is>
          <t>Other income</t>
        </is>
      </c>
      <c r="D655" s="28" t="n">
        <v>300</v>
      </c>
      <c r="E655" s="23" t="inlineStr">
        <is>
          <t>Checking</t>
        </is>
      </c>
      <c r="F655" s="23" t="n"/>
      <c r="G655" s="23" t="n"/>
      <c r="H655" s="29">
        <f>IF(C655="","",IFERROR(INDEX(Categories!$B$6:$B$65,MATCH(C655,Categories!$A$6:$A$65,0))&amp;"",""))</f>
        <v/>
      </c>
      <c r="I655" s="25">
        <f>IF(AND(A655="",C655="",D655=""),"",IF(A655="","Date missing",IF(NOT(ISNUMBER(A655)),"Date not recognized",IF(YEAR(A655)&lt;&gt;Settings!$C$4,"Not in "&amp;Settings!$C$4,IF(C655="","Category missing",IF(H655="",IF(COUNTIF(Categories!$A$6:$A$65,C655)&gt;0,"Category has no type","Category not in list"),IF(D655="","Amount missing",IF(NOT(ISNUMBER(D655)),"Amount is not a number",IF(F655="","",IF(ISNA(MATCH(F655,Lists!$G$2:$G$25,0)),"Goal / fund not in list",IF(H655="Income","Fund tag ignored on income","")))))))))))</f>
        <v/>
      </c>
    </row>
    <row r="656">
      <c r="A656" s="27" t="n">
        <v>46380</v>
      </c>
      <c r="B656" s="23" t="inlineStr">
        <is>
          <t>Supermarket</t>
        </is>
      </c>
      <c r="C656" s="23" t="inlineStr">
        <is>
          <t>Groceries</t>
        </is>
      </c>
      <c r="D656" s="28" t="n">
        <v>211.87</v>
      </c>
      <c r="E656" s="23" t="inlineStr">
        <is>
          <t>Debit card</t>
        </is>
      </c>
      <c r="F656" s="23" t="n"/>
      <c r="G656" s="23" t="n"/>
      <c r="H656" s="29">
        <f>IF(C656="","",IFERROR(INDEX(Categories!$B$6:$B$65,MATCH(C656,Categories!$A$6:$A$65,0))&amp;"",""))</f>
        <v/>
      </c>
      <c r="I656" s="25">
        <f>IF(AND(A656="",C656="",D656=""),"",IF(A656="","Date missing",IF(NOT(ISNUMBER(A656)),"Date not recognized",IF(YEAR(A656)&lt;&gt;Settings!$C$4,"Not in "&amp;Settings!$C$4,IF(C656="","Category missing",IF(H656="",IF(COUNTIF(Categories!$A$6:$A$65,C656)&gt;0,"Category has no type","Category not in list"),IF(D656="","Amount missing",IF(NOT(ISNUMBER(D656)),"Amount is not a number",IF(F656="","",IF(ISNA(MATCH(F656,Lists!$G$2:$G$25,0)),"Goal / fund not in list",IF(H656="Income","Fund tag ignored on income","")))))))))))</f>
        <v/>
      </c>
    </row>
    <row r="657">
      <c r="A657" s="27" t="n">
        <v>46380</v>
      </c>
      <c r="B657" s="23" t="inlineStr">
        <is>
          <t>Board game</t>
        </is>
      </c>
      <c r="C657" s="23" t="inlineStr">
        <is>
          <t>Entertainment</t>
        </is>
      </c>
      <c r="D657" s="28" t="n">
        <v>44.99</v>
      </c>
      <c r="E657" s="23" t="inlineStr">
        <is>
          <t>Credit card</t>
        </is>
      </c>
      <c r="F657" s="23" t="n"/>
      <c r="G657" s="23" t="n"/>
      <c r="H657" s="29">
        <f>IF(C657="","",IFERROR(INDEX(Categories!$B$6:$B$65,MATCH(C657,Categories!$A$6:$A$65,0))&amp;"",""))</f>
        <v/>
      </c>
      <c r="I657" s="25">
        <f>IF(AND(A657="",C657="",D657=""),"",IF(A657="","Date missing",IF(NOT(ISNUMBER(A657)),"Date not recognized",IF(YEAR(A657)&lt;&gt;Settings!$C$4,"Not in "&amp;Settings!$C$4,IF(C657="","Category missing",IF(H657="",IF(COUNTIF(Categories!$A$6:$A$65,C657)&gt;0,"Category has no type","Category not in list"),IF(D657="","Amount missing",IF(NOT(ISNUMBER(D657)),"Amount is not a number",IF(F657="","",IF(ISNA(MATCH(F657,Lists!$G$2:$G$25,0)),"Goal / fund not in list",IF(H657="Income","Fund tag ignored on income","")))))))))))</f>
        <v/>
      </c>
    </row>
    <row r="658">
      <c r="A658" s="27" t="n">
        <v>46381</v>
      </c>
      <c r="B658" s="23" t="inlineStr">
        <is>
          <t>Student loan payment</t>
        </is>
      </c>
      <c r="C658" s="23" t="inlineStr">
        <is>
          <t>Debt payments</t>
        </is>
      </c>
      <c r="D658" s="28" t="n">
        <v>165</v>
      </c>
      <c r="E658" s="23" t="inlineStr">
        <is>
          <t>Checking</t>
        </is>
      </c>
      <c r="F658" s="23" t="n"/>
      <c r="G658" s="23" t="n"/>
      <c r="H658" s="29">
        <f>IF(C658="","",IFERROR(INDEX(Categories!$B$6:$B$65,MATCH(C658,Categories!$A$6:$A$65,0))&amp;"",""))</f>
        <v/>
      </c>
      <c r="I658" s="25">
        <f>IF(AND(A658="",C658="",D658=""),"",IF(A658="","Date missing",IF(NOT(ISNUMBER(A658)),"Date not recognized",IF(YEAR(A658)&lt;&gt;Settings!$C$4,"Not in "&amp;Settings!$C$4,IF(C658="","Category missing",IF(H658="",IF(COUNTIF(Categories!$A$6:$A$65,C658)&gt;0,"Category has no type","Category not in list"),IF(D658="","Amount missing",IF(NOT(ISNUMBER(D658)),"Amount is not a number",IF(F658="","",IF(ISNA(MATCH(F658,Lists!$G$2:$G$25,0)),"Goal / fund not in list",IF(H658="Income","Fund tag ignored on income","")))))))))))</f>
        <v/>
      </c>
    </row>
    <row r="659">
      <c r="A659" s="27" t="n">
        <v>46383</v>
      </c>
      <c r="B659" s="23" t="inlineStr">
        <is>
          <t>Lunch out</t>
        </is>
      </c>
      <c r="C659" s="23" t="inlineStr">
        <is>
          <t>Dining out</t>
        </is>
      </c>
      <c r="D659" s="28" t="n">
        <v>57.44</v>
      </c>
      <c r="E659" s="23" t="inlineStr">
        <is>
          <t>Credit card</t>
        </is>
      </c>
      <c r="F659" s="23" t="n"/>
      <c r="G659" s="23" t="n"/>
      <c r="H659" s="29">
        <f>IF(C659="","",IFERROR(INDEX(Categories!$B$6:$B$65,MATCH(C659,Categories!$A$6:$A$65,0))&amp;"",""))</f>
        <v/>
      </c>
      <c r="I659" s="25">
        <f>IF(AND(A659="",C659="",D659=""),"",IF(A659="","Date missing",IF(NOT(ISNUMBER(A659)),"Date not recognized",IF(YEAR(A659)&lt;&gt;Settings!$C$4,"Not in "&amp;Settings!$C$4,IF(C659="","Category missing",IF(H659="",IF(COUNTIF(Categories!$A$6:$A$65,C659)&gt;0,"Category has no type","Category not in list"),IF(D659="","Amount missing",IF(NOT(ISNUMBER(D659)),"Amount is not a number",IF(F659="","",IF(ISNA(MATCH(F659,Lists!$G$2:$G$25,0)),"Goal / fund not in list",IF(H659="Income","Fund tag ignored on income","")))))))))))</f>
        <v/>
      </c>
    </row>
    <row r="660">
      <c r="A660" s="27" t="n">
        <v>46383</v>
      </c>
      <c r="B660" s="23" t="inlineStr">
        <is>
          <t>Gas station</t>
        </is>
      </c>
      <c r="C660" s="23" t="inlineStr">
        <is>
          <t>Transport / Gas</t>
        </is>
      </c>
      <c r="D660" s="28" t="n">
        <v>46.23</v>
      </c>
      <c r="E660" s="23" t="inlineStr">
        <is>
          <t>Credit card</t>
        </is>
      </c>
      <c r="F660" s="23" t="n"/>
      <c r="G660" s="23" t="n"/>
      <c r="H660" s="29">
        <f>IF(C660="","",IFERROR(INDEX(Categories!$B$6:$B$65,MATCH(C660,Categories!$A$6:$A$65,0))&amp;"",""))</f>
        <v/>
      </c>
      <c r="I660" s="25">
        <f>IF(AND(A660="",C660="",D660=""),"",IF(A660="","Date missing",IF(NOT(ISNUMBER(A660)),"Date not recognized",IF(YEAR(A660)&lt;&gt;Settings!$C$4,"Not in "&amp;Settings!$C$4,IF(C660="","Category missing",IF(H660="",IF(COUNTIF(Categories!$A$6:$A$65,C660)&gt;0,"Category has no type","Category not in list"),IF(D660="","Amount missing",IF(NOT(ISNUMBER(D660)),"Amount is not a number",IF(F660="","",IF(ISNA(MATCH(F660,Lists!$G$2:$G$25,0)),"Goal / fund not in list",IF(H660="Income","Fund tag ignored on income","")))))))))))</f>
        <v/>
      </c>
    </row>
    <row r="661">
      <c r="A661" s="27" t="n">
        <v>46384</v>
      </c>
      <c r="B661" s="23" t="inlineStr">
        <is>
          <t>Sam paycheck</t>
        </is>
      </c>
      <c r="C661" s="23" t="inlineStr">
        <is>
          <t>Paycheck 2</t>
        </is>
      </c>
      <c r="D661" s="28" t="n">
        <v>2950</v>
      </c>
      <c r="E661" s="23" t="inlineStr">
        <is>
          <t>Checking</t>
        </is>
      </c>
      <c r="F661" s="23" t="n"/>
      <c r="G661" s="23" t="n"/>
      <c r="H661" s="29">
        <f>IF(C661="","",IFERROR(INDEX(Categories!$B$6:$B$65,MATCH(C661,Categories!$A$6:$A$65,0))&amp;"",""))</f>
        <v/>
      </c>
      <c r="I661" s="25">
        <f>IF(AND(A661="",C661="",D661=""),"",IF(A661="","Date missing",IF(NOT(ISNUMBER(A661)),"Date not recognized",IF(YEAR(A661)&lt;&gt;Settings!$C$4,"Not in "&amp;Settings!$C$4,IF(C661="","Category missing",IF(H661="",IF(COUNTIF(Categories!$A$6:$A$65,C661)&gt;0,"Category has no type","Category not in list"),IF(D661="","Amount missing",IF(NOT(ISNUMBER(D661)),"Amount is not a number",IF(F661="","",IF(ISNA(MATCH(F661,Lists!$G$2:$G$25,0)),"Goal / fund not in list",IF(H661="Income","Fund tag ignored on income","")))))))))))</f>
        <v/>
      </c>
    </row>
    <row r="662">
      <c r="A662" s="27" t="n">
        <v>46386</v>
      </c>
      <c r="B662" s="23" t="inlineStr">
        <is>
          <t>Farmers market</t>
        </is>
      </c>
      <c r="C662" s="23" t="inlineStr">
        <is>
          <t>Groceries</t>
        </is>
      </c>
      <c r="D662" s="28" t="n">
        <v>198.86</v>
      </c>
      <c r="E662" s="23" t="inlineStr">
        <is>
          <t>Debit card</t>
        </is>
      </c>
      <c r="F662" s="23" t="n"/>
      <c r="G662" s="23" t="n"/>
      <c r="H662" s="29">
        <f>IF(C662="","",IFERROR(INDEX(Categories!$B$6:$B$65,MATCH(C662,Categories!$A$6:$A$65,0))&amp;"",""))</f>
        <v/>
      </c>
      <c r="I662" s="25">
        <f>IF(AND(A662="",C662="",D662=""),"",IF(A662="","Date missing",IF(NOT(ISNUMBER(A662)),"Date not recognized",IF(YEAR(A662)&lt;&gt;Settings!$C$4,"Not in "&amp;Settings!$C$4,IF(C662="","Category missing",IF(H662="",IF(COUNTIF(Categories!$A$6:$A$65,C662)&gt;0,"Category has no type","Category not in list"),IF(D662="","Amount missing",IF(NOT(ISNUMBER(D662)),"Amount is not a number",IF(F662="","",IF(ISNA(MATCH(F662,Lists!$G$2:$G$25,0)),"Goal / fund not in list",IF(H662="Income","Fund tag ignored on income","")))))))))))</f>
        <v/>
      </c>
    </row>
    <row r="663">
      <c r="A663" s="27" t="n"/>
      <c r="B663" s="23" t="n"/>
      <c r="C663" s="23" t="n"/>
      <c r="D663" s="28" t="n"/>
      <c r="E663" s="23" t="n"/>
      <c r="F663" s="23" t="n"/>
      <c r="G663" s="23" t="n"/>
      <c r="H663" s="29">
        <f>IF(C663="","",IFERROR(INDEX(Categories!$B$6:$B$65,MATCH(C663,Categories!$A$6:$A$65,0))&amp;"",""))</f>
        <v/>
      </c>
      <c r="I663" s="25">
        <f>IF(AND(A663="",C663="",D663=""),"",IF(A663="","Date missing",IF(NOT(ISNUMBER(A663)),"Date not recognized",IF(YEAR(A663)&lt;&gt;Settings!$C$4,"Not in "&amp;Settings!$C$4,IF(C663="","Category missing",IF(H663="",IF(COUNTIF(Categories!$A$6:$A$65,C663)&gt;0,"Category has no type","Category not in list"),IF(D663="","Amount missing",IF(NOT(ISNUMBER(D663)),"Amount is not a number",IF(F663="","",IF(ISNA(MATCH(F663,Lists!$G$2:$G$25,0)),"Goal / fund not in list",IF(H663="Income","Fund tag ignored on income","")))))))))))</f>
        <v/>
      </c>
    </row>
    <row r="664">
      <c r="A664" s="27" t="n"/>
      <c r="B664" s="23" t="n"/>
      <c r="C664" s="23" t="n"/>
      <c r="D664" s="28" t="n"/>
      <c r="E664" s="23" t="n"/>
      <c r="F664" s="23" t="n"/>
      <c r="G664" s="23" t="n"/>
      <c r="H664" s="29">
        <f>IF(C664="","",IFERROR(INDEX(Categories!$B$6:$B$65,MATCH(C664,Categories!$A$6:$A$65,0))&amp;"",""))</f>
        <v/>
      </c>
      <c r="I664" s="25">
        <f>IF(AND(A664="",C664="",D664=""),"",IF(A664="","Date missing",IF(NOT(ISNUMBER(A664)),"Date not recognized",IF(YEAR(A664)&lt;&gt;Settings!$C$4,"Not in "&amp;Settings!$C$4,IF(C664="","Category missing",IF(H664="",IF(COUNTIF(Categories!$A$6:$A$65,C664)&gt;0,"Category has no type","Category not in list"),IF(D664="","Amount missing",IF(NOT(ISNUMBER(D664)),"Amount is not a number",IF(F664="","",IF(ISNA(MATCH(F664,Lists!$G$2:$G$25,0)),"Goal / fund not in list",IF(H664="Income","Fund tag ignored on income","")))))))))))</f>
        <v/>
      </c>
    </row>
    <row r="665">
      <c r="A665" s="27" t="n"/>
      <c r="B665" s="23" t="n"/>
      <c r="C665" s="23" t="n"/>
      <c r="D665" s="28" t="n"/>
      <c r="E665" s="23" t="n"/>
      <c r="F665" s="23" t="n"/>
      <c r="G665" s="23" t="n"/>
      <c r="H665" s="29">
        <f>IF(C665="","",IFERROR(INDEX(Categories!$B$6:$B$65,MATCH(C665,Categories!$A$6:$A$65,0))&amp;"",""))</f>
        <v/>
      </c>
      <c r="I665" s="25">
        <f>IF(AND(A665="",C665="",D665=""),"",IF(A665="","Date missing",IF(NOT(ISNUMBER(A665)),"Date not recognized",IF(YEAR(A665)&lt;&gt;Settings!$C$4,"Not in "&amp;Settings!$C$4,IF(C665="","Category missing",IF(H665="",IF(COUNTIF(Categories!$A$6:$A$65,C665)&gt;0,"Category has no type","Category not in list"),IF(D665="","Amount missing",IF(NOT(ISNUMBER(D665)),"Amount is not a number",IF(F665="","",IF(ISNA(MATCH(F665,Lists!$G$2:$G$25,0)),"Goal / fund not in list",IF(H665="Income","Fund tag ignored on income","")))))))))))</f>
        <v/>
      </c>
    </row>
    <row r="666">
      <c r="A666" s="27" t="n"/>
      <c r="B666" s="23" t="n"/>
      <c r="C666" s="23" t="n"/>
      <c r="D666" s="28" t="n"/>
      <c r="E666" s="23" t="n"/>
      <c r="F666" s="23" t="n"/>
      <c r="G666" s="23" t="n"/>
      <c r="H666" s="29">
        <f>IF(C666="","",IFERROR(INDEX(Categories!$B$6:$B$65,MATCH(C666,Categories!$A$6:$A$65,0))&amp;"",""))</f>
        <v/>
      </c>
      <c r="I666" s="25">
        <f>IF(AND(A666="",C666="",D666=""),"",IF(A666="","Date missing",IF(NOT(ISNUMBER(A666)),"Date not recognized",IF(YEAR(A666)&lt;&gt;Settings!$C$4,"Not in "&amp;Settings!$C$4,IF(C666="","Category missing",IF(H666="",IF(COUNTIF(Categories!$A$6:$A$65,C666)&gt;0,"Category has no type","Category not in list"),IF(D666="","Amount missing",IF(NOT(ISNUMBER(D666)),"Amount is not a number",IF(F666="","",IF(ISNA(MATCH(F666,Lists!$G$2:$G$25,0)),"Goal / fund not in list",IF(H666="Income","Fund tag ignored on income","")))))))))))</f>
        <v/>
      </c>
    </row>
    <row r="667">
      <c r="A667" s="27" t="n"/>
      <c r="B667" s="23" t="n"/>
      <c r="C667" s="23" t="n"/>
      <c r="D667" s="28" t="n"/>
      <c r="E667" s="23" t="n"/>
      <c r="F667" s="23" t="n"/>
      <c r="G667" s="23" t="n"/>
      <c r="H667" s="29">
        <f>IF(C667="","",IFERROR(INDEX(Categories!$B$6:$B$65,MATCH(C667,Categories!$A$6:$A$65,0))&amp;"",""))</f>
        <v/>
      </c>
      <c r="I667" s="25">
        <f>IF(AND(A667="",C667="",D667=""),"",IF(A667="","Date missing",IF(NOT(ISNUMBER(A667)),"Date not recognized",IF(YEAR(A667)&lt;&gt;Settings!$C$4,"Not in "&amp;Settings!$C$4,IF(C667="","Category missing",IF(H667="",IF(COUNTIF(Categories!$A$6:$A$65,C667)&gt;0,"Category has no type","Category not in list"),IF(D667="","Amount missing",IF(NOT(ISNUMBER(D667)),"Amount is not a number",IF(F667="","",IF(ISNA(MATCH(F667,Lists!$G$2:$G$25,0)),"Goal / fund not in list",IF(H667="Income","Fund tag ignored on income","")))))))))))</f>
        <v/>
      </c>
    </row>
    <row r="668">
      <c r="A668" s="27" t="n"/>
      <c r="B668" s="23" t="n"/>
      <c r="C668" s="23" t="n"/>
      <c r="D668" s="28" t="n"/>
      <c r="E668" s="23" t="n"/>
      <c r="F668" s="23" t="n"/>
      <c r="G668" s="23" t="n"/>
      <c r="H668" s="29">
        <f>IF(C668="","",IFERROR(INDEX(Categories!$B$6:$B$65,MATCH(C668,Categories!$A$6:$A$65,0))&amp;"",""))</f>
        <v/>
      </c>
      <c r="I668" s="25">
        <f>IF(AND(A668="",C668="",D668=""),"",IF(A668="","Date missing",IF(NOT(ISNUMBER(A668)),"Date not recognized",IF(YEAR(A668)&lt;&gt;Settings!$C$4,"Not in "&amp;Settings!$C$4,IF(C668="","Category missing",IF(H668="",IF(COUNTIF(Categories!$A$6:$A$65,C668)&gt;0,"Category has no type","Category not in list"),IF(D668="","Amount missing",IF(NOT(ISNUMBER(D668)),"Amount is not a number",IF(F668="","",IF(ISNA(MATCH(F668,Lists!$G$2:$G$25,0)),"Goal / fund not in list",IF(H668="Income","Fund tag ignored on income","")))))))))))</f>
        <v/>
      </c>
    </row>
    <row r="669">
      <c r="A669" s="27" t="n"/>
      <c r="B669" s="23" t="n"/>
      <c r="C669" s="23" t="n"/>
      <c r="D669" s="28" t="n"/>
      <c r="E669" s="23" t="n"/>
      <c r="F669" s="23" t="n"/>
      <c r="G669" s="23" t="n"/>
      <c r="H669" s="29">
        <f>IF(C669="","",IFERROR(INDEX(Categories!$B$6:$B$65,MATCH(C669,Categories!$A$6:$A$65,0))&amp;"",""))</f>
        <v/>
      </c>
      <c r="I669" s="25">
        <f>IF(AND(A669="",C669="",D669=""),"",IF(A669="","Date missing",IF(NOT(ISNUMBER(A669)),"Date not recognized",IF(YEAR(A669)&lt;&gt;Settings!$C$4,"Not in "&amp;Settings!$C$4,IF(C669="","Category missing",IF(H669="",IF(COUNTIF(Categories!$A$6:$A$65,C669)&gt;0,"Category has no type","Category not in list"),IF(D669="","Amount missing",IF(NOT(ISNUMBER(D669)),"Amount is not a number",IF(F669="","",IF(ISNA(MATCH(F669,Lists!$G$2:$G$25,0)),"Goal / fund not in list",IF(H669="Income","Fund tag ignored on income","")))))))))))</f>
        <v/>
      </c>
    </row>
    <row r="670">
      <c r="A670" s="27" t="n"/>
      <c r="B670" s="23" t="n"/>
      <c r="C670" s="23" t="n"/>
      <c r="D670" s="28" t="n"/>
      <c r="E670" s="23" t="n"/>
      <c r="F670" s="23" t="n"/>
      <c r="G670" s="23" t="n"/>
      <c r="H670" s="29">
        <f>IF(C670="","",IFERROR(INDEX(Categories!$B$6:$B$65,MATCH(C670,Categories!$A$6:$A$65,0))&amp;"",""))</f>
        <v/>
      </c>
      <c r="I670" s="25">
        <f>IF(AND(A670="",C670="",D670=""),"",IF(A670="","Date missing",IF(NOT(ISNUMBER(A670)),"Date not recognized",IF(YEAR(A670)&lt;&gt;Settings!$C$4,"Not in "&amp;Settings!$C$4,IF(C670="","Category missing",IF(H670="",IF(COUNTIF(Categories!$A$6:$A$65,C670)&gt;0,"Category has no type","Category not in list"),IF(D670="","Amount missing",IF(NOT(ISNUMBER(D670)),"Amount is not a number",IF(F670="","",IF(ISNA(MATCH(F670,Lists!$G$2:$G$25,0)),"Goal / fund not in list",IF(H670="Income","Fund tag ignored on income","")))))))))))</f>
        <v/>
      </c>
    </row>
    <row r="671">
      <c r="A671" s="27" t="n"/>
      <c r="B671" s="23" t="n"/>
      <c r="C671" s="23" t="n"/>
      <c r="D671" s="28" t="n"/>
      <c r="E671" s="23" t="n"/>
      <c r="F671" s="23" t="n"/>
      <c r="G671" s="23" t="n"/>
      <c r="H671" s="29">
        <f>IF(C671="","",IFERROR(INDEX(Categories!$B$6:$B$65,MATCH(C671,Categories!$A$6:$A$65,0))&amp;"",""))</f>
        <v/>
      </c>
      <c r="I671" s="25">
        <f>IF(AND(A671="",C671="",D671=""),"",IF(A671="","Date missing",IF(NOT(ISNUMBER(A671)),"Date not recognized",IF(YEAR(A671)&lt;&gt;Settings!$C$4,"Not in "&amp;Settings!$C$4,IF(C671="","Category missing",IF(H671="",IF(COUNTIF(Categories!$A$6:$A$65,C671)&gt;0,"Category has no type","Category not in list"),IF(D671="","Amount missing",IF(NOT(ISNUMBER(D671)),"Amount is not a number",IF(F671="","",IF(ISNA(MATCH(F671,Lists!$G$2:$G$25,0)),"Goal / fund not in list",IF(H671="Income","Fund tag ignored on income","")))))))))))</f>
        <v/>
      </c>
    </row>
    <row r="672">
      <c r="A672" s="27" t="n"/>
      <c r="B672" s="23" t="n"/>
      <c r="C672" s="23" t="n"/>
      <c r="D672" s="28" t="n"/>
      <c r="E672" s="23" t="n"/>
      <c r="F672" s="23" t="n"/>
      <c r="G672" s="23" t="n"/>
      <c r="H672" s="29">
        <f>IF(C672="","",IFERROR(INDEX(Categories!$B$6:$B$65,MATCH(C672,Categories!$A$6:$A$65,0))&amp;"",""))</f>
        <v/>
      </c>
      <c r="I672" s="25">
        <f>IF(AND(A672="",C672="",D672=""),"",IF(A672="","Date missing",IF(NOT(ISNUMBER(A672)),"Date not recognized",IF(YEAR(A672)&lt;&gt;Settings!$C$4,"Not in "&amp;Settings!$C$4,IF(C672="","Category missing",IF(H672="",IF(COUNTIF(Categories!$A$6:$A$65,C672)&gt;0,"Category has no type","Category not in list"),IF(D672="","Amount missing",IF(NOT(ISNUMBER(D672)),"Amount is not a number",IF(F672="","",IF(ISNA(MATCH(F672,Lists!$G$2:$G$25,0)),"Goal / fund not in list",IF(H672="Income","Fund tag ignored on income","")))))))))))</f>
        <v/>
      </c>
    </row>
    <row r="673">
      <c r="A673" s="27" t="n"/>
      <c r="B673" s="23" t="n"/>
      <c r="C673" s="23" t="n"/>
      <c r="D673" s="28" t="n"/>
      <c r="E673" s="23" t="n"/>
      <c r="F673" s="23" t="n"/>
      <c r="G673" s="23" t="n"/>
      <c r="H673" s="29">
        <f>IF(C673="","",IFERROR(INDEX(Categories!$B$6:$B$65,MATCH(C673,Categories!$A$6:$A$65,0))&amp;"",""))</f>
        <v/>
      </c>
      <c r="I673" s="25">
        <f>IF(AND(A673="",C673="",D673=""),"",IF(A673="","Date missing",IF(NOT(ISNUMBER(A673)),"Date not recognized",IF(YEAR(A673)&lt;&gt;Settings!$C$4,"Not in "&amp;Settings!$C$4,IF(C673="","Category missing",IF(H673="",IF(COUNTIF(Categories!$A$6:$A$65,C673)&gt;0,"Category has no type","Category not in list"),IF(D673="","Amount missing",IF(NOT(ISNUMBER(D673)),"Amount is not a number",IF(F673="","",IF(ISNA(MATCH(F673,Lists!$G$2:$G$25,0)),"Goal / fund not in list",IF(H673="Income","Fund tag ignored on income","")))))))))))</f>
        <v/>
      </c>
    </row>
    <row r="674">
      <c r="A674" s="27" t="n"/>
      <c r="B674" s="23" t="n"/>
      <c r="C674" s="23" t="n"/>
      <c r="D674" s="28" t="n"/>
      <c r="E674" s="23" t="n"/>
      <c r="F674" s="23" t="n"/>
      <c r="G674" s="23" t="n"/>
      <c r="H674" s="29">
        <f>IF(C674="","",IFERROR(INDEX(Categories!$B$6:$B$65,MATCH(C674,Categories!$A$6:$A$65,0))&amp;"",""))</f>
        <v/>
      </c>
      <c r="I674" s="25">
        <f>IF(AND(A674="",C674="",D674=""),"",IF(A674="","Date missing",IF(NOT(ISNUMBER(A674)),"Date not recognized",IF(YEAR(A674)&lt;&gt;Settings!$C$4,"Not in "&amp;Settings!$C$4,IF(C674="","Category missing",IF(H674="",IF(COUNTIF(Categories!$A$6:$A$65,C674)&gt;0,"Category has no type","Category not in list"),IF(D674="","Amount missing",IF(NOT(ISNUMBER(D674)),"Amount is not a number",IF(F674="","",IF(ISNA(MATCH(F674,Lists!$G$2:$G$25,0)),"Goal / fund not in list",IF(H674="Income","Fund tag ignored on income","")))))))))))</f>
        <v/>
      </c>
    </row>
    <row r="675">
      <c r="A675" s="27" t="n"/>
      <c r="B675" s="23" t="n"/>
      <c r="C675" s="23" t="n"/>
      <c r="D675" s="28" t="n"/>
      <c r="E675" s="23" t="n"/>
      <c r="F675" s="23" t="n"/>
      <c r="G675" s="23" t="n"/>
      <c r="H675" s="29">
        <f>IF(C675="","",IFERROR(INDEX(Categories!$B$6:$B$65,MATCH(C675,Categories!$A$6:$A$65,0))&amp;"",""))</f>
        <v/>
      </c>
      <c r="I675" s="25">
        <f>IF(AND(A675="",C675="",D675=""),"",IF(A675="","Date missing",IF(NOT(ISNUMBER(A675)),"Date not recognized",IF(YEAR(A675)&lt;&gt;Settings!$C$4,"Not in "&amp;Settings!$C$4,IF(C675="","Category missing",IF(H675="",IF(COUNTIF(Categories!$A$6:$A$65,C675)&gt;0,"Category has no type","Category not in list"),IF(D675="","Amount missing",IF(NOT(ISNUMBER(D675)),"Amount is not a number",IF(F675="","",IF(ISNA(MATCH(F675,Lists!$G$2:$G$25,0)),"Goal / fund not in list",IF(H675="Income","Fund tag ignored on income","")))))))))))</f>
        <v/>
      </c>
    </row>
    <row r="676">
      <c r="A676" s="27" t="n"/>
      <c r="B676" s="23" t="n"/>
      <c r="C676" s="23" t="n"/>
      <c r="D676" s="28" t="n"/>
      <c r="E676" s="23" t="n"/>
      <c r="F676" s="23" t="n"/>
      <c r="G676" s="23" t="n"/>
      <c r="H676" s="29">
        <f>IF(C676="","",IFERROR(INDEX(Categories!$B$6:$B$65,MATCH(C676,Categories!$A$6:$A$65,0))&amp;"",""))</f>
        <v/>
      </c>
      <c r="I676" s="25">
        <f>IF(AND(A676="",C676="",D676=""),"",IF(A676="","Date missing",IF(NOT(ISNUMBER(A676)),"Date not recognized",IF(YEAR(A676)&lt;&gt;Settings!$C$4,"Not in "&amp;Settings!$C$4,IF(C676="","Category missing",IF(H676="",IF(COUNTIF(Categories!$A$6:$A$65,C676)&gt;0,"Category has no type","Category not in list"),IF(D676="","Amount missing",IF(NOT(ISNUMBER(D676)),"Amount is not a number",IF(F676="","",IF(ISNA(MATCH(F676,Lists!$G$2:$G$25,0)),"Goal / fund not in list",IF(H676="Income","Fund tag ignored on income","")))))))))))</f>
        <v/>
      </c>
    </row>
    <row r="677">
      <c r="A677" s="27" t="n"/>
      <c r="B677" s="23" t="n"/>
      <c r="C677" s="23" t="n"/>
      <c r="D677" s="28" t="n"/>
      <c r="E677" s="23" t="n"/>
      <c r="F677" s="23" t="n"/>
      <c r="G677" s="23" t="n"/>
      <c r="H677" s="29">
        <f>IF(C677="","",IFERROR(INDEX(Categories!$B$6:$B$65,MATCH(C677,Categories!$A$6:$A$65,0))&amp;"",""))</f>
        <v/>
      </c>
      <c r="I677" s="25">
        <f>IF(AND(A677="",C677="",D677=""),"",IF(A677="","Date missing",IF(NOT(ISNUMBER(A677)),"Date not recognized",IF(YEAR(A677)&lt;&gt;Settings!$C$4,"Not in "&amp;Settings!$C$4,IF(C677="","Category missing",IF(H677="",IF(COUNTIF(Categories!$A$6:$A$65,C677)&gt;0,"Category has no type","Category not in list"),IF(D677="","Amount missing",IF(NOT(ISNUMBER(D677)),"Amount is not a number",IF(F677="","",IF(ISNA(MATCH(F677,Lists!$G$2:$G$25,0)),"Goal / fund not in list",IF(H677="Income","Fund tag ignored on income","")))))))))))</f>
        <v/>
      </c>
    </row>
    <row r="678">
      <c r="A678" s="27" t="n"/>
      <c r="B678" s="23" t="n"/>
      <c r="C678" s="23" t="n"/>
      <c r="D678" s="28" t="n"/>
      <c r="E678" s="23" t="n"/>
      <c r="F678" s="23" t="n"/>
      <c r="G678" s="23" t="n"/>
      <c r="H678" s="29">
        <f>IF(C678="","",IFERROR(INDEX(Categories!$B$6:$B$65,MATCH(C678,Categories!$A$6:$A$65,0))&amp;"",""))</f>
        <v/>
      </c>
      <c r="I678" s="25">
        <f>IF(AND(A678="",C678="",D678=""),"",IF(A678="","Date missing",IF(NOT(ISNUMBER(A678)),"Date not recognized",IF(YEAR(A678)&lt;&gt;Settings!$C$4,"Not in "&amp;Settings!$C$4,IF(C678="","Category missing",IF(H678="",IF(COUNTIF(Categories!$A$6:$A$65,C678)&gt;0,"Category has no type","Category not in list"),IF(D678="","Amount missing",IF(NOT(ISNUMBER(D678)),"Amount is not a number",IF(F678="","",IF(ISNA(MATCH(F678,Lists!$G$2:$G$25,0)),"Goal / fund not in list",IF(H678="Income","Fund tag ignored on income","")))))))))))</f>
        <v/>
      </c>
    </row>
    <row r="679">
      <c r="A679" s="27" t="n"/>
      <c r="B679" s="23" t="n"/>
      <c r="C679" s="23" t="n"/>
      <c r="D679" s="28" t="n"/>
      <c r="E679" s="23" t="n"/>
      <c r="F679" s="23" t="n"/>
      <c r="G679" s="23" t="n"/>
      <c r="H679" s="29">
        <f>IF(C679="","",IFERROR(INDEX(Categories!$B$6:$B$65,MATCH(C679,Categories!$A$6:$A$65,0))&amp;"",""))</f>
        <v/>
      </c>
      <c r="I679" s="25">
        <f>IF(AND(A679="",C679="",D679=""),"",IF(A679="","Date missing",IF(NOT(ISNUMBER(A679)),"Date not recognized",IF(YEAR(A679)&lt;&gt;Settings!$C$4,"Not in "&amp;Settings!$C$4,IF(C679="","Category missing",IF(H679="",IF(COUNTIF(Categories!$A$6:$A$65,C679)&gt;0,"Category has no type","Category not in list"),IF(D679="","Amount missing",IF(NOT(ISNUMBER(D679)),"Amount is not a number",IF(F679="","",IF(ISNA(MATCH(F679,Lists!$G$2:$G$25,0)),"Goal / fund not in list",IF(H679="Income","Fund tag ignored on income","")))))))))))</f>
        <v/>
      </c>
    </row>
    <row r="680">
      <c r="A680" s="27" t="n"/>
      <c r="B680" s="23" t="n"/>
      <c r="C680" s="23" t="n"/>
      <c r="D680" s="28" t="n"/>
      <c r="E680" s="23" t="n"/>
      <c r="F680" s="23" t="n"/>
      <c r="G680" s="23" t="n"/>
      <c r="H680" s="29">
        <f>IF(C680="","",IFERROR(INDEX(Categories!$B$6:$B$65,MATCH(C680,Categories!$A$6:$A$65,0))&amp;"",""))</f>
        <v/>
      </c>
      <c r="I680" s="25">
        <f>IF(AND(A680="",C680="",D680=""),"",IF(A680="","Date missing",IF(NOT(ISNUMBER(A680)),"Date not recognized",IF(YEAR(A680)&lt;&gt;Settings!$C$4,"Not in "&amp;Settings!$C$4,IF(C680="","Category missing",IF(H680="",IF(COUNTIF(Categories!$A$6:$A$65,C680)&gt;0,"Category has no type","Category not in list"),IF(D680="","Amount missing",IF(NOT(ISNUMBER(D680)),"Amount is not a number",IF(F680="","",IF(ISNA(MATCH(F680,Lists!$G$2:$G$25,0)),"Goal / fund not in list",IF(H680="Income","Fund tag ignored on income","")))))))))))</f>
        <v/>
      </c>
    </row>
    <row r="681">
      <c r="A681" s="27" t="n"/>
      <c r="B681" s="23" t="n"/>
      <c r="C681" s="23" t="n"/>
      <c r="D681" s="28" t="n"/>
      <c r="E681" s="23" t="n"/>
      <c r="F681" s="23" t="n"/>
      <c r="G681" s="23" t="n"/>
      <c r="H681" s="29">
        <f>IF(C681="","",IFERROR(INDEX(Categories!$B$6:$B$65,MATCH(C681,Categories!$A$6:$A$65,0))&amp;"",""))</f>
        <v/>
      </c>
      <c r="I681" s="25">
        <f>IF(AND(A681="",C681="",D681=""),"",IF(A681="","Date missing",IF(NOT(ISNUMBER(A681)),"Date not recognized",IF(YEAR(A681)&lt;&gt;Settings!$C$4,"Not in "&amp;Settings!$C$4,IF(C681="","Category missing",IF(H681="",IF(COUNTIF(Categories!$A$6:$A$65,C681)&gt;0,"Category has no type","Category not in list"),IF(D681="","Amount missing",IF(NOT(ISNUMBER(D681)),"Amount is not a number",IF(F681="","",IF(ISNA(MATCH(F681,Lists!$G$2:$G$25,0)),"Goal / fund not in list",IF(H681="Income","Fund tag ignored on income","")))))))))))</f>
        <v/>
      </c>
    </row>
    <row r="682">
      <c r="A682" s="27" t="n"/>
      <c r="B682" s="23" t="n"/>
      <c r="C682" s="23" t="n"/>
      <c r="D682" s="28" t="n"/>
      <c r="E682" s="23" t="n"/>
      <c r="F682" s="23" t="n"/>
      <c r="G682" s="23" t="n"/>
      <c r="H682" s="29">
        <f>IF(C682="","",IFERROR(INDEX(Categories!$B$6:$B$65,MATCH(C682,Categories!$A$6:$A$65,0))&amp;"",""))</f>
        <v/>
      </c>
      <c r="I682" s="25">
        <f>IF(AND(A682="",C682="",D682=""),"",IF(A682="","Date missing",IF(NOT(ISNUMBER(A682)),"Date not recognized",IF(YEAR(A682)&lt;&gt;Settings!$C$4,"Not in "&amp;Settings!$C$4,IF(C682="","Category missing",IF(H682="",IF(COUNTIF(Categories!$A$6:$A$65,C682)&gt;0,"Category has no type","Category not in list"),IF(D682="","Amount missing",IF(NOT(ISNUMBER(D682)),"Amount is not a number",IF(F682="","",IF(ISNA(MATCH(F682,Lists!$G$2:$G$25,0)),"Goal / fund not in list",IF(H682="Income","Fund tag ignored on income","")))))))))))</f>
        <v/>
      </c>
    </row>
    <row r="683">
      <c r="A683" s="27" t="n"/>
      <c r="B683" s="23" t="n"/>
      <c r="C683" s="23" t="n"/>
      <c r="D683" s="28" t="n"/>
      <c r="E683" s="23" t="n"/>
      <c r="F683" s="23" t="n"/>
      <c r="G683" s="23" t="n"/>
      <c r="H683" s="29">
        <f>IF(C683="","",IFERROR(INDEX(Categories!$B$6:$B$65,MATCH(C683,Categories!$A$6:$A$65,0))&amp;"",""))</f>
        <v/>
      </c>
      <c r="I683" s="25">
        <f>IF(AND(A683="",C683="",D683=""),"",IF(A683="","Date missing",IF(NOT(ISNUMBER(A683)),"Date not recognized",IF(YEAR(A683)&lt;&gt;Settings!$C$4,"Not in "&amp;Settings!$C$4,IF(C683="","Category missing",IF(H683="",IF(COUNTIF(Categories!$A$6:$A$65,C683)&gt;0,"Category has no type","Category not in list"),IF(D683="","Amount missing",IF(NOT(ISNUMBER(D683)),"Amount is not a number",IF(F683="","",IF(ISNA(MATCH(F683,Lists!$G$2:$G$25,0)),"Goal / fund not in list",IF(H683="Income","Fund tag ignored on income","")))))))))))</f>
        <v/>
      </c>
    </row>
    <row r="684">
      <c r="A684" s="27" t="n"/>
      <c r="B684" s="23" t="n"/>
      <c r="C684" s="23" t="n"/>
      <c r="D684" s="28" t="n"/>
      <c r="E684" s="23" t="n"/>
      <c r="F684" s="23" t="n"/>
      <c r="G684" s="23" t="n"/>
      <c r="H684" s="29">
        <f>IF(C684="","",IFERROR(INDEX(Categories!$B$6:$B$65,MATCH(C684,Categories!$A$6:$A$65,0))&amp;"",""))</f>
        <v/>
      </c>
      <c r="I684" s="25">
        <f>IF(AND(A684="",C684="",D684=""),"",IF(A684="","Date missing",IF(NOT(ISNUMBER(A684)),"Date not recognized",IF(YEAR(A684)&lt;&gt;Settings!$C$4,"Not in "&amp;Settings!$C$4,IF(C684="","Category missing",IF(H684="",IF(COUNTIF(Categories!$A$6:$A$65,C684)&gt;0,"Category has no type","Category not in list"),IF(D684="","Amount missing",IF(NOT(ISNUMBER(D684)),"Amount is not a number",IF(F684="","",IF(ISNA(MATCH(F684,Lists!$G$2:$G$25,0)),"Goal / fund not in list",IF(H684="Income","Fund tag ignored on income","")))))))))))</f>
        <v/>
      </c>
    </row>
    <row r="685">
      <c r="A685" s="27" t="n"/>
      <c r="B685" s="23" t="n"/>
      <c r="C685" s="23" t="n"/>
      <c r="D685" s="28" t="n"/>
      <c r="E685" s="23" t="n"/>
      <c r="F685" s="23" t="n"/>
      <c r="G685" s="23" t="n"/>
      <c r="H685" s="29">
        <f>IF(C685="","",IFERROR(INDEX(Categories!$B$6:$B$65,MATCH(C685,Categories!$A$6:$A$65,0))&amp;"",""))</f>
        <v/>
      </c>
      <c r="I685" s="25">
        <f>IF(AND(A685="",C685="",D685=""),"",IF(A685="","Date missing",IF(NOT(ISNUMBER(A685)),"Date not recognized",IF(YEAR(A685)&lt;&gt;Settings!$C$4,"Not in "&amp;Settings!$C$4,IF(C685="","Category missing",IF(H685="",IF(COUNTIF(Categories!$A$6:$A$65,C685)&gt;0,"Category has no type","Category not in list"),IF(D685="","Amount missing",IF(NOT(ISNUMBER(D685)),"Amount is not a number",IF(F685="","",IF(ISNA(MATCH(F685,Lists!$G$2:$G$25,0)),"Goal / fund not in list",IF(H685="Income","Fund tag ignored on income","")))))))))))</f>
        <v/>
      </c>
    </row>
    <row r="686">
      <c r="A686" s="27" t="n"/>
      <c r="B686" s="23" t="n"/>
      <c r="C686" s="23" t="n"/>
      <c r="D686" s="28" t="n"/>
      <c r="E686" s="23" t="n"/>
      <c r="F686" s="23" t="n"/>
      <c r="G686" s="23" t="n"/>
      <c r="H686" s="29">
        <f>IF(C686="","",IFERROR(INDEX(Categories!$B$6:$B$65,MATCH(C686,Categories!$A$6:$A$65,0))&amp;"",""))</f>
        <v/>
      </c>
      <c r="I686" s="25">
        <f>IF(AND(A686="",C686="",D686=""),"",IF(A686="","Date missing",IF(NOT(ISNUMBER(A686)),"Date not recognized",IF(YEAR(A686)&lt;&gt;Settings!$C$4,"Not in "&amp;Settings!$C$4,IF(C686="","Category missing",IF(H686="",IF(COUNTIF(Categories!$A$6:$A$65,C686)&gt;0,"Category has no type","Category not in list"),IF(D686="","Amount missing",IF(NOT(ISNUMBER(D686)),"Amount is not a number",IF(F686="","",IF(ISNA(MATCH(F686,Lists!$G$2:$G$25,0)),"Goal / fund not in list",IF(H686="Income","Fund tag ignored on income","")))))))))))</f>
        <v/>
      </c>
    </row>
    <row r="687">
      <c r="A687" s="27" t="n"/>
      <c r="B687" s="23" t="n"/>
      <c r="C687" s="23" t="n"/>
      <c r="D687" s="28" t="n"/>
      <c r="E687" s="23" t="n"/>
      <c r="F687" s="23" t="n"/>
      <c r="G687" s="23" t="n"/>
      <c r="H687" s="29">
        <f>IF(C687="","",IFERROR(INDEX(Categories!$B$6:$B$65,MATCH(C687,Categories!$A$6:$A$65,0))&amp;"",""))</f>
        <v/>
      </c>
      <c r="I687" s="25">
        <f>IF(AND(A687="",C687="",D687=""),"",IF(A687="","Date missing",IF(NOT(ISNUMBER(A687)),"Date not recognized",IF(YEAR(A687)&lt;&gt;Settings!$C$4,"Not in "&amp;Settings!$C$4,IF(C687="","Category missing",IF(H687="",IF(COUNTIF(Categories!$A$6:$A$65,C687)&gt;0,"Category has no type","Category not in list"),IF(D687="","Amount missing",IF(NOT(ISNUMBER(D687)),"Amount is not a number",IF(F687="","",IF(ISNA(MATCH(F687,Lists!$G$2:$G$25,0)),"Goal / fund not in list",IF(H687="Income","Fund tag ignored on income","")))))))))))</f>
        <v/>
      </c>
    </row>
    <row r="688">
      <c r="A688" s="27" t="n"/>
      <c r="B688" s="23" t="n"/>
      <c r="C688" s="23" t="n"/>
      <c r="D688" s="28" t="n"/>
      <c r="E688" s="23" t="n"/>
      <c r="F688" s="23" t="n"/>
      <c r="G688" s="23" t="n"/>
      <c r="H688" s="29">
        <f>IF(C688="","",IFERROR(INDEX(Categories!$B$6:$B$65,MATCH(C688,Categories!$A$6:$A$65,0))&amp;"",""))</f>
        <v/>
      </c>
      <c r="I688" s="25">
        <f>IF(AND(A688="",C688="",D688=""),"",IF(A688="","Date missing",IF(NOT(ISNUMBER(A688)),"Date not recognized",IF(YEAR(A688)&lt;&gt;Settings!$C$4,"Not in "&amp;Settings!$C$4,IF(C688="","Category missing",IF(H688="",IF(COUNTIF(Categories!$A$6:$A$65,C688)&gt;0,"Category has no type","Category not in list"),IF(D688="","Amount missing",IF(NOT(ISNUMBER(D688)),"Amount is not a number",IF(F688="","",IF(ISNA(MATCH(F688,Lists!$G$2:$G$25,0)),"Goal / fund not in list",IF(H688="Income","Fund tag ignored on income","")))))))))))</f>
        <v/>
      </c>
    </row>
    <row r="689">
      <c r="A689" s="27" t="n"/>
      <c r="B689" s="23" t="n"/>
      <c r="C689" s="23" t="n"/>
      <c r="D689" s="28" t="n"/>
      <c r="E689" s="23" t="n"/>
      <c r="F689" s="23" t="n"/>
      <c r="G689" s="23" t="n"/>
      <c r="H689" s="29">
        <f>IF(C689="","",IFERROR(INDEX(Categories!$B$6:$B$65,MATCH(C689,Categories!$A$6:$A$65,0))&amp;"",""))</f>
        <v/>
      </c>
      <c r="I689" s="25">
        <f>IF(AND(A689="",C689="",D689=""),"",IF(A689="","Date missing",IF(NOT(ISNUMBER(A689)),"Date not recognized",IF(YEAR(A689)&lt;&gt;Settings!$C$4,"Not in "&amp;Settings!$C$4,IF(C689="","Category missing",IF(H689="",IF(COUNTIF(Categories!$A$6:$A$65,C689)&gt;0,"Category has no type","Category not in list"),IF(D689="","Amount missing",IF(NOT(ISNUMBER(D689)),"Amount is not a number",IF(F689="","",IF(ISNA(MATCH(F689,Lists!$G$2:$G$25,0)),"Goal / fund not in list",IF(H689="Income","Fund tag ignored on income","")))))))))))</f>
        <v/>
      </c>
    </row>
    <row r="690">
      <c r="A690" s="27" t="n"/>
      <c r="B690" s="23" t="n"/>
      <c r="C690" s="23" t="n"/>
      <c r="D690" s="28" t="n"/>
      <c r="E690" s="23" t="n"/>
      <c r="F690" s="23" t="n"/>
      <c r="G690" s="23" t="n"/>
      <c r="H690" s="29">
        <f>IF(C690="","",IFERROR(INDEX(Categories!$B$6:$B$65,MATCH(C690,Categories!$A$6:$A$65,0))&amp;"",""))</f>
        <v/>
      </c>
      <c r="I690" s="25">
        <f>IF(AND(A690="",C690="",D690=""),"",IF(A690="","Date missing",IF(NOT(ISNUMBER(A690)),"Date not recognized",IF(YEAR(A690)&lt;&gt;Settings!$C$4,"Not in "&amp;Settings!$C$4,IF(C690="","Category missing",IF(H690="",IF(COUNTIF(Categories!$A$6:$A$65,C690)&gt;0,"Category has no type","Category not in list"),IF(D690="","Amount missing",IF(NOT(ISNUMBER(D690)),"Amount is not a number",IF(F690="","",IF(ISNA(MATCH(F690,Lists!$G$2:$G$25,0)),"Goal / fund not in list",IF(H690="Income","Fund tag ignored on income","")))))))))))</f>
        <v/>
      </c>
    </row>
    <row r="691">
      <c r="A691" s="27" t="n"/>
      <c r="B691" s="23" t="n"/>
      <c r="C691" s="23" t="n"/>
      <c r="D691" s="28" t="n"/>
      <c r="E691" s="23" t="n"/>
      <c r="F691" s="23" t="n"/>
      <c r="G691" s="23" t="n"/>
      <c r="H691" s="29">
        <f>IF(C691="","",IFERROR(INDEX(Categories!$B$6:$B$65,MATCH(C691,Categories!$A$6:$A$65,0))&amp;"",""))</f>
        <v/>
      </c>
      <c r="I691" s="25">
        <f>IF(AND(A691="",C691="",D691=""),"",IF(A691="","Date missing",IF(NOT(ISNUMBER(A691)),"Date not recognized",IF(YEAR(A691)&lt;&gt;Settings!$C$4,"Not in "&amp;Settings!$C$4,IF(C691="","Category missing",IF(H691="",IF(COUNTIF(Categories!$A$6:$A$65,C691)&gt;0,"Category has no type","Category not in list"),IF(D691="","Amount missing",IF(NOT(ISNUMBER(D691)),"Amount is not a number",IF(F691="","",IF(ISNA(MATCH(F691,Lists!$G$2:$G$25,0)),"Goal / fund not in list",IF(H691="Income","Fund tag ignored on income","")))))))))))</f>
        <v/>
      </c>
    </row>
    <row r="692">
      <c r="A692" s="27" t="n"/>
      <c r="B692" s="23" t="n"/>
      <c r="C692" s="23" t="n"/>
      <c r="D692" s="28" t="n"/>
      <c r="E692" s="23" t="n"/>
      <c r="F692" s="23" t="n"/>
      <c r="G692" s="23" t="n"/>
      <c r="H692" s="29">
        <f>IF(C692="","",IFERROR(INDEX(Categories!$B$6:$B$65,MATCH(C692,Categories!$A$6:$A$65,0))&amp;"",""))</f>
        <v/>
      </c>
      <c r="I692" s="25">
        <f>IF(AND(A692="",C692="",D692=""),"",IF(A692="","Date missing",IF(NOT(ISNUMBER(A692)),"Date not recognized",IF(YEAR(A692)&lt;&gt;Settings!$C$4,"Not in "&amp;Settings!$C$4,IF(C692="","Category missing",IF(H692="",IF(COUNTIF(Categories!$A$6:$A$65,C692)&gt;0,"Category has no type","Category not in list"),IF(D692="","Amount missing",IF(NOT(ISNUMBER(D692)),"Amount is not a number",IF(F692="","",IF(ISNA(MATCH(F692,Lists!$G$2:$G$25,0)),"Goal / fund not in list",IF(H692="Income","Fund tag ignored on income","")))))))))))</f>
        <v/>
      </c>
    </row>
    <row r="693">
      <c r="A693" s="27" t="n"/>
      <c r="B693" s="23" t="n"/>
      <c r="C693" s="23" t="n"/>
      <c r="D693" s="28" t="n"/>
      <c r="E693" s="23" t="n"/>
      <c r="F693" s="23" t="n"/>
      <c r="G693" s="23" t="n"/>
      <c r="H693" s="29">
        <f>IF(C693="","",IFERROR(INDEX(Categories!$B$6:$B$65,MATCH(C693,Categories!$A$6:$A$65,0))&amp;"",""))</f>
        <v/>
      </c>
      <c r="I693" s="25">
        <f>IF(AND(A693="",C693="",D693=""),"",IF(A693="","Date missing",IF(NOT(ISNUMBER(A693)),"Date not recognized",IF(YEAR(A693)&lt;&gt;Settings!$C$4,"Not in "&amp;Settings!$C$4,IF(C693="","Category missing",IF(H693="",IF(COUNTIF(Categories!$A$6:$A$65,C693)&gt;0,"Category has no type","Category not in list"),IF(D693="","Amount missing",IF(NOT(ISNUMBER(D693)),"Amount is not a number",IF(F693="","",IF(ISNA(MATCH(F693,Lists!$G$2:$G$25,0)),"Goal / fund not in list",IF(H693="Income","Fund tag ignored on income","")))))))))))</f>
        <v/>
      </c>
    </row>
    <row r="694">
      <c r="A694" s="27" t="n"/>
      <c r="B694" s="23" t="n"/>
      <c r="C694" s="23" t="n"/>
      <c r="D694" s="28" t="n"/>
      <c r="E694" s="23" t="n"/>
      <c r="F694" s="23" t="n"/>
      <c r="G694" s="23" t="n"/>
      <c r="H694" s="29">
        <f>IF(C694="","",IFERROR(INDEX(Categories!$B$6:$B$65,MATCH(C694,Categories!$A$6:$A$65,0))&amp;"",""))</f>
        <v/>
      </c>
      <c r="I694" s="25">
        <f>IF(AND(A694="",C694="",D694=""),"",IF(A694="","Date missing",IF(NOT(ISNUMBER(A694)),"Date not recognized",IF(YEAR(A694)&lt;&gt;Settings!$C$4,"Not in "&amp;Settings!$C$4,IF(C694="","Category missing",IF(H694="",IF(COUNTIF(Categories!$A$6:$A$65,C694)&gt;0,"Category has no type","Category not in list"),IF(D694="","Amount missing",IF(NOT(ISNUMBER(D694)),"Amount is not a number",IF(F694="","",IF(ISNA(MATCH(F694,Lists!$G$2:$G$25,0)),"Goal / fund not in list",IF(H694="Income","Fund tag ignored on income","")))))))))))</f>
        <v/>
      </c>
    </row>
    <row r="695">
      <c r="A695" s="27" t="n"/>
      <c r="B695" s="23" t="n"/>
      <c r="C695" s="23" t="n"/>
      <c r="D695" s="28" t="n"/>
      <c r="E695" s="23" t="n"/>
      <c r="F695" s="23" t="n"/>
      <c r="G695" s="23" t="n"/>
      <c r="H695" s="29">
        <f>IF(C695="","",IFERROR(INDEX(Categories!$B$6:$B$65,MATCH(C695,Categories!$A$6:$A$65,0))&amp;"",""))</f>
        <v/>
      </c>
      <c r="I695" s="25">
        <f>IF(AND(A695="",C695="",D695=""),"",IF(A695="","Date missing",IF(NOT(ISNUMBER(A695)),"Date not recognized",IF(YEAR(A695)&lt;&gt;Settings!$C$4,"Not in "&amp;Settings!$C$4,IF(C695="","Category missing",IF(H695="",IF(COUNTIF(Categories!$A$6:$A$65,C695)&gt;0,"Category has no type","Category not in list"),IF(D695="","Amount missing",IF(NOT(ISNUMBER(D695)),"Amount is not a number",IF(F695="","",IF(ISNA(MATCH(F695,Lists!$G$2:$G$25,0)),"Goal / fund not in list",IF(H695="Income","Fund tag ignored on income","")))))))))))</f>
        <v/>
      </c>
    </row>
    <row r="696">
      <c r="A696" s="27" t="n"/>
      <c r="B696" s="23" t="n"/>
      <c r="C696" s="23" t="n"/>
      <c r="D696" s="28" t="n"/>
      <c r="E696" s="23" t="n"/>
      <c r="F696" s="23" t="n"/>
      <c r="G696" s="23" t="n"/>
      <c r="H696" s="29">
        <f>IF(C696="","",IFERROR(INDEX(Categories!$B$6:$B$65,MATCH(C696,Categories!$A$6:$A$65,0))&amp;"",""))</f>
        <v/>
      </c>
      <c r="I696" s="25">
        <f>IF(AND(A696="",C696="",D696=""),"",IF(A696="","Date missing",IF(NOT(ISNUMBER(A696)),"Date not recognized",IF(YEAR(A696)&lt;&gt;Settings!$C$4,"Not in "&amp;Settings!$C$4,IF(C696="","Category missing",IF(H696="",IF(COUNTIF(Categories!$A$6:$A$65,C696)&gt;0,"Category has no type","Category not in list"),IF(D696="","Amount missing",IF(NOT(ISNUMBER(D696)),"Amount is not a number",IF(F696="","",IF(ISNA(MATCH(F696,Lists!$G$2:$G$25,0)),"Goal / fund not in list",IF(H696="Income","Fund tag ignored on income","")))))))))))</f>
        <v/>
      </c>
    </row>
    <row r="697">
      <c r="A697" s="27" t="n"/>
      <c r="B697" s="23" t="n"/>
      <c r="C697" s="23" t="n"/>
      <c r="D697" s="28" t="n"/>
      <c r="E697" s="23" t="n"/>
      <c r="F697" s="23" t="n"/>
      <c r="G697" s="23" t="n"/>
      <c r="H697" s="29">
        <f>IF(C697="","",IFERROR(INDEX(Categories!$B$6:$B$65,MATCH(C697,Categories!$A$6:$A$65,0))&amp;"",""))</f>
        <v/>
      </c>
      <c r="I697" s="25">
        <f>IF(AND(A697="",C697="",D697=""),"",IF(A697="","Date missing",IF(NOT(ISNUMBER(A697)),"Date not recognized",IF(YEAR(A697)&lt;&gt;Settings!$C$4,"Not in "&amp;Settings!$C$4,IF(C697="","Category missing",IF(H697="",IF(COUNTIF(Categories!$A$6:$A$65,C697)&gt;0,"Category has no type","Category not in list"),IF(D697="","Amount missing",IF(NOT(ISNUMBER(D697)),"Amount is not a number",IF(F697="","",IF(ISNA(MATCH(F697,Lists!$G$2:$G$25,0)),"Goal / fund not in list",IF(H697="Income","Fund tag ignored on income","")))))))))))</f>
        <v/>
      </c>
    </row>
    <row r="698">
      <c r="A698" s="27" t="n"/>
      <c r="B698" s="23" t="n"/>
      <c r="C698" s="23" t="n"/>
      <c r="D698" s="28" t="n"/>
      <c r="E698" s="23" t="n"/>
      <c r="F698" s="23" t="n"/>
      <c r="G698" s="23" t="n"/>
      <c r="H698" s="29">
        <f>IF(C698="","",IFERROR(INDEX(Categories!$B$6:$B$65,MATCH(C698,Categories!$A$6:$A$65,0))&amp;"",""))</f>
        <v/>
      </c>
      <c r="I698" s="25">
        <f>IF(AND(A698="",C698="",D698=""),"",IF(A698="","Date missing",IF(NOT(ISNUMBER(A698)),"Date not recognized",IF(YEAR(A698)&lt;&gt;Settings!$C$4,"Not in "&amp;Settings!$C$4,IF(C698="","Category missing",IF(H698="",IF(COUNTIF(Categories!$A$6:$A$65,C698)&gt;0,"Category has no type","Category not in list"),IF(D698="","Amount missing",IF(NOT(ISNUMBER(D698)),"Amount is not a number",IF(F698="","",IF(ISNA(MATCH(F698,Lists!$G$2:$G$25,0)),"Goal / fund not in list",IF(H698="Income","Fund tag ignored on income","")))))))))))</f>
        <v/>
      </c>
    </row>
    <row r="699">
      <c r="A699" s="27" t="n"/>
      <c r="B699" s="23" t="n"/>
      <c r="C699" s="23" t="n"/>
      <c r="D699" s="28" t="n"/>
      <c r="E699" s="23" t="n"/>
      <c r="F699" s="23" t="n"/>
      <c r="G699" s="23" t="n"/>
      <c r="H699" s="29">
        <f>IF(C699="","",IFERROR(INDEX(Categories!$B$6:$B$65,MATCH(C699,Categories!$A$6:$A$65,0))&amp;"",""))</f>
        <v/>
      </c>
      <c r="I699" s="25">
        <f>IF(AND(A699="",C699="",D699=""),"",IF(A699="","Date missing",IF(NOT(ISNUMBER(A699)),"Date not recognized",IF(YEAR(A699)&lt;&gt;Settings!$C$4,"Not in "&amp;Settings!$C$4,IF(C699="","Category missing",IF(H699="",IF(COUNTIF(Categories!$A$6:$A$65,C699)&gt;0,"Category has no type","Category not in list"),IF(D699="","Amount missing",IF(NOT(ISNUMBER(D699)),"Amount is not a number",IF(F699="","",IF(ISNA(MATCH(F699,Lists!$G$2:$G$25,0)),"Goal / fund not in list",IF(H699="Income","Fund tag ignored on income","")))))))))))</f>
        <v/>
      </c>
    </row>
    <row r="700">
      <c r="A700" s="27" t="n"/>
      <c r="B700" s="23" t="n"/>
      <c r="C700" s="23" t="n"/>
      <c r="D700" s="28" t="n"/>
      <c r="E700" s="23" t="n"/>
      <c r="F700" s="23" t="n"/>
      <c r="G700" s="23" t="n"/>
      <c r="H700" s="29">
        <f>IF(C700="","",IFERROR(INDEX(Categories!$B$6:$B$65,MATCH(C700,Categories!$A$6:$A$65,0))&amp;"",""))</f>
        <v/>
      </c>
      <c r="I700" s="25">
        <f>IF(AND(A700="",C700="",D700=""),"",IF(A700="","Date missing",IF(NOT(ISNUMBER(A700)),"Date not recognized",IF(YEAR(A700)&lt;&gt;Settings!$C$4,"Not in "&amp;Settings!$C$4,IF(C700="","Category missing",IF(H700="",IF(COUNTIF(Categories!$A$6:$A$65,C700)&gt;0,"Category has no type","Category not in list"),IF(D700="","Amount missing",IF(NOT(ISNUMBER(D700)),"Amount is not a number",IF(F700="","",IF(ISNA(MATCH(F700,Lists!$G$2:$G$25,0)),"Goal / fund not in list",IF(H700="Income","Fund tag ignored on income","")))))))))))</f>
        <v/>
      </c>
    </row>
    <row r="701">
      <c r="A701" s="27" t="n"/>
      <c r="B701" s="23" t="n"/>
      <c r="C701" s="23" t="n"/>
      <c r="D701" s="28" t="n"/>
      <c r="E701" s="23" t="n"/>
      <c r="F701" s="23" t="n"/>
      <c r="G701" s="23" t="n"/>
      <c r="H701" s="29">
        <f>IF(C701="","",IFERROR(INDEX(Categories!$B$6:$B$65,MATCH(C701,Categories!$A$6:$A$65,0))&amp;"",""))</f>
        <v/>
      </c>
      <c r="I701" s="25">
        <f>IF(AND(A701="",C701="",D701=""),"",IF(A701="","Date missing",IF(NOT(ISNUMBER(A701)),"Date not recognized",IF(YEAR(A701)&lt;&gt;Settings!$C$4,"Not in "&amp;Settings!$C$4,IF(C701="","Category missing",IF(H701="",IF(COUNTIF(Categories!$A$6:$A$65,C701)&gt;0,"Category has no type","Category not in list"),IF(D701="","Amount missing",IF(NOT(ISNUMBER(D701)),"Amount is not a number",IF(F701="","",IF(ISNA(MATCH(F701,Lists!$G$2:$G$25,0)),"Goal / fund not in list",IF(H701="Income","Fund tag ignored on income","")))))))))))</f>
        <v/>
      </c>
    </row>
    <row r="702">
      <c r="A702" s="27" t="n"/>
      <c r="B702" s="23" t="n"/>
      <c r="C702" s="23" t="n"/>
      <c r="D702" s="28" t="n"/>
      <c r="E702" s="23" t="n"/>
      <c r="F702" s="23" t="n"/>
      <c r="G702" s="23" t="n"/>
      <c r="H702" s="29">
        <f>IF(C702="","",IFERROR(INDEX(Categories!$B$6:$B$65,MATCH(C702,Categories!$A$6:$A$65,0))&amp;"",""))</f>
        <v/>
      </c>
      <c r="I702" s="25">
        <f>IF(AND(A702="",C702="",D702=""),"",IF(A702="","Date missing",IF(NOT(ISNUMBER(A702)),"Date not recognized",IF(YEAR(A702)&lt;&gt;Settings!$C$4,"Not in "&amp;Settings!$C$4,IF(C702="","Category missing",IF(H702="",IF(COUNTIF(Categories!$A$6:$A$65,C702)&gt;0,"Category has no type","Category not in list"),IF(D702="","Amount missing",IF(NOT(ISNUMBER(D702)),"Amount is not a number",IF(F702="","",IF(ISNA(MATCH(F702,Lists!$G$2:$G$25,0)),"Goal / fund not in list",IF(H702="Income","Fund tag ignored on income","")))))))))))</f>
        <v/>
      </c>
    </row>
    <row r="703">
      <c r="A703" s="27" t="n"/>
      <c r="B703" s="23" t="n"/>
      <c r="C703" s="23" t="n"/>
      <c r="D703" s="28" t="n"/>
      <c r="E703" s="23" t="n"/>
      <c r="F703" s="23" t="n"/>
      <c r="G703" s="23" t="n"/>
      <c r="H703" s="29">
        <f>IF(C703="","",IFERROR(INDEX(Categories!$B$6:$B$65,MATCH(C703,Categories!$A$6:$A$65,0))&amp;"",""))</f>
        <v/>
      </c>
      <c r="I703" s="25">
        <f>IF(AND(A703="",C703="",D703=""),"",IF(A703="","Date missing",IF(NOT(ISNUMBER(A703)),"Date not recognized",IF(YEAR(A703)&lt;&gt;Settings!$C$4,"Not in "&amp;Settings!$C$4,IF(C703="","Category missing",IF(H703="",IF(COUNTIF(Categories!$A$6:$A$65,C703)&gt;0,"Category has no type","Category not in list"),IF(D703="","Amount missing",IF(NOT(ISNUMBER(D703)),"Amount is not a number",IF(F703="","",IF(ISNA(MATCH(F703,Lists!$G$2:$G$25,0)),"Goal / fund not in list",IF(H703="Income","Fund tag ignored on income","")))))))))))</f>
        <v/>
      </c>
    </row>
    <row r="704">
      <c r="A704" s="27" t="n"/>
      <c r="B704" s="23" t="n"/>
      <c r="C704" s="23" t="n"/>
      <c r="D704" s="28" t="n"/>
      <c r="E704" s="23" t="n"/>
      <c r="F704" s="23" t="n"/>
      <c r="G704" s="23" t="n"/>
      <c r="H704" s="29">
        <f>IF(C704="","",IFERROR(INDEX(Categories!$B$6:$B$65,MATCH(C704,Categories!$A$6:$A$65,0))&amp;"",""))</f>
        <v/>
      </c>
      <c r="I704" s="25">
        <f>IF(AND(A704="",C704="",D704=""),"",IF(A704="","Date missing",IF(NOT(ISNUMBER(A704)),"Date not recognized",IF(YEAR(A704)&lt;&gt;Settings!$C$4,"Not in "&amp;Settings!$C$4,IF(C704="","Category missing",IF(H704="",IF(COUNTIF(Categories!$A$6:$A$65,C704)&gt;0,"Category has no type","Category not in list"),IF(D704="","Amount missing",IF(NOT(ISNUMBER(D704)),"Amount is not a number",IF(F704="","",IF(ISNA(MATCH(F704,Lists!$G$2:$G$25,0)),"Goal / fund not in list",IF(H704="Income","Fund tag ignored on income","")))))))))))</f>
        <v/>
      </c>
    </row>
    <row r="705">
      <c r="A705" s="27" t="n"/>
      <c r="B705" s="23" t="n"/>
      <c r="C705" s="23" t="n"/>
      <c r="D705" s="28" t="n"/>
      <c r="E705" s="23" t="n"/>
      <c r="F705" s="23" t="n"/>
      <c r="G705" s="23" t="n"/>
      <c r="H705" s="29">
        <f>IF(C705="","",IFERROR(INDEX(Categories!$B$6:$B$65,MATCH(C705,Categories!$A$6:$A$65,0))&amp;"",""))</f>
        <v/>
      </c>
      <c r="I705" s="25">
        <f>IF(AND(A705="",C705="",D705=""),"",IF(A705="","Date missing",IF(NOT(ISNUMBER(A705)),"Date not recognized",IF(YEAR(A705)&lt;&gt;Settings!$C$4,"Not in "&amp;Settings!$C$4,IF(C705="","Category missing",IF(H705="",IF(COUNTIF(Categories!$A$6:$A$65,C705)&gt;0,"Category has no type","Category not in list"),IF(D705="","Amount missing",IF(NOT(ISNUMBER(D705)),"Amount is not a number",IF(F705="","",IF(ISNA(MATCH(F705,Lists!$G$2:$G$25,0)),"Goal / fund not in list",IF(H705="Income","Fund tag ignored on income","")))))))))))</f>
        <v/>
      </c>
    </row>
    <row r="706">
      <c r="A706" s="27" t="n"/>
      <c r="B706" s="23" t="n"/>
      <c r="C706" s="23" t="n"/>
      <c r="D706" s="28" t="n"/>
      <c r="E706" s="23" t="n"/>
      <c r="F706" s="23" t="n"/>
      <c r="G706" s="23" t="n"/>
      <c r="H706" s="29">
        <f>IF(C706="","",IFERROR(INDEX(Categories!$B$6:$B$65,MATCH(C706,Categories!$A$6:$A$65,0))&amp;"",""))</f>
        <v/>
      </c>
      <c r="I706" s="25">
        <f>IF(AND(A706="",C706="",D706=""),"",IF(A706="","Date missing",IF(NOT(ISNUMBER(A706)),"Date not recognized",IF(YEAR(A706)&lt;&gt;Settings!$C$4,"Not in "&amp;Settings!$C$4,IF(C706="","Category missing",IF(H706="",IF(COUNTIF(Categories!$A$6:$A$65,C706)&gt;0,"Category has no type","Category not in list"),IF(D706="","Amount missing",IF(NOT(ISNUMBER(D706)),"Amount is not a number",IF(F706="","",IF(ISNA(MATCH(F706,Lists!$G$2:$G$25,0)),"Goal / fund not in list",IF(H706="Income","Fund tag ignored on income","")))))))))))</f>
        <v/>
      </c>
    </row>
    <row r="707">
      <c r="A707" s="27" t="n"/>
      <c r="B707" s="23" t="n"/>
      <c r="C707" s="23" t="n"/>
      <c r="D707" s="28" t="n"/>
      <c r="E707" s="23" t="n"/>
      <c r="F707" s="23" t="n"/>
      <c r="G707" s="23" t="n"/>
      <c r="H707" s="29">
        <f>IF(C707="","",IFERROR(INDEX(Categories!$B$6:$B$65,MATCH(C707,Categories!$A$6:$A$65,0))&amp;"",""))</f>
        <v/>
      </c>
      <c r="I707" s="25">
        <f>IF(AND(A707="",C707="",D707=""),"",IF(A707="","Date missing",IF(NOT(ISNUMBER(A707)),"Date not recognized",IF(YEAR(A707)&lt;&gt;Settings!$C$4,"Not in "&amp;Settings!$C$4,IF(C707="","Category missing",IF(H707="",IF(COUNTIF(Categories!$A$6:$A$65,C707)&gt;0,"Category has no type","Category not in list"),IF(D707="","Amount missing",IF(NOT(ISNUMBER(D707)),"Amount is not a number",IF(F707="","",IF(ISNA(MATCH(F707,Lists!$G$2:$G$25,0)),"Goal / fund not in list",IF(H707="Income","Fund tag ignored on income","")))))))))))</f>
        <v/>
      </c>
    </row>
    <row r="708">
      <c r="A708" s="27" t="n"/>
      <c r="B708" s="23" t="n"/>
      <c r="C708" s="23" t="n"/>
      <c r="D708" s="28" t="n"/>
      <c r="E708" s="23" t="n"/>
      <c r="F708" s="23" t="n"/>
      <c r="G708" s="23" t="n"/>
      <c r="H708" s="29">
        <f>IF(C708="","",IFERROR(INDEX(Categories!$B$6:$B$65,MATCH(C708,Categories!$A$6:$A$65,0))&amp;"",""))</f>
        <v/>
      </c>
      <c r="I708" s="25">
        <f>IF(AND(A708="",C708="",D708=""),"",IF(A708="","Date missing",IF(NOT(ISNUMBER(A708)),"Date not recognized",IF(YEAR(A708)&lt;&gt;Settings!$C$4,"Not in "&amp;Settings!$C$4,IF(C708="","Category missing",IF(H708="",IF(COUNTIF(Categories!$A$6:$A$65,C708)&gt;0,"Category has no type","Category not in list"),IF(D708="","Amount missing",IF(NOT(ISNUMBER(D708)),"Amount is not a number",IF(F708="","",IF(ISNA(MATCH(F708,Lists!$G$2:$G$25,0)),"Goal / fund not in list",IF(H708="Income","Fund tag ignored on income","")))))))))))</f>
        <v/>
      </c>
    </row>
    <row r="709">
      <c r="A709" s="27" t="n"/>
      <c r="B709" s="23" t="n"/>
      <c r="C709" s="23" t="n"/>
      <c r="D709" s="28" t="n"/>
      <c r="E709" s="23" t="n"/>
      <c r="F709" s="23" t="n"/>
      <c r="G709" s="23" t="n"/>
      <c r="H709" s="29">
        <f>IF(C709="","",IFERROR(INDEX(Categories!$B$6:$B$65,MATCH(C709,Categories!$A$6:$A$65,0))&amp;"",""))</f>
        <v/>
      </c>
      <c r="I709" s="25">
        <f>IF(AND(A709="",C709="",D709=""),"",IF(A709="","Date missing",IF(NOT(ISNUMBER(A709)),"Date not recognized",IF(YEAR(A709)&lt;&gt;Settings!$C$4,"Not in "&amp;Settings!$C$4,IF(C709="","Category missing",IF(H709="",IF(COUNTIF(Categories!$A$6:$A$65,C709)&gt;0,"Category has no type","Category not in list"),IF(D709="","Amount missing",IF(NOT(ISNUMBER(D709)),"Amount is not a number",IF(F709="","",IF(ISNA(MATCH(F709,Lists!$G$2:$G$25,0)),"Goal / fund not in list",IF(H709="Income","Fund tag ignored on income","")))))))))))</f>
        <v/>
      </c>
    </row>
    <row r="710">
      <c r="A710" s="27" t="n"/>
      <c r="B710" s="23" t="n"/>
      <c r="C710" s="23" t="n"/>
      <c r="D710" s="28" t="n"/>
      <c r="E710" s="23" t="n"/>
      <c r="F710" s="23" t="n"/>
      <c r="G710" s="23" t="n"/>
      <c r="H710" s="29">
        <f>IF(C710="","",IFERROR(INDEX(Categories!$B$6:$B$65,MATCH(C710,Categories!$A$6:$A$65,0))&amp;"",""))</f>
        <v/>
      </c>
      <c r="I710" s="25">
        <f>IF(AND(A710="",C710="",D710=""),"",IF(A710="","Date missing",IF(NOT(ISNUMBER(A710)),"Date not recognized",IF(YEAR(A710)&lt;&gt;Settings!$C$4,"Not in "&amp;Settings!$C$4,IF(C710="","Category missing",IF(H710="",IF(COUNTIF(Categories!$A$6:$A$65,C710)&gt;0,"Category has no type","Category not in list"),IF(D710="","Amount missing",IF(NOT(ISNUMBER(D710)),"Amount is not a number",IF(F710="","",IF(ISNA(MATCH(F710,Lists!$G$2:$G$25,0)),"Goal / fund not in list",IF(H710="Income","Fund tag ignored on income","")))))))))))</f>
        <v/>
      </c>
    </row>
    <row r="711">
      <c r="A711" s="27" t="n"/>
      <c r="B711" s="23" t="n"/>
      <c r="C711" s="23" t="n"/>
      <c r="D711" s="28" t="n"/>
      <c r="E711" s="23" t="n"/>
      <c r="F711" s="23" t="n"/>
      <c r="G711" s="23" t="n"/>
      <c r="H711" s="29">
        <f>IF(C711="","",IFERROR(INDEX(Categories!$B$6:$B$65,MATCH(C711,Categories!$A$6:$A$65,0))&amp;"",""))</f>
        <v/>
      </c>
      <c r="I711" s="25">
        <f>IF(AND(A711="",C711="",D711=""),"",IF(A711="","Date missing",IF(NOT(ISNUMBER(A711)),"Date not recognized",IF(YEAR(A711)&lt;&gt;Settings!$C$4,"Not in "&amp;Settings!$C$4,IF(C711="","Category missing",IF(H711="",IF(COUNTIF(Categories!$A$6:$A$65,C711)&gt;0,"Category has no type","Category not in list"),IF(D711="","Amount missing",IF(NOT(ISNUMBER(D711)),"Amount is not a number",IF(F711="","",IF(ISNA(MATCH(F711,Lists!$G$2:$G$25,0)),"Goal / fund not in list",IF(H711="Income","Fund tag ignored on income","")))))))))))</f>
        <v/>
      </c>
    </row>
    <row r="712">
      <c r="A712" s="27" t="n"/>
      <c r="B712" s="23" t="n"/>
      <c r="C712" s="23" t="n"/>
      <c r="D712" s="28" t="n"/>
      <c r="E712" s="23" t="n"/>
      <c r="F712" s="23" t="n"/>
      <c r="G712" s="23" t="n"/>
      <c r="H712" s="29">
        <f>IF(C712="","",IFERROR(INDEX(Categories!$B$6:$B$65,MATCH(C712,Categories!$A$6:$A$65,0))&amp;"",""))</f>
        <v/>
      </c>
      <c r="I712" s="25">
        <f>IF(AND(A712="",C712="",D712=""),"",IF(A712="","Date missing",IF(NOT(ISNUMBER(A712)),"Date not recognized",IF(YEAR(A712)&lt;&gt;Settings!$C$4,"Not in "&amp;Settings!$C$4,IF(C712="","Category missing",IF(H712="",IF(COUNTIF(Categories!$A$6:$A$65,C712)&gt;0,"Category has no type","Category not in list"),IF(D712="","Amount missing",IF(NOT(ISNUMBER(D712)),"Amount is not a number",IF(F712="","",IF(ISNA(MATCH(F712,Lists!$G$2:$G$25,0)),"Goal / fund not in list",IF(H712="Income","Fund tag ignored on income","")))))))))))</f>
        <v/>
      </c>
    </row>
    <row r="713">
      <c r="A713" s="27" t="n"/>
      <c r="B713" s="23" t="n"/>
      <c r="C713" s="23" t="n"/>
      <c r="D713" s="28" t="n"/>
      <c r="E713" s="23" t="n"/>
      <c r="F713" s="23" t="n"/>
      <c r="G713" s="23" t="n"/>
      <c r="H713" s="29">
        <f>IF(C713="","",IFERROR(INDEX(Categories!$B$6:$B$65,MATCH(C713,Categories!$A$6:$A$65,0))&amp;"",""))</f>
        <v/>
      </c>
      <c r="I713" s="25">
        <f>IF(AND(A713="",C713="",D713=""),"",IF(A713="","Date missing",IF(NOT(ISNUMBER(A713)),"Date not recognized",IF(YEAR(A713)&lt;&gt;Settings!$C$4,"Not in "&amp;Settings!$C$4,IF(C713="","Category missing",IF(H713="",IF(COUNTIF(Categories!$A$6:$A$65,C713)&gt;0,"Category has no type","Category not in list"),IF(D713="","Amount missing",IF(NOT(ISNUMBER(D713)),"Amount is not a number",IF(F713="","",IF(ISNA(MATCH(F713,Lists!$G$2:$G$25,0)),"Goal / fund not in list",IF(H713="Income","Fund tag ignored on income","")))))))))))</f>
        <v/>
      </c>
    </row>
    <row r="714">
      <c r="A714" s="27" t="n"/>
      <c r="B714" s="23" t="n"/>
      <c r="C714" s="23" t="n"/>
      <c r="D714" s="28" t="n"/>
      <c r="E714" s="23" t="n"/>
      <c r="F714" s="23" t="n"/>
      <c r="G714" s="23" t="n"/>
      <c r="H714" s="29">
        <f>IF(C714="","",IFERROR(INDEX(Categories!$B$6:$B$65,MATCH(C714,Categories!$A$6:$A$65,0))&amp;"",""))</f>
        <v/>
      </c>
      <c r="I714" s="25">
        <f>IF(AND(A714="",C714="",D714=""),"",IF(A714="","Date missing",IF(NOT(ISNUMBER(A714)),"Date not recognized",IF(YEAR(A714)&lt;&gt;Settings!$C$4,"Not in "&amp;Settings!$C$4,IF(C714="","Category missing",IF(H714="",IF(COUNTIF(Categories!$A$6:$A$65,C714)&gt;0,"Category has no type","Category not in list"),IF(D714="","Amount missing",IF(NOT(ISNUMBER(D714)),"Amount is not a number",IF(F714="","",IF(ISNA(MATCH(F714,Lists!$G$2:$G$25,0)),"Goal / fund not in list",IF(H714="Income","Fund tag ignored on income","")))))))))))</f>
        <v/>
      </c>
    </row>
    <row r="715">
      <c r="A715" s="27" t="n"/>
      <c r="B715" s="23" t="n"/>
      <c r="C715" s="23" t="n"/>
      <c r="D715" s="28" t="n"/>
      <c r="E715" s="23" t="n"/>
      <c r="F715" s="23" t="n"/>
      <c r="G715" s="23" t="n"/>
      <c r="H715" s="29">
        <f>IF(C715="","",IFERROR(INDEX(Categories!$B$6:$B$65,MATCH(C715,Categories!$A$6:$A$65,0))&amp;"",""))</f>
        <v/>
      </c>
      <c r="I715" s="25">
        <f>IF(AND(A715="",C715="",D715=""),"",IF(A715="","Date missing",IF(NOT(ISNUMBER(A715)),"Date not recognized",IF(YEAR(A715)&lt;&gt;Settings!$C$4,"Not in "&amp;Settings!$C$4,IF(C715="","Category missing",IF(H715="",IF(COUNTIF(Categories!$A$6:$A$65,C715)&gt;0,"Category has no type","Category not in list"),IF(D715="","Amount missing",IF(NOT(ISNUMBER(D715)),"Amount is not a number",IF(F715="","",IF(ISNA(MATCH(F715,Lists!$G$2:$G$25,0)),"Goal / fund not in list",IF(H715="Income","Fund tag ignored on income","")))))))))))</f>
        <v/>
      </c>
    </row>
    <row r="716">
      <c r="A716" s="27" t="n"/>
      <c r="B716" s="23" t="n"/>
      <c r="C716" s="23" t="n"/>
      <c r="D716" s="28" t="n"/>
      <c r="E716" s="23" t="n"/>
      <c r="F716" s="23" t="n"/>
      <c r="G716" s="23" t="n"/>
      <c r="H716" s="29">
        <f>IF(C716="","",IFERROR(INDEX(Categories!$B$6:$B$65,MATCH(C716,Categories!$A$6:$A$65,0))&amp;"",""))</f>
        <v/>
      </c>
      <c r="I716" s="25">
        <f>IF(AND(A716="",C716="",D716=""),"",IF(A716="","Date missing",IF(NOT(ISNUMBER(A716)),"Date not recognized",IF(YEAR(A716)&lt;&gt;Settings!$C$4,"Not in "&amp;Settings!$C$4,IF(C716="","Category missing",IF(H716="",IF(COUNTIF(Categories!$A$6:$A$65,C716)&gt;0,"Category has no type","Category not in list"),IF(D716="","Amount missing",IF(NOT(ISNUMBER(D716)),"Amount is not a number",IF(F716="","",IF(ISNA(MATCH(F716,Lists!$G$2:$G$25,0)),"Goal / fund not in list",IF(H716="Income","Fund tag ignored on income","")))))))))))</f>
        <v/>
      </c>
    </row>
    <row r="717">
      <c r="A717" s="27" t="n"/>
      <c r="B717" s="23" t="n"/>
      <c r="C717" s="23" t="n"/>
      <c r="D717" s="28" t="n"/>
      <c r="E717" s="23" t="n"/>
      <c r="F717" s="23" t="n"/>
      <c r="G717" s="23" t="n"/>
      <c r="H717" s="29">
        <f>IF(C717="","",IFERROR(INDEX(Categories!$B$6:$B$65,MATCH(C717,Categories!$A$6:$A$65,0))&amp;"",""))</f>
        <v/>
      </c>
      <c r="I717" s="25">
        <f>IF(AND(A717="",C717="",D717=""),"",IF(A717="","Date missing",IF(NOT(ISNUMBER(A717)),"Date not recognized",IF(YEAR(A717)&lt;&gt;Settings!$C$4,"Not in "&amp;Settings!$C$4,IF(C717="","Category missing",IF(H717="",IF(COUNTIF(Categories!$A$6:$A$65,C717)&gt;0,"Category has no type","Category not in list"),IF(D717="","Amount missing",IF(NOT(ISNUMBER(D717)),"Amount is not a number",IF(F717="","",IF(ISNA(MATCH(F717,Lists!$G$2:$G$25,0)),"Goal / fund not in list",IF(H717="Income","Fund tag ignored on income","")))))))))))</f>
        <v/>
      </c>
    </row>
    <row r="718">
      <c r="A718" s="27" t="n"/>
      <c r="B718" s="23" t="n"/>
      <c r="C718" s="23" t="n"/>
      <c r="D718" s="28" t="n"/>
      <c r="E718" s="23" t="n"/>
      <c r="F718" s="23" t="n"/>
      <c r="G718" s="23" t="n"/>
      <c r="H718" s="29">
        <f>IF(C718="","",IFERROR(INDEX(Categories!$B$6:$B$65,MATCH(C718,Categories!$A$6:$A$65,0))&amp;"",""))</f>
        <v/>
      </c>
      <c r="I718" s="25">
        <f>IF(AND(A718="",C718="",D718=""),"",IF(A718="","Date missing",IF(NOT(ISNUMBER(A718)),"Date not recognized",IF(YEAR(A718)&lt;&gt;Settings!$C$4,"Not in "&amp;Settings!$C$4,IF(C718="","Category missing",IF(H718="",IF(COUNTIF(Categories!$A$6:$A$65,C718)&gt;0,"Category has no type","Category not in list"),IF(D718="","Amount missing",IF(NOT(ISNUMBER(D718)),"Amount is not a number",IF(F718="","",IF(ISNA(MATCH(F718,Lists!$G$2:$G$25,0)),"Goal / fund not in list",IF(H718="Income","Fund tag ignored on income","")))))))))))</f>
        <v/>
      </c>
    </row>
    <row r="719">
      <c r="A719" s="27" t="n"/>
      <c r="B719" s="23" t="n"/>
      <c r="C719" s="23" t="n"/>
      <c r="D719" s="28" t="n"/>
      <c r="E719" s="23" t="n"/>
      <c r="F719" s="23" t="n"/>
      <c r="G719" s="23" t="n"/>
      <c r="H719" s="29">
        <f>IF(C719="","",IFERROR(INDEX(Categories!$B$6:$B$65,MATCH(C719,Categories!$A$6:$A$65,0))&amp;"",""))</f>
        <v/>
      </c>
      <c r="I719" s="25">
        <f>IF(AND(A719="",C719="",D719=""),"",IF(A719="","Date missing",IF(NOT(ISNUMBER(A719)),"Date not recognized",IF(YEAR(A719)&lt;&gt;Settings!$C$4,"Not in "&amp;Settings!$C$4,IF(C719="","Category missing",IF(H719="",IF(COUNTIF(Categories!$A$6:$A$65,C719)&gt;0,"Category has no type","Category not in list"),IF(D719="","Amount missing",IF(NOT(ISNUMBER(D719)),"Amount is not a number",IF(F719="","",IF(ISNA(MATCH(F719,Lists!$G$2:$G$25,0)),"Goal / fund not in list",IF(H719="Income","Fund tag ignored on income","")))))))))))</f>
        <v/>
      </c>
    </row>
    <row r="720">
      <c r="A720" s="27" t="n"/>
      <c r="B720" s="23" t="n"/>
      <c r="C720" s="23" t="n"/>
      <c r="D720" s="28" t="n"/>
      <c r="E720" s="23" t="n"/>
      <c r="F720" s="23" t="n"/>
      <c r="G720" s="23" t="n"/>
      <c r="H720" s="29">
        <f>IF(C720="","",IFERROR(INDEX(Categories!$B$6:$B$65,MATCH(C720,Categories!$A$6:$A$65,0))&amp;"",""))</f>
        <v/>
      </c>
      <c r="I720" s="25">
        <f>IF(AND(A720="",C720="",D720=""),"",IF(A720="","Date missing",IF(NOT(ISNUMBER(A720)),"Date not recognized",IF(YEAR(A720)&lt;&gt;Settings!$C$4,"Not in "&amp;Settings!$C$4,IF(C720="","Category missing",IF(H720="",IF(COUNTIF(Categories!$A$6:$A$65,C720)&gt;0,"Category has no type","Category not in list"),IF(D720="","Amount missing",IF(NOT(ISNUMBER(D720)),"Amount is not a number",IF(F720="","",IF(ISNA(MATCH(F720,Lists!$G$2:$G$25,0)),"Goal / fund not in list",IF(H720="Income","Fund tag ignored on income","")))))))))))</f>
        <v/>
      </c>
    </row>
    <row r="721">
      <c r="A721" s="27" t="n"/>
      <c r="B721" s="23" t="n"/>
      <c r="C721" s="23" t="n"/>
      <c r="D721" s="28" t="n"/>
      <c r="E721" s="23" t="n"/>
      <c r="F721" s="23" t="n"/>
      <c r="G721" s="23" t="n"/>
      <c r="H721" s="29">
        <f>IF(C721="","",IFERROR(INDEX(Categories!$B$6:$B$65,MATCH(C721,Categories!$A$6:$A$65,0))&amp;"",""))</f>
        <v/>
      </c>
      <c r="I721" s="25">
        <f>IF(AND(A721="",C721="",D721=""),"",IF(A721="","Date missing",IF(NOT(ISNUMBER(A721)),"Date not recognized",IF(YEAR(A721)&lt;&gt;Settings!$C$4,"Not in "&amp;Settings!$C$4,IF(C721="","Category missing",IF(H721="",IF(COUNTIF(Categories!$A$6:$A$65,C721)&gt;0,"Category has no type","Category not in list"),IF(D721="","Amount missing",IF(NOT(ISNUMBER(D721)),"Amount is not a number",IF(F721="","",IF(ISNA(MATCH(F721,Lists!$G$2:$G$25,0)),"Goal / fund not in list",IF(H721="Income","Fund tag ignored on income","")))))))))))</f>
        <v/>
      </c>
    </row>
    <row r="722">
      <c r="A722" s="27" t="n"/>
      <c r="B722" s="23" t="n"/>
      <c r="C722" s="23" t="n"/>
      <c r="D722" s="28" t="n"/>
      <c r="E722" s="23" t="n"/>
      <c r="F722" s="23" t="n"/>
      <c r="G722" s="23" t="n"/>
      <c r="H722" s="29">
        <f>IF(C722="","",IFERROR(INDEX(Categories!$B$6:$B$65,MATCH(C722,Categories!$A$6:$A$65,0))&amp;"",""))</f>
        <v/>
      </c>
      <c r="I722" s="25">
        <f>IF(AND(A722="",C722="",D722=""),"",IF(A722="","Date missing",IF(NOT(ISNUMBER(A722)),"Date not recognized",IF(YEAR(A722)&lt;&gt;Settings!$C$4,"Not in "&amp;Settings!$C$4,IF(C722="","Category missing",IF(H722="",IF(COUNTIF(Categories!$A$6:$A$65,C722)&gt;0,"Category has no type","Category not in list"),IF(D722="","Amount missing",IF(NOT(ISNUMBER(D722)),"Amount is not a number",IF(F722="","",IF(ISNA(MATCH(F722,Lists!$G$2:$G$25,0)),"Goal / fund not in list",IF(H722="Income","Fund tag ignored on income","")))))))))))</f>
        <v/>
      </c>
    </row>
    <row r="723">
      <c r="A723" s="27" t="n"/>
      <c r="B723" s="23" t="n"/>
      <c r="C723" s="23" t="n"/>
      <c r="D723" s="28" t="n"/>
      <c r="E723" s="23" t="n"/>
      <c r="F723" s="23" t="n"/>
      <c r="G723" s="23" t="n"/>
      <c r="H723" s="29">
        <f>IF(C723="","",IFERROR(INDEX(Categories!$B$6:$B$65,MATCH(C723,Categories!$A$6:$A$65,0))&amp;"",""))</f>
        <v/>
      </c>
      <c r="I723" s="25">
        <f>IF(AND(A723="",C723="",D723=""),"",IF(A723="","Date missing",IF(NOT(ISNUMBER(A723)),"Date not recognized",IF(YEAR(A723)&lt;&gt;Settings!$C$4,"Not in "&amp;Settings!$C$4,IF(C723="","Category missing",IF(H723="",IF(COUNTIF(Categories!$A$6:$A$65,C723)&gt;0,"Category has no type","Category not in list"),IF(D723="","Amount missing",IF(NOT(ISNUMBER(D723)),"Amount is not a number",IF(F723="","",IF(ISNA(MATCH(F723,Lists!$G$2:$G$25,0)),"Goal / fund not in list",IF(H723="Income","Fund tag ignored on income","")))))))))))</f>
        <v/>
      </c>
    </row>
    <row r="724">
      <c r="A724" s="27" t="n"/>
      <c r="B724" s="23" t="n"/>
      <c r="C724" s="23" t="n"/>
      <c r="D724" s="28" t="n"/>
      <c r="E724" s="23" t="n"/>
      <c r="F724" s="23" t="n"/>
      <c r="G724" s="23" t="n"/>
      <c r="H724" s="29">
        <f>IF(C724="","",IFERROR(INDEX(Categories!$B$6:$B$65,MATCH(C724,Categories!$A$6:$A$65,0))&amp;"",""))</f>
        <v/>
      </c>
      <c r="I724" s="25">
        <f>IF(AND(A724="",C724="",D724=""),"",IF(A724="","Date missing",IF(NOT(ISNUMBER(A724)),"Date not recognized",IF(YEAR(A724)&lt;&gt;Settings!$C$4,"Not in "&amp;Settings!$C$4,IF(C724="","Category missing",IF(H724="",IF(COUNTIF(Categories!$A$6:$A$65,C724)&gt;0,"Category has no type","Category not in list"),IF(D724="","Amount missing",IF(NOT(ISNUMBER(D724)),"Amount is not a number",IF(F724="","",IF(ISNA(MATCH(F724,Lists!$G$2:$G$25,0)),"Goal / fund not in list",IF(H724="Income","Fund tag ignored on income","")))))))))))</f>
        <v/>
      </c>
    </row>
    <row r="725">
      <c r="A725" s="27" t="n"/>
      <c r="B725" s="23" t="n"/>
      <c r="C725" s="23" t="n"/>
      <c r="D725" s="28" t="n"/>
      <c r="E725" s="23" t="n"/>
      <c r="F725" s="23" t="n"/>
      <c r="G725" s="23" t="n"/>
      <c r="H725" s="29">
        <f>IF(C725="","",IFERROR(INDEX(Categories!$B$6:$B$65,MATCH(C725,Categories!$A$6:$A$65,0))&amp;"",""))</f>
        <v/>
      </c>
      <c r="I725" s="25">
        <f>IF(AND(A725="",C725="",D725=""),"",IF(A725="","Date missing",IF(NOT(ISNUMBER(A725)),"Date not recognized",IF(YEAR(A725)&lt;&gt;Settings!$C$4,"Not in "&amp;Settings!$C$4,IF(C725="","Category missing",IF(H725="",IF(COUNTIF(Categories!$A$6:$A$65,C725)&gt;0,"Category has no type","Category not in list"),IF(D725="","Amount missing",IF(NOT(ISNUMBER(D725)),"Amount is not a number",IF(F725="","",IF(ISNA(MATCH(F725,Lists!$G$2:$G$25,0)),"Goal / fund not in list",IF(H725="Income","Fund tag ignored on income","")))))))))))</f>
        <v/>
      </c>
    </row>
    <row r="726">
      <c r="A726" s="27" t="n"/>
      <c r="B726" s="23" t="n"/>
      <c r="C726" s="23" t="n"/>
      <c r="D726" s="28" t="n"/>
      <c r="E726" s="23" t="n"/>
      <c r="F726" s="23" t="n"/>
      <c r="G726" s="23" t="n"/>
      <c r="H726" s="29">
        <f>IF(C726="","",IFERROR(INDEX(Categories!$B$6:$B$65,MATCH(C726,Categories!$A$6:$A$65,0))&amp;"",""))</f>
        <v/>
      </c>
      <c r="I726" s="25">
        <f>IF(AND(A726="",C726="",D726=""),"",IF(A726="","Date missing",IF(NOT(ISNUMBER(A726)),"Date not recognized",IF(YEAR(A726)&lt;&gt;Settings!$C$4,"Not in "&amp;Settings!$C$4,IF(C726="","Category missing",IF(H726="",IF(COUNTIF(Categories!$A$6:$A$65,C726)&gt;0,"Category has no type","Category not in list"),IF(D726="","Amount missing",IF(NOT(ISNUMBER(D726)),"Amount is not a number",IF(F726="","",IF(ISNA(MATCH(F726,Lists!$G$2:$G$25,0)),"Goal / fund not in list",IF(H726="Income","Fund tag ignored on income","")))))))))))</f>
        <v/>
      </c>
    </row>
    <row r="727">
      <c r="A727" s="27" t="n"/>
      <c r="B727" s="23" t="n"/>
      <c r="C727" s="23" t="n"/>
      <c r="D727" s="28" t="n"/>
      <c r="E727" s="23" t="n"/>
      <c r="F727" s="23" t="n"/>
      <c r="G727" s="23" t="n"/>
      <c r="H727" s="29">
        <f>IF(C727="","",IFERROR(INDEX(Categories!$B$6:$B$65,MATCH(C727,Categories!$A$6:$A$65,0))&amp;"",""))</f>
        <v/>
      </c>
      <c r="I727" s="25">
        <f>IF(AND(A727="",C727="",D727=""),"",IF(A727="","Date missing",IF(NOT(ISNUMBER(A727)),"Date not recognized",IF(YEAR(A727)&lt;&gt;Settings!$C$4,"Not in "&amp;Settings!$C$4,IF(C727="","Category missing",IF(H727="",IF(COUNTIF(Categories!$A$6:$A$65,C727)&gt;0,"Category has no type","Category not in list"),IF(D727="","Amount missing",IF(NOT(ISNUMBER(D727)),"Amount is not a number",IF(F727="","",IF(ISNA(MATCH(F727,Lists!$G$2:$G$25,0)),"Goal / fund not in list",IF(H727="Income","Fund tag ignored on income","")))))))))))</f>
        <v/>
      </c>
    </row>
    <row r="728">
      <c r="A728" s="27" t="n"/>
      <c r="B728" s="23" t="n"/>
      <c r="C728" s="23" t="n"/>
      <c r="D728" s="28" t="n"/>
      <c r="E728" s="23" t="n"/>
      <c r="F728" s="23" t="n"/>
      <c r="G728" s="23" t="n"/>
      <c r="H728" s="29">
        <f>IF(C728="","",IFERROR(INDEX(Categories!$B$6:$B$65,MATCH(C728,Categories!$A$6:$A$65,0))&amp;"",""))</f>
        <v/>
      </c>
      <c r="I728" s="25">
        <f>IF(AND(A728="",C728="",D728=""),"",IF(A728="","Date missing",IF(NOT(ISNUMBER(A728)),"Date not recognized",IF(YEAR(A728)&lt;&gt;Settings!$C$4,"Not in "&amp;Settings!$C$4,IF(C728="","Category missing",IF(H728="",IF(COUNTIF(Categories!$A$6:$A$65,C728)&gt;0,"Category has no type","Category not in list"),IF(D728="","Amount missing",IF(NOT(ISNUMBER(D728)),"Amount is not a number",IF(F728="","",IF(ISNA(MATCH(F728,Lists!$G$2:$G$25,0)),"Goal / fund not in list",IF(H728="Income","Fund tag ignored on income","")))))))))))</f>
        <v/>
      </c>
    </row>
    <row r="729">
      <c r="A729" s="27" t="n"/>
      <c r="B729" s="23" t="n"/>
      <c r="C729" s="23" t="n"/>
      <c r="D729" s="28" t="n"/>
      <c r="E729" s="23" t="n"/>
      <c r="F729" s="23" t="n"/>
      <c r="G729" s="23" t="n"/>
      <c r="H729" s="29">
        <f>IF(C729="","",IFERROR(INDEX(Categories!$B$6:$B$65,MATCH(C729,Categories!$A$6:$A$65,0))&amp;"",""))</f>
        <v/>
      </c>
      <c r="I729" s="25">
        <f>IF(AND(A729="",C729="",D729=""),"",IF(A729="","Date missing",IF(NOT(ISNUMBER(A729)),"Date not recognized",IF(YEAR(A729)&lt;&gt;Settings!$C$4,"Not in "&amp;Settings!$C$4,IF(C729="","Category missing",IF(H729="",IF(COUNTIF(Categories!$A$6:$A$65,C729)&gt;0,"Category has no type","Category not in list"),IF(D729="","Amount missing",IF(NOT(ISNUMBER(D729)),"Amount is not a number",IF(F729="","",IF(ISNA(MATCH(F729,Lists!$G$2:$G$25,0)),"Goal / fund not in list",IF(H729="Income","Fund tag ignored on income","")))))))))))</f>
        <v/>
      </c>
    </row>
    <row r="730">
      <c r="A730" s="27" t="n"/>
      <c r="B730" s="23" t="n"/>
      <c r="C730" s="23" t="n"/>
      <c r="D730" s="28" t="n"/>
      <c r="E730" s="23" t="n"/>
      <c r="F730" s="23" t="n"/>
      <c r="G730" s="23" t="n"/>
      <c r="H730" s="29">
        <f>IF(C730="","",IFERROR(INDEX(Categories!$B$6:$B$65,MATCH(C730,Categories!$A$6:$A$65,0))&amp;"",""))</f>
        <v/>
      </c>
      <c r="I730" s="25">
        <f>IF(AND(A730="",C730="",D730=""),"",IF(A730="","Date missing",IF(NOT(ISNUMBER(A730)),"Date not recognized",IF(YEAR(A730)&lt;&gt;Settings!$C$4,"Not in "&amp;Settings!$C$4,IF(C730="","Category missing",IF(H730="",IF(COUNTIF(Categories!$A$6:$A$65,C730)&gt;0,"Category has no type","Category not in list"),IF(D730="","Amount missing",IF(NOT(ISNUMBER(D730)),"Amount is not a number",IF(F730="","",IF(ISNA(MATCH(F730,Lists!$G$2:$G$25,0)),"Goal / fund not in list",IF(H730="Income","Fund tag ignored on income","")))))))))))</f>
        <v/>
      </c>
    </row>
    <row r="731">
      <c r="A731" s="27" t="n"/>
      <c r="B731" s="23" t="n"/>
      <c r="C731" s="23" t="n"/>
      <c r="D731" s="28" t="n"/>
      <c r="E731" s="23" t="n"/>
      <c r="F731" s="23" t="n"/>
      <c r="G731" s="23" t="n"/>
      <c r="H731" s="29">
        <f>IF(C731="","",IFERROR(INDEX(Categories!$B$6:$B$65,MATCH(C731,Categories!$A$6:$A$65,0))&amp;"",""))</f>
        <v/>
      </c>
      <c r="I731" s="25">
        <f>IF(AND(A731="",C731="",D731=""),"",IF(A731="","Date missing",IF(NOT(ISNUMBER(A731)),"Date not recognized",IF(YEAR(A731)&lt;&gt;Settings!$C$4,"Not in "&amp;Settings!$C$4,IF(C731="","Category missing",IF(H731="",IF(COUNTIF(Categories!$A$6:$A$65,C731)&gt;0,"Category has no type","Category not in list"),IF(D731="","Amount missing",IF(NOT(ISNUMBER(D731)),"Amount is not a number",IF(F731="","",IF(ISNA(MATCH(F731,Lists!$G$2:$G$25,0)),"Goal / fund not in list",IF(H731="Income","Fund tag ignored on income","")))))))))))</f>
        <v/>
      </c>
    </row>
    <row r="732">
      <c r="A732" s="27" t="n"/>
      <c r="B732" s="23" t="n"/>
      <c r="C732" s="23" t="n"/>
      <c r="D732" s="28" t="n"/>
      <c r="E732" s="23" t="n"/>
      <c r="F732" s="23" t="n"/>
      <c r="G732" s="23" t="n"/>
      <c r="H732" s="29">
        <f>IF(C732="","",IFERROR(INDEX(Categories!$B$6:$B$65,MATCH(C732,Categories!$A$6:$A$65,0))&amp;"",""))</f>
        <v/>
      </c>
      <c r="I732" s="25">
        <f>IF(AND(A732="",C732="",D732=""),"",IF(A732="","Date missing",IF(NOT(ISNUMBER(A732)),"Date not recognized",IF(YEAR(A732)&lt;&gt;Settings!$C$4,"Not in "&amp;Settings!$C$4,IF(C732="","Category missing",IF(H732="",IF(COUNTIF(Categories!$A$6:$A$65,C732)&gt;0,"Category has no type","Category not in list"),IF(D732="","Amount missing",IF(NOT(ISNUMBER(D732)),"Amount is not a number",IF(F732="","",IF(ISNA(MATCH(F732,Lists!$G$2:$G$25,0)),"Goal / fund not in list",IF(H732="Income","Fund tag ignored on income","")))))))))))</f>
        <v/>
      </c>
    </row>
    <row r="733">
      <c r="A733" s="27" t="n"/>
      <c r="B733" s="23" t="n"/>
      <c r="C733" s="23" t="n"/>
      <c r="D733" s="28" t="n"/>
      <c r="E733" s="23" t="n"/>
      <c r="F733" s="23" t="n"/>
      <c r="G733" s="23" t="n"/>
      <c r="H733" s="29">
        <f>IF(C733="","",IFERROR(INDEX(Categories!$B$6:$B$65,MATCH(C733,Categories!$A$6:$A$65,0))&amp;"",""))</f>
        <v/>
      </c>
      <c r="I733" s="25">
        <f>IF(AND(A733="",C733="",D733=""),"",IF(A733="","Date missing",IF(NOT(ISNUMBER(A733)),"Date not recognized",IF(YEAR(A733)&lt;&gt;Settings!$C$4,"Not in "&amp;Settings!$C$4,IF(C733="","Category missing",IF(H733="",IF(COUNTIF(Categories!$A$6:$A$65,C733)&gt;0,"Category has no type","Category not in list"),IF(D733="","Amount missing",IF(NOT(ISNUMBER(D733)),"Amount is not a number",IF(F733="","",IF(ISNA(MATCH(F733,Lists!$G$2:$G$25,0)),"Goal / fund not in list",IF(H733="Income","Fund tag ignored on income","")))))))))))</f>
        <v/>
      </c>
    </row>
    <row r="734">
      <c r="A734" s="27" t="n"/>
      <c r="B734" s="23" t="n"/>
      <c r="C734" s="23" t="n"/>
      <c r="D734" s="28" t="n"/>
      <c r="E734" s="23" t="n"/>
      <c r="F734" s="23" t="n"/>
      <c r="G734" s="23" t="n"/>
      <c r="H734" s="29">
        <f>IF(C734="","",IFERROR(INDEX(Categories!$B$6:$B$65,MATCH(C734,Categories!$A$6:$A$65,0))&amp;"",""))</f>
        <v/>
      </c>
      <c r="I734" s="25">
        <f>IF(AND(A734="",C734="",D734=""),"",IF(A734="","Date missing",IF(NOT(ISNUMBER(A734)),"Date not recognized",IF(YEAR(A734)&lt;&gt;Settings!$C$4,"Not in "&amp;Settings!$C$4,IF(C734="","Category missing",IF(H734="",IF(COUNTIF(Categories!$A$6:$A$65,C734)&gt;0,"Category has no type","Category not in list"),IF(D734="","Amount missing",IF(NOT(ISNUMBER(D734)),"Amount is not a number",IF(F734="","",IF(ISNA(MATCH(F734,Lists!$G$2:$G$25,0)),"Goal / fund not in list",IF(H734="Income","Fund tag ignored on income","")))))))))))</f>
        <v/>
      </c>
    </row>
    <row r="735">
      <c r="A735" s="27" t="n"/>
      <c r="B735" s="23" t="n"/>
      <c r="C735" s="23" t="n"/>
      <c r="D735" s="28" t="n"/>
      <c r="E735" s="23" t="n"/>
      <c r="F735" s="23" t="n"/>
      <c r="G735" s="23" t="n"/>
      <c r="H735" s="29">
        <f>IF(C735="","",IFERROR(INDEX(Categories!$B$6:$B$65,MATCH(C735,Categories!$A$6:$A$65,0))&amp;"",""))</f>
        <v/>
      </c>
      <c r="I735" s="25">
        <f>IF(AND(A735="",C735="",D735=""),"",IF(A735="","Date missing",IF(NOT(ISNUMBER(A735)),"Date not recognized",IF(YEAR(A735)&lt;&gt;Settings!$C$4,"Not in "&amp;Settings!$C$4,IF(C735="","Category missing",IF(H735="",IF(COUNTIF(Categories!$A$6:$A$65,C735)&gt;0,"Category has no type","Category not in list"),IF(D735="","Amount missing",IF(NOT(ISNUMBER(D735)),"Amount is not a number",IF(F735="","",IF(ISNA(MATCH(F735,Lists!$G$2:$G$25,0)),"Goal / fund not in list",IF(H735="Income","Fund tag ignored on income","")))))))))))</f>
        <v/>
      </c>
    </row>
    <row r="736">
      <c r="A736" s="27" t="n"/>
      <c r="B736" s="23" t="n"/>
      <c r="C736" s="23" t="n"/>
      <c r="D736" s="28" t="n"/>
      <c r="E736" s="23" t="n"/>
      <c r="F736" s="23" t="n"/>
      <c r="G736" s="23" t="n"/>
      <c r="H736" s="29">
        <f>IF(C736="","",IFERROR(INDEX(Categories!$B$6:$B$65,MATCH(C736,Categories!$A$6:$A$65,0))&amp;"",""))</f>
        <v/>
      </c>
      <c r="I736" s="25">
        <f>IF(AND(A736="",C736="",D736=""),"",IF(A736="","Date missing",IF(NOT(ISNUMBER(A736)),"Date not recognized",IF(YEAR(A736)&lt;&gt;Settings!$C$4,"Not in "&amp;Settings!$C$4,IF(C736="","Category missing",IF(H736="",IF(COUNTIF(Categories!$A$6:$A$65,C736)&gt;0,"Category has no type","Category not in list"),IF(D736="","Amount missing",IF(NOT(ISNUMBER(D736)),"Amount is not a number",IF(F736="","",IF(ISNA(MATCH(F736,Lists!$G$2:$G$25,0)),"Goal / fund not in list",IF(H736="Income","Fund tag ignored on income","")))))))))))</f>
        <v/>
      </c>
    </row>
    <row r="737">
      <c r="A737" s="27" t="n"/>
      <c r="B737" s="23" t="n"/>
      <c r="C737" s="23" t="n"/>
      <c r="D737" s="28" t="n"/>
      <c r="E737" s="23" t="n"/>
      <c r="F737" s="23" t="n"/>
      <c r="G737" s="23" t="n"/>
      <c r="H737" s="29">
        <f>IF(C737="","",IFERROR(INDEX(Categories!$B$6:$B$65,MATCH(C737,Categories!$A$6:$A$65,0))&amp;"",""))</f>
        <v/>
      </c>
      <c r="I737" s="25">
        <f>IF(AND(A737="",C737="",D737=""),"",IF(A737="","Date missing",IF(NOT(ISNUMBER(A737)),"Date not recognized",IF(YEAR(A737)&lt;&gt;Settings!$C$4,"Not in "&amp;Settings!$C$4,IF(C737="","Category missing",IF(H737="",IF(COUNTIF(Categories!$A$6:$A$65,C737)&gt;0,"Category has no type","Category not in list"),IF(D737="","Amount missing",IF(NOT(ISNUMBER(D737)),"Amount is not a number",IF(F737="","",IF(ISNA(MATCH(F737,Lists!$G$2:$G$25,0)),"Goal / fund not in list",IF(H737="Income","Fund tag ignored on income","")))))))))))</f>
        <v/>
      </c>
    </row>
    <row r="738">
      <c r="A738" s="27" t="n"/>
      <c r="B738" s="23" t="n"/>
      <c r="C738" s="23" t="n"/>
      <c r="D738" s="28" t="n"/>
      <c r="E738" s="23" t="n"/>
      <c r="F738" s="23" t="n"/>
      <c r="G738" s="23" t="n"/>
      <c r="H738" s="29">
        <f>IF(C738="","",IFERROR(INDEX(Categories!$B$6:$B$65,MATCH(C738,Categories!$A$6:$A$65,0))&amp;"",""))</f>
        <v/>
      </c>
      <c r="I738" s="25">
        <f>IF(AND(A738="",C738="",D738=""),"",IF(A738="","Date missing",IF(NOT(ISNUMBER(A738)),"Date not recognized",IF(YEAR(A738)&lt;&gt;Settings!$C$4,"Not in "&amp;Settings!$C$4,IF(C738="","Category missing",IF(H738="",IF(COUNTIF(Categories!$A$6:$A$65,C738)&gt;0,"Category has no type","Category not in list"),IF(D738="","Amount missing",IF(NOT(ISNUMBER(D738)),"Amount is not a number",IF(F738="","",IF(ISNA(MATCH(F738,Lists!$G$2:$G$25,0)),"Goal / fund not in list",IF(H738="Income","Fund tag ignored on income","")))))))))))</f>
        <v/>
      </c>
    </row>
    <row r="739">
      <c r="A739" s="27" t="n"/>
      <c r="B739" s="23" t="n"/>
      <c r="C739" s="23" t="n"/>
      <c r="D739" s="28" t="n"/>
      <c r="E739" s="23" t="n"/>
      <c r="F739" s="23" t="n"/>
      <c r="G739" s="23" t="n"/>
      <c r="H739" s="29">
        <f>IF(C739="","",IFERROR(INDEX(Categories!$B$6:$B$65,MATCH(C739,Categories!$A$6:$A$65,0))&amp;"",""))</f>
        <v/>
      </c>
      <c r="I739" s="25">
        <f>IF(AND(A739="",C739="",D739=""),"",IF(A739="","Date missing",IF(NOT(ISNUMBER(A739)),"Date not recognized",IF(YEAR(A739)&lt;&gt;Settings!$C$4,"Not in "&amp;Settings!$C$4,IF(C739="","Category missing",IF(H739="",IF(COUNTIF(Categories!$A$6:$A$65,C739)&gt;0,"Category has no type","Category not in list"),IF(D739="","Amount missing",IF(NOT(ISNUMBER(D739)),"Amount is not a number",IF(F739="","",IF(ISNA(MATCH(F739,Lists!$G$2:$G$25,0)),"Goal / fund not in list",IF(H739="Income","Fund tag ignored on income","")))))))))))</f>
        <v/>
      </c>
    </row>
    <row r="740">
      <c r="A740" s="27" t="n"/>
      <c r="B740" s="23" t="n"/>
      <c r="C740" s="23" t="n"/>
      <c r="D740" s="28" t="n"/>
      <c r="E740" s="23" t="n"/>
      <c r="F740" s="23" t="n"/>
      <c r="G740" s="23" t="n"/>
      <c r="H740" s="29">
        <f>IF(C740="","",IFERROR(INDEX(Categories!$B$6:$B$65,MATCH(C740,Categories!$A$6:$A$65,0))&amp;"",""))</f>
        <v/>
      </c>
      <c r="I740" s="25">
        <f>IF(AND(A740="",C740="",D740=""),"",IF(A740="","Date missing",IF(NOT(ISNUMBER(A740)),"Date not recognized",IF(YEAR(A740)&lt;&gt;Settings!$C$4,"Not in "&amp;Settings!$C$4,IF(C740="","Category missing",IF(H740="",IF(COUNTIF(Categories!$A$6:$A$65,C740)&gt;0,"Category has no type","Category not in list"),IF(D740="","Amount missing",IF(NOT(ISNUMBER(D740)),"Amount is not a number",IF(F740="","",IF(ISNA(MATCH(F740,Lists!$G$2:$G$25,0)),"Goal / fund not in list",IF(H740="Income","Fund tag ignored on income","")))))))))))</f>
        <v/>
      </c>
    </row>
    <row r="741">
      <c r="A741" s="27" t="n"/>
      <c r="B741" s="23" t="n"/>
      <c r="C741" s="23" t="n"/>
      <c r="D741" s="28" t="n"/>
      <c r="E741" s="23" t="n"/>
      <c r="F741" s="23" t="n"/>
      <c r="G741" s="23" t="n"/>
      <c r="H741" s="29">
        <f>IF(C741="","",IFERROR(INDEX(Categories!$B$6:$B$65,MATCH(C741,Categories!$A$6:$A$65,0))&amp;"",""))</f>
        <v/>
      </c>
      <c r="I741" s="25">
        <f>IF(AND(A741="",C741="",D741=""),"",IF(A741="","Date missing",IF(NOT(ISNUMBER(A741)),"Date not recognized",IF(YEAR(A741)&lt;&gt;Settings!$C$4,"Not in "&amp;Settings!$C$4,IF(C741="","Category missing",IF(H741="",IF(COUNTIF(Categories!$A$6:$A$65,C741)&gt;0,"Category has no type","Category not in list"),IF(D741="","Amount missing",IF(NOT(ISNUMBER(D741)),"Amount is not a number",IF(F741="","",IF(ISNA(MATCH(F741,Lists!$G$2:$G$25,0)),"Goal / fund not in list",IF(H741="Income","Fund tag ignored on income","")))))))))))</f>
        <v/>
      </c>
    </row>
    <row r="742">
      <c r="A742" s="27" t="n"/>
      <c r="B742" s="23" t="n"/>
      <c r="C742" s="23" t="n"/>
      <c r="D742" s="28" t="n"/>
      <c r="E742" s="23" t="n"/>
      <c r="F742" s="23" t="n"/>
      <c r="G742" s="23" t="n"/>
      <c r="H742" s="29">
        <f>IF(C742="","",IFERROR(INDEX(Categories!$B$6:$B$65,MATCH(C742,Categories!$A$6:$A$65,0))&amp;"",""))</f>
        <v/>
      </c>
      <c r="I742" s="25">
        <f>IF(AND(A742="",C742="",D742=""),"",IF(A742="","Date missing",IF(NOT(ISNUMBER(A742)),"Date not recognized",IF(YEAR(A742)&lt;&gt;Settings!$C$4,"Not in "&amp;Settings!$C$4,IF(C742="","Category missing",IF(H742="",IF(COUNTIF(Categories!$A$6:$A$65,C742)&gt;0,"Category has no type","Category not in list"),IF(D742="","Amount missing",IF(NOT(ISNUMBER(D742)),"Amount is not a number",IF(F742="","",IF(ISNA(MATCH(F742,Lists!$G$2:$G$25,0)),"Goal / fund not in list",IF(H742="Income","Fund tag ignored on income","")))))))))))</f>
        <v/>
      </c>
    </row>
    <row r="743">
      <c r="A743" s="27" t="n"/>
      <c r="B743" s="23" t="n"/>
      <c r="C743" s="23" t="n"/>
      <c r="D743" s="28" t="n"/>
      <c r="E743" s="23" t="n"/>
      <c r="F743" s="23" t="n"/>
      <c r="G743" s="23" t="n"/>
      <c r="H743" s="29">
        <f>IF(C743="","",IFERROR(INDEX(Categories!$B$6:$B$65,MATCH(C743,Categories!$A$6:$A$65,0))&amp;"",""))</f>
        <v/>
      </c>
      <c r="I743" s="25">
        <f>IF(AND(A743="",C743="",D743=""),"",IF(A743="","Date missing",IF(NOT(ISNUMBER(A743)),"Date not recognized",IF(YEAR(A743)&lt;&gt;Settings!$C$4,"Not in "&amp;Settings!$C$4,IF(C743="","Category missing",IF(H743="",IF(COUNTIF(Categories!$A$6:$A$65,C743)&gt;0,"Category has no type","Category not in list"),IF(D743="","Amount missing",IF(NOT(ISNUMBER(D743)),"Amount is not a number",IF(F743="","",IF(ISNA(MATCH(F743,Lists!$G$2:$G$25,0)),"Goal / fund not in list",IF(H743="Income","Fund tag ignored on income","")))))))))))</f>
        <v/>
      </c>
    </row>
    <row r="744">
      <c r="A744" s="27" t="n"/>
      <c r="B744" s="23" t="n"/>
      <c r="C744" s="23" t="n"/>
      <c r="D744" s="28" t="n"/>
      <c r="E744" s="23" t="n"/>
      <c r="F744" s="23" t="n"/>
      <c r="G744" s="23" t="n"/>
      <c r="H744" s="29">
        <f>IF(C744="","",IFERROR(INDEX(Categories!$B$6:$B$65,MATCH(C744,Categories!$A$6:$A$65,0))&amp;"",""))</f>
        <v/>
      </c>
      <c r="I744" s="25">
        <f>IF(AND(A744="",C744="",D744=""),"",IF(A744="","Date missing",IF(NOT(ISNUMBER(A744)),"Date not recognized",IF(YEAR(A744)&lt;&gt;Settings!$C$4,"Not in "&amp;Settings!$C$4,IF(C744="","Category missing",IF(H744="",IF(COUNTIF(Categories!$A$6:$A$65,C744)&gt;0,"Category has no type","Category not in list"),IF(D744="","Amount missing",IF(NOT(ISNUMBER(D744)),"Amount is not a number",IF(F744="","",IF(ISNA(MATCH(F744,Lists!$G$2:$G$25,0)),"Goal / fund not in list",IF(H744="Income","Fund tag ignored on income","")))))))))))</f>
        <v/>
      </c>
    </row>
    <row r="745">
      <c r="A745" s="27" t="n"/>
      <c r="B745" s="23" t="n"/>
      <c r="C745" s="23" t="n"/>
      <c r="D745" s="28" t="n"/>
      <c r="E745" s="23" t="n"/>
      <c r="F745" s="23" t="n"/>
      <c r="G745" s="23" t="n"/>
      <c r="H745" s="29">
        <f>IF(C745="","",IFERROR(INDEX(Categories!$B$6:$B$65,MATCH(C745,Categories!$A$6:$A$65,0))&amp;"",""))</f>
        <v/>
      </c>
      <c r="I745" s="25">
        <f>IF(AND(A745="",C745="",D745=""),"",IF(A745="","Date missing",IF(NOT(ISNUMBER(A745)),"Date not recognized",IF(YEAR(A745)&lt;&gt;Settings!$C$4,"Not in "&amp;Settings!$C$4,IF(C745="","Category missing",IF(H745="",IF(COUNTIF(Categories!$A$6:$A$65,C745)&gt;0,"Category has no type","Category not in list"),IF(D745="","Amount missing",IF(NOT(ISNUMBER(D745)),"Amount is not a number",IF(F745="","",IF(ISNA(MATCH(F745,Lists!$G$2:$G$25,0)),"Goal / fund not in list",IF(H745="Income","Fund tag ignored on income","")))))))))))</f>
        <v/>
      </c>
    </row>
    <row r="746">
      <c r="A746" s="27" t="n"/>
      <c r="B746" s="23" t="n"/>
      <c r="C746" s="23" t="n"/>
      <c r="D746" s="28" t="n"/>
      <c r="E746" s="23" t="n"/>
      <c r="F746" s="23" t="n"/>
      <c r="G746" s="23" t="n"/>
      <c r="H746" s="29">
        <f>IF(C746="","",IFERROR(INDEX(Categories!$B$6:$B$65,MATCH(C746,Categories!$A$6:$A$65,0))&amp;"",""))</f>
        <v/>
      </c>
      <c r="I746" s="25">
        <f>IF(AND(A746="",C746="",D746=""),"",IF(A746="","Date missing",IF(NOT(ISNUMBER(A746)),"Date not recognized",IF(YEAR(A746)&lt;&gt;Settings!$C$4,"Not in "&amp;Settings!$C$4,IF(C746="","Category missing",IF(H746="",IF(COUNTIF(Categories!$A$6:$A$65,C746)&gt;0,"Category has no type","Category not in list"),IF(D746="","Amount missing",IF(NOT(ISNUMBER(D746)),"Amount is not a number",IF(F746="","",IF(ISNA(MATCH(F746,Lists!$G$2:$G$25,0)),"Goal / fund not in list",IF(H746="Income","Fund tag ignored on income","")))))))))))</f>
        <v/>
      </c>
    </row>
    <row r="747">
      <c r="A747" s="27" t="n"/>
      <c r="B747" s="23" t="n"/>
      <c r="C747" s="23" t="n"/>
      <c r="D747" s="28" t="n"/>
      <c r="E747" s="23" t="n"/>
      <c r="F747" s="23" t="n"/>
      <c r="G747" s="23" t="n"/>
      <c r="H747" s="29">
        <f>IF(C747="","",IFERROR(INDEX(Categories!$B$6:$B$65,MATCH(C747,Categories!$A$6:$A$65,0))&amp;"",""))</f>
        <v/>
      </c>
      <c r="I747" s="25">
        <f>IF(AND(A747="",C747="",D747=""),"",IF(A747="","Date missing",IF(NOT(ISNUMBER(A747)),"Date not recognized",IF(YEAR(A747)&lt;&gt;Settings!$C$4,"Not in "&amp;Settings!$C$4,IF(C747="","Category missing",IF(H747="",IF(COUNTIF(Categories!$A$6:$A$65,C747)&gt;0,"Category has no type","Category not in list"),IF(D747="","Amount missing",IF(NOT(ISNUMBER(D747)),"Amount is not a number",IF(F747="","",IF(ISNA(MATCH(F747,Lists!$G$2:$G$25,0)),"Goal / fund not in list",IF(H747="Income","Fund tag ignored on income","")))))))))))</f>
        <v/>
      </c>
    </row>
    <row r="748">
      <c r="A748" s="27" t="n"/>
      <c r="B748" s="23" t="n"/>
      <c r="C748" s="23" t="n"/>
      <c r="D748" s="28" t="n"/>
      <c r="E748" s="23" t="n"/>
      <c r="F748" s="23" t="n"/>
      <c r="G748" s="23" t="n"/>
      <c r="H748" s="29">
        <f>IF(C748="","",IFERROR(INDEX(Categories!$B$6:$B$65,MATCH(C748,Categories!$A$6:$A$65,0))&amp;"",""))</f>
        <v/>
      </c>
      <c r="I748" s="25">
        <f>IF(AND(A748="",C748="",D748=""),"",IF(A748="","Date missing",IF(NOT(ISNUMBER(A748)),"Date not recognized",IF(YEAR(A748)&lt;&gt;Settings!$C$4,"Not in "&amp;Settings!$C$4,IF(C748="","Category missing",IF(H748="",IF(COUNTIF(Categories!$A$6:$A$65,C748)&gt;0,"Category has no type","Category not in list"),IF(D748="","Amount missing",IF(NOT(ISNUMBER(D748)),"Amount is not a number",IF(F748="","",IF(ISNA(MATCH(F748,Lists!$G$2:$G$25,0)),"Goal / fund not in list",IF(H748="Income","Fund tag ignored on income","")))))))))))</f>
        <v/>
      </c>
    </row>
    <row r="749">
      <c r="A749" s="27" t="n"/>
      <c r="B749" s="23" t="n"/>
      <c r="C749" s="23" t="n"/>
      <c r="D749" s="28" t="n"/>
      <c r="E749" s="23" t="n"/>
      <c r="F749" s="23" t="n"/>
      <c r="G749" s="23" t="n"/>
      <c r="H749" s="29">
        <f>IF(C749="","",IFERROR(INDEX(Categories!$B$6:$B$65,MATCH(C749,Categories!$A$6:$A$65,0))&amp;"",""))</f>
        <v/>
      </c>
      <c r="I749" s="25">
        <f>IF(AND(A749="",C749="",D749=""),"",IF(A749="","Date missing",IF(NOT(ISNUMBER(A749)),"Date not recognized",IF(YEAR(A749)&lt;&gt;Settings!$C$4,"Not in "&amp;Settings!$C$4,IF(C749="","Category missing",IF(H749="",IF(COUNTIF(Categories!$A$6:$A$65,C749)&gt;0,"Category has no type","Category not in list"),IF(D749="","Amount missing",IF(NOT(ISNUMBER(D749)),"Amount is not a number",IF(F749="","",IF(ISNA(MATCH(F749,Lists!$G$2:$G$25,0)),"Goal / fund not in list",IF(H749="Income","Fund tag ignored on income","")))))))))))</f>
        <v/>
      </c>
    </row>
    <row r="750">
      <c r="A750" s="27" t="n"/>
      <c r="B750" s="23" t="n"/>
      <c r="C750" s="23" t="n"/>
      <c r="D750" s="28" t="n"/>
      <c r="E750" s="23" t="n"/>
      <c r="F750" s="23" t="n"/>
      <c r="G750" s="23" t="n"/>
      <c r="H750" s="29">
        <f>IF(C750="","",IFERROR(INDEX(Categories!$B$6:$B$65,MATCH(C750,Categories!$A$6:$A$65,0))&amp;"",""))</f>
        <v/>
      </c>
      <c r="I750" s="25">
        <f>IF(AND(A750="",C750="",D750=""),"",IF(A750="","Date missing",IF(NOT(ISNUMBER(A750)),"Date not recognized",IF(YEAR(A750)&lt;&gt;Settings!$C$4,"Not in "&amp;Settings!$C$4,IF(C750="","Category missing",IF(H750="",IF(COUNTIF(Categories!$A$6:$A$65,C750)&gt;0,"Category has no type","Category not in list"),IF(D750="","Amount missing",IF(NOT(ISNUMBER(D750)),"Amount is not a number",IF(F750="","",IF(ISNA(MATCH(F750,Lists!$G$2:$G$25,0)),"Goal / fund not in list",IF(H750="Income","Fund tag ignored on income","")))))))))))</f>
        <v/>
      </c>
    </row>
    <row r="751">
      <c r="A751" s="27" t="n"/>
      <c r="B751" s="23" t="n"/>
      <c r="C751" s="23" t="n"/>
      <c r="D751" s="28" t="n"/>
      <c r="E751" s="23" t="n"/>
      <c r="F751" s="23" t="n"/>
      <c r="G751" s="23" t="n"/>
      <c r="H751" s="29">
        <f>IF(C751="","",IFERROR(INDEX(Categories!$B$6:$B$65,MATCH(C751,Categories!$A$6:$A$65,0))&amp;"",""))</f>
        <v/>
      </c>
      <c r="I751" s="25">
        <f>IF(AND(A751="",C751="",D751=""),"",IF(A751="","Date missing",IF(NOT(ISNUMBER(A751)),"Date not recognized",IF(YEAR(A751)&lt;&gt;Settings!$C$4,"Not in "&amp;Settings!$C$4,IF(C751="","Category missing",IF(H751="",IF(COUNTIF(Categories!$A$6:$A$65,C751)&gt;0,"Category has no type","Category not in list"),IF(D751="","Amount missing",IF(NOT(ISNUMBER(D751)),"Amount is not a number",IF(F751="","",IF(ISNA(MATCH(F751,Lists!$G$2:$G$25,0)),"Goal / fund not in list",IF(H751="Income","Fund tag ignored on income","")))))))))))</f>
        <v/>
      </c>
    </row>
    <row r="752">
      <c r="A752" s="27" t="n"/>
      <c r="B752" s="23" t="n"/>
      <c r="C752" s="23" t="n"/>
      <c r="D752" s="28" t="n"/>
      <c r="E752" s="23" t="n"/>
      <c r="F752" s="23" t="n"/>
      <c r="G752" s="23" t="n"/>
      <c r="H752" s="29">
        <f>IF(C752="","",IFERROR(INDEX(Categories!$B$6:$B$65,MATCH(C752,Categories!$A$6:$A$65,0))&amp;"",""))</f>
        <v/>
      </c>
      <c r="I752" s="25">
        <f>IF(AND(A752="",C752="",D752=""),"",IF(A752="","Date missing",IF(NOT(ISNUMBER(A752)),"Date not recognized",IF(YEAR(A752)&lt;&gt;Settings!$C$4,"Not in "&amp;Settings!$C$4,IF(C752="","Category missing",IF(H752="",IF(COUNTIF(Categories!$A$6:$A$65,C752)&gt;0,"Category has no type","Category not in list"),IF(D752="","Amount missing",IF(NOT(ISNUMBER(D752)),"Amount is not a number",IF(F752="","",IF(ISNA(MATCH(F752,Lists!$G$2:$G$25,0)),"Goal / fund not in list",IF(H752="Income","Fund tag ignored on income","")))))))))))</f>
        <v/>
      </c>
    </row>
    <row r="753">
      <c r="A753" s="27" t="n"/>
      <c r="B753" s="23" t="n"/>
      <c r="C753" s="23" t="n"/>
      <c r="D753" s="28" t="n"/>
      <c r="E753" s="23" t="n"/>
      <c r="F753" s="23" t="n"/>
      <c r="G753" s="23" t="n"/>
      <c r="H753" s="29">
        <f>IF(C753="","",IFERROR(INDEX(Categories!$B$6:$B$65,MATCH(C753,Categories!$A$6:$A$65,0))&amp;"",""))</f>
        <v/>
      </c>
      <c r="I753" s="25">
        <f>IF(AND(A753="",C753="",D753=""),"",IF(A753="","Date missing",IF(NOT(ISNUMBER(A753)),"Date not recognized",IF(YEAR(A753)&lt;&gt;Settings!$C$4,"Not in "&amp;Settings!$C$4,IF(C753="","Category missing",IF(H753="",IF(COUNTIF(Categories!$A$6:$A$65,C753)&gt;0,"Category has no type","Category not in list"),IF(D753="","Amount missing",IF(NOT(ISNUMBER(D753)),"Amount is not a number",IF(F753="","",IF(ISNA(MATCH(F753,Lists!$G$2:$G$25,0)),"Goal / fund not in list",IF(H753="Income","Fund tag ignored on income","")))))))))))</f>
        <v/>
      </c>
    </row>
    <row r="754">
      <c r="A754" s="27" t="n"/>
      <c r="B754" s="23" t="n"/>
      <c r="C754" s="23" t="n"/>
      <c r="D754" s="28" t="n"/>
      <c r="E754" s="23" t="n"/>
      <c r="F754" s="23" t="n"/>
      <c r="G754" s="23" t="n"/>
      <c r="H754" s="29">
        <f>IF(C754="","",IFERROR(INDEX(Categories!$B$6:$B$65,MATCH(C754,Categories!$A$6:$A$65,0))&amp;"",""))</f>
        <v/>
      </c>
      <c r="I754" s="25">
        <f>IF(AND(A754="",C754="",D754=""),"",IF(A754="","Date missing",IF(NOT(ISNUMBER(A754)),"Date not recognized",IF(YEAR(A754)&lt;&gt;Settings!$C$4,"Not in "&amp;Settings!$C$4,IF(C754="","Category missing",IF(H754="",IF(COUNTIF(Categories!$A$6:$A$65,C754)&gt;0,"Category has no type","Category not in list"),IF(D754="","Amount missing",IF(NOT(ISNUMBER(D754)),"Amount is not a number",IF(F754="","",IF(ISNA(MATCH(F754,Lists!$G$2:$G$25,0)),"Goal / fund not in list",IF(H754="Income","Fund tag ignored on income","")))))))))))</f>
        <v/>
      </c>
    </row>
    <row r="755">
      <c r="A755" s="27" t="n"/>
      <c r="B755" s="23" t="n"/>
      <c r="C755" s="23" t="n"/>
      <c r="D755" s="28" t="n"/>
      <c r="E755" s="23" t="n"/>
      <c r="F755" s="23" t="n"/>
      <c r="G755" s="23" t="n"/>
      <c r="H755" s="29">
        <f>IF(C755="","",IFERROR(INDEX(Categories!$B$6:$B$65,MATCH(C755,Categories!$A$6:$A$65,0))&amp;"",""))</f>
        <v/>
      </c>
      <c r="I755" s="25">
        <f>IF(AND(A755="",C755="",D755=""),"",IF(A755="","Date missing",IF(NOT(ISNUMBER(A755)),"Date not recognized",IF(YEAR(A755)&lt;&gt;Settings!$C$4,"Not in "&amp;Settings!$C$4,IF(C755="","Category missing",IF(H755="",IF(COUNTIF(Categories!$A$6:$A$65,C755)&gt;0,"Category has no type","Category not in list"),IF(D755="","Amount missing",IF(NOT(ISNUMBER(D755)),"Amount is not a number",IF(F755="","",IF(ISNA(MATCH(F755,Lists!$G$2:$G$25,0)),"Goal / fund not in list",IF(H755="Income","Fund tag ignored on income","")))))))))))</f>
        <v/>
      </c>
    </row>
    <row r="756">
      <c r="A756" s="27" t="n"/>
      <c r="B756" s="23" t="n"/>
      <c r="C756" s="23" t="n"/>
      <c r="D756" s="28" t="n"/>
      <c r="E756" s="23" t="n"/>
      <c r="F756" s="23" t="n"/>
      <c r="G756" s="23" t="n"/>
      <c r="H756" s="29">
        <f>IF(C756="","",IFERROR(INDEX(Categories!$B$6:$B$65,MATCH(C756,Categories!$A$6:$A$65,0))&amp;"",""))</f>
        <v/>
      </c>
      <c r="I756" s="25">
        <f>IF(AND(A756="",C756="",D756=""),"",IF(A756="","Date missing",IF(NOT(ISNUMBER(A756)),"Date not recognized",IF(YEAR(A756)&lt;&gt;Settings!$C$4,"Not in "&amp;Settings!$C$4,IF(C756="","Category missing",IF(H756="",IF(COUNTIF(Categories!$A$6:$A$65,C756)&gt;0,"Category has no type","Category not in list"),IF(D756="","Amount missing",IF(NOT(ISNUMBER(D756)),"Amount is not a number",IF(F756="","",IF(ISNA(MATCH(F756,Lists!$G$2:$G$25,0)),"Goal / fund not in list",IF(H756="Income","Fund tag ignored on income","")))))))))))</f>
        <v/>
      </c>
    </row>
    <row r="757">
      <c r="A757" s="27" t="n"/>
      <c r="B757" s="23" t="n"/>
      <c r="C757" s="23" t="n"/>
      <c r="D757" s="28" t="n"/>
      <c r="E757" s="23" t="n"/>
      <c r="F757" s="23" t="n"/>
      <c r="G757" s="23" t="n"/>
      <c r="H757" s="29">
        <f>IF(C757="","",IFERROR(INDEX(Categories!$B$6:$B$65,MATCH(C757,Categories!$A$6:$A$65,0))&amp;"",""))</f>
        <v/>
      </c>
      <c r="I757" s="25">
        <f>IF(AND(A757="",C757="",D757=""),"",IF(A757="","Date missing",IF(NOT(ISNUMBER(A757)),"Date not recognized",IF(YEAR(A757)&lt;&gt;Settings!$C$4,"Not in "&amp;Settings!$C$4,IF(C757="","Category missing",IF(H757="",IF(COUNTIF(Categories!$A$6:$A$65,C757)&gt;0,"Category has no type","Category not in list"),IF(D757="","Amount missing",IF(NOT(ISNUMBER(D757)),"Amount is not a number",IF(F757="","",IF(ISNA(MATCH(F757,Lists!$G$2:$G$25,0)),"Goal / fund not in list",IF(H757="Income","Fund tag ignored on income","")))))))))))</f>
        <v/>
      </c>
    </row>
    <row r="758">
      <c r="A758" s="27" t="n"/>
      <c r="B758" s="23" t="n"/>
      <c r="C758" s="23" t="n"/>
      <c r="D758" s="28" t="n"/>
      <c r="E758" s="23" t="n"/>
      <c r="F758" s="23" t="n"/>
      <c r="G758" s="23" t="n"/>
      <c r="H758" s="29">
        <f>IF(C758="","",IFERROR(INDEX(Categories!$B$6:$B$65,MATCH(C758,Categories!$A$6:$A$65,0))&amp;"",""))</f>
        <v/>
      </c>
      <c r="I758" s="25">
        <f>IF(AND(A758="",C758="",D758=""),"",IF(A758="","Date missing",IF(NOT(ISNUMBER(A758)),"Date not recognized",IF(YEAR(A758)&lt;&gt;Settings!$C$4,"Not in "&amp;Settings!$C$4,IF(C758="","Category missing",IF(H758="",IF(COUNTIF(Categories!$A$6:$A$65,C758)&gt;0,"Category has no type","Category not in list"),IF(D758="","Amount missing",IF(NOT(ISNUMBER(D758)),"Amount is not a number",IF(F758="","",IF(ISNA(MATCH(F758,Lists!$G$2:$G$25,0)),"Goal / fund not in list",IF(H758="Income","Fund tag ignored on income","")))))))))))</f>
        <v/>
      </c>
    </row>
    <row r="759">
      <c r="A759" s="27" t="n"/>
      <c r="B759" s="23" t="n"/>
      <c r="C759" s="23" t="n"/>
      <c r="D759" s="28" t="n"/>
      <c r="E759" s="23" t="n"/>
      <c r="F759" s="23" t="n"/>
      <c r="G759" s="23" t="n"/>
      <c r="H759" s="29">
        <f>IF(C759="","",IFERROR(INDEX(Categories!$B$6:$B$65,MATCH(C759,Categories!$A$6:$A$65,0))&amp;"",""))</f>
        <v/>
      </c>
      <c r="I759" s="25">
        <f>IF(AND(A759="",C759="",D759=""),"",IF(A759="","Date missing",IF(NOT(ISNUMBER(A759)),"Date not recognized",IF(YEAR(A759)&lt;&gt;Settings!$C$4,"Not in "&amp;Settings!$C$4,IF(C759="","Category missing",IF(H759="",IF(COUNTIF(Categories!$A$6:$A$65,C759)&gt;0,"Category has no type","Category not in list"),IF(D759="","Amount missing",IF(NOT(ISNUMBER(D759)),"Amount is not a number",IF(F759="","",IF(ISNA(MATCH(F759,Lists!$G$2:$G$25,0)),"Goal / fund not in list",IF(H759="Income","Fund tag ignored on income","")))))))))))</f>
        <v/>
      </c>
    </row>
    <row r="760">
      <c r="A760" s="27" t="n"/>
      <c r="B760" s="23" t="n"/>
      <c r="C760" s="23" t="n"/>
      <c r="D760" s="28" t="n"/>
      <c r="E760" s="23" t="n"/>
      <c r="F760" s="23" t="n"/>
      <c r="G760" s="23" t="n"/>
      <c r="H760" s="29">
        <f>IF(C760="","",IFERROR(INDEX(Categories!$B$6:$B$65,MATCH(C760,Categories!$A$6:$A$65,0))&amp;"",""))</f>
        <v/>
      </c>
      <c r="I760" s="25">
        <f>IF(AND(A760="",C760="",D760=""),"",IF(A760="","Date missing",IF(NOT(ISNUMBER(A760)),"Date not recognized",IF(YEAR(A760)&lt;&gt;Settings!$C$4,"Not in "&amp;Settings!$C$4,IF(C760="","Category missing",IF(H760="",IF(COUNTIF(Categories!$A$6:$A$65,C760)&gt;0,"Category has no type","Category not in list"),IF(D760="","Amount missing",IF(NOT(ISNUMBER(D760)),"Amount is not a number",IF(F760="","",IF(ISNA(MATCH(F760,Lists!$G$2:$G$25,0)),"Goal / fund not in list",IF(H760="Income","Fund tag ignored on income","")))))))))))</f>
        <v/>
      </c>
    </row>
    <row r="761">
      <c r="A761" s="27" t="n"/>
      <c r="B761" s="23" t="n"/>
      <c r="C761" s="23" t="n"/>
      <c r="D761" s="28" t="n"/>
      <c r="E761" s="23" t="n"/>
      <c r="F761" s="23" t="n"/>
      <c r="G761" s="23" t="n"/>
      <c r="H761" s="29">
        <f>IF(C761="","",IFERROR(INDEX(Categories!$B$6:$B$65,MATCH(C761,Categories!$A$6:$A$65,0))&amp;"",""))</f>
        <v/>
      </c>
      <c r="I761" s="25">
        <f>IF(AND(A761="",C761="",D761=""),"",IF(A761="","Date missing",IF(NOT(ISNUMBER(A761)),"Date not recognized",IF(YEAR(A761)&lt;&gt;Settings!$C$4,"Not in "&amp;Settings!$C$4,IF(C761="","Category missing",IF(H761="",IF(COUNTIF(Categories!$A$6:$A$65,C761)&gt;0,"Category has no type","Category not in list"),IF(D761="","Amount missing",IF(NOT(ISNUMBER(D761)),"Amount is not a number",IF(F761="","",IF(ISNA(MATCH(F761,Lists!$G$2:$G$25,0)),"Goal / fund not in list",IF(H761="Income","Fund tag ignored on income","")))))))))))</f>
        <v/>
      </c>
    </row>
    <row r="762">
      <c r="A762" s="27" t="n"/>
      <c r="B762" s="23" t="n"/>
      <c r="C762" s="23" t="n"/>
      <c r="D762" s="28" t="n"/>
      <c r="E762" s="23" t="n"/>
      <c r="F762" s="23" t="n"/>
      <c r="G762" s="23" t="n"/>
      <c r="H762" s="29">
        <f>IF(C762="","",IFERROR(INDEX(Categories!$B$6:$B$65,MATCH(C762,Categories!$A$6:$A$65,0))&amp;"",""))</f>
        <v/>
      </c>
      <c r="I762" s="25">
        <f>IF(AND(A762="",C762="",D762=""),"",IF(A762="","Date missing",IF(NOT(ISNUMBER(A762)),"Date not recognized",IF(YEAR(A762)&lt;&gt;Settings!$C$4,"Not in "&amp;Settings!$C$4,IF(C762="","Category missing",IF(H762="",IF(COUNTIF(Categories!$A$6:$A$65,C762)&gt;0,"Category has no type","Category not in list"),IF(D762="","Amount missing",IF(NOT(ISNUMBER(D762)),"Amount is not a number",IF(F762="","",IF(ISNA(MATCH(F762,Lists!$G$2:$G$25,0)),"Goal / fund not in list",IF(H762="Income","Fund tag ignored on income","")))))))))))</f>
        <v/>
      </c>
    </row>
    <row r="763">
      <c r="A763" s="27" t="n"/>
      <c r="B763" s="23" t="n"/>
      <c r="C763" s="23" t="n"/>
      <c r="D763" s="28" t="n"/>
      <c r="E763" s="23" t="n"/>
      <c r="F763" s="23" t="n"/>
      <c r="G763" s="23" t="n"/>
      <c r="H763" s="29">
        <f>IF(C763="","",IFERROR(INDEX(Categories!$B$6:$B$65,MATCH(C763,Categories!$A$6:$A$65,0))&amp;"",""))</f>
        <v/>
      </c>
      <c r="I763" s="25">
        <f>IF(AND(A763="",C763="",D763=""),"",IF(A763="","Date missing",IF(NOT(ISNUMBER(A763)),"Date not recognized",IF(YEAR(A763)&lt;&gt;Settings!$C$4,"Not in "&amp;Settings!$C$4,IF(C763="","Category missing",IF(H763="",IF(COUNTIF(Categories!$A$6:$A$65,C763)&gt;0,"Category has no type","Category not in list"),IF(D763="","Amount missing",IF(NOT(ISNUMBER(D763)),"Amount is not a number",IF(F763="","",IF(ISNA(MATCH(F763,Lists!$G$2:$G$25,0)),"Goal / fund not in list",IF(H763="Income","Fund tag ignored on income","")))))))))))</f>
        <v/>
      </c>
    </row>
    <row r="764">
      <c r="A764" s="27" t="n"/>
      <c r="B764" s="23" t="n"/>
      <c r="C764" s="23" t="n"/>
      <c r="D764" s="28" t="n"/>
      <c r="E764" s="23" t="n"/>
      <c r="F764" s="23" t="n"/>
      <c r="G764" s="23" t="n"/>
      <c r="H764" s="29">
        <f>IF(C764="","",IFERROR(INDEX(Categories!$B$6:$B$65,MATCH(C764,Categories!$A$6:$A$65,0))&amp;"",""))</f>
        <v/>
      </c>
      <c r="I764" s="25">
        <f>IF(AND(A764="",C764="",D764=""),"",IF(A764="","Date missing",IF(NOT(ISNUMBER(A764)),"Date not recognized",IF(YEAR(A764)&lt;&gt;Settings!$C$4,"Not in "&amp;Settings!$C$4,IF(C764="","Category missing",IF(H764="",IF(COUNTIF(Categories!$A$6:$A$65,C764)&gt;0,"Category has no type","Category not in list"),IF(D764="","Amount missing",IF(NOT(ISNUMBER(D764)),"Amount is not a number",IF(F764="","",IF(ISNA(MATCH(F764,Lists!$G$2:$G$25,0)),"Goal / fund not in list",IF(H764="Income","Fund tag ignored on income","")))))))))))</f>
        <v/>
      </c>
    </row>
    <row r="765">
      <c r="A765" s="27" t="n"/>
      <c r="B765" s="23" t="n"/>
      <c r="C765" s="23" t="n"/>
      <c r="D765" s="28" t="n"/>
      <c r="E765" s="23" t="n"/>
      <c r="F765" s="23" t="n"/>
      <c r="G765" s="23" t="n"/>
      <c r="H765" s="29">
        <f>IF(C765="","",IFERROR(INDEX(Categories!$B$6:$B$65,MATCH(C765,Categories!$A$6:$A$65,0))&amp;"",""))</f>
        <v/>
      </c>
      <c r="I765" s="25">
        <f>IF(AND(A765="",C765="",D765=""),"",IF(A765="","Date missing",IF(NOT(ISNUMBER(A765)),"Date not recognized",IF(YEAR(A765)&lt;&gt;Settings!$C$4,"Not in "&amp;Settings!$C$4,IF(C765="","Category missing",IF(H765="",IF(COUNTIF(Categories!$A$6:$A$65,C765)&gt;0,"Category has no type","Category not in list"),IF(D765="","Amount missing",IF(NOT(ISNUMBER(D765)),"Amount is not a number",IF(F765="","",IF(ISNA(MATCH(F765,Lists!$G$2:$G$25,0)),"Goal / fund not in list",IF(H765="Income","Fund tag ignored on income","")))))))))))</f>
        <v/>
      </c>
    </row>
    <row r="766">
      <c r="A766" s="27" t="n"/>
      <c r="B766" s="23" t="n"/>
      <c r="C766" s="23" t="n"/>
      <c r="D766" s="28" t="n"/>
      <c r="E766" s="23" t="n"/>
      <c r="F766" s="23" t="n"/>
      <c r="G766" s="23" t="n"/>
      <c r="H766" s="29">
        <f>IF(C766="","",IFERROR(INDEX(Categories!$B$6:$B$65,MATCH(C766,Categories!$A$6:$A$65,0))&amp;"",""))</f>
        <v/>
      </c>
      <c r="I766" s="25">
        <f>IF(AND(A766="",C766="",D766=""),"",IF(A766="","Date missing",IF(NOT(ISNUMBER(A766)),"Date not recognized",IF(YEAR(A766)&lt;&gt;Settings!$C$4,"Not in "&amp;Settings!$C$4,IF(C766="","Category missing",IF(H766="",IF(COUNTIF(Categories!$A$6:$A$65,C766)&gt;0,"Category has no type","Category not in list"),IF(D766="","Amount missing",IF(NOT(ISNUMBER(D766)),"Amount is not a number",IF(F766="","",IF(ISNA(MATCH(F766,Lists!$G$2:$G$25,0)),"Goal / fund not in list",IF(H766="Income","Fund tag ignored on income","")))))))))))</f>
        <v/>
      </c>
    </row>
    <row r="767">
      <c r="A767" s="27" t="n"/>
      <c r="B767" s="23" t="n"/>
      <c r="C767" s="23" t="n"/>
      <c r="D767" s="28" t="n"/>
      <c r="E767" s="23" t="n"/>
      <c r="F767" s="23" t="n"/>
      <c r="G767" s="23" t="n"/>
      <c r="H767" s="29">
        <f>IF(C767="","",IFERROR(INDEX(Categories!$B$6:$B$65,MATCH(C767,Categories!$A$6:$A$65,0))&amp;"",""))</f>
        <v/>
      </c>
      <c r="I767" s="25">
        <f>IF(AND(A767="",C767="",D767=""),"",IF(A767="","Date missing",IF(NOT(ISNUMBER(A767)),"Date not recognized",IF(YEAR(A767)&lt;&gt;Settings!$C$4,"Not in "&amp;Settings!$C$4,IF(C767="","Category missing",IF(H767="",IF(COUNTIF(Categories!$A$6:$A$65,C767)&gt;0,"Category has no type","Category not in list"),IF(D767="","Amount missing",IF(NOT(ISNUMBER(D767)),"Amount is not a number",IF(F767="","",IF(ISNA(MATCH(F767,Lists!$G$2:$G$25,0)),"Goal / fund not in list",IF(H767="Income","Fund tag ignored on income","")))))))))))</f>
        <v/>
      </c>
    </row>
    <row r="768">
      <c r="A768" s="27" t="n"/>
      <c r="B768" s="23" t="n"/>
      <c r="C768" s="23" t="n"/>
      <c r="D768" s="28" t="n"/>
      <c r="E768" s="23" t="n"/>
      <c r="F768" s="23" t="n"/>
      <c r="G768" s="23" t="n"/>
      <c r="H768" s="29">
        <f>IF(C768="","",IFERROR(INDEX(Categories!$B$6:$B$65,MATCH(C768,Categories!$A$6:$A$65,0))&amp;"",""))</f>
        <v/>
      </c>
      <c r="I768" s="25">
        <f>IF(AND(A768="",C768="",D768=""),"",IF(A768="","Date missing",IF(NOT(ISNUMBER(A768)),"Date not recognized",IF(YEAR(A768)&lt;&gt;Settings!$C$4,"Not in "&amp;Settings!$C$4,IF(C768="","Category missing",IF(H768="",IF(COUNTIF(Categories!$A$6:$A$65,C768)&gt;0,"Category has no type","Category not in list"),IF(D768="","Amount missing",IF(NOT(ISNUMBER(D768)),"Amount is not a number",IF(F768="","",IF(ISNA(MATCH(F768,Lists!$G$2:$G$25,0)),"Goal / fund not in list",IF(H768="Income","Fund tag ignored on income","")))))))))))</f>
        <v/>
      </c>
    </row>
    <row r="769">
      <c r="A769" s="27" t="n"/>
      <c r="B769" s="23" t="n"/>
      <c r="C769" s="23" t="n"/>
      <c r="D769" s="28" t="n"/>
      <c r="E769" s="23" t="n"/>
      <c r="F769" s="23" t="n"/>
      <c r="G769" s="23" t="n"/>
      <c r="H769" s="29">
        <f>IF(C769="","",IFERROR(INDEX(Categories!$B$6:$B$65,MATCH(C769,Categories!$A$6:$A$65,0))&amp;"",""))</f>
        <v/>
      </c>
      <c r="I769" s="25">
        <f>IF(AND(A769="",C769="",D769=""),"",IF(A769="","Date missing",IF(NOT(ISNUMBER(A769)),"Date not recognized",IF(YEAR(A769)&lt;&gt;Settings!$C$4,"Not in "&amp;Settings!$C$4,IF(C769="","Category missing",IF(H769="",IF(COUNTIF(Categories!$A$6:$A$65,C769)&gt;0,"Category has no type","Category not in list"),IF(D769="","Amount missing",IF(NOT(ISNUMBER(D769)),"Amount is not a number",IF(F769="","",IF(ISNA(MATCH(F769,Lists!$G$2:$G$25,0)),"Goal / fund not in list",IF(H769="Income","Fund tag ignored on income","")))))))))))</f>
        <v/>
      </c>
    </row>
    <row r="770">
      <c r="A770" s="27" t="n"/>
      <c r="B770" s="23" t="n"/>
      <c r="C770" s="23" t="n"/>
      <c r="D770" s="28" t="n"/>
      <c r="E770" s="23" t="n"/>
      <c r="F770" s="23" t="n"/>
      <c r="G770" s="23" t="n"/>
      <c r="H770" s="29">
        <f>IF(C770="","",IFERROR(INDEX(Categories!$B$6:$B$65,MATCH(C770,Categories!$A$6:$A$65,0))&amp;"",""))</f>
        <v/>
      </c>
      <c r="I770" s="25">
        <f>IF(AND(A770="",C770="",D770=""),"",IF(A770="","Date missing",IF(NOT(ISNUMBER(A770)),"Date not recognized",IF(YEAR(A770)&lt;&gt;Settings!$C$4,"Not in "&amp;Settings!$C$4,IF(C770="","Category missing",IF(H770="",IF(COUNTIF(Categories!$A$6:$A$65,C770)&gt;0,"Category has no type","Category not in list"),IF(D770="","Amount missing",IF(NOT(ISNUMBER(D770)),"Amount is not a number",IF(F770="","",IF(ISNA(MATCH(F770,Lists!$G$2:$G$25,0)),"Goal / fund not in list",IF(H770="Income","Fund tag ignored on income","")))))))))))</f>
        <v/>
      </c>
    </row>
    <row r="771">
      <c r="A771" s="27" t="n"/>
      <c r="B771" s="23" t="n"/>
      <c r="C771" s="23" t="n"/>
      <c r="D771" s="28" t="n"/>
      <c r="E771" s="23" t="n"/>
      <c r="F771" s="23" t="n"/>
      <c r="G771" s="23" t="n"/>
      <c r="H771" s="29">
        <f>IF(C771="","",IFERROR(INDEX(Categories!$B$6:$B$65,MATCH(C771,Categories!$A$6:$A$65,0))&amp;"",""))</f>
        <v/>
      </c>
      <c r="I771" s="25">
        <f>IF(AND(A771="",C771="",D771=""),"",IF(A771="","Date missing",IF(NOT(ISNUMBER(A771)),"Date not recognized",IF(YEAR(A771)&lt;&gt;Settings!$C$4,"Not in "&amp;Settings!$C$4,IF(C771="","Category missing",IF(H771="",IF(COUNTIF(Categories!$A$6:$A$65,C771)&gt;0,"Category has no type","Category not in list"),IF(D771="","Amount missing",IF(NOT(ISNUMBER(D771)),"Amount is not a number",IF(F771="","",IF(ISNA(MATCH(F771,Lists!$G$2:$G$25,0)),"Goal / fund not in list",IF(H771="Income","Fund tag ignored on income","")))))))))))</f>
        <v/>
      </c>
    </row>
    <row r="772">
      <c r="A772" s="27" t="n"/>
      <c r="B772" s="23" t="n"/>
      <c r="C772" s="23" t="n"/>
      <c r="D772" s="28" t="n"/>
      <c r="E772" s="23" t="n"/>
      <c r="F772" s="23" t="n"/>
      <c r="G772" s="23" t="n"/>
      <c r="H772" s="29">
        <f>IF(C772="","",IFERROR(INDEX(Categories!$B$6:$B$65,MATCH(C772,Categories!$A$6:$A$65,0))&amp;"",""))</f>
        <v/>
      </c>
      <c r="I772" s="25">
        <f>IF(AND(A772="",C772="",D772=""),"",IF(A772="","Date missing",IF(NOT(ISNUMBER(A772)),"Date not recognized",IF(YEAR(A772)&lt;&gt;Settings!$C$4,"Not in "&amp;Settings!$C$4,IF(C772="","Category missing",IF(H772="",IF(COUNTIF(Categories!$A$6:$A$65,C772)&gt;0,"Category has no type","Category not in list"),IF(D772="","Amount missing",IF(NOT(ISNUMBER(D772)),"Amount is not a number",IF(F772="","",IF(ISNA(MATCH(F772,Lists!$G$2:$G$25,0)),"Goal / fund not in list",IF(H772="Income","Fund tag ignored on income","")))))))))))</f>
        <v/>
      </c>
    </row>
    <row r="773">
      <c r="A773" s="27" t="n"/>
      <c r="B773" s="23" t="n"/>
      <c r="C773" s="23" t="n"/>
      <c r="D773" s="28" t="n"/>
      <c r="E773" s="23" t="n"/>
      <c r="F773" s="23" t="n"/>
      <c r="G773" s="23" t="n"/>
      <c r="H773" s="29">
        <f>IF(C773="","",IFERROR(INDEX(Categories!$B$6:$B$65,MATCH(C773,Categories!$A$6:$A$65,0))&amp;"",""))</f>
        <v/>
      </c>
      <c r="I773" s="25">
        <f>IF(AND(A773="",C773="",D773=""),"",IF(A773="","Date missing",IF(NOT(ISNUMBER(A773)),"Date not recognized",IF(YEAR(A773)&lt;&gt;Settings!$C$4,"Not in "&amp;Settings!$C$4,IF(C773="","Category missing",IF(H773="",IF(COUNTIF(Categories!$A$6:$A$65,C773)&gt;0,"Category has no type","Category not in list"),IF(D773="","Amount missing",IF(NOT(ISNUMBER(D773)),"Amount is not a number",IF(F773="","",IF(ISNA(MATCH(F773,Lists!$G$2:$G$25,0)),"Goal / fund not in list",IF(H773="Income","Fund tag ignored on income","")))))))))))</f>
        <v/>
      </c>
    </row>
    <row r="774">
      <c r="A774" s="27" t="n"/>
      <c r="B774" s="23" t="n"/>
      <c r="C774" s="23" t="n"/>
      <c r="D774" s="28" t="n"/>
      <c r="E774" s="23" t="n"/>
      <c r="F774" s="23" t="n"/>
      <c r="G774" s="23" t="n"/>
      <c r="H774" s="29">
        <f>IF(C774="","",IFERROR(INDEX(Categories!$B$6:$B$65,MATCH(C774,Categories!$A$6:$A$65,0))&amp;"",""))</f>
        <v/>
      </c>
      <c r="I774" s="25">
        <f>IF(AND(A774="",C774="",D774=""),"",IF(A774="","Date missing",IF(NOT(ISNUMBER(A774)),"Date not recognized",IF(YEAR(A774)&lt;&gt;Settings!$C$4,"Not in "&amp;Settings!$C$4,IF(C774="","Category missing",IF(H774="",IF(COUNTIF(Categories!$A$6:$A$65,C774)&gt;0,"Category has no type","Category not in list"),IF(D774="","Amount missing",IF(NOT(ISNUMBER(D774)),"Amount is not a number",IF(F774="","",IF(ISNA(MATCH(F774,Lists!$G$2:$G$25,0)),"Goal / fund not in list",IF(H774="Income","Fund tag ignored on income","")))))))))))</f>
        <v/>
      </c>
    </row>
    <row r="775">
      <c r="A775" s="27" t="n"/>
      <c r="B775" s="23" t="n"/>
      <c r="C775" s="23" t="n"/>
      <c r="D775" s="28" t="n"/>
      <c r="E775" s="23" t="n"/>
      <c r="F775" s="23" t="n"/>
      <c r="G775" s="23" t="n"/>
      <c r="H775" s="29">
        <f>IF(C775="","",IFERROR(INDEX(Categories!$B$6:$B$65,MATCH(C775,Categories!$A$6:$A$65,0))&amp;"",""))</f>
        <v/>
      </c>
      <c r="I775" s="25">
        <f>IF(AND(A775="",C775="",D775=""),"",IF(A775="","Date missing",IF(NOT(ISNUMBER(A775)),"Date not recognized",IF(YEAR(A775)&lt;&gt;Settings!$C$4,"Not in "&amp;Settings!$C$4,IF(C775="","Category missing",IF(H775="",IF(COUNTIF(Categories!$A$6:$A$65,C775)&gt;0,"Category has no type","Category not in list"),IF(D775="","Amount missing",IF(NOT(ISNUMBER(D775)),"Amount is not a number",IF(F775="","",IF(ISNA(MATCH(F775,Lists!$G$2:$G$25,0)),"Goal / fund not in list",IF(H775="Income","Fund tag ignored on income","")))))))))))</f>
        <v/>
      </c>
    </row>
    <row r="776">
      <c r="A776" s="27" t="n"/>
      <c r="B776" s="23" t="n"/>
      <c r="C776" s="23" t="n"/>
      <c r="D776" s="28" t="n"/>
      <c r="E776" s="23" t="n"/>
      <c r="F776" s="23" t="n"/>
      <c r="G776" s="23" t="n"/>
      <c r="H776" s="29">
        <f>IF(C776="","",IFERROR(INDEX(Categories!$B$6:$B$65,MATCH(C776,Categories!$A$6:$A$65,0))&amp;"",""))</f>
        <v/>
      </c>
      <c r="I776" s="25">
        <f>IF(AND(A776="",C776="",D776=""),"",IF(A776="","Date missing",IF(NOT(ISNUMBER(A776)),"Date not recognized",IF(YEAR(A776)&lt;&gt;Settings!$C$4,"Not in "&amp;Settings!$C$4,IF(C776="","Category missing",IF(H776="",IF(COUNTIF(Categories!$A$6:$A$65,C776)&gt;0,"Category has no type","Category not in list"),IF(D776="","Amount missing",IF(NOT(ISNUMBER(D776)),"Amount is not a number",IF(F776="","",IF(ISNA(MATCH(F776,Lists!$G$2:$G$25,0)),"Goal / fund not in list",IF(H776="Income","Fund tag ignored on income","")))))))))))</f>
        <v/>
      </c>
    </row>
    <row r="777">
      <c r="A777" s="27" t="n"/>
      <c r="B777" s="23" t="n"/>
      <c r="C777" s="23" t="n"/>
      <c r="D777" s="28" t="n"/>
      <c r="E777" s="23" t="n"/>
      <c r="F777" s="23" t="n"/>
      <c r="G777" s="23" t="n"/>
      <c r="H777" s="29">
        <f>IF(C777="","",IFERROR(INDEX(Categories!$B$6:$B$65,MATCH(C777,Categories!$A$6:$A$65,0))&amp;"",""))</f>
        <v/>
      </c>
      <c r="I777" s="25">
        <f>IF(AND(A777="",C777="",D777=""),"",IF(A777="","Date missing",IF(NOT(ISNUMBER(A777)),"Date not recognized",IF(YEAR(A777)&lt;&gt;Settings!$C$4,"Not in "&amp;Settings!$C$4,IF(C777="","Category missing",IF(H777="",IF(COUNTIF(Categories!$A$6:$A$65,C777)&gt;0,"Category has no type","Category not in list"),IF(D777="","Amount missing",IF(NOT(ISNUMBER(D777)),"Amount is not a number",IF(F777="","",IF(ISNA(MATCH(F777,Lists!$G$2:$G$25,0)),"Goal / fund not in list",IF(H777="Income","Fund tag ignored on income","")))))))))))</f>
        <v/>
      </c>
    </row>
    <row r="778">
      <c r="A778" s="27" t="n"/>
      <c r="B778" s="23" t="n"/>
      <c r="C778" s="23" t="n"/>
      <c r="D778" s="28" t="n"/>
      <c r="E778" s="23" t="n"/>
      <c r="F778" s="23" t="n"/>
      <c r="G778" s="23" t="n"/>
      <c r="H778" s="29">
        <f>IF(C778="","",IFERROR(INDEX(Categories!$B$6:$B$65,MATCH(C778,Categories!$A$6:$A$65,0))&amp;"",""))</f>
        <v/>
      </c>
      <c r="I778" s="25">
        <f>IF(AND(A778="",C778="",D778=""),"",IF(A778="","Date missing",IF(NOT(ISNUMBER(A778)),"Date not recognized",IF(YEAR(A778)&lt;&gt;Settings!$C$4,"Not in "&amp;Settings!$C$4,IF(C778="","Category missing",IF(H778="",IF(COUNTIF(Categories!$A$6:$A$65,C778)&gt;0,"Category has no type","Category not in list"),IF(D778="","Amount missing",IF(NOT(ISNUMBER(D778)),"Amount is not a number",IF(F778="","",IF(ISNA(MATCH(F778,Lists!$G$2:$G$25,0)),"Goal / fund not in list",IF(H778="Income","Fund tag ignored on income","")))))))))))</f>
        <v/>
      </c>
    </row>
    <row r="779">
      <c r="A779" s="27" t="n"/>
      <c r="B779" s="23" t="n"/>
      <c r="C779" s="23" t="n"/>
      <c r="D779" s="28" t="n"/>
      <c r="E779" s="23" t="n"/>
      <c r="F779" s="23" t="n"/>
      <c r="G779" s="23" t="n"/>
      <c r="H779" s="29">
        <f>IF(C779="","",IFERROR(INDEX(Categories!$B$6:$B$65,MATCH(C779,Categories!$A$6:$A$65,0))&amp;"",""))</f>
        <v/>
      </c>
      <c r="I779" s="25">
        <f>IF(AND(A779="",C779="",D779=""),"",IF(A779="","Date missing",IF(NOT(ISNUMBER(A779)),"Date not recognized",IF(YEAR(A779)&lt;&gt;Settings!$C$4,"Not in "&amp;Settings!$C$4,IF(C779="","Category missing",IF(H779="",IF(COUNTIF(Categories!$A$6:$A$65,C779)&gt;0,"Category has no type","Category not in list"),IF(D779="","Amount missing",IF(NOT(ISNUMBER(D779)),"Amount is not a number",IF(F779="","",IF(ISNA(MATCH(F779,Lists!$G$2:$G$25,0)),"Goal / fund not in list",IF(H779="Income","Fund tag ignored on income","")))))))))))</f>
        <v/>
      </c>
    </row>
    <row r="780">
      <c r="A780" s="27" t="n"/>
      <c r="B780" s="23" t="n"/>
      <c r="C780" s="23" t="n"/>
      <c r="D780" s="28" t="n"/>
      <c r="E780" s="23" t="n"/>
      <c r="F780" s="23" t="n"/>
      <c r="G780" s="23" t="n"/>
      <c r="H780" s="29">
        <f>IF(C780="","",IFERROR(INDEX(Categories!$B$6:$B$65,MATCH(C780,Categories!$A$6:$A$65,0))&amp;"",""))</f>
        <v/>
      </c>
      <c r="I780" s="25">
        <f>IF(AND(A780="",C780="",D780=""),"",IF(A780="","Date missing",IF(NOT(ISNUMBER(A780)),"Date not recognized",IF(YEAR(A780)&lt;&gt;Settings!$C$4,"Not in "&amp;Settings!$C$4,IF(C780="","Category missing",IF(H780="",IF(COUNTIF(Categories!$A$6:$A$65,C780)&gt;0,"Category has no type","Category not in list"),IF(D780="","Amount missing",IF(NOT(ISNUMBER(D780)),"Amount is not a number",IF(F780="","",IF(ISNA(MATCH(F780,Lists!$G$2:$G$25,0)),"Goal / fund not in list",IF(H780="Income","Fund tag ignored on income","")))))))))))</f>
        <v/>
      </c>
    </row>
    <row r="781">
      <c r="A781" s="27" t="n"/>
      <c r="B781" s="23" t="n"/>
      <c r="C781" s="23" t="n"/>
      <c r="D781" s="28" t="n"/>
      <c r="E781" s="23" t="n"/>
      <c r="F781" s="23" t="n"/>
      <c r="G781" s="23" t="n"/>
      <c r="H781" s="29">
        <f>IF(C781="","",IFERROR(INDEX(Categories!$B$6:$B$65,MATCH(C781,Categories!$A$6:$A$65,0))&amp;"",""))</f>
        <v/>
      </c>
      <c r="I781" s="25">
        <f>IF(AND(A781="",C781="",D781=""),"",IF(A781="","Date missing",IF(NOT(ISNUMBER(A781)),"Date not recognized",IF(YEAR(A781)&lt;&gt;Settings!$C$4,"Not in "&amp;Settings!$C$4,IF(C781="","Category missing",IF(H781="",IF(COUNTIF(Categories!$A$6:$A$65,C781)&gt;0,"Category has no type","Category not in list"),IF(D781="","Amount missing",IF(NOT(ISNUMBER(D781)),"Amount is not a number",IF(F781="","",IF(ISNA(MATCH(F781,Lists!$G$2:$G$25,0)),"Goal / fund not in list",IF(H781="Income","Fund tag ignored on income","")))))))))))</f>
        <v/>
      </c>
    </row>
    <row r="782">
      <c r="A782" s="27" t="n"/>
      <c r="B782" s="23" t="n"/>
      <c r="C782" s="23" t="n"/>
      <c r="D782" s="28" t="n"/>
      <c r="E782" s="23" t="n"/>
      <c r="F782" s="23" t="n"/>
      <c r="G782" s="23" t="n"/>
      <c r="H782" s="29">
        <f>IF(C782="","",IFERROR(INDEX(Categories!$B$6:$B$65,MATCH(C782,Categories!$A$6:$A$65,0))&amp;"",""))</f>
        <v/>
      </c>
      <c r="I782" s="25">
        <f>IF(AND(A782="",C782="",D782=""),"",IF(A782="","Date missing",IF(NOT(ISNUMBER(A782)),"Date not recognized",IF(YEAR(A782)&lt;&gt;Settings!$C$4,"Not in "&amp;Settings!$C$4,IF(C782="","Category missing",IF(H782="",IF(COUNTIF(Categories!$A$6:$A$65,C782)&gt;0,"Category has no type","Category not in list"),IF(D782="","Amount missing",IF(NOT(ISNUMBER(D782)),"Amount is not a number",IF(F782="","",IF(ISNA(MATCH(F782,Lists!$G$2:$G$25,0)),"Goal / fund not in list",IF(H782="Income","Fund tag ignored on income","")))))))))))</f>
        <v/>
      </c>
    </row>
    <row r="783">
      <c r="A783" s="27" t="n"/>
      <c r="B783" s="23" t="n"/>
      <c r="C783" s="23" t="n"/>
      <c r="D783" s="28" t="n"/>
      <c r="E783" s="23" t="n"/>
      <c r="F783" s="23" t="n"/>
      <c r="G783" s="23" t="n"/>
      <c r="H783" s="29">
        <f>IF(C783="","",IFERROR(INDEX(Categories!$B$6:$B$65,MATCH(C783,Categories!$A$6:$A$65,0))&amp;"",""))</f>
        <v/>
      </c>
      <c r="I783" s="25">
        <f>IF(AND(A783="",C783="",D783=""),"",IF(A783="","Date missing",IF(NOT(ISNUMBER(A783)),"Date not recognized",IF(YEAR(A783)&lt;&gt;Settings!$C$4,"Not in "&amp;Settings!$C$4,IF(C783="","Category missing",IF(H783="",IF(COUNTIF(Categories!$A$6:$A$65,C783)&gt;0,"Category has no type","Category not in list"),IF(D783="","Amount missing",IF(NOT(ISNUMBER(D783)),"Amount is not a number",IF(F783="","",IF(ISNA(MATCH(F783,Lists!$G$2:$G$25,0)),"Goal / fund not in list",IF(H783="Income","Fund tag ignored on income","")))))))))))</f>
        <v/>
      </c>
    </row>
    <row r="784">
      <c r="A784" s="27" t="n"/>
      <c r="B784" s="23" t="n"/>
      <c r="C784" s="23" t="n"/>
      <c r="D784" s="28" t="n"/>
      <c r="E784" s="23" t="n"/>
      <c r="F784" s="23" t="n"/>
      <c r="G784" s="23" t="n"/>
      <c r="H784" s="29">
        <f>IF(C784="","",IFERROR(INDEX(Categories!$B$6:$B$65,MATCH(C784,Categories!$A$6:$A$65,0))&amp;"",""))</f>
        <v/>
      </c>
      <c r="I784" s="25">
        <f>IF(AND(A784="",C784="",D784=""),"",IF(A784="","Date missing",IF(NOT(ISNUMBER(A784)),"Date not recognized",IF(YEAR(A784)&lt;&gt;Settings!$C$4,"Not in "&amp;Settings!$C$4,IF(C784="","Category missing",IF(H784="",IF(COUNTIF(Categories!$A$6:$A$65,C784)&gt;0,"Category has no type","Category not in list"),IF(D784="","Amount missing",IF(NOT(ISNUMBER(D784)),"Amount is not a number",IF(F784="","",IF(ISNA(MATCH(F784,Lists!$G$2:$G$25,0)),"Goal / fund not in list",IF(H784="Income","Fund tag ignored on income","")))))))))))</f>
        <v/>
      </c>
    </row>
    <row r="785">
      <c r="A785" s="27" t="n"/>
      <c r="B785" s="23" t="n"/>
      <c r="C785" s="23" t="n"/>
      <c r="D785" s="28" t="n"/>
      <c r="E785" s="23" t="n"/>
      <c r="F785" s="23" t="n"/>
      <c r="G785" s="23" t="n"/>
      <c r="H785" s="29">
        <f>IF(C785="","",IFERROR(INDEX(Categories!$B$6:$B$65,MATCH(C785,Categories!$A$6:$A$65,0))&amp;"",""))</f>
        <v/>
      </c>
      <c r="I785" s="25">
        <f>IF(AND(A785="",C785="",D785=""),"",IF(A785="","Date missing",IF(NOT(ISNUMBER(A785)),"Date not recognized",IF(YEAR(A785)&lt;&gt;Settings!$C$4,"Not in "&amp;Settings!$C$4,IF(C785="","Category missing",IF(H785="",IF(COUNTIF(Categories!$A$6:$A$65,C785)&gt;0,"Category has no type","Category not in list"),IF(D785="","Amount missing",IF(NOT(ISNUMBER(D785)),"Amount is not a number",IF(F785="","",IF(ISNA(MATCH(F785,Lists!$G$2:$G$25,0)),"Goal / fund not in list",IF(H785="Income","Fund tag ignored on income","")))))))))))</f>
        <v/>
      </c>
    </row>
    <row r="786">
      <c r="A786" s="27" t="n"/>
      <c r="B786" s="23" t="n"/>
      <c r="C786" s="23" t="n"/>
      <c r="D786" s="28" t="n"/>
      <c r="E786" s="23" t="n"/>
      <c r="F786" s="23" t="n"/>
      <c r="G786" s="23" t="n"/>
      <c r="H786" s="29">
        <f>IF(C786="","",IFERROR(INDEX(Categories!$B$6:$B$65,MATCH(C786,Categories!$A$6:$A$65,0))&amp;"",""))</f>
        <v/>
      </c>
      <c r="I786" s="25">
        <f>IF(AND(A786="",C786="",D786=""),"",IF(A786="","Date missing",IF(NOT(ISNUMBER(A786)),"Date not recognized",IF(YEAR(A786)&lt;&gt;Settings!$C$4,"Not in "&amp;Settings!$C$4,IF(C786="","Category missing",IF(H786="",IF(COUNTIF(Categories!$A$6:$A$65,C786)&gt;0,"Category has no type","Category not in list"),IF(D786="","Amount missing",IF(NOT(ISNUMBER(D786)),"Amount is not a number",IF(F786="","",IF(ISNA(MATCH(F786,Lists!$G$2:$G$25,0)),"Goal / fund not in list",IF(H786="Income","Fund tag ignored on income","")))))))))))</f>
        <v/>
      </c>
    </row>
    <row r="787">
      <c r="A787" s="27" t="n"/>
      <c r="B787" s="23" t="n"/>
      <c r="C787" s="23" t="n"/>
      <c r="D787" s="28" t="n"/>
      <c r="E787" s="23" t="n"/>
      <c r="F787" s="23" t="n"/>
      <c r="G787" s="23" t="n"/>
      <c r="H787" s="29">
        <f>IF(C787="","",IFERROR(INDEX(Categories!$B$6:$B$65,MATCH(C787,Categories!$A$6:$A$65,0))&amp;"",""))</f>
        <v/>
      </c>
      <c r="I787" s="25">
        <f>IF(AND(A787="",C787="",D787=""),"",IF(A787="","Date missing",IF(NOT(ISNUMBER(A787)),"Date not recognized",IF(YEAR(A787)&lt;&gt;Settings!$C$4,"Not in "&amp;Settings!$C$4,IF(C787="","Category missing",IF(H787="",IF(COUNTIF(Categories!$A$6:$A$65,C787)&gt;0,"Category has no type","Category not in list"),IF(D787="","Amount missing",IF(NOT(ISNUMBER(D787)),"Amount is not a number",IF(F787="","",IF(ISNA(MATCH(F787,Lists!$G$2:$G$25,0)),"Goal / fund not in list",IF(H787="Income","Fund tag ignored on income","")))))))))))</f>
        <v/>
      </c>
    </row>
    <row r="788">
      <c r="A788" s="27" t="n"/>
      <c r="B788" s="23" t="n"/>
      <c r="C788" s="23" t="n"/>
      <c r="D788" s="28" t="n"/>
      <c r="E788" s="23" t="n"/>
      <c r="F788" s="23" t="n"/>
      <c r="G788" s="23" t="n"/>
      <c r="H788" s="29">
        <f>IF(C788="","",IFERROR(INDEX(Categories!$B$6:$B$65,MATCH(C788,Categories!$A$6:$A$65,0))&amp;"",""))</f>
        <v/>
      </c>
      <c r="I788" s="25">
        <f>IF(AND(A788="",C788="",D788=""),"",IF(A788="","Date missing",IF(NOT(ISNUMBER(A788)),"Date not recognized",IF(YEAR(A788)&lt;&gt;Settings!$C$4,"Not in "&amp;Settings!$C$4,IF(C788="","Category missing",IF(H788="",IF(COUNTIF(Categories!$A$6:$A$65,C788)&gt;0,"Category has no type","Category not in list"),IF(D788="","Amount missing",IF(NOT(ISNUMBER(D788)),"Amount is not a number",IF(F788="","",IF(ISNA(MATCH(F788,Lists!$G$2:$G$25,0)),"Goal / fund not in list",IF(H788="Income","Fund tag ignored on income","")))))))))))</f>
        <v/>
      </c>
    </row>
    <row r="789">
      <c r="A789" s="27" t="n"/>
      <c r="B789" s="23" t="n"/>
      <c r="C789" s="23" t="n"/>
      <c r="D789" s="28" t="n"/>
      <c r="E789" s="23" t="n"/>
      <c r="F789" s="23" t="n"/>
      <c r="G789" s="23" t="n"/>
      <c r="H789" s="29">
        <f>IF(C789="","",IFERROR(INDEX(Categories!$B$6:$B$65,MATCH(C789,Categories!$A$6:$A$65,0))&amp;"",""))</f>
        <v/>
      </c>
      <c r="I789" s="25">
        <f>IF(AND(A789="",C789="",D789=""),"",IF(A789="","Date missing",IF(NOT(ISNUMBER(A789)),"Date not recognized",IF(YEAR(A789)&lt;&gt;Settings!$C$4,"Not in "&amp;Settings!$C$4,IF(C789="","Category missing",IF(H789="",IF(COUNTIF(Categories!$A$6:$A$65,C789)&gt;0,"Category has no type","Category not in list"),IF(D789="","Amount missing",IF(NOT(ISNUMBER(D789)),"Amount is not a number",IF(F789="","",IF(ISNA(MATCH(F789,Lists!$G$2:$G$25,0)),"Goal / fund not in list",IF(H789="Income","Fund tag ignored on income","")))))))))))</f>
        <v/>
      </c>
    </row>
    <row r="790">
      <c r="A790" s="27" t="n"/>
      <c r="B790" s="23" t="n"/>
      <c r="C790" s="23" t="n"/>
      <c r="D790" s="28" t="n"/>
      <c r="E790" s="23" t="n"/>
      <c r="F790" s="23" t="n"/>
      <c r="G790" s="23" t="n"/>
      <c r="H790" s="29">
        <f>IF(C790="","",IFERROR(INDEX(Categories!$B$6:$B$65,MATCH(C790,Categories!$A$6:$A$65,0))&amp;"",""))</f>
        <v/>
      </c>
      <c r="I790" s="25">
        <f>IF(AND(A790="",C790="",D790=""),"",IF(A790="","Date missing",IF(NOT(ISNUMBER(A790)),"Date not recognized",IF(YEAR(A790)&lt;&gt;Settings!$C$4,"Not in "&amp;Settings!$C$4,IF(C790="","Category missing",IF(H790="",IF(COUNTIF(Categories!$A$6:$A$65,C790)&gt;0,"Category has no type","Category not in list"),IF(D790="","Amount missing",IF(NOT(ISNUMBER(D790)),"Amount is not a number",IF(F790="","",IF(ISNA(MATCH(F790,Lists!$G$2:$G$25,0)),"Goal / fund not in list",IF(H790="Income","Fund tag ignored on income","")))))))))))</f>
        <v/>
      </c>
    </row>
    <row r="791">
      <c r="A791" s="27" t="n"/>
      <c r="B791" s="23" t="n"/>
      <c r="C791" s="23" t="n"/>
      <c r="D791" s="28" t="n"/>
      <c r="E791" s="23" t="n"/>
      <c r="F791" s="23" t="n"/>
      <c r="G791" s="23" t="n"/>
      <c r="H791" s="29">
        <f>IF(C791="","",IFERROR(INDEX(Categories!$B$6:$B$65,MATCH(C791,Categories!$A$6:$A$65,0))&amp;"",""))</f>
        <v/>
      </c>
      <c r="I791" s="25">
        <f>IF(AND(A791="",C791="",D791=""),"",IF(A791="","Date missing",IF(NOT(ISNUMBER(A791)),"Date not recognized",IF(YEAR(A791)&lt;&gt;Settings!$C$4,"Not in "&amp;Settings!$C$4,IF(C791="","Category missing",IF(H791="",IF(COUNTIF(Categories!$A$6:$A$65,C791)&gt;0,"Category has no type","Category not in list"),IF(D791="","Amount missing",IF(NOT(ISNUMBER(D791)),"Amount is not a number",IF(F791="","",IF(ISNA(MATCH(F791,Lists!$G$2:$G$25,0)),"Goal / fund not in list",IF(H791="Income","Fund tag ignored on income","")))))))))))</f>
        <v/>
      </c>
    </row>
    <row r="792">
      <c r="A792" s="27" t="n"/>
      <c r="B792" s="23" t="n"/>
      <c r="C792" s="23" t="n"/>
      <c r="D792" s="28" t="n"/>
      <c r="E792" s="23" t="n"/>
      <c r="F792" s="23" t="n"/>
      <c r="G792" s="23" t="n"/>
      <c r="H792" s="29">
        <f>IF(C792="","",IFERROR(INDEX(Categories!$B$6:$B$65,MATCH(C792,Categories!$A$6:$A$65,0))&amp;"",""))</f>
        <v/>
      </c>
      <c r="I792" s="25">
        <f>IF(AND(A792="",C792="",D792=""),"",IF(A792="","Date missing",IF(NOT(ISNUMBER(A792)),"Date not recognized",IF(YEAR(A792)&lt;&gt;Settings!$C$4,"Not in "&amp;Settings!$C$4,IF(C792="","Category missing",IF(H792="",IF(COUNTIF(Categories!$A$6:$A$65,C792)&gt;0,"Category has no type","Category not in list"),IF(D792="","Amount missing",IF(NOT(ISNUMBER(D792)),"Amount is not a number",IF(F792="","",IF(ISNA(MATCH(F792,Lists!$G$2:$G$25,0)),"Goal / fund not in list",IF(H792="Income","Fund tag ignored on income","")))))))))))</f>
        <v/>
      </c>
    </row>
    <row r="793">
      <c r="A793" s="27" t="n"/>
      <c r="B793" s="23" t="n"/>
      <c r="C793" s="23" t="n"/>
      <c r="D793" s="28" t="n"/>
      <c r="E793" s="23" t="n"/>
      <c r="F793" s="23" t="n"/>
      <c r="G793" s="23" t="n"/>
      <c r="H793" s="29">
        <f>IF(C793="","",IFERROR(INDEX(Categories!$B$6:$B$65,MATCH(C793,Categories!$A$6:$A$65,0))&amp;"",""))</f>
        <v/>
      </c>
      <c r="I793" s="25">
        <f>IF(AND(A793="",C793="",D793=""),"",IF(A793="","Date missing",IF(NOT(ISNUMBER(A793)),"Date not recognized",IF(YEAR(A793)&lt;&gt;Settings!$C$4,"Not in "&amp;Settings!$C$4,IF(C793="","Category missing",IF(H793="",IF(COUNTIF(Categories!$A$6:$A$65,C793)&gt;0,"Category has no type","Category not in list"),IF(D793="","Amount missing",IF(NOT(ISNUMBER(D793)),"Amount is not a number",IF(F793="","",IF(ISNA(MATCH(F793,Lists!$G$2:$G$25,0)),"Goal / fund not in list",IF(H793="Income","Fund tag ignored on income","")))))))))))</f>
        <v/>
      </c>
    </row>
    <row r="794">
      <c r="A794" s="27" t="n"/>
      <c r="B794" s="23" t="n"/>
      <c r="C794" s="23" t="n"/>
      <c r="D794" s="28" t="n"/>
      <c r="E794" s="23" t="n"/>
      <c r="F794" s="23" t="n"/>
      <c r="G794" s="23" t="n"/>
      <c r="H794" s="29">
        <f>IF(C794="","",IFERROR(INDEX(Categories!$B$6:$B$65,MATCH(C794,Categories!$A$6:$A$65,0))&amp;"",""))</f>
        <v/>
      </c>
      <c r="I794" s="25">
        <f>IF(AND(A794="",C794="",D794=""),"",IF(A794="","Date missing",IF(NOT(ISNUMBER(A794)),"Date not recognized",IF(YEAR(A794)&lt;&gt;Settings!$C$4,"Not in "&amp;Settings!$C$4,IF(C794="","Category missing",IF(H794="",IF(COUNTIF(Categories!$A$6:$A$65,C794)&gt;0,"Category has no type","Category not in list"),IF(D794="","Amount missing",IF(NOT(ISNUMBER(D794)),"Amount is not a number",IF(F794="","",IF(ISNA(MATCH(F794,Lists!$G$2:$G$25,0)),"Goal / fund not in list",IF(H794="Income","Fund tag ignored on income","")))))))))))</f>
        <v/>
      </c>
    </row>
    <row r="795">
      <c r="A795" s="27" t="n"/>
      <c r="B795" s="23" t="n"/>
      <c r="C795" s="23" t="n"/>
      <c r="D795" s="28" t="n"/>
      <c r="E795" s="23" t="n"/>
      <c r="F795" s="23" t="n"/>
      <c r="G795" s="23" t="n"/>
      <c r="H795" s="29">
        <f>IF(C795="","",IFERROR(INDEX(Categories!$B$6:$B$65,MATCH(C795,Categories!$A$6:$A$65,0))&amp;"",""))</f>
        <v/>
      </c>
      <c r="I795" s="25">
        <f>IF(AND(A795="",C795="",D795=""),"",IF(A795="","Date missing",IF(NOT(ISNUMBER(A795)),"Date not recognized",IF(YEAR(A795)&lt;&gt;Settings!$C$4,"Not in "&amp;Settings!$C$4,IF(C795="","Category missing",IF(H795="",IF(COUNTIF(Categories!$A$6:$A$65,C795)&gt;0,"Category has no type","Category not in list"),IF(D795="","Amount missing",IF(NOT(ISNUMBER(D795)),"Amount is not a number",IF(F795="","",IF(ISNA(MATCH(F795,Lists!$G$2:$G$25,0)),"Goal / fund not in list",IF(H795="Income","Fund tag ignored on income","")))))))))))</f>
        <v/>
      </c>
    </row>
    <row r="796">
      <c r="A796" s="27" t="n"/>
      <c r="B796" s="23" t="n"/>
      <c r="C796" s="23" t="n"/>
      <c r="D796" s="28" t="n"/>
      <c r="E796" s="23" t="n"/>
      <c r="F796" s="23" t="n"/>
      <c r="G796" s="23" t="n"/>
      <c r="H796" s="29">
        <f>IF(C796="","",IFERROR(INDEX(Categories!$B$6:$B$65,MATCH(C796,Categories!$A$6:$A$65,0))&amp;"",""))</f>
        <v/>
      </c>
      <c r="I796" s="25">
        <f>IF(AND(A796="",C796="",D796=""),"",IF(A796="","Date missing",IF(NOT(ISNUMBER(A796)),"Date not recognized",IF(YEAR(A796)&lt;&gt;Settings!$C$4,"Not in "&amp;Settings!$C$4,IF(C796="","Category missing",IF(H796="",IF(COUNTIF(Categories!$A$6:$A$65,C796)&gt;0,"Category has no type","Category not in list"),IF(D796="","Amount missing",IF(NOT(ISNUMBER(D796)),"Amount is not a number",IF(F796="","",IF(ISNA(MATCH(F796,Lists!$G$2:$G$25,0)),"Goal / fund not in list",IF(H796="Income","Fund tag ignored on income","")))))))))))</f>
        <v/>
      </c>
    </row>
    <row r="797">
      <c r="A797" s="27" t="n"/>
      <c r="B797" s="23" t="n"/>
      <c r="C797" s="23" t="n"/>
      <c r="D797" s="28" t="n"/>
      <c r="E797" s="23" t="n"/>
      <c r="F797" s="23" t="n"/>
      <c r="G797" s="23" t="n"/>
      <c r="H797" s="29">
        <f>IF(C797="","",IFERROR(INDEX(Categories!$B$6:$B$65,MATCH(C797,Categories!$A$6:$A$65,0))&amp;"",""))</f>
        <v/>
      </c>
      <c r="I797" s="25">
        <f>IF(AND(A797="",C797="",D797=""),"",IF(A797="","Date missing",IF(NOT(ISNUMBER(A797)),"Date not recognized",IF(YEAR(A797)&lt;&gt;Settings!$C$4,"Not in "&amp;Settings!$C$4,IF(C797="","Category missing",IF(H797="",IF(COUNTIF(Categories!$A$6:$A$65,C797)&gt;0,"Category has no type","Category not in list"),IF(D797="","Amount missing",IF(NOT(ISNUMBER(D797)),"Amount is not a number",IF(F797="","",IF(ISNA(MATCH(F797,Lists!$G$2:$G$25,0)),"Goal / fund not in list",IF(H797="Income","Fund tag ignored on income","")))))))))))</f>
        <v/>
      </c>
    </row>
    <row r="798">
      <c r="A798" s="27" t="n"/>
      <c r="B798" s="23" t="n"/>
      <c r="C798" s="23" t="n"/>
      <c r="D798" s="28" t="n"/>
      <c r="E798" s="23" t="n"/>
      <c r="F798" s="23" t="n"/>
      <c r="G798" s="23" t="n"/>
      <c r="H798" s="29">
        <f>IF(C798="","",IFERROR(INDEX(Categories!$B$6:$B$65,MATCH(C798,Categories!$A$6:$A$65,0))&amp;"",""))</f>
        <v/>
      </c>
      <c r="I798" s="25">
        <f>IF(AND(A798="",C798="",D798=""),"",IF(A798="","Date missing",IF(NOT(ISNUMBER(A798)),"Date not recognized",IF(YEAR(A798)&lt;&gt;Settings!$C$4,"Not in "&amp;Settings!$C$4,IF(C798="","Category missing",IF(H798="",IF(COUNTIF(Categories!$A$6:$A$65,C798)&gt;0,"Category has no type","Category not in list"),IF(D798="","Amount missing",IF(NOT(ISNUMBER(D798)),"Amount is not a number",IF(F798="","",IF(ISNA(MATCH(F798,Lists!$G$2:$G$25,0)),"Goal / fund not in list",IF(H798="Income","Fund tag ignored on income","")))))))))))</f>
        <v/>
      </c>
    </row>
    <row r="799">
      <c r="A799" s="27" t="n"/>
      <c r="B799" s="23" t="n"/>
      <c r="C799" s="23" t="n"/>
      <c r="D799" s="28" t="n"/>
      <c r="E799" s="23" t="n"/>
      <c r="F799" s="23" t="n"/>
      <c r="G799" s="23" t="n"/>
      <c r="H799" s="29">
        <f>IF(C799="","",IFERROR(INDEX(Categories!$B$6:$B$65,MATCH(C799,Categories!$A$6:$A$65,0))&amp;"",""))</f>
        <v/>
      </c>
      <c r="I799" s="25">
        <f>IF(AND(A799="",C799="",D799=""),"",IF(A799="","Date missing",IF(NOT(ISNUMBER(A799)),"Date not recognized",IF(YEAR(A799)&lt;&gt;Settings!$C$4,"Not in "&amp;Settings!$C$4,IF(C799="","Category missing",IF(H799="",IF(COUNTIF(Categories!$A$6:$A$65,C799)&gt;0,"Category has no type","Category not in list"),IF(D799="","Amount missing",IF(NOT(ISNUMBER(D799)),"Amount is not a number",IF(F799="","",IF(ISNA(MATCH(F799,Lists!$G$2:$G$25,0)),"Goal / fund not in list",IF(H799="Income","Fund tag ignored on income","")))))))))))</f>
        <v/>
      </c>
    </row>
    <row r="800">
      <c r="A800" s="27" t="n"/>
      <c r="B800" s="23" t="n"/>
      <c r="C800" s="23" t="n"/>
      <c r="D800" s="28" t="n"/>
      <c r="E800" s="23" t="n"/>
      <c r="F800" s="23" t="n"/>
      <c r="G800" s="23" t="n"/>
      <c r="H800" s="29">
        <f>IF(C800="","",IFERROR(INDEX(Categories!$B$6:$B$65,MATCH(C800,Categories!$A$6:$A$65,0))&amp;"",""))</f>
        <v/>
      </c>
      <c r="I800" s="25">
        <f>IF(AND(A800="",C800="",D800=""),"",IF(A800="","Date missing",IF(NOT(ISNUMBER(A800)),"Date not recognized",IF(YEAR(A800)&lt;&gt;Settings!$C$4,"Not in "&amp;Settings!$C$4,IF(C800="","Category missing",IF(H800="",IF(COUNTIF(Categories!$A$6:$A$65,C800)&gt;0,"Category has no type","Category not in list"),IF(D800="","Amount missing",IF(NOT(ISNUMBER(D800)),"Amount is not a number",IF(F800="","",IF(ISNA(MATCH(F800,Lists!$G$2:$G$25,0)),"Goal / fund not in list",IF(H800="Income","Fund tag ignored on income","")))))))))))</f>
        <v/>
      </c>
    </row>
    <row r="801">
      <c r="A801" s="27" t="n"/>
      <c r="B801" s="23" t="n"/>
      <c r="C801" s="23" t="n"/>
      <c r="D801" s="28" t="n"/>
      <c r="E801" s="23" t="n"/>
      <c r="F801" s="23" t="n"/>
      <c r="G801" s="23" t="n"/>
      <c r="H801" s="29">
        <f>IF(C801="","",IFERROR(INDEX(Categories!$B$6:$B$65,MATCH(C801,Categories!$A$6:$A$65,0))&amp;"",""))</f>
        <v/>
      </c>
      <c r="I801" s="25">
        <f>IF(AND(A801="",C801="",D801=""),"",IF(A801="","Date missing",IF(NOT(ISNUMBER(A801)),"Date not recognized",IF(YEAR(A801)&lt;&gt;Settings!$C$4,"Not in "&amp;Settings!$C$4,IF(C801="","Category missing",IF(H801="",IF(COUNTIF(Categories!$A$6:$A$65,C801)&gt;0,"Category has no type","Category not in list"),IF(D801="","Amount missing",IF(NOT(ISNUMBER(D801)),"Amount is not a number",IF(F801="","",IF(ISNA(MATCH(F801,Lists!$G$2:$G$25,0)),"Goal / fund not in list",IF(H801="Income","Fund tag ignored on income","")))))))))))</f>
        <v/>
      </c>
    </row>
    <row r="802">
      <c r="A802" s="27" t="n"/>
      <c r="B802" s="23" t="n"/>
      <c r="C802" s="23" t="n"/>
      <c r="D802" s="28" t="n"/>
      <c r="E802" s="23" t="n"/>
      <c r="F802" s="23" t="n"/>
      <c r="G802" s="23" t="n"/>
      <c r="H802" s="29">
        <f>IF(C802="","",IFERROR(INDEX(Categories!$B$6:$B$65,MATCH(C802,Categories!$A$6:$A$65,0))&amp;"",""))</f>
        <v/>
      </c>
      <c r="I802" s="25">
        <f>IF(AND(A802="",C802="",D802=""),"",IF(A802="","Date missing",IF(NOT(ISNUMBER(A802)),"Date not recognized",IF(YEAR(A802)&lt;&gt;Settings!$C$4,"Not in "&amp;Settings!$C$4,IF(C802="","Category missing",IF(H802="",IF(COUNTIF(Categories!$A$6:$A$65,C802)&gt;0,"Category has no type","Category not in list"),IF(D802="","Amount missing",IF(NOT(ISNUMBER(D802)),"Amount is not a number",IF(F802="","",IF(ISNA(MATCH(F802,Lists!$G$2:$G$25,0)),"Goal / fund not in list",IF(H802="Income","Fund tag ignored on income","")))))))))))</f>
        <v/>
      </c>
    </row>
    <row r="803">
      <c r="A803" s="27" t="n"/>
      <c r="B803" s="23" t="n"/>
      <c r="C803" s="23" t="n"/>
      <c r="D803" s="28" t="n"/>
      <c r="E803" s="23" t="n"/>
      <c r="F803" s="23" t="n"/>
      <c r="G803" s="23" t="n"/>
      <c r="H803" s="29">
        <f>IF(C803="","",IFERROR(INDEX(Categories!$B$6:$B$65,MATCH(C803,Categories!$A$6:$A$65,0))&amp;"",""))</f>
        <v/>
      </c>
      <c r="I803" s="25">
        <f>IF(AND(A803="",C803="",D803=""),"",IF(A803="","Date missing",IF(NOT(ISNUMBER(A803)),"Date not recognized",IF(YEAR(A803)&lt;&gt;Settings!$C$4,"Not in "&amp;Settings!$C$4,IF(C803="","Category missing",IF(H803="",IF(COUNTIF(Categories!$A$6:$A$65,C803)&gt;0,"Category has no type","Category not in list"),IF(D803="","Amount missing",IF(NOT(ISNUMBER(D803)),"Amount is not a number",IF(F803="","",IF(ISNA(MATCH(F803,Lists!$G$2:$G$25,0)),"Goal / fund not in list",IF(H803="Income","Fund tag ignored on income","")))))))))))</f>
        <v/>
      </c>
    </row>
    <row r="804">
      <c r="A804" s="27" t="n"/>
      <c r="B804" s="23" t="n"/>
      <c r="C804" s="23" t="n"/>
      <c r="D804" s="28" t="n"/>
      <c r="E804" s="23" t="n"/>
      <c r="F804" s="23" t="n"/>
      <c r="G804" s="23" t="n"/>
      <c r="H804" s="29">
        <f>IF(C804="","",IFERROR(INDEX(Categories!$B$6:$B$65,MATCH(C804,Categories!$A$6:$A$65,0))&amp;"",""))</f>
        <v/>
      </c>
      <c r="I804" s="25">
        <f>IF(AND(A804="",C804="",D804=""),"",IF(A804="","Date missing",IF(NOT(ISNUMBER(A804)),"Date not recognized",IF(YEAR(A804)&lt;&gt;Settings!$C$4,"Not in "&amp;Settings!$C$4,IF(C804="","Category missing",IF(H804="",IF(COUNTIF(Categories!$A$6:$A$65,C804)&gt;0,"Category has no type","Category not in list"),IF(D804="","Amount missing",IF(NOT(ISNUMBER(D804)),"Amount is not a number",IF(F804="","",IF(ISNA(MATCH(F804,Lists!$G$2:$G$25,0)),"Goal / fund not in list",IF(H804="Income","Fund tag ignored on income","")))))))))))</f>
        <v/>
      </c>
    </row>
    <row r="805">
      <c r="A805" s="27" t="n"/>
      <c r="B805" s="23" t="n"/>
      <c r="C805" s="23" t="n"/>
      <c r="D805" s="28" t="n"/>
      <c r="E805" s="23" t="n"/>
      <c r="F805" s="23" t="n"/>
      <c r="G805" s="23" t="n"/>
      <c r="H805" s="29">
        <f>IF(C805="","",IFERROR(INDEX(Categories!$B$6:$B$65,MATCH(C805,Categories!$A$6:$A$65,0))&amp;"",""))</f>
        <v/>
      </c>
      <c r="I805" s="25">
        <f>IF(AND(A805="",C805="",D805=""),"",IF(A805="","Date missing",IF(NOT(ISNUMBER(A805)),"Date not recognized",IF(YEAR(A805)&lt;&gt;Settings!$C$4,"Not in "&amp;Settings!$C$4,IF(C805="","Category missing",IF(H805="",IF(COUNTIF(Categories!$A$6:$A$65,C805)&gt;0,"Category has no type","Category not in list"),IF(D805="","Amount missing",IF(NOT(ISNUMBER(D805)),"Amount is not a number",IF(F805="","",IF(ISNA(MATCH(F805,Lists!$G$2:$G$25,0)),"Goal / fund not in list",IF(H805="Income","Fund tag ignored on income","")))))))))))</f>
        <v/>
      </c>
    </row>
    <row r="806">
      <c r="A806" s="27" t="n"/>
      <c r="B806" s="23" t="n"/>
      <c r="C806" s="23" t="n"/>
      <c r="D806" s="28" t="n"/>
      <c r="E806" s="23" t="n"/>
      <c r="F806" s="23" t="n"/>
      <c r="G806" s="23" t="n"/>
      <c r="H806" s="29">
        <f>IF(C806="","",IFERROR(INDEX(Categories!$B$6:$B$65,MATCH(C806,Categories!$A$6:$A$65,0))&amp;"",""))</f>
        <v/>
      </c>
      <c r="I806" s="25">
        <f>IF(AND(A806="",C806="",D806=""),"",IF(A806="","Date missing",IF(NOT(ISNUMBER(A806)),"Date not recognized",IF(YEAR(A806)&lt;&gt;Settings!$C$4,"Not in "&amp;Settings!$C$4,IF(C806="","Category missing",IF(H806="",IF(COUNTIF(Categories!$A$6:$A$65,C806)&gt;0,"Category has no type","Category not in list"),IF(D806="","Amount missing",IF(NOT(ISNUMBER(D806)),"Amount is not a number",IF(F806="","",IF(ISNA(MATCH(F806,Lists!$G$2:$G$25,0)),"Goal / fund not in list",IF(H806="Income","Fund tag ignored on income","")))))))))))</f>
        <v/>
      </c>
    </row>
    <row r="807">
      <c r="A807" s="27" t="n"/>
      <c r="B807" s="23" t="n"/>
      <c r="C807" s="23" t="n"/>
      <c r="D807" s="28" t="n"/>
      <c r="E807" s="23" t="n"/>
      <c r="F807" s="23" t="n"/>
      <c r="G807" s="23" t="n"/>
      <c r="H807" s="29">
        <f>IF(C807="","",IFERROR(INDEX(Categories!$B$6:$B$65,MATCH(C807,Categories!$A$6:$A$65,0))&amp;"",""))</f>
        <v/>
      </c>
      <c r="I807" s="25">
        <f>IF(AND(A807="",C807="",D807=""),"",IF(A807="","Date missing",IF(NOT(ISNUMBER(A807)),"Date not recognized",IF(YEAR(A807)&lt;&gt;Settings!$C$4,"Not in "&amp;Settings!$C$4,IF(C807="","Category missing",IF(H807="",IF(COUNTIF(Categories!$A$6:$A$65,C807)&gt;0,"Category has no type","Category not in list"),IF(D807="","Amount missing",IF(NOT(ISNUMBER(D807)),"Amount is not a number",IF(F807="","",IF(ISNA(MATCH(F807,Lists!$G$2:$G$25,0)),"Goal / fund not in list",IF(H807="Income","Fund tag ignored on income","")))))))))))</f>
        <v/>
      </c>
    </row>
    <row r="808">
      <c r="A808" s="27" t="n"/>
      <c r="B808" s="23" t="n"/>
      <c r="C808" s="23" t="n"/>
      <c r="D808" s="28" t="n"/>
      <c r="E808" s="23" t="n"/>
      <c r="F808" s="23" t="n"/>
      <c r="G808" s="23" t="n"/>
      <c r="H808" s="29">
        <f>IF(C808="","",IFERROR(INDEX(Categories!$B$6:$B$65,MATCH(C808,Categories!$A$6:$A$65,0))&amp;"",""))</f>
        <v/>
      </c>
      <c r="I808" s="25">
        <f>IF(AND(A808="",C808="",D808=""),"",IF(A808="","Date missing",IF(NOT(ISNUMBER(A808)),"Date not recognized",IF(YEAR(A808)&lt;&gt;Settings!$C$4,"Not in "&amp;Settings!$C$4,IF(C808="","Category missing",IF(H808="",IF(COUNTIF(Categories!$A$6:$A$65,C808)&gt;0,"Category has no type","Category not in list"),IF(D808="","Amount missing",IF(NOT(ISNUMBER(D808)),"Amount is not a number",IF(F808="","",IF(ISNA(MATCH(F808,Lists!$G$2:$G$25,0)),"Goal / fund not in list",IF(H808="Income","Fund tag ignored on income","")))))))))))</f>
        <v/>
      </c>
    </row>
    <row r="809">
      <c r="A809" s="27" t="n"/>
      <c r="B809" s="23" t="n"/>
      <c r="C809" s="23" t="n"/>
      <c r="D809" s="28" t="n"/>
      <c r="E809" s="23" t="n"/>
      <c r="F809" s="23" t="n"/>
      <c r="G809" s="23" t="n"/>
      <c r="H809" s="29">
        <f>IF(C809="","",IFERROR(INDEX(Categories!$B$6:$B$65,MATCH(C809,Categories!$A$6:$A$65,0))&amp;"",""))</f>
        <v/>
      </c>
      <c r="I809" s="25">
        <f>IF(AND(A809="",C809="",D809=""),"",IF(A809="","Date missing",IF(NOT(ISNUMBER(A809)),"Date not recognized",IF(YEAR(A809)&lt;&gt;Settings!$C$4,"Not in "&amp;Settings!$C$4,IF(C809="","Category missing",IF(H809="",IF(COUNTIF(Categories!$A$6:$A$65,C809)&gt;0,"Category has no type","Category not in list"),IF(D809="","Amount missing",IF(NOT(ISNUMBER(D809)),"Amount is not a number",IF(F809="","",IF(ISNA(MATCH(F809,Lists!$G$2:$G$25,0)),"Goal / fund not in list",IF(H809="Income","Fund tag ignored on income","")))))))))))</f>
        <v/>
      </c>
    </row>
    <row r="810">
      <c r="A810" s="27" t="n"/>
      <c r="B810" s="23" t="n"/>
      <c r="C810" s="23" t="n"/>
      <c r="D810" s="28" t="n"/>
      <c r="E810" s="23" t="n"/>
      <c r="F810" s="23" t="n"/>
      <c r="G810" s="23" t="n"/>
      <c r="H810" s="29">
        <f>IF(C810="","",IFERROR(INDEX(Categories!$B$6:$B$65,MATCH(C810,Categories!$A$6:$A$65,0))&amp;"",""))</f>
        <v/>
      </c>
      <c r="I810" s="25">
        <f>IF(AND(A810="",C810="",D810=""),"",IF(A810="","Date missing",IF(NOT(ISNUMBER(A810)),"Date not recognized",IF(YEAR(A810)&lt;&gt;Settings!$C$4,"Not in "&amp;Settings!$C$4,IF(C810="","Category missing",IF(H810="",IF(COUNTIF(Categories!$A$6:$A$65,C810)&gt;0,"Category has no type","Category not in list"),IF(D810="","Amount missing",IF(NOT(ISNUMBER(D810)),"Amount is not a number",IF(F810="","",IF(ISNA(MATCH(F810,Lists!$G$2:$G$25,0)),"Goal / fund not in list",IF(H810="Income","Fund tag ignored on income","")))))))))))</f>
        <v/>
      </c>
    </row>
    <row r="811">
      <c r="A811" s="27" t="n"/>
      <c r="B811" s="23" t="n"/>
      <c r="C811" s="23" t="n"/>
      <c r="D811" s="28" t="n"/>
      <c r="E811" s="23" t="n"/>
      <c r="F811" s="23" t="n"/>
      <c r="G811" s="23" t="n"/>
      <c r="H811" s="29">
        <f>IF(C811="","",IFERROR(INDEX(Categories!$B$6:$B$65,MATCH(C811,Categories!$A$6:$A$65,0))&amp;"",""))</f>
        <v/>
      </c>
      <c r="I811" s="25">
        <f>IF(AND(A811="",C811="",D811=""),"",IF(A811="","Date missing",IF(NOT(ISNUMBER(A811)),"Date not recognized",IF(YEAR(A811)&lt;&gt;Settings!$C$4,"Not in "&amp;Settings!$C$4,IF(C811="","Category missing",IF(H811="",IF(COUNTIF(Categories!$A$6:$A$65,C811)&gt;0,"Category has no type","Category not in list"),IF(D811="","Amount missing",IF(NOT(ISNUMBER(D811)),"Amount is not a number",IF(F811="","",IF(ISNA(MATCH(F811,Lists!$G$2:$G$25,0)),"Goal / fund not in list",IF(H811="Income","Fund tag ignored on income","")))))))))))</f>
        <v/>
      </c>
    </row>
    <row r="812">
      <c r="A812" s="27" t="n"/>
      <c r="B812" s="23" t="n"/>
      <c r="C812" s="23" t="n"/>
      <c r="D812" s="28" t="n"/>
      <c r="E812" s="23" t="n"/>
      <c r="F812" s="23" t="n"/>
      <c r="G812" s="23" t="n"/>
      <c r="H812" s="29">
        <f>IF(C812="","",IFERROR(INDEX(Categories!$B$6:$B$65,MATCH(C812,Categories!$A$6:$A$65,0))&amp;"",""))</f>
        <v/>
      </c>
      <c r="I812" s="25">
        <f>IF(AND(A812="",C812="",D812=""),"",IF(A812="","Date missing",IF(NOT(ISNUMBER(A812)),"Date not recognized",IF(YEAR(A812)&lt;&gt;Settings!$C$4,"Not in "&amp;Settings!$C$4,IF(C812="","Category missing",IF(H812="",IF(COUNTIF(Categories!$A$6:$A$65,C812)&gt;0,"Category has no type","Category not in list"),IF(D812="","Amount missing",IF(NOT(ISNUMBER(D812)),"Amount is not a number",IF(F812="","",IF(ISNA(MATCH(F812,Lists!$G$2:$G$25,0)),"Goal / fund not in list",IF(H812="Income","Fund tag ignored on income","")))))))))))</f>
        <v/>
      </c>
    </row>
    <row r="813">
      <c r="A813" s="27" t="n"/>
      <c r="B813" s="23" t="n"/>
      <c r="C813" s="23" t="n"/>
      <c r="D813" s="28" t="n"/>
      <c r="E813" s="23" t="n"/>
      <c r="F813" s="23" t="n"/>
      <c r="G813" s="23" t="n"/>
      <c r="H813" s="29">
        <f>IF(C813="","",IFERROR(INDEX(Categories!$B$6:$B$65,MATCH(C813,Categories!$A$6:$A$65,0))&amp;"",""))</f>
        <v/>
      </c>
      <c r="I813" s="25">
        <f>IF(AND(A813="",C813="",D813=""),"",IF(A813="","Date missing",IF(NOT(ISNUMBER(A813)),"Date not recognized",IF(YEAR(A813)&lt;&gt;Settings!$C$4,"Not in "&amp;Settings!$C$4,IF(C813="","Category missing",IF(H813="",IF(COUNTIF(Categories!$A$6:$A$65,C813)&gt;0,"Category has no type","Category not in list"),IF(D813="","Amount missing",IF(NOT(ISNUMBER(D813)),"Amount is not a number",IF(F813="","",IF(ISNA(MATCH(F813,Lists!$G$2:$G$25,0)),"Goal / fund not in list",IF(H813="Income","Fund tag ignored on income","")))))))))))</f>
        <v/>
      </c>
    </row>
    <row r="814">
      <c r="A814" s="27" t="n"/>
      <c r="B814" s="23" t="n"/>
      <c r="C814" s="23" t="n"/>
      <c r="D814" s="28" t="n"/>
      <c r="E814" s="23" t="n"/>
      <c r="F814" s="23" t="n"/>
      <c r="G814" s="23" t="n"/>
      <c r="H814" s="29">
        <f>IF(C814="","",IFERROR(INDEX(Categories!$B$6:$B$65,MATCH(C814,Categories!$A$6:$A$65,0))&amp;"",""))</f>
        <v/>
      </c>
      <c r="I814" s="25">
        <f>IF(AND(A814="",C814="",D814=""),"",IF(A814="","Date missing",IF(NOT(ISNUMBER(A814)),"Date not recognized",IF(YEAR(A814)&lt;&gt;Settings!$C$4,"Not in "&amp;Settings!$C$4,IF(C814="","Category missing",IF(H814="",IF(COUNTIF(Categories!$A$6:$A$65,C814)&gt;0,"Category has no type","Category not in list"),IF(D814="","Amount missing",IF(NOT(ISNUMBER(D814)),"Amount is not a number",IF(F814="","",IF(ISNA(MATCH(F814,Lists!$G$2:$G$25,0)),"Goal / fund not in list",IF(H814="Income","Fund tag ignored on income","")))))))))))</f>
        <v/>
      </c>
    </row>
    <row r="815">
      <c r="A815" s="27" t="n"/>
      <c r="B815" s="23" t="n"/>
      <c r="C815" s="23" t="n"/>
      <c r="D815" s="28" t="n"/>
      <c r="E815" s="23" t="n"/>
      <c r="F815" s="23" t="n"/>
      <c r="G815" s="23" t="n"/>
      <c r="H815" s="29">
        <f>IF(C815="","",IFERROR(INDEX(Categories!$B$6:$B$65,MATCH(C815,Categories!$A$6:$A$65,0))&amp;"",""))</f>
        <v/>
      </c>
      <c r="I815" s="25">
        <f>IF(AND(A815="",C815="",D815=""),"",IF(A815="","Date missing",IF(NOT(ISNUMBER(A815)),"Date not recognized",IF(YEAR(A815)&lt;&gt;Settings!$C$4,"Not in "&amp;Settings!$C$4,IF(C815="","Category missing",IF(H815="",IF(COUNTIF(Categories!$A$6:$A$65,C815)&gt;0,"Category has no type","Category not in list"),IF(D815="","Amount missing",IF(NOT(ISNUMBER(D815)),"Amount is not a number",IF(F815="","",IF(ISNA(MATCH(F815,Lists!$G$2:$G$25,0)),"Goal / fund not in list",IF(H815="Income","Fund tag ignored on income","")))))))))))</f>
        <v/>
      </c>
    </row>
    <row r="816">
      <c r="A816" s="27" t="n"/>
      <c r="B816" s="23" t="n"/>
      <c r="C816" s="23" t="n"/>
      <c r="D816" s="28" t="n"/>
      <c r="E816" s="23" t="n"/>
      <c r="F816" s="23" t="n"/>
      <c r="G816" s="23" t="n"/>
      <c r="H816" s="29">
        <f>IF(C816="","",IFERROR(INDEX(Categories!$B$6:$B$65,MATCH(C816,Categories!$A$6:$A$65,0))&amp;"",""))</f>
        <v/>
      </c>
      <c r="I816" s="25">
        <f>IF(AND(A816="",C816="",D816=""),"",IF(A816="","Date missing",IF(NOT(ISNUMBER(A816)),"Date not recognized",IF(YEAR(A816)&lt;&gt;Settings!$C$4,"Not in "&amp;Settings!$C$4,IF(C816="","Category missing",IF(H816="",IF(COUNTIF(Categories!$A$6:$A$65,C816)&gt;0,"Category has no type","Category not in list"),IF(D816="","Amount missing",IF(NOT(ISNUMBER(D816)),"Amount is not a number",IF(F816="","",IF(ISNA(MATCH(F816,Lists!$G$2:$G$25,0)),"Goal / fund not in list",IF(H816="Income","Fund tag ignored on income","")))))))))))</f>
        <v/>
      </c>
    </row>
    <row r="817">
      <c r="A817" s="27" t="n"/>
      <c r="B817" s="23" t="n"/>
      <c r="C817" s="23" t="n"/>
      <c r="D817" s="28" t="n"/>
      <c r="E817" s="23" t="n"/>
      <c r="F817" s="23" t="n"/>
      <c r="G817" s="23" t="n"/>
      <c r="H817" s="29">
        <f>IF(C817="","",IFERROR(INDEX(Categories!$B$6:$B$65,MATCH(C817,Categories!$A$6:$A$65,0))&amp;"",""))</f>
        <v/>
      </c>
      <c r="I817" s="25">
        <f>IF(AND(A817="",C817="",D817=""),"",IF(A817="","Date missing",IF(NOT(ISNUMBER(A817)),"Date not recognized",IF(YEAR(A817)&lt;&gt;Settings!$C$4,"Not in "&amp;Settings!$C$4,IF(C817="","Category missing",IF(H817="",IF(COUNTIF(Categories!$A$6:$A$65,C817)&gt;0,"Category has no type","Category not in list"),IF(D817="","Amount missing",IF(NOT(ISNUMBER(D817)),"Amount is not a number",IF(F817="","",IF(ISNA(MATCH(F817,Lists!$G$2:$G$25,0)),"Goal / fund not in list",IF(H817="Income","Fund tag ignored on income","")))))))))))</f>
        <v/>
      </c>
    </row>
    <row r="818">
      <c r="A818" s="27" t="n"/>
      <c r="B818" s="23" t="n"/>
      <c r="C818" s="23" t="n"/>
      <c r="D818" s="28" t="n"/>
      <c r="E818" s="23" t="n"/>
      <c r="F818" s="23" t="n"/>
      <c r="G818" s="23" t="n"/>
      <c r="H818" s="29">
        <f>IF(C818="","",IFERROR(INDEX(Categories!$B$6:$B$65,MATCH(C818,Categories!$A$6:$A$65,0))&amp;"",""))</f>
        <v/>
      </c>
      <c r="I818" s="25">
        <f>IF(AND(A818="",C818="",D818=""),"",IF(A818="","Date missing",IF(NOT(ISNUMBER(A818)),"Date not recognized",IF(YEAR(A818)&lt;&gt;Settings!$C$4,"Not in "&amp;Settings!$C$4,IF(C818="","Category missing",IF(H818="",IF(COUNTIF(Categories!$A$6:$A$65,C818)&gt;0,"Category has no type","Category not in list"),IF(D818="","Amount missing",IF(NOT(ISNUMBER(D818)),"Amount is not a number",IF(F818="","",IF(ISNA(MATCH(F818,Lists!$G$2:$G$25,0)),"Goal / fund not in list",IF(H818="Income","Fund tag ignored on income","")))))))))))</f>
        <v/>
      </c>
    </row>
    <row r="819">
      <c r="A819" s="27" t="n"/>
      <c r="B819" s="23" t="n"/>
      <c r="C819" s="23" t="n"/>
      <c r="D819" s="28" t="n"/>
      <c r="E819" s="23" t="n"/>
      <c r="F819" s="23" t="n"/>
      <c r="G819" s="23" t="n"/>
      <c r="H819" s="29">
        <f>IF(C819="","",IFERROR(INDEX(Categories!$B$6:$B$65,MATCH(C819,Categories!$A$6:$A$65,0))&amp;"",""))</f>
        <v/>
      </c>
      <c r="I819" s="25">
        <f>IF(AND(A819="",C819="",D819=""),"",IF(A819="","Date missing",IF(NOT(ISNUMBER(A819)),"Date not recognized",IF(YEAR(A819)&lt;&gt;Settings!$C$4,"Not in "&amp;Settings!$C$4,IF(C819="","Category missing",IF(H819="",IF(COUNTIF(Categories!$A$6:$A$65,C819)&gt;0,"Category has no type","Category not in list"),IF(D819="","Amount missing",IF(NOT(ISNUMBER(D819)),"Amount is not a number",IF(F819="","",IF(ISNA(MATCH(F819,Lists!$G$2:$G$25,0)),"Goal / fund not in list",IF(H819="Income","Fund tag ignored on income","")))))))))))</f>
        <v/>
      </c>
    </row>
    <row r="820">
      <c r="A820" s="27" t="n"/>
      <c r="B820" s="23" t="n"/>
      <c r="C820" s="23" t="n"/>
      <c r="D820" s="28" t="n"/>
      <c r="E820" s="23" t="n"/>
      <c r="F820" s="23" t="n"/>
      <c r="G820" s="23" t="n"/>
      <c r="H820" s="29">
        <f>IF(C820="","",IFERROR(INDEX(Categories!$B$6:$B$65,MATCH(C820,Categories!$A$6:$A$65,0))&amp;"",""))</f>
        <v/>
      </c>
      <c r="I820" s="25">
        <f>IF(AND(A820="",C820="",D820=""),"",IF(A820="","Date missing",IF(NOT(ISNUMBER(A820)),"Date not recognized",IF(YEAR(A820)&lt;&gt;Settings!$C$4,"Not in "&amp;Settings!$C$4,IF(C820="","Category missing",IF(H820="",IF(COUNTIF(Categories!$A$6:$A$65,C820)&gt;0,"Category has no type","Category not in list"),IF(D820="","Amount missing",IF(NOT(ISNUMBER(D820)),"Amount is not a number",IF(F820="","",IF(ISNA(MATCH(F820,Lists!$G$2:$G$25,0)),"Goal / fund not in list",IF(H820="Income","Fund tag ignored on income","")))))))))))</f>
        <v/>
      </c>
    </row>
    <row r="821">
      <c r="A821" s="27" t="n"/>
      <c r="B821" s="23" t="n"/>
      <c r="C821" s="23" t="n"/>
      <c r="D821" s="28" t="n"/>
      <c r="E821" s="23" t="n"/>
      <c r="F821" s="23" t="n"/>
      <c r="G821" s="23" t="n"/>
      <c r="H821" s="29">
        <f>IF(C821="","",IFERROR(INDEX(Categories!$B$6:$B$65,MATCH(C821,Categories!$A$6:$A$65,0))&amp;"",""))</f>
        <v/>
      </c>
      <c r="I821" s="25">
        <f>IF(AND(A821="",C821="",D821=""),"",IF(A821="","Date missing",IF(NOT(ISNUMBER(A821)),"Date not recognized",IF(YEAR(A821)&lt;&gt;Settings!$C$4,"Not in "&amp;Settings!$C$4,IF(C821="","Category missing",IF(H821="",IF(COUNTIF(Categories!$A$6:$A$65,C821)&gt;0,"Category has no type","Category not in list"),IF(D821="","Amount missing",IF(NOT(ISNUMBER(D821)),"Amount is not a number",IF(F821="","",IF(ISNA(MATCH(F821,Lists!$G$2:$G$25,0)),"Goal / fund not in list",IF(H821="Income","Fund tag ignored on income","")))))))))))</f>
        <v/>
      </c>
    </row>
    <row r="822">
      <c r="A822" s="27" t="n"/>
      <c r="B822" s="23" t="n"/>
      <c r="C822" s="23" t="n"/>
      <c r="D822" s="28" t="n"/>
      <c r="E822" s="23" t="n"/>
      <c r="F822" s="23" t="n"/>
      <c r="G822" s="23" t="n"/>
      <c r="H822" s="29">
        <f>IF(C822="","",IFERROR(INDEX(Categories!$B$6:$B$65,MATCH(C822,Categories!$A$6:$A$65,0))&amp;"",""))</f>
        <v/>
      </c>
      <c r="I822" s="25">
        <f>IF(AND(A822="",C822="",D822=""),"",IF(A822="","Date missing",IF(NOT(ISNUMBER(A822)),"Date not recognized",IF(YEAR(A822)&lt;&gt;Settings!$C$4,"Not in "&amp;Settings!$C$4,IF(C822="","Category missing",IF(H822="",IF(COUNTIF(Categories!$A$6:$A$65,C822)&gt;0,"Category has no type","Category not in list"),IF(D822="","Amount missing",IF(NOT(ISNUMBER(D822)),"Amount is not a number",IF(F822="","",IF(ISNA(MATCH(F822,Lists!$G$2:$G$25,0)),"Goal / fund not in list",IF(H822="Income","Fund tag ignored on income","")))))))))))</f>
        <v/>
      </c>
    </row>
    <row r="823">
      <c r="A823" s="27" t="n"/>
      <c r="B823" s="23" t="n"/>
      <c r="C823" s="23" t="n"/>
      <c r="D823" s="28" t="n"/>
      <c r="E823" s="23" t="n"/>
      <c r="F823" s="23" t="n"/>
      <c r="G823" s="23" t="n"/>
      <c r="H823" s="29">
        <f>IF(C823="","",IFERROR(INDEX(Categories!$B$6:$B$65,MATCH(C823,Categories!$A$6:$A$65,0))&amp;"",""))</f>
        <v/>
      </c>
      <c r="I823" s="25">
        <f>IF(AND(A823="",C823="",D823=""),"",IF(A823="","Date missing",IF(NOT(ISNUMBER(A823)),"Date not recognized",IF(YEAR(A823)&lt;&gt;Settings!$C$4,"Not in "&amp;Settings!$C$4,IF(C823="","Category missing",IF(H823="",IF(COUNTIF(Categories!$A$6:$A$65,C823)&gt;0,"Category has no type","Category not in list"),IF(D823="","Amount missing",IF(NOT(ISNUMBER(D823)),"Amount is not a number",IF(F823="","",IF(ISNA(MATCH(F823,Lists!$G$2:$G$25,0)),"Goal / fund not in list",IF(H823="Income","Fund tag ignored on income","")))))))))))</f>
        <v/>
      </c>
    </row>
    <row r="824">
      <c r="A824" s="27" t="n"/>
      <c r="B824" s="23" t="n"/>
      <c r="C824" s="23" t="n"/>
      <c r="D824" s="28" t="n"/>
      <c r="E824" s="23" t="n"/>
      <c r="F824" s="23" t="n"/>
      <c r="G824" s="23" t="n"/>
      <c r="H824" s="29">
        <f>IF(C824="","",IFERROR(INDEX(Categories!$B$6:$B$65,MATCH(C824,Categories!$A$6:$A$65,0))&amp;"",""))</f>
        <v/>
      </c>
      <c r="I824" s="25">
        <f>IF(AND(A824="",C824="",D824=""),"",IF(A824="","Date missing",IF(NOT(ISNUMBER(A824)),"Date not recognized",IF(YEAR(A824)&lt;&gt;Settings!$C$4,"Not in "&amp;Settings!$C$4,IF(C824="","Category missing",IF(H824="",IF(COUNTIF(Categories!$A$6:$A$65,C824)&gt;0,"Category has no type","Category not in list"),IF(D824="","Amount missing",IF(NOT(ISNUMBER(D824)),"Amount is not a number",IF(F824="","",IF(ISNA(MATCH(F824,Lists!$G$2:$G$25,0)),"Goal / fund not in list",IF(H824="Income","Fund tag ignored on income","")))))))))))</f>
        <v/>
      </c>
    </row>
    <row r="825">
      <c r="A825" s="27" t="n"/>
      <c r="B825" s="23" t="n"/>
      <c r="C825" s="23" t="n"/>
      <c r="D825" s="28" t="n"/>
      <c r="E825" s="23" t="n"/>
      <c r="F825" s="23" t="n"/>
      <c r="G825" s="23" t="n"/>
      <c r="H825" s="29">
        <f>IF(C825="","",IFERROR(INDEX(Categories!$B$6:$B$65,MATCH(C825,Categories!$A$6:$A$65,0))&amp;"",""))</f>
        <v/>
      </c>
      <c r="I825" s="25">
        <f>IF(AND(A825="",C825="",D825=""),"",IF(A825="","Date missing",IF(NOT(ISNUMBER(A825)),"Date not recognized",IF(YEAR(A825)&lt;&gt;Settings!$C$4,"Not in "&amp;Settings!$C$4,IF(C825="","Category missing",IF(H825="",IF(COUNTIF(Categories!$A$6:$A$65,C825)&gt;0,"Category has no type","Category not in list"),IF(D825="","Amount missing",IF(NOT(ISNUMBER(D825)),"Amount is not a number",IF(F825="","",IF(ISNA(MATCH(F825,Lists!$G$2:$G$25,0)),"Goal / fund not in list",IF(H825="Income","Fund tag ignored on income","")))))))))))</f>
        <v/>
      </c>
    </row>
    <row r="826">
      <c r="A826" s="27" t="n"/>
      <c r="B826" s="23" t="n"/>
      <c r="C826" s="23" t="n"/>
      <c r="D826" s="28" t="n"/>
      <c r="E826" s="23" t="n"/>
      <c r="F826" s="23" t="n"/>
      <c r="G826" s="23" t="n"/>
      <c r="H826" s="29">
        <f>IF(C826="","",IFERROR(INDEX(Categories!$B$6:$B$65,MATCH(C826,Categories!$A$6:$A$65,0))&amp;"",""))</f>
        <v/>
      </c>
      <c r="I826" s="25">
        <f>IF(AND(A826="",C826="",D826=""),"",IF(A826="","Date missing",IF(NOT(ISNUMBER(A826)),"Date not recognized",IF(YEAR(A826)&lt;&gt;Settings!$C$4,"Not in "&amp;Settings!$C$4,IF(C826="","Category missing",IF(H826="",IF(COUNTIF(Categories!$A$6:$A$65,C826)&gt;0,"Category has no type","Category not in list"),IF(D826="","Amount missing",IF(NOT(ISNUMBER(D826)),"Amount is not a number",IF(F826="","",IF(ISNA(MATCH(F826,Lists!$G$2:$G$25,0)),"Goal / fund not in list",IF(H826="Income","Fund tag ignored on income","")))))))))))</f>
        <v/>
      </c>
    </row>
    <row r="827">
      <c r="A827" s="27" t="n"/>
      <c r="B827" s="23" t="n"/>
      <c r="C827" s="23" t="n"/>
      <c r="D827" s="28" t="n"/>
      <c r="E827" s="23" t="n"/>
      <c r="F827" s="23" t="n"/>
      <c r="G827" s="23" t="n"/>
      <c r="H827" s="29">
        <f>IF(C827="","",IFERROR(INDEX(Categories!$B$6:$B$65,MATCH(C827,Categories!$A$6:$A$65,0))&amp;"",""))</f>
        <v/>
      </c>
      <c r="I827" s="25">
        <f>IF(AND(A827="",C827="",D827=""),"",IF(A827="","Date missing",IF(NOT(ISNUMBER(A827)),"Date not recognized",IF(YEAR(A827)&lt;&gt;Settings!$C$4,"Not in "&amp;Settings!$C$4,IF(C827="","Category missing",IF(H827="",IF(COUNTIF(Categories!$A$6:$A$65,C827)&gt;0,"Category has no type","Category not in list"),IF(D827="","Amount missing",IF(NOT(ISNUMBER(D827)),"Amount is not a number",IF(F827="","",IF(ISNA(MATCH(F827,Lists!$G$2:$G$25,0)),"Goal / fund not in list",IF(H827="Income","Fund tag ignored on income","")))))))))))</f>
        <v/>
      </c>
    </row>
    <row r="828">
      <c r="A828" s="27" t="n"/>
      <c r="B828" s="23" t="n"/>
      <c r="C828" s="23" t="n"/>
      <c r="D828" s="28" t="n"/>
      <c r="E828" s="23" t="n"/>
      <c r="F828" s="23" t="n"/>
      <c r="G828" s="23" t="n"/>
      <c r="H828" s="29">
        <f>IF(C828="","",IFERROR(INDEX(Categories!$B$6:$B$65,MATCH(C828,Categories!$A$6:$A$65,0))&amp;"",""))</f>
        <v/>
      </c>
      <c r="I828" s="25">
        <f>IF(AND(A828="",C828="",D828=""),"",IF(A828="","Date missing",IF(NOT(ISNUMBER(A828)),"Date not recognized",IF(YEAR(A828)&lt;&gt;Settings!$C$4,"Not in "&amp;Settings!$C$4,IF(C828="","Category missing",IF(H828="",IF(COUNTIF(Categories!$A$6:$A$65,C828)&gt;0,"Category has no type","Category not in list"),IF(D828="","Amount missing",IF(NOT(ISNUMBER(D828)),"Amount is not a number",IF(F828="","",IF(ISNA(MATCH(F828,Lists!$G$2:$G$25,0)),"Goal / fund not in list",IF(H828="Income","Fund tag ignored on income","")))))))))))</f>
        <v/>
      </c>
    </row>
    <row r="829">
      <c r="A829" s="27" t="n"/>
      <c r="B829" s="23" t="n"/>
      <c r="C829" s="23" t="n"/>
      <c r="D829" s="28" t="n"/>
      <c r="E829" s="23" t="n"/>
      <c r="F829" s="23" t="n"/>
      <c r="G829" s="23" t="n"/>
      <c r="H829" s="29">
        <f>IF(C829="","",IFERROR(INDEX(Categories!$B$6:$B$65,MATCH(C829,Categories!$A$6:$A$65,0))&amp;"",""))</f>
        <v/>
      </c>
      <c r="I829" s="25">
        <f>IF(AND(A829="",C829="",D829=""),"",IF(A829="","Date missing",IF(NOT(ISNUMBER(A829)),"Date not recognized",IF(YEAR(A829)&lt;&gt;Settings!$C$4,"Not in "&amp;Settings!$C$4,IF(C829="","Category missing",IF(H829="",IF(COUNTIF(Categories!$A$6:$A$65,C829)&gt;0,"Category has no type","Category not in list"),IF(D829="","Amount missing",IF(NOT(ISNUMBER(D829)),"Amount is not a number",IF(F829="","",IF(ISNA(MATCH(F829,Lists!$G$2:$G$25,0)),"Goal / fund not in list",IF(H829="Income","Fund tag ignored on income","")))))))))))</f>
        <v/>
      </c>
    </row>
    <row r="830">
      <c r="A830" s="27" t="n"/>
      <c r="B830" s="23" t="n"/>
      <c r="C830" s="23" t="n"/>
      <c r="D830" s="28" t="n"/>
      <c r="E830" s="23" t="n"/>
      <c r="F830" s="23" t="n"/>
      <c r="G830" s="23" t="n"/>
      <c r="H830" s="29">
        <f>IF(C830="","",IFERROR(INDEX(Categories!$B$6:$B$65,MATCH(C830,Categories!$A$6:$A$65,0))&amp;"",""))</f>
        <v/>
      </c>
      <c r="I830" s="25">
        <f>IF(AND(A830="",C830="",D830=""),"",IF(A830="","Date missing",IF(NOT(ISNUMBER(A830)),"Date not recognized",IF(YEAR(A830)&lt;&gt;Settings!$C$4,"Not in "&amp;Settings!$C$4,IF(C830="","Category missing",IF(H830="",IF(COUNTIF(Categories!$A$6:$A$65,C830)&gt;0,"Category has no type","Category not in list"),IF(D830="","Amount missing",IF(NOT(ISNUMBER(D830)),"Amount is not a number",IF(F830="","",IF(ISNA(MATCH(F830,Lists!$G$2:$G$25,0)),"Goal / fund not in list",IF(H830="Income","Fund tag ignored on income","")))))))))))</f>
        <v/>
      </c>
    </row>
    <row r="831">
      <c r="A831" s="27" t="n"/>
      <c r="B831" s="23" t="n"/>
      <c r="C831" s="23" t="n"/>
      <c r="D831" s="28" t="n"/>
      <c r="E831" s="23" t="n"/>
      <c r="F831" s="23" t="n"/>
      <c r="G831" s="23" t="n"/>
      <c r="H831" s="29">
        <f>IF(C831="","",IFERROR(INDEX(Categories!$B$6:$B$65,MATCH(C831,Categories!$A$6:$A$65,0))&amp;"",""))</f>
        <v/>
      </c>
      <c r="I831" s="25">
        <f>IF(AND(A831="",C831="",D831=""),"",IF(A831="","Date missing",IF(NOT(ISNUMBER(A831)),"Date not recognized",IF(YEAR(A831)&lt;&gt;Settings!$C$4,"Not in "&amp;Settings!$C$4,IF(C831="","Category missing",IF(H831="",IF(COUNTIF(Categories!$A$6:$A$65,C831)&gt;0,"Category has no type","Category not in list"),IF(D831="","Amount missing",IF(NOT(ISNUMBER(D831)),"Amount is not a number",IF(F831="","",IF(ISNA(MATCH(F831,Lists!$G$2:$G$25,0)),"Goal / fund not in list",IF(H831="Income","Fund tag ignored on income","")))))))))))</f>
        <v/>
      </c>
    </row>
    <row r="832">
      <c r="A832" s="27" t="n"/>
      <c r="B832" s="23" t="n"/>
      <c r="C832" s="23" t="n"/>
      <c r="D832" s="28" t="n"/>
      <c r="E832" s="23" t="n"/>
      <c r="F832" s="23" t="n"/>
      <c r="G832" s="23" t="n"/>
      <c r="H832" s="29">
        <f>IF(C832="","",IFERROR(INDEX(Categories!$B$6:$B$65,MATCH(C832,Categories!$A$6:$A$65,0))&amp;"",""))</f>
        <v/>
      </c>
      <c r="I832" s="25">
        <f>IF(AND(A832="",C832="",D832=""),"",IF(A832="","Date missing",IF(NOT(ISNUMBER(A832)),"Date not recognized",IF(YEAR(A832)&lt;&gt;Settings!$C$4,"Not in "&amp;Settings!$C$4,IF(C832="","Category missing",IF(H832="",IF(COUNTIF(Categories!$A$6:$A$65,C832)&gt;0,"Category has no type","Category not in list"),IF(D832="","Amount missing",IF(NOT(ISNUMBER(D832)),"Amount is not a number",IF(F832="","",IF(ISNA(MATCH(F832,Lists!$G$2:$G$25,0)),"Goal / fund not in list",IF(H832="Income","Fund tag ignored on income","")))))))))))</f>
        <v/>
      </c>
    </row>
    <row r="833">
      <c r="A833" s="27" t="n"/>
      <c r="B833" s="23" t="n"/>
      <c r="C833" s="23" t="n"/>
      <c r="D833" s="28" t="n"/>
      <c r="E833" s="23" t="n"/>
      <c r="F833" s="23" t="n"/>
      <c r="G833" s="23" t="n"/>
      <c r="H833" s="29">
        <f>IF(C833="","",IFERROR(INDEX(Categories!$B$6:$B$65,MATCH(C833,Categories!$A$6:$A$65,0))&amp;"",""))</f>
        <v/>
      </c>
      <c r="I833" s="25">
        <f>IF(AND(A833="",C833="",D833=""),"",IF(A833="","Date missing",IF(NOT(ISNUMBER(A833)),"Date not recognized",IF(YEAR(A833)&lt;&gt;Settings!$C$4,"Not in "&amp;Settings!$C$4,IF(C833="","Category missing",IF(H833="",IF(COUNTIF(Categories!$A$6:$A$65,C833)&gt;0,"Category has no type","Category not in list"),IF(D833="","Amount missing",IF(NOT(ISNUMBER(D833)),"Amount is not a number",IF(F833="","",IF(ISNA(MATCH(F833,Lists!$G$2:$G$25,0)),"Goal / fund not in list",IF(H833="Income","Fund tag ignored on income","")))))))))))</f>
        <v/>
      </c>
    </row>
    <row r="834">
      <c r="A834" s="27" t="n"/>
      <c r="B834" s="23" t="n"/>
      <c r="C834" s="23" t="n"/>
      <c r="D834" s="28" t="n"/>
      <c r="E834" s="23" t="n"/>
      <c r="F834" s="23" t="n"/>
      <c r="G834" s="23" t="n"/>
      <c r="H834" s="29">
        <f>IF(C834="","",IFERROR(INDEX(Categories!$B$6:$B$65,MATCH(C834,Categories!$A$6:$A$65,0))&amp;"",""))</f>
        <v/>
      </c>
      <c r="I834" s="25">
        <f>IF(AND(A834="",C834="",D834=""),"",IF(A834="","Date missing",IF(NOT(ISNUMBER(A834)),"Date not recognized",IF(YEAR(A834)&lt;&gt;Settings!$C$4,"Not in "&amp;Settings!$C$4,IF(C834="","Category missing",IF(H834="",IF(COUNTIF(Categories!$A$6:$A$65,C834)&gt;0,"Category has no type","Category not in list"),IF(D834="","Amount missing",IF(NOT(ISNUMBER(D834)),"Amount is not a number",IF(F834="","",IF(ISNA(MATCH(F834,Lists!$G$2:$G$25,0)),"Goal / fund not in list",IF(H834="Income","Fund tag ignored on income","")))))))))))</f>
        <v/>
      </c>
    </row>
    <row r="835">
      <c r="A835" s="27" t="n"/>
      <c r="B835" s="23" t="n"/>
      <c r="C835" s="23" t="n"/>
      <c r="D835" s="28" t="n"/>
      <c r="E835" s="23" t="n"/>
      <c r="F835" s="23" t="n"/>
      <c r="G835" s="23" t="n"/>
      <c r="H835" s="29">
        <f>IF(C835="","",IFERROR(INDEX(Categories!$B$6:$B$65,MATCH(C835,Categories!$A$6:$A$65,0))&amp;"",""))</f>
        <v/>
      </c>
      <c r="I835" s="25">
        <f>IF(AND(A835="",C835="",D835=""),"",IF(A835="","Date missing",IF(NOT(ISNUMBER(A835)),"Date not recognized",IF(YEAR(A835)&lt;&gt;Settings!$C$4,"Not in "&amp;Settings!$C$4,IF(C835="","Category missing",IF(H835="",IF(COUNTIF(Categories!$A$6:$A$65,C835)&gt;0,"Category has no type","Category not in list"),IF(D835="","Amount missing",IF(NOT(ISNUMBER(D835)),"Amount is not a number",IF(F835="","",IF(ISNA(MATCH(F835,Lists!$G$2:$G$25,0)),"Goal / fund not in list",IF(H835="Income","Fund tag ignored on income","")))))))))))</f>
        <v/>
      </c>
    </row>
    <row r="836">
      <c r="A836" s="27" t="n"/>
      <c r="B836" s="23" t="n"/>
      <c r="C836" s="23" t="n"/>
      <c r="D836" s="28" t="n"/>
      <c r="E836" s="23" t="n"/>
      <c r="F836" s="23" t="n"/>
      <c r="G836" s="23" t="n"/>
      <c r="H836" s="29">
        <f>IF(C836="","",IFERROR(INDEX(Categories!$B$6:$B$65,MATCH(C836,Categories!$A$6:$A$65,0))&amp;"",""))</f>
        <v/>
      </c>
      <c r="I836" s="25">
        <f>IF(AND(A836="",C836="",D836=""),"",IF(A836="","Date missing",IF(NOT(ISNUMBER(A836)),"Date not recognized",IF(YEAR(A836)&lt;&gt;Settings!$C$4,"Not in "&amp;Settings!$C$4,IF(C836="","Category missing",IF(H836="",IF(COUNTIF(Categories!$A$6:$A$65,C836)&gt;0,"Category has no type","Category not in list"),IF(D836="","Amount missing",IF(NOT(ISNUMBER(D836)),"Amount is not a number",IF(F836="","",IF(ISNA(MATCH(F836,Lists!$G$2:$G$25,0)),"Goal / fund not in list",IF(H836="Income","Fund tag ignored on income","")))))))))))</f>
        <v/>
      </c>
    </row>
    <row r="837">
      <c r="A837" s="27" t="n"/>
      <c r="B837" s="23" t="n"/>
      <c r="C837" s="23" t="n"/>
      <c r="D837" s="28" t="n"/>
      <c r="E837" s="23" t="n"/>
      <c r="F837" s="23" t="n"/>
      <c r="G837" s="23" t="n"/>
      <c r="H837" s="29">
        <f>IF(C837="","",IFERROR(INDEX(Categories!$B$6:$B$65,MATCH(C837,Categories!$A$6:$A$65,0))&amp;"",""))</f>
        <v/>
      </c>
      <c r="I837" s="25">
        <f>IF(AND(A837="",C837="",D837=""),"",IF(A837="","Date missing",IF(NOT(ISNUMBER(A837)),"Date not recognized",IF(YEAR(A837)&lt;&gt;Settings!$C$4,"Not in "&amp;Settings!$C$4,IF(C837="","Category missing",IF(H837="",IF(COUNTIF(Categories!$A$6:$A$65,C837)&gt;0,"Category has no type","Category not in list"),IF(D837="","Amount missing",IF(NOT(ISNUMBER(D837)),"Amount is not a number",IF(F837="","",IF(ISNA(MATCH(F837,Lists!$G$2:$G$25,0)),"Goal / fund not in list",IF(H837="Income","Fund tag ignored on income","")))))))))))</f>
        <v/>
      </c>
    </row>
    <row r="838">
      <c r="A838" s="27" t="n"/>
      <c r="B838" s="23" t="n"/>
      <c r="C838" s="23" t="n"/>
      <c r="D838" s="28" t="n"/>
      <c r="E838" s="23" t="n"/>
      <c r="F838" s="23" t="n"/>
      <c r="G838" s="23" t="n"/>
      <c r="H838" s="29">
        <f>IF(C838="","",IFERROR(INDEX(Categories!$B$6:$B$65,MATCH(C838,Categories!$A$6:$A$65,0))&amp;"",""))</f>
        <v/>
      </c>
      <c r="I838" s="25">
        <f>IF(AND(A838="",C838="",D838=""),"",IF(A838="","Date missing",IF(NOT(ISNUMBER(A838)),"Date not recognized",IF(YEAR(A838)&lt;&gt;Settings!$C$4,"Not in "&amp;Settings!$C$4,IF(C838="","Category missing",IF(H838="",IF(COUNTIF(Categories!$A$6:$A$65,C838)&gt;0,"Category has no type","Category not in list"),IF(D838="","Amount missing",IF(NOT(ISNUMBER(D838)),"Amount is not a number",IF(F838="","",IF(ISNA(MATCH(F838,Lists!$G$2:$G$25,0)),"Goal / fund not in list",IF(H838="Income","Fund tag ignored on income","")))))))))))</f>
        <v/>
      </c>
    </row>
    <row r="839">
      <c r="A839" s="27" t="n"/>
      <c r="B839" s="23" t="n"/>
      <c r="C839" s="23" t="n"/>
      <c r="D839" s="28" t="n"/>
      <c r="E839" s="23" t="n"/>
      <c r="F839" s="23" t="n"/>
      <c r="G839" s="23" t="n"/>
      <c r="H839" s="29">
        <f>IF(C839="","",IFERROR(INDEX(Categories!$B$6:$B$65,MATCH(C839,Categories!$A$6:$A$65,0))&amp;"",""))</f>
        <v/>
      </c>
      <c r="I839" s="25">
        <f>IF(AND(A839="",C839="",D839=""),"",IF(A839="","Date missing",IF(NOT(ISNUMBER(A839)),"Date not recognized",IF(YEAR(A839)&lt;&gt;Settings!$C$4,"Not in "&amp;Settings!$C$4,IF(C839="","Category missing",IF(H839="",IF(COUNTIF(Categories!$A$6:$A$65,C839)&gt;0,"Category has no type","Category not in list"),IF(D839="","Amount missing",IF(NOT(ISNUMBER(D839)),"Amount is not a number",IF(F839="","",IF(ISNA(MATCH(F839,Lists!$G$2:$G$25,0)),"Goal / fund not in list",IF(H839="Income","Fund tag ignored on income","")))))))))))</f>
        <v/>
      </c>
    </row>
    <row r="840">
      <c r="A840" s="27" t="n"/>
      <c r="B840" s="23" t="n"/>
      <c r="C840" s="23" t="n"/>
      <c r="D840" s="28" t="n"/>
      <c r="E840" s="23" t="n"/>
      <c r="F840" s="23" t="n"/>
      <c r="G840" s="23" t="n"/>
      <c r="H840" s="29">
        <f>IF(C840="","",IFERROR(INDEX(Categories!$B$6:$B$65,MATCH(C840,Categories!$A$6:$A$65,0))&amp;"",""))</f>
        <v/>
      </c>
      <c r="I840" s="25">
        <f>IF(AND(A840="",C840="",D840=""),"",IF(A840="","Date missing",IF(NOT(ISNUMBER(A840)),"Date not recognized",IF(YEAR(A840)&lt;&gt;Settings!$C$4,"Not in "&amp;Settings!$C$4,IF(C840="","Category missing",IF(H840="",IF(COUNTIF(Categories!$A$6:$A$65,C840)&gt;0,"Category has no type","Category not in list"),IF(D840="","Amount missing",IF(NOT(ISNUMBER(D840)),"Amount is not a number",IF(F840="","",IF(ISNA(MATCH(F840,Lists!$G$2:$G$25,0)),"Goal / fund not in list",IF(H840="Income","Fund tag ignored on income","")))))))))))</f>
        <v/>
      </c>
    </row>
    <row r="841">
      <c r="A841" s="27" t="n"/>
      <c r="B841" s="23" t="n"/>
      <c r="C841" s="23" t="n"/>
      <c r="D841" s="28" t="n"/>
      <c r="E841" s="23" t="n"/>
      <c r="F841" s="23" t="n"/>
      <c r="G841" s="23" t="n"/>
      <c r="H841" s="29">
        <f>IF(C841="","",IFERROR(INDEX(Categories!$B$6:$B$65,MATCH(C841,Categories!$A$6:$A$65,0))&amp;"",""))</f>
        <v/>
      </c>
      <c r="I841" s="25">
        <f>IF(AND(A841="",C841="",D841=""),"",IF(A841="","Date missing",IF(NOT(ISNUMBER(A841)),"Date not recognized",IF(YEAR(A841)&lt;&gt;Settings!$C$4,"Not in "&amp;Settings!$C$4,IF(C841="","Category missing",IF(H841="",IF(COUNTIF(Categories!$A$6:$A$65,C841)&gt;0,"Category has no type","Category not in list"),IF(D841="","Amount missing",IF(NOT(ISNUMBER(D841)),"Amount is not a number",IF(F841="","",IF(ISNA(MATCH(F841,Lists!$G$2:$G$25,0)),"Goal / fund not in list",IF(H841="Income","Fund tag ignored on income","")))))))))))</f>
        <v/>
      </c>
    </row>
    <row r="842">
      <c r="A842" s="27" t="n"/>
      <c r="B842" s="23" t="n"/>
      <c r="C842" s="23" t="n"/>
      <c r="D842" s="28" t="n"/>
      <c r="E842" s="23" t="n"/>
      <c r="F842" s="23" t="n"/>
      <c r="G842" s="23" t="n"/>
      <c r="H842" s="29">
        <f>IF(C842="","",IFERROR(INDEX(Categories!$B$6:$B$65,MATCH(C842,Categories!$A$6:$A$65,0))&amp;"",""))</f>
        <v/>
      </c>
      <c r="I842" s="25">
        <f>IF(AND(A842="",C842="",D842=""),"",IF(A842="","Date missing",IF(NOT(ISNUMBER(A842)),"Date not recognized",IF(YEAR(A842)&lt;&gt;Settings!$C$4,"Not in "&amp;Settings!$C$4,IF(C842="","Category missing",IF(H842="",IF(COUNTIF(Categories!$A$6:$A$65,C842)&gt;0,"Category has no type","Category not in list"),IF(D842="","Amount missing",IF(NOT(ISNUMBER(D842)),"Amount is not a number",IF(F842="","",IF(ISNA(MATCH(F842,Lists!$G$2:$G$25,0)),"Goal / fund not in list",IF(H842="Income","Fund tag ignored on income","")))))))))))</f>
        <v/>
      </c>
    </row>
    <row r="843">
      <c r="A843" s="27" t="n"/>
      <c r="B843" s="23" t="n"/>
      <c r="C843" s="23" t="n"/>
      <c r="D843" s="28" t="n"/>
      <c r="E843" s="23" t="n"/>
      <c r="F843" s="23" t="n"/>
      <c r="G843" s="23" t="n"/>
      <c r="H843" s="29">
        <f>IF(C843="","",IFERROR(INDEX(Categories!$B$6:$B$65,MATCH(C843,Categories!$A$6:$A$65,0))&amp;"",""))</f>
        <v/>
      </c>
      <c r="I843" s="25">
        <f>IF(AND(A843="",C843="",D843=""),"",IF(A843="","Date missing",IF(NOT(ISNUMBER(A843)),"Date not recognized",IF(YEAR(A843)&lt;&gt;Settings!$C$4,"Not in "&amp;Settings!$C$4,IF(C843="","Category missing",IF(H843="",IF(COUNTIF(Categories!$A$6:$A$65,C843)&gt;0,"Category has no type","Category not in list"),IF(D843="","Amount missing",IF(NOT(ISNUMBER(D843)),"Amount is not a number",IF(F843="","",IF(ISNA(MATCH(F843,Lists!$G$2:$G$25,0)),"Goal / fund not in list",IF(H843="Income","Fund tag ignored on income","")))))))))))</f>
        <v/>
      </c>
    </row>
    <row r="844">
      <c r="A844" s="27" t="n"/>
      <c r="B844" s="23" t="n"/>
      <c r="C844" s="23" t="n"/>
      <c r="D844" s="28" t="n"/>
      <c r="E844" s="23" t="n"/>
      <c r="F844" s="23" t="n"/>
      <c r="G844" s="23" t="n"/>
      <c r="H844" s="29">
        <f>IF(C844="","",IFERROR(INDEX(Categories!$B$6:$B$65,MATCH(C844,Categories!$A$6:$A$65,0))&amp;"",""))</f>
        <v/>
      </c>
      <c r="I844" s="25">
        <f>IF(AND(A844="",C844="",D844=""),"",IF(A844="","Date missing",IF(NOT(ISNUMBER(A844)),"Date not recognized",IF(YEAR(A844)&lt;&gt;Settings!$C$4,"Not in "&amp;Settings!$C$4,IF(C844="","Category missing",IF(H844="",IF(COUNTIF(Categories!$A$6:$A$65,C844)&gt;0,"Category has no type","Category not in list"),IF(D844="","Amount missing",IF(NOT(ISNUMBER(D844)),"Amount is not a number",IF(F844="","",IF(ISNA(MATCH(F844,Lists!$G$2:$G$25,0)),"Goal / fund not in list",IF(H844="Income","Fund tag ignored on income","")))))))))))</f>
        <v/>
      </c>
    </row>
    <row r="845">
      <c r="A845" s="27" t="n"/>
      <c r="B845" s="23" t="n"/>
      <c r="C845" s="23" t="n"/>
      <c r="D845" s="28" t="n"/>
      <c r="E845" s="23" t="n"/>
      <c r="F845" s="23" t="n"/>
      <c r="G845" s="23" t="n"/>
      <c r="H845" s="29">
        <f>IF(C845="","",IFERROR(INDEX(Categories!$B$6:$B$65,MATCH(C845,Categories!$A$6:$A$65,0))&amp;"",""))</f>
        <v/>
      </c>
      <c r="I845" s="25">
        <f>IF(AND(A845="",C845="",D845=""),"",IF(A845="","Date missing",IF(NOT(ISNUMBER(A845)),"Date not recognized",IF(YEAR(A845)&lt;&gt;Settings!$C$4,"Not in "&amp;Settings!$C$4,IF(C845="","Category missing",IF(H845="",IF(COUNTIF(Categories!$A$6:$A$65,C845)&gt;0,"Category has no type","Category not in list"),IF(D845="","Amount missing",IF(NOT(ISNUMBER(D845)),"Amount is not a number",IF(F845="","",IF(ISNA(MATCH(F845,Lists!$G$2:$G$25,0)),"Goal / fund not in list",IF(H845="Income","Fund tag ignored on income","")))))))))))</f>
        <v/>
      </c>
    </row>
    <row r="846">
      <c r="A846" s="27" t="n"/>
      <c r="B846" s="23" t="n"/>
      <c r="C846" s="23" t="n"/>
      <c r="D846" s="28" t="n"/>
      <c r="E846" s="23" t="n"/>
      <c r="F846" s="23" t="n"/>
      <c r="G846" s="23" t="n"/>
      <c r="H846" s="29">
        <f>IF(C846="","",IFERROR(INDEX(Categories!$B$6:$B$65,MATCH(C846,Categories!$A$6:$A$65,0))&amp;"",""))</f>
        <v/>
      </c>
      <c r="I846" s="25">
        <f>IF(AND(A846="",C846="",D846=""),"",IF(A846="","Date missing",IF(NOT(ISNUMBER(A846)),"Date not recognized",IF(YEAR(A846)&lt;&gt;Settings!$C$4,"Not in "&amp;Settings!$C$4,IF(C846="","Category missing",IF(H846="",IF(COUNTIF(Categories!$A$6:$A$65,C846)&gt;0,"Category has no type","Category not in list"),IF(D846="","Amount missing",IF(NOT(ISNUMBER(D846)),"Amount is not a number",IF(F846="","",IF(ISNA(MATCH(F846,Lists!$G$2:$G$25,0)),"Goal / fund not in list",IF(H846="Income","Fund tag ignored on income","")))))))))))</f>
        <v/>
      </c>
    </row>
    <row r="847">
      <c r="A847" s="27" t="n"/>
      <c r="B847" s="23" t="n"/>
      <c r="C847" s="23" t="n"/>
      <c r="D847" s="28" t="n"/>
      <c r="E847" s="23" t="n"/>
      <c r="F847" s="23" t="n"/>
      <c r="G847" s="23" t="n"/>
      <c r="H847" s="29">
        <f>IF(C847="","",IFERROR(INDEX(Categories!$B$6:$B$65,MATCH(C847,Categories!$A$6:$A$65,0))&amp;"",""))</f>
        <v/>
      </c>
      <c r="I847" s="25">
        <f>IF(AND(A847="",C847="",D847=""),"",IF(A847="","Date missing",IF(NOT(ISNUMBER(A847)),"Date not recognized",IF(YEAR(A847)&lt;&gt;Settings!$C$4,"Not in "&amp;Settings!$C$4,IF(C847="","Category missing",IF(H847="",IF(COUNTIF(Categories!$A$6:$A$65,C847)&gt;0,"Category has no type","Category not in list"),IF(D847="","Amount missing",IF(NOT(ISNUMBER(D847)),"Amount is not a number",IF(F847="","",IF(ISNA(MATCH(F847,Lists!$G$2:$G$25,0)),"Goal / fund not in list",IF(H847="Income","Fund tag ignored on income","")))))))))))</f>
        <v/>
      </c>
    </row>
    <row r="848">
      <c r="A848" s="27" t="n"/>
      <c r="B848" s="23" t="n"/>
      <c r="C848" s="23" t="n"/>
      <c r="D848" s="28" t="n"/>
      <c r="E848" s="23" t="n"/>
      <c r="F848" s="23" t="n"/>
      <c r="G848" s="23" t="n"/>
      <c r="H848" s="29">
        <f>IF(C848="","",IFERROR(INDEX(Categories!$B$6:$B$65,MATCH(C848,Categories!$A$6:$A$65,0))&amp;"",""))</f>
        <v/>
      </c>
      <c r="I848" s="25">
        <f>IF(AND(A848="",C848="",D848=""),"",IF(A848="","Date missing",IF(NOT(ISNUMBER(A848)),"Date not recognized",IF(YEAR(A848)&lt;&gt;Settings!$C$4,"Not in "&amp;Settings!$C$4,IF(C848="","Category missing",IF(H848="",IF(COUNTIF(Categories!$A$6:$A$65,C848)&gt;0,"Category has no type","Category not in list"),IF(D848="","Amount missing",IF(NOT(ISNUMBER(D848)),"Amount is not a number",IF(F848="","",IF(ISNA(MATCH(F848,Lists!$G$2:$G$25,0)),"Goal / fund not in list",IF(H848="Income","Fund tag ignored on income","")))))))))))</f>
        <v/>
      </c>
    </row>
    <row r="849">
      <c r="A849" s="27" t="n"/>
      <c r="B849" s="23" t="n"/>
      <c r="C849" s="23" t="n"/>
      <c r="D849" s="28" t="n"/>
      <c r="E849" s="23" t="n"/>
      <c r="F849" s="23" t="n"/>
      <c r="G849" s="23" t="n"/>
      <c r="H849" s="29">
        <f>IF(C849="","",IFERROR(INDEX(Categories!$B$6:$B$65,MATCH(C849,Categories!$A$6:$A$65,0))&amp;"",""))</f>
        <v/>
      </c>
      <c r="I849" s="25">
        <f>IF(AND(A849="",C849="",D849=""),"",IF(A849="","Date missing",IF(NOT(ISNUMBER(A849)),"Date not recognized",IF(YEAR(A849)&lt;&gt;Settings!$C$4,"Not in "&amp;Settings!$C$4,IF(C849="","Category missing",IF(H849="",IF(COUNTIF(Categories!$A$6:$A$65,C849)&gt;0,"Category has no type","Category not in list"),IF(D849="","Amount missing",IF(NOT(ISNUMBER(D849)),"Amount is not a number",IF(F849="","",IF(ISNA(MATCH(F849,Lists!$G$2:$G$25,0)),"Goal / fund not in list",IF(H849="Income","Fund tag ignored on income","")))))))))))</f>
        <v/>
      </c>
    </row>
    <row r="850">
      <c r="A850" s="27" t="n"/>
      <c r="B850" s="23" t="n"/>
      <c r="C850" s="23" t="n"/>
      <c r="D850" s="28" t="n"/>
      <c r="E850" s="23" t="n"/>
      <c r="F850" s="23" t="n"/>
      <c r="G850" s="23" t="n"/>
      <c r="H850" s="29">
        <f>IF(C850="","",IFERROR(INDEX(Categories!$B$6:$B$65,MATCH(C850,Categories!$A$6:$A$65,0))&amp;"",""))</f>
        <v/>
      </c>
      <c r="I850" s="25">
        <f>IF(AND(A850="",C850="",D850=""),"",IF(A850="","Date missing",IF(NOT(ISNUMBER(A850)),"Date not recognized",IF(YEAR(A850)&lt;&gt;Settings!$C$4,"Not in "&amp;Settings!$C$4,IF(C850="","Category missing",IF(H850="",IF(COUNTIF(Categories!$A$6:$A$65,C850)&gt;0,"Category has no type","Category not in list"),IF(D850="","Amount missing",IF(NOT(ISNUMBER(D850)),"Amount is not a number",IF(F850="","",IF(ISNA(MATCH(F850,Lists!$G$2:$G$25,0)),"Goal / fund not in list",IF(H850="Income","Fund tag ignored on income","")))))))))))</f>
        <v/>
      </c>
    </row>
    <row r="851">
      <c r="A851" s="27" t="n"/>
      <c r="B851" s="23" t="n"/>
      <c r="C851" s="23" t="n"/>
      <c r="D851" s="28" t="n"/>
      <c r="E851" s="23" t="n"/>
      <c r="F851" s="23" t="n"/>
      <c r="G851" s="23" t="n"/>
      <c r="H851" s="29">
        <f>IF(C851="","",IFERROR(INDEX(Categories!$B$6:$B$65,MATCH(C851,Categories!$A$6:$A$65,0))&amp;"",""))</f>
        <v/>
      </c>
      <c r="I851" s="25">
        <f>IF(AND(A851="",C851="",D851=""),"",IF(A851="","Date missing",IF(NOT(ISNUMBER(A851)),"Date not recognized",IF(YEAR(A851)&lt;&gt;Settings!$C$4,"Not in "&amp;Settings!$C$4,IF(C851="","Category missing",IF(H851="",IF(COUNTIF(Categories!$A$6:$A$65,C851)&gt;0,"Category has no type","Category not in list"),IF(D851="","Amount missing",IF(NOT(ISNUMBER(D851)),"Amount is not a number",IF(F851="","",IF(ISNA(MATCH(F851,Lists!$G$2:$G$25,0)),"Goal / fund not in list",IF(H851="Income","Fund tag ignored on income","")))))))))))</f>
        <v/>
      </c>
    </row>
    <row r="852">
      <c r="A852" s="27" t="n"/>
      <c r="B852" s="23" t="n"/>
      <c r="C852" s="23" t="n"/>
      <c r="D852" s="28" t="n"/>
      <c r="E852" s="23" t="n"/>
      <c r="F852" s="23" t="n"/>
      <c r="G852" s="23" t="n"/>
      <c r="H852" s="29">
        <f>IF(C852="","",IFERROR(INDEX(Categories!$B$6:$B$65,MATCH(C852,Categories!$A$6:$A$65,0))&amp;"",""))</f>
        <v/>
      </c>
      <c r="I852" s="25">
        <f>IF(AND(A852="",C852="",D852=""),"",IF(A852="","Date missing",IF(NOT(ISNUMBER(A852)),"Date not recognized",IF(YEAR(A852)&lt;&gt;Settings!$C$4,"Not in "&amp;Settings!$C$4,IF(C852="","Category missing",IF(H852="",IF(COUNTIF(Categories!$A$6:$A$65,C852)&gt;0,"Category has no type","Category not in list"),IF(D852="","Amount missing",IF(NOT(ISNUMBER(D852)),"Amount is not a number",IF(F852="","",IF(ISNA(MATCH(F852,Lists!$G$2:$G$25,0)),"Goal / fund not in list",IF(H852="Income","Fund tag ignored on income","")))))))))))</f>
        <v/>
      </c>
    </row>
    <row r="853">
      <c r="A853" s="27" t="n"/>
      <c r="B853" s="23" t="n"/>
      <c r="C853" s="23" t="n"/>
      <c r="D853" s="28" t="n"/>
      <c r="E853" s="23" t="n"/>
      <c r="F853" s="23" t="n"/>
      <c r="G853" s="23" t="n"/>
      <c r="H853" s="29">
        <f>IF(C853="","",IFERROR(INDEX(Categories!$B$6:$B$65,MATCH(C853,Categories!$A$6:$A$65,0))&amp;"",""))</f>
        <v/>
      </c>
      <c r="I853" s="25">
        <f>IF(AND(A853="",C853="",D853=""),"",IF(A853="","Date missing",IF(NOT(ISNUMBER(A853)),"Date not recognized",IF(YEAR(A853)&lt;&gt;Settings!$C$4,"Not in "&amp;Settings!$C$4,IF(C853="","Category missing",IF(H853="",IF(COUNTIF(Categories!$A$6:$A$65,C853)&gt;0,"Category has no type","Category not in list"),IF(D853="","Amount missing",IF(NOT(ISNUMBER(D853)),"Amount is not a number",IF(F853="","",IF(ISNA(MATCH(F853,Lists!$G$2:$G$25,0)),"Goal / fund not in list",IF(H853="Income","Fund tag ignored on income","")))))))))))</f>
        <v/>
      </c>
    </row>
    <row r="854">
      <c r="A854" s="27" t="n"/>
      <c r="B854" s="23" t="n"/>
      <c r="C854" s="23" t="n"/>
      <c r="D854" s="28" t="n"/>
      <c r="E854" s="23" t="n"/>
      <c r="F854" s="23" t="n"/>
      <c r="G854" s="23" t="n"/>
      <c r="H854" s="29">
        <f>IF(C854="","",IFERROR(INDEX(Categories!$B$6:$B$65,MATCH(C854,Categories!$A$6:$A$65,0))&amp;"",""))</f>
        <v/>
      </c>
      <c r="I854" s="25">
        <f>IF(AND(A854="",C854="",D854=""),"",IF(A854="","Date missing",IF(NOT(ISNUMBER(A854)),"Date not recognized",IF(YEAR(A854)&lt;&gt;Settings!$C$4,"Not in "&amp;Settings!$C$4,IF(C854="","Category missing",IF(H854="",IF(COUNTIF(Categories!$A$6:$A$65,C854)&gt;0,"Category has no type","Category not in list"),IF(D854="","Amount missing",IF(NOT(ISNUMBER(D854)),"Amount is not a number",IF(F854="","",IF(ISNA(MATCH(F854,Lists!$G$2:$G$25,0)),"Goal / fund not in list",IF(H854="Income","Fund tag ignored on income","")))))))))))</f>
        <v/>
      </c>
    </row>
    <row r="855">
      <c r="A855" s="27" t="n"/>
      <c r="B855" s="23" t="n"/>
      <c r="C855" s="23" t="n"/>
      <c r="D855" s="28" t="n"/>
      <c r="E855" s="23" t="n"/>
      <c r="F855" s="23" t="n"/>
      <c r="G855" s="23" t="n"/>
      <c r="H855" s="29">
        <f>IF(C855="","",IFERROR(INDEX(Categories!$B$6:$B$65,MATCH(C855,Categories!$A$6:$A$65,0))&amp;"",""))</f>
        <v/>
      </c>
      <c r="I855" s="25">
        <f>IF(AND(A855="",C855="",D855=""),"",IF(A855="","Date missing",IF(NOT(ISNUMBER(A855)),"Date not recognized",IF(YEAR(A855)&lt;&gt;Settings!$C$4,"Not in "&amp;Settings!$C$4,IF(C855="","Category missing",IF(H855="",IF(COUNTIF(Categories!$A$6:$A$65,C855)&gt;0,"Category has no type","Category not in list"),IF(D855="","Amount missing",IF(NOT(ISNUMBER(D855)),"Amount is not a number",IF(F855="","",IF(ISNA(MATCH(F855,Lists!$G$2:$G$25,0)),"Goal / fund not in list",IF(H855="Income","Fund tag ignored on income","")))))))))))</f>
        <v/>
      </c>
    </row>
    <row r="856">
      <c r="A856" s="27" t="n"/>
      <c r="B856" s="23" t="n"/>
      <c r="C856" s="23" t="n"/>
      <c r="D856" s="28" t="n"/>
      <c r="E856" s="23" t="n"/>
      <c r="F856" s="23" t="n"/>
      <c r="G856" s="23" t="n"/>
      <c r="H856" s="29">
        <f>IF(C856="","",IFERROR(INDEX(Categories!$B$6:$B$65,MATCH(C856,Categories!$A$6:$A$65,0))&amp;"",""))</f>
        <v/>
      </c>
      <c r="I856" s="25">
        <f>IF(AND(A856="",C856="",D856=""),"",IF(A856="","Date missing",IF(NOT(ISNUMBER(A856)),"Date not recognized",IF(YEAR(A856)&lt;&gt;Settings!$C$4,"Not in "&amp;Settings!$C$4,IF(C856="","Category missing",IF(H856="",IF(COUNTIF(Categories!$A$6:$A$65,C856)&gt;0,"Category has no type","Category not in list"),IF(D856="","Amount missing",IF(NOT(ISNUMBER(D856)),"Amount is not a number",IF(F856="","",IF(ISNA(MATCH(F856,Lists!$G$2:$G$25,0)),"Goal / fund not in list",IF(H856="Income","Fund tag ignored on income","")))))))))))</f>
        <v/>
      </c>
    </row>
    <row r="857">
      <c r="A857" s="27" t="n"/>
      <c r="B857" s="23" t="n"/>
      <c r="C857" s="23" t="n"/>
      <c r="D857" s="28" t="n"/>
      <c r="E857" s="23" t="n"/>
      <c r="F857" s="23" t="n"/>
      <c r="G857" s="23" t="n"/>
      <c r="H857" s="29">
        <f>IF(C857="","",IFERROR(INDEX(Categories!$B$6:$B$65,MATCH(C857,Categories!$A$6:$A$65,0))&amp;"",""))</f>
        <v/>
      </c>
      <c r="I857" s="25">
        <f>IF(AND(A857="",C857="",D857=""),"",IF(A857="","Date missing",IF(NOT(ISNUMBER(A857)),"Date not recognized",IF(YEAR(A857)&lt;&gt;Settings!$C$4,"Not in "&amp;Settings!$C$4,IF(C857="","Category missing",IF(H857="",IF(COUNTIF(Categories!$A$6:$A$65,C857)&gt;0,"Category has no type","Category not in list"),IF(D857="","Amount missing",IF(NOT(ISNUMBER(D857)),"Amount is not a number",IF(F857="","",IF(ISNA(MATCH(F857,Lists!$G$2:$G$25,0)),"Goal / fund not in list",IF(H857="Income","Fund tag ignored on income","")))))))))))</f>
        <v/>
      </c>
    </row>
    <row r="858">
      <c r="A858" s="27" t="n"/>
      <c r="B858" s="23" t="n"/>
      <c r="C858" s="23" t="n"/>
      <c r="D858" s="28" t="n"/>
      <c r="E858" s="23" t="n"/>
      <c r="F858" s="23" t="n"/>
      <c r="G858" s="23" t="n"/>
      <c r="H858" s="29">
        <f>IF(C858="","",IFERROR(INDEX(Categories!$B$6:$B$65,MATCH(C858,Categories!$A$6:$A$65,0))&amp;"",""))</f>
        <v/>
      </c>
      <c r="I858" s="25">
        <f>IF(AND(A858="",C858="",D858=""),"",IF(A858="","Date missing",IF(NOT(ISNUMBER(A858)),"Date not recognized",IF(YEAR(A858)&lt;&gt;Settings!$C$4,"Not in "&amp;Settings!$C$4,IF(C858="","Category missing",IF(H858="",IF(COUNTIF(Categories!$A$6:$A$65,C858)&gt;0,"Category has no type","Category not in list"),IF(D858="","Amount missing",IF(NOT(ISNUMBER(D858)),"Amount is not a number",IF(F858="","",IF(ISNA(MATCH(F858,Lists!$G$2:$G$25,0)),"Goal / fund not in list",IF(H858="Income","Fund tag ignored on income","")))))))))))</f>
        <v/>
      </c>
    </row>
    <row r="859">
      <c r="A859" s="27" t="n"/>
      <c r="B859" s="23" t="n"/>
      <c r="C859" s="23" t="n"/>
      <c r="D859" s="28" t="n"/>
      <c r="E859" s="23" t="n"/>
      <c r="F859" s="23" t="n"/>
      <c r="G859" s="23" t="n"/>
      <c r="H859" s="29">
        <f>IF(C859="","",IFERROR(INDEX(Categories!$B$6:$B$65,MATCH(C859,Categories!$A$6:$A$65,0))&amp;"",""))</f>
        <v/>
      </c>
      <c r="I859" s="25">
        <f>IF(AND(A859="",C859="",D859=""),"",IF(A859="","Date missing",IF(NOT(ISNUMBER(A859)),"Date not recognized",IF(YEAR(A859)&lt;&gt;Settings!$C$4,"Not in "&amp;Settings!$C$4,IF(C859="","Category missing",IF(H859="",IF(COUNTIF(Categories!$A$6:$A$65,C859)&gt;0,"Category has no type","Category not in list"),IF(D859="","Amount missing",IF(NOT(ISNUMBER(D859)),"Amount is not a number",IF(F859="","",IF(ISNA(MATCH(F859,Lists!$G$2:$G$25,0)),"Goal / fund not in list",IF(H859="Income","Fund tag ignored on income","")))))))))))</f>
        <v/>
      </c>
    </row>
    <row r="860">
      <c r="A860" s="27" t="n"/>
      <c r="B860" s="23" t="n"/>
      <c r="C860" s="23" t="n"/>
      <c r="D860" s="28" t="n"/>
      <c r="E860" s="23" t="n"/>
      <c r="F860" s="23" t="n"/>
      <c r="G860" s="23" t="n"/>
      <c r="H860" s="29">
        <f>IF(C860="","",IFERROR(INDEX(Categories!$B$6:$B$65,MATCH(C860,Categories!$A$6:$A$65,0))&amp;"",""))</f>
        <v/>
      </c>
      <c r="I860" s="25">
        <f>IF(AND(A860="",C860="",D860=""),"",IF(A860="","Date missing",IF(NOT(ISNUMBER(A860)),"Date not recognized",IF(YEAR(A860)&lt;&gt;Settings!$C$4,"Not in "&amp;Settings!$C$4,IF(C860="","Category missing",IF(H860="",IF(COUNTIF(Categories!$A$6:$A$65,C860)&gt;0,"Category has no type","Category not in list"),IF(D860="","Amount missing",IF(NOT(ISNUMBER(D860)),"Amount is not a number",IF(F860="","",IF(ISNA(MATCH(F860,Lists!$G$2:$G$25,0)),"Goal / fund not in list",IF(H860="Income","Fund tag ignored on income","")))))))))))</f>
        <v/>
      </c>
    </row>
    <row r="861">
      <c r="A861" s="27" t="n"/>
      <c r="B861" s="23" t="n"/>
      <c r="C861" s="23" t="n"/>
      <c r="D861" s="28" t="n"/>
      <c r="E861" s="23" t="n"/>
      <c r="F861" s="23" t="n"/>
      <c r="G861" s="23" t="n"/>
      <c r="H861" s="29">
        <f>IF(C861="","",IFERROR(INDEX(Categories!$B$6:$B$65,MATCH(C861,Categories!$A$6:$A$65,0))&amp;"",""))</f>
        <v/>
      </c>
      <c r="I861" s="25">
        <f>IF(AND(A861="",C861="",D861=""),"",IF(A861="","Date missing",IF(NOT(ISNUMBER(A861)),"Date not recognized",IF(YEAR(A861)&lt;&gt;Settings!$C$4,"Not in "&amp;Settings!$C$4,IF(C861="","Category missing",IF(H861="",IF(COUNTIF(Categories!$A$6:$A$65,C861)&gt;0,"Category has no type","Category not in list"),IF(D861="","Amount missing",IF(NOT(ISNUMBER(D861)),"Amount is not a number",IF(F861="","",IF(ISNA(MATCH(F861,Lists!$G$2:$G$25,0)),"Goal / fund not in list",IF(H861="Income","Fund tag ignored on income","")))))))))))</f>
        <v/>
      </c>
    </row>
    <row r="862">
      <c r="A862" s="27" t="n"/>
      <c r="B862" s="23" t="n"/>
      <c r="C862" s="23" t="n"/>
      <c r="D862" s="28" t="n"/>
      <c r="E862" s="23" t="n"/>
      <c r="F862" s="23" t="n"/>
      <c r="G862" s="23" t="n"/>
      <c r="H862" s="29">
        <f>IF(C862="","",IFERROR(INDEX(Categories!$B$6:$B$65,MATCH(C862,Categories!$A$6:$A$65,0))&amp;"",""))</f>
        <v/>
      </c>
      <c r="I862" s="25">
        <f>IF(AND(A862="",C862="",D862=""),"",IF(A862="","Date missing",IF(NOT(ISNUMBER(A862)),"Date not recognized",IF(YEAR(A862)&lt;&gt;Settings!$C$4,"Not in "&amp;Settings!$C$4,IF(C862="","Category missing",IF(H862="",IF(COUNTIF(Categories!$A$6:$A$65,C862)&gt;0,"Category has no type","Category not in list"),IF(D862="","Amount missing",IF(NOT(ISNUMBER(D862)),"Amount is not a number",IF(F862="","",IF(ISNA(MATCH(F862,Lists!$G$2:$G$25,0)),"Goal / fund not in list",IF(H862="Income","Fund tag ignored on income","")))))))))))</f>
        <v/>
      </c>
    </row>
    <row r="863">
      <c r="A863" s="27" t="n"/>
      <c r="B863" s="23" t="n"/>
      <c r="C863" s="23" t="n"/>
      <c r="D863" s="28" t="n"/>
      <c r="E863" s="23" t="n"/>
      <c r="F863" s="23" t="n"/>
      <c r="G863" s="23" t="n"/>
      <c r="H863" s="29">
        <f>IF(C863="","",IFERROR(INDEX(Categories!$B$6:$B$65,MATCH(C863,Categories!$A$6:$A$65,0))&amp;"",""))</f>
        <v/>
      </c>
      <c r="I863" s="25">
        <f>IF(AND(A863="",C863="",D863=""),"",IF(A863="","Date missing",IF(NOT(ISNUMBER(A863)),"Date not recognized",IF(YEAR(A863)&lt;&gt;Settings!$C$4,"Not in "&amp;Settings!$C$4,IF(C863="","Category missing",IF(H863="",IF(COUNTIF(Categories!$A$6:$A$65,C863)&gt;0,"Category has no type","Category not in list"),IF(D863="","Amount missing",IF(NOT(ISNUMBER(D863)),"Amount is not a number",IF(F863="","",IF(ISNA(MATCH(F863,Lists!$G$2:$G$25,0)),"Goal / fund not in list",IF(H863="Income","Fund tag ignored on income","")))))))))))</f>
        <v/>
      </c>
    </row>
    <row r="864">
      <c r="A864" s="27" t="n"/>
      <c r="B864" s="23" t="n"/>
      <c r="C864" s="23" t="n"/>
      <c r="D864" s="28" t="n"/>
      <c r="E864" s="23" t="n"/>
      <c r="F864" s="23" t="n"/>
      <c r="G864" s="23" t="n"/>
      <c r="H864" s="29">
        <f>IF(C864="","",IFERROR(INDEX(Categories!$B$6:$B$65,MATCH(C864,Categories!$A$6:$A$65,0))&amp;"",""))</f>
        <v/>
      </c>
      <c r="I864" s="25">
        <f>IF(AND(A864="",C864="",D864=""),"",IF(A864="","Date missing",IF(NOT(ISNUMBER(A864)),"Date not recognized",IF(YEAR(A864)&lt;&gt;Settings!$C$4,"Not in "&amp;Settings!$C$4,IF(C864="","Category missing",IF(H864="",IF(COUNTIF(Categories!$A$6:$A$65,C864)&gt;0,"Category has no type","Category not in list"),IF(D864="","Amount missing",IF(NOT(ISNUMBER(D864)),"Amount is not a number",IF(F864="","",IF(ISNA(MATCH(F864,Lists!$G$2:$G$25,0)),"Goal / fund not in list",IF(H864="Income","Fund tag ignored on income","")))))))))))</f>
        <v/>
      </c>
    </row>
    <row r="865">
      <c r="A865" s="27" t="n"/>
      <c r="B865" s="23" t="n"/>
      <c r="C865" s="23" t="n"/>
      <c r="D865" s="28" t="n"/>
      <c r="E865" s="23" t="n"/>
      <c r="F865" s="23" t="n"/>
      <c r="G865" s="23" t="n"/>
      <c r="H865" s="29">
        <f>IF(C865="","",IFERROR(INDEX(Categories!$B$6:$B$65,MATCH(C865,Categories!$A$6:$A$65,0))&amp;"",""))</f>
        <v/>
      </c>
      <c r="I865" s="25">
        <f>IF(AND(A865="",C865="",D865=""),"",IF(A865="","Date missing",IF(NOT(ISNUMBER(A865)),"Date not recognized",IF(YEAR(A865)&lt;&gt;Settings!$C$4,"Not in "&amp;Settings!$C$4,IF(C865="","Category missing",IF(H865="",IF(COUNTIF(Categories!$A$6:$A$65,C865)&gt;0,"Category has no type","Category not in list"),IF(D865="","Amount missing",IF(NOT(ISNUMBER(D865)),"Amount is not a number",IF(F865="","",IF(ISNA(MATCH(F865,Lists!$G$2:$G$25,0)),"Goal / fund not in list",IF(H865="Income","Fund tag ignored on income","")))))))))))</f>
        <v/>
      </c>
    </row>
    <row r="866">
      <c r="A866" s="27" t="n"/>
      <c r="B866" s="23" t="n"/>
      <c r="C866" s="23" t="n"/>
      <c r="D866" s="28" t="n"/>
      <c r="E866" s="23" t="n"/>
      <c r="F866" s="23" t="n"/>
      <c r="G866" s="23" t="n"/>
      <c r="H866" s="29">
        <f>IF(C866="","",IFERROR(INDEX(Categories!$B$6:$B$65,MATCH(C866,Categories!$A$6:$A$65,0))&amp;"",""))</f>
        <v/>
      </c>
      <c r="I866" s="25">
        <f>IF(AND(A866="",C866="",D866=""),"",IF(A866="","Date missing",IF(NOT(ISNUMBER(A866)),"Date not recognized",IF(YEAR(A866)&lt;&gt;Settings!$C$4,"Not in "&amp;Settings!$C$4,IF(C866="","Category missing",IF(H866="",IF(COUNTIF(Categories!$A$6:$A$65,C866)&gt;0,"Category has no type","Category not in list"),IF(D866="","Amount missing",IF(NOT(ISNUMBER(D866)),"Amount is not a number",IF(F866="","",IF(ISNA(MATCH(F866,Lists!$G$2:$G$25,0)),"Goal / fund not in list",IF(H866="Income","Fund tag ignored on income","")))))))))))</f>
        <v/>
      </c>
    </row>
    <row r="867">
      <c r="A867" s="27" t="n"/>
      <c r="B867" s="23" t="n"/>
      <c r="C867" s="23" t="n"/>
      <c r="D867" s="28" t="n"/>
      <c r="E867" s="23" t="n"/>
      <c r="F867" s="23" t="n"/>
      <c r="G867" s="23" t="n"/>
      <c r="H867" s="29">
        <f>IF(C867="","",IFERROR(INDEX(Categories!$B$6:$B$65,MATCH(C867,Categories!$A$6:$A$65,0))&amp;"",""))</f>
        <v/>
      </c>
      <c r="I867" s="25">
        <f>IF(AND(A867="",C867="",D867=""),"",IF(A867="","Date missing",IF(NOT(ISNUMBER(A867)),"Date not recognized",IF(YEAR(A867)&lt;&gt;Settings!$C$4,"Not in "&amp;Settings!$C$4,IF(C867="","Category missing",IF(H867="",IF(COUNTIF(Categories!$A$6:$A$65,C867)&gt;0,"Category has no type","Category not in list"),IF(D867="","Amount missing",IF(NOT(ISNUMBER(D867)),"Amount is not a number",IF(F867="","",IF(ISNA(MATCH(F867,Lists!$G$2:$G$25,0)),"Goal / fund not in list",IF(H867="Income","Fund tag ignored on income","")))))))))))</f>
        <v/>
      </c>
    </row>
    <row r="868">
      <c r="A868" s="27" t="n"/>
      <c r="B868" s="23" t="n"/>
      <c r="C868" s="23" t="n"/>
      <c r="D868" s="28" t="n"/>
      <c r="E868" s="23" t="n"/>
      <c r="F868" s="23" t="n"/>
      <c r="G868" s="23" t="n"/>
      <c r="H868" s="29">
        <f>IF(C868="","",IFERROR(INDEX(Categories!$B$6:$B$65,MATCH(C868,Categories!$A$6:$A$65,0))&amp;"",""))</f>
        <v/>
      </c>
      <c r="I868" s="25">
        <f>IF(AND(A868="",C868="",D868=""),"",IF(A868="","Date missing",IF(NOT(ISNUMBER(A868)),"Date not recognized",IF(YEAR(A868)&lt;&gt;Settings!$C$4,"Not in "&amp;Settings!$C$4,IF(C868="","Category missing",IF(H868="",IF(COUNTIF(Categories!$A$6:$A$65,C868)&gt;0,"Category has no type","Category not in list"),IF(D868="","Amount missing",IF(NOT(ISNUMBER(D868)),"Amount is not a number",IF(F868="","",IF(ISNA(MATCH(F868,Lists!$G$2:$G$25,0)),"Goal / fund not in list",IF(H868="Income","Fund tag ignored on income","")))))))))))</f>
        <v/>
      </c>
    </row>
    <row r="869">
      <c r="A869" s="27" t="n"/>
      <c r="B869" s="23" t="n"/>
      <c r="C869" s="23" t="n"/>
      <c r="D869" s="28" t="n"/>
      <c r="E869" s="23" t="n"/>
      <c r="F869" s="23" t="n"/>
      <c r="G869" s="23" t="n"/>
      <c r="H869" s="29">
        <f>IF(C869="","",IFERROR(INDEX(Categories!$B$6:$B$65,MATCH(C869,Categories!$A$6:$A$65,0))&amp;"",""))</f>
        <v/>
      </c>
      <c r="I869" s="25">
        <f>IF(AND(A869="",C869="",D869=""),"",IF(A869="","Date missing",IF(NOT(ISNUMBER(A869)),"Date not recognized",IF(YEAR(A869)&lt;&gt;Settings!$C$4,"Not in "&amp;Settings!$C$4,IF(C869="","Category missing",IF(H869="",IF(COUNTIF(Categories!$A$6:$A$65,C869)&gt;0,"Category has no type","Category not in list"),IF(D869="","Amount missing",IF(NOT(ISNUMBER(D869)),"Amount is not a number",IF(F869="","",IF(ISNA(MATCH(F869,Lists!$G$2:$G$25,0)),"Goal / fund not in list",IF(H869="Income","Fund tag ignored on income","")))))))))))</f>
        <v/>
      </c>
    </row>
    <row r="870">
      <c r="A870" s="27" t="n"/>
      <c r="B870" s="23" t="n"/>
      <c r="C870" s="23" t="n"/>
      <c r="D870" s="28" t="n"/>
      <c r="E870" s="23" t="n"/>
      <c r="F870" s="23" t="n"/>
      <c r="G870" s="23" t="n"/>
      <c r="H870" s="29">
        <f>IF(C870="","",IFERROR(INDEX(Categories!$B$6:$B$65,MATCH(C870,Categories!$A$6:$A$65,0))&amp;"",""))</f>
        <v/>
      </c>
      <c r="I870" s="25">
        <f>IF(AND(A870="",C870="",D870=""),"",IF(A870="","Date missing",IF(NOT(ISNUMBER(A870)),"Date not recognized",IF(YEAR(A870)&lt;&gt;Settings!$C$4,"Not in "&amp;Settings!$C$4,IF(C870="","Category missing",IF(H870="",IF(COUNTIF(Categories!$A$6:$A$65,C870)&gt;0,"Category has no type","Category not in list"),IF(D870="","Amount missing",IF(NOT(ISNUMBER(D870)),"Amount is not a number",IF(F870="","",IF(ISNA(MATCH(F870,Lists!$G$2:$G$25,0)),"Goal / fund not in list",IF(H870="Income","Fund tag ignored on income","")))))))))))</f>
        <v/>
      </c>
    </row>
    <row r="871">
      <c r="A871" s="27" t="n"/>
      <c r="B871" s="23" t="n"/>
      <c r="C871" s="23" t="n"/>
      <c r="D871" s="28" t="n"/>
      <c r="E871" s="23" t="n"/>
      <c r="F871" s="23" t="n"/>
      <c r="G871" s="23" t="n"/>
      <c r="H871" s="29">
        <f>IF(C871="","",IFERROR(INDEX(Categories!$B$6:$B$65,MATCH(C871,Categories!$A$6:$A$65,0))&amp;"",""))</f>
        <v/>
      </c>
      <c r="I871" s="25">
        <f>IF(AND(A871="",C871="",D871=""),"",IF(A871="","Date missing",IF(NOT(ISNUMBER(A871)),"Date not recognized",IF(YEAR(A871)&lt;&gt;Settings!$C$4,"Not in "&amp;Settings!$C$4,IF(C871="","Category missing",IF(H871="",IF(COUNTIF(Categories!$A$6:$A$65,C871)&gt;0,"Category has no type","Category not in list"),IF(D871="","Amount missing",IF(NOT(ISNUMBER(D871)),"Amount is not a number",IF(F871="","",IF(ISNA(MATCH(F871,Lists!$G$2:$G$25,0)),"Goal / fund not in list",IF(H871="Income","Fund tag ignored on income","")))))))))))</f>
        <v/>
      </c>
    </row>
    <row r="872">
      <c r="A872" s="27" t="n"/>
      <c r="B872" s="23" t="n"/>
      <c r="C872" s="23" t="n"/>
      <c r="D872" s="28" t="n"/>
      <c r="E872" s="23" t="n"/>
      <c r="F872" s="23" t="n"/>
      <c r="G872" s="23" t="n"/>
      <c r="H872" s="29">
        <f>IF(C872="","",IFERROR(INDEX(Categories!$B$6:$B$65,MATCH(C872,Categories!$A$6:$A$65,0))&amp;"",""))</f>
        <v/>
      </c>
      <c r="I872" s="25">
        <f>IF(AND(A872="",C872="",D872=""),"",IF(A872="","Date missing",IF(NOT(ISNUMBER(A872)),"Date not recognized",IF(YEAR(A872)&lt;&gt;Settings!$C$4,"Not in "&amp;Settings!$C$4,IF(C872="","Category missing",IF(H872="",IF(COUNTIF(Categories!$A$6:$A$65,C872)&gt;0,"Category has no type","Category not in list"),IF(D872="","Amount missing",IF(NOT(ISNUMBER(D872)),"Amount is not a number",IF(F872="","",IF(ISNA(MATCH(F872,Lists!$G$2:$G$25,0)),"Goal / fund not in list",IF(H872="Income","Fund tag ignored on income","")))))))))))</f>
        <v/>
      </c>
    </row>
    <row r="873">
      <c r="A873" s="27" t="n"/>
      <c r="B873" s="23" t="n"/>
      <c r="C873" s="23" t="n"/>
      <c r="D873" s="28" t="n"/>
      <c r="E873" s="23" t="n"/>
      <c r="F873" s="23" t="n"/>
      <c r="G873" s="23" t="n"/>
      <c r="H873" s="29">
        <f>IF(C873="","",IFERROR(INDEX(Categories!$B$6:$B$65,MATCH(C873,Categories!$A$6:$A$65,0))&amp;"",""))</f>
        <v/>
      </c>
      <c r="I873" s="25">
        <f>IF(AND(A873="",C873="",D873=""),"",IF(A873="","Date missing",IF(NOT(ISNUMBER(A873)),"Date not recognized",IF(YEAR(A873)&lt;&gt;Settings!$C$4,"Not in "&amp;Settings!$C$4,IF(C873="","Category missing",IF(H873="",IF(COUNTIF(Categories!$A$6:$A$65,C873)&gt;0,"Category has no type","Category not in list"),IF(D873="","Amount missing",IF(NOT(ISNUMBER(D873)),"Amount is not a number",IF(F873="","",IF(ISNA(MATCH(F873,Lists!$G$2:$G$25,0)),"Goal / fund not in list",IF(H873="Income","Fund tag ignored on income","")))))))))))</f>
        <v/>
      </c>
    </row>
    <row r="874">
      <c r="A874" s="27" t="n"/>
      <c r="B874" s="23" t="n"/>
      <c r="C874" s="23" t="n"/>
      <c r="D874" s="28" t="n"/>
      <c r="E874" s="23" t="n"/>
      <c r="F874" s="23" t="n"/>
      <c r="G874" s="23" t="n"/>
      <c r="H874" s="29">
        <f>IF(C874="","",IFERROR(INDEX(Categories!$B$6:$B$65,MATCH(C874,Categories!$A$6:$A$65,0))&amp;"",""))</f>
        <v/>
      </c>
      <c r="I874" s="25">
        <f>IF(AND(A874="",C874="",D874=""),"",IF(A874="","Date missing",IF(NOT(ISNUMBER(A874)),"Date not recognized",IF(YEAR(A874)&lt;&gt;Settings!$C$4,"Not in "&amp;Settings!$C$4,IF(C874="","Category missing",IF(H874="",IF(COUNTIF(Categories!$A$6:$A$65,C874)&gt;0,"Category has no type","Category not in list"),IF(D874="","Amount missing",IF(NOT(ISNUMBER(D874)),"Amount is not a number",IF(F874="","",IF(ISNA(MATCH(F874,Lists!$G$2:$G$25,0)),"Goal / fund not in list",IF(H874="Income","Fund tag ignored on income","")))))))))))</f>
        <v/>
      </c>
    </row>
    <row r="875">
      <c r="A875" s="27" t="n"/>
      <c r="B875" s="23" t="n"/>
      <c r="C875" s="23" t="n"/>
      <c r="D875" s="28" t="n"/>
      <c r="E875" s="23" t="n"/>
      <c r="F875" s="23" t="n"/>
      <c r="G875" s="23" t="n"/>
      <c r="H875" s="29">
        <f>IF(C875="","",IFERROR(INDEX(Categories!$B$6:$B$65,MATCH(C875,Categories!$A$6:$A$65,0))&amp;"",""))</f>
        <v/>
      </c>
      <c r="I875" s="25">
        <f>IF(AND(A875="",C875="",D875=""),"",IF(A875="","Date missing",IF(NOT(ISNUMBER(A875)),"Date not recognized",IF(YEAR(A875)&lt;&gt;Settings!$C$4,"Not in "&amp;Settings!$C$4,IF(C875="","Category missing",IF(H875="",IF(COUNTIF(Categories!$A$6:$A$65,C875)&gt;0,"Category has no type","Category not in list"),IF(D875="","Amount missing",IF(NOT(ISNUMBER(D875)),"Amount is not a number",IF(F875="","",IF(ISNA(MATCH(F875,Lists!$G$2:$G$25,0)),"Goal / fund not in list",IF(H875="Income","Fund tag ignored on income","")))))))))))</f>
        <v/>
      </c>
    </row>
    <row r="876">
      <c r="A876" s="27" t="n"/>
      <c r="B876" s="23" t="n"/>
      <c r="C876" s="23" t="n"/>
      <c r="D876" s="28" t="n"/>
      <c r="E876" s="23" t="n"/>
      <c r="F876" s="23" t="n"/>
      <c r="G876" s="23" t="n"/>
      <c r="H876" s="29">
        <f>IF(C876="","",IFERROR(INDEX(Categories!$B$6:$B$65,MATCH(C876,Categories!$A$6:$A$65,0))&amp;"",""))</f>
        <v/>
      </c>
      <c r="I876" s="25">
        <f>IF(AND(A876="",C876="",D876=""),"",IF(A876="","Date missing",IF(NOT(ISNUMBER(A876)),"Date not recognized",IF(YEAR(A876)&lt;&gt;Settings!$C$4,"Not in "&amp;Settings!$C$4,IF(C876="","Category missing",IF(H876="",IF(COUNTIF(Categories!$A$6:$A$65,C876)&gt;0,"Category has no type","Category not in list"),IF(D876="","Amount missing",IF(NOT(ISNUMBER(D876)),"Amount is not a number",IF(F876="","",IF(ISNA(MATCH(F876,Lists!$G$2:$G$25,0)),"Goal / fund not in list",IF(H876="Income","Fund tag ignored on income","")))))))))))</f>
        <v/>
      </c>
    </row>
    <row r="877">
      <c r="A877" s="27" t="n"/>
      <c r="B877" s="23" t="n"/>
      <c r="C877" s="23" t="n"/>
      <c r="D877" s="28" t="n"/>
      <c r="E877" s="23" t="n"/>
      <c r="F877" s="23" t="n"/>
      <c r="G877" s="23" t="n"/>
      <c r="H877" s="29">
        <f>IF(C877="","",IFERROR(INDEX(Categories!$B$6:$B$65,MATCH(C877,Categories!$A$6:$A$65,0))&amp;"",""))</f>
        <v/>
      </c>
      <c r="I877" s="25">
        <f>IF(AND(A877="",C877="",D877=""),"",IF(A877="","Date missing",IF(NOT(ISNUMBER(A877)),"Date not recognized",IF(YEAR(A877)&lt;&gt;Settings!$C$4,"Not in "&amp;Settings!$C$4,IF(C877="","Category missing",IF(H877="",IF(COUNTIF(Categories!$A$6:$A$65,C877)&gt;0,"Category has no type","Category not in list"),IF(D877="","Amount missing",IF(NOT(ISNUMBER(D877)),"Amount is not a number",IF(F877="","",IF(ISNA(MATCH(F877,Lists!$G$2:$G$25,0)),"Goal / fund not in list",IF(H877="Income","Fund tag ignored on income","")))))))))))</f>
        <v/>
      </c>
    </row>
    <row r="878">
      <c r="A878" s="27" t="n"/>
      <c r="B878" s="23" t="n"/>
      <c r="C878" s="23" t="n"/>
      <c r="D878" s="28" t="n"/>
      <c r="E878" s="23" t="n"/>
      <c r="F878" s="23" t="n"/>
      <c r="G878" s="23" t="n"/>
      <c r="H878" s="29">
        <f>IF(C878="","",IFERROR(INDEX(Categories!$B$6:$B$65,MATCH(C878,Categories!$A$6:$A$65,0))&amp;"",""))</f>
        <v/>
      </c>
      <c r="I878" s="25">
        <f>IF(AND(A878="",C878="",D878=""),"",IF(A878="","Date missing",IF(NOT(ISNUMBER(A878)),"Date not recognized",IF(YEAR(A878)&lt;&gt;Settings!$C$4,"Not in "&amp;Settings!$C$4,IF(C878="","Category missing",IF(H878="",IF(COUNTIF(Categories!$A$6:$A$65,C878)&gt;0,"Category has no type","Category not in list"),IF(D878="","Amount missing",IF(NOT(ISNUMBER(D878)),"Amount is not a number",IF(F878="","",IF(ISNA(MATCH(F878,Lists!$G$2:$G$25,0)),"Goal / fund not in list",IF(H878="Income","Fund tag ignored on income","")))))))))))</f>
        <v/>
      </c>
    </row>
    <row r="879">
      <c r="A879" s="27" t="n"/>
      <c r="B879" s="23" t="n"/>
      <c r="C879" s="23" t="n"/>
      <c r="D879" s="28" t="n"/>
      <c r="E879" s="23" t="n"/>
      <c r="F879" s="23" t="n"/>
      <c r="G879" s="23" t="n"/>
      <c r="H879" s="29">
        <f>IF(C879="","",IFERROR(INDEX(Categories!$B$6:$B$65,MATCH(C879,Categories!$A$6:$A$65,0))&amp;"",""))</f>
        <v/>
      </c>
      <c r="I879" s="25">
        <f>IF(AND(A879="",C879="",D879=""),"",IF(A879="","Date missing",IF(NOT(ISNUMBER(A879)),"Date not recognized",IF(YEAR(A879)&lt;&gt;Settings!$C$4,"Not in "&amp;Settings!$C$4,IF(C879="","Category missing",IF(H879="",IF(COUNTIF(Categories!$A$6:$A$65,C879)&gt;0,"Category has no type","Category not in list"),IF(D879="","Amount missing",IF(NOT(ISNUMBER(D879)),"Amount is not a number",IF(F879="","",IF(ISNA(MATCH(F879,Lists!$G$2:$G$25,0)),"Goal / fund not in list",IF(H879="Income","Fund tag ignored on income","")))))))))))</f>
        <v/>
      </c>
    </row>
    <row r="880">
      <c r="A880" s="27" t="n"/>
      <c r="B880" s="23" t="n"/>
      <c r="C880" s="23" t="n"/>
      <c r="D880" s="28" t="n"/>
      <c r="E880" s="23" t="n"/>
      <c r="F880" s="23" t="n"/>
      <c r="G880" s="23" t="n"/>
      <c r="H880" s="29">
        <f>IF(C880="","",IFERROR(INDEX(Categories!$B$6:$B$65,MATCH(C880,Categories!$A$6:$A$65,0))&amp;"",""))</f>
        <v/>
      </c>
      <c r="I880" s="25">
        <f>IF(AND(A880="",C880="",D880=""),"",IF(A880="","Date missing",IF(NOT(ISNUMBER(A880)),"Date not recognized",IF(YEAR(A880)&lt;&gt;Settings!$C$4,"Not in "&amp;Settings!$C$4,IF(C880="","Category missing",IF(H880="",IF(COUNTIF(Categories!$A$6:$A$65,C880)&gt;0,"Category has no type","Category not in list"),IF(D880="","Amount missing",IF(NOT(ISNUMBER(D880)),"Amount is not a number",IF(F880="","",IF(ISNA(MATCH(F880,Lists!$G$2:$G$25,0)),"Goal / fund not in list",IF(H880="Income","Fund tag ignored on income","")))))))))))</f>
        <v/>
      </c>
    </row>
    <row r="881">
      <c r="A881" s="27" t="n"/>
      <c r="B881" s="23" t="n"/>
      <c r="C881" s="23" t="n"/>
      <c r="D881" s="28" t="n"/>
      <c r="E881" s="23" t="n"/>
      <c r="F881" s="23" t="n"/>
      <c r="G881" s="23" t="n"/>
      <c r="H881" s="29">
        <f>IF(C881="","",IFERROR(INDEX(Categories!$B$6:$B$65,MATCH(C881,Categories!$A$6:$A$65,0))&amp;"",""))</f>
        <v/>
      </c>
      <c r="I881" s="25">
        <f>IF(AND(A881="",C881="",D881=""),"",IF(A881="","Date missing",IF(NOT(ISNUMBER(A881)),"Date not recognized",IF(YEAR(A881)&lt;&gt;Settings!$C$4,"Not in "&amp;Settings!$C$4,IF(C881="","Category missing",IF(H881="",IF(COUNTIF(Categories!$A$6:$A$65,C881)&gt;0,"Category has no type","Category not in list"),IF(D881="","Amount missing",IF(NOT(ISNUMBER(D881)),"Amount is not a number",IF(F881="","",IF(ISNA(MATCH(F881,Lists!$G$2:$G$25,0)),"Goal / fund not in list",IF(H881="Income","Fund tag ignored on income","")))))))))))</f>
        <v/>
      </c>
    </row>
    <row r="882">
      <c r="A882" s="27" t="n"/>
      <c r="B882" s="23" t="n"/>
      <c r="C882" s="23" t="n"/>
      <c r="D882" s="28" t="n"/>
      <c r="E882" s="23" t="n"/>
      <c r="F882" s="23" t="n"/>
      <c r="G882" s="23" t="n"/>
      <c r="H882" s="29">
        <f>IF(C882="","",IFERROR(INDEX(Categories!$B$6:$B$65,MATCH(C882,Categories!$A$6:$A$65,0))&amp;"",""))</f>
        <v/>
      </c>
      <c r="I882" s="25">
        <f>IF(AND(A882="",C882="",D882=""),"",IF(A882="","Date missing",IF(NOT(ISNUMBER(A882)),"Date not recognized",IF(YEAR(A882)&lt;&gt;Settings!$C$4,"Not in "&amp;Settings!$C$4,IF(C882="","Category missing",IF(H882="",IF(COUNTIF(Categories!$A$6:$A$65,C882)&gt;0,"Category has no type","Category not in list"),IF(D882="","Amount missing",IF(NOT(ISNUMBER(D882)),"Amount is not a number",IF(F882="","",IF(ISNA(MATCH(F882,Lists!$G$2:$G$25,0)),"Goal / fund not in list",IF(H882="Income","Fund tag ignored on income","")))))))))))</f>
        <v/>
      </c>
    </row>
    <row r="883">
      <c r="A883" s="27" t="n"/>
      <c r="B883" s="23" t="n"/>
      <c r="C883" s="23" t="n"/>
      <c r="D883" s="28" t="n"/>
      <c r="E883" s="23" t="n"/>
      <c r="F883" s="23" t="n"/>
      <c r="G883" s="23" t="n"/>
      <c r="H883" s="29">
        <f>IF(C883="","",IFERROR(INDEX(Categories!$B$6:$B$65,MATCH(C883,Categories!$A$6:$A$65,0))&amp;"",""))</f>
        <v/>
      </c>
      <c r="I883" s="25">
        <f>IF(AND(A883="",C883="",D883=""),"",IF(A883="","Date missing",IF(NOT(ISNUMBER(A883)),"Date not recognized",IF(YEAR(A883)&lt;&gt;Settings!$C$4,"Not in "&amp;Settings!$C$4,IF(C883="","Category missing",IF(H883="",IF(COUNTIF(Categories!$A$6:$A$65,C883)&gt;0,"Category has no type","Category not in list"),IF(D883="","Amount missing",IF(NOT(ISNUMBER(D883)),"Amount is not a number",IF(F883="","",IF(ISNA(MATCH(F883,Lists!$G$2:$G$25,0)),"Goal / fund not in list",IF(H883="Income","Fund tag ignored on income","")))))))))))</f>
        <v/>
      </c>
    </row>
    <row r="884">
      <c r="A884" s="27" t="n"/>
      <c r="B884" s="23" t="n"/>
      <c r="C884" s="23" t="n"/>
      <c r="D884" s="28" t="n"/>
      <c r="E884" s="23" t="n"/>
      <c r="F884" s="23" t="n"/>
      <c r="G884" s="23" t="n"/>
      <c r="H884" s="29">
        <f>IF(C884="","",IFERROR(INDEX(Categories!$B$6:$B$65,MATCH(C884,Categories!$A$6:$A$65,0))&amp;"",""))</f>
        <v/>
      </c>
      <c r="I884" s="25">
        <f>IF(AND(A884="",C884="",D884=""),"",IF(A884="","Date missing",IF(NOT(ISNUMBER(A884)),"Date not recognized",IF(YEAR(A884)&lt;&gt;Settings!$C$4,"Not in "&amp;Settings!$C$4,IF(C884="","Category missing",IF(H884="",IF(COUNTIF(Categories!$A$6:$A$65,C884)&gt;0,"Category has no type","Category not in list"),IF(D884="","Amount missing",IF(NOT(ISNUMBER(D884)),"Amount is not a number",IF(F884="","",IF(ISNA(MATCH(F884,Lists!$G$2:$G$25,0)),"Goal / fund not in list",IF(H884="Income","Fund tag ignored on income","")))))))))))</f>
        <v/>
      </c>
    </row>
    <row r="885">
      <c r="A885" s="27" t="n"/>
      <c r="B885" s="23" t="n"/>
      <c r="C885" s="23" t="n"/>
      <c r="D885" s="28" t="n"/>
      <c r="E885" s="23" t="n"/>
      <c r="F885" s="23" t="n"/>
      <c r="G885" s="23" t="n"/>
      <c r="H885" s="29">
        <f>IF(C885="","",IFERROR(INDEX(Categories!$B$6:$B$65,MATCH(C885,Categories!$A$6:$A$65,0))&amp;"",""))</f>
        <v/>
      </c>
      <c r="I885" s="25">
        <f>IF(AND(A885="",C885="",D885=""),"",IF(A885="","Date missing",IF(NOT(ISNUMBER(A885)),"Date not recognized",IF(YEAR(A885)&lt;&gt;Settings!$C$4,"Not in "&amp;Settings!$C$4,IF(C885="","Category missing",IF(H885="",IF(COUNTIF(Categories!$A$6:$A$65,C885)&gt;0,"Category has no type","Category not in list"),IF(D885="","Amount missing",IF(NOT(ISNUMBER(D885)),"Amount is not a number",IF(F885="","",IF(ISNA(MATCH(F885,Lists!$G$2:$G$25,0)),"Goal / fund not in list",IF(H885="Income","Fund tag ignored on income","")))))))))))</f>
        <v/>
      </c>
    </row>
    <row r="886">
      <c r="A886" s="27" t="n"/>
      <c r="B886" s="23" t="n"/>
      <c r="C886" s="23" t="n"/>
      <c r="D886" s="28" t="n"/>
      <c r="E886" s="23" t="n"/>
      <c r="F886" s="23" t="n"/>
      <c r="G886" s="23" t="n"/>
      <c r="H886" s="29">
        <f>IF(C886="","",IFERROR(INDEX(Categories!$B$6:$B$65,MATCH(C886,Categories!$A$6:$A$65,0))&amp;"",""))</f>
        <v/>
      </c>
      <c r="I886" s="25">
        <f>IF(AND(A886="",C886="",D886=""),"",IF(A886="","Date missing",IF(NOT(ISNUMBER(A886)),"Date not recognized",IF(YEAR(A886)&lt;&gt;Settings!$C$4,"Not in "&amp;Settings!$C$4,IF(C886="","Category missing",IF(H886="",IF(COUNTIF(Categories!$A$6:$A$65,C886)&gt;0,"Category has no type","Category not in list"),IF(D886="","Amount missing",IF(NOT(ISNUMBER(D886)),"Amount is not a number",IF(F886="","",IF(ISNA(MATCH(F886,Lists!$G$2:$G$25,0)),"Goal / fund not in list",IF(H886="Income","Fund tag ignored on income","")))))))))))</f>
        <v/>
      </c>
    </row>
    <row r="887">
      <c r="A887" s="27" t="n"/>
      <c r="B887" s="23" t="n"/>
      <c r="C887" s="23" t="n"/>
      <c r="D887" s="28" t="n"/>
      <c r="E887" s="23" t="n"/>
      <c r="F887" s="23" t="n"/>
      <c r="G887" s="23" t="n"/>
      <c r="H887" s="29">
        <f>IF(C887="","",IFERROR(INDEX(Categories!$B$6:$B$65,MATCH(C887,Categories!$A$6:$A$65,0))&amp;"",""))</f>
        <v/>
      </c>
      <c r="I887" s="25">
        <f>IF(AND(A887="",C887="",D887=""),"",IF(A887="","Date missing",IF(NOT(ISNUMBER(A887)),"Date not recognized",IF(YEAR(A887)&lt;&gt;Settings!$C$4,"Not in "&amp;Settings!$C$4,IF(C887="","Category missing",IF(H887="",IF(COUNTIF(Categories!$A$6:$A$65,C887)&gt;0,"Category has no type","Category not in list"),IF(D887="","Amount missing",IF(NOT(ISNUMBER(D887)),"Amount is not a number",IF(F887="","",IF(ISNA(MATCH(F887,Lists!$G$2:$G$25,0)),"Goal / fund not in list",IF(H887="Income","Fund tag ignored on income","")))))))))))</f>
        <v/>
      </c>
    </row>
    <row r="888">
      <c r="A888" s="27" t="n"/>
      <c r="B888" s="23" t="n"/>
      <c r="C888" s="23" t="n"/>
      <c r="D888" s="28" t="n"/>
      <c r="E888" s="23" t="n"/>
      <c r="F888" s="23" t="n"/>
      <c r="G888" s="23" t="n"/>
      <c r="H888" s="29">
        <f>IF(C888="","",IFERROR(INDEX(Categories!$B$6:$B$65,MATCH(C888,Categories!$A$6:$A$65,0))&amp;"",""))</f>
        <v/>
      </c>
      <c r="I888" s="25">
        <f>IF(AND(A888="",C888="",D888=""),"",IF(A888="","Date missing",IF(NOT(ISNUMBER(A888)),"Date not recognized",IF(YEAR(A888)&lt;&gt;Settings!$C$4,"Not in "&amp;Settings!$C$4,IF(C888="","Category missing",IF(H888="",IF(COUNTIF(Categories!$A$6:$A$65,C888)&gt;0,"Category has no type","Category not in list"),IF(D888="","Amount missing",IF(NOT(ISNUMBER(D888)),"Amount is not a number",IF(F888="","",IF(ISNA(MATCH(F888,Lists!$G$2:$G$25,0)),"Goal / fund not in list",IF(H888="Income","Fund tag ignored on income","")))))))))))</f>
        <v/>
      </c>
    </row>
    <row r="889">
      <c r="A889" s="27" t="n"/>
      <c r="B889" s="23" t="n"/>
      <c r="C889" s="23" t="n"/>
      <c r="D889" s="28" t="n"/>
      <c r="E889" s="23" t="n"/>
      <c r="F889" s="23" t="n"/>
      <c r="G889" s="23" t="n"/>
      <c r="H889" s="29">
        <f>IF(C889="","",IFERROR(INDEX(Categories!$B$6:$B$65,MATCH(C889,Categories!$A$6:$A$65,0))&amp;"",""))</f>
        <v/>
      </c>
      <c r="I889" s="25">
        <f>IF(AND(A889="",C889="",D889=""),"",IF(A889="","Date missing",IF(NOT(ISNUMBER(A889)),"Date not recognized",IF(YEAR(A889)&lt;&gt;Settings!$C$4,"Not in "&amp;Settings!$C$4,IF(C889="","Category missing",IF(H889="",IF(COUNTIF(Categories!$A$6:$A$65,C889)&gt;0,"Category has no type","Category not in list"),IF(D889="","Amount missing",IF(NOT(ISNUMBER(D889)),"Amount is not a number",IF(F889="","",IF(ISNA(MATCH(F889,Lists!$G$2:$G$25,0)),"Goal / fund not in list",IF(H889="Income","Fund tag ignored on income","")))))))))))</f>
        <v/>
      </c>
    </row>
    <row r="890">
      <c r="A890" s="27" t="n"/>
      <c r="B890" s="23" t="n"/>
      <c r="C890" s="23" t="n"/>
      <c r="D890" s="28" t="n"/>
      <c r="E890" s="23" t="n"/>
      <c r="F890" s="23" t="n"/>
      <c r="G890" s="23" t="n"/>
      <c r="H890" s="29">
        <f>IF(C890="","",IFERROR(INDEX(Categories!$B$6:$B$65,MATCH(C890,Categories!$A$6:$A$65,0))&amp;"",""))</f>
        <v/>
      </c>
      <c r="I890" s="25">
        <f>IF(AND(A890="",C890="",D890=""),"",IF(A890="","Date missing",IF(NOT(ISNUMBER(A890)),"Date not recognized",IF(YEAR(A890)&lt;&gt;Settings!$C$4,"Not in "&amp;Settings!$C$4,IF(C890="","Category missing",IF(H890="",IF(COUNTIF(Categories!$A$6:$A$65,C890)&gt;0,"Category has no type","Category not in list"),IF(D890="","Amount missing",IF(NOT(ISNUMBER(D890)),"Amount is not a number",IF(F890="","",IF(ISNA(MATCH(F890,Lists!$G$2:$G$25,0)),"Goal / fund not in list",IF(H890="Income","Fund tag ignored on income","")))))))))))</f>
        <v/>
      </c>
    </row>
    <row r="891">
      <c r="A891" s="27" t="n"/>
      <c r="B891" s="23" t="n"/>
      <c r="C891" s="23" t="n"/>
      <c r="D891" s="28" t="n"/>
      <c r="E891" s="23" t="n"/>
      <c r="F891" s="23" t="n"/>
      <c r="G891" s="23" t="n"/>
      <c r="H891" s="29">
        <f>IF(C891="","",IFERROR(INDEX(Categories!$B$6:$B$65,MATCH(C891,Categories!$A$6:$A$65,0))&amp;"",""))</f>
        <v/>
      </c>
      <c r="I891" s="25">
        <f>IF(AND(A891="",C891="",D891=""),"",IF(A891="","Date missing",IF(NOT(ISNUMBER(A891)),"Date not recognized",IF(YEAR(A891)&lt;&gt;Settings!$C$4,"Not in "&amp;Settings!$C$4,IF(C891="","Category missing",IF(H891="",IF(COUNTIF(Categories!$A$6:$A$65,C891)&gt;0,"Category has no type","Category not in list"),IF(D891="","Amount missing",IF(NOT(ISNUMBER(D891)),"Amount is not a number",IF(F891="","",IF(ISNA(MATCH(F891,Lists!$G$2:$G$25,0)),"Goal / fund not in list",IF(H891="Income","Fund tag ignored on income","")))))))))))</f>
        <v/>
      </c>
    </row>
    <row r="892">
      <c r="A892" s="27" t="n"/>
      <c r="B892" s="23" t="n"/>
      <c r="C892" s="23" t="n"/>
      <c r="D892" s="28" t="n"/>
      <c r="E892" s="23" t="n"/>
      <c r="F892" s="23" t="n"/>
      <c r="G892" s="23" t="n"/>
      <c r="H892" s="29">
        <f>IF(C892="","",IFERROR(INDEX(Categories!$B$6:$B$65,MATCH(C892,Categories!$A$6:$A$65,0))&amp;"",""))</f>
        <v/>
      </c>
      <c r="I892" s="25">
        <f>IF(AND(A892="",C892="",D892=""),"",IF(A892="","Date missing",IF(NOT(ISNUMBER(A892)),"Date not recognized",IF(YEAR(A892)&lt;&gt;Settings!$C$4,"Not in "&amp;Settings!$C$4,IF(C892="","Category missing",IF(H892="",IF(COUNTIF(Categories!$A$6:$A$65,C892)&gt;0,"Category has no type","Category not in list"),IF(D892="","Amount missing",IF(NOT(ISNUMBER(D892)),"Amount is not a number",IF(F892="","",IF(ISNA(MATCH(F892,Lists!$G$2:$G$25,0)),"Goal / fund not in list",IF(H892="Income","Fund tag ignored on income","")))))))))))</f>
        <v/>
      </c>
    </row>
    <row r="893">
      <c r="A893" s="27" t="n"/>
      <c r="B893" s="23" t="n"/>
      <c r="C893" s="23" t="n"/>
      <c r="D893" s="28" t="n"/>
      <c r="E893" s="23" t="n"/>
      <c r="F893" s="23" t="n"/>
      <c r="G893" s="23" t="n"/>
      <c r="H893" s="29">
        <f>IF(C893="","",IFERROR(INDEX(Categories!$B$6:$B$65,MATCH(C893,Categories!$A$6:$A$65,0))&amp;"",""))</f>
        <v/>
      </c>
      <c r="I893" s="25">
        <f>IF(AND(A893="",C893="",D893=""),"",IF(A893="","Date missing",IF(NOT(ISNUMBER(A893)),"Date not recognized",IF(YEAR(A893)&lt;&gt;Settings!$C$4,"Not in "&amp;Settings!$C$4,IF(C893="","Category missing",IF(H893="",IF(COUNTIF(Categories!$A$6:$A$65,C893)&gt;0,"Category has no type","Category not in list"),IF(D893="","Amount missing",IF(NOT(ISNUMBER(D893)),"Amount is not a number",IF(F893="","",IF(ISNA(MATCH(F893,Lists!$G$2:$G$25,0)),"Goal / fund not in list",IF(H893="Income","Fund tag ignored on income","")))))))))))</f>
        <v/>
      </c>
    </row>
    <row r="894">
      <c r="A894" s="27" t="n"/>
      <c r="B894" s="23" t="n"/>
      <c r="C894" s="23" t="n"/>
      <c r="D894" s="28" t="n"/>
      <c r="E894" s="23" t="n"/>
      <c r="F894" s="23" t="n"/>
      <c r="G894" s="23" t="n"/>
      <c r="H894" s="29">
        <f>IF(C894="","",IFERROR(INDEX(Categories!$B$6:$B$65,MATCH(C894,Categories!$A$6:$A$65,0))&amp;"",""))</f>
        <v/>
      </c>
      <c r="I894" s="25">
        <f>IF(AND(A894="",C894="",D894=""),"",IF(A894="","Date missing",IF(NOT(ISNUMBER(A894)),"Date not recognized",IF(YEAR(A894)&lt;&gt;Settings!$C$4,"Not in "&amp;Settings!$C$4,IF(C894="","Category missing",IF(H894="",IF(COUNTIF(Categories!$A$6:$A$65,C894)&gt;0,"Category has no type","Category not in list"),IF(D894="","Amount missing",IF(NOT(ISNUMBER(D894)),"Amount is not a number",IF(F894="","",IF(ISNA(MATCH(F894,Lists!$G$2:$G$25,0)),"Goal / fund not in list",IF(H894="Income","Fund tag ignored on income","")))))))))))</f>
        <v/>
      </c>
    </row>
    <row r="895">
      <c r="A895" s="27" t="n"/>
      <c r="B895" s="23" t="n"/>
      <c r="C895" s="23" t="n"/>
      <c r="D895" s="28" t="n"/>
      <c r="E895" s="23" t="n"/>
      <c r="F895" s="23" t="n"/>
      <c r="G895" s="23" t="n"/>
      <c r="H895" s="29">
        <f>IF(C895="","",IFERROR(INDEX(Categories!$B$6:$B$65,MATCH(C895,Categories!$A$6:$A$65,0))&amp;"",""))</f>
        <v/>
      </c>
      <c r="I895" s="25">
        <f>IF(AND(A895="",C895="",D895=""),"",IF(A895="","Date missing",IF(NOT(ISNUMBER(A895)),"Date not recognized",IF(YEAR(A895)&lt;&gt;Settings!$C$4,"Not in "&amp;Settings!$C$4,IF(C895="","Category missing",IF(H895="",IF(COUNTIF(Categories!$A$6:$A$65,C895)&gt;0,"Category has no type","Category not in list"),IF(D895="","Amount missing",IF(NOT(ISNUMBER(D895)),"Amount is not a number",IF(F895="","",IF(ISNA(MATCH(F895,Lists!$G$2:$G$25,0)),"Goal / fund not in list",IF(H895="Income","Fund tag ignored on income","")))))))))))</f>
        <v/>
      </c>
    </row>
    <row r="896">
      <c r="A896" s="27" t="n"/>
      <c r="B896" s="23" t="n"/>
      <c r="C896" s="23" t="n"/>
      <c r="D896" s="28" t="n"/>
      <c r="E896" s="23" t="n"/>
      <c r="F896" s="23" t="n"/>
      <c r="G896" s="23" t="n"/>
      <c r="H896" s="29">
        <f>IF(C896="","",IFERROR(INDEX(Categories!$B$6:$B$65,MATCH(C896,Categories!$A$6:$A$65,0))&amp;"",""))</f>
        <v/>
      </c>
      <c r="I896" s="25">
        <f>IF(AND(A896="",C896="",D896=""),"",IF(A896="","Date missing",IF(NOT(ISNUMBER(A896)),"Date not recognized",IF(YEAR(A896)&lt;&gt;Settings!$C$4,"Not in "&amp;Settings!$C$4,IF(C896="","Category missing",IF(H896="",IF(COUNTIF(Categories!$A$6:$A$65,C896)&gt;0,"Category has no type","Category not in list"),IF(D896="","Amount missing",IF(NOT(ISNUMBER(D896)),"Amount is not a number",IF(F896="","",IF(ISNA(MATCH(F896,Lists!$G$2:$G$25,0)),"Goal / fund not in list",IF(H896="Income","Fund tag ignored on income","")))))))))))</f>
        <v/>
      </c>
    </row>
    <row r="897">
      <c r="A897" s="27" t="n"/>
      <c r="B897" s="23" t="n"/>
      <c r="C897" s="23" t="n"/>
      <c r="D897" s="28" t="n"/>
      <c r="E897" s="23" t="n"/>
      <c r="F897" s="23" t="n"/>
      <c r="G897" s="23" t="n"/>
      <c r="H897" s="29">
        <f>IF(C897="","",IFERROR(INDEX(Categories!$B$6:$B$65,MATCH(C897,Categories!$A$6:$A$65,0))&amp;"",""))</f>
        <v/>
      </c>
      <c r="I897" s="25">
        <f>IF(AND(A897="",C897="",D897=""),"",IF(A897="","Date missing",IF(NOT(ISNUMBER(A897)),"Date not recognized",IF(YEAR(A897)&lt;&gt;Settings!$C$4,"Not in "&amp;Settings!$C$4,IF(C897="","Category missing",IF(H897="",IF(COUNTIF(Categories!$A$6:$A$65,C897)&gt;0,"Category has no type","Category not in list"),IF(D897="","Amount missing",IF(NOT(ISNUMBER(D897)),"Amount is not a number",IF(F897="","",IF(ISNA(MATCH(F897,Lists!$G$2:$G$25,0)),"Goal / fund not in list",IF(H897="Income","Fund tag ignored on income","")))))))))))</f>
        <v/>
      </c>
    </row>
    <row r="898">
      <c r="A898" s="27" t="n"/>
      <c r="B898" s="23" t="n"/>
      <c r="C898" s="23" t="n"/>
      <c r="D898" s="28" t="n"/>
      <c r="E898" s="23" t="n"/>
      <c r="F898" s="23" t="n"/>
      <c r="G898" s="23" t="n"/>
      <c r="H898" s="29">
        <f>IF(C898="","",IFERROR(INDEX(Categories!$B$6:$B$65,MATCH(C898,Categories!$A$6:$A$65,0))&amp;"",""))</f>
        <v/>
      </c>
      <c r="I898" s="25">
        <f>IF(AND(A898="",C898="",D898=""),"",IF(A898="","Date missing",IF(NOT(ISNUMBER(A898)),"Date not recognized",IF(YEAR(A898)&lt;&gt;Settings!$C$4,"Not in "&amp;Settings!$C$4,IF(C898="","Category missing",IF(H898="",IF(COUNTIF(Categories!$A$6:$A$65,C898)&gt;0,"Category has no type","Category not in list"),IF(D898="","Amount missing",IF(NOT(ISNUMBER(D898)),"Amount is not a number",IF(F898="","",IF(ISNA(MATCH(F898,Lists!$G$2:$G$25,0)),"Goal / fund not in list",IF(H898="Income","Fund tag ignored on income","")))))))))))</f>
        <v/>
      </c>
    </row>
    <row r="899">
      <c r="A899" s="27" t="n"/>
      <c r="B899" s="23" t="n"/>
      <c r="C899" s="23" t="n"/>
      <c r="D899" s="28" t="n"/>
      <c r="E899" s="23" t="n"/>
      <c r="F899" s="23" t="n"/>
      <c r="G899" s="23" t="n"/>
      <c r="H899" s="29">
        <f>IF(C899="","",IFERROR(INDEX(Categories!$B$6:$B$65,MATCH(C899,Categories!$A$6:$A$65,0))&amp;"",""))</f>
        <v/>
      </c>
      <c r="I899" s="25">
        <f>IF(AND(A899="",C899="",D899=""),"",IF(A899="","Date missing",IF(NOT(ISNUMBER(A899)),"Date not recognized",IF(YEAR(A899)&lt;&gt;Settings!$C$4,"Not in "&amp;Settings!$C$4,IF(C899="","Category missing",IF(H899="",IF(COUNTIF(Categories!$A$6:$A$65,C899)&gt;0,"Category has no type","Category not in list"),IF(D899="","Amount missing",IF(NOT(ISNUMBER(D899)),"Amount is not a number",IF(F899="","",IF(ISNA(MATCH(F899,Lists!$G$2:$G$25,0)),"Goal / fund not in list",IF(H899="Income","Fund tag ignored on income","")))))))))))</f>
        <v/>
      </c>
    </row>
    <row r="900">
      <c r="A900" s="27" t="n"/>
      <c r="B900" s="23" t="n"/>
      <c r="C900" s="23" t="n"/>
      <c r="D900" s="28" t="n"/>
      <c r="E900" s="23" t="n"/>
      <c r="F900" s="23" t="n"/>
      <c r="G900" s="23" t="n"/>
      <c r="H900" s="29">
        <f>IF(C900="","",IFERROR(INDEX(Categories!$B$6:$B$65,MATCH(C900,Categories!$A$6:$A$65,0))&amp;"",""))</f>
        <v/>
      </c>
      <c r="I900" s="25">
        <f>IF(AND(A900="",C900="",D900=""),"",IF(A900="","Date missing",IF(NOT(ISNUMBER(A900)),"Date not recognized",IF(YEAR(A900)&lt;&gt;Settings!$C$4,"Not in "&amp;Settings!$C$4,IF(C900="","Category missing",IF(H900="",IF(COUNTIF(Categories!$A$6:$A$65,C900)&gt;0,"Category has no type","Category not in list"),IF(D900="","Amount missing",IF(NOT(ISNUMBER(D900)),"Amount is not a number",IF(F900="","",IF(ISNA(MATCH(F900,Lists!$G$2:$G$25,0)),"Goal / fund not in list",IF(H900="Income","Fund tag ignored on income","")))))))))))</f>
        <v/>
      </c>
    </row>
    <row r="901">
      <c r="A901" s="27" t="n"/>
      <c r="B901" s="23" t="n"/>
      <c r="C901" s="23" t="n"/>
      <c r="D901" s="28" t="n"/>
      <c r="E901" s="23" t="n"/>
      <c r="F901" s="23" t="n"/>
      <c r="G901" s="23" t="n"/>
      <c r="H901" s="29">
        <f>IF(C901="","",IFERROR(INDEX(Categories!$B$6:$B$65,MATCH(C901,Categories!$A$6:$A$65,0))&amp;"",""))</f>
        <v/>
      </c>
      <c r="I901" s="25">
        <f>IF(AND(A901="",C901="",D901=""),"",IF(A901="","Date missing",IF(NOT(ISNUMBER(A901)),"Date not recognized",IF(YEAR(A901)&lt;&gt;Settings!$C$4,"Not in "&amp;Settings!$C$4,IF(C901="","Category missing",IF(H901="",IF(COUNTIF(Categories!$A$6:$A$65,C901)&gt;0,"Category has no type","Category not in list"),IF(D901="","Amount missing",IF(NOT(ISNUMBER(D901)),"Amount is not a number",IF(F901="","",IF(ISNA(MATCH(F901,Lists!$G$2:$G$25,0)),"Goal / fund not in list",IF(H901="Income","Fund tag ignored on income","")))))))))))</f>
        <v/>
      </c>
    </row>
    <row r="902">
      <c r="A902" s="27" t="n"/>
      <c r="B902" s="23" t="n"/>
      <c r="C902" s="23" t="n"/>
      <c r="D902" s="28" t="n"/>
      <c r="E902" s="23" t="n"/>
      <c r="F902" s="23" t="n"/>
      <c r="G902" s="23" t="n"/>
      <c r="H902" s="29">
        <f>IF(C902="","",IFERROR(INDEX(Categories!$B$6:$B$65,MATCH(C902,Categories!$A$6:$A$65,0))&amp;"",""))</f>
        <v/>
      </c>
      <c r="I902" s="25">
        <f>IF(AND(A902="",C902="",D902=""),"",IF(A902="","Date missing",IF(NOT(ISNUMBER(A902)),"Date not recognized",IF(YEAR(A902)&lt;&gt;Settings!$C$4,"Not in "&amp;Settings!$C$4,IF(C902="","Category missing",IF(H902="",IF(COUNTIF(Categories!$A$6:$A$65,C902)&gt;0,"Category has no type","Category not in list"),IF(D902="","Amount missing",IF(NOT(ISNUMBER(D902)),"Amount is not a number",IF(F902="","",IF(ISNA(MATCH(F902,Lists!$G$2:$G$25,0)),"Goal / fund not in list",IF(H902="Income","Fund tag ignored on income","")))))))))))</f>
        <v/>
      </c>
    </row>
    <row r="903">
      <c r="A903" s="27" t="n"/>
      <c r="B903" s="23" t="n"/>
      <c r="C903" s="23" t="n"/>
      <c r="D903" s="28" t="n"/>
      <c r="E903" s="23" t="n"/>
      <c r="F903" s="23" t="n"/>
      <c r="G903" s="23" t="n"/>
      <c r="H903" s="29">
        <f>IF(C903="","",IFERROR(INDEX(Categories!$B$6:$B$65,MATCH(C903,Categories!$A$6:$A$65,0))&amp;"",""))</f>
        <v/>
      </c>
      <c r="I903" s="25">
        <f>IF(AND(A903="",C903="",D903=""),"",IF(A903="","Date missing",IF(NOT(ISNUMBER(A903)),"Date not recognized",IF(YEAR(A903)&lt;&gt;Settings!$C$4,"Not in "&amp;Settings!$C$4,IF(C903="","Category missing",IF(H903="",IF(COUNTIF(Categories!$A$6:$A$65,C903)&gt;0,"Category has no type","Category not in list"),IF(D903="","Amount missing",IF(NOT(ISNUMBER(D903)),"Amount is not a number",IF(F903="","",IF(ISNA(MATCH(F903,Lists!$G$2:$G$25,0)),"Goal / fund not in list",IF(H903="Income","Fund tag ignored on income","")))))))))))</f>
        <v/>
      </c>
    </row>
    <row r="904">
      <c r="A904" s="27" t="n"/>
      <c r="B904" s="23" t="n"/>
      <c r="C904" s="23" t="n"/>
      <c r="D904" s="28" t="n"/>
      <c r="E904" s="23" t="n"/>
      <c r="F904" s="23" t="n"/>
      <c r="G904" s="23" t="n"/>
      <c r="H904" s="29">
        <f>IF(C904="","",IFERROR(INDEX(Categories!$B$6:$B$65,MATCH(C904,Categories!$A$6:$A$65,0))&amp;"",""))</f>
        <v/>
      </c>
      <c r="I904" s="25">
        <f>IF(AND(A904="",C904="",D904=""),"",IF(A904="","Date missing",IF(NOT(ISNUMBER(A904)),"Date not recognized",IF(YEAR(A904)&lt;&gt;Settings!$C$4,"Not in "&amp;Settings!$C$4,IF(C904="","Category missing",IF(H904="",IF(COUNTIF(Categories!$A$6:$A$65,C904)&gt;0,"Category has no type","Category not in list"),IF(D904="","Amount missing",IF(NOT(ISNUMBER(D904)),"Amount is not a number",IF(F904="","",IF(ISNA(MATCH(F904,Lists!$G$2:$G$25,0)),"Goal / fund not in list",IF(H904="Income","Fund tag ignored on income","")))))))))))</f>
        <v/>
      </c>
    </row>
    <row r="905">
      <c r="A905" s="27" t="n"/>
      <c r="B905" s="23" t="n"/>
      <c r="C905" s="23" t="n"/>
      <c r="D905" s="28" t="n"/>
      <c r="E905" s="23" t="n"/>
      <c r="F905" s="23" t="n"/>
      <c r="G905" s="23" t="n"/>
      <c r="H905" s="29">
        <f>IF(C905="","",IFERROR(INDEX(Categories!$B$6:$B$65,MATCH(C905,Categories!$A$6:$A$65,0))&amp;"",""))</f>
        <v/>
      </c>
      <c r="I905" s="25">
        <f>IF(AND(A905="",C905="",D905=""),"",IF(A905="","Date missing",IF(NOT(ISNUMBER(A905)),"Date not recognized",IF(YEAR(A905)&lt;&gt;Settings!$C$4,"Not in "&amp;Settings!$C$4,IF(C905="","Category missing",IF(H905="",IF(COUNTIF(Categories!$A$6:$A$65,C905)&gt;0,"Category has no type","Category not in list"),IF(D905="","Amount missing",IF(NOT(ISNUMBER(D905)),"Amount is not a number",IF(F905="","",IF(ISNA(MATCH(F905,Lists!$G$2:$G$25,0)),"Goal / fund not in list",IF(H905="Income","Fund tag ignored on income","")))))))))))</f>
        <v/>
      </c>
    </row>
    <row r="906">
      <c r="A906" s="27" t="n"/>
      <c r="B906" s="23" t="n"/>
      <c r="C906" s="23" t="n"/>
      <c r="D906" s="28" t="n"/>
      <c r="E906" s="23" t="n"/>
      <c r="F906" s="23" t="n"/>
      <c r="G906" s="23" t="n"/>
      <c r="H906" s="29">
        <f>IF(C906="","",IFERROR(INDEX(Categories!$B$6:$B$65,MATCH(C906,Categories!$A$6:$A$65,0))&amp;"",""))</f>
        <v/>
      </c>
      <c r="I906" s="25">
        <f>IF(AND(A906="",C906="",D906=""),"",IF(A906="","Date missing",IF(NOT(ISNUMBER(A906)),"Date not recognized",IF(YEAR(A906)&lt;&gt;Settings!$C$4,"Not in "&amp;Settings!$C$4,IF(C906="","Category missing",IF(H906="",IF(COUNTIF(Categories!$A$6:$A$65,C906)&gt;0,"Category has no type","Category not in list"),IF(D906="","Amount missing",IF(NOT(ISNUMBER(D906)),"Amount is not a number",IF(F906="","",IF(ISNA(MATCH(F906,Lists!$G$2:$G$25,0)),"Goal / fund not in list",IF(H906="Income","Fund tag ignored on income","")))))))))))</f>
        <v/>
      </c>
    </row>
    <row r="907">
      <c r="A907" s="27" t="n"/>
      <c r="B907" s="23" t="n"/>
      <c r="C907" s="23" t="n"/>
      <c r="D907" s="28" t="n"/>
      <c r="E907" s="23" t="n"/>
      <c r="F907" s="23" t="n"/>
      <c r="G907" s="23" t="n"/>
      <c r="H907" s="29">
        <f>IF(C907="","",IFERROR(INDEX(Categories!$B$6:$B$65,MATCH(C907,Categories!$A$6:$A$65,0))&amp;"",""))</f>
        <v/>
      </c>
      <c r="I907" s="25">
        <f>IF(AND(A907="",C907="",D907=""),"",IF(A907="","Date missing",IF(NOT(ISNUMBER(A907)),"Date not recognized",IF(YEAR(A907)&lt;&gt;Settings!$C$4,"Not in "&amp;Settings!$C$4,IF(C907="","Category missing",IF(H907="",IF(COUNTIF(Categories!$A$6:$A$65,C907)&gt;0,"Category has no type","Category not in list"),IF(D907="","Amount missing",IF(NOT(ISNUMBER(D907)),"Amount is not a number",IF(F907="","",IF(ISNA(MATCH(F907,Lists!$G$2:$G$25,0)),"Goal / fund not in list",IF(H907="Income","Fund tag ignored on income","")))))))))))</f>
        <v/>
      </c>
    </row>
    <row r="908">
      <c r="A908" s="27" t="n"/>
      <c r="B908" s="23" t="n"/>
      <c r="C908" s="23" t="n"/>
      <c r="D908" s="28" t="n"/>
      <c r="E908" s="23" t="n"/>
      <c r="F908" s="23" t="n"/>
      <c r="G908" s="23" t="n"/>
      <c r="H908" s="29">
        <f>IF(C908="","",IFERROR(INDEX(Categories!$B$6:$B$65,MATCH(C908,Categories!$A$6:$A$65,0))&amp;"",""))</f>
        <v/>
      </c>
      <c r="I908" s="25">
        <f>IF(AND(A908="",C908="",D908=""),"",IF(A908="","Date missing",IF(NOT(ISNUMBER(A908)),"Date not recognized",IF(YEAR(A908)&lt;&gt;Settings!$C$4,"Not in "&amp;Settings!$C$4,IF(C908="","Category missing",IF(H908="",IF(COUNTIF(Categories!$A$6:$A$65,C908)&gt;0,"Category has no type","Category not in list"),IF(D908="","Amount missing",IF(NOT(ISNUMBER(D908)),"Amount is not a number",IF(F908="","",IF(ISNA(MATCH(F908,Lists!$G$2:$G$25,0)),"Goal / fund not in list",IF(H908="Income","Fund tag ignored on income","")))))))))))</f>
        <v/>
      </c>
    </row>
    <row r="909">
      <c r="A909" s="27" t="n"/>
      <c r="B909" s="23" t="n"/>
      <c r="C909" s="23" t="n"/>
      <c r="D909" s="28" t="n"/>
      <c r="E909" s="23" t="n"/>
      <c r="F909" s="23" t="n"/>
      <c r="G909" s="23" t="n"/>
      <c r="H909" s="29">
        <f>IF(C909="","",IFERROR(INDEX(Categories!$B$6:$B$65,MATCH(C909,Categories!$A$6:$A$65,0))&amp;"",""))</f>
        <v/>
      </c>
      <c r="I909" s="25">
        <f>IF(AND(A909="",C909="",D909=""),"",IF(A909="","Date missing",IF(NOT(ISNUMBER(A909)),"Date not recognized",IF(YEAR(A909)&lt;&gt;Settings!$C$4,"Not in "&amp;Settings!$C$4,IF(C909="","Category missing",IF(H909="",IF(COUNTIF(Categories!$A$6:$A$65,C909)&gt;0,"Category has no type","Category not in list"),IF(D909="","Amount missing",IF(NOT(ISNUMBER(D909)),"Amount is not a number",IF(F909="","",IF(ISNA(MATCH(F909,Lists!$G$2:$G$25,0)),"Goal / fund not in list",IF(H909="Income","Fund tag ignored on income","")))))))))))</f>
        <v/>
      </c>
    </row>
    <row r="910">
      <c r="A910" s="27" t="n"/>
      <c r="B910" s="23" t="n"/>
      <c r="C910" s="23" t="n"/>
      <c r="D910" s="28" t="n"/>
      <c r="E910" s="23" t="n"/>
      <c r="F910" s="23" t="n"/>
      <c r="G910" s="23" t="n"/>
      <c r="H910" s="29">
        <f>IF(C910="","",IFERROR(INDEX(Categories!$B$6:$B$65,MATCH(C910,Categories!$A$6:$A$65,0))&amp;"",""))</f>
        <v/>
      </c>
      <c r="I910" s="25">
        <f>IF(AND(A910="",C910="",D910=""),"",IF(A910="","Date missing",IF(NOT(ISNUMBER(A910)),"Date not recognized",IF(YEAR(A910)&lt;&gt;Settings!$C$4,"Not in "&amp;Settings!$C$4,IF(C910="","Category missing",IF(H910="",IF(COUNTIF(Categories!$A$6:$A$65,C910)&gt;0,"Category has no type","Category not in list"),IF(D910="","Amount missing",IF(NOT(ISNUMBER(D910)),"Amount is not a number",IF(F910="","",IF(ISNA(MATCH(F910,Lists!$G$2:$G$25,0)),"Goal / fund not in list",IF(H910="Income","Fund tag ignored on income","")))))))))))</f>
        <v/>
      </c>
    </row>
    <row r="911">
      <c r="A911" s="27" t="n"/>
      <c r="B911" s="23" t="n"/>
      <c r="C911" s="23" t="n"/>
      <c r="D911" s="28" t="n"/>
      <c r="E911" s="23" t="n"/>
      <c r="F911" s="23" t="n"/>
      <c r="G911" s="23" t="n"/>
      <c r="H911" s="29">
        <f>IF(C911="","",IFERROR(INDEX(Categories!$B$6:$B$65,MATCH(C911,Categories!$A$6:$A$65,0))&amp;"",""))</f>
        <v/>
      </c>
      <c r="I911" s="25">
        <f>IF(AND(A911="",C911="",D911=""),"",IF(A911="","Date missing",IF(NOT(ISNUMBER(A911)),"Date not recognized",IF(YEAR(A911)&lt;&gt;Settings!$C$4,"Not in "&amp;Settings!$C$4,IF(C911="","Category missing",IF(H911="",IF(COUNTIF(Categories!$A$6:$A$65,C911)&gt;0,"Category has no type","Category not in list"),IF(D911="","Amount missing",IF(NOT(ISNUMBER(D911)),"Amount is not a number",IF(F911="","",IF(ISNA(MATCH(F911,Lists!$G$2:$G$25,0)),"Goal / fund not in list",IF(H911="Income","Fund tag ignored on income","")))))))))))</f>
        <v/>
      </c>
    </row>
    <row r="912">
      <c r="A912" s="27" t="n"/>
      <c r="B912" s="23" t="n"/>
      <c r="C912" s="23" t="n"/>
      <c r="D912" s="28" t="n"/>
      <c r="E912" s="23" t="n"/>
      <c r="F912" s="23" t="n"/>
      <c r="G912" s="23" t="n"/>
      <c r="H912" s="29">
        <f>IF(C912="","",IFERROR(INDEX(Categories!$B$6:$B$65,MATCH(C912,Categories!$A$6:$A$65,0))&amp;"",""))</f>
        <v/>
      </c>
      <c r="I912" s="25">
        <f>IF(AND(A912="",C912="",D912=""),"",IF(A912="","Date missing",IF(NOT(ISNUMBER(A912)),"Date not recognized",IF(YEAR(A912)&lt;&gt;Settings!$C$4,"Not in "&amp;Settings!$C$4,IF(C912="","Category missing",IF(H912="",IF(COUNTIF(Categories!$A$6:$A$65,C912)&gt;0,"Category has no type","Category not in list"),IF(D912="","Amount missing",IF(NOT(ISNUMBER(D912)),"Amount is not a number",IF(F912="","",IF(ISNA(MATCH(F912,Lists!$G$2:$G$25,0)),"Goal / fund not in list",IF(H912="Income","Fund tag ignored on income","")))))))))))</f>
        <v/>
      </c>
    </row>
    <row r="913">
      <c r="A913" s="27" t="n"/>
      <c r="B913" s="23" t="n"/>
      <c r="C913" s="23" t="n"/>
      <c r="D913" s="28" t="n"/>
      <c r="E913" s="23" t="n"/>
      <c r="F913" s="23" t="n"/>
      <c r="G913" s="23" t="n"/>
      <c r="H913" s="29">
        <f>IF(C913="","",IFERROR(INDEX(Categories!$B$6:$B$65,MATCH(C913,Categories!$A$6:$A$65,0))&amp;"",""))</f>
        <v/>
      </c>
      <c r="I913" s="25">
        <f>IF(AND(A913="",C913="",D913=""),"",IF(A913="","Date missing",IF(NOT(ISNUMBER(A913)),"Date not recognized",IF(YEAR(A913)&lt;&gt;Settings!$C$4,"Not in "&amp;Settings!$C$4,IF(C913="","Category missing",IF(H913="",IF(COUNTIF(Categories!$A$6:$A$65,C913)&gt;0,"Category has no type","Category not in list"),IF(D913="","Amount missing",IF(NOT(ISNUMBER(D913)),"Amount is not a number",IF(F913="","",IF(ISNA(MATCH(F913,Lists!$G$2:$G$25,0)),"Goal / fund not in list",IF(H913="Income","Fund tag ignored on income","")))))))))))</f>
        <v/>
      </c>
    </row>
    <row r="914">
      <c r="A914" s="27" t="n"/>
      <c r="B914" s="23" t="n"/>
      <c r="C914" s="23" t="n"/>
      <c r="D914" s="28" t="n"/>
      <c r="E914" s="23" t="n"/>
      <c r="F914" s="23" t="n"/>
      <c r="G914" s="23" t="n"/>
      <c r="H914" s="29">
        <f>IF(C914="","",IFERROR(INDEX(Categories!$B$6:$B$65,MATCH(C914,Categories!$A$6:$A$65,0))&amp;"",""))</f>
        <v/>
      </c>
      <c r="I914" s="25">
        <f>IF(AND(A914="",C914="",D914=""),"",IF(A914="","Date missing",IF(NOT(ISNUMBER(A914)),"Date not recognized",IF(YEAR(A914)&lt;&gt;Settings!$C$4,"Not in "&amp;Settings!$C$4,IF(C914="","Category missing",IF(H914="",IF(COUNTIF(Categories!$A$6:$A$65,C914)&gt;0,"Category has no type","Category not in list"),IF(D914="","Amount missing",IF(NOT(ISNUMBER(D914)),"Amount is not a number",IF(F914="","",IF(ISNA(MATCH(F914,Lists!$G$2:$G$25,0)),"Goal / fund not in list",IF(H914="Income","Fund tag ignored on income","")))))))))))</f>
        <v/>
      </c>
    </row>
    <row r="915">
      <c r="A915" s="27" t="n"/>
      <c r="B915" s="23" t="n"/>
      <c r="C915" s="23" t="n"/>
      <c r="D915" s="28" t="n"/>
      <c r="E915" s="23" t="n"/>
      <c r="F915" s="23" t="n"/>
      <c r="G915" s="23" t="n"/>
      <c r="H915" s="29">
        <f>IF(C915="","",IFERROR(INDEX(Categories!$B$6:$B$65,MATCH(C915,Categories!$A$6:$A$65,0))&amp;"",""))</f>
        <v/>
      </c>
      <c r="I915" s="25">
        <f>IF(AND(A915="",C915="",D915=""),"",IF(A915="","Date missing",IF(NOT(ISNUMBER(A915)),"Date not recognized",IF(YEAR(A915)&lt;&gt;Settings!$C$4,"Not in "&amp;Settings!$C$4,IF(C915="","Category missing",IF(H915="",IF(COUNTIF(Categories!$A$6:$A$65,C915)&gt;0,"Category has no type","Category not in list"),IF(D915="","Amount missing",IF(NOT(ISNUMBER(D915)),"Amount is not a number",IF(F915="","",IF(ISNA(MATCH(F915,Lists!$G$2:$G$25,0)),"Goal / fund not in list",IF(H915="Income","Fund tag ignored on income","")))))))))))</f>
        <v/>
      </c>
    </row>
    <row r="916">
      <c r="A916" s="27" t="n"/>
      <c r="B916" s="23" t="n"/>
      <c r="C916" s="23" t="n"/>
      <c r="D916" s="28" t="n"/>
      <c r="E916" s="23" t="n"/>
      <c r="F916" s="23" t="n"/>
      <c r="G916" s="23" t="n"/>
      <c r="H916" s="29">
        <f>IF(C916="","",IFERROR(INDEX(Categories!$B$6:$B$65,MATCH(C916,Categories!$A$6:$A$65,0))&amp;"",""))</f>
        <v/>
      </c>
      <c r="I916" s="25">
        <f>IF(AND(A916="",C916="",D916=""),"",IF(A916="","Date missing",IF(NOT(ISNUMBER(A916)),"Date not recognized",IF(YEAR(A916)&lt;&gt;Settings!$C$4,"Not in "&amp;Settings!$C$4,IF(C916="","Category missing",IF(H916="",IF(COUNTIF(Categories!$A$6:$A$65,C916)&gt;0,"Category has no type","Category not in list"),IF(D916="","Amount missing",IF(NOT(ISNUMBER(D916)),"Amount is not a number",IF(F916="","",IF(ISNA(MATCH(F916,Lists!$G$2:$G$25,0)),"Goal / fund not in list",IF(H916="Income","Fund tag ignored on income","")))))))))))</f>
        <v/>
      </c>
    </row>
    <row r="917">
      <c r="A917" s="27" t="n"/>
      <c r="B917" s="23" t="n"/>
      <c r="C917" s="23" t="n"/>
      <c r="D917" s="28" t="n"/>
      <c r="E917" s="23" t="n"/>
      <c r="F917" s="23" t="n"/>
      <c r="G917" s="23" t="n"/>
      <c r="H917" s="29">
        <f>IF(C917="","",IFERROR(INDEX(Categories!$B$6:$B$65,MATCH(C917,Categories!$A$6:$A$65,0))&amp;"",""))</f>
        <v/>
      </c>
      <c r="I917" s="25">
        <f>IF(AND(A917="",C917="",D917=""),"",IF(A917="","Date missing",IF(NOT(ISNUMBER(A917)),"Date not recognized",IF(YEAR(A917)&lt;&gt;Settings!$C$4,"Not in "&amp;Settings!$C$4,IF(C917="","Category missing",IF(H917="",IF(COUNTIF(Categories!$A$6:$A$65,C917)&gt;0,"Category has no type","Category not in list"),IF(D917="","Amount missing",IF(NOT(ISNUMBER(D917)),"Amount is not a number",IF(F917="","",IF(ISNA(MATCH(F917,Lists!$G$2:$G$25,0)),"Goal / fund not in list",IF(H917="Income","Fund tag ignored on income","")))))))))))</f>
        <v/>
      </c>
    </row>
    <row r="918">
      <c r="A918" s="27" t="n"/>
      <c r="B918" s="23" t="n"/>
      <c r="C918" s="23" t="n"/>
      <c r="D918" s="28" t="n"/>
      <c r="E918" s="23" t="n"/>
      <c r="F918" s="23" t="n"/>
      <c r="G918" s="23" t="n"/>
      <c r="H918" s="29">
        <f>IF(C918="","",IFERROR(INDEX(Categories!$B$6:$B$65,MATCH(C918,Categories!$A$6:$A$65,0))&amp;"",""))</f>
        <v/>
      </c>
      <c r="I918" s="25">
        <f>IF(AND(A918="",C918="",D918=""),"",IF(A918="","Date missing",IF(NOT(ISNUMBER(A918)),"Date not recognized",IF(YEAR(A918)&lt;&gt;Settings!$C$4,"Not in "&amp;Settings!$C$4,IF(C918="","Category missing",IF(H918="",IF(COUNTIF(Categories!$A$6:$A$65,C918)&gt;0,"Category has no type","Category not in list"),IF(D918="","Amount missing",IF(NOT(ISNUMBER(D918)),"Amount is not a number",IF(F918="","",IF(ISNA(MATCH(F918,Lists!$G$2:$G$25,0)),"Goal / fund not in list",IF(H918="Income","Fund tag ignored on income","")))))))))))</f>
        <v/>
      </c>
    </row>
    <row r="919">
      <c r="A919" s="27" t="n"/>
      <c r="B919" s="23" t="n"/>
      <c r="C919" s="23" t="n"/>
      <c r="D919" s="28" t="n"/>
      <c r="E919" s="23" t="n"/>
      <c r="F919" s="23" t="n"/>
      <c r="G919" s="23" t="n"/>
      <c r="H919" s="29">
        <f>IF(C919="","",IFERROR(INDEX(Categories!$B$6:$B$65,MATCH(C919,Categories!$A$6:$A$65,0))&amp;"",""))</f>
        <v/>
      </c>
      <c r="I919" s="25">
        <f>IF(AND(A919="",C919="",D919=""),"",IF(A919="","Date missing",IF(NOT(ISNUMBER(A919)),"Date not recognized",IF(YEAR(A919)&lt;&gt;Settings!$C$4,"Not in "&amp;Settings!$C$4,IF(C919="","Category missing",IF(H919="",IF(COUNTIF(Categories!$A$6:$A$65,C919)&gt;0,"Category has no type","Category not in list"),IF(D919="","Amount missing",IF(NOT(ISNUMBER(D919)),"Amount is not a number",IF(F919="","",IF(ISNA(MATCH(F919,Lists!$G$2:$G$25,0)),"Goal / fund not in list",IF(H919="Income","Fund tag ignored on income","")))))))))))</f>
        <v/>
      </c>
    </row>
    <row r="920">
      <c r="A920" s="27" t="n"/>
      <c r="B920" s="23" t="n"/>
      <c r="C920" s="23" t="n"/>
      <c r="D920" s="28" t="n"/>
      <c r="E920" s="23" t="n"/>
      <c r="F920" s="23" t="n"/>
      <c r="G920" s="23" t="n"/>
      <c r="H920" s="29">
        <f>IF(C920="","",IFERROR(INDEX(Categories!$B$6:$B$65,MATCH(C920,Categories!$A$6:$A$65,0))&amp;"",""))</f>
        <v/>
      </c>
      <c r="I920" s="25">
        <f>IF(AND(A920="",C920="",D920=""),"",IF(A920="","Date missing",IF(NOT(ISNUMBER(A920)),"Date not recognized",IF(YEAR(A920)&lt;&gt;Settings!$C$4,"Not in "&amp;Settings!$C$4,IF(C920="","Category missing",IF(H920="",IF(COUNTIF(Categories!$A$6:$A$65,C920)&gt;0,"Category has no type","Category not in list"),IF(D920="","Amount missing",IF(NOT(ISNUMBER(D920)),"Amount is not a number",IF(F920="","",IF(ISNA(MATCH(F920,Lists!$G$2:$G$25,0)),"Goal / fund not in list",IF(H920="Income","Fund tag ignored on income","")))))))))))</f>
        <v/>
      </c>
    </row>
    <row r="921">
      <c r="A921" s="27" t="n"/>
      <c r="B921" s="23" t="n"/>
      <c r="C921" s="23" t="n"/>
      <c r="D921" s="28" t="n"/>
      <c r="E921" s="23" t="n"/>
      <c r="F921" s="23" t="n"/>
      <c r="G921" s="23" t="n"/>
      <c r="H921" s="29">
        <f>IF(C921="","",IFERROR(INDEX(Categories!$B$6:$B$65,MATCH(C921,Categories!$A$6:$A$65,0))&amp;"",""))</f>
        <v/>
      </c>
      <c r="I921" s="25">
        <f>IF(AND(A921="",C921="",D921=""),"",IF(A921="","Date missing",IF(NOT(ISNUMBER(A921)),"Date not recognized",IF(YEAR(A921)&lt;&gt;Settings!$C$4,"Not in "&amp;Settings!$C$4,IF(C921="","Category missing",IF(H921="",IF(COUNTIF(Categories!$A$6:$A$65,C921)&gt;0,"Category has no type","Category not in list"),IF(D921="","Amount missing",IF(NOT(ISNUMBER(D921)),"Amount is not a number",IF(F921="","",IF(ISNA(MATCH(F921,Lists!$G$2:$G$25,0)),"Goal / fund not in list",IF(H921="Income","Fund tag ignored on income","")))))))))))</f>
        <v/>
      </c>
    </row>
    <row r="922">
      <c r="A922" s="27" t="n"/>
      <c r="B922" s="23" t="n"/>
      <c r="C922" s="23" t="n"/>
      <c r="D922" s="28" t="n"/>
      <c r="E922" s="23" t="n"/>
      <c r="F922" s="23" t="n"/>
      <c r="G922" s="23" t="n"/>
      <c r="H922" s="29">
        <f>IF(C922="","",IFERROR(INDEX(Categories!$B$6:$B$65,MATCH(C922,Categories!$A$6:$A$65,0))&amp;"",""))</f>
        <v/>
      </c>
      <c r="I922" s="25">
        <f>IF(AND(A922="",C922="",D922=""),"",IF(A922="","Date missing",IF(NOT(ISNUMBER(A922)),"Date not recognized",IF(YEAR(A922)&lt;&gt;Settings!$C$4,"Not in "&amp;Settings!$C$4,IF(C922="","Category missing",IF(H922="",IF(COUNTIF(Categories!$A$6:$A$65,C922)&gt;0,"Category has no type","Category not in list"),IF(D922="","Amount missing",IF(NOT(ISNUMBER(D922)),"Amount is not a number",IF(F922="","",IF(ISNA(MATCH(F922,Lists!$G$2:$G$25,0)),"Goal / fund not in list",IF(H922="Income","Fund tag ignored on income","")))))))))))</f>
        <v/>
      </c>
    </row>
    <row r="923">
      <c r="A923" s="27" t="n"/>
      <c r="B923" s="23" t="n"/>
      <c r="C923" s="23" t="n"/>
      <c r="D923" s="28" t="n"/>
      <c r="E923" s="23" t="n"/>
      <c r="F923" s="23" t="n"/>
      <c r="G923" s="23" t="n"/>
      <c r="H923" s="29">
        <f>IF(C923="","",IFERROR(INDEX(Categories!$B$6:$B$65,MATCH(C923,Categories!$A$6:$A$65,0))&amp;"",""))</f>
        <v/>
      </c>
      <c r="I923" s="25">
        <f>IF(AND(A923="",C923="",D923=""),"",IF(A923="","Date missing",IF(NOT(ISNUMBER(A923)),"Date not recognized",IF(YEAR(A923)&lt;&gt;Settings!$C$4,"Not in "&amp;Settings!$C$4,IF(C923="","Category missing",IF(H923="",IF(COUNTIF(Categories!$A$6:$A$65,C923)&gt;0,"Category has no type","Category not in list"),IF(D923="","Amount missing",IF(NOT(ISNUMBER(D923)),"Amount is not a number",IF(F923="","",IF(ISNA(MATCH(F923,Lists!$G$2:$G$25,0)),"Goal / fund not in list",IF(H923="Income","Fund tag ignored on income","")))))))))))</f>
        <v/>
      </c>
    </row>
    <row r="924">
      <c r="A924" s="27" t="n"/>
      <c r="B924" s="23" t="n"/>
      <c r="C924" s="23" t="n"/>
      <c r="D924" s="28" t="n"/>
      <c r="E924" s="23" t="n"/>
      <c r="F924" s="23" t="n"/>
      <c r="G924" s="23" t="n"/>
      <c r="H924" s="29">
        <f>IF(C924="","",IFERROR(INDEX(Categories!$B$6:$B$65,MATCH(C924,Categories!$A$6:$A$65,0))&amp;"",""))</f>
        <v/>
      </c>
      <c r="I924" s="25">
        <f>IF(AND(A924="",C924="",D924=""),"",IF(A924="","Date missing",IF(NOT(ISNUMBER(A924)),"Date not recognized",IF(YEAR(A924)&lt;&gt;Settings!$C$4,"Not in "&amp;Settings!$C$4,IF(C924="","Category missing",IF(H924="",IF(COUNTIF(Categories!$A$6:$A$65,C924)&gt;0,"Category has no type","Category not in list"),IF(D924="","Amount missing",IF(NOT(ISNUMBER(D924)),"Amount is not a number",IF(F924="","",IF(ISNA(MATCH(F924,Lists!$G$2:$G$25,0)),"Goal / fund not in list",IF(H924="Income","Fund tag ignored on income","")))))))))))</f>
        <v/>
      </c>
    </row>
    <row r="925">
      <c r="A925" s="27" t="n"/>
      <c r="B925" s="23" t="n"/>
      <c r="C925" s="23" t="n"/>
      <c r="D925" s="28" t="n"/>
      <c r="E925" s="23" t="n"/>
      <c r="F925" s="23" t="n"/>
      <c r="G925" s="23" t="n"/>
      <c r="H925" s="29">
        <f>IF(C925="","",IFERROR(INDEX(Categories!$B$6:$B$65,MATCH(C925,Categories!$A$6:$A$65,0))&amp;"",""))</f>
        <v/>
      </c>
      <c r="I925" s="25">
        <f>IF(AND(A925="",C925="",D925=""),"",IF(A925="","Date missing",IF(NOT(ISNUMBER(A925)),"Date not recognized",IF(YEAR(A925)&lt;&gt;Settings!$C$4,"Not in "&amp;Settings!$C$4,IF(C925="","Category missing",IF(H925="",IF(COUNTIF(Categories!$A$6:$A$65,C925)&gt;0,"Category has no type","Category not in list"),IF(D925="","Amount missing",IF(NOT(ISNUMBER(D925)),"Amount is not a number",IF(F925="","",IF(ISNA(MATCH(F925,Lists!$G$2:$G$25,0)),"Goal / fund not in list",IF(H925="Income","Fund tag ignored on income","")))))))))))</f>
        <v/>
      </c>
    </row>
    <row r="926">
      <c r="A926" s="27" t="n"/>
      <c r="B926" s="23" t="n"/>
      <c r="C926" s="23" t="n"/>
      <c r="D926" s="28" t="n"/>
      <c r="E926" s="23" t="n"/>
      <c r="F926" s="23" t="n"/>
      <c r="G926" s="23" t="n"/>
      <c r="H926" s="29">
        <f>IF(C926="","",IFERROR(INDEX(Categories!$B$6:$B$65,MATCH(C926,Categories!$A$6:$A$65,0))&amp;"",""))</f>
        <v/>
      </c>
      <c r="I926" s="25">
        <f>IF(AND(A926="",C926="",D926=""),"",IF(A926="","Date missing",IF(NOT(ISNUMBER(A926)),"Date not recognized",IF(YEAR(A926)&lt;&gt;Settings!$C$4,"Not in "&amp;Settings!$C$4,IF(C926="","Category missing",IF(H926="",IF(COUNTIF(Categories!$A$6:$A$65,C926)&gt;0,"Category has no type","Category not in list"),IF(D926="","Amount missing",IF(NOT(ISNUMBER(D926)),"Amount is not a number",IF(F926="","",IF(ISNA(MATCH(F926,Lists!$G$2:$G$25,0)),"Goal / fund not in list",IF(H926="Income","Fund tag ignored on income","")))))))))))</f>
        <v/>
      </c>
    </row>
    <row r="927">
      <c r="A927" s="27" t="n"/>
      <c r="B927" s="23" t="n"/>
      <c r="C927" s="23" t="n"/>
      <c r="D927" s="28" t="n"/>
      <c r="E927" s="23" t="n"/>
      <c r="F927" s="23" t="n"/>
      <c r="G927" s="23" t="n"/>
      <c r="H927" s="29">
        <f>IF(C927="","",IFERROR(INDEX(Categories!$B$6:$B$65,MATCH(C927,Categories!$A$6:$A$65,0))&amp;"",""))</f>
        <v/>
      </c>
      <c r="I927" s="25">
        <f>IF(AND(A927="",C927="",D927=""),"",IF(A927="","Date missing",IF(NOT(ISNUMBER(A927)),"Date not recognized",IF(YEAR(A927)&lt;&gt;Settings!$C$4,"Not in "&amp;Settings!$C$4,IF(C927="","Category missing",IF(H927="",IF(COUNTIF(Categories!$A$6:$A$65,C927)&gt;0,"Category has no type","Category not in list"),IF(D927="","Amount missing",IF(NOT(ISNUMBER(D927)),"Amount is not a number",IF(F927="","",IF(ISNA(MATCH(F927,Lists!$G$2:$G$25,0)),"Goal / fund not in list",IF(H927="Income","Fund tag ignored on income","")))))))))))</f>
        <v/>
      </c>
    </row>
    <row r="928">
      <c r="A928" s="27" t="n"/>
      <c r="B928" s="23" t="n"/>
      <c r="C928" s="23" t="n"/>
      <c r="D928" s="28" t="n"/>
      <c r="E928" s="23" t="n"/>
      <c r="F928" s="23" t="n"/>
      <c r="G928" s="23" t="n"/>
      <c r="H928" s="29">
        <f>IF(C928="","",IFERROR(INDEX(Categories!$B$6:$B$65,MATCH(C928,Categories!$A$6:$A$65,0))&amp;"",""))</f>
        <v/>
      </c>
      <c r="I928" s="25">
        <f>IF(AND(A928="",C928="",D928=""),"",IF(A928="","Date missing",IF(NOT(ISNUMBER(A928)),"Date not recognized",IF(YEAR(A928)&lt;&gt;Settings!$C$4,"Not in "&amp;Settings!$C$4,IF(C928="","Category missing",IF(H928="",IF(COUNTIF(Categories!$A$6:$A$65,C928)&gt;0,"Category has no type","Category not in list"),IF(D928="","Amount missing",IF(NOT(ISNUMBER(D928)),"Amount is not a number",IF(F928="","",IF(ISNA(MATCH(F928,Lists!$G$2:$G$25,0)),"Goal / fund not in list",IF(H928="Income","Fund tag ignored on income","")))))))))))</f>
        <v/>
      </c>
    </row>
    <row r="929">
      <c r="A929" s="27" t="n"/>
      <c r="B929" s="23" t="n"/>
      <c r="C929" s="23" t="n"/>
      <c r="D929" s="28" t="n"/>
      <c r="E929" s="23" t="n"/>
      <c r="F929" s="23" t="n"/>
      <c r="G929" s="23" t="n"/>
      <c r="H929" s="29">
        <f>IF(C929="","",IFERROR(INDEX(Categories!$B$6:$B$65,MATCH(C929,Categories!$A$6:$A$65,0))&amp;"",""))</f>
        <v/>
      </c>
      <c r="I929" s="25">
        <f>IF(AND(A929="",C929="",D929=""),"",IF(A929="","Date missing",IF(NOT(ISNUMBER(A929)),"Date not recognized",IF(YEAR(A929)&lt;&gt;Settings!$C$4,"Not in "&amp;Settings!$C$4,IF(C929="","Category missing",IF(H929="",IF(COUNTIF(Categories!$A$6:$A$65,C929)&gt;0,"Category has no type","Category not in list"),IF(D929="","Amount missing",IF(NOT(ISNUMBER(D929)),"Amount is not a number",IF(F929="","",IF(ISNA(MATCH(F929,Lists!$G$2:$G$25,0)),"Goal / fund not in list",IF(H929="Income","Fund tag ignored on income","")))))))))))</f>
        <v/>
      </c>
    </row>
    <row r="930">
      <c r="A930" s="27" t="n"/>
      <c r="B930" s="23" t="n"/>
      <c r="C930" s="23" t="n"/>
      <c r="D930" s="28" t="n"/>
      <c r="E930" s="23" t="n"/>
      <c r="F930" s="23" t="n"/>
      <c r="G930" s="23" t="n"/>
      <c r="H930" s="29">
        <f>IF(C930="","",IFERROR(INDEX(Categories!$B$6:$B$65,MATCH(C930,Categories!$A$6:$A$65,0))&amp;"",""))</f>
        <v/>
      </c>
      <c r="I930" s="25">
        <f>IF(AND(A930="",C930="",D930=""),"",IF(A930="","Date missing",IF(NOT(ISNUMBER(A930)),"Date not recognized",IF(YEAR(A930)&lt;&gt;Settings!$C$4,"Not in "&amp;Settings!$C$4,IF(C930="","Category missing",IF(H930="",IF(COUNTIF(Categories!$A$6:$A$65,C930)&gt;0,"Category has no type","Category not in list"),IF(D930="","Amount missing",IF(NOT(ISNUMBER(D930)),"Amount is not a number",IF(F930="","",IF(ISNA(MATCH(F930,Lists!$G$2:$G$25,0)),"Goal / fund not in list",IF(H930="Income","Fund tag ignored on income","")))))))))))</f>
        <v/>
      </c>
    </row>
    <row r="931">
      <c r="A931" s="27" t="n"/>
      <c r="B931" s="23" t="n"/>
      <c r="C931" s="23" t="n"/>
      <c r="D931" s="28" t="n"/>
      <c r="E931" s="23" t="n"/>
      <c r="F931" s="23" t="n"/>
      <c r="G931" s="23" t="n"/>
      <c r="H931" s="29">
        <f>IF(C931="","",IFERROR(INDEX(Categories!$B$6:$B$65,MATCH(C931,Categories!$A$6:$A$65,0))&amp;"",""))</f>
        <v/>
      </c>
      <c r="I931" s="25">
        <f>IF(AND(A931="",C931="",D931=""),"",IF(A931="","Date missing",IF(NOT(ISNUMBER(A931)),"Date not recognized",IF(YEAR(A931)&lt;&gt;Settings!$C$4,"Not in "&amp;Settings!$C$4,IF(C931="","Category missing",IF(H931="",IF(COUNTIF(Categories!$A$6:$A$65,C931)&gt;0,"Category has no type","Category not in list"),IF(D931="","Amount missing",IF(NOT(ISNUMBER(D931)),"Amount is not a number",IF(F931="","",IF(ISNA(MATCH(F931,Lists!$G$2:$G$25,0)),"Goal / fund not in list",IF(H931="Income","Fund tag ignored on income","")))))))))))</f>
        <v/>
      </c>
    </row>
    <row r="932">
      <c r="A932" s="27" t="n"/>
      <c r="B932" s="23" t="n"/>
      <c r="C932" s="23" t="n"/>
      <c r="D932" s="28" t="n"/>
      <c r="E932" s="23" t="n"/>
      <c r="F932" s="23" t="n"/>
      <c r="G932" s="23" t="n"/>
      <c r="H932" s="29">
        <f>IF(C932="","",IFERROR(INDEX(Categories!$B$6:$B$65,MATCH(C932,Categories!$A$6:$A$65,0))&amp;"",""))</f>
        <v/>
      </c>
      <c r="I932" s="25">
        <f>IF(AND(A932="",C932="",D932=""),"",IF(A932="","Date missing",IF(NOT(ISNUMBER(A932)),"Date not recognized",IF(YEAR(A932)&lt;&gt;Settings!$C$4,"Not in "&amp;Settings!$C$4,IF(C932="","Category missing",IF(H932="",IF(COUNTIF(Categories!$A$6:$A$65,C932)&gt;0,"Category has no type","Category not in list"),IF(D932="","Amount missing",IF(NOT(ISNUMBER(D932)),"Amount is not a number",IF(F932="","",IF(ISNA(MATCH(F932,Lists!$G$2:$G$25,0)),"Goal / fund not in list",IF(H932="Income","Fund tag ignored on income","")))))))))))</f>
        <v/>
      </c>
    </row>
    <row r="933">
      <c r="A933" s="27" t="n"/>
      <c r="B933" s="23" t="n"/>
      <c r="C933" s="23" t="n"/>
      <c r="D933" s="28" t="n"/>
      <c r="E933" s="23" t="n"/>
      <c r="F933" s="23" t="n"/>
      <c r="G933" s="23" t="n"/>
      <c r="H933" s="29">
        <f>IF(C933="","",IFERROR(INDEX(Categories!$B$6:$B$65,MATCH(C933,Categories!$A$6:$A$65,0))&amp;"",""))</f>
        <v/>
      </c>
      <c r="I933" s="25">
        <f>IF(AND(A933="",C933="",D933=""),"",IF(A933="","Date missing",IF(NOT(ISNUMBER(A933)),"Date not recognized",IF(YEAR(A933)&lt;&gt;Settings!$C$4,"Not in "&amp;Settings!$C$4,IF(C933="","Category missing",IF(H933="",IF(COUNTIF(Categories!$A$6:$A$65,C933)&gt;0,"Category has no type","Category not in list"),IF(D933="","Amount missing",IF(NOT(ISNUMBER(D933)),"Amount is not a number",IF(F933="","",IF(ISNA(MATCH(F933,Lists!$G$2:$G$25,0)),"Goal / fund not in list",IF(H933="Income","Fund tag ignored on income","")))))))))))</f>
        <v/>
      </c>
    </row>
    <row r="934">
      <c r="A934" s="27" t="n"/>
      <c r="B934" s="23" t="n"/>
      <c r="C934" s="23" t="n"/>
      <c r="D934" s="28" t="n"/>
      <c r="E934" s="23" t="n"/>
      <c r="F934" s="23" t="n"/>
      <c r="G934" s="23" t="n"/>
      <c r="H934" s="29">
        <f>IF(C934="","",IFERROR(INDEX(Categories!$B$6:$B$65,MATCH(C934,Categories!$A$6:$A$65,0))&amp;"",""))</f>
        <v/>
      </c>
      <c r="I934" s="25">
        <f>IF(AND(A934="",C934="",D934=""),"",IF(A934="","Date missing",IF(NOT(ISNUMBER(A934)),"Date not recognized",IF(YEAR(A934)&lt;&gt;Settings!$C$4,"Not in "&amp;Settings!$C$4,IF(C934="","Category missing",IF(H934="",IF(COUNTIF(Categories!$A$6:$A$65,C934)&gt;0,"Category has no type","Category not in list"),IF(D934="","Amount missing",IF(NOT(ISNUMBER(D934)),"Amount is not a number",IF(F934="","",IF(ISNA(MATCH(F934,Lists!$G$2:$G$25,0)),"Goal / fund not in list",IF(H934="Income","Fund tag ignored on income","")))))))))))</f>
        <v/>
      </c>
    </row>
    <row r="935">
      <c r="A935" s="27" t="n"/>
      <c r="B935" s="23" t="n"/>
      <c r="C935" s="23" t="n"/>
      <c r="D935" s="28" t="n"/>
      <c r="E935" s="23" t="n"/>
      <c r="F935" s="23" t="n"/>
      <c r="G935" s="23" t="n"/>
      <c r="H935" s="29">
        <f>IF(C935="","",IFERROR(INDEX(Categories!$B$6:$B$65,MATCH(C935,Categories!$A$6:$A$65,0))&amp;"",""))</f>
        <v/>
      </c>
      <c r="I935" s="25">
        <f>IF(AND(A935="",C935="",D935=""),"",IF(A935="","Date missing",IF(NOT(ISNUMBER(A935)),"Date not recognized",IF(YEAR(A935)&lt;&gt;Settings!$C$4,"Not in "&amp;Settings!$C$4,IF(C935="","Category missing",IF(H935="",IF(COUNTIF(Categories!$A$6:$A$65,C935)&gt;0,"Category has no type","Category not in list"),IF(D935="","Amount missing",IF(NOT(ISNUMBER(D935)),"Amount is not a number",IF(F935="","",IF(ISNA(MATCH(F935,Lists!$G$2:$G$25,0)),"Goal / fund not in list",IF(H935="Income","Fund tag ignored on income","")))))))))))</f>
        <v/>
      </c>
    </row>
    <row r="936">
      <c r="A936" s="27" t="n"/>
      <c r="B936" s="23" t="n"/>
      <c r="C936" s="23" t="n"/>
      <c r="D936" s="28" t="n"/>
      <c r="E936" s="23" t="n"/>
      <c r="F936" s="23" t="n"/>
      <c r="G936" s="23" t="n"/>
      <c r="H936" s="29">
        <f>IF(C936="","",IFERROR(INDEX(Categories!$B$6:$B$65,MATCH(C936,Categories!$A$6:$A$65,0))&amp;"",""))</f>
        <v/>
      </c>
      <c r="I936" s="25">
        <f>IF(AND(A936="",C936="",D936=""),"",IF(A936="","Date missing",IF(NOT(ISNUMBER(A936)),"Date not recognized",IF(YEAR(A936)&lt;&gt;Settings!$C$4,"Not in "&amp;Settings!$C$4,IF(C936="","Category missing",IF(H936="",IF(COUNTIF(Categories!$A$6:$A$65,C936)&gt;0,"Category has no type","Category not in list"),IF(D936="","Amount missing",IF(NOT(ISNUMBER(D936)),"Amount is not a number",IF(F936="","",IF(ISNA(MATCH(F936,Lists!$G$2:$G$25,0)),"Goal / fund not in list",IF(H936="Income","Fund tag ignored on income","")))))))))))</f>
        <v/>
      </c>
    </row>
    <row r="937">
      <c r="A937" s="27" t="n"/>
      <c r="B937" s="23" t="n"/>
      <c r="C937" s="23" t="n"/>
      <c r="D937" s="28" t="n"/>
      <c r="E937" s="23" t="n"/>
      <c r="F937" s="23" t="n"/>
      <c r="G937" s="23" t="n"/>
      <c r="H937" s="29">
        <f>IF(C937="","",IFERROR(INDEX(Categories!$B$6:$B$65,MATCH(C937,Categories!$A$6:$A$65,0))&amp;"",""))</f>
        <v/>
      </c>
      <c r="I937" s="25">
        <f>IF(AND(A937="",C937="",D937=""),"",IF(A937="","Date missing",IF(NOT(ISNUMBER(A937)),"Date not recognized",IF(YEAR(A937)&lt;&gt;Settings!$C$4,"Not in "&amp;Settings!$C$4,IF(C937="","Category missing",IF(H937="",IF(COUNTIF(Categories!$A$6:$A$65,C937)&gt;0,"Category has no type","Category not in list"),IF(D937="","Amount missing",IF(NOT(ISNUMBER(D937)),"Amount is not a number",IF(F937="","",IF(ISNA(MATCH(F937,Lists!$G$2:$G$25,0)),"Goal / fund not in list",IF(H937="Income","Fund tag ignored on income","")))))))))))</f>
        <v/>
      </c>
    </row>
    <row r="938">
      <c r="A938" s="27" t="n"/>
      <c r="B938" s="23" t="n"/>
      <c r="C938" s="23" t="n"/>
      <c r="D938" s="28" t="n"/>
      <c r="E938" s="23" t="n"/>
      <c r="F938" s="23" t="n"/>
      <c r="G938" s="23" t="n"/>
      <c r="H938" s="29">
        <f>IF(C938="","",IFERROR(INDEX(Categories!$B$6:$B$65,MATCH(C938,Categories!$A$6:$A$65,0))&amp;"",""))</f>
        <v/>
      </c>
      <c r="I938" s="25">
        <f>IF(AND(A938="",C938="",D938=""),"",IF(A938="","Date missing",IF(NOT(ISNUMBER(A938)),"Date not recognized",IF(YEAR(A938)&lt;&gt;Settings!$C$4,"Not in "&amp;Settings!$C$4,IF(C938="","Category missing",IF(H938="",IF(COUNTIF(Categories!$A$6:$A$65,C938)&gt;0,"Category has no type","Category not in list"),IF(D938="","Amount missing",IF(NOT(ISNUMBER(D938)),"Amount is not a number",IF(F938="","",IF(ISNA(MATCH(F938,Lists!$G$2:$G$25,0)),"Goal / fund not in list",IF(H938="Income","Fund tag ignored on income","")))))))))))</f>
        <v/>
      </c>
    </row>
    <row r="939">
      <c r="A939" s="27" t="n"/>
      <c r="B939" s="23" t="n"/>
      <c r="C939" s="23" t="n"/>
      <c r="D939" s="28" t="n"/>
      <c r="E939" s="23" t="n"/>
      <c r="F939" s="23" t="n"/>
      <c r="G939" s="23" t="n"/>
      <c r="H939" s="29">
        <f>IF(C939="","",IFERROR(INDEX(Categories!$B$6:$B$65,MATCH(C939,Categories!$A$6:$A$65,0))&amp;"",""))</f>
        <v/>
      </c>
      <c r="I939" s="25">
        <f>IF(AND(A939="",C939="",D939=""),"",IF(A939="","Date missing",IF(NOT(ISNUMBER(A939)),"Date not recognized",IF(YEAR(A939)&lt;&gt;Settings!$C$4,"Not in "&amp;Settings!$C$4,IF(C939="","Category missing",IF(H939="",IF(COUNTIF(Categories!$A$6:$A$65,C939)&gt;0,"Category has no type","Category not in list"),IF(D939="","Amount missing",IF(NOT(ISNUMBER(D939)),"Amount is not a number",IF(F939="","",IF(ISNA(MATCH(F939,Lists!$G$2:$G$25,0)),"Goal / fund not in list",IF(H939="Income","Fund tag ignored on income","")))))))))))</f>
        <v/>
      </c>
    </row>
    <row r="940">
      <c r="A940" s="27" t="n"/>
      <c r="B940" s="23" t="n"/>
      <c r="C940" s="23" t="n"/>
      <c r="D940" s="28" t="n"/>
      <c r="E940" s="23" t="n"/>
      <c r="F940" s="23" t="n"/>
      <c r="G940" s="23" t="n"/>
      <c r="H940" s="29">
        <f>IF(C940="","",IFERROR(INDEX(Categories!$B$6:$B$65,MATCH(C940,Categories!$A$6:$A$65,0))&amp;"",""))</f>
        <v/>
      </c>
      <c r="I940" s="25">
        <f>IF(AND(A940="",C940="",D940=""),"",IF(A940="","Date missing",IF(NOT(ISNUMBER(A940)),"Date not recognized",IF(YEAR(A940)&lt;&gt;Settings!$C$4,"Not in "&amp;Settings!$C$4,IF(C940="","Category missing",IF(H940="",IF(COUNTIF(Categories!$A$6:$A$65,C940)&gt;0,"Category has no type","Category not in list"),IF(D940="","Amount missing",IF(NOT(ISNUMBER(D940)),"Amount is not a number",IF(F940="","",IF(ISNA(MATCH(F940,Lists!$G$2:$G$25,0)),"Goal / fund not in list",IF(H940="Income","Fund tag ignored on income","")))))))))))</f>
        <v/>
      </c>
    </row>
    <row r="941">
      <c r="A941" s="27" t="n"/>
      <c r="B941" s="23" t="n"/>
      <c r="C941" s="23" t="n"/>
      <c r="D941" s="28" t="n"/>
      <c r="E941" s="23" t="n"/>
      <c r="F941" s="23" t="n"/>
      <c r="G941" s="23" t="n"/>
      <c r="H941" s="29">
        <f>IF(C941="","",IFERROR(INDEX(Categories!$B$6:$B$65,MATCH(C941,Categories!$A$6:$A$65,0))&amp;"",""))</f>
        <v/>
      </c>
      <c r="I941" s="25">
        <f>IF(AND(A941="",C941="",D941=""),"",IF(A941="","Date missing",IF(NOT(ISNUMBER(A941)),"Date not recognized",IF(YEAR(A941)&lt;&gt;Settings!$C$4,"Not in "&amp;Settings!$C$4,IF(C941="","Category missing",IF(H941="",IF(COUNTIF(Categories!$A$6:$A$65,C941)&gt;0,"Category has no type","Category not in list"),IF(D941="","Amount missing",IF(NOT(ISNUMBER(D941)),"Amount is not a number",IF(F941="","",IF(ISNA(MATCH(F941,Lists!$G$2:$G$25,0)),"Goal / fund not in list",IF(H941="Income","Fund tag ignored on income","")))))))))))</f>
        <v/>
      </c>
    </row>
    <row r="942">
      <c r="A942" s="27" t="n"/>
      <c r="B942" s="23" t="n"/>
      <c r="C942" s="23" t="n"/>
      <c r="D942" s="28" t="n"/>
      <c r="E942" s="23" t="n"/>
      <c r="F942" s="23" t="n"/>
      <c r="G942" s="23" t="n"/>
      <c r="H942" s="29">
        <f>IF(C942="","",IFERROR(INDEX(Categories!$B$6:$B$65,MATCH(C942,Categories!$A$6:$A$65,0))&amp;"",""))</f>
        <v/>
      </c>
      <c r="I942" s="25">
        <f>IF(AND(A942="",C942="",D942=""),"",IF(A942="","Date missing",IF(NOT(ISNUMBER(A942)),"Date not recognized",IF(YEAR(A942)&lt;&gt;Settings!$C$4,"Not in "&amp;Settings!$C$4,IF(C942="","Category missing",IF(H942="",IF(COUNTIF(Categories!$A$6:$A$65,C942)&gt;0,"Category has no type","Category not in list"),IF(D942="","Amount missing",IF(NOT(ISNUMBER(D942)),"Amount is not a number",IF(F942="","",IF(ISNA(MATCH(F942,Lists!$G$2:$G$25,0)),"Goal / fund not in list",IF(H942="Income","Fund tag ignored on income","")))))))))))</f>
        <v/>
      </c>
    </row>
    <row r="943">
      <c r="A943" s="27" t="n"/>
      <c r="B943" s="23" t="n"/>
      <c r="C943" s="23" t="n"/>
      <c r="D943" s="28" t="n"/>
      <c r="E943" s="23" t="n"/>
      <c r="F943" s="23" t="n"/>
      <c r="G943" s="23" t="n"/>
      <c r="H943" s="29">
        <f>IF(C943="","",IFERROR(INDEX(Categories!$B$6:$B$65,MATCH(C943,Categories!$A$6:$A$65,0))&amp;"",""))</f>
        <v/>
      </c>
      <c r="I943" s="25">
        <f>IF(AND(A943="",C943="",D943=""),"",IF(A943="","Date missing",IF(NOT(ISNUMBER(A943)),"Date not recognized",IF(YEAR(A943)&lt;&gt;Settings!$C$4,"Not in "&amp;Settings!$C$4,IF(C943="","Category missing",IF(H943="",IF(COUNTIF(Categories!$A$6:$A$65,C943)&gt;0,"Category has no type","Category not in list"),IF(D943="","Amount missing",IF(NOT(ISNUMBER(D943)),"Amount is not a number",IF(F943="","",IF(ISNA(MATCH(F943,Lists!$G$2:$G$25,0)),"Goal / fund not in list",IF(H943="Income","Fund tag ignored on income","")))))))))))</f>
        <v/>
      </c>
    </row>
    <row r="944">
      <c r="A944" s="27" t="n"/>
      <c r="B944" s="23" t="n"/>
      <c r="C944" s="23" t="n"/>
      <c r="D944" s="28" t="n"/>
      <c r="E944" s="23" t="n"/>
      <c r="F944" s="23" t="n"/>
      <c r="G944" s="23" t="n"/>
      <c r="H944" s="29">
        <f>IF(C944="","",IFERROR(INDEX(Categories!$B$6:$B$65,MATCH(C944,Categories!$A$6:$A$65,0))&amp;"",""))</f>
        <v/>
      </c>
      <c r="I944" s="25">
        <f>IF(AND(A944="",C944="",D944=""),"",IF(A944="","Date missing",IF(NOT(ISNUMBER(A944)),"Date not recognized",IF(YEAR(A944)&lt;&gt;Settings!$C$4,"Not in "&amp;Settings!$C$4,IF(C944="","Category missing",IF(H944="",IF(COUNTIF(Categories!$A$6:$A$65,C944)&gt;0,"Category has no type","Category not in list"),IF(D944="","Amount missing",IF(NOT(ISNUMBER(D944)),"Amount is not a number",IF(F944="","",IF(ISNA(MATCH(F944,Lists!$G$2:$G$25,0)),"Goal / fund not in list",IF(H944="Income","Fund tag ignored on income","")))))))))))</f>
        <v/>
      </c>
    </row>
    <row r="945">
      <c r="A945" s="27" t="n"/>
      <c r="B945" s="23" t="n"/>
      <c r="C945" s="23" t="n"/>
      <c r="D945" s="28" t="n"/>
      <c r="E945" s="23" t="n"/>
      <c r="F945" s="23" t="n"/>
      <c r="G945" s="23" t="n"/>
      <c r="H945" s="29">
        <f>IF(C945="","",IFERROR(INDEX(Categories!$B$6:$B$65,MATCH(C945,Categories!$A$6:$A$65,0))&amp;"",""))</f>
        <v/>
      </c>
      <c r="I945" s="25">
        <f>IF(AND(A945="",C945="",D945=""),"",IF(A945="","Date missing",IF(NOT(ISNUMBER(A945)),"Date not recognized",IF(YEAR(A945)&lt;&gt;Settings!$C$4,"Not in "&amp;Settings!$C$4,IF(C945="","Category missing",IF(H945="",IF(COUNTIF(Categories!$A$6:$A$65,C945)&gt;0,"Category has no type","Category not in list"),IF(D945="","Amount missing",IF(NOT(ISNUMBER(D945)),"Amount is not a number",IF(F945="","",IF(ISNA(MATCH(F945,Lists!$G$2:$G$25,0)),"Goal / fund not in list",IF(H945="Income","Fund tag ignored on income","")))))))))))</f>
        <v/>
      </c>
    </row>
    <row r="946">
      <c r="A946" s="27" t="n"/>
      <c r="B946" s="23" t="n"/>
      <c r="C946" s="23" t="n"/>
      <c r="D946" s="28" t="n"/>
      <c r="E946" s="23" t="n"/>
      <c r="F946" s="23" t="n"/>
      <c r="G946" s="23" t="n"/>
      <c r="H946" s="29">
        <f>IF(C946="","",IFERROR(INDEX(Categories!$B$6:$B$65,MATCH(C946,Categories!$A$6:$A$65,0))&amp;"",""))</f>
        <v/>
      </c>
      <c r="I946" s="25">
        <f>IF(AND(A946="",C946="",D946=""),"",IF(A946="","Date missing",IF(NOT(ISNUMBER(A946)),"Date not recognized",IF(YEAR(A946)&lt;&gt;Settings!$C$4,"Not in "&amp;Settings!$C$4,IF(C946="","Category missing",IF(H946="",IF(COUNTIF(Categories!$A$6:$A$65,C946)&gt;0,"Category has no type","Category not in list"),IF(D946="","Amount missing",IF(NOT(ISNUMBER(D946)),"Amount is not a number",IF(F946="","",IF(ISNA(MATCH(F946,Lists!$G$2:$G$25,0)),"Goal / fund not in list",IF(H946="Income","Fund tag ignored on income","")))))))))))</f>
        <v/>
      </c>
    </row>
    <row r="947">
      <c r="A947" s="27" t="n"/>
      <c r="B947" s="23" t="n"/>
      <c r="C947" s="23" t="n"/>
      <c r="D947" s="28" t="n"/>
      <c r="E947" s="23" t="n"/>
      <c r="F947" s="23" t="n"/>
      <c r="G947" s="23" t="n"/>
      <c r="H947" s="29">
        <f>IF(C947="","",IFERROR(INDEX(Categories!$B$6:$B$65,MATCH(C947,Categories!$A$6:$A$65,0))&amp;"",""))</f>
        <v/>
      </c>
      <c r="I947" s="25">
        <f>IF(AND(A947="",C947="",D947=""),"",IF(A947="","Date missing",IF(NOT(ISNUMBER(A947)),"Date not recognized",IF(YEAR(A947)&lt;&gt;Settings!$C$4,"Not in "&amp;Settings!$C$4,IF(C947="","Category missing",IF(H947="",IF(COUNTIF(Categories!$A$6:$A$65,C947)&gt;0,"Category has no type","Category not in list"),IF(D947="","Amount missing",IF(NOT(ISNUMBER(D947)),"Amount is not a number",IF(F947="","",IF(ISNA(MATCH(F947,Lists!$G$2:$G$25,0)),"Goal / fund not in list",IF(H947="Income","Fund tag ignored on income","")))))))))))</f>
        <v/>
      </c>
    </row>
    <row r="948">
      <c r="A948" s="27" t="n"/>
      <c r="B948" s="23" t="n"/>
      <c r="C948" s="23" t="n"/>
      <c r="D948" s="28" t="n"/>
      <c r="E948" s="23" t="n"/>
      <c r="F948" s="23" t="n"/>
      <c r="G948" s="23" t="n"/>
      <c r="H948" s="29">
        <f>IF(C948="","",IFERROR(INDEX(Categories!$B$6:$B$65,MATCH(C948,Categories!$A$6:$A$65,0))&amp;"",""))</f>
        <v/>
      </c>
      <c r="I948" s="25">
        <f>IF(AND(A948="",C948="",D948=""),"",IF(A948="","Date missing",IF(NOT(ISNUMBER(A948)),"Date not recognized",IF(YEAR(A948)&lt;&gt;Settings!$C$4,"Not in "&amp;Settings!$C$4,IF(C948="","Category missing",IF(H948="",IF(COUNTIF(Categories!$A$6:$A$65,C948)&gt;0,"Category has no type","Category not in list"),IF(D948="","Amount missing",IF(NOT(ISNUMBER(D948)),"Amount is not a number",IF(F948="","",IF(ISNA(MATCH(F948,Lists!$G$2:$G$25,0)),"Goal / fund not in list",IF(H948="Income","Fund tag ignored on income","")))))))))))</f>
        <v/>
      </c>
    </row>
    <row r="949">
      <c r="A949" s="27" t="n"/>
      <c r="B949" s="23" t="n"/>
      <c r="C949" s="23" t="n"/>
      <c r="D949" s="28" t="n"/>
      <c r="E949" s="23" t="n"/>
      <c r="F949" s="23" t="n"/>
      <c r="G949" s="23" t="n"/>
      <c r="H949" s="29">
        <f>IF(C949="","",IFERROR(INDEX(Categories!$B$6:$B$65,MATCH(C949,Categories!$A$6:$A$65,0))&amp;"",""))</f>
        <v/>
      </c>
      <c r="I949" s="25">
        <f>IF(AND(A949="",C949="",D949=""),"",IF(A949="","Date missing",IF(NOT(ISNUMBER(A949)),"Date not recognized",IF(YEAR(A949)&lt;&gt;Settings!$C$4,"Not in "&amp;Settings!$C$4,IF(C949="","Category missing",IF(H949="",IF(COUNTIF(Categories!$A$6:$A$65,C949)&gt;0,"Category has no type","Category not in list"),IF(D949="","Amount missing",IF(NOT(ISNUMBER(D949)),"Amount is not a number",IF(F949="","",IF(ISNA(MATCH(F949,Lists!$G$2:$G$25,0)),"Goal / fund not in list",IF(H949="Income","Fund tag ignored on income","")))))))))))</f>
        <v/>
      </c>
    </row>
    <row r="950">
      <c r="A950" s="27" t="n"/>
      <c r="B950" s="23" t="n"/>
      <c r="C950" s="23" t="n"/>
      <c r="D950" s="28" t="n"/>
      <c r="E950" s="23" t="n"/>
      <c r="F950" s="23" t="n"/>
      <c r="G950" s="23" t="n"/>
      <c r="H950" s="29">
        <f>IF(C950="","",IFERROR(INDEX(Categories!$B$6:$B$65,MATCH(C950,Categories!$A$6:$A$65,0))&amp;"",""))</f>
        <v/>
      </c>
      <c r="I950" s="25">
        <f>IF(AND(A950="",C950="",D950=""),"",IF(A950="","Date missing",IF(NOT(ISNUMBER(A950)),"Date not recognized",IF(YEAR(A950)&lt;&gt;Settings!$C$4,"Not in "&amp;Settings!$C$4,IF(C950="","Category missing",IF(H950="",IF(COUNTIF(Categories!$A$6:$A$65,C950)&gt;0,"Category has no type","Category not in list"),IF(D950="","Amount missing",IF(NOT(ISNUMBER(D950)),"Amount is not a number",IF(F950="","",IF(ISNA(MATCH(F950,Lists!$G$2:$G$25,0)),"Goal / fund not in list",IF(H950="Income","Fund tag ignored on income","")))))))))))</f>
        <v/>
      </c>
    </row>
    <row r="951">
      <c r="A951" s="27" t="n"/>
      <c r="B951" s="23" t="n"/>
      <c r="C951" s="23" t="n"/>
      <c r="D951" s="28" t="n"/>
      <c r="E951" s="23" t="n"/>
      <c r="F951" s="23" t="n"/>
      <c r="G951" s="23" t="n"/>
      <c r="H951" s="29">
        <f>IF(C951="","",IFERROR(INDEX(Categories!$B$6:$B$65,MATCH(C951,Categories!$A$6:$A$65,0))&amp;"",""))</f>
        <v/>
      </c>
      <c r="I951" s="25">
        <f>IF(AND(A951="",C951="",D951=""),"",IF(A951="","Date missing",IF(NOT(ISNUMBER(A951)),"Date not recognized",IF(YEAR(A951)&lt;&gt;Settings!$C$4,"Not in "&amp;Settings!$C$4,IF(C951="","Category missing",IF(H951="",IF(COUNTIF(Categories!$A$6:$A$65,C951)&gt;0,"Category has no type","Category not in list"),IF(D951="","Amount missing",IF(NOT(ISNUMBER(D951)),"Amount is not a number",IF(F951="","",IF(ISNA(MATCH(F951,Lists!$G$2:$G$25,0)),"Goal / fund not in list",IF(H951="Income","Fund tag ignored on income","")))))))))))</f>
        <v/>
      </c>
    </row>
    <row r="952">
      <c r="A952" s="27" t="n"/>
      <c r="B952" s="23" t="n"/>
      <c r="C952" s="23" t="n"/>
      <c r="D952" s="28" t="n"/>
      <c r="E952" s="23" t="n"/>
      <c r="F952" s="23" t="n"/>
      <c r="G952" s="23" t="n"/>
      <c r="H952" s="29">
        <f>IF(C952="","",IFERROR(INDEX(Categories!$B$6:$B$65,MATCH(C952,Categories!$A$6:$A$65,0))&amp;"",""))</f>
        <v/>
      </c>
      <c r="I952" s="25">
        <f>IF(AND(A952="",C952="",D952=""),"",IF(A952="","Date missing",IF(NOT(ISNUMBER(A952)),"Date not recognized",IF(YEAR(A952)&lt;&gt;Settings!$C$4,"Not in "&amp;Settings!$C$4,IF(C952="","Category missing",IF(H952="",IF(COUNTIF(Categories!$A$6:$A$65,C952)&gt;0,"Category has no type","Category not in list"),IF(D952="","Amount missing",IF(NOT(ISNUMBER(D952)),"Amount is not a number",IF(F952="","",IF(ISNA(MATCH(F952,Lists!$G$2:$G$25,0)),"Goal / fund not in list",IF(H952="Income","Fund tag ignored on income","")))))))))))</f>
        <v/>
      </c>
    </row>
    <row r="953">
      <c r="A953" s="27" t="n"/>
      <c r="B953" s="23" t="n"/>
      <c r="C953" s="23" t="n"/>
      <c r="D953" s="28" t="n"/>
      <c r="E953" s="23" t="n"/>
      <c r="F953" s="23" t="n"/>
      <c r="G953" s="23" t="n"/>
      <c r="H953" s="29">
        <f>IF(C953="","",IFERROR(INDEX(Categories!$B$6:$B$65,MATCH(C953,Categories!$A$6:$A$65,0))&amp;"",""))</f>
        <v/>
      </c>
      <c r="I953" s="25">
        <f>IF(AND(A953="",C953="",D953=""),"",IF(A953="","Date missing",IF(NOT(ISNUMBER(A953)),"Date not recognized",IF(YEAR(A953)&lt;&gt;Settings!$C$4,"Not in "&amp;Settings!$C$4,IF(C953="","Category missing",IF(H953="",IF(COUNTIF(Categories!$A$6:$A$65,C953)&gt;0,"Category has no type","Category not in list"),IF(D953="","Amount missing",IF(NOT(ISNUMBER(D953)),"Amount is not a number",IF(F953="","",IF(ISNA(MATCH(F953,Lists!$G$2:$G$25,0)),"Goal / fund not in list",IF(H953="Income","Fund tag ignored on income","")))))))))))</f>
        <v/>
      </c>
    </row>
    <row r="954">
      <c r="A954" s="27" t="n"/>
      <c r="B954" s="23" t="n"/>
      <c r="C954" s="23" t="n"/>
      <c r="D954" s="28" t="n"/>
      <c r="E954" s="23" t="n"/>
      <c r="F954" s="23" t="n"/>
      <c r="G954" s="23" t="n"/>
      <c r="H954" s="29">
        <f>IF(C954="","",IFERROR(INDEX(Categories!$B$6:$B$65,MATCH(C954,Categories!$A$6:$A$65,0))&amp;"",""))</f>
        <v/>
      </c>
      <c r="I954" s="25">
        <f>IF(AND(A954="",C954="",D954=""),"",IF(A954="","Date missing",IF(NOT(ISNUMBER(A954)),"Date not recognized",IF(YEAR(A954)&lt;&gt;Settings!$C$4,"Not in "&amp;Settings!$C$4,IF(C954="","Category missing",IF(H954="",IF(COUNTIF(Categories!$A$6:$A$65,C954)&gt;0,"Category has no type","Category not in list"),IF(D954="","Amount missing",IF(NOT(ISNUMBER(D954)),"Amount is not a number",IF(F954="","",IF(ISNA(MATCH(F954,Lists!$G$2:$G$25,0)),"Goal / fund not in list",IF(H954="Income","Fund tag ignored on income","")))))))))))</f>
        <v/>
      </c>
    </row>
    <row r="955">
      <c r="A955" s="27" t="n"/>
      <c r="B955" s="23" t="n"/>
      <c r="C955" s="23" t="n"/>
      <c r="D955" s="28" t="n"/>
      <c r="E955" s="23" t="n"/>
      <c r="F955" s="23" t="n"/>
      <c r="G955" s="23" t="n"/>
      <c r="H955" s="29">
        <f>IF(C955="","",IFERROR(INDEX(Categories!$B$6:$B$65,MATCH(C955,Categories!$A$6:$A$65,0))&amp;"",""))</f>
        <v/>
      </c>
      <c r="I955" s="25">
        <f>IF(AND(A955="",C955="",D955=""),"",IF(A955="","Date missing",IF(NOT(ISNUMBER(A955)),"Date not recognized",IF(YEAR(A955)&lt;&gt;Settings!$C$4,"Not in "&amp;Settings!$C$4,IF(C955="","Category missing",IF(H955="",IF(COUNTIF(Categories!$A$6:$A$65,C955)&gt;0,"Category has no type","Category not in list"),IF(D955="","Amount missing",IF(NOT(ISNUMBER(D955)),"Amount is not a number",IF(F955="","",IF(ISNA(MATCH(F955,Lists!$G$2:$G$25,0)),"Goal / fund not in list",IF(H955="Income","Fund tag ignored on income","")))))))))))</f>
        <v/>
      </c>
    </row>
    <row r="956">
      <c r="A956" s="27" t="n"/>
      <c r="B956" s="23" t="n"/>
      <c r="C956" s="23" t="n"/>
      <c r="D956" s="28" t="n"/>
      <c r="E956" s="23" t="n"/>
      <c r="F956" s="23" t="n"/>
      <c r="G956" s="23" t="n"/>
      <c r="H956" s="29">
        <f>IF(C956="","",IFERROR(INDEX(Categories!$B$6:$B$65,MATCH(C956,Categories!$A$6:$A$65,0))&amp;"",""))</f>
        <v/>
      </c>
      <c r="I956" s="25">
        <f>IF(AND(A956="",C956="",D956=""),"",IF(A956="","Date missing",IF(NOT(ISNUMBER(A956)),"Date not recognized",IF(YEAR(A956)&lt;&gt;Settings!$C$4,"Not in "&amp;Settings!$C$4,IF(C956="","Category missing",IF(H956="",IF(COUNTIF(Categories!$A$6:$A$65,C956)&gt;0,"Category has no type","Category not in list"),IF(D956="","Amount missing",IF(NOT(ISNUMBER(D956)),"Amount is not a number",IF(F956="","",IF(ISNA(MATCH(F956,Lists!$G$2:$G$25,0)),"Goal / fund not in list",IF(H956="Income","Fund tag ignored on income","")))))))))))</f>
        <v/>
      </c>
    </row>
    <row r="957">
      <c r="A957" s="27" t="n"/>
      <c r="B957" s="23" t="n"/>
      <c r="C957" s="23" t="n"/>
      <c r="D957" s="28" t="n"/>
      <c r="E957" s="23" t="n"/>
      <c r="F957" s="23" t="n"/>
      <c r="G957" s="23" t="n"/>
      <c r="H957" s="29">
        <f>IF(C957="","",IFERROR(INDEX(Categories!$B$6:$B$65,MATCH(C957,Categories!$A$6:$A$65,0))&amp;"",""))</f>
        <v/>
      </c>
      <c r="I957" s="25">
        <f>IF(AND(A957="",C957="",D957=""),"",IF(A957="","Date missing",IF(NOT(ISNUMBER(A957)),"Date not recognized",IF(YEAR(A957)&lt;&gt;Settings!$C$4,"Not in "&amp;Settings!$C$4,IF(C957="","Category missing",IF(H957="",IF(COUNTIF(Categories!$A$6:$A$65,C957)&gt;0,"Category has no type","Category not in list"),IF(D957="","Amount missing",IF(NOT(ISNUMBER(D957)),"Amount is not a number",IF(F957="","",IF(ISNA(MATCH(F957,Lists!$G$2:$G$25,0)),"Goal / fund not in list",IF(H957="Income","Fund tag ignored on income","")))))))))))</f>
        <v/>
      </c>
    </row>
    <row r="958">
      <c r="A958" s="27" t="n"/>
      <c r="B958" s="23" t="n"/>
      <c r="C958" s="23" t="n"/>
      <c r="D958" s="28" t="n"/>
      <c r="E958" s="23" t="n"/>
      <c r="F958" s="23" t="n"/>
      <c r="G958" s="23" t="n"/>
      <c r="H958" s="29">
        <f>IF(C958="","",IFERROR(INDEX(Categories!$B$6:$B$65,MATCH(C958,Categories!$A$6:$A$65,0))&amp;"",""))</f>
        <v/>
      </c>
      <c r="I958" s="25">
        <f>IF(AND(A958="",C958="",D958=""),"",IF(A958="","Date missing",IF(NOT(ISNUMBER(A958)),"Date not recognized",IF(YEAR(A958)&lt;&gt;Settings!$C$4,"Not in "&amp;Settings!$C$4,IF(C958="","Category missing",IF(H958="",IF(COUNTIF(Categories!$A$6:$A$65,C958)&gt;0,"Category has no type","Category not in list"),IF(D958="","Amount missing",IF(NOT(ISNUMBER(D958)),"Amount is not a number",IF(F958="","",IF(ISNA(MATCH(F958,Lists!$G$2:$G$25,0)),"Goal / fund not in list",IF(H958="Income","Fund tag ignored on income","")))))))))))</f>
        <v/>
      </c>
    </row>
    <row r="959">
      <c r="A959" s="27" t="n"/>
      <c r="B959" s="23" t="n"/>
      <c r="C959" s="23" t="n"/>
      <c r="D959" s="28" t="n"/>
      <c r="E959" s="23" t="n"/>
      <c r="F959" s="23" t="n"/>
      <c r="G959" s="23" t="n"/>
      <c r="H959" s="29">
        <f>IF(C959="","",IFERROR(INDEX(Categories!$B$6:$B$65,MATCH(C959,Categories!$A$6:$A$65,0))&amp;"",""))</f>
        <v/>
      </c>
      <c r="I959" s="25">
        <f>IF(AND(A959="",C959="",D959=""),"",IF(A959="","Date missing",IF(NOT(ISNUMBER(A959)),"Date not recognized",IF(YEAR(A959)&lt;&gt;Settings!$C$4,"Not in "&amp;Settings!$C$4,IF(C959="","Category missing",IF(H959="",IF(COUNTIF(Categories!$A$6:$A$65,C959)&gt;0,"Category has no type","Category not in list"),IF(D959="","Amount missing",IF(NOT(ISNUMBER(D959)),"Amount is not a number",IF(F959="","",IF(ISNA(MATCH(F959,Lists!$G$2:$G$25,0)),"Goal / fund not in list",IF(H959="Income","Fund tag ignored on income","")))))))))))</f>
        <v/>
      </c>
    </row>
    <row r="960">
      <c r="A960" s="27" t="n"/>
      <c r="B960" s="23" t="n"/>
      <c r="C960" s="23" t="n"/>
      <c r="D960" s="28" t="n"/>
      <c r="E960" s="23" t="n"/>
      <c r="F960" s="23" t="n"/>
      <c r="G960" s="23" t="n"/>
      <c r="H960" s="29">
        <f>IF(C960="","",IFERROR(INDEX(Categories!$B$6:$B$65,MATCH(C960,Categories!$A$6:$A$65,0))&amp;"",""))</f>
        <v/>
      </c>
      <c r="I960" s="25">
        <f>IF(AND(A960="",C960="",D960=""),"",IF(A960="","Date missing",IF(NOT(ISNUMBER(A960)),"Date not recognized",IF(YEAR(A960)&lt;&gt;Settings!$C$4,"Not in "&amp;Settings!$C$4,IF(C960="","Category missing",IF(H960="",IF(COUNTIF(Categories!$A$6:$A$65,C960)&gt;0,"Category has no type","Category not in list"),IF(D960="","Amount missing",IF(NOT(ISNUMBER(D960)),"Amount is not a number",IF(F960="","",IF(ISNA(MATCH(F960,Lists!$G$2:$G$25,0)),"Goal / fund not in list",IF(H960="Income","Fund tag ignored on income","")))))))))))</f>
        <v/>
      </c>
    </row>
    <row r="961">
      <c r="A961" s="27" t="n"/>
      <c r="B961" s="23" t="n"/>
      <c r="C961" s="23" t="n"/>
      <c r="D961" s="28" t="n"/>
      <c r="E961" s="23" t="n"/>
      <c r="F961" s="23" t="n"/>
      <c r="G961" s="23" t="n"/>
      <c r="H961" s="29">
        <f>IF(C961="","",IFERROR(INDEX(Categories!$B$6:$B$65,MATCH(C961,Categories!$A$6:$A$65,0))&amp;"",""))</f>
        <v/>
      </c>
      <c r="I961" s="25">
        <f>IF(AND(A961="",C961="",D961=""),"",IF(A961="","Date missing",IF(NOT(ISNUMBER(A961)),"Date not recognized",IF(YEAR(A961)&lt;&gt;Settings!$C$4,"Not in "&amp;Settings!$C$4,IF(C961="","Category missing",IF(H961="",IF(COUNTIF(Categories!$A$6:$A$65,C961)&gt;0,"Category has no type","Category not in list"),IF(D961="","Amount missing",IF(NOT(ISNUMBER(D961)),"Amount is not a number",IF(F961="","",IF(ISNA(MATCH(F961,Lists!$G$2:$G$25,0)),"Goal / fund not in list",IF(H961="Income","Fund tag ignored on income","")))))))))))</f>
        <v/>
      </c>
    </row>
    <row r="962">
      <c r="A962" s="27" t="n"/>
      <c r="B962" s="23" t="n"/>
      <c r="C962" s="23" t="n"/>
      <c r="D962" s="28" t="n"/>
      <c r="E962" s="23" t="n"/>
      <c r="F962" s="23" t="n"/>
      <c r="G962" s="23" t="n"/>
      <c r="H962" s="29">
        <f>IF(C962="","",IFERROR(INDEX(Categories!$B$6:$B$65,MATCH(C962,Categories!$A$6:$A$65,0))&amp;"",""))</f>
        <v/>
      </c>
      <c r="I962" s="25">
        <f>IF(AND(A962="",C962="",D962=""),"",IF(A962="","Date missing",IF(NOT(ISNUMBER(A962)),"Date not recognized",IF(YEAR(A962)&lt;&gt;Settings!$C$4,"Not in "&amp;Settings!$C$4,IF(C962="","Category missing",IF(H962="",IF(COUNTIF(Categories!$A$6:$A$65,C962)&gt;0,"Category has no type","Category not in list"),IF(D962="","Amount missing",IF(NOT(ISNUMBER(D962)),"Amount is not a number",IF(F962="","",IF(ISNA(MATCH(F962,Lists!$G$2:$G$25,0)),"Goal / fund not in list",IF(H962="Income","Fund tag ignored on income","")))))))))))</f>
        <v/>
      </c>
    </row>
    <row r="963">
      <c r="A963" s="27" t="n"/>
      <c r="B963" s="23" t="n"/>
      <c r="C963" s="23" t="n"/>
      <c r="D963" s="28" t="n"/>
      <c r="E963" s="23" t="n"/>
      <c r="F963" s="23" t="n"/>
      <c r="G963" s="23" t="n"/>
      <c r="H963" s="29">
        <f>IF(C963="","",IFERROR(INDEX(Categories!$B$6:$B$65,MATCH(C963,Categories!$A$6:$A$65,0))&amp;"",""))</f>
        <v/>
      </c>
      <c r="I963" s="25">
        <f>IF(AND(A963="",C963="",D963=""),"",IF(A963="","Date missing",IF(NOT(ISNUMBER(A963)),"Date not recognized",IF(YEAR(A963)&lt;&gt;Settings!$C$4,"Not in "&amp;Settings!$C$4,IF(C963="","Category missing",IF(H963="",IF(COUNTIF(Categories!$A$6:$A$65,C963)&gt;0,"Category has no type","Category not in list"),IF(D963="","Amount missing",IF(NOT(ISNUMBER(D963)),"Amount is not a number",IF(F963="","",IF(ISNA(MATCH(F963,Lists!$G$2:$G$25,0)),"Goal / fund not in list",IF(H963="Income","Fund tag ignored on income","")))))))))))</f>
        <v/>
      </c>
    </row>
    <row r="964">
      <c r="A964" s="27" t="n"/>
      <c r="B964" s="23" t="n"/>
      <c r="C964" s="23" t="n"/>
      <c r="D964" s="28" t="n"/>
      <c r="E964" s="23" t="n"/>
      <c r="F964" s="23" t="n"/>
      <c r="G964" s="23" t="n"/>
      <c r="H964" s="29">
        <f>IF(C964="","",IFERROR(INDEX(Categories!$B$6:$B$65,MATCH(C964,Categories!$A$6:$A$65,0))&amp;"",""))</f>
        <v/>
      </c>
      <c r="I964" s="25">
        <f>IF(AND(A964="",C964="",D964=""),"",IF(A964="","Date missing",IF(NOT(ISNUMBER(A964)),"Date not recognized",IF(YEAR(A964)&lt;&gt;Settings!$C$4,"Not in "&amp;Settings!$C$4,IF(C964="","Category missing",IF(H964="",IF(COUNTIF(Categories!$A$6:$A$65,C964)&gt;0,"Category has no type","Category not in list"),IF(D964="","Amount missing",IF(NOT(ISNUMBER(D964)),"Amount is not a number",IF(F964="","",IF(ISNA(MATCH(F964,Lists!$G$2:$G$25,0)),"Goal / fund not in list",IF(H964="Income","Fund tag ignored on income","")))))))))))</f>
        <v/>
      </c>
    </row>
    <row r="965">
      <c r="A965" s="27" t="n"/>
      <c r="B965" s="23" t="n"/>
      <c r="C965" s="23" t="n"/>
      <c r="D965" s="28" t="n"/>
      <c r="E965" s="23" t="n"/>
      <c r="F965" s="23" t="n"/>
      <c r="G965" s="23" t="n"/>
      <c r="H965" s="29">
        <f>IF(C965="","",IFERROR(INDEX(Categories!$B$6:$B$65,MATCH(C965,Categories!$A$6:$A$65,0))&amp;"",""))</f>
        <v/>
      </c>
      <c r="I965" s="25">
        <f>IF(AND(A965="",C965="",D965=""),"",IF(A965="","Date missing",IF(NOT(ISNUMBER(A965)),"Date not recognized",IF(YEAR(A965)&lt;&gt;Settings!$C$4,"Not in "&amp;Settings!$C$4,IF(C965="","Category missing",IF(H965="",IF(COUNTIF(Categories!$A$6:$A$65,C965)&gt;0,"Category has no type","Category not in list"),IF(D965="","Amount missing",IF(NOT(ISNUMBER(D965)),"Amount is not a number",IF(F965="","",IF(ISNA(MATCH(F965,Lists!$G$2:$G$25,0)),"Goal / fund not in list",IF(H965="Income","Fund tag ignored on income","")))))))))))</f>
        <v/>
      </c>
    </row>
    <row r="966">
      <c r="A966" s="27" t="n"/>
      <c r="B966" s="23" t="n"/>
      <c r="C966" s="23" t="n"/>
      <c r="D966" s="28" t="n"/>
      <c r="E966" s="23" t="n"/>
      <c r="F966" s="23" t="n"/>
      <c r="G966" s="23" t="n"/>
      <c r="H966" s="29">
        <f>IF(C966="","",IFERROR(INDEX(Categories!$B$6:$B$65,MATCH(C966,Categories!$A$6:$A$65,0))&amp;"",""))</f>
        <v/>
      </c>
      <c r="I966" s="25">
        <f>IF(AND(A966="",C966="",D966=""),"",IF(A966="","Date missing",IF(NOT(ISNUMBER(A966)),"Date not recognized",IF(YEAR(A966)&lt;&gt;Settings!$C$4,"Not in "&amp;Settings!$C$4,IF(C966="","Category missing",IF(H966="",IF(COUNTIF(Categories!$A$6:$A$65,C966)&gt;0,"Category has no type","Category not in list"),IF(D966="","Amount missing",IF(NOT(ISNUMBER(D966)),"Amount is not a number",IF(F966="","",IF(ISNA(MATCH(F966,Lists!$G$2:$G$25,0)),"Goal / fund not in list",IF(H966="Income","Fund tag ignored on income","")))))))))))</f>
        <v/>
      </c>
    </row>
    <row r="967">
      <c r="A967" s="27" t="n"/>
      <c r="B967" s="23" t="n"/>
      <c r="C967" s="23" t="n"/>
      <c r="D967" s="28" t="n"/>
      <c r="E967" s="23" t="n"/>
      <c r="F967" s="23" t="n"/>
      <c r="G967" s="23" t="n"/>
      <c r="H967" s="29">
        <f>IF(C967="","",IFERROR(INDEX(Categories!$B$6:$B$65,MATCH(C967,Categories!$A$6:$A$65,0))&amp;"",""))</f>
        <v/>
      </c>
      <c r="I967" s="25">
        <f>IF(AND(A967="",C967="",D967=""),"",IF(A967="","Date missing",IF(NOT(ISNUMBER(A967)),"Date not recognized",IF(YEAR(A967)&lt;&gt;Settings!$C$4,"Not in "&amp;Settings!$C$4,IF(C967="","Category missing",IF(H967="",IF(COUNTIF(Categories!$A$6:$A$65,C967)&gt;0,"Category has no type","Category not in list"),IF(D967="","Amount missing",IF(NOT(ISNUMBER(D967)),"Amount is not a number",IF(F967="","",IF(ISNA(MATCH(F967,Lists!$G$2:$G$25,0)),"Goal / fund not in list",IF(H967="Income","Fund tag ignored on income","")))))))))))</f>
        <v/>
      </c>
    </row>
    <row r="968">
      <c r="A968" s="27" t="n"/>
      <c r="B968" s="23" t="n"/>
      <c r="C968" s="23" t="n"/>
      <c r="D968" s="28" t="n"/>
      <c r="E968" s="23" t="n"/>
      <c r="F968" s="23" t="n"/>
      <c r="G968" s="23" t="n"/>
      <c r="H968" s="29">
        <f>IF(C968="","",IFERROR(INDEX(Categories!$B$6:$B$65,MATCH(C968,Categories!$A$6:$A$65,0))&amp;"",""))</f>
        <v/>
      </c>
      <c r="I968" s="25">
        <f>IF(AND(A968="",C968="",D968=""),"",IF(A968="","Date missing",IF(NOT(ISNUMBER(A968)),"Date not recognized",IF(YEAR(A968)&lt;&gt;Settings!$C$4,"Not in "&amp;Settings!$C$4,IF(C968="","Category missing",IF(H968="",IF(COUNTIF(Categories!$A$6:$A$65,C968)&gt;0,"Category has no type","Category not in list"),IF(D968="","Amount missing",IF(NOT(ISNUMBER(D968)),"Amount is not a number",IF(F968="","",IF(ISNA(MATCH(F968,Lists!$G$2:$G$25,0)),"Goal / fund not in list",IF(H968="Income","Fund tag ignored on income","")))))))))))</f>
        <v/>
      </c>
    </row>
    <row r="969">
      <c r="A969" s="27" t="n"/>
      <c r="B969" s="23" t="n"/>
      <c r="C969" s="23" t="n"/>
      <c r="D969" s="28" t="n"/>
      <c r="E969" s="23" t="n"/>
      <c r="F969" s="23" t="n"/>
      <c r="G969" s="23" t="n"/>
      <c r="H969" s="29">
        <f>IF(C969="","",IFERROR(INDEX(Categories!$B$6:$B$65,MATCH(C969,Categories!$A$6:$A$65,0))&amp;"",""))</f>
        <v/>
      </c>
      <c r="I969" s="25">
        <f>IF(AND(A969="",C969="",D969=""),"",IF(A969="","Date missing",IF(NOT(ISNUMBER(A969)),"Date not recognized",IF(YEAR(A969)&lt;&gt;Settings!$C$4,"Not in "&amp;Settings!$C$4,IF(C969="","Category missing",IF(H969="",IF(COUNTIF(Categories!$A$6:$A$65,C969)&gt;0,"Category has no type","Category not in list"),IF(D969="","Amount missing",IF(NOT(ISNUMBER(D969)),"Amount is not a number",IF(F969="","",IF(ISNA(MATCH(F969,Lists!$G$2:$G$25,0)),"Goal / fund not in list",IF(H969="Income","Fund tag ignored on income","")))))))))))</f>
        <v/>
      </c>
    </row>
    <row r="970">
      <c r="A970" s="27" t="n"/>
      <c r="B970" s="23" t="n"/>
      <c r="C970" s="23" t="n"/>
      <c r="D970" s="28" t="n"/>
      <c r="E970" s="23" t="n"/>
      <c r="F970" s="23" t="n"/>
      <c r="G970" s="23" t="n"/>
      <c r="H970" s="29">
        <f>IF(C970="","",IFERROR(INDEX(Categories!$B$6:$B$65,MATCH(C970,Categories!$A$6:$A$65,0))&amp;"",""))</f>
        <v/>
      </c>
      <c r="I970" s="25">
        <f>IF(AND(A970="",C970="",D970=""),"",IF(A970="","Date missing",IF(NOT(ISNUMBER(A970)),"Date not recognized",IF(YEAR(A970)&lt;&gt;Settings!$C$4,"Not in "&amp;Settings!$C$4,IF(C970="","Category missing",IF(H970="",IF(COUNTIF(Categories!$A$6:$A$65,C970)&gt;0,"Category has no type","Category not in list"),IF(D970="","Amount missing",IF(NOT(ISNUMBER(D970)),"Amount is not a number",IF(F970="","",IF(ISNA(MATCH(F970,Lists!$G$2:$G$25,0)),"Goal / fund not in list",IF(H970="Income","Fund tag ignored on income","")))))))))))</f>
        <v/>
      </c>
    </row>
    <row r="971">
      <c r="A971" s="27" t="n"/>
      <c r="B971" s="23" t="n"/>
      <c r="C971" s="23" t="n"/>
      <c r="D971" s="28" t="n"/>
      <c r="E971" s="23" t="n"/>
      <c r="F971" s="23" t="n"/>
      <c r="G971" s="23" t="n"/>
      <c r="H971" s="29">
        <f>IF(C971="","",IFERROR(INDEX(Categories!$B$6:$B$65,MATCH(C971,Categories!$A$6:$A$65,0))&amp;"",""))</f>
        <v/>
      </c>
      <c r="I971" s="25">
        <f>IF(AND(A971="",C971="",D971=""),"",IF(A971="","Date missing",IF(NOT(ISNUMBER(A971)),"Date not recognized",IF(YEAR(A971)&lt;&gt;Settings!$C$4,"Not in "&amp;Settings!$C$4,IF(C971="","Category missing",IF(H971="",IF(COUNTIF(Categories!$A$6:$A$65,C971)&gt;0,"Category has no type","Category not in list"),IF(D971="","Amount missing",IF(NOT(ISNUMBER(D971)),"Amount is not a number",IF(F971="","",IF(ISNA(MATCH(F971,Lists!$G$2:$G$25,0)),"Goal / fund not in list",IF(H971="Income","Fund tag ignored on income","")))))))))))</f>
        <v/>
      </c>
    </row>
    <row r="972">
      <c r="A972" s="27" t="n"/>
      <c r="B972" s="23" t="n"/>
      <c r="C972" s="23" t="n"/>
      <c r="D972" s="28" t="n"/>
      <c r="E972" s="23" t="n"/>
      <c r="F972" s="23" t="n"/>
      <c r="G972" s="23" t="n"/>
      <c r="H972" s="29">
        <f>IF(C972="","",IFERROR(INDEX(Categories!$B$6:$B$65,MATCH(C972,Categories!$A$6:$A$65,0))&amp;"",""))</f>
        <v/>
      </c>
      <c r="I972" s="25">
        <f>IF(AND(A972="",C972="",D972=""),"",IF(A972="","Date missing",IF(NOT(ISNUMBER(A972)),"Date not recognized",IF(YEAR(A972)&lt;&gt;Settings!$C$4,"Not in "&amp;Settings!$C$4,IF(C972="","Category missing",IF(H972="",IF(COUNTIF(Categories!$A$6:$A$65,C972)&gt;0,"Category has no type","Category not in list"),IF(D972="","Amount missing",IF(NOT(ISNUMBER(D972)),"Amount is not a number",IF(F972="","",IF(ISNA(MATCH(F972,Lists!$G$2:$G$25,0)),"Goal / fund not in list",IF(H972="Income","Fund tag ignored on income","")))))))))))</f>
        <v/>
      </c>
    </row>
    <row r="973">
      <c r="A973" s="27" t="n"/>
      <c r="B973" s="23" t="n"/>
      <c r="C973" s="23" t="n"/>
      <c r="D973" s="28" t="n"/>
      <c r="E973" s="23" t="n"/>
      <c r="F973" s="23" t="n"/>
      <c r="G973" s="23" t="n"/>
      <c r="H973" s="29">
        <f>IF(C973="","",IFERROR(INDEX(Categories!$B$6:$B$65,MATCH(C973,Categories!$A$6:$A$65,0))&amp;"",""))</f>
        <v/>
      </c>
      <c r="I973" s="25">
        <f>IF(AND(A973="",C973="",D973=""),"",IF(A973="","Date missing",IF(NOT(ISNUMBER(A973)),"Date not recognized",IF(YEAR(A973)&lt;&gt;Settings!$C$4,"Not in "&amp;Settings!$C$4,IF(C973="","Category missing",IF(H973="",IF(COUNTIF(Categories!$A$6:$A$65,C973)&gt;0,"Category has no type","Category not in list"),IF(D973="","Amount missing",IF(NOT(ISNUMBER(D973)),"Amount is not a number",IF(F973="","",IF(ISNA(MATCH(F973,Lists!$G$2:$G$25,0)),"Goal / fund not in list",IF(H973="Income","Fund tag ignored on income","")))))))))))</f>
        <v/>
      </c>
    </row>
    <row r="974">
      <c r="A974" s="27" t="n"/>
      <c r="B974" s="23" t="n"/>
      <c r="C974" s="23" t="n"/>
      <c r="D974" s="28" t="n"/>
      <c r="E974" s="23" t="n"/>
      <c r="F974" s="23" t="n"/>
      <c r="G974" s="23" t="n"/>
      <c r="H974" s="29">
        <f>IF(C974="","",IFERROR(INDEX(Categories!$B$6:$B$65,MATCH(C974,Categories!$A$6:$A$65,0))&amp;"",""))</f>
        <v/>
      </c>
      <c r="I974" s="25">
        <f>IF(AND(A974="",C974="",D974=""),"",IF(A974="","Date missing",IF(NOT(ISNUMBER(A974)),"Date not recognized",IF(YEAR(A974)&lt;&gt;Settings!$C$4,"Not in "&amp;Settings!$C$4,IF(C974="","Category missing",IF(H974="",IF(COUNTIF(Categories!$A$6:$A$65,C974)&gt;0,"Category has no type","Category not in list"),IF(D974="","Amount missing",IF(NOT(ISNUMBER(D974)),"Amount is not a number",IF(F974="","",IF(ISNA(MATCH(F974,Lists!$G$2:$G$25,0)),"Goal / fund not in list",IF(H974="Income","Fund tag ignored on income","")))))))))))</f>
        <v/>
      </c>
    </row>
    <row r="975">
      <c r="A975" s="27" t="n"/>
      <c r="B975" s="23" t="n"/>
      <c r="C975" s="23" t="n"/>
      <c r="D975" s="28" t="n"/>
      <c r="E975" s="23" t="n"/>
      <c r="F975" s="23" t="n"/>
      <c r="G975" s="23" t="n"/>
      <c r="H975" s="29">
        <f>IF(C975="","",IFERROR(INDEX(Categories!$B$6:$B$65,MATCH(C975,Categories!$A$6:$A$65,0))&amp;"",""))</f>
        <v/>
      </c>
      <c r="I975" s="25">
        <f>IF(AND(A975="",C975="",D975=""),"",IF(A975="","Date missing",IF(NOT(ISNUMBER(A975)),"Date not recognized",IF(YEAR(A975)&lt;&gt;Settings!$C$4,"Not in "&amp;Settings!$C$4,IF(C975="","Category missing",IF(H975="",IF(COUNTIF(Categories!$A$6:$A$65,C975)&gt;0,"Category has no type","Category not in list"),IF(D975="","Amount missing",IF(NOT(ISNUMBER(D975)),"Amount is not a number",IF(F975="","",IF(ISNA(MATCH(F975,Lists!$G$2:$G$25,0)),"Goal / fund not in list",IF(H975="Income","Fund tag ignored on income","")))))))))))</f>
        <v/>
      </c>
    </row>
    <row r="976">
      <c r="A976" s="27" t="n"/>
      <c r="B976" s="23" t="n"/>
      <c r="C976" s="23" t="n"/>
      <c r="D976" s="28" t="n"/>
      <c r="E976" s="23" t="n"/>
      <c r="F976" s="23" t="n"/>
      <c r="G976" s="23" t="n"/>
      <c r="H976" s="29">
        <f>IF(C976="","",IFERROR(INDEX(Categories!$B$6:$B$65,MATCH(C976,Categories!$A$6:$A$65,0))&amp;"",""))</f>
        <v/>
      </c>
      <c r="I976" s="25">
        <f>IF(AND(A976="",C976="",D976=""),"",IF(A976="","Date missing",IF(NOT(ISNUMBER(A976)),"Date not recognized",IF(YEAR(A976)&lt;&gt;Settings!$C$4,"Not in "&amp;Settings!$C$4,IF(C976="","Category missing",IF(H976="",IF(COUNTIF(Categories!$A$6:$A$65,C976)&gt;0,"Category has no type","Category not in list"),IF(D976="","Amount missing",IF(NOT(ISNUMBER(D976)),"Amount is not a number",IF(F976="","",IF(ISNA(MATCH(F976,Lists!$G$2:$G$25,0)),"Goal / fund not in list",IF(H976="Income","Fund tag ignored on income","")))))))))))</f>
        <v/>
      </c>
    </row>
    <row r="977">
      <c r="A977" s="27" t="n"/>
      <c r="B977" s="23" t="n"/>
      <c r="C977" s="23" t="n"/>
      <c r="D977" s="28" t="n"/>
      <c r="E977" s="23" t="n"/>
      <c r="F977" s="23" t="n"/>
      <c r="G977" s="23" t="n"/>
      <c r="H977" s="29">
        <f>IF(C977="","",IFERROR(INDEX(Categories!$B$6:$B$65,MATCH(C977,Categories!$A$6:$A$65,0))&amp;"",""))</f>
        <v/>
      </c>
      <c r="I977" s="25">
        <f>IF(AND(A977="",C977="",D977=""),"",IF(A977="","Date missing",IF(NOT(ISNUMBER(A977)),"Date not recognized",IF(YEAR(A977)&lt;&gt;Settings!$C$4,"Not in "&amp;Settings!$C$4,IF(C977="","Category missing",IF(H977="",IF(COUNTIF(Categories!$A$6:$A$65,C977)&gt;0,"Category has no type","Category not in list"),IF(D977="","Amount missing",IF(NOT(ISNUMBER(D977)),"Amount is not a number",IF(F977="","",IF(ISNA(MATCH(F977,Lists!$G$2:$G$25,0)),"Goal / fund not in list",IF(H977="Income","Fund tag ignored on income","")))))))))))</f>
        <v/>
      </c>
    </row>
    <row r="978">
      <c r="A978" s="27" t="n"/>
      <c r="B978" s="23" t="n"/>
      <c r="C978" s="23" t="n"/>
      <c r="D978" s="28" t="n"/>
      <c r="E978" s="23" t="n"/>
      <c r="F978" s="23" t="n"/>
      <c r="G978" s="23" t="n"/>
      <c r="H978" s="29">
        <f>IF(C978="","",IFERROR(INDEX(Categories!$B$6:$B$65,MATCH(C978,Categories!$A$6:$A$65,0))&amp;"",""))</f>
        <v/>
      </c>
      <c r="I978" s="25">
        <f>IF(AND(A978="",C978="",D978=""),"",IF(A978="","Date missing",IF(NOT(ISNUMBER(A978)),"Date not recognized",IF(YEAR(A978)&lt;&gt;Settings!$C$4,"Not in "&amp;Settings!$C$4,IF(C978="","Category missing",IF(H978="",IF(COUNTIF(Categories!$A$6:$A$65,C978)&gt;0,"Category has no type","Category not in list"),IF(D978="","Amount missing",IF(NOT(ISNUMBER(D978)),"Amount is not a number",IF(F978="","",IF(ISNA(MATCH(F978,Lists!$G$2:$G$25,0)),"Goal / fund not in list",IF(H978="Income","Fund tag ignored on income","")))))))))))</f>
        <v/>
      </c>
    </row>
    <row r="979">
      <c r="A979" s="27" t="n"/>
      <c r="B979" s="23" t="n"/>
      <c r="C979" s="23" t="n"/>
      <c r="D979" s="28" t="n"/>
      <c r="E979" s="23" t="n"/>
      <c r="F979" s="23" t="n"/>
      <c r="G979" s="23" t="n"/>
      <c r="H979" s="29">
        <f>IF(C979="","",IFERROR(INDEX(Categories!$B$6:$B$65,MATCH(C979,Categories!$A$6:$A$65,0))&amp;"",""))</f>
        <v/>
      </c>
      <c r="I979" s="25">
        <f>IF(AND(A979="",C979="",D979=""),"",IF(A979="","Date missing",IF(NOT(ISNUMBER(A979)),"Date not recognized",IF(YEAR(A979)&lt;&gt;Settings!$C$4,"Not in "&amp;Settings!$C$4,IF(C979="","Category missing",IF(H979="",IF(COUNTIF(Categories!$A$6:$A$65,C979)&gt;0,"Category has no type","Category not in list"),IF(D979="","Amount missing",IF(NOT(ISNUMBER(D979)),"Amount is not a number",IF(F979="","",IF(ISNA(MATCH(F979,Lists!$G$2:$G$25,0)),"Goal / fund not in list",IF(H979="Income","Fund tag ignored on income","")))))))))))</f>
        <v/>
      </c>
    </row>
    <row r="980">
      <c r="A980" s="27" t="n"/>
      <c r="B980" s="23" t="n"/>
      <c r="C980" s="23" t="n"/>
      <c r="D980" s="28" t="n"/>
      <c r="E980" s="23" t="n"/>
      <c r="F980" s="23" t="n"/>
      <c r="G980" s="23" t="n"/>
      <c r="H980" s="29">
        <f>IF(C980="","",IFERROR(INDEX(Categories!$B$6:$B$65,MATCH(C980,Categories!$A$6:$A$65,0))&amp;"",""))</f>
        <v/>
      </c>
      <c r="I980" s="25">
        <f>IF(AND(A980="",C980="",D980=""),"",IF(A980="","Date missing",IF(NOT(ISNUMBER(A980)),"Date not recognized",IF(YEAR(A980)&lt;&gt;Settings!$C$4,"Not in "&amp;Settings!$C$4,IF(C980="","Category missing",IF(H980="",IF(COUNTIF(Categories!$A$6:$A$65,C980)&gt;0,"Category has no type","Category not in list"),IF(D980="","Amount missing",IF(NOT(ISNUMBER(D980)),"Amount is not a number",IF(F980="","",IF(ISNA(MATCH(F980,Lists!$G$2:$G$25,0)),"Goal / fund not in list",IF(H980="Income","Fund tag ignored on income","")))))))))))</f>
        <v/>
      </c>
    </row>
    <row r="981">
      <c r="A981" s="27" t="n"/>
      <c r="B981" s="23" t="n"/>
      <c r="C981" s="23" t="n"/>
      <c r="D981" s="28" t="n"/>
      <c r="E981" s="23" t="n"/>
      <c r="F981" s="23" t="n"/>
      <c r="G981" s="23" t="n"/>
      <c r="H981" s="29">
        <f>IF(C981="","",IFERROR(INDEX(Categories!$B$6:$B$65,MATCH(C981,Categories!$A$6:$A$65,0))&amp;"",""))</f>
        <v/>
      </c>
      <c r="I981" s="25">
        <f>IF(AND(A981="",C981="",D981=""),"",IF(A981="","Date missing",IF(NOT(ISNUMBER(A981)),"Date not recognized",IF(YEAR(A981)&lt;&gt;Settings!$C$4,"Not in "&amp;Settings!$C$4,IF(C981="","Category missing",IF(H981="",IF(COUNTIF(Categories!$A$6:$A$65,C981)&gt;0,"Category has no type","Category not in list"),IF(D981="","Amount missing",IF(NOT(ISNUMBER(D981)),"Amount is not a number",IF(F981="","",IF(ISNA(MATCH(F981,Lists!$G$2:$G$25,0)),"Goal / fund not in list",IF(H981="Income","Fund tag ignored on income","")))))))))))</f>
        <v/>
      </c>
    </row>
    <row r="982">
      <c r="A982" s="27" t="n"/>
      <c r="B982" s="23" t="n"/>
      <c r="C982" s="23" t="n"/>
      <c r="D982" s="28" t="n"/>
      <c r="E982" s="23" t="n"/>
      <c r="F982" s="23" t="n"/>
      <c r="G982" s="23" t="n"/>
      <c r="H982" s="29">
        <f>IF(C982="","",IFERROR(INDEX(Categories!$B$6:$B$65,MATCH(C982,Categories!$A$6:$A$65,0))&amp;"",""))</f>
        <v/>
      </c>
      <c r="I982" s="25">
        <f>IF(AND(A982="",C982="",D982=""),"",IF(A982="","Date missing",IF(NOT(ISNUMBER(A982)),"Date not recognized",IF(YEAR(A982)&lt;&gt;Settings!$C$4,"Not in "&amp;Settings!$C$4,IF(C982="","Category missing",IF(H982="",IF(COUNTIF(Categories!$A$6:$A$65,C982)&gt;0,"Category has no type","Category not in list"),IF(D982="","Amount missing",IF(NOT(ISNUMBER(D982)),"Amount is not a number",IF(F982="","",IF(ISNA(MATCH(F982,Lists!$G$2:$G$25,0)),"Goal / fund not in list",IF(H982="Income","Fund tag ignored on income","")))))))))))</f>
        <v/>
      </c>
    </row>
    <row r="983">
      <c r="A983" s="27" t="n"/>
      <c r="B983" s="23" t="n"/>
      <c r="C983" s="23" t="n"/>
      <c r="D983" s="28" t="n"/>
      <c r="E983" s="23" t="n"/>
      <c r="F983" s="23" t="n"/>
      <c r="G983" s="23" t="n"/>
      <c r="H983" s="29">
        <f>IF(C983="","",IFERROR(INDEX(Categories!$B$6:$B$65,MATCH(C983,Categories!$A$6:$A$65,0))&amp;"",""))</f>
        <v/>
      </c>
      <c r="I983" s="25">
        <f>IF(AND(A983="",C983="",D983=""),"",IF(A983="","Date missing",IF(NOT(ISNUMBER(A983)),"Date not recognized",IF(YEAR(A983)&lt;&gt;Settings!$C$4,"Not in "&amp;Settings!$C$4,IF(C983="","Category missing",IF(H983="",IF(COUNTIF(Categories!$A$6:$A$65,C983)&gt;0,"Category has no type","Category not in list"),IF(D983="","Amount missing",IF(NOT(ISNUMBER(D983)),"Amount is not a number",IF(F983="","",IF(ISNA(MATCH(F983,Lists!$G$2:$G$25,0)),"Goal / fund not in list",IF(H983="Income","Fund tag ignored on income","")))))))))))</f>
        <v/>
      </c>
    </row>
    <row r="984">
      <c r="A984" s="27" t="n"/>
      <c r="B984" s="23" t="n"/>
      <c r="C984" s="23" t="n"/>
      <c r="D984" s="28" t="n"/>
      <c r="E984" s="23" t="n"/>
      <c r="F984" s="23" t="n"/>
      <c r="G984" s="23" t="n"/>
      <c r="H984" s="29">
        <f>IF(C984="","",IFERROR(INDEX(Categories!$B$6:$B$65,MATCH(C984,Categories!$A$6:$A$65,0))&amp;"",""))</f>
        <v/>
      </c>
      <c r="I984" s="25">
        <f>IF(AND(A984="",C984="",D984=""),"",IF(A984="","Date missing",IF(NOT(ISNUMBER(A984)),"Date not recognized",IF(YEAR(A984)&lt;&gt;Settings!$C$4,"Not in "&amp;Settings!$C$4,IF(C984="","Category missing",IF(H984="",IF(COUNTIF(Categories!$A$6:$A$65,C984)&gt;0,"Category has no type","Category not in list"),IF(D984="","Amount missing",IF(NOT(ISNUMBER(D984)),"Amount is not a number",IF(F984="","",IF(ISNA(MATCH(F984,Lists!$G$2:$G$25,0)),"Goal / fund not in list",IF(H984="Income","Fund tag ignored on income","")))))))))))</f>
        <v/>
      </c>
    </row>
    <row r="985">
      <c r="A985" s="27" t="n"/>
      <c r="B985" s="23" t="n"/>
      <c r="C985" s="23" t="n"/>
      <c r="D985" s="28" t="n"/>
      <c r="E985" s="23" t="n"/>
      <c r="F985" s="23" t="n"/>
      <c r="G985" s="23" t="n"/>
      <c r="H985" s="29">
        <f>IF(C985="","",IFERROR(INDEX(Categories!$B$6:$B$65,MATCH(C985,Categories!$A$6:$A$65,0))&amp;"",""))</f>
        <v/>
      </c>
      <c r="I985" s="25">
        <f>IF(AND(A985="",C985="",D985=""),"",IF(A985="","Date missing",IF(NOT(ISNUMBER(A985)),"Date not recognized",IF(YEAR(A985)&lt;&gt;Settings!$C$4,"Not in "&amp;Settings!$C$4,IF(C985="","Category missing",IF(H985="",IF(COUNTIF(Categories!$A$6:$A$65,C985)&gt;0,"Category has no type","Category not in list"),IF(D985="","Amount missing",IF(NOT(ISNUMBER(D985)),"Amount is not a number",IF(F985="","",IF(ISNA(MATCH(F985,Lists!$G$2:$G$25,0)),"Goal / fund not in list",IF(H985="Income","Fund tag ignored on income","")))))))))))</f>
        <v/>
      </c>
    </row>
    <row r="986">
      <c r="A986" s="27" t="n"/>
      <c r="B986" s="23" t="n"/>
      <c r="C986" s="23" t="n"/>
      <c r="D986" s="28" t="n"/>
      <c r="E986" s="23" t="n"/>
      <c r="F986" s="23" t="n"/>
      <c r="G986" s="23" t="n"/>
      <c r="H986" s="29">
        <f>IF(C986="","",IFERROR(INDEX(Categories!$B$6:$B$65,MATCH(C986,Categories!$A$6:$A$65,0))&amp;"",""))</f>
        <v/>
      </c>
      <c r="I986" s="25">
        <f>IF(AND(A986="",C986="",D986=""),"",IF(A986="","Date missing",IF(NOT(ISNUMBER(A986)),"Date not recognized",IF(YEAR(A986)&lt;&gt;Settings!$C$4,"Not in "&amp;Settings!$C$4,IF(C986="","Category missing",IF(H986="",IF(COUNTIF(Categories!$A$6:$A$65,C986)&gt;0,"Category has no type","Category not in list"),IF(D986="","Amount missing",IF(NOT(ISNUMBER(D986)),"Amount is not a number",IF(F986="","",IF(ISNA(MATCH(F986,Lists!$G$2:$G$25,0)),"Goal / fund not in list",IF(H986="Income","Fund tag ignored on income","")))))))))))</f>
        <v/>
      </c>
    </row>
    <row r="987">
      <c r="A987" s="27" t="n"/>
      <c r="B987" s="23" t="n"/>
      <c r="C987" s="23" t="n"/>
      <c r="D987" s="28" t="n"/>
      <c r="E987" s="23" t="n"/>
      <c r="F987" s="23" t="n"/>
      <c r="G987" s="23" t="n"/>
      <c r="H987" s="29">
        <f>IF(C987="","",IFERROR(INDEX(Categories!$B$6:$B$65,MATCH(C987,Categories!$A$6:$A$65,0))&amp;"",""))</f>
        <v/>
      </c>
      <c r="I987" s="25">
        <f>IF(AND(A987="",C987="",D987=""),"",IF(A987="","Date missing",IF(NOT(ISNUMBER(A987)),"Date not recognized",IF(YEAR(A987)&lt;&gt;Settings!$C$4,"Not in "&amp;Settings!$C$4,IF(C987="","Category missing",IF(H987="",IF(COUNTIF(Categories!$A$6:$A$65,C987)&gt;0,"Category has no type","Category not in list"),IF(D987="","Amount missing",IF(NOT(ISNUMBER(D987)),"Amount is not a number",IF(F987="","",IF(ISNA(MATCH(F987,Lists!$G$2:$G$25,0)),"Goal / fund not in list",IF(H987="Income","Fund tag ignored on income","")))))))))))</f>
        <v/>
      </c>
    </row>
    <row r="988">
      <c r="A988" s="27" t="n"/>
      <c r="B988" s="23" t="n"/>
      <c r="C988" s="23" t="n"/>
      <c r="D988" s="28" t="n"/>
      <c r="E988" s="23" t="n"/>
      <c r="F988" s="23" t="n"/>
      <c r="G988" s="23" t="n"/>
      <c r="H988" s="29">
        <f>IF(C988="","",IFERROR(INDEX(Categories!$B$6:$B$65,MATCH(C988,Categories!$A$6:$A$65,0))&amp;"",""))</f>
        <v/>
      </c>
      <c r="I988" s="25">
        <f>IF(AND(A988="",C988="",D988=""),"",IF(A988="","Date missing",IF(NOT(ISNUMBER(A988)),"Date not recognized",IF(YEAR(A988)&lt;&gt;Settings!$C$4,"Not in "&amp;Settings!$C$4,IF(C988="","Category missing",IF(H988="",IF(COUNTIF(Categories!$A$6:$A$65,C988)&gt;0,"Category has no type","Category not in list"),IF(D988="","Amount missing",IF(NOT(ISNUMBER(D988)),"Amount is not a number",IF(F988="","",IF(ISNA(MATCH(F988,Lists!$G$2:$G$25,0)),"Goal / fund not in list",IF(H988="Income","Fund tag ignored on income","")))))))))))</f>
        <v/>
      </c>
    </row>
    <row r="989">
      <c r="A989" s="27" t="n"/>
      <c r="B989" s="23" t="n"/>
      <c r="C989" s="23" t="n"/>
      <c r="D989" s="28" t="n"/>
      <c r="E989" s="23" t="n"/>
      <c r="F989" s="23" t="n"/>
      <c r="G989" s="23" t="n"/>
      <c r="H989" s="29">
        <f>IF(C989="","",IFERROR(INDEX(Categories!$B$6:$B$65,MATCH(C989,Categories!$A$6:$A$65,0))&amp;"",""))</f>
        <v/>
      </c>
      <c r="I989" s="25">
        <f>IF(AND(A989="",C989="",D989=""),"",IF(A989="","Date missing",IF(NOT(ISNUMBER(A989)),"Date not recognized",IF(YEAR(A989)&lt;&gt;Settings!$C$4,"Not in "&amp;Settings!$C$4,IF(C989="","Category missing",IF(H989="",IF(COUNTIF(Categories!$A$6:$A$65,C989)&gt;0,"Category has no type","Category not in list"),IF(D989="","Amount missing",IF(NOT(ISNUMBER(D989)),"Amount is not a number",IF(F989="","",IF(ISNA(MATCH(F989,Lists!$G$2:$G$25,0)),"Goal / fund not in list",IF(H989="Income","Fund tag ignored on income","")))))))))))</f>
        <v/>
      </c>
    </row>
    <row r="990">
      <c r="A990" s="27" t="n"/>
      <c r="B990" s="23" t="n"/>
      <c r="C990" s="23" t="n"/>
      <c r="D990" s="28" t="n"/>
      <c r="E990" s="23" t="n"/>
      <c r="F990" s="23" t="n"/>
      <c r="G990" s="23" t="n"/>
      <c r="H990" s="29">
        <f>IF(C990="","",IFERROR(INDEX(Categories!$B$6:$B$65,MATCH(C990,Categories!$A$6:$A$65,0))&amp;"",""))</f>
        <v/>
      </c>
      <c r="I990" s="25">
        <f>IF(AND(A990="",C990="",D990=""),"",IF(A990="","Date missing",IF(NOT(ISNUMBER(A990)),"Date not recognized",IF(YEAR(A990)&lt;&gt;Settings!$C$4,"Not in "&amp;Settings!$C$4,IF(C990="","Category missing",IF(H990="",IF(COUNTIF(Categories!$A$6:$A$65,C990)&gt;0,"Category has no type","Category not in list"),IF(D990="","Amount missing",IF(NOT(ISNUMBER(D990)),"Amount is not a number",IF(F990="","",IF(ISNA(MATCH(F990,Lists!$G$2:$G$25,0)),"Goal / fund not in list",IF(H990="Income","Fund tag ignored on income","")))))))))))</f>
        <v/>
      </c>
    </row>
    <row r="991">
      <c r="A991" s="27" t="n"/>
      <c r="B991" s="23" t="n"/>
      <c r="C991" s="23" t="n"/>
      <c r="D991" s="28" t="n"/>
      <c r="E991" s="23" t="n"/>
      <c r="F991" s="23" t="n"/>
      <c r="G991" s="23" t="n"/>
      <c r="H991" s="29">
        <f>IF(C991="","",IFERROR(INDEX(Categories!$B$6:$B$65,MATCH(C991,Categories!$A$6:$A$65,0))&amp;"",""))</f>
        <v/>
      </c>
      <c r="I991" s="25">
        <f>IF(AND(A991="",C991="",D991=""),"",IF(A991="","Date missing",IF(NOT(ISNUMBER(A991)),"Date not recognized",IF(YEAR(A991)&lt;&gt;Settings!$C$4,"Not in "&amp;Settings!$C$4,IF(C991="","Category missing",IF(H991="",IF(COUNTIF(Categories!$A$6:$A$65,C991)&gt;0,"Category has no type","Category not in list"),IF(D991="","Amount missing",IF(NOT(ISNUMBER(D991)),"Amount is not a number",IF(F991="","",IF(ISNA(MATCH(F991,Lists!$G$2:$G$25,0)),"Goal / fund not in list",IF(H991="Income","Fund tag ignored on income","")))))))))))</f>
        <v/>
      </c>
    </row>
    <row r="992">
      <c r="A992" s="27" t="n"/>
      <c r="B992" s="23" t="n"/>
      <c r="C992" s="23" t="n"/>
      <c r="D992" s="28" t="n"/>
      <c r="E992" s="23" t="n"/>
      <c r="F992" s="23" t="n"/>
      <c r="G992" s="23" t="n"/>
      <c r="H992" s="29">
        <f>IF(C992="","",IFERROR(INDEX(Categories!$B$6:$B$65,MATCH(C992,Categories!$A$6:$A$65,0))&amp;"",""))</f>
        <v/>
      </c>
      <c r="I992" s="25">
        <f>IF(AND(A992="",C992="",D992=""),"",IF(A992="","Date missing",IF(NOT(ISNUMBER(A992)),"Date not recognized",IF(YEAR(A992)&lt;&gt;Settings!$C$4,"Not in "&amp;Settings!$C$4,IF(C992="","Category missing",IF(H992="",IF(COUNTIF(Categories!$A$6:$A$65,C992)&gt;0,"Category has no type","Category not in list"),IF(D992="","Amount missing",IF(NOT(ISNUMBER(D992)),"Amount is not a number",IF(F992="","",IF(ISNA(MATCH(F992,Lists!$G$2:$G$25,0)),"Goal / fund not in list",IF(H992="Income","Fund tag ignored on income","")))))))))))</f>
        <v/>
      </c>
    </row>
    <row r="993">
      <c r="A993" s="27" t="n"/>
      <c r="B993" s="23" t="n"/>
      <c r="C993" s="23" t="n"/>
      <c r="D993" s="28" t="n"/>
      <c r="E993" s="23" t="n"/>
      <c r="F993" s="23" t="n"/>
      <c r="G993" s="23" t="n"/>
      <c r="H993" s="29">
        <f>IF(C993="","",IFERROR(INDEX(Categories!$B$6:$B$65,MATCH(C993,Categories!$A$6:$A$65,0))&amp;"",""))</f>
        <v/>
      </c>
      <c r="I993" s="25">
        <f>IF(AND(A993="",C993="",D993=""),"",IF(A993="","Date missing",IF(NOT(ISNUMBER(A993)),"Date not recognized",IF(YEAR(A993)&lt;&gt;Settings!$C$4,"Not in "&amp;Settings!$C$4,IF(C993="","Category missing",IF(H993="",IF(COUNTIF(Categories!$A$6:$A$65,C993)&gt;0,"Category has no type","Category not in list"),IF(D993="","Amount missing",IF(NOT(ISNUMBER(D993)),"Amount is not a number",IF(F993="","",IF(ISNA(MATCH(F993,Lists!$G$2:$G$25,0)),"Goal / fund not in list",IF(H993="Income","Fund tag ignored on income","")))))))))))</f>
        <v/>
      </c>
    </row>
    <row r="994">
      <c r="A994" s="27" t="n"/>
      <c r="B994" s="23" t="n"/>
      <c r="C994" s="23" t="n"/>
      <c r="D994" s="28" t="n"/>
      <c r="E994" s="23" t="n"/>
      <c r="F994" s="23" t="n"/>
      <c r="G994" s="23" t="n"/>
      <c r="H994" s="29">
        <f>IF(C994="","",IFERROR(INDEX(Categories!$B$6:$B$65,MATCH(C994,Categories!$A$6:$A$65,0))&amp;"",""))</f>
        <v/>
      </c>
      <c r="I994" s="25">
        <f>IF(AND(A994="",C994="",D994=""),"",IF(A994="","Date missing",IF(NOT(ISNUMBER(A994)),"Date not recognized",IF(YEAR(A994)&lt;&gt;Settings!$C$4,"Not in "&amp;Settings!$C$4,IF(C994="","Category missing",IF(H994="",IF(COUNTIF(Categories!$A$6:$A$65,C994)&gt;0,"Category has no type","Category not in list"),IF(D994="","Amount missing",IF(NOT(ISNUMBER(D994)),"Amount is not a number",IF(F994="","",IF(ISNA(MATCH(F994,Lists!$G$2:$G$25,0)),"Goal / fund not in list",IF(H994="Income","Fund tag ignored on income","")))))))))))</f>
        <v/>
      </c>
    </row>
    <row r="995">
      <c r="A995" s="27" t="n"/>
      <c r="B995" s="23" t="n"/>
      <c r="C995" s="23" t="n"/>
      <c r="D995" s="28" t="n"/>
      <c r="E995" s="23" t="n"/>
      <c r="F995" s="23" t="n"/>
      <c r="G995" s="23" t="n"/>
      <c r="H995" s="29">
        <f>IF(C995="","",IFERROR(INDEX(Categories!$B$6:$B$65,MATCH(C995,Categories!$A$6:$A$65,0))&amp;"",""))</f>
        <v/>
      </c>
      <c r="I995" s="25">
        <f>IF(AND(A995="",C995="",D995=""),"",IF(A995="","Date missing",IF(NOT(ISNUMBER(A995)),"Date not recognized",IF(YEAR(A995)&lt;&gt;Settings!$C$4,"Not in "&amp;Settings!$C$4,IF(C995="","Category missing",IF(H995="",IF(COUNTIF(Categories!$A$6:$A$65,C995)&gt;0,"Category has no type","Category not in list"),IF(D995="","Amount missing",IF(NOT(ISNUMBER(D995)),"Amount is not a number",IF(F995="","",IF(ISNA(MATCH(F995,Lists!$G$2:$G$25,0)),"Goal / fund not in list",IF(H995="Income","Fund tag ignored on income","")))))))))))</f>
        <v/>
      </c>
    </row>
    <row r="996">
      <c r="A996" s="27" t="n"/>
      <c r="B996" s="23" t="n"/>
      <c r="C996" s="23" t="n"/>
      <c r="D996" s="28" t="n"/>
      <c r="E996" s="23" t="n"/>
      <c r="F996" s="23" t="n"/>
      <c r="G996" s="23" t="n"/>
      <c r="H996" s="29">
        <f>IF(C996="","",IFERROR(INDEX(Categories!$B$6:$B$65,MATCH(C996,Categories!$A$6:$A$65,0))&amp;"",""))</f>
        <v/>
      </c>
      <c r="I996" s="25">
        <f>IF(AND(A996="",C996="",D996=""),"",IF(A996="","Date missing",IF(NOT(ISNUMBER(A996)),"Date not recognized",IF(YEAR(A996)&lt;&gt;Settings!$C$4,"Not in "&amp;Settings!$C$4,IF(C996="","Category missing",IF(H996="",IF(COUNTIF(Categories!$A$6:$A$65,C996)&gt;0,"Category has no type","Category not in list"),IF(D996="","Amount missing",IF(NOT(ISNUMBER(D996)),"Amount is not a number",IF(F996="","",IF(ISNA(MATCH(F996,Lists!$G$2:$G$25,0)),"Goal / fund not in list",IF(H996="Income","Fund tag ignored on income","")))))))))))</f>
        <v/>
      </c>
    </row>
    <row r="997">
      <c r="A997" s="27" t="n"/>
      <c r="B997" s="23" t="n"/>
      <c r="C997" s="23" t="n"/>
      <c r="D997" s="28" t="n"/>
      <c r="E997" s="23" t="n"/>
      <c r="F997" s="23" t="n"/>
      <c r="G997" s="23" t="n"/>
      <c r="H997" s="29">
        <f>IF(C997="","",IFERROR(INDEX(Categories!$B$6:$B$65,MATCH(C997,Categories!$A$6:$A$65,0))&amp;"",""))</f>
        <v/>
      </c>
      <c r="I997" s="25">
        <f>IF(AND(A997="",C997="",D997=""),"",IF(A997="","Date missing",IF(NOT(ISNUMBER(A997)),"Date not recognized",IF(YEAR(A997)&lt;&gt;Settings!$C$4,"Not in "&amp;Settings!$C$4,IF(C997="","Category missing",IF(H997="",IF(COUNTIF(Categories!$A$6:$A$65,C997)&gt;0,"Category has no type","Category not in list"),IF(D997="","Amount missing",IF(NOT(ISNUMBER(D997)),"Amount is not a number",IF(F997="","",IF(ISNA(MATCH(F997,Lists!$G$2:$G$25,0)),"Goal / fund not in list",IF(H997="Income","Fund tag ignored on income","")))))))))))</f>
        <v/>
      </c>
    </row>
    <row r="998">
      <c r="A998" s="27" t="n"/>
      <c r="B998" s="23" t="n"/>
      <c r="C998" s="23" t="n"/>
      <c r="D998" s="28" t="n"/>
      <c r="E998" s="23" t="n"/>
      <c r="F998" s="23" t="n"/>
      <c r="G998" s="23" t="n"/>
      <c r="H998" s="29">
        <f>IF(C998="","",IFERROR(INDEX(Categories!$B$6:$B$65,MATCH(C998,Categories!$A$6:$A$65,0))&amp;"",""))</f>
        <v/>
      </c>
      <c r="I998" s="25">
        <f>IF(AND(A998="",C998="",D998=""),"",IF(A998="","Date missing",IF(NOT(ISNUMBER(A998)),"Date not recognized",IF(YEAR(A998)&lt;&gt;Settings!$C$4,"Not in "&amp;Settings!$C$4,IF(C998="","Category missing",IF(H998="",IF(COUNTIF(Categories!$A$6:$A$65,C998)&gt;0,"Category has no type","Category not in list"),IF(D998="","Amount missing",IF(NOT(ISNUMBER(D998)),"Amount is not a number",IF(F998="","",IF(ISNA(MATCH(F998,Lists!$G$2:$G$25,0)),"Goal / fund not in list",IF(H998="Income","Fund tag ignored on income","")))))))))))</f>
        <v/>
      </c>
    </row>
    <row r="999">
      <c r="A999" s="27" t="n"/>
      <c r="B999" s="23" t="n"/>
      <c r="C999" s="23" t="n"/>
      <c r="D999" s="28" t="n"/>
      <c r="E999" s="23" t="n"/>
      <c r="F999" s="23" t="n"/>
      <c r="G999" s="23" t="n"/>
      <c r="H999" s="29">
        <f>IF(C999="","",IFERROR(INDEX(Categories!$B$6:$B$65,MATCH(C999,Categories!$A$6:$A$65,0))&amp;"",""))</f>
        <v/>
      </c>
      <c r="I999" s="25">
        <f>IF(AND(A999="",C999="",D999=""),"",IF(A999="","Date missing",IF(NOT(ISNUMBER(A999)),"Date not recognized",IF(YEAR(A999)&lt;&gt;Settings!$C$4,"Not in "&amp;Settings!$C$4,IF(C999="","Category missing",IF(H999="",IF(COUNTIF(Categories!$A$6:$A$65,C999)&gt;0,"Category has no type","Category not in list"),IF(D999="","Amount missing",IF(NOT(ISNUMBER(D999)),"Amount is not a number",IF(F999="","",IF(ISNA(MATCH(F999,Lists!$G$2:$G$25,0)),"Goal / fund not in list",IF(H999="Income","Fund tag ignored on income","")))))))))))</f>
        <v/>
      </c>
    </row>
    <row r="1000">
      <c r="A1000" s="27" t="n"/>
      <c r="B1000" s="23" t="n"/>
      <c r="C1000" s="23" t="n"/>
      <c r="D1000" s="28" t="n"/>
      <c r="E1000" s="23" t="n"/>
      <c r="F1000" s="23" t="n"/>
      <c r="G1000" s="23" t="n"/>
      <c r="H1000" s="29">
        <f>IF(C1000="","",IFERROR(INDEX(Categories!$B$6:$B$65,MATCH(C1000,Categories!$A$6:$A$65,0))&amp;"",""))</f>
        <v/>
      </c>
      <c r="I1000" s="25">
        <f>IF(AND(A1000="",C1000="",D1000=""),"",IF(A1000="","Date missing",IF(NOT(ISNUMBER(A1000)),"Date not recognized",IF(YEAR(A1000)&lt;&gt;Settings!$C$4,"Not in "&amp;Settings!$C$4,IF(C1000="","Category missing",IF(H1000="",IF(COUNTIF(Categories!$A$6:$A$65,C1000)&gt;0,"Category has no type","Category not in list"),IF(D1000="","Amount missing",IF(NOT(ISNUMBER(D1000)),"Amount is not a number",IF(F1000="","",IF(ISNA(MATCH(F1000,Lists!$G$2:$G$25,0)),"Goal / fund not in list",IF(H1000="Income","Fund tag ignored on income","")))))))))))</f>
        <v/>
      </c>
    </row>
    <row r="1001">
      <c r="A1001" s="27" t="n"/>
      <c r="B1001" s="23" t="n"/>
      <c r="C1001" s="23" t="n"/>
      <c r="D1001" s="28" t="n"/>
      <c r="E1001" s="23" t="n"/>
      <c r="F1001" s="23" t="n"/>
      <c r="G1001" s="23" t="n"/>
      <c r="H1001" s="29">
        <f>IF(C1001="","",IFERROR(INDEX(Categories!$B$6:$B$65,MATCH(C1001,Categories!$A$6:$A$65,0))&amp;"",""))</f>
        <v/>
      </c>
      <c r="I1001" s="25">
        <f>IF(AND(A1001="",C1001="",D1001=""),"",IF(A1001="","Date missing",IF(NOT(ISNUMBER(A1001)),"Date not recognized",IF(YEAR(A1001)&lt;&gt;Settings!$C$4,"Not in "&amp;Settings!$C$4,IF(C1001="","Category missing",IF(H1001="",IF(COUNTIF(Categories!$A$6:$A$65,C1001)&gt;0,"Category has no type","Category not in list"),IF(D1001="","Amount missing",IF(NOT(ISNUMBER(D1001)),"Amount is not a number",IF(F1001="","",IF(ISNA(MATCH(F1001,Lists!$G$2:$G$25,0)),"Goal / fund not in list",IF(H1001="Income","Fund tag ignored on income","")))))))))))</f>
        <v/>
      </c>
    </row>
    <row r="1002">
      <c r="A1002" s="27" t="n"/>
      <c r="B1002" s="23" t="n"/>
      <c r="C1002" s="23" t="n"/>
      <c r="D1002" s="28" t="n"/>
      <c r="E1002" s="23" t="n"/>
      <c r="F1002" s="23" t="n"/>
      <c r="G1002" s="23" t="n"/>
      <c r="H1002" s="29">
        <f>IF(C1002="","",IFERROR(INDEX(Categories!$B$6:$B$65,MATCH(C1002,Categories!$A$6:$A$65,0))&amp;"",""))</f>
        <v/>
      </c>
      <c r="I1002" s="25">
        <f>IF(AND(A1002="",C1002="",D1002=""),"",IF(A1002="","Date missing",IF(NOT(ISNUMBER(A1002)),"Date not recognized",IF(YEAR(A1002)&lt;&gt;Settings!$C$4,"Not in "&amp;Settings!$C$4,IF(C1002="","Category missing",IF(H1002="",IF(COUNTIF(Categories!$A$6:$A$65,C1002)&gt;0,"Category has no type","Category not in list"),IF(D1002="","Amount missing",IF(NOT(ISNUMBER(D1002)),"Amount is not a number",IF(F1002="","",IF(ISNA(MATCH(F1002,Lists!$G$2:$G$25,0)),"Goal / fund not in list",IF(H1002="Income","Fund tag ignored on income","")))))))))))</f>
        <v/>
      </c>
    </row>
    <row r="1003">
      <c r="A1003" s="27" t="n"/>
      <c r="B1003" s="23" t="n"/>
      <c r="C1003" s="23" t="n"/>
      <c r="D1003" s="28" t="n"/>
      <c r="E1003" s="23" t="n"/>
      <c r="F1003" s="23" t="n"/>
      <c r="G1003" s="23" t="n"/>
      <c r="H1003" s="29">
        <f>IF(C1003="","",IFERROR(INDEX(Categories!$B$6:$B$65,MATCH(C1003,Categories!$A$6:$A$65,0))&amp;"",""))</f>
        <v/>
      </c>
      <c r="I1003" s="25">
        <f>IF(AND(A1003="",C1003="",D1003=""),"",IF(A1003="","Date missing",IF(NOT(ISNUMBER(A1003)),"Date not recognized",IF(YEAR(A1003)&lt;&gt;Settings!$C$4,"Not in "&amp;Settings!$C$4,IF(C1003="","Category missing",IF(H1003="",IF(COUNTIF(Categories!$A$6:$A$65,C1003)&gt;0,"Category has no type","Category not in list"),IF(D1003="","Amount missing",IF(NOT(ISNUMBER(D1003)),"Amount is not a number",IF(F1003="","",IF(ISNA(MATCH(F1003,Lists!$G$2:$G$25,0)),"Goal / fund not in list",IF(H1003="Income","Fund tag ignored on income","")))))))))))</f>
        <v/>
      </c>
    </row>
    <row r="1004">
      <c r="A1004" s="27" t="n"/>
      <c r="B1004" s="23" t="n"/>
      <c r="C1004" s="23" t="n"/>
      <c r="D1004" s="28" t="n"/>
      <c r="E1004" s="23" t="n"/>
      <c r="F1004" s="23" t="n"/>
      <c r="G1004" s="23" t="n"/>
      <c r="H1004" s="29">
        <f>IF(C1004="","",IFERROR(INDEX(Categories!$B$6:$B$65,MATCH(C1004,Categories!$A$6:$A$65,0))&amp;"",""))</f>
        <v/>
      </c>
      <c r="I1004" s="25">
        <f>IF(AND(A1004="",C1004="",D1004=""),"",IF(A1004="","Date missing",IF(NOT(ISNUMBER(A1004)),"Date not recognized",IF(YEAR(A1004)&lt;&gt;Settings!$C$4,"Not in "&amp;Settings!$C$4,IF(C1004="","Category missing",IF(H1004="",IF(COUNTIF(Categories!$A$6:$A$65,C1004)&gt;0,"Category has no type","Category not in list"),IF(D1004="","Amount missing",IF(NOT(ISNUMBER(D1004)),"Amount is not a number",IF(F1004="","",IF(ISNA(MATCH(F1004,Lists!$G$2:$G$25,0)),"Goal / fund not in list",IF(H1004="Income","Fund tag ignored on income","")))))))))))</f>
        <v/>
      </c>
    </row>
    <row r="1005">
      <c r="A1005" s="27" t="n"/>
      <c r="B1005" s="23" t="n"/>
      <c r="C1005" s="23" t="n"/>
      <c r="D1005" s="28" t="n"/>
      <c r="E1005" s="23" t="n"/>
      <c r="F1005" s="23" t="n"/>
      <c r="G1005" s="23" t="n"/>
      <c r="H1005" s="29">
        <f>IF(C1005="","",IFERROR(INDEX(Categories!$B$6:$B$65,MATCH(C1005,Categories!$A$6:$A$65,0))&amp;"",""))</f>
        <v/>
      </c>
      <c r="I1005" s="25">
        <f>IF(AND(A1005="",C1005="",D1005=""),"",IF(A1005="","Date missing",IF(NOT(ISNUMBER(A1005)),"Date not recognized",IF(YEAR(A1005)&lt;&gt;Settings!$C$4,"Not in "&amp;Settings!$C$4,IF(C1005="","Category missing",IF(H1005="",IF(COUNTIF(Categories!$A$6:$A$65,C1005)&gt;0,"Category has no type","Category not in list"),IF(D1005="","Amount missing",IF(NOT(ISNUMBER(D1005)),"Amount is not a number",IF(F1005="","",IF(ISNA(MATCH(F1005,Lists!$G$2:$G$25,0)),"Goal / fund not in list",IF(H1005="Income","Fund tag ignored on income","")))))))))))</f>
        <v/>
      </c>
    </row>
    <row r="1006">
      <c r="A1006" s="27" t="n"/>
      <c r="B1006" s="23" t="n"/>
      <c r="C1006" s="23" t="n"/>
      <c r="D1006" s="28" t="n"/>
      <c r="E1006" s="23" t="n"/>
      <c r="F1006" s="23" t="n"/>
      <c r="G1006" s="23" t="n"/>
      <c r="H1006" s="29">
        <f>IF(C1006="","",IFERROR(INDEX(Categories!$B$6:$B$65,MATCH(C1006,Categories!$A$6:$A$65,0))&amp;"",""))</f>
        <v/>
      </c>
      <c r="I1006" s="25">
        <f>IF(AND(A1006="",C1006="",D1006=""),"",IF(A1006="","Date missing",IF(NOT(ISNUMBER(A1006)),"Date not recognized",IF(YEAR(A1006)&lt;&gt;Settings!$C$4,"Not in "&amp;Settings!$C$4,IF(C1006="","Category missing",IF(H1006="",IF(COUNTIF(Categories!$A$6:$A$65,C1006)&gt;0,"Category has no type","Category not in list"),IF(D1006="","Amount missing",IF(NOT(ISNUMBER(D1006)),"Amount is not a number",IF(F1006="","",IF(ISNA(MATCH(F1006,Lists!$G$2:$G$25,0)),"Goal / fund not in list",IF(H1006="Income","Fund tag ignored on income","")))))))))))</f>
        <v/>
      </c>
    </row>
    <row r="1007">
      <c r="A1007" s="27" t="n"/>
      <c r="B1007" s="23" t="n"/>
      <c r="C1007" s="23" t="n"/>
      <c r="D1007" s="28" t="n"/>
      <c r="E1007" s="23" t="n"/>
      <c r="F1007" s="23" t="n"/>
      <c r="G1007" s="23" t="n"/>
      <c r="H1007" s="29">
        <f>IF(C1007="","",IFERROR(INDEX(Categories!$B$6:$B$65,MATCH(C1007,Categories!$A$6:$A$65,0))&amp;"",""))</f>
        <v/>
      </c>
      <c r="I1007" s="25">
        <f>IF(AND(A1007="",C1007="",D1007=""),"",IF(A1007="","Date missing",IF(NOT(ISNUMBER(A1007)),"Date not recognized",IF(YEAR(A1007)&lt;&gt;Settings!$C$4,"Not in "&amp;Settings!$C$4,IF(C1007="","Category missing",IF(H1007="",IF(COUNTIF(Categories!$A$6:$A$65,C1007)&gt;0,"Category has no type","Category not in list"),IF(D1007="","Amount missing",IF(NOT(ISNUMBER(D1007)),"Amount is not a number",IF(F1007="","",IF(ISNA(MATCH(F1007,Lists!$G$2:$G$25,0)),"Goal / fund not in list",IF(H1007="Income","Fund tag ignored on income","")))))))))))</f>
        <v/>
      </c>
    </row>
    <row r="1008">
      <c r="A1008" s="27" t="n"/>
      <c r="B1008" s="23" t="n"/>
      <c r="C1008" s="23" t="n"/>
      <c r="D1008" s="28" t="n"/>
      <c r="E1008" s="23" t="n"/>
      <c r="F1008" s="23" t="n"/>
      <c r="G1008" s="23" t="n"/>
      <c r="H1008" s="29">
        <f>IF(C1008="","",IFERROR(INDEX(Categories!$B$6:$B$65,MATCH(C1008,Categories!$A$6:$A$65,0))&amp;"",""))</f>
        <v/>
      </c>
      <c r="I1008" s="25">
        <f>IF(AND(A1008="",C1008="",D1008=""),"",IF(A1008="","Date missing",IF(NOT(ISNUMBER(A1008)),"Date not recognized",IF(YEAR(A1008)&lt;&gt;Settings!$C$4,"Not in "&amp;Settings!$C$4,IF(C1008="","Category missing",IF(H1008="",IF(COUNTIF(Categories!$A$6:$A$65,C1008)&gt;0,"Category has no type","Category not in list"),IF(D1008="","Amount missing",IF(NOT(ISNUMBER(D1008)),"Amount is not a number",IF(F1008="","",IF(ISNA(MATCH(F1008,Lists!$G$2:$G$25,0)),"Goal / fund not in list",IF(H1008="Income","Fund tag ignored on income","")))))))))))</f>
        <v/>
      </c>
    </row>
    <row r="1009">
      <c r="A1009" s="27" t="n"/>
      <c r="B1009" s="23" t="n"/>
      <c r="C1009" s="23" t="n"/>
      <c r="D1009" s="28" t="n"/>
      <c r="E1009" s="23" t="n"/>
      <c r="F1009" s="23" t="n"/>
      <c r="G1009" s="23" t="n"/>
      <c r="H1009" s="29">
        <f>IF(C1009="","",IFERROR(INDEX(Categories!$B$6:$B$65,MATCH(C1009,Categories!$A$6:$A$65,0))&amp;"",""))</f>
        <v/>
      </c>
      <c r="I1009" s="25">
        <f>IF(AND(A1009="",C1009="",D1009=""),"",IF(A1009="","Date missing",IF(NOT(ISNUMBER(A1009)),"Date not recognized",IF(YEAR(A1009)&lt;&gt;Settings!$C$4,"Not in "&amp;Settings!$C$4,IF(C1009="","Category missing",IF(H1009="",IF(COUNTIF(Categories!$A$6:$A$65,C1009)&gt;0,"Category has no type","Category not in list"),IF(D1009="","Amount missing",IF(NOT(ISNUMBER(D1009)),"Amount is not a number",IF(F1009="","",IF(ISNA(MATCH(F1009,Lists!$G$2:$G$25,0)),"Goal / fund not in list",IF(H1009="Income","Fund tag ignored on income","")))))))))))</f>
        <v/>
      </c>
    </row>
    <row r="1010">
      <c r="A1010" s="27" t="n"/>
      <c r="B1010" s="23" t="n"/>
      <c r="C1010" s="23" t="n"/>
      <c r="D1010" s="28" t="n"/>
      <c r="E1010" s="23" t="n"/>
      <c r="F1010" s="23" t="n"/>
      <c r="G1010" s="23" t="n"/>
      <c r="H1010" s="29">
        <f>IF(C1010="","",IFERROR(INDEX(Categories!$B$6:$B$65,MATCH(C1010,Categories!$A$6:$A$65,0))&amp;"",""))</f>
        <v/>
      </c>
      <c r="I1010" s="25">
        <f>IF(AND(A1010="",C1010="",D1010=""),"",IF(A1010="","Date missing",IF(NOT(ISNUMBER(A1010)),"Date not recognized",IF(YEAR(A1010)&lt;&gt;Settings!$C$4,"Not in "&amp;Settings!$C$4,IF(C1010="","Category missing",IF(H1010="",IF(COUNTIF(Categories!$A$6:$A$65,C1010)&gt;0,"Category has no type","Category not in list"),IF(D1010="","Amount missing",IF(NOT(ISNUMBER(D1010)),"Amount is not a number",IF(F1010="","",IF(ISNA(MATCH(F1010,Lists!$G$2:$G$25,0)),"Goal / fund not in list",IF(H1010="Income","Fund tag ignored on income","")))))))))))</f>
        <v/>
      </c>
    </row>
    <row r="1011">
      <c r="A1011" s="27" t="n"/>
      <c r="B1011" s="23" t="n"/>
      <c r="C1011" s="23" t="n"/>
      <c r="D1011" s="28" t="n"/>
      <c r="E1011" s="23" t="n"/>
      <c r="F1011" s="23" t="n"/>
      <c r="G1011" s="23" t="n"/>
      <c r="H1011" s="29">
        <f>IF(C1011="","",IFERROR(INDEX(Categories!$B$6:$B$65,MATCH(C1011,Categories!$A$6:$A$65,0))&amp;"",""))</f>
        <v/>
      </c>
      <c r="I1011" s="25">
        <f>IF(AND(A1011="",C1011="",D1011=""),"",IF(A1011="","Date missing",IF(NOT(ISNUMBER(A1011)),"Date not recognized",IF(YEAR(A1011)&lt;&gt;Settings!$C$4,"Not in "&amp;Settings!$C$4,IF(C1011="","Category missing",IF(H1011="",IF(COUNTIF(Categories!$A$6:$A$65,C1011)&gt;0,"Category has no type","Category not in list"),IF(D1011="","Amount missing",IF(NOT(ISNUMBER(D1011)),"Amount is not a number",IF(F1011="","",IF(ISNA(MATCH(F1011,Lists!$G$2:$G$25,0)),"Goal / fund not in list",IF(H1011="Income","Fund tag ignored on income","")))))))))))</f>
        <v/>
      </c>
    </row>
    <row r="1012">
      <c r="A1012" s="27" t="n"/>
      <c r="B1012" s="23" t="n"/>
      <c r="C1012" s="23" t="n"/>
      <c r="D1012" s="28" t="n"/>
      <c r="E1012" s="23" t="n"/>
      <c r="F1012" s="23" t="n"/>
      <c r="G1012" s="23" t="n"/>
      <c r="H1012" s="29">
        <f>IF(C1012="","",IFERROR(INDEX(Categories!$B$6:$B$65,MATCH(C1012,Categories!$A$6:$A$65,0))&amp;"",""))</f>
        <v/>
      </c>
      <c r="I1012" s="25">
        <f>IF(AND(A1012="",C1012="",D1012=""),"",IF(A1012="","Date missing",IF(NOT(ISNUMBER(A1012)),"Date not recognized",IF(YEAR(A1012)&lt;&gt;Settings!$C$4,"Not in "&amp;Settings!$C$4,IF(C1012="","Category missing",IF(H1012="",IF(COUNTIF(Categories!$A$6:$A$65,C1012)&gt;0,"Category has no type","Category not in list"),IF(D1012="","Amount missing",IF(NOT(ISNUMBER(D1012)),"Amount is not a number",IF(F1012="","",IF(ISNA(MATCH(F1012,Lists!$G$2:$G$25,0)),"Goal / fund not in list",IF(H1012="Income","Fund tag ignored on income","")))))))))))</f>
        <v/>
      </c>
    </row>
    <row r="1013">
      <c r="A1013" s="27" t="n"/>
      <c r="B1013" s="23" t="n"/>
      <c r="C1013" s="23" t="n"/>
      <c r="D1013" s="28" t="n"/>
      <c r="E1013" s="23" t="n"/>
      <c r="F1013" s="23" t="n"/>
      <c r="G1013" s="23" t="n"/>
      <c r="H1013" s="29">
        <f>IF(C1013="","",IFERROR(INDEX(Categories!$B$6:$B$65,MATCH(C1013,Categories!$A$6:$A$65,0))&amp;"",""))</f>
        <v/>
      </c>
      <c r="I1013" s="25">
        <f>IF(AND(A1013="",C1013="",D1013=""),"",IF(A1013="","Date missing",IF(NOT(ISNUMBER(A1013)),"Date not recognized",IF(YEAR(A1013)&lt;&gt;Settings!$C$4,"Not in "&amp;Settings!$C$4,IF(C1013="","Category missing",IF(H1013="",IF(COUNTIF(Categories!$A$6:$A$65,C1013)&gt;0,"Category has no type","Category not in list"),IF(D1013="","Amount missing",IF(NOT(ISNUMBER(D1013)),"Amount is not a number",IF(F1013="","",IF(ISNA(MATCH(F1013,Lists!$G$2:$G$25,0)),"Goal / fund not in list",IF(H1013="Income","Fund tag ignored on income","")))))))))))</f>
        <v/>
      </c>
    </row>
    <row r="1014">
      <c r="A1014" s="27" t="n"/>
      <c r="B1014" s="23" t="n"/>
      <c r="C1014" s="23" t="n"/>
      <c r="D1014" s="28" t="n"/>
      <c r="E1014" s="23" t="n"/>
      <c r="F1014" s="23" t="n"/>
      <c r="G1014" s="23" t="n"/>
      <c r="H1014" s="29">
        <f>IF(C1014="","",IFERROR(INDEX(Categories!$B$6:$B$65,MATCH(C1014,Categories!$A$6:$A$65,0))&amp;"",""))</f>
        <v/>
      </c>
      <c r="I1014" s="25">
        <f>IF(AND(A1014="",C1014="",D1014=""),"",IF(A1014="","Date missing",IF(NOT(ISNUMBER(A1014)),"Date not recognized",IF(YEAR(A1014)&lt;&gt;Settings!$C$4,"Not in "&amp;Settings!$C$4,IF(C1014="","Category missing",IF(H1014="",IF(COUNTIF(Categories!$A$6:$A$65,C1014)&gt;0,"Category has no type","Category not in list"),IF(D1014="","Amount missing",IF(NOT(ISNUMBER(D1014)),"Amount is not a number",IF(F1014="","",IF(ISNA(MATCH(F1014,Lists!$G$2:$G$25,0)),"Goal / fund not in list",IF(H1014="Income","Fund tag ignored on income","")))))))))))</f>
        <v/>
      </c>
    </row>
    <row r="1015">
      <c r="A1015" s="27" t="n"/>
      <c r="B1015" s="23" t="n"/>
      <c r="C1015" s="23" t="n"/>
      <c r="D1015" s="28" t="n"/>
      <c r="E1015" s="23" t="n"/>
      <c r="F1015" s="23" t="n"/>
      <c r="G1015" s="23" t="n"/>
      <c r="H1015" s="29">
        <f>IF(C1015="","",IFERROR(INDEX(Categories!$B$6:$B$65,MATCH(C1015,Categories!$A$6:$A$65,0))&amp;"",""))</f>
        <v/>
      </c>
      <c r="I1015" s="25">
        <f>IF(AND(A1015="",C1015="",D1015=""),"",IF(A1015="","Date missing",IF(NOT(ISNUMBER(A1015)),"Date not recognized",IF(YEAR(A1015)&lt;&gt;Settings!$C$4,"Not in "&amp;Settings!$C$4,IF(C1015="","Category missing",IF(H1015="",IF(COUNTIF(Categories!$A$6:$A$65,C1015)&gt;0,"Category has no type","Category not in list"),IF(D1015="","Amount missing",IF(NOT(ISNUMBER(D1015)),"Amount is not a number",IF(F1015="","",IF(ISNA(MATCH(F1015,Lists!$G$2:$G$25,0)),"Goal / fund not in list",IF(H1015="Income","Fund tag ignored on income","")))))))))))</f>
        <v/>
      </c>
    </row>
    <row r="1016">
      <c r="A1016" s="27" t="n"/>
      <c r="B1016" s="23" t="n"/>
      <c r="C1016" s="23" t="n"/>
      <c r="D1016" s="28" t="n"/>
      <c r="E1016" s="23" t="n"/>
      <c r="F1016" s="23" t="n"/>
      <c r="G1016" s="23" t="n"/>
      <c r="H1016" s="29">
        <f>IF(C1016="","",IFERROR(INDEX(Categories!$B$6:$B$65,MATCH(C1016,Categories!$A$6:$A$65,0))&amp;"",""))</f>
        <v/>
      </c>
      <c r="I1016" s="25">
        <f>IF(AND(A1016="",C1016="",D1016=""),"",IF(A1016="","Date missing",IF(NOT(ISNUMBER(A1016)),"Date not recognized",IF(YEAR(A1016)&lt;&gt;Settings!$C$4,"Not in "&amp;Settings!$C$4,IF(C1016="","Category missing",IF(H1016="",IF(COUNTIF(Categories!$A$6:$A$65,C1016)&gt;0,"Category has no type","Category not in list"),IF(D1016="","Amount missing",IF(NOT(ISNUMBER(D1016)),"Amount is not a number",IF(F1016="","",IF(ISNA(MATCH(F1016,Lists!$G$2:$G$25,0)),"Goal / fund not in list",IF(H1016="Income","Fund tag ignored on income","")))))))))))</f>
        <v/>
      </c>
    </row>
    <row r="1017">
      <c r="A1017" s="27" t="n"/>
      <c r="B1017" s="23" t="n"/>
      <c r="C1017" s="23" t="n"/>
      <c r="D1017" s="28" t="n"/>
      <c r="E1017" s="23" t="n"/>
      <c r="F1017" s="23" t="n"/>
      <c r="G1017" s="23" t="n"/>
      <c r="H1017" s="29">
        <f>IF(C1017="","",IFERROR(INDEX(Categories!$B$6:$B$65,MATCH(C1017,Categories!$A$6:$A$65,0))&amp;"",""))</f>
        <v/>
      </c>
      <c r="I1017" s="25">
        <f>IF(AND(A1017="",C1017="",D1017=""),"",IF(A1017="","Date missing",IF(NOT(ISNUMBER(A1017)),"Date not recognized",IF(YEAR(A1017)&lt;&gt;Settings!$C$4,"Not in "&amp;Settings!$C$4,IF(C1017="","Category missing",IF(H1017="",IF(COUNTIF(Categories!$A$6:$A$65,C1017)&gt;0,"Category has no type","Category not in list"),IF(D1017="","Amount missing",IF(NOT(ISNUMBER(D1017)),"Amount is not a number",IF(F1017="","",IF(ISNA(MATCH(F1017,Lists!$G$2:$G$25,0)),"Goal / fund not in list",IF(H1017="Income","Fund tag ignored on income","")))))))))))</f>
        <v/>
      </c>
    </row>
    <row r="1018">
      <c r="A1018" s="27" t="n"/>
      <c r="B1018" s="23" t="n"/>
      <c r="C1018" s="23" t="n"/>
      <c r="D1018" s="28" t="n"/>
      <c r="E1018" s="23" t="n"/>
      <c r="F1018" s="23" t="n"/>
      <c r="G1018" s="23" t="n"/>
      <c r="H1018" s="29">
        <f>IF(C1018="","",IFERROR(INDEX(Categories!$B$6:$B$65,MATCH(C1018,Categories!$A$6:$A$65,0))&amp;"",""))</f>
        <v/>
      </c>
      <c r="I1018" s="25">
        <f>IF(AND(A1018="",C1018="",D1018=""),"",IF(A1018="","Date missing",IF(NOT(ISNUMBER(A1018)),"Date not recognized",IF(YEAR(A1018)&lt;&gt;Settings!$C$4,"Not in "&amp;Settings!$C$4,IF(C1018="","Category missing",IF(H1018="",IF(COUNTIF(Categories!$A$6:$A$65,C1018)&gt;0,"Category has no type","Category not in list"),IF(D1018="","Amount missing",IF(NOT(ISNUMBER(D1018)),"Amount is not a number",IF(F1018="","",IF(ISNA(MATCH(F1018,Lists!$G$2:$G$25,0)),"Goal / fund not in list",IF(H1018="Income","Fund tag ignored on income","")))))))))))</f>
        <v/>
      </c>
    </row>
    <row r="1019">
      <c r="A1019" s="27" t="n"/>
      <c r="B1019" s="23" t="n"/>
      <c r="C1019" s="23" t="n"/>
      <c r="D1019" s="28" t="n"/>
      <c r="E1019" s="23" t="n"/>
      <c r="F1019" s="23" t="n"/>
      <c r="G1019" s="23" t="n"/>
      <c r="H1019" s="29">
        <f>IF(C1019="","",IFERROR(INDEX(Categories!$B$6:$B$65,MATCH(C1019,Categories!$A$6:$A$65,0))&amp;"",""))</f>
        <v/>
      </c>
      <c r="I1019" s="25">
        <f>IF(AND(A1019="",C1019="",D1019=""),"",IF(A1019="","Date missing",IF(NOT(ISNUMBER(A1019)),"Date not recognized",IF(YEAR(A1019)&lt;&gt;Settings!$C$4,"Not in "&amp;Settings!$C$4,IF(C1019="","Category missing",IF(H1019="",IF(COUNTIF(Categories!$A$6:$A$65,C1019)&gt;0,"Category has no type","Category not in list"),IF(D1019="","Amount missing",IF(NOT(ISNUMBER(D1019)),"Amount is not a number",IF(F1019="","",IF(ISNA(MATCH(F1019,Lists!$G$2:$G$25,0)),"Goal / fund not in list",IF(H1019="Income","Fund tag ignored on income","")))))))))))</f>
        <v/>
      </c>
    </row>
    <row r="1020">
      <c r="A1020" s="27" t="n"/>
      <c r="B1020" s="23" t="n"/>
      <c r="C1020" s="23" t="n"/>
      <c r="D1020" s="28" t="n"/>
      <c r="E1020" s="23" t="n"/>
      <c r="F1020" s="23" t="n"/>
      <c r="G1020" s="23" t="n"/>
      <c r="H1020" s="29">
        <f>IF(C1020="","",IFERROR(INDEX(Categories!$B$6:$B$65,MATCH(C1020,Categories!$A$6:$A$65,0))&amp;"",""))</f>
        <v/>
      </c>
      <c r="I1020" s="25">
        <f>IF(AND(A1020="",C1020="",D1020=""),"",IF(A1020="","Date missing",IF(NOT(ISNUMBER(A1020)),"Date not recognized",IF(YEAR(A1020)&lt;&gt;Settings!$C$4,"Not in "&amp;Settings!$C$4,IF(C1020="","Category missing",IF(H1020="",IF(COUNTIF(Categories!$A$6:$A$65,C1020)&gt;0,"Category has no type","Category not in list"),IF(D1020="","Amount missing",IF(NOT(ISNUMBER(D1020)),"Amount is not a number",IF(F1020="","",IF(ISNA(MATCH(F1020,Lists!$G$2:$G$25,0)),"Goal / fund not in list",IF(H1020="Income","Fund tag ignored on income","")))))))))))</f>
        <v/>
      </c>
    </row>
    <row r="1021">
      <c r="A1021" s="27" t="n"/>
      <c r="B1021" s="23" t="n"/>
      <c r="C1021" s="23" t="n"/>
      <c r="D1021" s="28" t="n"/>
      <c r="E1021" s="23" t="n"/>
      <c r="F1021" s="23" t="n"/>
      <c r="G1021" s="23" t="n"/>
      <c r="H1021" s="29">
        <f>IF(C1021="","",IFERROR(INDEX(Categories!$B$6:$B$65,MATCH(C1021,Categories!$A$6:$A$65,0))&amp;"",""))</f>
        <v/>
      </c>
      <c r="I1021" s="25">
        <f>IF(AND(A1021="",C1021="",D1021=""),"",IF(A1021="","Date missing",IF(NOT(ISNUMBER(A1021)),"Date not recognized",IF(YEAR(A1021)&lt;&gt;Settings!$C$4,"Not in "&amp;Settings!$C$4,IF(C1021="","Category missing",IF(H1021="",IF(COUNTIF(Categories!$A$6:$A$65,C1021)&gt;0,"Category has no type","Category not in list"),IF(D1021="","Amount missing",IF(NOT(ISNUMBER(D1021)),"Amount is not a number",IF(F1021="","",IF(ISNA(MATCH(F1021,Lists!$G$2:$G$25,0)),"Goal / fund not in list",IF(H1021="Income","Fund tag ignored on income","")))))))))))</f>
        <v/>
      </c>
    </row>
    <row r="1022">
      <c r="A1022" s="27" t="n"/>
      <c r="B1022" s="23" t="n"/>
      <c r="C1022" s="23" t="n"/>
      <c r="D1022" s="28" t="n"/>
      <c r="E1022" s="23" t="n"/>
      <c r="F1022" s="23" t="n"/>
      <c r="G1022" s="23" t="n"/>
      <c r="H1022" s="29">
        <f>IF(C1022="","",IFERROR(INDEX(Categories!$B$6:$B$65,MATCH(C1022,Categories!$A$6:$A$65,0))&amp;"",""))</f>
        <v/>
      </c>
      <c r="I1022" s="25">
        <f>IF(AND(A1022="",C1022="",D1022=""),"",IF(A1022="","Date missing",IF(NOT(ISNUMBER(A1022)),"Date not recognized",IF(YEAR(A1022)&lt;&gt;Settings!$C$4,"Not in "&amp;Settings!$C$4,IF(C1022="","Category missing",IF(H1022="",IF(COUNTIF(Categories!$A$6:$A$65,C1022)&gt;0,"Category has no type","Category not in list"),IF(D1022="","Amount missing",IF(NOT(ISNUMBER(D1022)),"Amount is not a number",IF(F1022="","",IF(ISNA(MATCH(F1022,Lists!$G$2:$G$25,0)),"Goal / fund not in list",IF(H1022="Income","Fund tag ignored on income","")))))))))))</f>
        <v/>
      </c>
    </row>
    <row r="1023">
      <c r="A1023" s="27" t="n"/>
      <c r="B1023" s="23" t="n"/>
      <c r="C1023" s="23" t="n"/>
      <c r="D1023" s="28" t="n"/>
      <c r="E1023" s="23" t="n"/>
      <c r="F1023" s="23" t="n"/>
      <c r="G1023" s="23" t="n"/>
      <c r="H1023" s="29">
        <f>IF(C1023="","",IFERROR(INDEX(Categories!$B$6:$B$65,MATCH(C1023,Categories!$A$6:$A$65,0))&amp;"",""))</f>
        <v/>
      </c>
      <c r="I1023" s="25">
        <f>IF(AND(A1023="",C1023="",D1023=""),"",IF(A1023="","Date missing",IF(NOT(ISNUMBER(A1023)),"Date not recognized",IF(YEAR(A1023)&lt;&gt;Settings!$C$4,"Not in "&amp;Settings!$C$4,IF(C1023="","Category missing",IF(H1023="",IF(COUNTIF(Categories!$A$6:$A$65,C1023)&gt;0,"Category has no type","Category not in list"),IF(D1023="","Amount missing",IF(NOT(ISNUMBER(D1023)),"Amount is not a number",IF(F1023="","",IF(ISNA(MATCH(F1023,Lists!$G$2:$G$25,0)),"Goal / fund not in list",IF(H1023="Income","Fund tag ignored on income","")))))))))))</f>
        <v/>
      </c>
    </row>
    <row r="1024">
      <c r="A1024" s="27" t="n"/>
      <c r="B1024" s="23" t="n"/>
      <c r="C1024" s="23" t="n"/>
      <c r="D1024" s="28" t="n"/>
      <c r="E1024" s="23" t="n"/>
      <c r="F1024" s="23" t="n"/>
      <c r="G1024" s="23" t="n"/>
      <c r="H1024" s="29">
        <f>IF(C1024="","",IFERROR(INDEX(Categories!$B$6:$B$65,MATCH(C1024,Categories!$A$6:$A$65,0))&amp;"",""))</f>
        <v/>
      </c>
      <c r="I1024" s="25">
        <f>IF(AND(A1024="",C1024="",D1024=""),"",IF(A1024="","Date missing",IF(NOT(ISNUMBER(A1024)),"Date not recognized",IF(YEAR(A1024)&lt;&gt;Settings!$C$4,"Not in "&amp;Settings!$C$4,IF(C1024="","Category missing",IF(H1024="",IF(COUNTIF(Categories!$A$6:$A$65,C1024)&gt;0,"Category has no type","Category not in list"),IF(D1024="","Amount missing",IF(NOT(ISNUMBER(D1024)),"Amount is not a number",IF(F1024="","",IF(ISNA(MATCH(F1024,Lists!$G$2:$G$25,0)),"Goal / fund not in list",IF(H1024="Income","Fund tag ignored on income","")))))))))))</f>
        <v/>
      </c>
    </row>
    <row r="1025">
      <c r="A1025" s="27" t="n"/>
      <c r="B1025" s="23" t="n"/>
      <c r="C1025" s="23" t="n"/>
      <c r="D1025" s="28" t="n"/>
      <c r="E1025" s="23" t="n"/>
      <c r="F1025" s="23" t="n"/>
      <c r="G1025" s="23" t="n"/>
      <c r="H1025" s="29">
        <f>IF(C1025="","",IFERROR(INDEX(Categories!$B$6:$B$65,MATCH(C1025,Categories!$A$6:$A$65,0))&amp;"",""))</f>
        <v/>
      </c>
      <c r="I1025" s="25">
        <f>IF(AND(A1025="",C1025="",D1025=""),"",IF(A1025="","Date missing",IF(NOT(ISNUMBER(A1025)),"Date not recognized",IF(YEAR(A1025)&lt;&gt;Settings!$C$4,"Not in "&amp;Settings!$C$4,IF(C1025="","Category missing",IF(H1025="",IF(COUNTIF(Categories!$A$6:$A$65,C1025)&gt;0,"Category has no type","Category not in list"),IF(D1025="","Amount missing",IF(NOT(ISNUMBER(D1025)),"Amount is not a number",IF(F1025="","",IF(ISNA(MATCH(F1025,Lists!$G$2:$G$25,0)),"Goal / fund not in list",IF(H1025="Income","Fund tag ignored on income","")))))))))))</f>
        <v/>
      </c>
    </row>
    <row r="1026">
      <c r="A1026" s="27" t="n"/>
      <c r="B1026" s="23" t="n"/>
      <c r="C1026" s="23" t="n"/>
      <c r="D1026" s="28" t="n"/>
      <c r="E1026" s="23" t="n"/>
      <c r="F1026" s="23" t="n"/>
      <c r="G1026" s="23" t="n"/>
      <c r="H1026" s="29">
        <f>IF(C1026="","",IFERROR(INDEX(Categories!$B$6:$B$65,MATCH(C1026,Categories!$A$6:$A$65,0))&amp;"",""))</f>
        <v/>
      </c>
      <c r="I1026" s="25">
        <f>IF(AND(A1026="",C1026="",D1026=""),"",IF(A1026="","Date missing",IF(NOT(ISNUMBER(A1026)),"Date not recognized",IF(YEAR(A1026)&lt;&gt;Settings!$C$4,"Not in "&amp;Settings!$C$4,IF(C1026="","Category missing",IF(H1026="",IF(COUNTIF(Categories!$A$6:$A$65,C1026)&gt;0,"Category has no type","Category not in list"),IF(D1026="","Amount missing",IF(NOT(ISNUMBER(D1026)),"Amount is not a number",IF(F1026="","",IF(ISNA(MATCH(F1026,Lists!$G$2:$G$25,0)),"Goal / fund not in list",IF(H1026="Income","Fund tag ignored on income","")))))))))))</f>
        <v/>
      </c>
    </row>
    <row r="1027">
      <c r="A1027" s="27" t="n"/>
      <c r="B1027" s="23" t="n"/>
      <c r="C1027" s="23" t="n"/>
      <c r="D1027" s="28" t="n"/>
      <c r="E1027" s="23" t="n"/>
      <c r="F1027" s="23" t="n"/>
      <c r="G1027" s="23" t="n"/>
      <c r="H1027" s="29">
        <f>IF(C1027="","",IFERROR(INDEX(Categories!$B$6:$B$65,MATCH(C1027,Categories!$A$6:$A$65,0))&amp;"",""))</f>
        <v/>
      </c>
      <c r="I1027" s="25">
        <f>IF(AND(A1027="",C1027="",D1027=""),"",IF(A1027="","Date missing",IF(NOT(ISNUMBER(A1027)),"Date not recognized",IF(YEAR(A1027)&lt;&gt;Settings!$C$4,"Not in "&amp;Settings!$C$4,IF(C1027="","Category missing",IF(H1027="",IF(COUNTIF(Categories!$A$6:$A$65,C1027)&gt;0,"Category has no type","Category not in list"),IF(D1027="","Amount missing",IF(NOT(ISNUMBER(D1027)),"Amount is not a number",IF(F1027="","",IF(ISNA(MATCH(F1027,Lists!$G$2:$G$25,0)),"Goal / fund not in list",IF(H1027="Income","Fund tag ignored on income","")))))))))))</f>
        <v/>
      </c>
    </row>
    <row r="1028">
      <c r="A1028" s="27" t="n"/>
      <c r="B1028" s="23" t="n"/>
      <c r="C1028" s="23" t="n"/>
      <c r="D1028" s="28" t="n"/>
      <c r="E1028" s="23" t="n"/>
      <c r="F1028" s="23" t="n"/>
      <c r="G1028" s="23" t="n"/>
      <c r="H1028" s="29">
        <f>IF(C1028="","",IFERROR(INDEX(Categories!$B$6:$B$65,MATCH(C1028,Categories!$A$6:$A$65,0))&amp;"",""))</f>
        <v/>
      </c>
      <c r="I1028" s="25">
        <f>IF(AND(A1028="",C1028="",D1028=""),"",IF(A1028="","Date missing",IF(NOT(ISNUMBER(A1028)),"Date not recognized",IF(YEAR(A1028)&lt;&gt;Settings!$C$4,"Not in "&amp;Settings!$C$4,IF(C1028="","Category missing",IF(H1028="",IF(COUNTIF(Categories!$A$6:$A$65,C1028)&gt;0,"Category has no type","Category not in list"),IF(D1028="","Amount missing",IF(NOT(ISNUMBER(D1028)),"Amount is not a number",IF(F1028="","",IF(ISNA(MATCH(F1028,Lists!$G$2:$G$25,0)),"Goal / fund not in list",IF(H1028="Income","Fund tag ignored on income","")))))))))))</f>
        <v/>
      </c>
    </row>
    <row r="1029">
      <c r="A1029" s="27" t="n"/>
      <c r="B1029" s="23" t="n"/>
      <c r="C1029" s="23" t="n"/>
      <c r="D1029" s="28" t="n"/>
      <c r="E1029" s="23" t="n"/>
      <c r="F1029" s="23" t="n"/>
      <c r="G1029" s="23" t="n"/>
      <c r="H1029" s="29">
        <f>IF(C1029="","",IFERROR(INDEX(Categories!$B$6:$B$65,MATCH(C1029,Categories!$A$6:$A$65,0))&amp;"",""))</f>
        <v/>
      </c>
      <c r="I1029" s="25">
        <f>IF(AND(A1029="",C1029="",D1029=""),"",IF(A1029="","Date missing",IF(NOT(ISNUMBER(A1029)),"Date not recognized",IF(YEAR(A1029)&lt;&gt;Settings!$C$4,"Not in "&amp;Settings!$C$4,IF(C1029="","Category missing",IF(H1029="",IF(COUNTIF(Categories!$A$6:$A$65,C1029)&gt;0,"Category has no type","Category not in list"),IF(D1029="","Amount missing",IF(NOT(ISNUMBER(D1029)),"Amount is not a number",IF(F1029="","",IF(ISNA(MATCH(F1029,Lists!$G$2:$G$25,0)),"Goal / fund not in list",IF(H1029="Income","Fund tag ignored on income","")))))))))))</f>
        <v/>
      </c>
    </row>
    <row r="1030">
      <c r="A1030" s="27" t="n"/>
      <c r="B1030" s="23" t="n"/>
      <c r="C1030" s="23" t="n"/>
      <c r="D1030" s="28" t="n"/>
      <c r="E1030" s="23" t="n"/>
      <c r="F1030" s="23" t="n"/>
      <c r="G1030" s="23" t="n"/>
      <c r="H1030" s="29">
        <f>IF(C1030="","",IFERROR(INDEX(Categories!$B$6:$B$65,MATCH(C1030,Categories!$A$6:$A$65,0))&amp;"",""))</f>
        <v/>
      </c>
      <c r="I1030" s="25">
        <f>IF(AND(A1030="",C1030="",D1030=""),"",IF(A1030="","Date missing",IF(NOT(ISNUMBER(A1030)),"Date not recognized",IF(YEAR(A1030)&lt;&gt;Settings!$C$4,"Not in "&amp;Settings!$C$4,IF(C1030="","Category missing",IF(H1030="",IF(COUNTIF(Categories!$A$6:$A$65,C1030)&gt;0,"Category has no type","Category not in list"),IF(D1030="","Amount missing",IF(NOT(ISNUMBER(D1030)),"Amount is not a number",IF(F1030="","",IF(ISNA(MATCH(F1030,Lists!$G$2:$G$25,0)),"Goal / fund not in list",IF(H1030="Income","Fund tag ignored on income","")))))))))))</f>
        <v/>
      </c>
    </row>
    <row r="1031">
      <c r="A1031" s="27" t="n"/>
      <c r="B1031" s="23" t="n"/>
      <c r="C1031" s="23" t="n"/>
      <c r="D1031" s="28" t="n"/>
      <c r="E1031" s="23" t="n"/>
      <c r="F1031" s="23" t="n"/>
      <c r="G1031" s="23" t="n"/>
      <c r="H1031" s="29">
        <f>IF(C1031="","",IFERROR(INDEX(Categories!$B$6:$B$65,MATCH(C1031,Categories!$A$6:$A$65,0))&amp;"",""))</f>
        <v/>
      </c>
      <c r="I1031" s="25">
        <f>IF(AND(A1031="",C1031="",D1031=""),"",IF(A1031="","Date missing",IF(NOT(ISNUMBER(A1031)),"Date not recognized",IF(YEAR(A1031)&lt;&gt;Settings!$C$4,"Not in "&amp;Settings!$C$4,IF(C1031="","Category missing",IF(H1031="",IF(COUNTIF(Categories!$A$6:$A$65,C1031)&gt;0,"Category has no type","Category not in list"),IF(D1031="","Amount missing",IF(NOT(ISNUMBER(D1031)),"Amount is not a number",IF(F1031="","",IF(ISNA(MATCH(F1031,Lists!$G$2:$G$25,0)),"Goal / fund not in list",IF(H1031="Income","Fund tag ignored on income","")))))))))))</f>
        <v/>
      </c>
    </row>
    <row r="1032">
      <c r="A1032" s="27" t="n"/>
      <c r="B1032" s="23" t="n"/>
      <c r="C1032" s="23" t="n"/>
      <c r="D1032" s="28" t="n"/>
      <c r="E1032" s="23" t="n"/>
      <c r="F1032" s="23" t="n"/>
      <c r="G1032" s="23" t="n"/>
      <c r="H1032" s="29">
        <f>IF(C1032="","",IFERROR(INDEX(Categories!$B$6:$B$65,MATCH(C1032,Categories!$A$6:$A$65,0))&amp;"",""))</f>
        <v/>
      </c>
      <c r="I1032" s="25">
        <f>IF(AND(A1032="",C1032="",D1032=""),"",IF(A1032="","Date missing",IF(NOT(ISNUMBER(A1032)),"Date not recognized",IF(YEAR(A1032)&lt;&gt;Settings!$C$4,"Not in "&amp;Settings!$C$4,IF(C1032="","Category missing",IF(H1032="",IF(COUNTIF(Categories!$A$6:$A$65,C1032)&gt;0,"Category has no type","Category not in list"),IF(D1032="","Amount missing",IF(NOT(ISNUMBER(D1032)),"Amount is not a number",IF(F1032="","",IF(ISNA(MATCH(F1032,Lists!$G$2:$G$25,0)),"Goal / fund not in list",IF(H1032="Income","Fund tag ignored on income","")))))))))))</f>
        <v/>
      </c>
    </row>
    <row r="1033">
      <c r="A1033" s="27" t="n"/>
      <c r="B1033" s="23" t="n"/>
      <c r="C1033" s="23" t="n"/>
      <c r="D1033" s="28" t="n"/>
      <c r="E1033" s="23" t="n"/>
      <c r="F1033" s="23" t="n"/>
      <c r="G1033" s="23" t="n"/>
      <c r="H1033" s="29">
        <f>IF(C1033="","",IFERROR(INDEX(Categories!$B$6:$B$65,MATCH(C1033,Categories!$A$6:$A$65,0))&amp;"",""))</f>
        <v/>
      </c>
      <c r="I1033" s="25">
        <f>IF(AND(A1033="",C1033="",D1033=""),"",IF(A1033="","Date missing",IF(NOT(ISNUMBER(A1033)),"Date not recognized",IF(YEAR(A1033)&lt;&gt;Settings!$C$4,"Not in "&amp;Settings!$C$4,IF(C1033="","Category missing",IF(H1033="",IF(COUNTIF(Categories!$A$6:$A$65,C1033)&gt;0,"Category has no type","Category not in list"),IF(D1033="","Amount missing",IF(NOT(ISNUMBER(D1033)),"Amount is not a number",IF(F1033="","",IF(ISNA(MATCH(F1033,Lists!$G$2:$G$25,0)),"Goal / fund not in list",IF(H1033="Income","Fund tag ignored on income","")))))))))))</f>
        <v/>
      </c>
    </row>
    <row r="1034">
      <c r="A1034" s="27" t="n"/>
      <c r="B1034" s="23" t="n"/>
      <c r="C1034" s="23" t="n"/>
      <c r="D1034" s="28" t="n"/>
      <c r="E1034" s="23" t="n"/>
      <c r="F1034" s="23" t="n"/>
      <c r="G1034" s="23" t="n"/>
      <c r="H1034" s="29">
        <f>IF(C1034="","",IFERROR(INDEX(Categories!$B$6:$B$65,MATCH(C1034,Categories!$A$6:$A$65,0))&amp;"",""))</f>
        <v/>
      </c>
      <c r="I1034" s="25">
        <f>IF(AND(A1034="",C1034="",D1034=""),"",IF(A1034="","Date missing",IF(NOT(ISNUMBER(A1034)),"Date not recognized",IF(YEAR(A1034)&lt;&gt;Settings!$C$4,"Not in "&amp;Settings!$C$4,IF(C1034="","Category missing",IF(H1034="",IF(COUNTIF(Categories!$A$6:$A$65,C1034)&gt;0,"Category has no type","Category not in list"),IF(D1034="","Amount missing",IF(NOT(ISNUMBER(D1034)),"Amount is not a number",IF(F1034="","",IF(ISNA(MATCH(F1034,Lists!$G$2:$G$25,0)),"Goal / fund not in list",IF(H1034="Income","Fund tag ignored on income","")))))))))))</f>
        <v/>
      </c>
    </row>
    <row r="1035">
      <c r="A1035" s="27" t="n"/>
      <c r="B1035" s="23" t="n"/>
      <c r="C1035" s="23" t="n"/>
      <c r="D1035" s="28" t="n"/>
      <c r="E1035" s="23" t="n"/>
      <c r="F1035" s="23" t="n"/>
      <c r="G1035" s="23" t="n"/>
      <c r="H1035" s="29">
        <f>IF(C1035="","",IFERROR(INDEX(Categories!$B$6:$B$65,MATCH(C1035,Categories!$A$6:$A$65,0))&amp;"",""))</f>
        <v/>
      </c>
      <c r="I1035" s="25">
        <f>IF(AND(A1035="",C1035="",D1035=""),"",IF(A1035="","Date missing",IF(NOT(ISNUMBER(A1035)),"Date not recognized",IF(YEAR(A1035)&lt;&gt;Settings!$C$4,"Not in "&amp;Settings!$C$4,IF(C1035="","Category missing",IF(H1035="",IF(COUNTIF(Categories!$A$6:$A$65,C1035)&gt;0,"Category has no type","Category not in list"),IF(D1035="","Amount missing",IF(NOT(ISNUMBER(D1035)),"Amount is not a number",IF(F1035="","",IF(ISNA(MATCH(F1035,Lists!$G$2:$G$25,0)),"Goal / fund not in list",IF(H1035="Income","Fund tag ignored on income","")))))))))))</f>
        <v/>
      </c>
    </row>
    <row r="1036">
      <c r="A1036" s="27" t="n"/>
      <c r="B1036" s="23" t="n"/>
      <c r="C1036" s="23" t="n"/>
      <c r="D1036" s="28" t="n"/>
      <c r="E1036" s="23" t="n"/>
      <c r="F1036" s="23" t="n"/>
      <c r="G1036" s="23" t="n"/>
      <c r="H1036" s="29">
        <f>IF(C1036="","",IFERROR(INDEX(Categories!$B$6:$B$65,MATCH(C1036,Categories!$A$6:$A$65,0))&amp;"",""))</f>
        <v/>
      </c>
      <c r="I1036" s="25">
        <f>IF(AND(A1036="",C1036="",D1036=""),"",IF(A1036="","Date missing",IF(NOT(ISNUMBER(A1036)),"Date not recognized",IF(YEAR(A1036)&lt;&gt;Settings!$C$4,"Not in "&amp;Settings!$C$4,IF(C1036="","Category missing",IF(H1036="",IF(COUNTIF(Categories!$A$6:$A$65,C1036)&gt;0,"Category has no type","Category not in list"),IF(D1036="","Amount missing",IF(NOT(ISNUMBER(D1036)),"Amount is not a number",IF(F1036="","",IF(ISNA(MATCH(F1036,Lists!$G$2:$G$25,0)),"Goal / fund not in list",IF(H1036="Income","Fund tag ignored on income","")))))))))))</f>
        <v/>
      </c>
    </row>
    <row r="1037">
      <c r="A1037" s="27" t="n"/>
      <c r="B1037" s="23" t="n"/>
      <c r="C1037" s="23" t="n"/>
      <c r="D1037" s="28" t="n"/>
      <c r="E1037" s="23" t="n"/>
      <c r="F1037" s="23" t="n"/>
      <c r="G1037" s="23" t="n"/>
      <c r="H1037" s="29">
        <f>IF(C1037="","",IFERROR(INDEX(Categories!$B$6:$B$65,MATCH(C1037,Categories!$A$6:$A$65,0))&amp;"",""))</f>
        <v/>
      </c>
      <c r="I1037" s="25">
        <f>IF(AND(A1037="",C1037="",D1037=""),"",IF(A1037="","Date missing",IF(NOT(ISNUMBER(A1037)),"Date not recognized",IF(YEAR(A1037)&lt;&gt;Settings!$C$4,"Not in "&amp;Settings!$C$4,IF(C1037="","Category missing",IF(H1037="",IF(COUNTIF(Categories!$A$6:$A$65,C1037)&gt;0,"Category has no type","Category not in list"),IF(D1037="","Amount missing",IF(NOT(ISNUMBER(D1037)),"Amount is not a number",IF(F1037="","",IF(ISNA(MATCH(F1037,Lists!$G$2:$G$25,0)),"Goal / fund not in list",IF(H1037="Income","Fund tag ignored on income","")))))))))))</f>
        <v/>
      </c>
    </row>
    <row r="1038">
      <c r="A1038" s="27" t="n"/>
      <c r="B1038" s="23" t="n"/>
      <c r="C1038" s="23" t="n"/>
      <c r="D1038" s="28" t="n"/>
      <c r="E1038" s="23" t="n"/>
      <c r="F1038" s="23" t="n"/>
      <c r="G1038" s="23" t="n"/>
      <c r="H1038" s="29">
        <f>IF(C1038="","",IFERROR(INDEX(Categories!$B$6:$B$65,MATCH(C1038,Categories!$A$6:$A$65,0))&amp;"",""))</f>
        <v/>
      </c>
      <c r="I1038" s="25">
        <f>IF(AND(A1038="",C1038="",D1038=""),"",IF(A1038="","Date missing",IF(NOT(ISNUMBER(A1038)),"Date not recognized",IF(YEAR(A1038)&lt;&gt;Settings!$C$4,"Not in "&amp;Settings!$C$4,IF(C1038="","Category missing",IF(H1038="",IF(COUNTIF(Categories!$A$6:$A$65,C1038)&gt;0,"Category has no type","Category not in list"),IF(D1038="","Amount missing",IF(NOT(ISNUMBER(D1038)),"Amount is not a number",IF(F1038="","",IF(ISNA(MATCH(F1038,Lists!$G$2:$G$25,0)),"Goal / fund not in list",IF(H1038="Income","Fund tag ignored on income","")))))))))))</f>
        <v/>
      </c>
    </row>
    <row r="1039">
      <c r="A1039" s="27" t="n"/>
      <c r="B1039" s="23" t="n"/>
      <c r="C1039" s="23" t="n"/>
      <c r="D1039" s="28" t="n"/>
      <c r="E1039" s="23" t="n"/>
      <c r="F1039" s="23" t="n"/>
      <c r="G1039" s="23" t="n"/>
      <c r="H1039" s="29">
        <f>IF(C1039="","",IFERROR(INDEX(Categories!$B$6:$B$65,MATCH(C1039,Categories!$A$6:$A$65,0))&amp;"",""))</f>
        <v/>
      </c>
      <c r="I1039" s="25">
        <f>IF(AND(A1039="",C1039="",D1039=""),"",IF(A1039="","Date missing",IF(NOT(ISNUMBER(A1039)),"Date not recognized",IF(YEAR(A1039)&lt;&gt;Settings!$C$4,"Not in "&amp;Settings!$C$4,IF(C1039="","Category missing",IF(H1039="",IF(COUNTIF(Categories!$A$6:$A$65,C1039)&gt;0,"Category has no type","Category not in list"),IF(D1039="","Amount missing",IF(NOT(ISNUMBER(D1039)),"Amount is not a number",IF(F1039="","",IF(ISNA(MATCH(F1039,Lists!$G$2:$G$25,0)),"Goal / fund not in list",IF(H1039="Income","Fund tag ignored on income","")))))))))))</f>
        <v/>
      </c>
    </row>
    <row r="1040">
      <c r="A1040" s="27" t="n"/>
      <c r="B1040" s="23" t="n"/>
      <c r="C1040" s="23" t="n"/>
      <c r="D1040" s="28" t="n"/>
      <c r="E1040" s="23" t="n"/>
      <c r="F1040" s="23" t="n"/>
      <c r="G1040" s="23" t="n"/>
      <c r="H1040" s="29">
        <f>IF(C1040="","",IFERROR(INDEX(Categories!$B$6:$B$65,MATCH(C1040,Categories!$A$6:$A$65,0))&amp;"",""))</f>
        <v/>
      </c>
      <c r="I1040" s="25">
        <f>IF(AND(A1040="",C1040="",D1040=""),"",IF(A1040="","Date missing",IF(NOT(ISNUMBER(A1040)),"Date not recognized",IF(YEAR(A1040)&lt;&gt;Settings!$C$4,"Not in "&amp;Settings!$C$4,IF(C1040="","Category missing",IF(H1040="",IF(COUNTIF(Categories!$A$6:$A$65,C1040)&gt;0,"Category has no type","Category not in list"),IF(D1040="","Amount missing",IF(NOT(ISNUMBER(D1040)),"Amount is not a number",IF(F1040="","",IF(ISNA(MATCH(F1040,Lists!$G$2:$G$25,0)),"Goal / fund not in list",IF(H1040="Income","Fund tag ignored on income","")))))))))))</f>
        <v/>
      </c>
    </row>
    <row r="1041">
      <c r="A1041" s="27" t="n"/>
      <c r="B1041" s="23" t="n"/>
      <c r="C1041" s="23" t="n"/>
      <c r="D1041" s="28" t="n"/>
      <c r="E1041" s="23" t="n"/>
      <c r="F1041" s="23" t="n"/>
      <c r="G1041" s="23" t="n"/>
      <c r="H1041" s="29">
        <f>IF(C1041="","",IFERROR(INDEX(Categories!$B$6:$B$65,MATCH(C1041,Categories!$A$6:$A$65,0))&amp;"",""))</f>
        <v/>
      </c>
      <c r="I1041" s="25">
        <f>IF(AND(A1041="",C1041="",D1041=""),"",IF(A1041="","Date missing",IF(NOT(ISNUMBER(A1041)),"Date not recognized",IF(YEAR(A1041)&lt;&gt;Settings!$C$4,"Not in "&amp;Settings!$C$4,IF(C1041="","Category missing",IF(H1041="",IF(COUNTIF(Categories!$A$6:$A$65,C1041)&gt;0,"Category has no type","Category not in list"),IF(D1041="","Amount missing",IF(NOT(ISNUMBER(D1041)),"Amount is not a number",IF(F1041="","",IF(ISNA(MATCH(F1041,Lists!$G$2:$G$25,0)),"Goal / fund not in list",IF(H1041="Income","Fund tag ignored on income","")))))))))))</f>
        <v/>
      </c>
    </row>
    <row r="1042">
      <c r="A1042" s="27" t="n"/>
      <c r="B1042" s="23" t="n"/>
      <c r="C1042" s="23" t="n"/>
      <c r="D1042" s="28" t="n"/>
      <c r="E1042" s="23" t="n"/>
      <c r="F1042" s="23" t="n"/>
      <c r="G1042" s="23" t="n"/>
      <c r="H1042" s="29">
        <f>IF(C1042="","",IFERROR(INDEX(Categories!$B$6:$B$65,MATCH(C1042,Categories!$A$6:$A$65,0))&amp;"",""))</f>
        <v/>
      </c>
      <c r="I1042" s="25">
        <f>IF(AND(A1042="",C1042="",D1042=""),"",IF(A1042="","Date missing",IF(NOT(ISNUMBER(A1042)),"Date not recognized",IF(YEAR(A1042)&lt;&gt;Settings!$C$4,"Not in "&amp;Settings!$C$4,IF(C1042="","Category missing",IF(H1042="",IF(COUNTIF(Categories!$A$6:$A$65,C1042)&gt;0,"Category has no type","Category not in list"),IF(D1042="","Amount missing",IF(NOT(ISNUMBER(D1042)),"Amount is not a number",IF(F1042="","",IF(ISNA(MATCH(F1042,Lists!$G$2:$G$25,0)),"Goal / fund not in list",IF(H1042="Income","Fund tag ignored on income","")))))))))))</f>
        <v/>
      </c>
    </row>
    <row r="1043">
      <c r="A1043" s="27" t="n"/>
      <c r="B1043" s="23" t="n"/>
      <c r="C1043" s="23" t="n"/>
      <c r="D1043" s="28" t="n"/>
      <c r="E1043" s="23" t="n"/>
      <c r="F1043" s="23" t="n"/>
      <c r="G1043" s="23" t="n"/>
      <c r="H1043" s="29">
        <f>IF(C1043="","",IFERROR(INDEX(Categories!$B$6:$B$65,MATCH(C1043,Categories!$A$6:$A$65,0))&amp;"",""))</f>
        <v/>
      </c>
      <c r="I1043" s="25">
        <f>IF(AND(A1043="",C1043="",D1043=""),"",IF(A1043="","Date missing",IF(NOT(ISNUMBER(A1043)),"Date not recognized",IF(YEAR(A1043)&lt;&gt;Settings!$C$4,"Not in "&amp;Settings!$C$4,IF(C1043="","Category missing",IF(H1043="",IF(COUNTIF(Categories!$A$6:$A$65,C1043)&gt;0,"Category has no type","Category not in list"),IF(D1043="","Amount missing",IF(NOT(ISNUMBER(D1043)),"Amount is not a number",IF(F1043="","",IF(ISNA(MATCH(F1043,Lists!$G$2:$G$25,0)),"Goal / fund not in list",IF(H1043="Income","Fund tag ignored on income","")))))))))))</f>
        <v/>
      </c>
    </row>
    <row r="1044">
      <c r="A1044" s="27" t="n"/>
      <c r="B1044" s="23" t="n"/>
      <c r="C1044" s="23" t="n"/>
      <c r="D1044" s="28" t="n"/>
      <c r="E1044" s="23" t="n"/>
      <c r="F1044" s="23" t="n"/>
      <c r="G1044" s="23" t="n"/>
      <c r="H1044" s="29">
        <f>IF(C1044="","",IFERROR(INDEX(Categories!$B$6:$B$65,MATCH(C1044,Categories!$A$6:$A$65,0))&amp;"",""))</f>
        <v/>
      </c>
      <c r="I1044" s="25">
        <f>IF(AND(A1044="",C1044="",D1044=""),"",IF(A1044="","Date missing",IF(NOT(ISNUMBER(A1044)),"Date not recognized",IF(YEAR(A1044)&lt;&gt;Settings!$C$4,"Not in "&amp;Settings!$C$4,IF(C1044="","Category missing",IF(H1044="",IF(COUNTIF(Categories!$A$6:$A$65,C1044)&gt;0,"Category has no type","Category not in list"),IF(D1044="","Amount missing",IF(NOT(ISNUMBER(D1044)),"Amount is not a number",IF(F1044="","",IF(ISNA(MATCH(F1044,Lists!$G$2:$G$25,0)),"Goal / fund not in list",IF(H1044="Income","Fund tag ignored on income","")))))))))))</f>
        <v/>
      </c>
    </row>
    <row r="1045">
      <c r="A1045" s="27" t="n"/>
      <c r="B1045" s="23" t="n"/>
      <c r="C1045" s="23" t="n"/>
      <c r="D1045" s="28" t="n"/>
      <c r="E1045" s="23" t="n"/>
      <c r="F1045" s="23" t="n"/>
      <c r="G1045" s="23" t="n"/>
      <c r="H1045" s="29">
        <f>IF(C1045="","",IFERROR(INDEX(Categories!$B$6:$B$65,MATCH(C1045,Categories!$A$6:$A$65,0))&amp;"",""))</f>
        <v/>
      </c>
      <c r="I1045" s="25">
        <f>IF(AND(A1045="",C1045="",D1045=""),"",IF(A1045="","Date missing",IF(NOT(ISNUMBER(A1045)),"Date not recognized",IF(YEAR(A1045)&lt;&gt;Settings!$C$4,"Not in "&amp;Settings!$C$4,IF(C1045="","Category missing",IF(H1045="",IF(COUNTIF(Categories!$A$6:$A$65,C1045)&gt;0,"Category has no type","Category not in list"),IF(D1045="","Amount missing",IF(NOT(ISNUMBER(D1045)),"Amount is not a number",IF(F1045="","",IF(ISNA(MATCH(F1045,Lists!$G$2:$G$25,0)),"Goal / fund not in list",IF(H1045="Income","Fund tag ignored on income","")))))))))))</f>
        <v/>
      </c>
    </row>
    <row r="1046">
      <c r="A1046" s="27" t="n"/>
      <c r="B1046" s="23" t="n"/>
      <c r="C1046" s="23" t="n"/>
      <c r="D1046" s="28" t="n"/>
      <c r="E1046" s="23" t="n"/>
      <c r="F1046" s="23" t="n"/>
      <c r="G1046" s="23" t="n"/>
      <c r="H1046" s="29">
        <f>IF(C1046="","",IFERROR(INDEX(Categories!$B$6:$B$65,MATCH(C1046,Categories!$A$6:$A$65,0))&amp;"",""))</f>
        <v/>
      </c>
      <c r="I1046" s="25">
        <f>IF(AND(A1046="",C1046="",D1046=""),"",IF(A1046="","Date missing",IF(NOT(ISNUMBER(A1046)),"Date not recognized",IF(YEAR(A1046)&lt;&gt;Settings!$C$4,"Not in "&amp;Settings!$C$4,IF(C1046="","Category missing",IF(H1046="",IF(COUNTIF(Categories!$A$6:$A$65,C1046)&gt;0,"Category has no type","Category not in list"),IF(D1046="","Amount missing",IF(NOT(ISNUMBER(D1046)),"Amount is not a number",IF(F1046="","",IF(ISNA(MATCH(F1046,Lists!$G$2:$G$25,0)),"Goal / fund not in list",IF(H1046="Income","Fund tag ignored on income","")))))))))))</f>
        <v/>
      </c>
    </row>
    <row r="1047">
      <c r="A1047" s="27" t="n"/>
      <c r="B1047" s="23" t="n"/>
      <c r="C1047" s="23" t="n"/>
      <c r="D1047" s="28" t="n"/>
      <c r="E1047" s="23" t="n"/>
      <c r="F1047" s="23" t="n"/>
      <c r="G1047" s="23" t="n"/>
      <c r="H1047" s="29">
        <f>IF(C1047="","",IFERROR(INDEX(Categories!$B$6:$B$65,MATCH(C1047,Categories!$A$6:$A$65,0))&amp;"",""))</f>
        <v/>
      </c>
      <c r="I1047" s="25">
        <f>IF(AND(A1047="",C1047="",D1047=""),"",IF(A1047="","Date missing",IF(NOT(ISNUMBER(A1047)),"Date not recognized",IF(YEAR(A1047)&lt;&gt;Settings!$C$4,"Not in "&amp;Settings!$C$4,IF(C1047="","Category missing",IF(H1047="",IF(COUNTIF(Categories!$A$6:$A$65,C1047)&gt;0,"Category has no type","Category not in list"),IF(D1047="","Amount missing",IF(NOT(ISNUMBER(D1047)),"Amount is not a number",IF(F1047="","",IF(ISNA(MATCH(F1047,Lists!$G$2:$G$25,0)),"Goal / fund not in list",IF(H1047="Income","Fund tag ignored on income","")))))))))))</f>
        <v/>
      </c>
    </row>
    <row r="1048">
      <c r="A1048" s="27" t="n"/>
      <c r="B1048" s="23" t="n"/>
      <c r="C1048" s="23" t="n"/>
      <c r="D1048" s="28" t="n"/>
      <c r="E1048" s="23" t="n"/>
      <c r="F1048" s="23" t="n"/>
      <c r="G1048" s="23" t="n"/>
      <c r="H1048" s="29">
        <f>IF(C1048="","",IFERROR(INDEX(Categories!$B$6:$B$65,MATCH(C1048,Categories!$A$6:$A$65,0))&amp;"",""))</f>
        <v/>
      </c>
      <c r="I1048" s="25">
        <f>IF(AND(A1048="",C1048="",D1048=""),"",IF(A1048="","Date missing",IF(NOT(ISNUMBER(A1048)),"Date not recognized",IF(YEAR(A1048)&lt;&gt;Settings!$C$4,"Not in "&amp;Settings!$C$4,IF(C1048="","Category missing",IF(H1048="",IF(COUNTIF(Categories!$A$6:$A$65,C1048)&gt;0,"Category has no type","Category not in list"),IF(D1048="","Amount missing",IF(NOT(ISNUMBER(D1048)),"Amount is not a number",IF(F1048="","",IF(ISNA(MATCH(F1048,Lists!$G$2:$G$25,0)),"Goal / fund not in list",IF(H1048="Income","Fund tag ignored on income","")))))))))))</f>
        <v/>
      </c>
    </row>
    <row r="1049">
      <c r="A1049" s="27" t="n"/>
      <c r="B1049" s="23" t="n"/>
      <c r="C1049" s="23" t="n"/>
      <c r="D1049" s="28" t="n"/>
      <c r="E1049" s="23" t="n"/>
      <c r="F1049" s="23" t="n"/>
      <c r="G1049" s="23" t="n"/>
      <c r="H1049" s="29">
        <f>IF(C1049="","",IFERROR(INDEX(Categories!$B$6:$B$65,MATCH(C1049,Categories!$A$6:$A$65,0))&amp;"",""))</f>
        <v/>
      </c>
      <c r="I1049" s="25">
        <f>IF(AND(A1049="",C1049="",D1049=""),"",IF(A1049="","Date missing",IF(NOT(ISNUMBER(A1049)),"Date not recognized",IF(YEAR(A1049)&lt;&gt;Settings!$C$4,"Not in "&amp;Settings!$C$4,IF(C1049="","Category missing",IF(H1049="",IF(COUNTIF(Categories!$A$6:$A$65,C1049)&gt;0,"Category has no type","Category not in list"),IF(D1049="","Amount missing",IF(NOT(ISNUMBER(D1049)),"Amount is not a number",IF(F1049="","",IF(ISNA(MATCH(F1049,Lists!$G$2:$G$25,0)),"Goal / fund not in list",IF(H1049="Income","Fund tag ignored on income","")))))))))))</f>
        <v/>
      </c>
    </row>
    <row r="1050">
      <c r="A1050" s="27" t="n"/>
      <c r="B1050" s="23" t="n"/>
      <c r="C1050" s="23" t="n"/>
      <c r="D1050" s="28" t="n"/>
      <c r="E1050" s="23" t="n"/>
      <c r="F1050" s="23" t="n"/>
      <c r="G1050" s="23" t="n"/>
      <c r="H1050" s="29">
        <f>IF(C1050="","",IFERROR(INDEX(Categories!$B$6:$B$65,MATCH(C1050,Categories!$A$6:$A$65,0))&amp;"",""))</f>
        <v/>
      </c>
      <c r="I1050" s="25">
        <f>IF(AND(A1050="",C1050="",D1050=""),"",IF(A1050="","Date missing",IF(NOT(ISNUMBER(A1050)),"Date not recognized",IF(YEAR(A1050)&lt;&gt;Settings!$C$4,"Not in "&amp;Settings!$C$4,IF(C1050="","Category missing",IF(H1050="",IF(COUNTIF(Categories!$A$6:$A$65,C1050)&gt;0,"Category has no type","Category not in list"),IF(D1050="","Amount missing",IF(NOT(ISNUMBER(D1050)),"Amount is not a number",IF(F1050="","",IF(ISNA(MATCH(F1050,Lists!$G$2:$G$25,0)),"Goal / fund not in list",IF(H1050="Income","Fund tag ignored on income","")))))))))))</f>
        <v/>
      </c>
    </row>
    <row r="1051">
      <c r="A1051" s="27" t="n"/>
      <c r="B1051" s="23" t="n"/>
      <c r="C1051" s="23" t="n"/>
      <c r="D1051" s="28" t="n"/>
      <c r="E1051" s="23" t="n"/>
      <c r="F1051" s="23" t="n"/>
      <c r="G1051" s="23" t="n"/>
      <c r="H1051" s="29">
        <f>IF(C1051="","",IFERROR(INDEX(Categories!$B$6:$B$65,MATCH(C1051,Categories!$A$6:$A$65,0))&amp;"",""))</f>
        <v/>
      </c>
      <c r="I1051" s="25">
        <f>IF(AND(A1051="",C1051="",D1051=""),"",IF(A1051="","Date missing",IF(NOT(ISNUMBER(A1051)),"Date not recognized",IF(YEAR(A1051)&lt;&gt;Settings!$C$4,"Not in "&amp;Settings!$C$4,IF(C1051="","Category missing",IF(H1051="",IF(COUNTIF(Categories!$A$6:$A$65,C1051)&gt;0,"Category has no type","Category not in list"),IF(D1051="","Amount missing",IF(NOT(ISNUMBER(D1051)),"Amount is not a number",IF(F1051="","",IF(ISNA(MATCH(F1051,Lists!$G$2:$G$25,0)),"Goal / fund not in list",IF(H1051="Income","Fund tag ignored on income","")))))))))))</f>
        <v/>
      </c>
    </row>
    <row r="1052">
      <c r="A1052" s="27" t="n"/>
      <c r="B1052" s="23" t="n"/>
      <c r="C1052" s="23" t="n"/>
      <c r="D1052" s="28" t="n"/>
      <c r="E1052" s="23" t="n"/>
      <c r="F1052" s="23" t="n"/>
      <c r="G1052" s="23" t="n"/>
      <c r="H1052" s="29">
        <f>IF(C1052="","",IFERROR(INDEX(Categories!$B$6:$B$65,MATCH(C1052,Categories!$A$6:$A$65,0))&amp;"",""))</f>
        <v/>
      </c>
      <c r="I1052" s="25">
        <f>IF(AND(A1052="",C1052="",D1052=""),"",IF(A1052="","Date missing",IF(NOT(ISNUMBER(A1052)),"Date not recognized",IF(YEAR(A1052)&lt;&gt;Settings!$C$4,"Not in "&amp;Settings!$C$4,IF(C1052="","Category missing",IF(H1052="",IF(COUNTIF(Categories!$A$6:$A$65,C1052)&gt;0,"Category has no type","Category not in list"),IF(D1052="","Amount missing",IF(NOT(ISNUMBER(D1052)),"Amount is not a number",IF(F1052="","",IF(ISNA(MATCH(F1052,Lists!$G$2:$G$25,0)),"Goal / fund not in list",IF(H1052="Income","Fund tag ignored on income","")))))))))))</f>
        <v/>
      </c>
    </row>
    <row r="1053">
      <c r="A1053" s="27" t="n"/>
      <c r="B1053" s="23" t="n"/>
      <c r="C1053" s="23" t="n"/>
      <c r="D1053" s="28" t="n"/>
      <c r="E1053" s="23" t="n"/>
      <c r="F1053" s="23" t="n"/>
      <c r="G1053" s="23" t="n"/>
      <c r="H1053" s="29">
        <f>IF(C1053="","",IFERROR(INDEX(Categories!$B$6:$B$65,MATCH(C1053,Categories!$A$6:$A$65,0))&amp;"",""))</f>
        <v/>
      </c>
      <c r="I1053" s="25">
        <f>IF(AND(A1053="",C1053="",D1053=""),"",IF(A1053="","Date missing",IF(NOT(ISNUMBER(A1053)),"Date not recognized",IF(YEAR(A1053)&lt;&gt;Settings!$C$4,"Not in "&amp;Settings!$C$4,IF(C1053="","Category missing",IF(H1053="",IF(COUNTIF(Categories!$A$6:$A$65,C1053)&gt;0,"Category has no type","Category not in list"),IF(D1053="","Amount missing",IF(NOT(ISNUMBER(D1053)),"Amount is not a number",IF(F1053="","",IF(ISNA(MATCH(F1053,Lists!$G$2:$G$25,0)),"Goal / fund not in list",IF(H1053="Income","Fund tag ignored on income","")))))))))))</f>
        <v/>
      </c>
    </row>
    <row r="1054">
      <c r="A1054" s="27" t="n"/>
      <c r="B1054" s="23" t="n"/>
      <c r="C1054" s="23" t="n"/>
      <c r="D1054" s="28" t="n"/>
      <c r="E1054" s="23" t="n"/>
      <c r="F1054" s="23" t="n"/>
      <c r="G1054" s="23" t="n"/>
      <c r="H1054" s="29">
        <f>IF(C1054="","",IFERROR(INDEX(Categories!$B$6:$B$65,MATCH(C1054,Categories!$A$6:$A$65,0))&amp;"",""))</f>
        <v/>
      </c>
      <c r="I1054" s="25">
        <f>IF(AND(A1054="",C1054="",D1054=""),"",IF(A1054="","Date missing",IF(NOT(ISNUMBER(A1054)),"Date not recognized",IF(YEAR(A1054)&lt;&gt;Settings!$C$4,"Not in "&amp;Settings!$C$4,IF(C1054="","Category missing",IF(H1054="",IF(COUNTIF(Categories!$A$6:$A$65,C1054)&gt;0,"Category has no type","Category not in list"),IF(D1054="","Amount missing",IF(NOT(ISNUMBER(D1054)),"Amount is not a number",IF(F1054="","",IF(ISNA(MATCH(F1054,Lists!$G$2:$G$25,0)),"Goal / fund not in list",IF(H1054="Income","Fund tag ignored on income","")))))))))))</f>
        <v/>
      </c>
    </row>
    <row r="1055">
      <c r="A1055" s="27" t="n"/>
      <c r="B1055" s="23" t="n"/>
      <c r="C1055" s="23" t="n"/>
      <c r="D1055" s="28" t="n"/>
      <c r="E1055" s="23" t="n"/>
      <c r="F1055" s="23" t="n"/>
      <c r="G1055" s="23" t="n"/>
      <c r="H1055" s="29">
        <f>IF(C1055="","",IFERROR(INDEX(Categories!$B$6:$B$65,MATCH(C1055,Categories!$A$6:$A$65,0))&amp;"",""))</f>
        <v/>
      </c>
      <c r="I1055" s="25">
        <f>IF(AND(A1055="",C1055="",D1055=""),"",IF(A1055="","Date missing",IF(NOT(ISNUMBER(A1055)),"Date not recognized",IF(YEAR(A1055)&lt;&gt;Settings!$C$4,"Not in "&amp;Settings!$C$4,IF(C1055="","Category missing",IF(H1055="",IF(COUNTIF(Categories!$A$6:$A$65,C1055)&gt;0,"Category has no type","Category not in list"),IF(D1055="","Amount missing",IF(NOT(ISNUMBER(D1055)),"Amount is not a number",IF(F1055="","",IF(ISNA(MATCH(F1055,Lists!$G$2:$G$25,0)),"Goal / fund not in list",IF(H1055="Income","Fund tag ignored on income","")))))))))))</f>
        <v/>
      </c>
    </row>
    <row r="1056">
      <c r="A1056" s="27" t="n"/>
      <c r="B1056" s="23" t="n"/>
      <c r="C1056" s="23" t="n"/>
      <c r="D1056" s="28" t="n"/>
      <c r="E1056" s="23" t="n"/>
      <c r="F1056" s="23" t="n"/>
      <c r="G1056" s="23" t="n"/>
      <c r="H1056" s="29">
        <f>IF(C1056="","",IFERROR(INDEX(Categories!$B$6:$B$65,MATCH(C1056,Categories!$A$6:$A$65,0))&amp;"",""))</f>
        <v/>
      </c>
      <c r="I1056" s="25">
        <f>IF(AND(A1056="",C1056="",D1056=""),"",IF(A1056="","Date missing",IF(NOT(ISNUMBER(A1056)),"Date not recognized",IF(YEAR(A1056)&lt;&gt;Settings!$C$4,"Not in "&amp;Settings!$C$4,IF(C1056="","Category missing",IF(H1056="",IF(COUNTIF(Categories!$A$6:$A$65,C1056)&gt;0,"Category has no type","Category not in list"),IF(D1056="","Amount missing",IF(NOT(ISNUMBER(D1056)),"Amount is not a number",IF(F1056="","",IF(ISNA(MATCH(F1056,Lists!$G$2:$G$25,0)),"Goal / fund not in list",IF(H1056="Income","Fund tag ignored on income","")))))))))))</f>
        <v/>
      </c>
    </row>
    <row r="1057">
      <c r="A1057" s="27" t="n"/>
      <c r="B1057" s="23" t="n"/>
      <c r="C1057" s="23" t="n"/>
      <c r="D1057" s="28" t="n"/>
      <c r="E1057" s="23" t="n"/>
      <c r="F1057" s="23" t="n"/>
      <c r="G1057" s="23" t="n"/>
      <c r="H1057" s="29">
        <f>IF(C1057="","",IFERROR(INDEX(Categories!$B$6:$B$65,MATCH(C1057,Categories!$A$6:$A$65,0))&amp;"",""))</f>
        <v/>
      </c>
      <c r="I1057" s="25">
        <f>IF(AND(A1057="",C1057="",D1057=""),"",IF(A1057="","Date missing",IF(NOT(ISNUMBER(A1057)),"Date not recognized",IF(YEAR(A1057)&lt;&gt;Settings!$C$4,"Not in "&amp;Settings!$C$4,IF(C1057="","Category missing",IF(H1057="",IF(COUNTIF(Categories!$A$6:$A$65,C1057)&gt;0,"Category has no type","Category not in list"),IF(D1057="","Amount missing",IF(NOT(ISNUMBER(D1057)),"Amount is not a number",IF(F1057="","",IF(ISNA(MATCH(F1057,Lists!$G$2:$G$25,0)),"Goal / fund not in list",IF(H1057="Income","Fund tag ignored on income","")))))))))))</f>
        <v/>
      </c>
    </row>
    <row r="1058">
      <c r="A1058" s="27" t="n"/>
      <c r="B1058" s="23" t="n"/>
      <c r="C1058" s="23" t="n"/>
      <c r="D1058" s="28" t="n"/>
      <c r="E1058" s="23" t="n"/>
      <c r="F1058" s="23" t="n"/>
      <c r="G1058" s="23" t="n"/>
      <c r="H1058" s="29">
        <f>IF(C1058="","",IFERROR(INDEX(Categories!$B$6:$B$65,MATCH(C1058,Categories!$A$6:$A$65,0))&amp;"",""))</f>
        <v/>
      </c>
      <c r="I1058" s="25">
        <f>IF(AND(A1058="",C1058="",D1058=""),"",IF(A1058="","Date missing",IF(NOT(ISNUMBER(A1058)),"Date not recognized",IF(YEAR(A1058)&lt;&gt;Settings!$C$4,"Not in "&amp;Settings!$C$4,IF(C1058="","Category missing",IF(H1058="",IF(COUNTIF(Categories!$A$6:$A$65,C1058)&gt;0,"Category has no type","Category not in list"),IF(D1058="","Amount missing",IF(NOT(ISNUMBER(D1058)),"Amount is not a number",IF(F1058="","",IF(ISNA(MATCH(F1058,Lists!$G$2:$G$25,0)),"Goal / fund not in list",IF(H1058="Income","Fund tag ignored on income","")))))))))))</f>
        <v/>
      </c>
    </row>
    <row r="1059">
      <c r="A1059" s="27" t="n"/>
      <c r="B1059" s="23" t="n"/>
      <c r="C1059" s="23" t="n"/>
      <c r="D1059" s="28" t="n"/>
      <c r="E1059" s="23" t="n"/>
      <c r="F1059" s="23" t="n"/>
      <c r="G1059" s="23" t="n"/>
      <c r="H1059" s="29">
        <f>IF(C1059="","",IFERROR(INDEX(Categories!$B$6:$B$65,MATCH(C1059,Categories!$A$6:$A$65,0))&amp;"",""))</f>
        <v/>
      </c>
      <c r="I1059" s="25">
        <f>IF(AND(A1059="",C1059="",D1059=""),"",IF(A1059="","Date missing",IF(NOT(ISNUMBER(A1059)),"Date not recognized",IF(YEAR(A1059)&lt;&gt;Settings!$C$4,"Not in "&amp;Settings!$C$4,IF(C1059="","Category missing",IF(H1059="",IF(COUNTIF(Categories!$A$6:$A$65,C1059)&gt;0,"Category has no type","Category not in list"),IF(D1059="","Amount missing",IF(NOT(ISNUMBER(D1059)),"Amount is not a number",IF(F1059="","",IF(ISNA(MATCH(F1059,Lists!$G$2:$G$25,0)),"Goal / fund not in list",IF(H1059="Income","Fund tag ignored on income","")))))))))))</f>
        <v/>
      </c>
    </row>
    <row r="1060">
      <c r="A1060" s="27" t="n"/>
      <c r="B1060" s="23" t="n"/>
      <c r="C1060" s="23" t="n"/>
      <c r="D1060" s="28" t="n"/>
      <c r="E1060" s="23" t="n"/>
      <c r="F1060" s="23" t="n"/>
      <c r="G1060" s="23" t="n"/>
      <c r="H1060" s="29">
        <f>IF(C1060="","",IFERROR(INDEX(Categories!$B$6:$B$65,MATCH(C1060,Categories!$A$6:$A$65,0))&amp;"",""))</f>
        <v/>
      </c>
      <c r="I1060" s="25">
        <f>IF(AND(A1060="",C1060="",D1060=""),"",IF(A1060="","Date missing",IF(NOT(ISNUMBER(A1060)),"Date not recognized",IF(YEAR(A1060)&lt;&gt;Settings!$C$4,"Not in "&amp;Settings!$C$4,IF(C1060="","Category missing",IF(H1060="",IF(COUNTIF(Categories!$A$6:$A$65,C1060)&gt;0,"Category has no type","Category not in list"),IF(D1060="","Amount missing",IF(NOT(ISNUMBER(D1060)),"Amount is not a number",IF(F1060="","",IF(ISNA(MATCH(F1060,Lists!$G$2:$G$25,0)),"Goal / fund not in list",IF(H1060="Income","Fund tag ignored on income","")))))))))))</f>
        <v/>
      </c>
    </row>
    <row r="1061">
      <c r="A1061" s="27" t="n"/>
      <c r="B1061" s="23" t="n"/>
      <c r="C1061" s="23" t="n"/>
      <c r="D1061" s="28" t="n"/>
      <c r="E1061" s="23" t="n"/>
      <c r="F1061" s="23" t="n"/>
      <c r="G1061" s="23" t="n"/>
      <c r="H1061" s="29">
        <f>IF(C1061="","",IFERROR(INDEX(Categories!$B$6:$B$65,MATCH(C1061,Categories!$A$6:$A$65,0))&amp;"",""))</f>
        <v/>
      </c>
      <c r="I1061" s="25">
        <f>IF(AND(A1061="",C1061="",D1061=""),"",IF(A1061="","Date missing",IF(NOT(ISNUMBER(A1061)),"Date not recognized",IF(YEAR(A1061)&lt;&gt;Settings!$C$4,"Not in "&amp;Settings!$C$4,IF(C1061="","Category missing",IF(H1061="",IF(COUNTIF(Categories!$A$6:$A$65,C1061)&gt;0,"Category has no type","Category not in list"),IF(D1061="","Amount missing",IF(NOT(ISNUMBER(D1061)),"Amount is not a number",IF(F1061="","",IF(ISNA(MATCH(F1061,Lists!$G$2:$G$25,0)),"Goal / fund not in list",IF(H1061="Income","Fund tag ignored on income","")))))))))))</f>
        <v/>
      </c>
    </row>
    <row r="1062">
      <c r="A1062" s="27" t="n"/>
      <c r="B1062" s="23" t="n"/>
      <c r="C1062" s="23" t="n"/>
      <c r="D1062" s="28" t="n"/>
      <c r="E1062" s="23" t="n"/>
      <c r="F1062" s="23" t="n"/>
      <c r="G1062" s="23" t="n"/>
      <c r="H1062" s="29">
        <f>IF(C1062="","",IFERROR(INDEX(Categories!$B$6:$B$65,MATCH(C1062,Categories!$A$6:$A$65,0))&amp;"",""))</f>
        <v/>
      </c>
      <c r="I1062" s="25">
        <f>IF(AND(A1062="",C1062="",D1062=""),"",IF(A1062="","Date missing",IF(NOT(ISNUMBER(A1062)),"Date not recognized",IF(YEAR(A1062)&lt;&gt;Settings!$C$4,"Not in "&amp;Settings!$C$4,IF(C1062="","Category missing",IF(H1062="",IF(COUNTIF(Categories!$A$6:$A$65,C1062)&gt;0,"Category has no type","Category not in list"),IF(D1062="","Amount missing",IF(NOT(ISNUMBER(D1062)),"Amount is not a number",IF(F1062="","",IF(ISNA(MATCH(F1062,Lists!$G$2:$G$25,0)),"Goal / fund not in list",IF(H1062="Income","Fund tag ignored on income","")))))))))))</f>
        <v/>
      </c>
    </row>
    <row r="1063">
      <c r="A1063" s="27" t="n"/>
      <c r="B1063" s="23" t="n"/>
      <c r="C1063" s="23" t="n"/>
      <c r="D1063" s="28" t="n"/>
      <c r="E1063" s="23" t="n"/>
      <c r="F1063" s="23" t="n"/>
      <c r="G1063" s="23" t="n"/>
      <c r="H1063" s="29">
        <f>IF(C1063="","",IFERROR(INDEX(Categories!$B$6:$B$65,MATCH(C1063,Categories!$A$6:$A$65,0))&amp;"",""))</f>
        <v/>
      </c>
      <c r="I1063" s="25">
        <f>IF(AND(A1063="",C1063="",D1063=""),"",IF(A1063="","Date missing",IF(NOT(ISNUMBER(A1063)),"Date not recognized",IF(YEAR(A1063)&lt;&gt;Settings!$C$4,"Not in "&amp;Settings!$C$4,IF(C1063="","Category missing",IF(H1063="",IF(COUNTIF(Categories!$A$6:$A$65,C1063)&gt;0,"Category has no type","Category not in list"),IF(D1063="","Amount missing",IF(NOT(ISNUMBER(D1063)),"Amount is not a number",IF(F1063="","",IF(ISNA(MATCH(F1063,Lists!$G$2:$G$25,0)),"Goal / fund not in list",IF(H1063="Income","Fund tag ignored on income","")))))))))))</f>
        <v/>
      </c>
    </row>
    <row r="1064">
      <c r="A1064" s="27" t="n"/>
      <c r="B1064" s="23" t="n"/>
      <c r="C1064" s="23" t="n"/>
      <c r="D1064" s="28" t="n"/>
      <c r="E1064" s="23" t="n"/>
      <c r="F1064" s="23" t="n"/>
      <c r="G1064" s="23" t="n"/>
      <c r="H1064" s="29">
        <f>IF(C1064="","",IFERROR(INDEX(Categories!$B$6:$B$65,MATCH(C1064,Categories!$A$6:$A$65,0))&amp;"",""))</f>
        <v/>
      </c>
      <c r="I1064" s="25">
        <f>IF(AND(A1064="",C1064="",D1064=""),"",IF(A1064="","Date missing",IF(NOT(ISNUMBER(A1064)),"Date not recognized",IF(YEAR(A1064)&lt;&gt;Settings!$C$4,"Not in "&amp;Settings!$C$4,IF(C1064="","Category missing",IF(H1064="",IF(COUNTIF(Categories!$A$6:$A$65,C1064)&gt;0,"Category has no type","Category not in list"),IF(D1064="","Amount missing",IF(NOT(ISNUMBER(D1064)),"Amount is not a number",IF(F1064="","",IF(ISNA(MATCH(F1064,Lists!$G$2:$G$25,0)),"Goal / fund not in list",IF(H1064="Income","Fund tag ignored on income","")))))))))))</f>
        <v/>
      </c>
    </row>
    <row r="1065">
      <c r="A1065" s="27" t="n"/>
      <c r="B1065" s="23" t="n"/>
      <c r="C1065" s="23" t="n"/>
      <c r="D1065" s="28" t="n"/>
      <c r="E1065" s="23" t="n"/>
      <c r="F1065" s="23" t="n"/>
      <c r="G1065" s="23" t="n"/>
      <c r="H1065" s="29">
        <f>IF(C1065="","",IFERROR(INDEX(Categories!$B$6:$B$65,MATCH(C1065,Categories!$A$6:$A$65,0))&amp;"",""))</f>
        <v/>
      </c>
      <c r="I1065" s="25">
        <f>IF(AND(A1065="",C1065="",D1065=""),"",IF(A1065="","Date missing",IF(NOT(ISNUMBER(A1065)),"Date not recognized",IF(YEAR(A1065)&lt;&gt;Settings!$C$4,"Not in "&amp;Settings!$C$4,IF(C1065="","Category missing",IF(H1065="",IF(COUNTIF(Categories!$A$6:$A$65,C1065)&gt;0,"Category has no type","Category not in list"),IF(D1065="","Amount missing",IF(NOT(ISNUMBER(D1065)),"Amount is not a number",IF(F1065="","",IF(ISNA(MATCH(F1065,Lists!$G$2:$G$25,0)),"Goal / fund not in list",IF(H1065="Income","Fund tag ignored on income","")))))))))))</f>
        <v/>
      </c>
    </row>
    <row r="1066">
      <c r="A1066" s="27" t="n"/>
      <c r="B1066" s="23" t="n"/>
      <c r="C1066" s="23" t="n"/>
      <c r="D1066" s="28" t="n"/>
      <c r="E1066" s="23" t="n"/>
      <c r="F1066" s="23" t="n"/>
      <c r="G1066" s="23" t="n"/>
      <c r="H1066" s="29">
        <f>IF(C1066="","",IFERROR(INDEX(Categories!$B$6:$B$65,MATCH(C1066,Categories!$A$6:$A$65,0))&amp;"",""))</f>
        <v/>
      </c>
      <c r="I1066" s="25">
        <f>IF(AND(A1066="",C1066="",D1066=""),"",IF(A1066="","Date missing",IF(NOT(ISNUMBER(A1066)),"Date not recognized",IF(YEAR(A1066)&lt;&gt;Settings!$C$4,"Not in "&amp;Settings!$C$4,IF(C1066="","Category missing",IF(H1066="",IF(COUNTIF(Categories!$A$6:$A$65,C1066)&gt;0,"Category has no type","Category not in list"),IF(D1066="","Amount missing",IF(NOT(ISNUMBER(D1066)),"Amount is not a number",IF(F1066="","",IF(ISNA(MATCH(F1066,Lists!$G$2:$G$25,0)),"Goal / fund not in list",IF(H1066="Income","Fund tag ignored on income","")))))))))))</f>
        <v/>
      </c>
    </row>
    <row r="1067">
      <c r="A1067" s="27" t="n"/>
      <c r="B1067" s="23" t="n"/>
      <c r="C1067" s="23" t="n"/>
      <c r="D1067" s="28" t="n"/>
      <c r="E1067" s="23" t="n"/>
      <c r="F1067" s="23" t="n"/>
      <c r="G1067" s="23" t="n"/>
      <c r="H1067" s="29">
        <f>IF(C1067="","",IFERROR(INDEX(Categories!$B$6:$B$65,MATCH(C1067,Categories!$A$6:$A$65,0))&amp;"",""))</f>
        <v/>
      </c>
      <c r="I1067" s="25">
        <f>IF(AND(A1067="",C1067="",D1067=""),"",IF(A1067="","Date missing",IF(NOT(ISNUMBER(A1067)),"Date not recognized",IF(YEAR(A1067)&lt;&gt;Settings!$C$4,"Not in "&amp;Settings!$C$4,IF(C1067="","Category missing",IF(H1067="",IF(COUNTIF(Categories!$A$6:$A$65,C1067)&gt;0,"Category has no type","Category not in list"),IF(D1067="","Amount missing",IF(NOT(ISNUMBER(D1067)),"Amount is not a number",IF(F1067="","",IF(ISNA(MATCH(F1067,Lists!$G$2:$G$25,0)),"Goal / fund not in list",IF(H1067="Income","Fund tag ignored on income","")))))))))))</f>
        <v/>
      </c>
    </row>
    <row r="1068">
      <c r="A1068" s="27" t="n"/>
      <c r="B1068" s="23" t="n"/>
      <c r="C1068" s="23" t="n"/>
      <c r="D1068" s="28" t="n"/>
      <c r="E1068" s="23" t="n"/>
      <c r="F1068" s="23" t="n"/>
      <c r="G1068" s="23" t="n"/>
      <c r="H1068" s="29">
        <f>IF(C1068="","",IFERROR(INDEX(Categories!$B$6:$B$65,MATCH(C1068,Categories!$A$6:$A$65,0))&amp;"",""))</f>
        <v/>
      </c>
      <c r="I1068" s="25">
        <f>IF(AND(A1068="",C1068="",D1068=""),"",IF(A1068="","Date missing",IF(NOT(ISNUMBER(A1068)),"Date not recognized",IF(YEAR(A1068)&lt;&gt;Settings!$C$4,"Not in "&amp;Settings!$C$4,IF(C1068="","Category missing",IF(H1068="",IF(COUNTIF(Categories!$A$6:$A$65,C1068)&gt;0,"Category has no type","Category not in list"),IF(D1068="","Amount missing",IF(NOT(ISNUMBER(D1068)),"Amount is not a number",IF(F1068="","",IF(ISNA(MATCH(F1068,Lists!$G$2:$G$25,0)),"Goal / fund not in list",IF(H1068="Income","Fund tag ignored on income","")))))))))))</f>
        <v/>
      </c>
    </row>
    <row r="1069">
      <c r="A1069" s="27" t="n"/>
      <c r="B1069" s="23" t="n"/>
      <c r="C1069" s="23" t="n"/>
      <c r="D1069" s="28" t="n"/>
      <c r="E1069" s="23" t="n"/>
      <c r="F1069" s="23" t="n"/>
      <c r="G1069" s="23" t="n"/>
      <c r="H1069" s="29">
        <f>IF(C1069="","",IFERROR(INDEX(Categories!$B$6:$B$65,MATCH(C1069,Categories!$A$6:$A$65,0))&amp;"",""))</f>
        <v/>
      </c>
      <c r="I1069" s="25">
        <f>IF(AND(A1069="",C1069="",D1069=""),"",IF(A1069="","Date missing",IF(NOT(ISNUMBER(A1069)),"Date not recognized",IF(YEAR(A1069)&lt;&gt;Settings!$C$4,"Not in "&amp;Settings!$C$4,IF(C1069="","Category missing",IF(H1069="",IF(COUNTIF(Categories!$A$6:$A$65,C1069)&gt;0,"Category has no type","Category not in list"),IF(D1069="","Amount missing",IF(NOT(ISNUMBER(D1069)),"Amount is not a number",IF(F1069="","",IF(ISNA(MATCH(F1069,Lists!$G$2:$G$25,0)),"Goal / fund not in list",IF(H1069="Income","Fund tag ignored on income","")))))))))))</f>
        <v/>
      </c>
    </row>
    <row r="1070">
      <c r="A1070" s="27" t="n"/>
      <c r="B1070" s="23" t="n"/>
      <c r="C1070" s="23" t="n"/>
      <c r="D1070" s="28" t="n"/>
      <c r="E1070" s="23" t="n"/>
      <c r="F1070" s="23" t="n"/>
      <c r="G1070" s="23" t="n"/>
      <c r="H1070" s="29">
        <f>IF(C1070="","",IFERROR(INDEX(Categories!$B$6:$B$65,MATCH(C1070,Categories!$A$6:$A$65,0))&amp;"",""))</f>
        <v/>
      </c>
      <c r="I1070" s="25">
        <f>IF(AND(A1070="",C1070="",D1070=""),"",IF(A1070="","Date missing",IF(NOT(ISNUMBER(A1070)),"Date not recognized",IF(YEAR(A1070)&lt;&gt;Settings!$C$4,"Not in "&amp;Settings!$C$4,IF(C1070="","Category missing",IF(H1070="",IF(COUNTIF(Categories!$A$6:$A$65,C1070)&gt;0,"Category has no type","Category not in list"),IF(D1070="","Amount missing",IF(NOT(ISNUMBER(D1070)),"Amount is not a number",IF(F1070="","",IF(ISNA(MATCH(F1070,Lists!$G$2:$G$25,0)),"Goal / fund not in list",IF(H1070="Income","Fund tag ignored on income","")))))))))))</f>
        <v/>
      </c>
    </row>
    <row r="1071">
      <c r="A1071" s="27" t="n"/>
      <c r="B1071" s="23" t="n"/>
      <c r="C1071" s="23" t="n"/>
      <c r="D1071" s="28" t="n"/>
      <c r="E1071" s="23" t="n"/>
      <c r="F1071" s="23" t="n"/>
      <c r="G1071" s="23" t="n"/>
      <c r="H1071" s="29">
        <f>IF(C1071="","",IFERROR(INDEX(Categories!$B$6:$B$65,MATCH(C1071,Categories!$A$6:$A$65,0))&amp;"",""))</f>
        <v/>
      </c>
      <c r="I1071" s="25">
        <f>IF(AND(A1071="",C1071="",D1071=""),"",IF(A1071="","Date missing",IF(NOT(ISNUMBER(A1071)),"Date not recognized",IF(YEAR(A1071)&lt;&gt;Settings!$C$4,"Not in "&amp;Settings!$C$4,IF(C1071="","Category missing",IF(H1071="",IF(COUNTIF(Categories!$A$6:$A$65,C1071)&gt;0,"Category has no type","Category not in list"),IF(D1071="","Amount missing",IF(NOT(ISNUMBER(D1071)),"Amount is not a number",IF(F1071="","",IF(ISNA(MATCH(F1071,Lists!$G$2:$G$25,0)),"Goal / fund not in list",IF(H1071="Income","Fund tag ignored on income","")))))))))))</f>
        <v/>
      </c>
    </row>
    <row r="1072">
      <c r="A1072" s="27" t="n"/>
      <c r="B1072" s="23" t="n"/>
      <c r="C1072" s="23" t="n"/>
      <c r="D1072" s="28" t="n"/>
      <c r="E1072" s="23" t="n"/>
      <c r="F1072" s="23" t="n"/>
      <c r="G1072" s="23" t="n"/>
      <c r="H1072" s="29">
        <f>IF(C1072="","",IFERROR(INDEX(Categories!$B$6:$B$65,MATCH(C1072,Categories!$A$6:$A$65,0))&amp;"",""))</f>
        <v/>
      </c>
      <c r="I1072" s="25">
        <f>IF(AND(A1072="",C1072="",D1072=""),"",IF(A1072="","Date missing",IF(NOT(ISNUMBER(A1072)),"Date not recognized",IF(YEAR(A1072)&lt;&gt;Settings!$C$4,"Not in "&amp;Settings!$C$4,IF(C1072="","Category missing",IF(H1072="",IF(COUNTIF(Categories!$A$6:$A$65,C1072)&gt;0,"Category has no type","Category not in list"),IF(D1072="","Amount missing",IF(NOT(ISNUMBER(D1072)),"Amount is not a number",IF(F1072="","",IF(ISNA(MATCH(F1072,Lists!$G$2:$G$25,0)),"Goal / fund not in list",IF(H1072="Income","Fund tag ignored on income","")))))))))))</f>
        <v/>
      </c>
    </row>
    <row r="1073">
      <c r="A1073" s="27" t="n"/>
      <c r="B1073" s="23" t="n"/>
      <c r="C1073" s="23" t="n"/>
      <c r="D1073" s="28" t="n"/>
      <c r="E1073" s="23" t="n"/>
      <c r="F1073" s="23" t="n"/>
      <c r="G1073" s="23" t="n"/>
      <c r="H1073" s="29">
        <f>IF(C1073="","",IFERROR(INDEX(Categories!$B$6:$B$65,MATCH(C1073,Categories!$A$6:$A$65,0))&amp;"",""))</f>
        <v/>
      </c>
      <c r="I1073" s="25">
        <f>IF(AND(A1073="",C1073="",D1073=""),"",IF(A1073="","Date missing",IF(NOT(ISNUMBER(A1073)),"Date not recognized",IF(YEAR(A1073)&lt;&gt;Settings!$C$4,"Not in "&amp;Settings!$C$4,IF(C1073="","Category missing",IF(H1073="",IF(COUNTIF(Categories!$A$6:$A$65,C1073)&gt;0,"Category has no type","Category not in list"),IF(D1073="","Amount missing",IF(NOT(ISNUMBER(D1073)),"Amount is not a number",IF(F1073="","",IF(ISNA(MATCH(F1073,Lists!$G$2:$G$25,0)),"Goal / fund not in list",IF(H1073="Income","Fund tag ignored on income","")))))))))))</f>
        <v/>
      </c>
    </row>
    <row r="1074">
      <c r="A1074" s="27" t="n"/>
      <c r="B1074" s="23" t="n"/>
      <c r="C1074" s="23" t="n"/>
      <c r="D1074" s="28" t="n"/>
      <c r="E1074" s="23" t="n"/>
      <c r="F1074" s="23" t="n"/>
      <c r="G1074" s="23" t="n"/>
      <c r="H1074" s="29">
        <f>IF(C1074="","",IFERROR(INDEX(Categories!$B$6:$B$65,MATCH(C1074,Categories!$A$6:$A$65,0))&amp;"",""))</f>
        <v/>
      </c>
      <c r="I1074" s="25">
        <f>IF(AND(A1074="",C1074="",D1074=""),"",IF(A1074="","Date missing",IF(NOT(ISNUMBER(A1074)),"Date not recognized",IF(YEAR(A1074)&lt;&gt;Settings!$C$4,"Not in "&amp;Settings!$C$4,IF(C1074="","Category missing",IF(H1074="",IF(COUNTIF(Categories!$A$6:$A$65,C1074)&gt;0,"Category has no type","Category not in list"),IF(D1074="","Amount missing",IF(NOT(ISNUMBER(D1074)),"Amount is not a number",IF(F1074="","",IF(ISNA(MATCH(F1074,Lists!$G$2:$G$25,0)),"Goal / fund not in list",IF(H1074="Income","Fund tag ignored on income","")))))))))))</f>
        <v/>
      </c>
    </row>
    <row r="1075">
      <c r="A1075" s="27" t="n"/>
      <c r="B1075" s="23" t="n"/>
      <c r="C1075" s="23" t="n"/>
      <c r="D1075" s="28" t="n"/>
      <c r="E1075" s="23" t="n"/>
      <c r="F1075" s="23" t="n"/>
      <c r="G1075" s="23" t="n"/>
      <c r="H1075" s="29">
        <f>IF(C1075="","",IFERROR(INDEX(Categories!$B$6:$B$65,MATCH(C1075,Categories!$A$6:$A$65,0))&amp;"",""))</f>
        <v/>
      </c>
      <c r="I1075" s="25">
        <f>IF(AND(A1075="",C1075="",D1075=""),"",IF(A1075="","Date missing",IF(NOT(ISNUMBER(A1075)),"Date not recognized",IF(YEAR(A1075)&lt;&gt;Settings!$C$4,"Not in "&amp;Settings!$C$4,IF(C1075="","Category missing",IF(H1075="",IF(COUNTIF(Categories!$A$6:$A$65,C1075)&gt;0,"Category has no type","Category not in list"),IF(D1075="","Amount missing",IF(NOT(ISNUMBER(D1075)),"Amount is not a number",IF(F1075="","",IF(ISNA(MATCH(F1075,Lists!$G$2:$G$25,0)),"Goal / fund not in list",IF(H1075="Income","Fund tag ignored on income","")))))))))))</f>
        <v/>
      </c>
    </row>
    <row r="1076">
      <c r="A1076" s="27" t="n"/>
      <c r="B1076" s="23" t="n"/>
      <c r="C1076" s="23" t="n"/>
      <c r="D1076" s="28" t="n"/>
      <c r="E1076" s="23" t="n"/>
      <c r="F1076" s="23" t="n"/>
      <c r="G1076" s="23" t="n"/>
      <c r="H1076" s="29">
        <f>IF(C1076="","",IFERROR(INDEX(Categories!$B$6:$B$65,MATCH(C1076,Categories!$A$6:$A$65,0))&amp;"",""))</f>
        <v/>
      </c>
      <c r="I1076" s="25">
        <f>IF(AND(A1076="",C1076="",D1076=""),"",IF(A1076="","Date missing",IF(NOT(ISNUMBER(A1076)),"Date not recognized",IF(YEAR(A1076)&lt;&gt;Settings!$C$4,"Not in "&amp;Settings!$C$4,IF(C1076="","Category missing",IF(H1076="",IF(COUNTIF(Categories!$A$6:$A$65,C1076)&gt;0,"Category has no type","Category not in list"),IF(D1076="","Amount missing",IF(NOT(ISNUMBER(D1076)),"Amount is not a number",IF(F1076="","",IF(ISNA(MATCH(F1076,Lists!$G$2:$G$25,0)),"Goal / fund not in list",IF(H1076="Income","Fund tag ignored on income","")))))))))))</f>
        <v/>
      </c>
    </row>
    <row r="1077">
      <c r="A1077" s="27" t="n"/>
      <c r="B1077" s="23" t="n"/>
      <c r="C1077" s="23" t="n"/>
      <c r="D1077" s="28" t="n"/>
      <c r="E1077" s="23" t="n"/>
      <c r="F1077" s="23" t="n"/>
      <c r="G1077" s="23" t="n"/>
      <c r="H1077" s="29">
        <f>IF(C1077="","",IFERROR(INDEX(Categories!$B$6:$B$65,MATCH(C1077,Categories!$A$6:$A$65,0))&amp;"",""))</f>
        <v/>
      </c>
      <c r="I1077" s="25">
        <f>IF(AND(A1077="",C1077="",D1077=""),"",IF(A1077="","Date missing",IF(NOT(ISNUMBER(A1077)),"Date not recognized",IF(YEAR(A1077)&lt;&gt;Settings!$C$4,"Not in "&amp;Settings!$C$4,IF(C1077="","Category missing",IF(H1077="",IF(COUNTIF(Categories!$A$6:$A$65,C1077)&gt;0,"Category has no type","Category not in list"),IF(D1077="","Amount missing",IF(NOT(ISNUMBER(D1077)),"Amount is not a number",IF(F1077="","",IF(ISNA(MATCH(F1077,Lists!$G$2:$G$25,0)),"Goal / fund not in list",IF(H1077="Income","Fund tag ignored on income","")))))))))))</f>
        <v/>
      </c>
    </row>
    <row r="1078">
      <c r="A1078" s="27" t="n"/>
      <c r="B1078" s="23" t="n"/>
      <c r="C1078" s="23" t="n"/>
      <c r="D1078" s="28" t="n"/>
      <c r="E1078" s="23" t="n"/>
      <c r="F1078" s="23" t="n"/>
      <c r="G1078" s="23" t="n"/>
      <c r="H1078" s="29">
        <f>IF(C1078="","",IFERROR(INDEX(Categories!$B$6:$B$65,MATCH(C1078,Categories!$A$6:$A$65,0))&amp;"",""))</f>
        <v/>
      </c>
      <c r="I1078" s="25">
        <f>IF(AND(A1078="",C1078="",D1078=""),"",IF(A1078="","Date missing",IF(NOT(ISNUMBER(A1078)),"Date not recognized",IF(YEAR(A1078)&lt;&gt;Settings!$C$4,"Not in "&amp;Settings!$C$4,IF(C1078="","Category missing",IF(H1078="",IF(COUNTIF(Categories!$A$6:$A$65,C1078)&gt;0,"Category has no type","Category not in list"),IF(D1078="","Amount missing",IF(NOT(ISNUMBER(D1078)),"Amount is not a number",IF(F1078="","",IF(ISNA(MATCH(F1078,Lists!$G$2:$G$25,0)),"Goal / fund not in list",IF(H1078="Income","Fund tag ignored on income","")))))))))))</f>
        <v/>
      </c>
    </row>
    <row r="1079">
      <c r="A1079" s="27" t="n"/>
      <c r="B1079" s="23" t="n"/>
      <c r="C1079" s="23" t="n"/>
      <c r="D1079" s="28" t="n"/>
      <c r="E1079" s="23" t="n"/>
      <c r="F1079" s="23" t="n"/>
      <c r="G1079" s="23" t="n"/>
      <c r="H1079" s="29">
        <f>IF(C1079="","",IFERROR(INDEX(Categories!$B$6:$B$65,MATCH(C1079,Categories!$A$6:$A$65,0))&amp;"",""))</f>
        <v/>
      </c>
      <c r="I1079" s="25">
        <f>IF(AND(A1079="",C1079="",D1079=""),"",IF(A1079="","Date missing",IF(NOT(ISNUMBER(A1079)),"Date not recognized",IF(YEAR(A1079)&lt;&gt;Settings!$C$4,"Not in "&amp;Settings!$C$4,IF(C1079="","Category missing",IF(H1079="",IF(COUNTIF(Categories!$A$6:$A$65,C1079)&gt;0,"Category has no type","Category not in list"),IF(D1079="","Amount missing",IF(NOT(ISNUMBER(D1079)),"Amount is not a number",IF(F1079="","",IF(ISNA(MATCH(F1079,Lists!$G$2:$G$25,0)),"Goal / fund not in list",IF(H1079="Income","Fund tag ignored on income","")))))))))))</f>
        <v/>
      </c>
    </row>
    <row r="1080">
      <c r="A1080" s="27" t="n"/>
      <c r="B1080" s="23" t="n"/>
      <c r="C1080" s="23" t="n"/>
      <c r="D1080" s="28" t="n"/>
      <c r="E1080" s="23" t="n"/>
      <c r="F1080" s="23" t="n"/>
      <c r="G1080" s="23" t="n"/>
      <c r="H1080" s="29">
        <f>IF(C1080="","",IFERROR(INDEX(Categories!$B$6:$B$65,MATCH(C1080,Categories!$A$6:$A$65,0))&amp;"",""))</f>
        <v/>
      </c>
      <c r="I1080" s="25">
        <f>IF(AND(A1080="",C1080="",D1080=""),"",IF(A1080="","Date missing",IF(NOT(ISNUMBER(A1080)),"Date not recognized",IF(YEAR(A1080)&lt;&gt;Settings!$C$4,"Not in "&amp;Settings!$C$4,IF(C1080="","Category missing",IF(H1080="",IF(COUNTIF(Categories!$A$6:$A$65,C1080)&gt;0,"Category has no type","Category not in list"),IF(D1080="","Amount missing",IF(NOT(ISNUMBER(D1080)),"Amount is not a number",IF(F1080="","",IF(ISNA(MATCH(F1080,Lists!$G$2:$G$25,0)),"Goal / fund not in list",IF(H1080="Income","Fund tag ignored on income","")))))))))))</f>
        <v/>
      </c>
    </row>
    <row r="1081">
      <c r="A1081" s="27" t="n"/>
      <c r="B1081" s="23" t="n"/>
      <c r="C1081" s="23" t="n"/>
      <c r="D1081" s="28" t="n"/>
      <c r="E1081" s="23" t="n"/>
      <c r="F1081" s="23" t="n"/>
      <c r="G1081" s="23" t="n"/>
      <c r="H1081" s="29">
        <f>IF(C1081="","",IFERROR(INDEX(Categories!$B$6:$B$65,MATCH(C1081,Categories!$A$6:$A$65,0))&amp;"",""))</f>
        <v/>
      </c>
      <c r="I1081" s="25">
        <f>IF(AND(A1081="",C1081="",D1081=""),"",IF(A1081="","Date missing",IF(NOT(ISNUMBER(A1081)),"Date not recognized",IF(YEAR(A1081)&lt;&gt;Settings!$C$4,"Not in "&amp;Settings!$C$4,IF(C1081="","Category missing",IF(H1081="",IF(COUNTIF(Categories!$A$6:$A$65,C1081)&gt;0,"Category has no type","Category not in list"),IF(D1081="","Amount missing",IF(NOT(ISNUMBER(D1081)),"Amount is not a number",IF(F1081="","",IF(ISNA(MATCH(F1081,Lists!$G$2:$G$25,0)),"Goal / fund not in list",IF(H1081="Income","Fund tag ignored on income","")))))))))))</f>
        <v/>
      </c>
    </row>
    <row r="1082">
      <c r="A1082" s="27" t="n"/>
      <c r="B1082" s="23" t="n"/>
      <c r="C1082" s="23" t="n"/>
      <c r="D1082" s="28" t="n"/>
      <c r="E1082" s="23" t="n"/>
      <c r="F1082" s="23" t="n"/>
      <c r="G1082" s="23" t="n"/>
      <c r="H1082" s="29">
        <f>IF(C1082="","",IFERROR(INDEX(Categories!$B$6:$B$65,MATCH(C1082,Categories!$A$6:$A$65,0))&amp;"",""))</f>
        <v/>
      </c>
      <c r="I1082" s="25">
        <f>IF(AND(A1082="",C1082="",D1082=""),"",IF(A1082="","Date missing",IF(NOT(ISNUMBER(A1082)),"Date not recognized",IF(YEAR(A1082)&lt;&gt;Settings!$C$4,"Not in "&amp;Settings!$C$4,IF(C1082="","Category missing",IF(H1082="",IF(COUNTIF(Categories!$A$6:$A$65,C1082)&gt;0,"Category has no type","Category not in list"),IF(D1082="","Amount missing",IF(NOT(ISNUMBER(D1082)),"Amount is not a number",IF(F1082="","",IF(ISNA(MATCH(F1082,Lists!$G$2:$G$25,0)),"Goal / fund not in list",IF(H1082="Income","Fund tag ignored on income","")))))))))))</f>
        <v/>
      </c>
    </row>
    <row r="1083">
      <c r="A1083" s="27" t="n"/>
      <c r="B1083" s="23" t="n"/>
      <c r="C1083" s="23" t="n"/>
      <c r="D1083" s="28" t="n"/>
      <c r="E1083" s="23" t="n"/>
      <c r="F1083" s="23" t="n"/>
      <c r="G1083" s="23" t="n"/>
      <c r="H1083" s="29">
        <f>IF(C1083="","",IFERROR(INDEX(Categories!$B$6:$B$65,MATCH(C1083,Categories!$A$6:$A$65,0))&amp;"",""))</f>
        <v/>
      </c>
      <c r="I1083" s="25">
        <f>IF(AND(A1083="",C1083="",D1083=""),"",IF(A1083="","Date missing",IF(NOT(ISNUMBER(A1083)),"Date not recognized",IF(YEAR(A1083)&lt;&gt;Settings!$C$4,"Not in "&amp;Settings!$C$4,IF(C1083="","Category missing",IF(H1083="",IF(COUNTIF(Categories!$A$6:$A$65,C1083)&gt;0,"Category has no type","Category not in list"),IF(D1083="","Amount missing",IF(NOT(ISNUMBER(D1083)),"Amount is not a number",IF(F1083="","",IF(ISNA(MATCH(F1083,Lists!$G$2:$G$25,0)),"Goal / fund not in list",IF(H1083="Income","Fund tag ignored on income","")))))))))))</f>
        <v/>
      </c>
    </row>
    <row r="1084">
      <c r="A1084" s="27" t="n"/>
      <c r="B1084" s="23" t="n"/>
      <c r="C1084" s="23" t="n"/>
      <c r="D1084" s="28" t="n"/>
      <c r="E1084" s="23" t="n"/>
      <c r="F1084" s="23" t="n"/>
      <c r="G1084" s="23" t="n"/>
      <c r="H1084" s="29">
        <f>IF(C1084="","",IFERROR(INDEX(Categories!$B$6:$B$65,MATCH(C1084,Categories!$A$6:$A$65,0))&amp;"",""))</f>
        <v/>
      </c>
      <c r="I1084" s="25">
        <f>IF(AND(A1084="",C1084="",D1084=""),"",IF(A1084="","Date missing",IF(NOT(ISNUMBER(A1084)),"Date not recognized",IF(YEAR(A1084)&lt;&gt;Settings!$C$4,"Not in "&amp;Settings!$C$4,IF(C1084="","Category missing",IF(H1084="",IF(COUNTIF(Categories!$A$6:$A$65,C1084)&gt;0,"Category has no type","Category not in list"),IF(D1084="","Amount missing",IF(NOT(ISNUMBER(D1084)),"Amount is not a number",IF(F1084="","",IF(ISNA(MATCH(F1084,Lists!$G$2:$G$25,0)),"Goal / fund not in list",IF(H1084="Income","Fund tag ignored on income","")))))))))))</f>
        <v/>
      </c>
    </row>
    <row r="1085">
      <c r="A1085" s="27" t="n"/>
      <c r="B1085" s="23" t="n"/>
      <c r="C1085" s="23" t="n"/>
      <c r="D1085" s="28" t="n"/>
      <c r="E1085" s="23" t="n"/>
      <c r="F1085" s="23" t="n"/>
      <c r="G1085" s="23" t="n"/>
      <c r="H1085" s="29">
        <f>IF(C1085="","",IFERROR(INDEX(Categories!$B$6:$B$65,MATCH(C1085,Categories!$A$6:$A$65,0))&amp;"",""))</f>
        <v/>
      </c>
      <c r="I1085" s="25">
        <f>IF(AND(A1085="",C1085="",D1085=""),"",IF(A1085="","Date missing",IF(NOT(ISNUMBER(A1085)),"Date not recognized",IF(YEAR(A1085)&lt;&gt;Settings!$C$4,"Not in "&amp;Settings!$C$4,IF(C1085="","Category missing",IF(H1085="",IF(COUNTIF(Categories!$A$6:$A$65,C1085)&gt;0,"Category has no type","Category not in list"),IF(D1085="","Amount missing",IF(NOT(ISNUMBER(D1085)),"Amount is not a number",IF(F1085="","",IF(ISNA(MATCH(F1085,Lists!$G$2:$G$25,0)),"Goal / fund not in list",IF(H1085="Income","Fund tag ignored on income","")))))))))))</f>
        <v/>
      </c>
    </row>
    <row r="1086">
      <c r="A1086" s="27" t="n"/>
      <c r="B1086" s="23" t="n"/>
      <c r="C1086" s="23" t="n"/>
      <c r="D1086" s="28" t="n"/>
      <c r="E1086" s="23" t="n"/>
      <c r="F1086" s="23" t="n"/>
      <c r="G1086" s="23" t="n"/>
      <c r="H1086" s="29">
        <f>IF(C1086="","",IFERROR(INDEX(Categories!$B$6:$B$65,MATCH(C1086,Categories!$A$6:$A$65,0))&amp;"",""))</f>
        <v/>
      </c>
      <c r="I1086" s="25">
        <f>IF(AND(A1086="",C1086="",D1086=""),"",IF(A1086="","Date missing",IF(NOT(ISNUMBER(A1086)),"Date not recognized",IF(YEAR(A1086)&lt;&gt;Settings!$C$4,"Not in "&amp;Settings!$C$4,IF(C1086="","Category missing",IF(H1086="",IF(COUNTIF(Categories!$A$6:$A$65,C1086)&gt;0,"Category has no type","Category not in list"),IF(D1086="","Amount missing",IF(NOT(ISNUMBER(D1086)),"Amount is not a number",IF(F1086="","",IF(ISNA(MATCH(F1086,Lists!$G$2:$G$25,0)),"Goal / fund not in list",IF(H1086="Income","Fund tag ignored on income","")))))))))))</f>
        <v/>
      </c>
    </row>
    <row r="1087">
      <c r="A1087" s="27" t="n"/>
      <c r="B1087" s="23" t="n"/>
      <c r="C1087" s="23" t="n"/>
      <c r="D1087" s="28" t="n"/>
      <c r="E1087" s="23" t="n"/>
      <c r="F1087" s="23" t="n"/>
      <c r="G1087" s="23" t="n"/>
      <c r="H1087" s="29">
        <f>IF(C1087="","",IFERROR(INDEX(Categories!$B$6:$B$65,MATCH(C1087,Categories!$A$6:$A$65,0))&amp;"",""))</f>
        <v/>
      </c>
      <c r="I1087" s="25">
        <f>IF(AND(A1087="",C1087="",D1087=""),"",IF(A1087="","Date missing",IF(NOT(ISNUMBER(A1087)),"Date not recognized",IF(YEAR(A1087)&lt;&gt;Settings!$C$4,"Not in "&amp;Settings!$C$4,IF(C1087="","Category missing",IF(H1087="",IF(COUNTIF(Categories!$A$6:$A$65,C1087)&gt;0,"Category has no type","Category not in list"),IF(D1087="","Amount missing",IF(NOT(ISNUMBER(D1087)),"Amount is not a number",IF(F1087="","",IF(ISNA(MATCH(F1087,Lists!$G$2:$G$25,0)),"Goal / fund not in list",IF(H1087="Income","Fund tag ignored on income","")))))))))))</f>
        <v/>
      </c>
    </row>
    <row r="1088">
      <c r="A1088" s="27" t="n"/>
      <c r="B1088" s="23" t="n"/>
      <c r="C1088" s="23" t="n"/>
      <c r="D1088" s="28" t="n"/>
      <c r="E1088" s="23" t="n"/>
      <c r="F1088" s="23" t="n"/>
      <c r="G1088" s="23" t="n"/>
      <c r="H1088" s="29">
        <f>IF(C1088="","",IFERROR(INDEX(Categories!$B$6:$B$65,MATCH(C1088,Categories!$A$6:$A$65,0))&amp;"",""))</f>
        <v/>
      </c>
      <c r="I1088" s="25">
        <f>IF(AND(A1088="",C1088="",D1088=""),"",IF(A1088="","Date missing",IF(NOT(ISNUMBER(A1088)),"Date not recognized",IF(YEAR(A1088)&lt;&gt;Settings!$C$4,"Not in "&amp;Settings!$C$4,IF(C1088="","Category missing",IF(H1088="",IF(COUNTIF(Categories!$A$6:$A$65,C1088)&gt;0,"Category has no type","Category not in list"),IF(D1088="","Amount missing",IF(NOT(ISNUMBER(D1088)),"Amount is not a number",IF(F1088="","",IF(ISNA(MATCH(F1088,Lists!$G$2:$G$25,0)),"Goal / fund not in list",IF(H1088="Income","Fund tag ignored on income","")))))))))))</f>
        <v/>
      </c>
    </row>
    <row r="1089">
      <c r="A1089" s="27" t="n"/>
      <c r="B1089" s="23" t="n"/>
      <c r="C1089" s="23" t="n"/>
      <c r="D1089" s="28" t="n"/>
      <c r="E1089" s="23" t="n"/>
      <c r="F1089" s="23" t="n"/>
      <c r="G1089" s="23" t="n"/>
      <c r="H1089" s="29">
        <f>IF(C1089="","",IFERROR(INDEX(Categories!$B$6:$B$65,MATCH(C1089,Categories!$A$6:$A$65,0))&amp;"",""))</f>
        <v/>
      </c>
      <c r="I1089" s="25">
        <f>IF(AND(A1089="",C1089="",D1089=""),"",IF(A1089="","Date missing",IF(NOT(ISNUMBER(A1089)),"Date not recognized",IF(YEAR(A1089)&lt;&gt;Settings!$C$4,"Not in "&amp;Settings!$C$4,IF(C1089="","Category missing",IF(H1089="",IF(COUNTIF(Categories!$A$6:$A$65,C1089)&gt;0,"Category has no type","Category not in list"),IF(D1089="","Amount missing",IF(NOT(ISNUMBER(D1089)),"Amount is not a number",IF(F1089="","",IF(ISNA(MATCH(F1089,Lists!$G$2:$G$25,0)),"Goal / fund not in list",IF(H1089="Income","Fund tag ignored on income","")))))))))))</f>
        <v/>
      </c>
    </row>
    <row r="1090">
      <c r="A1090" s="27" t="n"/>
      <c r="B1090" s="23" t="n"/>
      <c r="C1090" s="23" t="n"/>
      <c r="D1090" s="28" t="n"/>
      <c r="E1090" s="23" t="n"/>
      <c r="F1090" s="23" t="n"/>
      <c r="G1090" s="23" t="n"/>
      <c r="H1090" s="29">
        <f>IF(C1090="","",IFERROR(INDEX(Categories!$B$6:$B$65,MATCH(C1090,Categories!$A$6:$A$65,0))&amp;"",""))</f>
        <v/>
      </c>
      <c r="I1090" s="25">
        <f>IF(AND(A1090="",C1090="",D1090=""),"",IF(A1090="","Date missing",IF(NOT(ISNUMBER(A1090)),"Date not recognized",IF(YEAR(A1090)&lt;&gt;Settings!$C$4,"Not in "&amp;Settings!$C$4,IF(C1090="","Category missing",IF(H1090="",IF(COUNTIF(Categories!$A$6:$A$65,C1090)&gt;0,"Category has no type","Category not in list"),IF(D1090="","Amount missing",IF(NOT(ISNUMBER(D1090)),"Amount is not a number",IF(F1090="","",IF(ISNA(MATCH(F1090,Lists!$G$2:$G$25,0)),"Goal / fund not in list",IF(H1090="Income","Fund tag ignored on income","")))))))))))</f>
        <v/>
      </c>
    </row>
    <row r="1091">
      <c r="A1091" s="27" t="n"/>
      <c r="B1091" s="23" t="n"/>
      <c r="C1091" s="23" t="n"/>
      <c r="D1091" s="28" t="n"/>
      <c r="E1091" s="23" t="n"/>
      <c r="F1091" s="23" t="n"/>
      <c r="G1091" s="23" t="n"/>
      <c r="H1091" s="29">
        <f>IF(C1091="","",IFERROR(INDEX(Categories!$B$6:$B$65,MATCH(C1091,Categories!$A$6:$A$65,0))&amp;"",""))</f>
        <v/>
      </c>
      <c r="I1091" s="25">
        <f>IF(AND(A1091="",C1091="",D1091=""),"",IF(A1091="","Date missing",IF(NOT(ISNUMBER(A1091)),"Date not recognized",IF(YEAR(A1091)&lt;&gt;Settings!$C$4,"Not in "&amp;Settings!$C$4,IF(C1091="","Category missing",IF(H1091="",IF(COUNTIF(Categories!$A$6:$A$65,C1091)&gt;0,"Category has no type","Category not in list"),IF(D1091="","Amount missing",IF(NOT(ISNUMBER(D1091)),"Amount is not a number",IF(F1091="","",IF(ISNA(MATCH(F1091,Lists!$G$2:$G$25,0)),"Goal / fund not in list",IF(H1091="Income","Fund tag ignored on income","")))))))))))</f>
        <v/>
      </c>
    </row>
    <row r="1092">
      <c r="A1092" s="27" t="n"/>
      <c r="B1092" s="23" t="n"/>
      <c r="C1092" s="23" t="n"/>
      <c r="D1092" s="28" t="n"/>
      <c r="E1092" s="23" t="n"/>
      <c r="F1092" s="23" t="n"/>
      <c r="G1092" s="23" t="n"/>
      <c r="H1092" s="29">
        <f>IF(C1092="","",IFERROR(INDEX(Categories!$B$6:$B$65,MATCH(C1092,Categories!$A$6:$A$65,0))&amp;"",""))</f>
        <v/>
      </c>
      <c r="I1092" s="25">
        <f>IF(AND(A1092="",C1092="",D1092=""),"",IF(A1092="","Date missing",IF(NOT(ISNUMBER(A1092)),"Date not recognized",IF(YEAR(A1092)&lt;&gt;Settings!$C$4,"Not in "&amp;Settings!$C$4,IF(C1092="","Category missing",IF(H1092="",IF(COUNTIF(Categories!$A$6:$A$65,C1092)&gt;0,"Category has no type","Category not in list"),IF(D1092="","Amount missing",IF(NOT(ISNUMBER(D1092)),"Amount is not a number",IF(F1092="","",IF(ISNA(MATCH(F1092,Lists!$G$2:$G$25,0)),"Goal / fund not in list",IF(H1092="Income","Fund tag ignored on income","")))))))))))</f>
        <v/>
      </c>
    </row>
    <row r="1093">
      <c r="A1093" s="27" t="n"/>
      <c r="B1093" s="23" t="n"/>
      <c r="C1093" s="23" t="n"/>
      <c r="D1093" s="28" t="n"/>
      <c r="E1093" s="23" t="n"/>
      <c r="F1093" s="23" t="n"/>
      <c r="G1093" s="23" t="n"/>
      <c r="H1093" s="29">
        <f>IF(C1093="","",IFERROR(INDEX(Categories!$B$6:$B$65,MATCH(C1093,Categories!$A$6:$A$65,0))&amp;"",""))</f>
        <v/>
      </c>
      <c r="I1093" s="25">
        <f>IF(AND(A1093="",C1093="",D1093=""),"",IF(A1093="","Date missing",IF(NOT(ISNUMBER(A1093)),"Date not recognized",IF(YEAR(A1093)&lt;&gt;Settings!$C$4,"Not in "&amp;Settings!$C$4,IF(C1093="","Category missing",IF(H1093="",IF(COUNTIF(Categories!$A$6:$A$65,C1093)&gt;0,"Category has no type","Category not in list"),IF(D1093="","Amount missing",IF(NOT(ISNUMBER(D1093)),"Amount is not a number",IF(F1093="","",IF(ISNA(MATCH(F1093,Lists!$G$2:$G$25,0)),"Goal / fund not in list",IF(H1093="Income","Fund tag ignored on income","")))))))))))</f>
        <v/>
      </c>
    </row>
    <row r="1094">
      <c r="A1094" s="27" t="n"/>
      <c r="B1094" s="23" t="n"/>
      <c r="C1094" s="23" t="n"/>
      <c r="D1094" s="28" t="n"/>
      <c r="E1094" s="23" t="n"/>
      <c r="F1094" s="23" t="n"/>
      <c r="G1094" s="23" t="n"/>
      <c r="H1094" s="29">
        <f>IF(C1094="","",IFERROR(INDEX(Categories!$B$6:$B$65,MATCH(C1094,Categories!$A$6:$A$65,0))&amp;"",""))</f>
        <v/>
      </c>
      <c r="I1094" s="25">
        <f>IF(AND(A1094="",C1094="",D1094=""),"",IF(A1094="","Date missing",IF(NOT(ISNUMBER(A1094)),"Date not recognized",IF(YEAR(A1094)&lt;&gt;Settings!$C$4,"Not in "&amp;Settings!$C$4,IF(C1094="","Category missing",IF(H1094="",IF(COUNTIF(Categories!$A$6:$A$65,C1094)&gt;0,"Category has no type","Category not in list"),IF(D1094="","Amount missing",IF(NOT(ISNUMBER(D1094)),"Amount is not a number",IF(F1094="","",IF(ISNA(MATCH(F1094,Lists!$G$2:$G$25,0)),"Goal / fund not in list",IF(H1094="Income","Fund tag ignored on income","")))))))))))</f>
        <v/>
      </c>
    </row>
    <row r="1095">
      <c r="A1095" s="27" t="n"/>
      <c r="B1095" s="23" t="n"/>
      <c r="C1095" s="23" t="n"/>
      <c r="D1095" s="28" t="n"/>
      <c r="E1095" s="23" t="n"/>
      <c r="F1095" s="23" t="n"/>
      <c r="G1095" s="23" t="n"/>
      <c r="H1095" s="29">
        <f>IF(C1095="","",IFERROR(INDEX(Categories!$B$6:$B$65,MATCH(C1095,Categories!$A$6:$A$65,0))&amp;"",""))</f>
        <v/>
      </c>
      <c r="I1095" s="25">
        <f>IF(AND(A1095="",C1095="",D1095=""),"",IF(A1095="","Date missing",IF(NOT(ISNUMBER(A1095)),"Date not recognized",IF(YEAR(A1095)&lt;&gt;Settings!$C$4,"Not in "&amp;Settings!$C$4,IF(C1095="","Category missing",IF(H1095="",IF(COUNTIF(Categories!$A$6:$A$65,C1095)&gt;0,"Category has no type","Category not in list"),IF(D1095="","Amount missing",IF(NOT(ISNUMBER(D1095)),"Amount is not a number",IF(F1095="","",IF(ISNA(MATCH(F1095,Lists!$G$2:$G$25,0)),"Goal / fund not in list",IF(H1095="Income","Fund tag ignored on income","")))))))))))</f>
        <v/>
      </c>
    </row>
    <row r="1096">
      <c r="A1096" s="27" t="n"/>
      <c r="B1096" s="23" t="n"/>
      <c r="C1096" s="23" t="n"/>
      <c r="D1096" s="28" t="n"/>
      <c r="E1096" s="23" t="n"/>
      <c r="F1096" s="23" t="n"/>
      <c r="G1096" s="23" t="n"/>
      <c r="H1096" s="29">
        <f>IF(C1096="","",IFERROR(INDEX(Categories!$B$6:$B$65,MATCH(C1096,Categories!$A$6:$A$65,0))&amp;"",""))</f>
        <v/>
      </c>
      <c r="I1096" s="25">
        <f>IF(AND(A1096="",C1096="",D1096=""),"",IF(A1096="","Date missing",IF(NOT(ISNUMBER(A1096)),"Date not recognized",IF(YEAR(A1096)&lt;&gt;Settings!$C$4,"Not in "&amp;Settings!$C$4,IF(C1096="","Category missing",IF(H1096="",IF(COUNTIF(Categories!$A$6:$A$65,C1096)&gt;0,"Category has no type","Category not in list"),IF(D1096="","Amount missing",IF(NOT(ISNUMBER(D1096)),"Amount is not a number",IF(F1096="","",IF(ISNA(MATCH(F1096,Lists!$G$2:$G$25,0)),"Goal / fund not in list",IF(H1096="Income","Fund tag ignored on income","")))))))))))</f>
        <v/>
      </c>
    </row>
    <row r="1097">
      <c r="A1097" s="27" t="n"/>
      <c r="B1097" s="23" t="n"/>
      <c r="C1097" s="23" t="n"/>
      <c r="D1097" s="28" t="n"/>
      <c r="E1097" s="23" t="n"/>
      <c r="F1097" s="23" t="n"/>
      <c r="G1097" s="23" t="n"/>
      <c r="H1097" s="29">
        <f>IF(C1097="","",IFERROR(INDEX(Categories!$B$6:$B$65,MATCH(C1097,Categories!$A$6:$A$65,0))&amp;"",""))</f>
        <v/>
      </c>
      <c r="I1097" s="25">
        <f>IF(AND(A1097="",C1097="",D1097=""),"",IF(A1097="","Date missing",IF(NOT(ISNUMBER(A1097)),"Date not recognized",IF(YEAR(A1097)&lt;&gt;Settings!$C$4,"Not in "&amp;Settings!$C$4,IF(C1097="","Category missing",IF(H1097="",IF(COUNTIF(Categories!$A$6:$A$65,C1097)&gt;0,"Category has no type","Category not in list"),IF(D1097="","Amount missing",IF(NOT(ISNUMBER(D1097)),"Amount is not a number",IF(F1097="","",IF(ISNA(MATCH(F1097,Lists!$G$2:$G$25,0)),"Goal / fund not in list",IF(H1097="Income","Fund tag ignored on income","")))))))))))</f>
        <v/>
      </c>
    </row>
    <row r="1098">
      <c r="A1098" s="27" t="n"/>
      <c r="B1098" s="23" t="n"/>
      <c r="C1098" s="23" t="n"/>
      <c r="D1098" s="28" t="n"/>
      <c r="E1098" s="23" t="n"/>
      <c r="F1098" s="23" t="n"/>
      <c r="G1098" s="23" t="n"/>
      <c r="H1098" s="29">
        <f>IF(C1098="","",IFERROR(INDEX(Categories!$B$6:$B$65,MATCH(C1098,Categories!$A$6:$A$65,0))&amp;"",""))</f>
        <v/>
      </c>
      <c r="I1098" s="25">
        <f>IF(AND(A1098="",C1098="",D1098=""),"",IF(A1098="","Date missing",IF(NOT(ISNUMBER(A1098)),"Date not recognized",IF(YEAR(A1098)&lt;&gt;Settings!$C$4,"Not in "&amp;Settings!$C$4,IF(C1098="","Category missing",IF(H1098="",IF(COUNTIF(Categories!$A$6:$A$65,C1098)&gt;0,"Category has no type","Category not in list"),IF(D1098="","Amount missing",IF(NOT(ISNUMBER(D1098)),"Amount is not a number",IF(F1098="","",IF(ISNA(MATCH(F1098,Lists!$G$2:$G$25,0)),"Goal / fund not in list",IF(H1098="Income","Fund tag ignored on income","")))))))))))</f>
        <v/>
      </c>
    </row>
    <row r="1099">
      <c r="A1099" s="27" t="n"/>
      <c r="B1099" s="23" t="n"/>
      <c r="C1099" s="23" t="n"/>
      <c r="D1099" s="28" t="n"/>
      <c r="E1099" s="23" t="n"/>
      <c r="F1099" s="23" t="n"/>
      <c r="G1099" s="23" t="n"/>
      <c r="H1099" s="29">
        <f>IF(C1099="","",IFERROR(INDEX(Categories!$B$6:$B$65,MATCH(C1099,Categories!$A$6:$A$65,0))&amp;"",""))</f>
        <v/>
      </c>
      <c r="I1099" s="25">
        <f>IF(AND(A1099="",C1099="",D1099=""),"",IF(A1099="","Date missing",IF(NOT(ISNUMBER(A1099)),"Date not recognized",IF(YEAR(A1099)&lt;&gt;Settings!$C$4,"Not in "&amp;Settings!$C$4,IF(C1099="","Category missing",IF(H1099="",IF(COUNTIF(Categories!$A$6:$A$65,C1099)&gt;0,"Category has no type","Category not in list"),IF(D1099="","Amount missing",IF(NOT(ISNUMBER(D1099)),"Amount is not a number",IF(F1099="","",IF(ISNA(MATCH(F1099,Lists!$G$2:$G$25,0)),"Goal / fund not in list",IF(H1099="Income","Fund tag ignored on income","")))))))))))</f>
        <v/>
      </c>
    </row>
    <row r="1100">
      <c r="A1100" s="27" t="n"/>
      <c r="B1100" s="23" t="n"/>
      <c r="C1100" s="23" t="n"/>
      <c r="D1100" s="28" t="n"/>
      <c r="E1100" s="23" t="n"/>
      <c r="F1100" s="23" t="n"/>
      <c r="G1100" s="23" t="n"/>
      <c r="H1100" s="29">
        <f>IF(C1100="","",IFERROR(INDEX(Categories!$B$6:$B$65,MATCH(C1100,Categories!$A$6:$A$65,0))&amp;"",""))</f>
        <v/>
      </c>
      <c r="I1100" s="25">
        <f>IF(AND(A1100="",C1100="",D1100=""),"",IF(A1100="","Date missing",IF(NOT(ISNUMBER(A1100)),"Date not recognized",IF(YEAR(A1100)&lt;&gt;Settings!$C$4,"Not in "&amp;Settings!$C$4,IF(C1100="","Category missing",IF(H1100="",IF(COUNTIF(Categories!$A$6:$A$65,C1100)&gt;0,"Category has no type","Category not in list"),IF(D1100="","Amount missing",IF(NOT(ISNUMBER(D1100)),"Amount is not a number",IF(F1100="","",IF(ISNA(MATCH(F1100,Lists!$G$2:$G$25,0)),"Goal / fund not in list",IF(H1100="Income","Fund tag ignored on income","")))))))))))</f>
        <v/>
      </c>
    </row>
    <row r="1101">
      <c r="A1101" s="27" t="n"/>
      <c r="B1101" s="23" t="n"/>
      <c r="C1101" s="23" t="n"/>
      <c r="D1101" s="28" t="n"/>
      <c r="E1101" s="23" t="n"/>
      <c r="F1101" s="23" t="n"/>
      <c r="G1101" s="23" t="n"/>
      <c r="H1101" s="29">
        <f>IF(C1101="","",IFERROR(INDEX(Categories!$B$6:$B$65,MATCH(C1101,Categories!$A$6:$A$65,0))&amp;"",""))</f>
        <v/>
      </c>
      <c r="I1101" s="25">
        <f>IF(AND(A1101="",C1101="",D1101=""),"",IF(A1101="","Date missing",IF(NOT(ISNUMBER(A1101)),"Date not recognized",IF(YEAR(A1101)&lt;&gt;Settings!$C$4,"Not in "&amp;Settings!$C$4,IF(C1101="","Category missing",IF(H1101="",IF(COUNTIF(Categories!$A$6:$A$65,C1101)&gt;0,"Category has no type","Category not in list"),IF(D1101="","Amount missing",IF(NOT(ISNUMBER(D1101)),"Amount is not a number",IF(F1101="","",IF(ISNA(MATCH(F1101,Lists!$G$2:$G$25,0)),"Goal / fund not in list",IF(H1101="Income","Fund tag ignored on income","")))))))))))</f>
        <v/>
      </c>
    </row>
    <row r="1102">
      <c r="A1102" s="27" t="n"/>
      <c r="B1102" s="23" t="n"/>
      <c r="C1102" s="23" t="n"/>
      <c r="D1102" s="28" t="n"/>
      <c r="E1102" s="23" t="n"/>
      <c r="F1102" s="23" t="n"/>
      <c r="G1102" s="23" t="n"/>
      <c r="H1102" s="29">
        <f>IF(C1102="","",IFERROR(INDEX(Categories!$B$6:$B$65,MATCH(C1102,Categories!$A$6:$A$65,0))&amp;"",""))</f>
        <v/>
      </c>
      <c r="I1102" s="25">
        <f>IF(AND(A1102="",C1102="",D1102=""),"",IF(A1102="","Date missing",IF(NOT(ISNUMBER(A1102)),"Date not recognized",IF(YEAR(A1102)&lt;&gt;Settings!$C$4,"Not in "&amp;Settings!$C$4,IF(C1102="","Category missing",IF(H1102="",IF(COUNTIF(Categories!$A$6:$A$65,C1102)&gt;0,"Category has no type","Category not in list"),IF(D1102="","Amount missing",IF(NOT(ISNUMBER(D1102)),"Amount is not a number",IF(F1102="","",IF(ISNA(MATCH(F1102,Lists!$G$2:$G$25,0)),"Goal / fund not in list",IF(H1102="Income","Fund tag ignored on income","")))))))))))</f>
        <v/>
      </c>
    </row>
    <row r="1103">
      <c r="A1103" s="27" t="n"/>
      <c r="B1103" s="23" t="n"/>
      <c r="C1103" s="23" t="n"/>
      <c r="D1103" s="28" t="n"/>
      <c r="E1103" s="23" t="n"/>
      <c r="F1103" s="23" t="n"/>
      <c r="G1103" s="23" t="n"/>
      <c r="H1103" s="29">
        <f>IF(C1103="","",IFERROR(INDEX(Categories!$B$6:$B$65,MATCH(C1103,Categories!$A$6:$A$65,0))&amp;"",""))</f>
        <v/>
      </c>
      <c r="I1103" s="25">
        <f>IF(AND(A1103="",C1103="",D1103=""),"",IF(A1103="","Date missing",IF(NOT(ISNUMBER(A1103)),"Date not recognized",IF(YEAR(A1103)&lt;&gt;Settings!$C$4,"Not in "&amp;Settings!$C$4,IF(C1103="","Category missing",IF(H1103="",IF(COUNTIF(Categories!$A$6:$A$65,C1103)&gt;0,"Category has no type","Category not in list"),IF(D1103="","Amount missing",IF(NOT(ISNUMBER(D1103)),"Amount is not a number",IF(F1103="","",IF(ISNA(MATCH(F1103,Lists!$G$2:$G$25,0)),"Goal / fund not in list",IF(H1103="Income","Fund tag ignored on income","")))))))))))</f>
        <v/>
      </c>
    </row>
    <row r="1104">
      <c r="A1104" s="27" t="n"/>
      <c r="B1104" s="23" t="n"/>
      <c r="C1104" s="23" t="n"/>
      <c r="D1104" s="28" t="n"/>
      <c r="E1104" s="23" t="n"/>
      <c r="F1104" s="23" t="n"/>
      <c r="G1104" s="23" t="n"/>
      <c r="H1104" s="29">
        <f>IF(C1104="","",IFERROR(INDEX(Categories!$B$6:$B$65,MATCH(C1104,Categories!$A$6:$A$65,0))&amp;"",""))</f>
        <v/>
      </c>
      <c r="I1104" s="25">
        <f>IF(AND(A1104="",C1104="",D1104=""),"",IF(A1104="","Date missing",IF(NOT(ISNUMBER(A1104)),"Date not recognized",IF(YEAR(A1104)&lt;&gt;Settings!$C$4,"Not in "&amp;Settings!$C$4,IF(C1104="","Category missing",IF(H1104="",IF(COUNTIF(Categories!$A$6:$A$65,C1104)&gt;0,"Category has no type","Category not in list"),IF(D1104="","Amount missing",IF(NOT(ISNUMBER(D1104)),"Amount is not a number",IF(F1104="","",IF(ISNA(MATCH(F1104,Lists!$G$2:$G$25,0)),"Goal / fund not in list",IF(H1104="Income","Fund tag ignored on income","")))))))))))</f>
        <v/>
      </c>
    </row>
    <row r="1105">
      <c r="A1105" s="27" t="n"/>
      <c r="B1105" s="23" t="n"/>
      <c r="C1105" s="23" t="n"/>
      <c r="D1105" s="28" t="n"/>
      <c r="E1105" s="23" t="n"/>
      <c r="F1105" s="23" t="n"/>
      <c r="G1105" s="23" t="n"/>
      <c r="H1105" s="29">
        <f>IF(C1105="","",IFERROR(INDEX(Categories!$B$6:$B$65,MATCH(C1105,Categories!$A$6:$A$65,0))&amp;"",""))</f>
        <v/>
      </c>
      <c r="I1105" s="25">
        <f>IF(AND(A1105="",C1105="",D1105=""),"",IF(A1105="","Date missing",IF(NOT(ISNUMBER(A1105)),"Date not recognized",IF(YEAR(A1105)&lt;&gt;Settings!$C$4,"Not in "&amp;Settings!$C$4,IF(C1105="","Category missing",IF(H1105="",IF(COUNTIF(Categories!$A$6:$A$65,C1105)&gt;0,"Category has no type","Category not in list"),IF(D1105="","Amount missing",IF(NOT(ISNUMBER(D1105)),"Amount is not a number",IF(F1105="","",IF(ISNA(MATCH(F1105,Lists!$G$2:$G$25,0)),"Goal / fund not in list",IF(H1105="Income","Fund tag ignored on income","")))))))))))</f>
        <v/>
      </c>
    </row>
    <row r="1106">
      <c r="A1106" s="27" t="n"/>
      <c r="B1106" s="23" t="n"/>
      <c r="C1106" s="23" t="n"/>
      <c r="D1106" s="28" t="n"/>
      <c r="E1106" s="23" t="n"/>
      <c r="F1106" s="23" t="n"/>
      <c r="G1106" s="23" t="n"/>
      <c r="H1106" s="29">
        <f>IF(C1106="","",IFERROR(INDEX(Categories!$B$6:$B$65,MATCH(C1106,Categories!$A$6:$A$65,0))&amp;"",""))</f>
        <v/>
      </c>
      <c r="I1106" s="25">
        <f>IF(AND(A1106="",C1106="",D1106=""),"",IF(A1106="","Date missing",IF(NOT(ISNUMBER(A1106)),"Date not recognized",IF(YEAR(A1106)&lt;&gt;Settings!$C$4,"Not in "&amp;Settings!$C$4,IF(C1106="","Category missing",IF(H1106="",IF(COUNTIF(Categories!$A$6:$A$65,C1106)&gt;0,"Category has no type","Category not in list"),IF(D1106="","Amount missing",IF(NOT(ISNUMBER(D1106)),"Amount is not a number",IF(F1106="","",IF(ISNA(MATCH(F1106,Lists!$G$2:$G$25,0)),"Goal / fund not in list",IF(H1106="Income","Fund tag ignored on income","")))))))))))</f>
        <v/>
      </c>
    </row>
    <row r="1107">
      <c r="A1107" s="27" t="n"/>
      <c r="B1107" s="23" t="n"/>
      <c r="C1107" s="23" t="n"/>
      <c r="D1107" s="28" t="n"/>
      <c r="E1107" s="23" t="n"/>
      <c r="F1107" s="23" t="n"/>
      <c r="G1107" s="23" t="n"/>
      <c r="H1107" s="29">
        <f>IF(C1107="","",IFERROR(INDEX(Categories!$B$6:$B$65,MATCH(C1107,Categories!$A$6:$A$65,0))&amp;"",""))</f>
        <v/>
      </c>
      <c r="I1107" s="25">
        <f>IF(AND(A1107="",C1107="",D1107=""),"",IF(A1107="","Date missing",IF(NOT(ISNUMBER(A1107)),"Date not recognized",IF(YEAR(A1107)&lt;&gt;Settings!$C$4,"Not in "&amp;Settings!$C$4,IF(C1107="","Category missing",IF(H1107="",IF(COUNTIF(Categories!$A$6:$A$65,C1107)&gt;0,"Category has no type","Category not in list"),IF(D1107="","Amount missing",IF(NOT(ISNUMBER(D1107)),"Amount is not a number",IF(F1107="","",IF(ISNA(MATCH(F1107,Lists!$G$2:$G$25,0)),"Goal / fund not in list",IF(H1107="Income","Fund tag ignored on income","")))))))))))</f>
        <v/>
      </c>
    </row>
    <row r="1108">
      <c r="A1108" s="27" t="n"/>
      <c r="B1108" s="23" t="n"/>
      <c r="C1108" s="23" t="n"/>
      <c r="D1108" s="28" t="n"/>
      <c r="E1108" s="23" t="n"/>
      <c r="F1108" s="23" t="n"/>
      <c r="G1108" s="23" t="n"/>
      <c r="H1108" s="29">
        <f>IF(C1108="","",IFERROR(INDEX(Categories!$B$6:$B$65,MATCH(C1108,Categories!$A$6:$A$65,0))&amp;"",""))</f>
        <v/>
      </c>
      <c r="I1108" s="25">
        <f>IF(AND(A1108="",C1108="",D1108=""),"",IF(A1108="","Date missing",IF(NOT(ISNUMBER(A1108)),"Date not recognized",IF(YEAR(A1108)&lt;&gt;Settings!$C$4,"Not in "&amp;Settings!$C$4,IF(C1108="","Category missing",IF(H1108="",IF(COUNTIF(Categories!$A$6:$A$65,C1108)&gt;0,"Category has no type","Category not in list"),IF(D1108="","Amount missing",IF(NOT(ISNUMBER(D1108)),"Amount is not a number",IF(F1108="","",IF(ISNA(MATCH(F1108,Lists!$G$2:$G$25,0)),"Goal / fund not in list",IF(H1108="Income","Fund tag ignored on income","")))))))))))</f>
        <v/>
      </c>
    </row>
    <row r="1109">
      <c r="A1109" s="27" t="n"/>
      <c r="B1109" s="23" t="n"/>
      <c r="C1109" s="23" t="n"/>
      <c r="D1109" s="28" t="n"/>
      <c r="E1109" s="23" t="n"/>
      <c r="F1109" s="23" t="n"/>
      <c r="G1109" s="23" t="n"/>
      <c r="H1109" s="29">
        <f>IF(C1109="","",IFERROR(INDEX(Categories!$B$6:$B$65,MATCH(C1109,Categories!$A$6:$A$65,0))&amp;"",""))</f>
        <v/>
      </c>
      <c r="I1109" s="25">
        <f>IF(AND(A1109="",C1109="",D1109=""),"",IF(A1109="","Date missing",IF(NOT(ISNUMBER(A1109)),"Date not recognized",IF(YEAR(A1109)&lt;&gt;Settings!$C$4,"Not in "&amp;Settings!$C$4,IF(C1109="","Category missing",IF(H1109="",IF(COUNTIF(Categories!$A$6:$A$65,C1109)&gt;0,"Category has no type","Category not in list"),IF(D1109="","Amount missing",IF(NOT(ISNUMBER(D1109)),"Amount is not a number",IF(F1109="","",IF(ISNA(MATCH(F1109,Lists!$G$2:$G$25,0)),"Goal / fund not in list",IF(H1109="Income","Fund tag ignored on income","")))))))))))</f>
        <v/>
      </c>
    </row>
    <row r="1110">
      <c r="A1110" s="27" t="n"/>
      <c r="B1110" s="23" t="n"/>
      <c r="C1110" s="23" t="n"/>
      <c r="D1110" s="28" t="n"/>
      <c r="E1110" s="23" t="n"/>
      <c r="F1110" s="23" t="n"/>
      <c r="G1110" s="23" t="n"/>
      <c r="H1110" s="29">
        <f>IF(C1110="","",IFERROR(INDEX(Categories!$B$6:$B$65,MATCH(C1110,Categories!$A$6:$A$65,0))&amp;"",""))</f>
        <v/>
      </c>
      <c r="I1110" s="25">
        <f>IF(AND(A1110="",C1110="",D1110=""),"",IF(A1110="","Date missing",IF(NOT(ISNUMBER(A1110)),"Date not recognized",IF(YEAR(A1110)&lt;&gt;Settings!$C$4,"Not in "&amp;Settings!$C$4,IF(C1110="","Category missing",IF(H1110="",IF(COUNTIF(Categories!$A$6:$A$65,C1110)&gt;0,"Category has no type","Category not in list"),IF(D1110="","Amount missing",IF(NOT(ISNUMBER(D1110)),"Amount is not a number",IF(F1110="","",IF(ISNA(MATCH(F1110,Lists!$G$2:$G$25,0)),"Goal / fund not in list",IF(H1110="Income","Fund tag ignored on income","")))))))))))</f>
        <v/>
      </c>
    </row>
    <row r="1111">
      <c r="A1111" s="27" t="n"/>
      <c r="B1111" s="23" t="n"/>
      <c r="C1111" s="23" t="n"/>
      <c r="D1111" s="28" t="n"/>
      <c r="E1111" s="23" t="n"/>
      <c r="F1111" s="23" t="n"/>
      <c r="G1111" s="23" t="n"/>
      <c r="H1111" s="29">
        <f>IF(C1111="","",IFERROR(INDEX(Categories!$B$6:$B$65,MATCH(C1111,Categories!$A$6:$A$65,0))&amp;"",""))</f>
        <v/>
      </c>
      <c r="I1111" s="25">
        <f>IF(AND(A1111="",C1111="",D1111=""),"",IF(A1111="","Date missing",IF(NOT(ISNUMBER(A1111)),"Date not recognized",IF(YEAR(A1111)&lt;&gt;Settings!$C$4,"Not in "&amp;Settings!$C$4,IF(C1111="","Category missing",IF(H1111="",IF(COUNTIF(Categories!$A$6:$A$65,C1111)&gt;0,"Category has no type","Category not in list"),IF(D1111="","Amount missing",IF(NOT(ISNUMBER(D1111)),"Amount is not a number",IF(F1111="","",IF(ISNA(MATCH(F1111,Lists!$G$2:$G$25,0)),"Goal / fund not in list",IF(H1111="Income","Fund tag ignored on income","")))))))))))</f>
        <v/>
      </c>
    </row>
    <row r="1112">
      <c r="A1112" s="27" t="n"/>
      <c r="B1112" s="23" t="n"/>
      <c r="C1112" s="23" t="n"/>
      <c r="D1112" s="28" t="n"/>
      <c r="E1112" s="23" t="n"/>
      <c r="F1112" s="23" t="n"/>
      <c r="G1112" s="23" t="n"/>
      <c r="H1112" s="29">
        <f>IF(C1112="","",IFERROR(INDEX(Categories!$B$6:$B$65,MATCH(C1112,Categories!$A$6:$A$65,0))&amp;"",""))</f>
        <v/>
      </c>
      <c r="I1112" s="25">
        <f>IF(AND(A1112="",C1112="",D1112=""),"",IF(A1112="","Date missing",IF(NOT(ISNUMBER(A1112)),"Date not recognized",IF(YEAR(A1112)&lt;&gt;Settings!$C$4,"Not in "&amp;Settings!$C$4,IF(C1112="","Category missing",IF(H1112="",IF(COUNTIF(Categories!$A$6:$A$65,C1112)&gt;0,"Category has no type","Category not in list"),IF(D1112="","Amount missing",IF(NOT(ISNUMBER(D1112)),"Amount is not a number",IF(F1112="","",IF(ISNA(MATCH(F1112,Lists!$G$2:$G$25,0)),"Goal / fund not in list",IF(H1112="Income","Fund tag ignored on income","")))))))))))</f>
        <v/>
      </c>
    </row>
    <row r="1113">
      <c r="A1113" s="27" t="n"/>
      <c r="B1113" s="23" t="n"/>
      <c r="C1113" s="23" t="n"/>
      <c r="D1113" s="28" t="n"/>
      <c r="E1113" s="23" t="n"/>
      <c r="F1113" s="23" t="n"/>
      <c r="G1113" s="23" t="n"/>
      <c r="H1113" s="29">
        <f>IF(C1113="","",IFERROR(INDEX(Categories!$B$6:$B$65,MATCH(C1113,Categories!$A$6:$A$65,0))&amp;"",""))</f>
        <v/>
      </c>
      <c r="I1113" s="25">
        <f>IF(AND(A1113="",C1113="",D1113=""),"",IF(A1113="","Date missing",IF(NOT(ISNUMBER(A1113)),"Date not recognized",IF(YEAR(A1113)&lt;&gt;Settings!$C$4,"Not in "&amp;Settings!$C$4,IF(C1113="","Category missing",IF(H1113="",IF(COUNTIF(Categories!$A$6:$A$65,C1113)&gt;0,"Category has no type","Category not in list"),IF(D1113="","Amount missing",IF(NOT(ISNUMBER(D1113)),"Amount is not a number",IF(F1113="","",IF(ISNA(MATCH(F1113,Lists!$G$2:$G$25,0)),"Goal / fund not in list",IF(H1113="Income","Fund tag ignored on income","")))))))))))</f>
        <v/>
      </c>
    </row>
    <row r="1114">
      <c r="A1114" s="27" t="n"/>
      <c r="B1114" s="23" t="n"/>
      <c r="C1114" s="23" t="n"/>
      <c r="D1114" s="28" t="n"/>
      <c r="E1114" s="23" t="n"/>
      <c r="F1114" s="23" t="n"/>
      <c r="G1114" s="23" t="n"/>
      <c r="H1114" s="29">
        <f>IF(C1114="","",IFERROR(INDEX(Categories!$B$6:$B$65,MATCH(C1114,Categories!$A$6:$A$65,0))&amp;"",""))</f>
        <v/>
      </c>
      <c r="I1114" s="25">
        <f>IF(AND(A1114="",C1114="",D1114=""),"",IF(A1114="","Date missing",IF(NOT(ISNUMBER(A1114)),"Date not recognized",IF(YEAR(A1114)&lt;&gt;Settings!$C$4,"Not in "&amp;Settings!$C$4,IF(C1114="","Category missing",IF(H1114="",IF(COUNTIF(Categories!$A$6:$A$65,C1114)&gt;0,"Category has no type","Category not in list"),IF(D1114="","Amount missing",IF(NOT(ISNUMBER(D1114)),"Amount is not a number",IF(F1114="","",IF(ISNA(MATCH(F1114,Lists!$G$2:$G$25,0)),"Goal / fund not in list",IF(H1114="Income","Fund tag ignored on income","")))))))))))</f>
        <v/>
      </c>
    </row>
    <row r="1115">
      <c r="A1115" s="27" t="n"/>
      <c r="B1115" s="23" t="n"/>
      <c r="C1115" s="23" t="n"/>
      <c r="D1115" s="28" t="n"/>
      <c r="E1115" s="23" t="n"/>
      <c r="F1115" s="23" t="n"/>
      <c r="G1115" s="23" t="n"/>
      <c r="H1115" s="29">
        <f>IF(C1115="","",IFERROR(INDEX(Categories!$B$6:$B$65,MATCH(C1115,Categories!$A$6:$A$65,0))&amp;"",""))</f>
        <v/>
      </c>
      <c r="I1115" s="25">
        <f>IF(AND(A1115="",C1115="",D1115=""),"",IF(A1115="","Date missing",IF(NOT(ISNUMBER(A1115)),"Date not recognized",IF(YEAR(A1115)&lt;&gt;Settings!$C$4,"Not in "&amp;Settings!$C$4,IF(C1115="","Category missing",IF(H1115="",IF(COUNTIF(Categories!$A$6:$A$65,C1115)&gt;0,"Category has no type","Category not in list"),IF(D1115="","Amount missing",IF(NOT(ISNUMBER(D1115)),"Amount is not a number",IF(F1115="","",IF(ISNA(MATCH(F1115,Lists!$G$2:$G$25,0)),"Goal / fund not in list",IF(H1115="Income","Fund tag ignored on income","")))))))))))</f>
        <v/>
      </c>
    </row>
    <row r="1116">
      <c r="A1116" s="27" t="n"/>
      <c r="B1116" s="23" t="n"/>
      <c r="C1116" s="23" t="n"/>
      <c r="D1116" s="28" t="n"/>
      <c r="E1116" s="23" t="n"/>
      <c r="F1116" s="23" t="n"/>
      <c r="G1116" s="23" t="n"/>
      <c r="H1116" s="29">
        <f>IF(C1116="","",IFERROR(INDEX(Categories!$B$6:$B$65,MATCH(C1116,Categories!$A$6:$A$65,0))&amp;"",""))</f>
        <v/>
      </c>
      <c r="I1116" s="25">
        <f>IF(AND(A1116="",C1116="",D1116=""),"",IF(A1116="","Date missing",IF(NOT(ISNUMBER(A1116)),"Date not recognized",IF(YEAR(A1116)&lt;&gt;Settings!$C$4,"Not in "&amp;Settings!$C$4,IF(C1116="","Category missing",IF(H1116="",IF(COUNTIF(Categories!$A$6:$A$65,C1116)&gt;0,"Category has no type","Category not in list"),IF(D1116="","Amount missing",IF(NOT(ISNUMBER(D1116)),"Amount is not a number",IF(F1116="","",IF(ISNA(MATCH(F1116,Lists!$G$2:$G$25,0)),"Goal / fund not in list",IF(H1116="Income","Fund tag ignored on income","")))))))))))</f>
        <v/>
      </c>
    </row>
    <row r="1117">
      <c r="A1117" s="27" t="n"/>
      <c r="B1117" s="23" t="n"/>
      <c r="C1117" s="23" t="n"/>
      <c r="D1117" s="28" t="n"/>
      <c r="E1117" s="23" t="n"/>
      <c r="F1117" s="23" t="n"/>
      <c r="G1117" s="23" t="n"/>
      <c r="H1117" s="29">
        <f>IF(C1117="","",IFERROR(INDEX(Categories!$B$6:$B$65,MATCH(C1117,Categories!$A$6:$A$65,0))&amp;"",""))</f>
        <v/>
      </c>
      <c r="I1117" s="25">
        <f>IF(AND(A1117="",C1117="",D1117=""),"",IF(A1117="","Date missing",IF(NOT(ISNUMBER(A1117)),"Date not recognized",IF(YEAR(A1117)&lt;&gt;Settings!$C$4,"Not in "&amp;Settings!$C$4,IF(C1117="","Category missing",IF(H1117="",IF(COUNTIF(Categories!$A$6:$A$65,C1117)&gt;0,"Category has no type","Category not in list"),IF(D1117="","Amount missing",IF(NOT(ISNUMBER(D1117)),"Amount is not a number",IF(F1117="","",IF(ISNA(MATCH(F1117,Lists!$G$2:$G$25,0)),"Goal / fund not in list",IF(H1117="Income","Fund tag ignored on income","")))))))))))</f>
        <v/>
      </c>
    </row>
    <row r="1118">
      <c r="A1118" s="27" t="n"/>
      <c r="B1118" s="23" t="n"/>
      <c r="C1118" s="23" t="n"/>
      <c r="D1118" s="28" t="n"/>
      <c r="E1118" s="23" t="n"/>
      <c r="F1118" s="23" t="n"/>
      <c r="G1118" s="23" t="n"/>
      <c r="H1118" s="29">
        <f>IF(C1118="","",IFERROR(INDEX(Categories!$B$6:$B$65,MATCH(C1118,Categories!$A$6:$A$65,0))&amp;"",""))</f>
        <v/>
      </c>
      <c r="I1118" s="25">
        <f>IF(AND(A1118="",C1118="",D1118=""),"",IF(A1118="","Date missing",IF(NOT(ISNUMBER(A1118)),"Date not recognized",IF(YEAR(A1118)&lt;&gt;Settings!$C$4,"Not in "&amp;Settings!$C$4,IF(C1118="","Category missing",IF(H1118="",IF(COUNTIF(Categories!$A$6:$A$65,C1118)&gt;0,"Category has no type","Category not in list"),IF(D1118="","Amount missing",IF(NOT(ISNUMBER(D1118)),"Amount is not a number",IF(F1118="","",IF(ISNA(MATCH(F1118,Lists!$G$2:$G$25,0)),"Goal / fund not in list",IF(H1118="Income","Fund tag ignored on income","")))))))))))</f>
        <v/>
      </c>
    </row>
    <row r="1119">
      <c r="A1119" s="27" t="n"/>
      <c r="B1119" s="23" t="n"/>
      <c r="C1119" s="23" t="n"/>
      <c r="D1119" s="28" t="n"/>
      <c r="E1119" s="23" t="n"/>
      <c r="F1119" s="23" t="n"/>
      <c r="G1119" s="23" t="n"/>
      <c r="H1119" s="29">
        <f>IF(C1119="","",IFERROR(INDEX(Categories!$B$6:$B$65,MATCH(C1119,Categories!$A$6:$A$65,0))&amp;"",""))</f>
        <v/>
      </c>
      <c r="I1119" s="25">
        <f>IF(AND(A1119="",C1119="",D1119=""),"",IF(A1119="","Date missing",IF(NOT(ISNUMBER(A1119)),"Date not recognized",IF(YEAR(A1119)&lt;&gt;Settings!$C$4,"Not in "&amp;Settings!$C$4,IF(C1119="","Category missing",IF(H1119="",IF(COUNTIF(Categories!$A$6:$A$65,C1119)&gt;0,"Category has no type","Category not in list"),IF(D1119="","Amount missing",IF(NOT(ISNUMBER(D1119)),"Amount is not a number",IF(F1119="","",IF(ISNA(MATCH(F1119,Lists!$G$2:$G$25,0)),"Goal / fund not in list",IF(H1119="Income","Fund tag ignored on income","")))))))))))</f>
        <v/>
      </c>
    </row>
    <row r="1120">
      <c r="A1120" s="27" t="n"/>
      <c r="B1120" s="23" t="n"/>
      <c r="C1120" s="23" t="n"/>
      <c r="D1120" s="28" t="n"/>
      <c r="E1120" s="23" t="n"/>
      <c r="F1120" s="23" t="n"/>
      <c r="G1120" s="23" t="n"/>
      <c r="H1120" s="29">
        <f>IF(C1120="","",IFERROR(INDEX(Categories!$B$6:$B$65,MATCH(C1120,Categories!$A$6:$A$65,0))&amp;"",""))</f>
        <v/>
      </c>
      <c r="I1120" s="25">
        <f>IF(AND(A1120="",C1120="",D1120=""),"",IF(A1120="","Date missing",IF(NOT(ISNUMBER(A1120)),"Date not recognized",IF(YEAR(A1120)&lt;&gt;Settings!$C$4,"Not in "&amp;Settings!$C$4,IF(C1120="","Category missing",IF(H1120="",IF(COUNTIF(Categories!$A$6:$A$65,C1120)&gt;0,"Category has no type","Category not in list"),IF(D1120="","Amount missing",IF(NOT(ISNUMBER(D1120)),"Amount is not a number",IF(F1120="","",IF(ISNA(MATCH(F1120,Lists!$G$2:$G$25,0)),"Goal / fund not in list",IF(H1120="Income","Fund tag ignored on income","")))))))))))</f>
        <v/>
      </c>
    </row>
    <row r="1121">
      <c r="A1121" s="27" t="n"/>
      <c r="B1121" s="23" t="n"/>
      <c r="C1121" s="23" t="n"/>
      <c r="D1121" s="28" t="n"/>
      <c r="E1121" s="23" t="n"/>
      <c r="F1121" s="23" t="n"/>
      <c r="G1121" s="23" t="n"/>
      <c r="H1121" s="29">
        <f>IF(C1121="","",IFERROR(INDEX(Categories!$B$6:$B$65,MATCH(C1121,Categories!$A$6:$A$65,0))&amp;"",""))</f>
        <v/>
      </c>
      <c r="I1121" s="25">
        <f>IF(AND(A1121="",C1121="",D1121=""),"",IF(A1121="","Date missing",IF(NOT(ISNUMBER(A1121)),"Date not recognized",IF(YEAR(A1121)&lt;&gt;Settings!$C$4,"Not in "&amp;Settings!$C$4,IF(C1121="","Category missing",IF(H1121="",IF(COUNTIF(Categories!$A$6:$A$65,C1121)&gt;0,"Category has no type","Category not in list"),IF(D1121="","Amount missing",IF(NOT(ISNUMBER(D1121)),"Amount is not a number",IF(F1121="","",IF(ISNA(MATCH(F1121,Lists!$G$2:$G$25,0)),"Goal / fund not in list",IF(H1121="Income","Fund tag ignored on income","")))))))))))</f>
        <v/>
      </c>
    </row>
    <row r="1122">
      <c r="A1122" s="27" t="n"/>
      <c r="B1122" s="23" t="n"/>
      <c r="C1122" s="23" t="n"/>
      <c r="D1122" s="28" t="n"/>
      <c r="E1122" s="23" t="n"/>
      <c r="F1122" s="23" t="n"/>
      <c r="G1122" s="23" t="n"/>
      <c r="H1122" s="29">
        <f>IF(C1122="","",IFERROR(INDEX(Categories!$B$6:$B$65,MATCH(C1122,Categories!$A$6:$A$65,0))&amp;"",""))</f>
        <v/>
      </c>
      <c r="I1122" s="25">
        <f>IF(AND(A1122="",C1122="",D1122=""),"",IF(A1122="","Date missing",IF(NOT(ISNUMBER(A1122)),"Date not recognized",IF(YEAR(A1122)&lt;&gt;Settings!$C$4,"Not in "&amp;Settings!$C$4,IF(C1122="","Category missing",IF(H1122="",IF(COUNTIF(Categories!$A$6:$A$65,C1122)&gt;0,"Category has no type","Category not in list"),IF(D1122="","Amount missing",IF(NOT(ISNUMBER(D1122)),"Amount is not a number",IF(F1122="","",IF(ISNA(MATCH(F1122,Lists!$G$2:$G$25,0)),"Goal / fund not in list",IF(H1122="Income","Fund tag ignored on income","")))))))))))</f>
        <v/>
      </c>
    </row>
    <row r="1123">
      <c r="A1123" s="27" t="n"/>
      <c r="B1123" s="23" t="n"/>
      <c r="C1123" s="23" t="n"/>
      <c r="D1123" s="28" t="n"/>
      <c r="E1123" s="23" t="n"/>
      <c r="F1123" s="23" t="n"/>
      <c r="G1123" s="23" t="n"/>
      <c r="H1123" s="29">
        <f>IF(C1123="","",IFERROR(INDEX(Categories!$B$6:$B$65,MATCH(C1123,Categories!$A$6:$A$65,0))&amp;"",""))</f>
        <v/>
      </c>
      <c r="I1123" s="25">
        <f>IF(AND(A1123="",C1123="",D1123=""),"",IF(A1123="","Date missing",IF(NOT(ISNUMBER(A1123)),"Date not recognized",IF(YEAR(A1123)&lt;&gt;Settings!$C$4,"Not in "&amp;Settings!$C$4,IF(C1123="","Category missing",IF(H1123="",IF(COUNTIF(Categories!$A$6:$A$65,C1123)&gt;0,"Category has no type","Category not in list"),IF(D1123="","Amount missing",IF(NOT(ISNUMBER(D1123)),"Amount is not a number",IF(F1123="","",IF(ISNA(MATCH(F1123,Lists!$G$2:$G$25,0)),"Goal / fund not in list",IF(H1123="Income","Fund tag ignored on income","")))))))))))</f>
        <v/>
      </c>
    </row>
    <row r="1124">
      <c r="A1124" s="27" t="n"/>
      <c r="B1124" s="23" t="n"/>
      <c r="C1124" s="23" t="n"/>
      <c r="D1124" s="28" t="n"/>
      <c r="E1124" s="23" t="n"/>
      <c r="F1124" s="23" t="n"/>
      <c r="G1124" s="23" t="n"/>
      <c r="H1124" s="29">
        <f>IF(C1124="","",IFERROR(INDEX(Categories!$B$6:$B$65,MATCH(C1124,Categories!$A$6:$A$65,0))&amp;"",""))</f>
        <v/>
      </c>
      <c r="I1124" s="25">
        <f>IF(AND(A1124="",C1124="",D1124=""),"",IF(A1124="","Date missing",IF(NOT(ISNUMBER(A1124)),"Date not recognized",IF(YEAR(A1124)&lt;&gt;Settings!$C$4,"Not in "&amp;Settings!$C$4,IF(C1124="","Category missing",IF(H1124="",IF(COUNTIF(Categories!$A$6:$A$65,C1124)&gt;0,"Category has no type","Category not in list"),IF(D1124="","Amount missing",IF(NOT(ISNUMBER(D1124)),"Amount is not a number",IF(F1124="","",IF(ISNA(MATCH(F1124,Lists!$G$2:$G$25,0)),"Goal / fund not in list",IF(H1124="Income","Fund tag ignored on income","")))))))))))</f>
        <v/>
      </c>
    </row>
    <row r="1125">
      <c r="A1125" s="27" t="n"/>
      <c r="B1125" s="23" t="n"/>
      <c r="C1125" s="23" t="n"/>
      <c r="D1125" s="28" t="n"/>
      <c r="E1125" s="23" t="n"/>
      <c r="F1125" s="23" t="n"/>
      <c r="G1125" s="23" t="n"/>
      <c r="H1125" s="29">
        <f>IF(C1125="","",IFERROR(INDEX(Categories!$B$6:$B$65,MATCH(C1125,Categories!$A$6:$A$65,0))&amp;"",""))</f>
        <v/>
      </c>
      <c r="I1125" s="25">
        <f>IF(AND(A1125="",C1125="",D1125=""),"",IF(A1125="","Date missing",IF(NOT(ISNUMBER(A1125)),"Date not recognized",IF(YEAR(A1125)&lt;&gt;Settings!$C$4,"Not in "&amp;Settings!$C$4,IF(C1125="","Category missing",IF(H1125="",IF(COUNTIF(Categories!$A$6:$A$65,C1125)&gt;0,"Category has no type","Category not in list"),IF(D1125="","Amount missing",IF(NOT(ISNUMBER(D1125)),"Amount is not a number",IF(F1125="","",IF(ISNA(MATCH(F1125,Lists!$G$2:$G$25,0)),"Goal / fund not in list",IF(H1125="Income","Fund tag ignored on income","")))))))))))</f>
        <v/>
      </c>
    </row>
    <row r="1126">
      <c r="A1126" s="27" t="n"/>
      <c r="B1126" s="23" t="n"/>
      <c r="C1126" s="23" t="n"/>
      <c r="D1126" s="28" t="n"/>
      <c r="E1126" s="23" t="n"/>
      <c r="F1126" s="23" t="n"/>
      <c r="G1126" s="23" t="n"/>
      <c r="H1126" s="29">
        <f>IF(C1126="","",IFERROR(INDEX(Categories!$B$6:$B$65,MATCH(C1126,Categories!$A$6:$A$65,0))&amp;"",""))</f>
        <v/>
      </c>
      <c r="I1126" s="25">
        <f>IF(AND(A1126="",C1126="",D1126=""),"",IF(A1126="","Date missing",IF(NOT(ISNUMBER(A1126)),"Date not recognized",IF(YEAR(A1126)&lt;&gt;Settings!$C$4,"Not in "&amp;Settings!$C$4,IF(C1126="","Category missing",IF(H1126="",IF(COUNTIF(Categories!$A$6:$A$65,C1126)&gt;0,"Category has no type","Category not in list"),IF(D1126="","Amount missing",IF(NOT(ISNUMBER(D1126)),"Amount is not a number",IF(F1126="","",IF(ISNA(MATCH(F1126,Lists!$G$2:$G$25,0)),"Goal / fund not in list",IF(H1126="Income","Fund tag ignored on income","")))))))))))</f>
        <v/>
      </c>
    </row>
    <row r="1127">
      <c r="A1127" s="27" t="n"/>
      <c r="B1127" s="23" t="n"/>
      <c r="C1127" s="23" t="n"/>
      <c r="D1127" s="28" t="n"/>
      <c r="E1127" s="23" t="n"/>
      <c r="F1127" s="23" t="n"/>
      <c r="G1127" s="23" t="n"/>
      <c r="H1127" s="29">
        <f>IF(C1127="","",IFERROR(INDEX(Categories!$B$6:$B$65,MATCH(C1127,Categories!$A$6:$A$65,0))&amp;"",""))</f>
        <v/>
      </c>
      <c r="I1127" s="25">
        <f>IF(AND(A1127="",C1127="",D1127=""),"",IF(A1127="","Date missing",IF(NOT(ISNUMBER(A1127)),"Date not recognized",IF(YEAR(A1127)&lt;&gt;Settings!$C$4,"Not in "&amp;Settings!$C$4,IF(C1127="","Category missing",IF(H1127="",IF(COUNTIF(Categories!$A$6:$A$65,C1127)&gt;0,"Category has no type","Category not in list"),IF(D1127="","Amount missing",IF(NOT(ISNUMBER(D1127)),"Amount is not a number",IF(F1127="","",IF(ISNA(MATCH(F1127,Lists!$G$2:$G$25,0)),"Goal / fund not in list",IF(H1127="Income","Fund tag ignored on income","")))))))))))</f>
        <v/>
      </c>
    </row>
    <row r="1128">
      <c r="A1128" s="27" t="n"/>
      <c r="B1128" s="23" t="n"/>
      <c r="C1128" s="23" t="n"/>
      <c r="D1128" s="28" t="n"/>
      <c r="E1128" s="23" t="n"/>
      <c r="F1128" s="23" t="n"/>
      <c r="G1128" s="23" t="n"/>
      <c r="H1128" s="29">
        <f>IF(C1128="","",IFERROR(INDEX(Categories!$B$6:$B$65,MATCH(C1128,Categories!$A$6:$A$65,0))&amp;"",""))</f>
        <v/>
      </c>
      <c r="I1128" s="25">
        <f>IF(AND(A1128="",C1128="",D1128=""),"",IF(A1128="","Date missing",IF(NOT(ISNUMBER(A1128)),"Date not recognized",IF(YEAR(A1128)&lt;&gt;Settings!$C$4,"Not in "&amp;Settings!$C$4,IF(C1128="","Category missing",IF(H1128="",IF(COUNTIF(Categories!$A$6:$A$65,C1128)&gt;0,"Category has no type","Category not in list"),IF(D1128="","Amount missing",IF(NOT(ISNUMBER(D1128)),"Amount is not a number",IF(F1128="","",IF(ISNA(MATCH(F1128,Lists!$G$2:$G$25,0)),"Goal / fund not in list",IF(H1128="Income","Fund tag ignored on income","")))))))))))</f>
        <v/>
      </c>
    </row>
    <row r="1129">
      <c r="A1129" s="27" t="n"/>
      <c r="B1129" s="23" t="n"/>
      <c r="C1129" s="23" t="n"/>
      <c r="D1129" s="28" t="n"/>
      <c r="E1129" s="23" t="n"/>
      <c r="F1129" s="23" t="n"/>
      <c r="G1129" s="23" t="n"/>
      <c r="H1129" s="29">
        <f>IF(C1129="","",IFERROR(INDEX(Categories!$B$6:$B$65,MATCH(C1129,Categories!$A$6:$A$65,0))&amp;"",""))</f>
        <v/>
      </c>
      <c r="I1129" s="25">
        <f>IF(AND(A1129="",C1129="",D1129=""),"",IF(A1129="","Date missing",IF(NOT(ISNUMBER(A1129)),"Date not recognized",IF(YEAR(A1129)&lt;&gt;Settings!$C$4,"Not in "&amp;Settings!$C$4,IF(C1129="","Category missing",IF(H1129="",IF(COUNTIF(Categories!$A$6:$A$65,C1129)&gt;0,"Category has no type","Category not in list"),IF(D1129="","Amount missing",IF(NOT(ISNUMBER(D1129)),"Amount is not a number",IF(F1129="","",IF(ISNA(MATCH(F1129,Lists!$G$2:$G$25,0)),"Goal / fund not in list",IF(H1129="Income","Fund tag ignored on income","")))))))))))</f>
        <v/>
      </c>
    </row>
    <row r="1130">
      <c r="A1130" s="27" t="n"/>
      <c r="B1130" s="23" t="n"/>
      <c r="C1130" s="23" t="n"/>
      <c r="D1130" s="28" t="n"/>
      <c r="E1130" s="23" t="n"/>
      <c r="F1130" s="23" t="n"/>
      <c r="G1130" s="23" t="n"/>
      <c r="H1130" s="29">
        <f>IF(C1130="","",IFERROR(INDEX(Categories!$B$6:$B$65,MATCH(C1130,Categories!$A$6:$A$65,0))&amp;"",""))</f>
        <v/>
      </c>
      <c r="I1130" s="25">
        <f>IF(AND(A1130="",C1130="",D1130=""),"",IF(A1130="","Date missing",IF(NOT(ISNUMBER(A1130)),"Date not recognized",IF(YEAR(A1130)&lt;&gt;Settings!$C$4,"Not in "&amp;Settings!$C$4,IF(C1130="","Category missing",IF(H1130="",IF(COUNTIF(Categories!$A$6:$A$65,C1130)&gt;0,"Category has no type","Category not in list"),IF(D1130="","Amount missing",IF(NOT(ISNUMBER(D1130)),"Amount is not a number",IF(F1130="","",IF(ISNA(MATCH(F1130,Lists!$G$2:$G$25,0)),"Goal / fund not in list",IF(H1130="Income","Fund tag ignored on income","")))))))))))</f>
        <v/>
      </c>
    </row>
    <row r="1131">
      <c r="A1131" s="27" t="n"/>
      <c r="B1131" s="23" t="n"/>
      <c r="C1131" s="23" t="n"/>
      <c r="D1131" s="28" t="n"/>
      <c r="E1131" s="23" t="n"/>
      <c r="F1131" s="23" t="n"/>
      <c r="G1131" s="23" t="n"/>
      <c r="H1131" s="29">
        <f>IF(C1131="","",IFERROR(INDEX(Categories!$B$6:$B$65,MATCH(C1131,Categories!$A$6:$A$65,0))&amp;"",""))</f>
        <v/>
      </c>
      <c r="I1131" s="25">
        <f>IF(AND(A1131="",C1131="",D1131=""),"",IF(A1131="","Date missing",IF(NOT(ISNUMBER(A1131)),"Date not recognized",IF(YEAR(A1131)&lt;&gt;Settings!$C$4,"Not in "&amp;Settings!$C$4,IF(C1131="","Category missing",IF(H1131="",IF(COUNTIF(Categories!$A$6:$A$65,C1131)&gt;0,"Category has no type","Category not in list"),IF(D1131="","Amount missing",IF(NOT(ISNUMBER(D1131)),"Amount is not a number",IF(F1131="","",IF(ISNA(MATCH(F1131,Lists!$G$2:$G$25,0)),"Goal / fund not in list",IF(H1131="Income","Fund tag ignored on income","")))))))))))</f>
        <v/>
      </c>
    </row>
    <row r="1132">
      <c r="A1132" s="27" t="n"/>
      <c r="B1132" s="23" t="n"/>
      <c r="C1132" s="23" t="n"/>
      <c r="D1132" s="28" t="n"/>
      <c r="E1132" s="23" t="n"/>
      <c r="F1132" s="23" t="n"/>
      <c r="G1132" s="23" t="n"/>
      <c r="H1132" s="29">
        <f>IF(C1132="","",IFERROR(INDEX(Categories!$B$6:$B$65,MATCH(C1132,Categories!$A$6:$A$65,0))&amp;"",""))</f>
        <v/>
      </c>
      <c r="I1132" s="25">
        <f>IF(AND(A1132="",C1132="",D1132=""),"",IF(A1132="","Date missing",IF(NOT(ISNUMBER(A1132)),"Date not recognized",IF(YEAR(A1132)&lt;&gt;Settings!$C$4,"Not in "&amp;Settings!$C$4,IF(C1132="","Category missing",IF(H1132="",IF(COUNTIF(Categories!$A$6:$A$65,C1132)&gt;0,"Category has no type","Category not in list"),IF(D1132="","Amount missing",IF(NOT(ISNUMBER(D1132)),"Amount is not a number",IF(F1132="","",IF(ISNA(MATCH(F1132,Lists!$G$2:$G$25,0)),"Goal / fund not in list",IF(H1132="Income","Fund tag ignored on income","")))))))))))</f>
        <v/>
      </c>
    </row>
    <row r="1133">
      <c r="A1133" s="27" t="n"/>
      <c r="B1133" s="23" t="n"/>
      <c r="C1133" s="23" t="n"/>
      <c r="D1133" s="28" t="n"/>
      <c r="E1133" s="23" t="n"/>
      <c r="F1133" s="23" t="n"/>
      <c r="G1133" s="23" t="n"/>
      <c r="H1133" s="29">
        <f>IF(C1133="","",IFERROR(INDEX(Categories!$B$6:$B$65,MATCH(C1133,Categories!$A$6:$A$65,0))&amp;"",""))</f>
        <v/>
      </c>
      <c r="I1133" s="25">
        <f>IF(AND(A1133="",C1133="",D1133=""),"",IF(A1133="","Date missing",IF(NOT(ISNUMBER(A1133)),"Date not recognized",IF(YEAR(A1133)&lt;&gt;Settings!$C$4,"Not in "&amp;Settings!$C$4,IF(C1133="","Category missing",IF(H1133="",IF(COUNTIF(Categories!$A$6:$A$65,C1133)&gt;0,"Category has no type","Category not in list"),IF(D1133="","Amount missing",IF(NOT(ISNUMBER(D1133)),"Amount is not a number",IF(F1133="","",IF(ISNA(MATCH(F1133,Lists!$G$2:$G$25,0)),"Goal / fund not in list",IF(H1133="Income","Fund tag ignored on income","")))))))))))</f>
        <v/>
      </c>
    </row>
    <row r="1134">
      <c r="A1134" s="27" t="n"/>
      <c r="B1134" s="23" t="n"/>
      <c r="C1134" s="23" t="n"/>
      <c r="D1134" s="28" t="n"/>
      <c r="E1134" s="23" t="n"/>
      <c r="F1134" s="23" t="n"/>
      <c r="G1134" s="23" t="n"/>
      <c r="H1134" s="29">
        <f>IF(C1134="","",IFERROR(INDEX(Categories!$B$6:$B$65,MATCH(C1134,Categories!$A$6:$A$65,0))&amp;"",""))</f>
        <v/>
      </c>
      <c r="I1134" s="25">
        <f>IF(AND(A1134="",C1134="",D1134=""),"",IF(A1134="","Date missing",IF(NOT(ISNUMBER(A1134)),"Date not recognized",IF(YEAR(A1134)&lt;&gt;Settings!$C$4,"Not in "&amp;Settings!$C$4,IF(C1134="","Category missing",IF(H1134="",IF(COUNTIF(Categories!$A$6:$A$65,C1134)&gt;0,"Category has no type","Category not in list"),IF(D1134="","Amount missing",IF(NOT(ISNUMBER(D1134)),"Amount is not a number",IF(F1134="","",IF(ISNA(MATCH(F1134,Lists!$G$2:$G$25,0)),"Goal / fund not in list",IF(H1134="Income","Fund tag ignored on income","")))))))))))</f>
        <v/>
      </c>
    </row>
    <row r="1135">
      <c r="A1135" s="27" t="n"/>
      <c r="B1135" s="23" t="n"/>
      <c r="C1135" s="23" t="n"/>
      <c r="D1135" s="28" t="n"/>
      <c r="E1135" s="23" t="n"/>
      <c r="F1135" s="23" t="n"/>
      <c r="G1135" s="23" t="n"/>
      <c r="H1135" s="29">
        <f>IF(C1135="","",IFERROR(INDEX(Categories!$B$6:$B$65,MATCH(C1135,Categories!$A$6:$A$65,0))&amp;"",""))</f>
        <v/>
      </c>
      <c r="I1135" s="25">
        <f>IF(AND(A1135="",C1135="",D1135=""),"",IF(A1135="","Date missing",IF(NOT(ISNUMBER(A1135)),"Date not recognized",IF(YEAR(A1135)&lt;&gt;Settings!$C$4,"Not in "&amp;Settings!$C$4,IF(C1135="","Category missing",IF(H1135="",IF(COUNTIF(Categories!$A$6:$A$65,C1135)&gt;0,"Category has no type","Category not in list"),IF(D1135="","Amount missing",IF(NOT(ISNUMBER(D1135)),"Amount is not a number",IF(F1135="","",IF(ISNA(MATCH(F1135,Lists!$G$2:$G$25,0)),"Goal / fund not in list",IF(H1135="Income","Fund tag ignored on income","")))))))))))</f>
        <v/>
      </c>
    </row>
    <row r="1136">
      <c r="A1136" s="27" t="n"/>
      <c r="B1136" s="23" t="n"/>
      <c r="C1136" s="23" t="n"/>
      <c r="D1136" s="28" t="n"/>
      <c r="E1136" s="23" t="n"/>
      <c r="F1136" s="23" t="n"/>
      <c r="G1136" s="23" t="n"/>
      <c r="H1136" s="29">
        <f>IF(C1136="","",IFERROR(INDEX(Categories!$B$6:$B$65,MATCH(C1136,Categories!$A$6:$A$65,0))&amp;"",""))</f>
        <v/>
      </c>
      <c r="I1136" s="25">
        <f>IF(AND(A1136="",C1136="",D1136=""),"",IF(A1136="","Date missing",IF(NOT(ISNUMBER(A1136)),"Date not recognized",IF(YEAR(A1136)&lt;&gt;Settings!$C$4,"Not in "&amp;Settings!$C$4,IF(C1136="","Category missing",IF(H1136="",IF(COUNTIF(Categories!$A$6:$A$65,C1136)&gt;0,"Category has no type","Category not in list"),IF(D1136="","Amount missing",IF(NOT(ISNUMBER(D1136)),"Amount is not a number",IF(F1136="","",IF(ISNA(MATCH(F1136,Lists!$G$2:$G$25,0)),"Goal / fund not in list",IF(H1136="Income","Fund tag ignored on income","")))))))))))</f>
        <v/>
      </c>
    </row>
    <row r="1137">
      <c r="A1137" s="27" t="n"/>
      <c r="B1137" s="23" t="n"/>
      <c r="C1137" s="23" t="n"/>
      <c r="D1137" s="28" t="n"/>
      <c r="E1137" s="23" t="n"/>
      <c r="F1137" s="23" t="n"/>
      <c r="G1137" s="23" t="n"/>
      <c r="H1137" s="29">
        <f>IF(C1137="","",IFERROR(INDEX(Categories!$B$6:$B$65,MATCH(C1137,Categories!$A$6:$A$65,0))&amp;"",""))</f>
        <v/>
      </c>
      <c r="I1137" s="25">
        <f>IF(AND(A1137="",C1137="",D1137=""),"",IF(A1137="","Date missing",IF(NOT(ISNUMBER(A1137)),"Date not recognized",IF(YEAR(A1137)&lt;&gt;Settings!$C$4,"Not in "&amp;Settings!$C$4,IF(C1137="","Category missing",IF(H1137="",IF(COUNTIF(Categories!$A$6:$A$65,C1137)&gt;0,"Category has no type","Category not in list"),IF(D1137="","Amount missing",IF(NOT(ISNUMBER(D1137)),"Amount is not a number",IF(F1137="","",IF(ISNA(MATCH(F1137,Lists!$G$2:$G$25,0)),"Goal / fund not in list",IF(H1137="Income","Fund tag ignored on income","")))))))))))</f>
        <v/>
      </c>
    </row>
    <row r="1138">
      <c r="A1138" s="27" t="n"/>
      <c r="B1138" s="23" t="n"/>
      <c r="C1138" s="23" t="n"/>
      <c r="D1138" s="28" t="n"/>
      <c r="E1138" s="23" t="n"/>
      <c r="F1138" s="23" t="n"/>
      <c r="G1138" s="23" t="n"/>
      <c r="H1138" s="29">
        <f>IF(C1138="","",IFERROR(INDEX(Categories!$B$6:$B$65,MATCH(C1138,Categories!$A$6:$A$65,0))&amp;"",""))</f>
        <v/>
      </c>
      <c r="I1138" s="25">
        <f>IF(AND(A1138="",C1138="",D1138=""),"",IF(A1138="","Date missing",IF(NOT(ISNUMBER(A1138)),"Date not recognized",IF(YEAR(A1138)&lt;&gt;Settings!$C$4,"Not in "&amp;Settings!$C$4,IF(C1138="","Category missing",IF(H1138="",IF(COUNTIF(Categories!$A$6:$A$65,C1138)&gt;0,"Category has no type","Category not in list"),IF(D1138="","Amount missing",IF(NOT(ISNUMBER(D1138)),"Amount is not a number",IF(F1138="","",IF(ISNA(MATCH(F1138,Lists!$G$2:$G$25,0)),"Goal / fund not in list",IF(H1138="Income","Fund tag ignored on income","")))))))))))</f>
        <v/>
      </c>
    </row>
    <row r="1139">
      <c r="A1139" s="27" t="n"/>
      <c r="B1139" s="23" t="n"/>
      <c r="C1139" s="23" t="n"/>
      <c r="D1139" s="28" t="n"/>
      <c r="E1139" s="23" t="n"/>
      <c r="F1139" s="23" t="n"/>
      <c r="G1139" s="23" t="n"/>
      <c r="H1139" s="29">
        <f>IF(C1139="","",IFERROR(INDEX(Categories!$B$6:$B$65,MATCH(C1139,Categories!$A$6:$A$65,0))&amp;"",""))</f>
        <v/>
      </c>
      <c r="I1139" s="25">
        <f>IF(AND(A1139="",C1139="",D1139=""),"",IF(A1139="","Date missing",IF(NOT(ISNUMBER(A1139)),"Date not recognized",IF(YEAR(A1139)&lt;&gt;Settings!$C$4,"Not in "&amp;Settings!$C$4,IF(C1139="","Category missing",IF(H1139="",IF(COUNTIF(Categories!$A$6:$A$65,C1139)&gt;0,"Category has no type","Category not in list"),IF(D1139="","Amount missing",IF(NOT(ISNUMBER(D1139)),"Amount is not a number",IF(F1139="","",IF(ISNA(MATCH(F1139,Lists!$G$2:$G$25,0)),"Goal / fund not in list",IF(H1139="Income","Fund tag ignored on income","")))))))))))</f>
        <v/>
      </c>
    </row>
    <row r="1140">
      <c r="A1140" s="27" t="n"/>
      <c r="B1140" s="23" t="n"/>
      <c r="C1140" s="23" t="n"/>
      <c r="D1140" s="28" t="n"/>
      <c r="E1140" s="23" t="n"/>
      <c r="F1140" s="23" t="n"/>
      <c r="G1140" s="23" t="n"/>
      <c r="H1140" s="29">
        <f>IF(C1140="","",IFERROR(INDEX(Categories!$B$6:$B$65,MATCH(C1140,Categories!$A$6:$A$65,0))&amp;"",""))</f>
        <v/>
      </c>
      <c r="I1140" s="25">
        <f>IF(AND(A1140="",C1140="",D1140=""),"",IF(A1140="","Date missing",IF(NOT(ISNUMBER(A1140)),"Date not recognized",IF(YEAR(A1140)&lt;&gt;Settings!$C$4,"Not in "&amp;Settings!$C$4,IF(C1140="","Category missing",IF(H1140="",IF(COUNTIF(Categories!$A$6:$A$65,C1140)&gt;0,"Category has no type","Category not in list"),IF(D1140="","Amount missing",IF(NOT(ISNUMBER(D1140)),"Amount is not a number",IF(F1140="","",IF(ISNA(MATCH(F1140,Lists!$G$2:$G$25,0)),"Goal / fund not in list",IF(H1140="Income","Fund tag ignored on income","")))))))))))</f>
        <v/>
      </c>
    </row>
    <row r="1141">
      <c r="A1141" s="27" t="n"/>
      <c r="B1141" s="23" t="n"/>
      <c r="C1141" s="23" t="n"/>
      <c r="D1141" s="28" t="n"/>
      <c r="E1141" s="23" t="n"/>
      <c r="F1141" s="23" t="n"/>
      <c r="G1141" s="23" t="n"/>
      <c r="H1141" s="29">
        <f>IF(C1141="","",IFERROR(INDEX(Categories!$B$6:$B$65,MATCH(C1141,Categories!$A$6:$A$65,0))&amp;"",""))</f>
        <v/>
      </c>
      <c r="I1141" s="25">
        <f>IF(AND(A1141="",C1141="",D1141=""),"",IF(A1141="","Date missing",IF(NOT(ISNUMBER(A1141)),"Date not recognized",IF(YEAR(A1141)&lt;&gt;Settings!$C$4,"Not in "&amp;Settings!$C$4,IF(C1141="","Category missing",IF(H1141="",IF(COUNTIF(Categories!$A$6:$A$65,C1141)&gt;0,"Category has no type","Category not in list"),IF(D1141="","Amount missing",IF(NOT(ISNUMBER(D1141)),"Amount is not a number",IF(F1141="","",IF(ISNA(MATCH(F1141,Lists!$G$2:$G$25,0)),"Goal / fund not in list",IF(H1141="Income","Fund tag ignored on income","")))))))))))</f>
        <v/>
      </c>
    </row>
    <row r="1142">
      <c r="A1142" s="27" t="n"/>
      <c r="B1142" s="23" t="n"/>
      <c r="C1142" s="23" t="n"/>
      <c r="D1142" s="28" t="n"/>
      <c r="E1142" s="23" t="n"/>
      <c r="F1142" s="23" t="n"/>
      <c r="G1142" s="23" t="n"/>
      <c r="H1142" s="29">
        <f>IF(C1142="","",IFERROR(INDEX(Categories!$B$6:$B$65,MATCH(C1142,Categories!$A$6:$A$65,0))&amp;"",""))</f>
        <v/>
      </c>
      <c r="I1142" s="25">
        <f>IF(AND(A1142="",C1142="",D1142=""),"",IF(A1142="","Date missing",IF(NOT(ISNUMBER(A1142)),"Date not recognized",IF(YEAR(A1142)&lt;&gt;Settings!$C$4,"Not in "&amp;Settings!$C$4,IF(C1142="","Category missing",IF(H1142="",IF(COUNTIF(Categories!$A$6:$A$65,C1142)&gt;0,"Category has no type","Category not in list"),IF(D1142="","Amount missing",IF(NOT(ISNUMBER(D1142)),"Amount is not a number",IF(F1142="","",IF(ISNA(MATCH(F1142,Lists!$G$2:$G$25,0)),"Goal / fund not in list",IF(H1142="Income","Fund tag ignored on income","")))))))))))</f>
        <v/>
      </c>
    </row>
    <row r="1143">
      <c r="A1143" s="27" t="n"/>
      <c r="B1143" s="23" t="n"/>
      <c r="C1143" s="23" t="n"/>
      <c r="D1143" s="28" t="n"/>
      <c r="E1143" s="23" t="n"/>
      <c r="F1143" s="23" t="n"/>
      <c r="G1143" s="23" t="n"/>
      <c r="H1143" s="29">
        <f>IF(C1143="","",IFERROR(INDEX(Categories!$B$6:$B$65,MATCH(C1143,Categories!$A$6:$A$65,0))&amp;"",""))</f>
        <v/>
      </c>
      <c r="I1143" s="25">
        <f>IF(AND(A1143="",C1143="",D1143=""),"",IF(A1143="","Date missing",IF(NOT(ISNUMBER(A1143)),"Date not recognized",IF(YEAR(A1143)&lt;&gt;Settings!$C$4,"Not in "&amp;Settings!$C$4,IF(C1143="","Category missing",IF(H1143="",IF(COUNTIF(Categories!$A$6:$A$65,C1143)&gt;0,"Category has no type","Category not in list"),IF(D1143="","Amount missing",IF(NOT(ISNUMBER(D1143)),"Amount is not a number",IF(F1143="","",IF(ISNA(MATCH(F1143,Lists!$G$2:$G$25,0)),"Goal / fund not in list",IF(H1143="Income","Fund tag ignored on income","")))))))))))</f>
        <v/>
      </c>
    </row>
    <row r="1144">
      <c r="A1144" s="27" t="n"/>
      <c r="B1144" s="23" t="n"/>
      <c r="C1144" s="23" t="n"/>
      <c r="D1144" s="28" t="n"/>
      <c r="E1144" s="23" t="n"/>
      <c r="F1144" s="23" t="n"/>
      <c r="G1144" s="23" t="n"/>
      <c r="H1144" s="29">
        <f>IF(C1144="","",IFERROR(INDEX(Categories!$B$6:$B$65,MATCH(C1144,Categories!$A$6:$A$65,0))&amp;"",""))</f>
        <v/>
      </c>
      <c r="I1144" s="25">
        <f>IF(AND(A1144="",C1144="",D1144=""),"",IF(A1144="","Date missing",IF(NOT(ISNUMBER(A1144)),"Date not recognized",IF(YEAR(A1144)&lt;&gt;Settings!$C$4,"Not in "&amp;Settings!$C$4,IF(C1144="","Category missing",IF(H1144="",IF(COUNTIF(Categories!$A$6:$A$65,C1144)&gt;0,"Category has no type","Category not in list"),IF(D1144="","Amount missing",IF(NOT(ISNUMBER(D1144)),"Amount is not a number",IF(F1144="","",IF(ISNA(MATCH(F1144,Lists!$G$2:$G$25,0)),"Goal / fund not in list",IF(H1144="Income","Fund tag ignored on income","")))))))))))</f>
        <v/>
      </c>
    </row>
    <row r="1145">
      <c r="A1145" s="27" t="n"/>
      <c r="B1145" s="23" t="n"/>
      <c r="C1145" s="23" t="n"/>
      <c r="D1145" s="28" t="n"/>
      <c r="E1145" s="23" t="n"/>
      <c r="F1145" s="23" t="n"/>
      <c r="G1145" s="23" t="n"/>
      <c r="H1145" s="29">
        <f>IF(C1145="","",IFERROR(INDEX(Categories!$B$6:$B$65,MATCH(C1145,Categories!$A$6:$A$65,0))&amp;"",""))</f>
        <v/>
      </c>
      <c r="I1145" s="25">
        <f>IF(AND(A1145="",C1145="",D1145=""),"",IF(A1145="","Date missing",IF(NOT(ISNUMBER(A1145)),"Date not recognized",IF(YEAR(A1145)&lt;&gt;Settings!$C$4,"Not in "&amp;Settings!$C$4,IF(C1145="","Category missing",IF(H1145="",IF(COUNTIF(Categories!$A$6:$A$65,C1145)&gt;0,"Category has no type","Category not in list"),IF(D1145="","Amount missing",IF(NOT(ISNUMBER(D1145)),"Amount is not a number",IF(F1145="","",IF(ISNA(MATCH(F1145,Lists!$G$2:$G$25,0)),"Goal / fund not in list",IF(H1145="Income","Fund tag ignored on income","")))))))))))</f>
        <v/>
      </c>
    </row>
    <row r="1146">
      <c r="A1146" s="27" t="n"/>
      <c r="B1146" s="23" t="n"/>
      <c r="C1146" s="23" t="n"/>
      <c r="D1146" s="28" t="n"/>
      <c r="E1146" s="23" t="n"/>
      <c r="F1146" s="23" t="n"/>
      <c r="G1146" s="23" t="n"/>
      <c r="H1146" s="29">
        <f>IF(C1146="","",IFERROR(INDEX(Categories!$B$6:$B$65,MATCH(C1146,Categories!$A$6:$A$65,0))&amp;"",""))</f>
        <v/>
      </c>
      <c r="I1146" s="25">
        <f>IF(AND(A1146="",C1146="",D1146=""),"",IF(A1146="","Date missing",IF(NOT(ISNUMBER(A1146)),"Date not recognized",IF(YEAR(A1146)&lt;&gt;Settings!$C$4,"Not in "&amp;Settings!$C$4,IF(C1146="","Category missing",IF(H1146="",IF(COUNTIF(Categories!$A$6:$A$65,C1146)&gt;0,"Category has no type","Category not in list"),IF(D1146="","Amount missing",IF(NOT(ISNUMBER(D1146)),"Amount is not a number",IF(F1146="","",IF(ISNA(MATCH(F1146,Lists!$G$2:$G$25,0)),"Goal / fund not in list",IF(H1146="Income","Fund tag ignored on income","")))))))))))</f>
        <v/>
      </c>
    </row>
    <row r="1147">
      <c r="A1147" s="27" t="n"/>
      <c r="B1147" s="23" t="n"/>
      <c r="C1147" s="23" t="n"/>
      <c r="D1147" s="28" t="n"/>
      <c r="E1147" s="23" t="n"/>
      <c r="F1147" s="23" t="n"/>
      <c r="G1147" s="23" t="n"/>
      <c r="H1147" s="29">
        <f>IF(C1147="","",IFERROR(INDEX(Categories!$B$6:$B$65,MATCH(C1147,Categories!$A$6:$A$65,0))&amp;"",""))</f>
        <v/>
      </c>
      <c r="I1147" s="25">
        <f>IF(AND(A1147="",C1147="",D1147=""),"",IF(A1147="","Date missing",IF(NOT(ISNUMBER(A1147)),"Date not recognized",IF(YEAR(A1147)&lt;&gt;Settings!$C$4,"Not in "&amp;Settings!$C$4,IF(C1147="","Category missing",IF(H1147="",IF(COUNTIF(Categories!$A$6:$A$65,C1147)&gt;0,"Category has no type","Category not in list"),IF(D1147="","Amount missing",IF(NOT(ISNUMBER(D1147)),"Amount is not a number",IF(F1147="","",IF(ISNA(MATCH(F1147,Lists!$G$2:$G$25,0)),"Goal / fund not in list",IF(H1147="Income","Fund tag ignored on income","")))))))))))</f>
        <v/>
      </c>
    </row>
    <row r="1148">
      <c r="A1148" s="27" t="n"/>
      <c r="B1148" s="23" t="n"/>
      <c r="C1148" s="23" t="n"/>
      <c r="D1148" s="28" t="n"/>
      <c r="E1148" s="23" t="n"/>
      <c r="F1148" s="23" t="n"/>
      <c r="G1148" s="23" t="n"/>
      <c r="H1148" s="29">
        <f>IF(C1148="","",IFERROR(INDEX(Categories!$B$6:$B$65,MATCH(C1148,Categories!$A$6:$A$65,0))&amp;"",""))</f>
        <v/>
      </c>
      <c r="I1148" s="25">
        <f>IF(AND(A1148="",C1148="",D1148=""),"",IF(A1148="","Date missing",IF(NOT(ISNUMBER(A1148)),"Date not recognized",IF(YEAR(A1148)&lt;&gt;Settings!$C$4,"Not in "&amp;Settings!$C$4,IF(C1148="","Category missing",IF(H1148="",IF(COUNTIF(Categories!$A$6:$A$65,C1148)&gt;0,"Category has no type","Category not in list"),IF(D1148="","Amount missing",IF(NOT(ISNUMBER(D1148)),"Amount is not a number",IF(F1148="","",IF(ISNA(MATCH(F1148,Lists!$G$2:$G$25,0)),"Goal / fund not in list",IF(H1148="Income","Fund tag ignored on income","")))))))))))</f>
        <v/>
      </c>
    </row>
    <row r="1149">
      <c r="A1149" s="27" t="n"/>
      <c r="B1149" s="23" t="n"/>
      <c r="C1149" s="23" t="n"/>
      <c r="D1149" s="28" t="n"/>
      <c r="E1149" s="23" t="n"/>
      <c r="F1149" s="23" t="n"/>
      <c r="G1149" s="23" t="n"/>
      <c r="H1149" s="29">
        <f>IF(C1149="","",IFERROR(INDEX(Categories!$B$6:$B$65,MATCH(C1149,Categories!$A$6:$A$65,0))&amp;"",""))</f>
        <v/>
      </c>
      <c r="I1149" s="25">
        <f>IF(AND(A1149="",C1149="",D1149=""),"",IF(A1149="","Date missing",IF(NOT(ISNUMBER(A1149)),"Date not recognized",IF(YEAR(A1149)&lt;&gt;Settings!$C$4,"Not in "&amp;Settings!$C$4,IF(C1149="","Category missing",IF(H1149="",IF(COUNTIF(Categories!$A$6:$A$65,C1149)&gt;0,"Category has no type","Category not in list"),IF(D1149="","Amount missing",IF(NOT(ISNUMBER(D1149)),"Amount is not a number",IF(F1149="","",IF(ISNA(MATCH(F1149,Lists!$G$2:$G$25,0)),"Goal / fund not in list",IF(H1149="Income","Fund tag ignored on income","")))))))))))</f>
        <v/>
      </c>
    </row>
    <row r="1150">
      <c r="A1150" s="27" t="n"/>
      <c r="B1150" s="23" t="n"/>
      <c r="C1150" s="23" t="n"/>
      <c r="D1150" s="28" t="n"/>
      <c r="E1150" s="23" t="n"/>
      <c r="F1150" s="23" t="n"/>
      <c r="G1150" s="23" t="n"/>
      <c r="H1150" s="29">
        <f>IF(C1150="","",IFERROR(INDEX(Categories!$B$6:$B$65,MATCH(C1150,Categories!$A$6:$A$65,0))&amp;"",""))</f>
        <v/>
      </c>
      <c r="I1150" s="25">
        <f>IF(AND(A1150="",C1150="",D1150=""),"",IF(A1150="","Date missing",IF(NOT(ISNUMBER(A1150)),"Date not recognized",IF(YEAR(A1150)&lt;&gt;Settings!$C$4,"Not in "&amp;Settings!$C$4,IF(C1150="","Category missing",IF(H1150="",IF(COUNTIF(Categories!$A$6:$A$65,C1150)&gt;0,"Category has no type","Category not in list"),IF(D1150="","Amount missing",IF(NOT(ISNUMBER(D1150)),"Amount is not a number",IF(F1150="","",IF(ISNA(MATCH(F1150,Lists!$G$2:$G$25,0)),"Goal / fund not in list",IF(H1150="Income","Fund tag ignored on income","")))))))))))</f>
        <v/>
      </c>
    </row>
    <row r="1151">
      <c r="A1151" s="27" t="n"/>
      <c r="B1151" s="23" t="n"/>
      <c r="C1151" s="23" t="n"/>
      <c r="D1151" s="28" t="n"/>
      <c r="E1151" s="23" t="n"/>
      <c r="F1151" s="23" t="n"/>
      <c r="G1151" s="23" t="n"/>
      <c r="H1151" s="29">
        <f>IF(C1151="","",IFERROR(INDEX(Categories!$B$6:$B$65,MATCH(C1151,Categories!$A$6:$A$65,0))&amp;"",""))</f>
        <v/>
      </c>
      <c r="I1151" s="25">
        <f>IF(AND(A1151="",C1151="",D1151=""),"",IF(A1151="","Date missing",IF(NOT(ISNUMBER(A1151)),"Date not recognized",IF(YEAR(A1151)&lt;&gt;Settings!$C$4,"Not in "&amp;Settings!$C$4,IF(C1151="","Category missing",IF(H1151="",IF(COUNTIF(Categories!$A$6:$A$65,C1151)&gt;0,"Category has no type","Category not in list"),IF(D1151="","Amount missing",IF(NOT(ISNUMBER(D1151)),"Amount is not a number",IF(F1151="","",IF(ISNA(MATCH(F1151,Lists!$G$2:$G$25,0)),"Goal / fund not in list",IF(H1151="Income","Fund tag ignored on income","")))))))))))</f>
        <v/>
      </c>
    </row>
    <row r="1152">
      <c r="A1152" s="27" t="n"/>
      <c r="B1152" s="23" t="n"/>
      <c r="C1152" s="23" t="n"/>
      <c r="D1152" s="28" t="n"/>
      <c r="E1152" s="23" t="n"/>
      <c r="F1152" s="23" t="n"/>
      <c r="G1152" s="23" t="n"/>
      <c r="H1152" s="29">
        <f>IF(C1152="","",IFERROR(INDEX(Categories!$B$6:$B$65,MATCH(C1152,Categories!$A$6:$A$65,0))&amp;"",""))</f>
        <v/>
      </c>
      <c r="I1152" s="25">
        <f>IF(AND(A1152="",C1152="",D1152=""),"",IF(A1152="","Date missing",IF(NOT(ISNUMBER(A1152)),"Date not recognized",IF(YEAR(A1152)&lt;&gt;Settings!$C$4,"Not in "&amp;Settings!$C$4,IF(C1152="","Category missing",IF(H1152="",IF(COUNTIF(Categories!$A$6:$A$65,C1152)&gt;0,"Category has no type","Category not in list"),IF(D1152="","Amount missing",IF(NOT(ISNUMBER(D1152)),"Amount is not a number",IF(F1152="","",IF(ISNA(MATCH(F1152,Lists!$G$2:$G$25,0)),"Goal / fund not in list",IF(H1152="Income","Fund tag ignored on income","")))))))))))</f>
        <v/>
      </c>
    </row>
    <row r="1153">
      <c r="A1153" s="27" t="n"/>
      <c r="B1153" s="23" t="n"/>
      <c r="C1153" s="23" t="n"/>
      <c r="D1153" s="28" t="n"/>
      <c r="E1153" s="23" t="n"/>
      <c r="F1153" s="23" t="n"/>
      <c r="G1153" s="23" t="n"/>
      <c r="H1153" s="29">
        <f>IF(C1153="","",IFERROR(INDEX(Categories!$B$6:$B$65,MATCH(C1153,Categories!$A$6:$A$65,0))&amp;"",""))</f>
        <v/>
      </c>
      <c r="I1153" s="25">
        <f>IF(AND(A1153="",C1153="",D1153=""),"",IF(A1153="","Date missing",IF(NOT(ISNUMBER(A1153)),"Date not recognized",IF(YEAR(A1153)&lt;&gt;Settings!$C$4,"Not in "&amp;Settings!$C$4,IF(C1153="","Category missing",IF(H1153="",IF(COUNTIF(Categories!$A$6:$A$65,C1153)&gt;0,"Category has no type","Category not in list"),IF(D1153="","Amount missing",IF(NOT(ISNUMBER(D1153)),"Amount is not a number",IF(F1153="","",IF(ISNA(MATCH(F1153,Lists!$G$2:$G$25,0)),"Goal / fund not in list",IF(H1153="Income","Fund tag ignored on income","")))))))))))</f>
        <v/>
      </c>
    </row>
    <row r="1154">
      <c r="A1154" s="27" t="n"/>
      <c r="B1154" s="23" t="n"/>
      <c r="C1154" s="23" t="n"/>
      <c r="D1154" s="28" t="n"/>
      <c r="E1154" s="23" t="n"/>
      <c r="F1154" s="23" t="n"/>
      <c r="G1154" s="23" t="n"/>
      <c r="H1154" s="29">
        <f>IF(C1154="","",IFERROR(INDEX(Categories!$B$6:$B$65,MATCH(C1154,Categories!$A$6:$A$65,0))&amp;"",""))</f>
        <v/>
      </c>
      <c r="I1154" s="25">
        <f>IF(AND(A1154="",C1154="",D1154=""),"",IF(A1154="","Date missing",IF(NOT(ISNUMBER(A1154)),"Date not recognized",IF(YEAR(A1154)&lt;&gt;Settings!$C$4,"Not in "&amp;Settings!$C$4,IF(C1154="","Category missing",IF(H1154="",IF(COUNTIF(Categories!$A$6:$A$65,C1154)&gt;0,"Category has no type","Category not in list"),IF(D1154="","Amount missing",IF(NOT(ISNUMBER(D1154)),"Amount is not a number",IF(F1154="","",IF(ISNA(MATCH(F1154,Lists!$G$2:$G$25,0)),"Goal / fund not in list",IF(H1154="Income","Fund tag ignored on income","")))))))))))</f>
        <v/>
      </c>
    </row>
    <row r="1155">
      <c r="A1155" s="27" t="n"/>
      <c r="B1155" s="23" t="n"/>
      <c r="C1155" s="23" t="n"/>
      <c r="D1155" s="28" t="n"/>
      <c r="E1155" s="23" t="n"/>
      <c r="F1155" s="23" t="n"/>
      <c r="G1155" s="23" t="n"/>
      <c r="H1155" s="29">
        <f>IF(C1155="","",IFERROR(INDEX(Categories!$B$6:$B$65,MATCH(C1155,Categories!$A$6:$A$65,0))&amp;"",""))</f>
        <v/>
      </c>
      <c r="I1155" s="25">
        <f>IF(AND(A1155="",C1155="",D1155=""),"",IF(A1155="","Date missing",IF(NOT(ISNUMBER(A1155)),"Date not recognized",IF(YEAR(A1155)&lt;&gt;Settings!$C$4,"Not in "&amp;Settings!$C$4,IF(C1155="","Category missing",IF(H1155="",IF(COUNTIF(Categories!$A$6:$A$65,C1155)&gt;0,"Category has no type","Category not in list"),IF(D1155="","Amount missing",IF(NOT(ISNUMBER(D1155)),"Amount is not a number",IF(F1155="","",IF(ISNA(MATCH(F1155,Lists!$G$2:$G$25,0)),"Goal / fund not in list",IF(H1155="Income","Fund tag ignored on income","")))))))))))</f>
        <v/>
      </c>
    </row>
    <row r="1156">
      <c r="A1156" s="27" t="n"/>
      <c r="B1156" s="23" t="n"/>
      <c r="C1156" s="23" t="n"/>
      <c r="D1156" s="28" t="n"/>
      <c r="E1156" s="23" t="n"/>
      <c r="F1156" s="23" t="n"/>
      <c r="G1156" s="23" t="n"/>
      <c r="H1156" s="29">
        <f>IF(C1156="","",IFERROR(INDEX(Categories!$B$6:$B$65,MATCH(C1156,Categories!$A$6:$A$65,0))&amp;"",""))</f>
        <v/>
      </c>
      <c r="I1156" s="25">
        <f>IF(AND(A1156="",C1156="",D1156=""),"",IF(A1156="","Date missing",IF(NOT(ISNUMBER(A1156)),"Date not recognized",IF(YEAR(A1156)&lt;&gt;Settings!$C$4,"Not in "&amp;Settings!$C$4,IF(C1156="","Category missing",IF(H1156="",IF(COUNTIF(Categories!$A$6:$A$65,C1156)&gt;0,"Category has no type","Category not in list"),IF(D1156="","Amount missing",IF(NOT(ISNUMBER(D1156)),"Amount is not a number",IF(F1156="","",IF(ISNA(MATCH(F1156,Lists!$G$2:$G$25,0)),"Goal / fund not in list",IF(H1156="Income","Fund tag ignored on income","")))))))))))</f>
        <v/>
      </c>
    </row>
    <row r="1157">
      <c r="A1157" s="27" t="n"/>
      <c r="B1157" s="23" t="n"/>
      <c r="C1157" s="23" t="n"/>
      <c r="D1157" s="28" t="n"/>
      <c r="E1157" s="23" t="n"/>
      <c r="F1157" s="23" t="n"/>
      <c r="G1157" s="23" t="n"/>
      <c r="H1157" s="29">
        <f>IF(C1157="","",IFERROR(INDEX(Categories!$B$6:$B$65,MATCH(C1157,Categories!$A$6:$A$65,0))&amp;"",""))</f>
        <v/>
      </c>
      <c r="I1157" s="25">
        <f>IF(AND(A1157="",C1157="",D1157=""),"",IF(A1157="","Date missing",IF(NOT(ISNUMBER(A1157)),"Date not recognized",IF(YEAR(A1157)&lt;&gt;Settings!$C$4,"Not in "&amp;Settings!$C$4,IF(C1157="","Category missing",IF(H1157="",IF(COUNTIF(Categories!$A$6:$A$65,C1157)&gt;0,"Category has no type","Category not in list"),IF(D1157="","Amount missing",IF(NOT(ISNUMBER(D1157)),"Amount is not a number",IF(F1157="","",IF(ISNA(MATCH(F1157,Lists!$G$2:$G$25,0)),"Goal / fund not in list",IF(H1157="Income","Fund tag ignored on income","")))))))))))</f>
        <v/>
      </c>
    </row>
    <row r="1158">
      <c r="A1158" s="27" t="n"/>
      <c r="B1158" s="23" t="n"/>
      <c r="C1158" s="23" t="n"/>
      <c r="D1158" s="28" t="n"/>
      <c r="E1158" s="23" t="n"/>
      <c r="F1158" s="23" t="n"/>
      <c r="G1158" s="23" t="n"/>
      <c r="H1158" s="29">
        <f>IF(C1158="","",IFERROR(INDEX(Categories!$B$6:$B$65,MATCH(C1158,Categories!$A$6:$A$65,0))&amp;"",""))</f>
        <v/>
      </c>
      <c r="I1158" s="25">
        <f>IF(AND(A1158="",C1158="",D1158=""),"",IF(A1158="","Date missing",IF(NOT(ISNUMBER(A1158)),"Date not recognized",IF(YEAR(A1158)&lt;&gt;Settings!$C$4,"Not in "&amp;Settings!$C$4,IF(C1158="","Category missing",IF(H1158="",IF(COUNTIF(Categories!$A$6:$A$65,C1158)&gt;0,"Category has no type","Category not in list"),IF(D1158="","Amount missing",IF(NOT(ISNUMBER(D1158)),"Amount is not a number",IF(F1158="","",IF(ISNA(MATCH(F1158,Lists!$G$2:$G$25,0)),"Goal / fund not in list",IF(H1158="Income","Fund tag ignored on income","")))))))))))</f>
        <v/>
      </c>
    </row>
    <row r="1159">
      <c r="A1159" s="27" t="n"/>
      <c r="B1159" s="23" t="n"/>
      <c r="C1159" s="23" t="n"/>
      <c r="D1159" s="28" t="n"/>
      <c r="E1159" s="23" t="n"/>
      <c r="F1159" s="23" t="n"/>
      <c r="G1159" s="23" t="n"/>
      <c r="H1159" s="29">
        <f>IF(C1159="","",IFERROR(INDEX(Categories!$B$6:$B$65,MATCH(C1159,Categories!$A$6:$A$65,0))&amp;"",""))</f>
        <v/>
      </c>
      <c r="I1159" s="25">
        <f>IF(AND(A1159="",C1159="",D1159=""),"",IF(A1159="","Date missing",IF(NOT(ISNUMBER(A1159)),"Date not recognized",IF(YEAR(A1159)&lt;&gt;Settings!$C$4,"Not in "&amp;Settings!$C$4,IF(C1159="","Category missing",IF(H1159="",IF(COUNTIF(Categories!$A$6:$A$65,C1159)&gt;0,"Category has no type","Category not in list"),IF(D1159="","Amount missing",IF(NOT(ISNUMBER(D1159)),"Amount is not a number",IF(F1159="","",IF(ISNA(MATCH(F1159,Lists!$G$2:$G$25,0)),"Goal / fund not in list",IF(H1159="Income","Fund tag ignored on income","")))))))))))</f>
        <v/>
      </c>
    </row>
    <row r="1160">
      <c r="A1160" s="27" t="n"/>
      <c r="B1160" s="23" t="n"/>
      <c r="C1160" s="23" t="n"/>
      <c r="D1160" s="28" t="n"/>
      <c r="E1160" s="23" t="n"/>
      <c r="F1160" s="23" t="n"/>
      <c r="G1160" s="23" t="n"/>
      <c r="H1160" s="29">
        <f>IF(C1160="","",IFERROR(INDEX(Categories!$B$6:$B$65,MATCH(C1160,Categories!$A$6:$A$65,0))&amp;"",""))</f>
        <v/>
      </c>
      <c r="I1160" s="25">
        <f>IF(AND(A1160="",C1160="",D1160=""),"",IF(A1160="","Date missing",IF(NOT(ISNUMBER(A1160)),"Date not recognized",IF(YEAR(A1160)&lt;&gt;Settings!$C$4,"Not in "&amp;Settings!$C$4,IF(C1160="","Category missing",IF(H1160="",IF(COUNTIF(Categories!$A$6:$A$65,C1160)&gt;0,"Category has no type","Category not in list"),IF(D1160="","Amount missing",IF(NOT(ISNUMBER(D1160)),"Amount is not a number",IF(F1160="","",IF(ISNA(MATCH(F1160,Lists!$G$2:$G$25,0)),"Goal / fund not in list",IF(H1160="Income","Fund tag ignored on income","")))))))))))</f>
        <v/>
      </c>
    </row>
    <row r="1161">
      <c r="A1161" s="27" t="n"/>
      <c r="B1161" s="23" t="n"/>
      <c r="C1161" s="23" t="n"/>
      <c r="D1161" s="28" t="n"/>
      <c r="E1161" s="23" t="n"/>
      <c r="F1161" s="23" t="n"/>
      <c r="G1161" s="23" t="n"/>
      <c r="H1161" s="29">
        <f>IF(C1161="","",IFERROR(INDEX(Categories!$B$6:$B$65,MATCH(C1161,Categories!$A$6:$A$65,0))&amp;"",""))</f>
        <v/>
      </c>
      <c r="I1161" s="25">
        <f>IF(AND(A1161="",C1161="",D1161=""),"",IF(A1161="","Date missing",IF(NOT(ISNUMBER(A1161)),"Date not recognized",IF(YEAR(A1161)&lt;&gt;Settings!$C$4,"Not in "&amp;Settings!$C$4,IF(C1161="","Category missing",IF(H1161="",IF(COUNTIF(Categories!$A$6:$A$65,C1161)&gt;0,"Category has no type","Category not in list"),IF(D1161="","Amount missing",IF(NOT(ISNUMBER(D1161)),"Amount is not a number",IF(F1161="","",IF(ISNA(MATCH(F1161,Lists!$G$2:$G$25,0)),"Goal / fund not in list",IF(H1161="Income","Fund tag ignored on income","")))))))))))</f>
        <v/>
      </c>
    </row>
    <row r="1162">
      <c r="A1162" s="27" t="n"/>
      <c r="B1162" s="23" t="n"/>
      <c r="C1162" s="23" t="n"/>
      <c r="D1162" s="28" t="n"/>
      <c r="E1162" s="23" t="n"/>
      <c r="F1162" s="23" t="n"/>
      <c r="G1162" s="23" t="n"/>
      <c r="H1162" s="29">
        <f>IF(C1162="","",IFERROR(INDEX(Categories!$B$6:$B$65,MATCH(C1162,Categories!$A$6:$A$65,0))&amp;"",""))</f>
        <v/>
      </c>
      <c r="I1162" s="25">
        <f>IF(AND(A1162="",C1162="",D1162=""),"",IF(A1162="","Date missing",IF(NOT(ISNUMBER(A1162)),"Date not recognized",IF(YEAR(A1162)&lt;&gt;Settings!$C$4,"Not in "&amp;Settings!$C$4,IF(C1162="","Category missing",IF(H1162="",IF(COUNTIF(Categories!$A$6:$A$65,C1162)&gt;0,"Category has no type","Category not in list"),IF(D1162="","Amount missing",IF(NOT(ISNUMBER(D1162)),"Amount is not a number",IF(F1162="","",IF(ISNA(MATCH(F1162,Lists!$G$2:$G$25,0)),"Goal / fund not in list",IF(H1162="Income","Fund tag ignored on income","")))))))))))</f>
        <v/>
      </c>
    </row>
    <row r="1163">
      <c r="A1163" s="27" t="n"/>
      <c r="B1163" s="23" t="n"/>
      <c r="C1163" s="23" t="n"/>
      <c r="D1163" s="28" t="n"/>
      <c r="E1163" s="23" t="n"/>
      <c r="F1163" s="23" t="n"/>
      <c r="G1163" s="23" t="n"/>
      <c r="H1163" s="29">
        <f>IF(C1163="","",IFERROR(INDEX(Categories!$B$6:$B$65,MATCH(C1163,Categories!$A$6:$A$65,0))&amp;"",""))</f>
        <v/>
      </c>
      <c r="I1163" s="25">
        <f>IF(AND(A1163="",C1163="",D1163=""),"",IF(A1163="","Date missing",IF(NOT(ISNUMBER(A1163)),"Date not recognized",IF(YEAR(A1163)&lt;&gt;Settings!$C$4,"Not in "&amp;Settings!$C$4,IF(C1163="","Category missing",IF(H1163="",IF(COUNTIF(Categories!$A$6:$A$65,C1163)&gt;0,"Category has no type","Category not in list"),IF(D1163="","Amount missing",IF(NOT(ISNUMBER(D1163)),"Amount is not a number",IF(F1163="","",IF(ISNA(MATCH(F1163,Lists!$G$2:$G$25,0)),"Goal / fund not in list",IF(H1163="Income","Fund tag ignored on income","")))))))))))</f>
        <v/>
      </c>
    </row>
    <row r="1164">
      <c r="A1164" s="27" t="n"/>
      <c r="B1164" s="23" t="n"/>
      <c r="C1164" s="23" t="n"/>
      <c r="D1164" s="28" t="n"/>
      <c r="E1164" s="23" t="n"/>
      <c r="F1164" s="23" t="n"/>
      <c r="G1164" s="23" t="n"/>
      <c r="H1164" s="29">
        <f>IF(C1164="","",IFERROR(INDEX(Categories!$B$6:$B$65,MATCH(C1164,Categories!$A$6:$A$65,0))&amp;"",""))</f>
        <v/>
      </c>
      <c r="I1164" s="25">
        <f>IF(AND(A1164="",C1164="",D1164=""),"",IF(A1164="","Date missing",IF(NOT(ISNUMBER(A1164)),"Date not recognized",IF(YEAR(A1164)&lt;&gt;Settings!$C$4,"Not in "&amp;Settings!$C$4,IF(C1164="","Category missing",IF(H1164="",IF(COUNTIF(Categories!$A$6:$A$65,C1164)&gt;0,"Category has no type","Category not in list"),IF(D1164="","Amount missing",IF(NOT(ISNUMBER(D1164)),"Amount is not a number",IF(F1164="","",IF(ISNA(MATCH(F1164,Lists!$G$2:$G$25,0)),"Goal / fund not in list",IF(H1164="Income","Fund tag ignored on income","")))))))))))</f>
        <v/>
      </c>
    </row>
    <row r="1165">
      <c r="A1165" s="27" t="n"/>
      <c r="B1165" s="23" t="n"/>
      <c r="C1165" s="23" t="n"/>
      <c r="D1165" s="28" t="n"/>
      <c r="E1165" s="23" t="n"/>
      <c r="F1165" s="23" t="n"/>
      <c r="G1165" s="23" t="n"/>
      <c r="H1165" s="29">
        <f>IF(C1165="","",IFERROR(INDEX(Categories!$B$6:$B$65,MATCH(C1165,Categories!$A$6:$A$65,0))&amp;"",""))</f>
        <v/>
      </c>
      <c r="I1165" s="25">
        <f>IF(AND(A1165="",C1165="",D1165=""),"",IF(A1165="","Date missing",IF(NOT(ISNUMBER(A1165)),"Date not recognized",IF(YEAR(A1165)&lt;&gt;Settings!$C$4,"Not in "&amp;Settings!$C$4,IF(C1165="","Category missing",IF(H1165="",IF(COUNTIF(Categories!$A$6:$A$65,C1165)&gt;0,"Category has no type","Category not in list"),IF(D1165="","Amount missing",IF(NOT(ISNUMBER(D1165)),"Amount is not a number",IF(F1165="","",IF(ISNA(MATCH(F1165,Lists!$G$2:$G$25,0)),"Goal / fund not in list",IF(H1165="Income","Fund tag ignored on income","")))))))))))</f>
        <v/>
      </c>
    </row>
    <row r="1166">
      <c r="A1166" s="27" t="n"/>
      <c r="B1166" s="23" t="n"/>
      <c r="C1166" s="23" t="n"/>
      <c r="D1166" s="28" t="n"/>
      <c r="E1166" s="23" t="n"/>
      <c r="F1166" s="23" t="n"/>
      <c r="G1166" s="23" t="n"/>
      <c r="H1166" s="29">
        <f>IF(C1166="","",IFERROR(INDEX(Categories!$B$6:$B$65,MATCH(C1166,Categories!$A$6:$A$65,0))&amp;"",""))</f>
        <v/>
      </c>
      <c r="I1166" s="25">
        <f>IF(AND(A1166="",C1166="",D1166=""),"",IF(A1166="","Date missing",IF(NOT(ISNUMBER(A1166)),"Date not recognized",IF(YEAR(A1166)&lt;&gt;Settings!$C$4,"Not in "&amp;Settings!$C$4,IF(C1166="","Category missing",IF(H1166="",IF(COUNTIF(Categories!$A$6:$A$65,C1166)&gt;0,"Category has no type","Category not in list"),IF(D1166="","Amount missing",IF(NOT(ISNUMBER(D1166)),"Amount is not a number",IF(F1166="","",IF(ISNA(MATCH(F1166,Lists!$G$2:$G$25,0)),"Goal / fund not in list",IF(H1166="Income","Fund tag ignored on income","")))))))))))</f>
        <v/>
      </c>
    </row>
    <row r="1167">
      <c r="A1167" s="27" t="n"/>
      <c r="B1167" s="23" t="n"/>
      <c r="C1167" s="23" t="n"/>
      <c r="D1167" s="28" t="n"/>
      <c r="E1167" s="23" t="n"/>
      <c r="F1167" s="23" t="n"/>
      <c r="G1167" s="23" t="n"/>
      <c r="H1167" s="29">
        <f>IF(C1167="","",IFERROR(INDEX(Categories!$B$6:$B$65,MATCH(C1167,Categories!$A$6:$A$65,0))&amp;"",""))</f>
        <v/>
      </c>
      <c r="I1167" s="25">
        <f>IF(AND(A1167="",C1167="",D1167=""),"",IF(A1167="","Date missing",IF(NOT(ISNUMBER(A1167)),"Date not recognized",IF(YEAR(A1167)&lt;&gt;Settings!$C$4,"Not in "&amp;Settings!$C$4,IF(C1167="","Category missing",IF(H1167="",IF(COUNTIF(Categories!$A$6:$A$65,C1167)&gt;0,"Category has no type","Category not in list"),IF(D1167="","Amount missing",IF(NOT(ISNUMBER(D1167)),"Amount is not a number",IF(F1167="","",IF(ISNA(MATCH(F1167,Lists!$G$2:$G$25,0)),"Goal / fund not in list",IF(H1167="Income","Fund tag ignored on income","")))))))))))</f>
        <v/>
      </c>
    </row>
    <row r="1168">
      <c r="A1168" s="27" t="n"/>
      <c r="B1168" s="23" t="n"/>
      <c r="C1168" s="23" t="n"/>
      <c r="D1168" s="28" t="n"/>
      <c r="E1168" s="23" t="n"/>
      <c r="F1168" s="23" t="n"/>
      <c r="G1168" s="23" t="n"/>
      <c r="H1168" s="29">
        <f>IF(C1168="","",IFERROR(INDEX(Categories!$B$6:$B$65,MATCH(C1168,Categories!$A$6:$A$65,0))&amp;"",""))</f>
        <v/>
      </c>
      <c r="I1168" s="25">
        <f>IF(AND(A1168="",C1168="",D1168=""),"",IF(A1168="","Date missing",IF(NOT(ISNUMBER(A1168)),"Date not recognized",IF(YEAR(A1168)&lt;&gt;Settings!$C$4,"Not in "&amp;Settings!$C$4,IF(C1168="","Category missing",IF(H1168="",IF(COUNTIF(Categories!$A$6:$A$65,C1168)&gt;0,"Category has no type","Category not in list"),IF(D1168="","Amount missing",IF(NOT(ISNUMBER(D1168)),"Amount is not a number",IF(F1168="","",IF(ISNA(MATCH(F1168,Lists!$G$2:$G$25,0)),"Goal / fund not in list",IF(H1168="Income","Fund tag ignored on income","")))))))))))</f>
        <v/>
      </c>
    </row>
    <row r="1169">
      <c r="A1169" s="27" t="n"/>
      <c r="B1169" s="23" t="n"/>
      <c r="C1169" s="23" t="n"/>
      <c r="D1169" s="28" t="n"/>
      <c r="E1169" s="23" t="n"/>
      <c r="F1169" s="23" t="n"/>
      <c r="G1169" s="23" t="n"/>
      <c r="H1169" s="29">
        <f>IF(C1169="","",IFERROR(INDEX(Categories!$B$6:$B$65,MATCH(C1169,Categories!$A$6:$A$65,0))&amp;"",""))</f>
        <v/>
      </c>
      <c r="I1169" s="25">
        <f>IF(AND(A1169="",C1169="",D1169=""),"",IF(A1169="","Date missing",IF(NOT(ISNUMBER(A1169)),"Date not recognized",IF(YEAR(A1169)&lt;&gt;Settings!$C$4,"Not in "&amp;Settings!$C$4,IF(C1169="","Category missing",IF(H1169="",IF(COUNTIF(Categories!$A$6:$A$65,C1169)&gt;0,"Category has no type","Category not in list"),IF(D1169="","Amount missing",IF(NOT(ISNUMBER(D1169)),"Amount is not a number",IF(F1169="","",IF(ISNA(MATCH(F1169,Lists!$G$2:$G$25,0)),"Goal / fund not in list",IF(H1169="Income","Fund tag ignored on income","")))))))))))</f>
        <v/>
      </c>
    </row>
    <row r="1170">
      <c r="A1170" s="27" t="n"/>
      <c r="B1170" s="23" t="n"/>
      <c r="C1170" s="23" t="n"/>
      <c r="D1170" s="28" t="n"/>
      <c r="E1170" s="23" t="n"/>
      <c r="F1170" s="23" t="n"/>
      <c r="G1170" s="23" t="n"/>
      <c r="H1170" s="29">
        <f>IF(C1170="","",IFERROR(INDEX(Categories!$B$6:$B$65,MATCH(C1170,Categories!$A$6:$A$65,0))&amp;"",""))</f>
        <v/>
      </c>
      <c r="I1170" s="25">
        <f>IF(AND(A1170="",C1170="",D1170=""),"",IF(A1170="","Date missing",IF(NOT(ISNUMBER(A1170)),"Date not recognized",IF(YEAR(A1170)&lt;&gt;Settings!$C$4,"Not in "&amp;Settings!$C$4,IF(C1170="","Category missing",IF(H1170="",IF(COUNTIF(Categories!$A$6:$A$65,C1170)&gt;0,"Category has no type","Category not in list"),IF(D1170="","Amount missing",IF(NOT(ISNUMBER(D1170)),"Amount is not a number",IF(F1170="","",IF(ISNA(MATCH(F1170,Lists!$G$2:$G$25,0)),"Goal / fund not in list",IF(H1170="Income","Fund tag ignored on income","")))))))))))</f>
        <v/>
      </c>
    </row>
    <row r="1171">
      <c r="A1171" s="27" t="n"/>
      <c r="B1171" s="23" t="n"/>
      <c r="C1171" s="23" t="n"/>
      <c r="D1171" s="28" t="n"/>
      <c r="E1171" s="23" t="n"/>
      <c r="F1171" s="23" t="n"/>
      <c r="G1171" s="23" t="n"/>
      <c r="H1171" s="29">
        <f>IF(C1171="","",IFERROR(INDEX(Categories!$B$6:$B$65,MATCH(C1171,Categories!$A$6:$A$65,0))&amp;"",""))</f>
        <v/>
      </c>
      <c r="I1171" s="25">
        <f>IF(AND(A1171="",C1171="",D1171=""),"",IF(A1171="","Date missing",IF(NOT(ISNUMBER(A1171)),"Date not recognized",IF(YEAR(A1171)&lt;&gt;Settings!$C$4,"Not in "&amp;Settings!$C$4,IF(C1171="","Category missing",IF(H1171="",IF(COUNTIF(Categories!$A$6:$A$65,C1171)&gt;0,"Category has no type","Category not in list"),IF(D1171="","Amount missing",IF(NOT(ISNUMBER(D1171)),"Amount is not a number",IF(F1171="","",IF(ISNA(MATCH(F1171,Lists!$G$2:$G$25,0)),"Goal / fund not in list",IF(H1171="Income","Fund tag ignored on income","")))))))))))</f>
        <v/>
      </c>
    </row>
    <row r="1172">
      <c r="A1172" s="27" t="n"/>
      <c r="B1172" s="23" t="n"/>
      <c r="C1172" s="23" t="n"/>
      <c r="D1172" s="28" t="n"/>
      <c r="E1172" s="23" t="n"/>
      <c r="F1172" s="23" t="n"/>
      <c r="G1172" s="23" t="n"/>
      <c r="H1172" s="29">
        <f>IF(C1172="","",IFERROR(INDEX(Categories!$B$6:$B$65,MATCH(C1172,Categories!$A$6:$A$65,0))&amp;"",""))</f>
        <v/>
      </c>
      <c r="I1172" s="25">
        <f>IF(AND(A1172="",C1172="",D1172=""),"",IF(A1172="","Date missing",IF(NOT(ISNUMBER(A1172)),"Date not recognized",IF(YEAR(A1172)&lt;&gt;Settings!$C$4,"Not in "&amp;Settings!$C$4,IF(C1172="","Category missing",IF(H1172="",IF(COUNTIF(Categories!$A$6:$A$65,C1172)&gt;0,"Category has no type","Category not in list"),IF(D1172="","Amount missing",IF(NOT(ISNUMBER(D1172)),"Amount is not a number",IF(F1172="","",IF(ISNA(MATCH(F1172,Lists!$G$2:$G$25,0)),"Goal / fund not in list",IF(H1172="Income","Fund tag ignored on income","")))))))))))</f>
        <v/>
      </c>
    </row>
    <row r="1173">
      <c r="A1173" s="27" t="n"/>
      <c r="B1173" s="23" t="n"/>
      <c r="C1173" s="23" t="n"/>
      <c r="D1173" s="28" t="n"/>
      <c r="E1173" s="23" t="n"/>
      <c r="F1173" s="23" t="n"/>
      <c r="G1173" s="23" t="n"/>
      <c r="H1173" s="29">
        <f>IF(C1173="","",IFERROR(INDEX(Categories!$B$6:$B$65,MATCH(C1173,Categories!$A$6:$A$65,0))&amp;"",""))</f>
        <v/>
      </c>
      <c r="I1173" s="25">
        <f>IF(AND(A1173="",C1173="",D1173=""),"",IF(A1173="","Date missing",IF(NOT(ISNUMBER(A1173)),"Date not recognized",IF(YEAR(A1173)&lt;&gt;Settings!$C$4,"Not in "&amp;Settings!$C$4,IF(C1173="","Category missing",IF(H1173="",IF(COUNTIF(Categories!$A$6:$A$65,C1173)&gt;0,"Category has no type","Category not in list"),IF(D1173="","Amount missing",IF(NOT(ISNUMBER(D1173)),"Amount is not a number",IF(F1173="","",IF(ISNA(MATCH(F1173,Lists!$G$2:$G$25,0)),"Goal / fund not in list",IF(H1173="Income","Fund tag ignored on income","")))))))))))</f>
        <v/>
      </c>
    </row>
    <row r="1174">
      <c r="A1174" s="27" t="n"/>
      <c r="B1174" s="23" t="n"/>
      <c r="C1174" s="23" t="n"/>
      <c r="D1174" s="28" t="n"/>
      <c r="E1174" s="23" t="n"/>
      <c r="F1174" s="23" t="n"/>
      <c r="G1174" s="23" t="n"/>
      <c r="H1174" s="29">
        <f>IF(C1174="","",IFERROR(INDEX(Categories!$B$6:$B$65,MATCH(C1174,Categories!$A$6:$A$65,0))&amp;"",""))</f>
        <v/>
      </c>
      <c r="I1174" s="25">
        <f>IF(AND(A1174="",C1174="",D1174=""),"",IF(A1174="","Date missing",IF(NOT(ISNUMBER(A1174)),"Date not recognized",IF(YEAR(A1174)&lt;&gt;Settings!$C$4,"Not in "&amp;Settings!$C$4,IF(C1174="","Category missing",IF(H1174="",IF(COUNTIF(Categories!$A$6:$A$65,C1174)&gt;0,"Category has no type","Category not in list"),IF(D1174="","Amount missing",IF(NOT(ISNUMBER(D1174)),"Amount is not a number",IF(F1174="","",IF(ISNA(MATCH(F1174,Lists!$G$2:$G$25,0)),"Goal / fund not in list",IF(H1174="Income","Fund tag ignored on income","")))))))))))</f>
        <v/>
      </c>
    </row>
    <row r="1175">
      <c r="A1175" s="27" t="n"/>
      <c r="B1175" s="23" t="n"/>
      <c r="C1175" s="23" t="n"/>
      <c r="D1175" s="28" t="n"/>
      <c r="E1175" s="23" t="n"/>
      <c r="F1175" s="23" t="n"/>
      <c r="G1175" s="23" t="n"/>
      <c r="H1175" s="29">
        <f>IF(C1175="","",IFERROR(INDEX(Categories!$B$6:$B$65,MATCH(C1175,Categories!$A$6:$A$65,0))&amp;"",""))</f>
        <v/>
      </c>
      <c r="I1175" s="25">
        <f>IF(AND(A1175="",C1175="",D1175=""),"",IF(A1175="","Date missing",IF(NOT(ISNUMBER(A1175)),"Date not recognized",IF(YEAR(A1175)&lt;&gt;Settings!$C$4,"Not in "&amp;Settings!$C$4,IF(C1175="","Category missing",IF(H1175="",IF(COUNTIF(Categories!$A$6:$A$65,C1175)&gt;0,"Category has no type","Category not in list"),IF(D1175="","Amount missing",IF(NOT(ISNUMBER(D1175)),"Amount is not a number",IF(F1175="","",IF(ISNA(MATCH(F1175,Lists!$G$2:$G$25,0)),"Goal / fund not in list",IF(H1175="Income","Fund tag ignored on income","")))))))))))</f>
        <v/>
      </c>
    </row>
    <row r="1176">
      <c r="A1176" s="27" t="n"/>
      <c r="B1176" s="23" t="n"/>
      <c r="C1176" s="23" t="n"/>
      <c r="D1176" s="28" t="n"/>
      <c r="E1176" s="23" t="n"/>
      <c r="F1176" s="23" t="n"/>
      <c r="G1176" s="23" t="n"/>
      <c r="H1176" s="29">
        <f>IF(C1176="","",IFERROR(INDEX(Categories!$B$6:$B$65,MATCH(C1176,Categories!$A$6:$A$65,0))&amp;"",""))</f>
        <v/>
      </c>
      <c r="I1176" s="25">
        <f>IF(AND(A1176="",C1176="",D1176=""),"",IF(A1176="","Date missing",IF(NOT(ISNUMBER(A1176)),"Date not recognized",IF(YEAR(A1176)&lt;&gt;Settings!$C$4,"Not in "&amp;Settings!$C$4,IF(C1176="","Category missing",IF(H1176="",IF(COUNTIF(Categories!$A$6:$A$65,C1176)&gt;0,"Category has no type","Category not in list"),IF(D1176="","Amount missing",IF(NOT(ISNUMBER(D1176)),"Amount is not a number",IF(F1176="","",IF(ISNA(MATCH(F1176,Lists!$G$2:$G$25,0)),"Goal / fund not in list",IF(H1176="Income","Fund tag ignored on income","")))))))))))</f>
        <v/>
      </c>
    </row>
    <row r="1177">
      <c r="A1177" s="27" t="n"/>
      <c r="B1177" s="23" t="n"/>
      <c r="C1177" s="23" t="n"/>
      <c r="D1177" s="28" t="n"/>
      <c r="E1177" s="23" t="n"/>
      <c r="F1177" s="23" t="n"/>
      <c r="G1177" s="23" t="n"/>
      <c r="H1177" s="29">
        <f>IF(C1177="","",IFERROR(INDEX(Categories!$B$6:$B$65,MATCH(C1177,Categories!$A$6:$A$65,0))&amp;"",""))</f>
        <v/>
      </c>
      <c r="I1177" s="25">
        <f>IF(AND(A1177="",C1177="",D1177=""),"",IF(A1177="","Date missing",IF(NOT(ISNUMBER(A1177)),"Date not recognized",IF(YEAR(A1177)&lt;&gt;Settings!$C$4,"Not in "&amp;Settings!$C$4,IF(C1177="","Category missing",IF(H1177="",IF(COUNTIF(Categories!$A$6:$A$65,C1177)&gt;0,"Category has no type","Category not in list"),IF(D1177="","Amount missing",IF(NOT(ISNUMBER(D1177)),"Amount is not a number",IF(F1177="","",IF(ISNA(MATCH(F1177,Lists!$G$2:$G$25,0)),"Goal / fund not in list",IF(H1177="Income","Fund tag ignored on income","")))))))))))</f>
        <v/>
      </c>
    </row>
    <row r="1178">
      <c r="A1178" s="27" t="n"/>
      <c r="B1178" s="23" t="n"/>
      <c r="C1178" s="23" t="n"/>
      <c r="D1178" s="28" t="n"/>
      <c r="E1178" s="23" t="n"/>
      <c r="F1178" s="23" t="n"/>
      <c r="G1178" s="23" t="n"/>
      <c r="H1178" s="29">
        <f>IF(C1178="","",IFERROR(INDEX(Categories!$B$6:$B$65,MATCH(C1178,Categories!$A$6:$A$65,0))&amp;"",""))</f>
        <v/>
      </c>
      <c r="I1178" s="25">
        <f>IF(AND(A1178="",C1178="",D1178=""),"",IF(A1178="","Date missing",IF(NOT(ISNUMBER(A1178)),"Date not recognized",IF(YEAR(A1178)&lt;&gt;Settings!$C$4,"Not in "&amp;Settings!$C$4,IF(C1178="","Category missing",IF(H1178="",IF(COUNTIF(Categories!$A$6:$A$65,C1178)&gt;0,"Category has no type","Category not in list"),IF(D1178="","Amount missing",IF(NOT(ISNUMBER(D1178)),"Amount is not a number",IF(F1178="","",IF(ISNA(MATCH(F1178,Lists!$G$2:$G$25,0)),"Goal / fund not in list",IF(H1178="Income","Fund tag ignored on income","")))))))))))</f>
        <v/>
      </c>
    </row>
    <row r="1179">
      <c r="A1179" s="27" t="n"/>
      <c r="B1179" s="23" t="n"/>
      <c r="C1179" s="23" t="n"/>
      <c r="D1179" s="28" t="n"/>
      <c r="E1179" s="23" t="n"/>
      <c r="F1179" s="23" t="n"/>
      <c r="G1179" s="23" t="n"/>
      <c r="H1179" s="29">
        <f>IF(C1179="","",IFERROR(INDEX(Categories!$B$6:$B$65,MATCH(C1179,Categories!$A$6:$A$65,0))&amp;"",""))</f>
        <v/>
      </c>
      <c r="I1179" s="25">
        <f>IF(AND(A1179="",C1179="",D1179=""),"",IF(A1179="","Date missing",IF(NOT(ISNUMBER(A1179)),"Date not recognized",IF(YEAR(A1179)&lt;&gt;Settings!$C$4,"Not in "&amp;Settings!$C$4,IF(C1179="","Category missing",IF(H1179="",IF(COUNTIF(Categories!$A$6:$A$65,C1179)&gt;0,"Category has no type","Category not in list"),IF(D1179="","Amount missing",IF(NOT(ISNUMBER(D1179)),"Amount is not a number",IF(F1179="","",IF(ISNA(MATCH(F1179,Lists!$G$2:$G$25,0)),"Goal / fund not in list",IF(H1179="Income","Fund tag ignored on income","")))))))))))</f>
        <v/>
      </c>
    </row>
    <row r="1180">
      <c r="A1180" s="27" t="n"/>
      <c r="B1180" s="23" t="n"/>
      <c r="C1180" s="23" t="n"/>
      <c r="D1180" s="28" t="n"/>
      <c r="E1180" s="23" t="n"/>
      <c r="F1180" s="23" t="n"/>
      <c r="G1180" s="23" t="n"/>
      <c r="H1180" s="29">
        <f>IF(C1180="","",IFERROR(INDEX(Categories!$B$6:$B$65,MATCH(C1180,Categories!$A$6:$A$65,0))&amp;"",""))</f>
        <v/>
      </c>
      <c r="I1180" s="25">
        <f>IF(AND(A1180="",C1180="",D1180=""),"",IF(A1180="","Date missing",IF(NOT(ISNUMBER(A1180)),"Date not recognized",IF(YEAR(A1180)&lt;&gt;Settings!$C$4,"Not in "&amp;Settings!$C$4,IF(C1180="","Category missing",IF(H1180="",IF(COUNTIF(Categories!$A$6:$A$65,C1180)&gt;0,"Category has no type","Category not in list"),IF(D1180="","Amount missing",IF(NOT(ISNUMBER(D1180)),"Amount is not a number",IF(F1180="","",IF(ISNA(MATCH(F1180,Lists!$G$2:$G$25,0)),"Goal / fund not in list",IF(H1180="Income","Fund tag ignored on income","")))))))))))</f>
        <v/>
      </c>
    </row>
    <row r="1181">
      <c r="A1181" s="27" t="n"/>
      <c r="B1181" s="23" t="n"/>
      <c r="C1181" s="23" t="n"/>
      <c r="D1181" s="28" t="n"/>
      <c r="E1181" s="23" t="n"/>
      <c r="F1181" s="23" t="n"/>
      <c r="G1181" s="23" t="n"/>
      <c r="H1181" s="29">
        <f>IF(C1181="","",IFERROR(INDEX(Categories!$B$6:$B$65,MATCH(C1181,Categories!$A$6:$A$65,0))&amp;"",""))</f>
        <v/>
      </c>
      <c r="I1181" s="25">
        <f>IF(AND(A1181="",C1181="",D1181=""),"",IF(A1181="","Date missing",IF(NOT(ISNUMBER(A1181)),"Date not recognized",IF(YEAR(A1181)&lt;&gt;Settings!$C$4,"Not in "&amp;Settings!$C$4,IF(C1181="","Category missing",IF(H1181="",IF(COUNTIF(Categories!$A$6:$A$65,C1181)&gt;0,"Category has no type","Category not in list"),IF(D1181="","Amount missing",IF(NOT(ISNUMBER(D1181)),"Amount is not a number",IF(F1181="","",IF(ISNA(MATCH(F1181,Lists!$G$2:$G$25,0)),"Goal / fund not in list",IF(H1181="Income","Fund tag ignored on income","")))))))))))</f>
        <v/>
      </c>
    </row>
    <row r="1182">
      <c r="A1182" s="27" t="n"/>
      <c r="B1182" s="23" t="n"/>
      <c r="C1182" s="23" t="n"/>
      <c r="D1182" s="28" t="n"/>
      <c r="E1182" s="23" t="n"/>
      <c r="F1182" s="23" t="n"/>
      <c r="G1182" s="23" t="n"/>
      <c r="H1182" s="29">
        <f>IF(C1182="","",IFERROR(INDEX(Categories!$B$6:$B$65,MATCH(C1182,Categories!$A$6:$A$65,0))&amp;"",""))</f>
        <v/>
      </c>
      <c r="I1182" s="25">
        <f>IF(AND(A1182="",C1182="",D1182=""),"",IF(A1182="","Date missing",IF(NOT(ISNUMBER(A1182)),"Date not recognized",IF(YEAR(A1182)&lt;&gt;Settings!$C$4,"Not in "&amp;Settings!$C$4,IF(C1182="","Category missing",IF(H1182="",IF(COUNTIF(Categories!$A$6:$A$65,C1182)&gt;0,"Category has no type","Category not in list"),IF(D1182="","Amount missing",IF(NOT(ISNUMBER(D1182)),"Amount is not a number",IF(F1182="","",IF(ISNA(MATCH(F1182,Lists!$G$2:$G$25,0)),"Goal / fund not in list",IF(H1182="Income","Fund tag ignored on income","")))))))))))</f>
        <v/>
      </c>
    </row>
    <row r="1183">
      <c r="A1183" s="27" t="n"/>
      <c r="B1183" s="23" t="n"/>
      <c r="C1183" s="23" t="n"/>
      <c r="D1183" s="28" t="n"/>
      <c r="E1183" s="23" t="n"/>
      <c r="F1183" s="23" t="n"/>
      <c r="G1183" s="23" t="n"/>
      <c r="H1183" s="29">
        <f>IF(C1183="","",IFERROR(INDEX(Categories!$B$6:$B$65,MATCH(C1183,Categories!$A$6:$A$65,0))&amp;"",""))</f>
        <v/>
      </c>
      <c r="I1183" s="25">
        <f>IF(AND(A1183="",C1183="",D1183=""),"",IF(A1183="","Date missing",IF(NOT(ISNUMBER(A1183)),"Date not recognized",IF(YEAR(A1183)&lt;&gt;Settings!$C$4,"Not in "&amp;Settings!$C$4,IF(C1183="","Category missing",IF(H1183="",IF(COUNTIF(Categories!$A$6:$A$65,C1183)&gt;0,"Category has no type","Category not in list"),IF(D1183="","Amount missing",IF(NOT(ISNUMBER(D1183)),"Amount is not a number",IF(F1183="","",IF(ISNA(MATCH(F1183,Lists!$G$2:$G$25,0)),"Goal / fund not in list",IF(H1183="Income","Fund tag ignored on income","")))))))))))</f>
        <v/>
      </c>
    </row>
    <row r="1184">
      <c r="A1184" s="27" t="n"/>
      <c r="B1184" s="23" t="n"/>
      <c r="C1184" s="23" t="n"/>
      <c r="D1184" s="28" t="n"/>
      <c r="E1184" s="23" t="n"/>
      <c r="F1184" s="23" t="n"/>
      <c r="G1184" s="23" t="n"/>
      <c r="H1184" s="29">
        <f>IF(C1184="","",IFERROR(INDEX(Categories!$B$6:$B$65,MATCH(C1184,Categories!$A$6:$A$65,0))&amp;"",""))</f>
        <v/>
      </c>
      <c r="I1184" s="25">
        <f>IF(AND(A1184="",C1184="",D1184=""),"",IF(A1184="","Date missing",IF(NOT(ISNUMBER(A1184)),"Date not recognized",IF(YEAR(A1184)&lt;&gt;Settings!$C$4,"Not in "&amp;Settings!$C$4,IF(C1184="","Category missing",IF(H1184="",IF(COUNTIF(Categories!$A$6:$A$65,C1184)&gt;0,"Category has no type","Category not in list"),IF(D1184="","Amount missing",IF(NOT(ISNUMBER(D1184)),"Amount is not a number",IF(F1184="","",IF(ISNA(MATCH(F1184,Lists!$G$2:$G$25,0)),"Goal / fund not in list",IF(H1184="Income","Fund tag ignored on income","")))))))))))</f>
        <v/>
      </c>
    </row>
    <row r="1185">
      <c r="A1185" s="27" t="n"/>
      <c r="B1185" s="23" t="n"/>
      <c r="C1185" s="23" t="n"/>
      <c r="D1185" s="28" t="n"/>
      <c r="E1185" s="23" t="n"/>
      <c r="F1185" s="23" t="n"/>
      <c r="G1185" s="23" t="n"/>
      <c r="H1185" s="29">
        <f>IF(C1185="","",IFERROR(INDEX(Categories!$B$6:$B$65,MATCH(C1185,Categories!$A$6:$A$65,0))&amp;"",""))</f>
        <v/>
      </c>
      <c r="I1185" s="25">
        <f>IF(AND(A1185="",C1185="",D1185=""),"",IF(A1185="","Date missing",IF(NOT(ISNUMBER(A1185)),"Date not recognized",IF(YEAR(A1185)&lt;&gt;Settings!$C$4,"Not in "&amp;Settings!$C$4,IF(C1185="","Category missing",IF(H1185="",IF(COUNTIF(Categories!$A$6:$A$65,C1185)&gt;0,"Category has no type","Category not in list"),IF(D1185="","Amount missing",IF(NOT(ISNUMBER(D1185)),"Amount is not a number",IF(F1185="","",IF(ISNA(MATCH(F1185,Lists!$G$2:$G$25,0)),"Goal / fund not in list",IF(H1185="Income","Fund tag ignored on income","")))))))))))</f>
        <v/>
      </c>
    </row>
    <row r="1186">
      <c r="A1186" s="27" t="n"/>
      <c r="B1186" s="23" t="n"/>
      <c r="C1186" s="23" t="n"/>
      <c r="D1186" s="28" t="n"/>
      <c r="E1186" s="23" t="n"/>
      <c r="F1186" s="23" t="n"/>
      <c r="G1186" s="23" t="n"/>
      <c r="H1186" s="29">
        <f>IF(C1186="","",IFERROR(INDEX(Categories!$B$6:$B$65,MATCH(C1186,Categories!$A$6:$A$65,0))&amp;"",""))</f>
        <v/>
      </c>
      <c r="I1186" s="25">
        <f>IF(AND(A1186="",C1186="",D1186=""),"",IF(A1186="","Date missing",IF(NOT(ISNUMBER(A1186)),"Date not recognized",IF(YEAR(A1186)&lt;&gt;Settings!$C$4,"Not in "&amp;Settings!$C$4,IF(C1186="","Category missing",IF(H1186="",IF(COUNTIF(Categories!$A$6:$A$65,C1186)&gt;0,"Category has no type","Category not in list"),IF(D1186="","Amount missing",IF(NOT(ISNUMBER(D1186)),"Amount is not a number",IF(F1186="","",IF(ISNA(MATCH(F1186,Lists!$G$2:$G$25,0)),"Goal / fund not in list",IF(H1186="Income","Fund tag ignored on income","")))))))))))</f>
        <v/>
      </c>
    </row>
    <row r="1187">
      <c r="A1187" s="27" t="n"/>
      <c r="B1187" s="23" t="n"/>
      <c r="C1187" s="23" t="n"/>
      <c r="D1187" s="28" t="n"/>
      <c r="E1187" s="23" t="n"/>
      <c r="F1187" s="23" t="n"/>
      <c r="G1187" s="23" t="n"/>
      <c r="H1187" s="29">
        <f>IF(C1187="","",IFERROR(INDEX(Categories!$B$6:$B$65,MATCH(C1187,Categories!$A$6:$A$65,0))&amp;"",""))</f>
        <v/>
      </c>
      <c r="I1187" s="25">
        <f>IF(AND(A1187="",C1187="",D1187=""),"",IF(A1187="","Date missing",IF(NOT(ISNUMBER(A1187)),"Date not recognized",IF(YEAR(A1187)&lt;&gt;Settings!$C$4,"Not in "&amp;Settings!$C$4,IF(C1187="","Category missing",IF(H1187="",IF(COUNTIF(Categories!$A$6:$A$65,C1187)&gt;0,"Category has no type","Category not in list"),IF(D1187="","Amount missing",IF(NOT(ISNUMBER(D1187)),"Amount is not a number",IF(F1187="","",IF(ISNA(MATCH(F1187,Lists!$G$2:$G$25,0)),"Goal / fund not in list",IF(H1187="Income","Fund tag ignored on income","")))))))))))</f>
        <v/>
      </c>
    </row>
    <row r="1188">
      <c r="A1188" s="27" t="n"/>
      <c r="B1188" s="23" t="n"/>
      <c r="C1188" s="23" t="n"/>
      <c r="D1188" s="28" t="n"/>
      <c r="E1188" s="23" t="n"/>
      <c r="F1188" s="23" t="n"/>
      <c r="G1188" s="23" t="n"/>
      <c r="H1188" s="29">
        <f>IF(C1188="","",IFERROR(INDEX(Categories!$B$6:$B$65,MATCH(C1188,Categories!$A$6:$A$65,0))&amp;"",""))</f>
        <v/>
      </c>
      <c r="I1188" s="25">
        <f>IF(AND(A1188="",C1188="",D1188=""),"",IF(A1188="","Date missing",IF(NOT(ISNUMBER(A1188)),"Date not recognized",IF(YEAR(A1188)&lt;&gt;Settings!$C$4,"Not in "&amp;Settings!$C$4,IF(C1188="","Category missing",IF(H1188="",IF(COUNTIF(Categories!$A$6:$A$65,C1188)&gt;0,"Category has no type","Category not in list"),IF(D1188="","Amount missing",IF(NOT(ISNUMBER(D1188)),"Amount is not a number",IF(F1188="","",IF(ISNA(MATCH(F1188,Lists!$G$2:$G$25,0)),"Goal / fund not in list",IF(H1188="Income","Fund tag ignored on income","")))))))))))</f>
        <v/>
      </c>
    </row>
    <row r="1189">
      <c r="A1189" s="27" t="n"/>
      <c r="B1189" s="23" t="n"/>
      <c r="C1189" s="23" t="n"/>
      <c r="D1189" s="28" t="n"/>
      <c r="E1189" s="23" t="n"/>
      <c r="F1189" s="23" t="n"/>
      <c r="G1189" s="23" t="n"/>
      <c r="H1189" s="29">
        <f>IF(C1189="","",IFERROR(INDEX(Categories!$B$6:$B$65,MATCH(C1189,Categories!$A$6:$A$65,0))&amp;"",""))</f>
        <v/>
      </c>
      <c r="I1189" s="25">
        <f>IF(AND(A1189="",C1189="",D1189=""),"",IF(A1189="","Date missing",IF(NOT(ISNUMBER(A1189)),"Date not recognized",IF(YEAR(A1189)&lt;&gt;Settings!$C$4,"Not in "&amp;Settings!$C$4,IF(C1189="","Category missing",IF(H1189="",IF(COUNTIF(Categories!$A$6:$A$65,C1189)&gt;0,"Category has no type","Category not in list"),IF(D1189="","Amount missing",IF(NOT(ISNUMBER(D1189)),"Amount is not a number",IF(F1189="","",IF(ISNA(MATCH(F1189,Lists!$G$2:$G$25,0)),"Goal / fund not in list",IF(H1189="Income","Fund tag ignored on income","")))))))))))</f>
        <v/>
      </c>
    </row>
    <row r="1190">
      <c r="A1190" s="27" t="n"/>
      <c r="B1190" s="23" t="n"/>
      <c r="C1190" s="23" t="n"/>
      <c r="D1190" s="28" t="n"/>
      <c r="E1190" s="23" t="n"/>
      <c r="F1190" s="23" t="n"/>
      <c r="G1190" s="23" t="n"/>
      <c r="H1190" s="29">
        <f>IF(C1190="","",IFERROR(INDEX(Categories!$B$6:$B$65,MATCH(C1190,Categories!$A$6:$A$65,0))&amp;"",""))</f>
        <v/>
      </c>
      <c r="I1190" s="25">
        <f>IF(AND(A1190="",C1190="",D1190=""),"",IF(A1190="","Date missing",IF(NOT(ISNUMBER(A1190)),"Date not recognized",IF(YEAR(A1190)&lt;&gt;Settings!$C$4,"Not in "&amp;Settings!$C$4,IF(C1190="","Category missing",IF(H1190="",IF(COUNTIF(Categories!$A$6:$A$65,C1190)&gt;0,"Category has no type","Category not in list"),IF(D1190="","Amount missing",IF(NOT(ISNUMBER(D1190)),"Amount is not a number",IF(F1190="","",IF(ISNA(MATCH(F1190,Lists!$G$2:$G$25,0)),"Goal / fund not in list",IF(H1190="Income","Fund tag ignored on income","")))))))))))</f>
        <v/>
      </c>
    </row>
    <row r="1191">
      <c r="A1191" s="27" t="n"/>
      <c r="B1191" s="23" t="n"/>
      <c r="C1191" s="23" t="n"/>
      <c r="D1191" s="28" t="n"/>
      <c r="E1191" s="23" t="n"/>
      <c r="F1191" s="23" t="n"/>
      <c r="G1191" s="23" t="n"/>
      <c r="H1191" s="29">
        <f>IF(C1191="","",IFERROR(INDEX(Categories!$B$6:$B$65,MATCH(C1191,Categories!$A$6:$A$65,0))&amp;"",""))</f>
        <v/>
      </c>
      <c r="I1191" s="25">
        <f>IF(AND(A1191="",C1191="",D1191=""),"",IF(A1191="","Date missing",IF(NOT(ISNUMBER(A1191)),"Date not recognized",IF(YEAR(A1191)&lt;&gt;Settings!$C$4,"Not in "&amp;Settings!$C$4,IF(C1191="","Category missing",IF(H1191="",IF(COUNTIF(Categories!$A$6:$A$65,C1191)&gt;0,"Category has no type","Category not in list"),IF(D1191="","Amount missing",IF(NOT(ISNUMBER(D1191)),"Amount is not a number",IF(F1191="","",IF(ISNA(MATCH(F1191,Lists!$G$2:$G$25,0)),"Goal / fund not in list",IF(H1191="Income","Fund tag ignored on income","")))))))))))</f>
        <v/>
      </c>
    </row>
    <row r="1192">
      <c r="A1192" s="27" t="n"/>
      <c r="B1192" s="23" t="n"/>
      <c r="C1192" s="23" t="n"/>
      <c r="D1192" s="28" t="n"/>
      <c r="E1192" s="23" t="n"/>
      <c r="F1192" s="23" t="n"/>
      <c r="G1192" s="23" t="n"/>
      <c r="H1192" s="29">
        <f>IF(C1192="","",IFERROR(INDEX(Categories!$B$6:$B$65,MATCH(C1192,Categories!$A$6:$A$65,0))&amp;"",""))</f>
        <v/>
      </c>
      <c r="I1192" s="25">
        <f>IF(AND(A1192="",C1192="",D1192=""),"",IF(A1192="","Date missing",IF(NOT(ISNUMBER(A1192)),"Date not recognized",IF(YEAR(A1192)&lt;&gt;Settings!$C$4,"Not in "&amp;Settings!$C$4,IF(C1192="","Category missing",IF(H1192="",IF(COUNTIF(Categories!$A$6:$A$65,C1192)&gt;0,"Category has no type","Category not in list"),IF(D1192="","Amount missing",IF(NOT(ISNUMBER(D1192)),"Amount is not a number",IF(F1192="","",IF(ISNA(MATCH(F1192,Lists!$G$2:$G$25,0)),"Goal / fund not in list",IF(H1192="Income","Fund tag ignored on income","")))))))))))</f>
        <v/>
      </c>
    </row>
    <row r="1193">
      <c r="A1193" s="27" t="n"/>
      <c r="B1193" s="23" t="n"/>
      <c r="C1193" s="23" t="n"/>
      <c r="D1193" s="28" t="n"/>
      <c r="E1193" s="23" t="n"/>
      <c r="F1193" s="23" t="n"/>
      <c r="G1193" s="23" t="n"/>
      <c r="H1193" s="29">
        <f>IF(C1193="","",IFERROR(INDEX(Categories!$B$6:$B$65,MATCH(C1193,Categories!$A$6:$A$65,0))&amp;"",""))</f>
        <v/>
      </c>
      <c r="I1193" s="25">
        <f>IF(AND(A1193="",C1193="",D1193=""),"",IF(A1193="","Date missing",IF(NOT(ISNUMBER(A1193)),"Date not recognized",IF(YEAR(A1193)&lt;&gt;Settings!$C$4,"Not in "&amp;Settings!$C$4,IF(C1193="","Category missing",IF(H1193="",IF(COUNTIF(Categories!$A$6:$A$65,C1193)&gt;0,"Category has no type","Category not in list"),IF(D1193="","Amount missing",IF(NOT(ISNUMBER(D1193)),"Amount is not a number",IF(F1193="","",IF(ISNA(MATCH(F1193,Lists!$G$2:$G$25,0)),"Goal / fund not in list",IF(H1193="Income","Fund tag ignored on income","")))))))))))</f>
        <v/>
      </c>
    </row>
    <row r="1194">
      <c r="A1194" s="27" t="n"/>
      <c r="B1194" s="23" t="n"/>
      <c r="C1194" s="23" t="n"/>
      <c r="D1194" s="28" t="n"/>
      <c r="E1194" s="23" t="n"/>
      <c r="F1194" s="23" t="n"/>
      <c r="G1194" s="23" t="n"/>
      <c r="H1194" s="29">
        <f>IF(C1194="","",IFERROR(INDEX(Categories!$B$6:$B$65,MATCH(C1194,Categories!$A$6:$A$65,0))&amp;"",""))</f>
        <v/>
      </c>
      <c r="I1194" s="25">
        <f>IF(AND(A1194="",C1194="",D1194=""),"",IF(A1194="","Date missing",IF(NOT(ISNUMBER(A1194)),"Date not recognized",IF(YEAR(A1194)&lt;&gt;Settings!$C$4,"Not in "&amp;Settings!$C$4,IF(C1194="","Category missing",IF(H1194="",IF(COUNTIF(Categories!$A$6:$A$65,C1194)&gt;0,"Category has no type","Category not in list"),IF(D1194="","Amount missing",IF(NOT(ISNUMBER(D1194)),"Amount is not a number",IF(F1194="","",IF(ISNA(MATCH(F1194,Lists!$G$2:$G$25,0)),"Goal / fund not in list",IF(H1194="Income","Fund tag ignored on income","")))))))))))</f>
        <v/>
      </c>
    </row>
    <row r="1195">
      <c r="A1195" s="27" t="n"/>
      <c r="B1195" s="23" t="n"/>
      <c r="C1195" s="23" t="n"/>
      <c r="D1195" s="28" t="n"/>
      <c r="E1195" s="23" t="n"/>
      <c r="F1195" s="23" t="n"/>
      <c r="G1195" s="23" t="n"/>
      <c r="H1195" s="29">
        <f>IF(C1195="","",IFERROR(INDEX(Categories!$B$6:$B$65,MATCH(C1195,Categories!$A$6:$A$65,0))&amp;"",""))</f>
        <v/>
      </c>
      <c r="I1195" s="25">
        <f>IF(AND(A1195="",C1195="",D1195=""),"",IF(A1195="","Date missing",IF(NOT(ISNUMBER(A1195)),"Date not recognized",IF(YEAR(A1195)&lt;&gt;Settings!$C$4,"Not in "&amp;Settings!$C$4,IF(C1195="","Category missing",IF(H1195="",IF(COUNTIF(Categories!$A$6:$A$65,C1195)&gt;0,"Category has no type","Category not in list"),IF(D1195="","Amount missing",IF(NOT(ISNUMBER(D1195)),"Amount is not a number",IF(F1195="","",IF(ISNA(MATCH(F1195,Lists!$G$2:$G$25,0)),"Goal / fund not in list",IF(H1195="Income","Fund tag ignored on income","")))))))))))</f>
        <v/>
      </c>
    </row>
    <row r="1196">
      <c r="A1196" s="27" t="n"/>
      <c r="B1196" s="23" t="n"/>
      <c r="C1196" s="23" t="n"/>
      <c r="D1196" s="28" t="n"/>
      <c r="E1196" s="23" t="n"/>
      <c r="F1196" s="23" t="n"/>
      <c r="G1196" s="23" t="n"/>
      <c r="H1196" s="29">
        <f>IF(C1196="","",IFERROR(INDEX(Categories!$B$6:$B$65,MATCH(C1196,Categories!$A$6:$A$65,0))&amp;"",""))</f>
        <v/>
      </c>
      <c r="I1196" s="25">
        <f>IF(AND(A1196="",C1196="",D1196=""),"",IF(A1196="","Date missing",IF(NOT(ISNUMBER(A1196)),"Date not recognized",IF(YEAR(A1196)&lt;&gt;Settings!$C$4,"Not in "&amp;Settings!$C$4,IF(C1196="","Category missing",IF(H1196="",IF(COUNTIF(Categories!$A$6:$A$65,C1196)&gt;0,"Category has no type","Category not in list"),IF(D1196="","Amount missing",IF(NOT(ISNUMBER(D1196)),"Amount is not a number",IF(F1196="","",IF(ISNA(MATCH(F1196,Lists!$G$2:$G$25,0)),"Goal / fund not in list",IF(H1196="Income","Fund tag ignored on income","")))))))))))</f>
        <v/>
      </c>
    </row>
    <row r="1197">
      <c r="A1197" s="27" t="n"/>
      <c r="B1197" s="23" t="n"/>
      <c r="C1197" s="23" t="n"/>
      <c r="D1197" s="28" t="n"/>
      <c r="E1197" s="23" t="n"/>
      <c r="F1197" s="23" t="n"/>
      <c r="G1197" s="23" t="n"/>
      <c r="H1197" s="29">
        <f>IF(C1197="","",IFERROR(INDEX(Categories!$B$6:$B$65,MATCH(C1197,Categories!$A$6:$A$65,0))&amp;"",""))</f>
        <v/>
      </c>
      <c r="I1197" s="25">
        <f>IF(AND(A1197="",C1197="",D1197=""),"",IF(A1197="","Date missing",IF(NOT(ISNUMBER(A1197)),"Date not recognized",IF(YEAR(A1197)&lt;&gt;Settings!$C$4,"Not in "&amp;Settings!$C$4,IF(C1197="","Category missing",IF(H1197="",IF(COUNTIF(Categories!$A$6:$A$65,C1197)&gt;0,"Category has no type","Category not in list"),IF(D1197="","Amount missing",IF(NOT(ISNUMBER(D1197)),"Amount is not a number",IF(F1197="","",IF(ISNA(MATCH(F1197,Lists!$G$2:$G$25,0)),"Goal / fund not in list",IF(H1197="Income","Fund tag ignored on income","")))))))))))</f>
        <v/>
      </c>
    </row>
    <row r="1198">
      <c r="A1198" s="27" t="n"/>
      <c r="B1198" s="23" t="n"/>
      <c r="C1198" s="23" t="n"/>
      <c r="D1198" s="28" t="n"/>
      <c r="E1198" s="23" t="n"/>
      <c r="F1198" s="23" t="n"/>
      <c r="G1198" s="23" t="n"/>
      <c r="H1198" s="29">
        <f>IF(C1198="","",IFERROR(INDEX(Categories!$B$6:$B$65,MATCH(C1198,Categories!$A$6:$A$65,0))&amp;"",""))</f>
        <v/>
      </c>
      <c r="I1198" s="25">
        <f>IF(AND(A1198="",C1198="",D1198=""),"",IF(A1198="","Date missing",IF(NOT(ISNUMBER(A1198)),"Date not recognized",IF(YEAR(A1198)&lt;&gt;Settings!$C$4,"Not in "&amp;Settings!$C$4,IF(C1198="","Category missing",IF(H1198="",IF(COUNTIF(Categories!$A$6:$A$65,C1198)&gt;0,"Category has no type","Category not in list"),IF(D1198="","Amount missing",IF(NOT(ISNUMBER(D1198)),"Amount is not a number",IF(F1198="","",IF(ISNA(MATCH(F1198,Lists!$G$2:$G$25,0)),"Goal / fund not in list",IF(H1198="Income","Fund tag ignored on income","")))))))))))</f>
        <v/>
      </c>
    </row>
    <row r="1199">
      <c r="A1199" s="27" t="n"/>
      <c r="B1199" s="23" t="n"/>
      <c r="C1199" s="23" t="n"/>
      <c r="D1199" s="28" t="n"/>
      <c r="E1199" s="23" t="n"/>
      <c r="F1199" s="23" t="n"/>
      <c r="G1199" s="23" t="n"/>
      <c r="H1199" s="29">
        <f>IF(C1199="","",IFERROR(INDEX(Categories!$B$6:$B$65,MATCH(C1199,Categories!$A$6:$A$65,0))&amp;"",""))</f>
        <v/>
      </c>
      <c r="I1199" s="25">
        <f>IF(AND(A1199="",C1199="",D1199=""),"",IF(A1199="","Date missing",IF(NOT(ISNUMBER(A1199)),"Date not recognized",IF(YEAR(A1199)&lt;&gt;Settings!$C$4,"Not in "&amp;Settings!$C$4,IF(C1199="","Category missing",IF(H1199="",IF(COUNTIF(Categories!$A$6:$A$65,C1199)&gt;0,"Category has no type","Category not in list"),IF(D1199="","Amount missing",IF(NOT(ISNUMBER(D1199)),"Amount is not a number",IF(F1199="","",IF(ISNA(MATCH(F1199,Lists!$G$2:$G$25,0)),"Goal / fund not in list",IF(H1199="Income","Fund tag ignored on income","")))))))))))</f>
        <v/>
      </c>
    </row>
    <row r="1200">
      <c r="A1200" s="27" t="n"/>
      <c r="B1200" s="23" t="n"/>
      <c r="C1200" s="23" t="n"/>
      <c r="D1200" s="28" t="n"/>
      <c r="E1200" s="23" t="n"/>
      <c r="F1200" s="23" t="n"/>
      <c r="G1200" s="23" t="n"/>
      <c r="H1200" s="29">
        <f>IF(C1200="","",IFERROR(INDEX(Categories!$B$6:$B$65,MATCH(C1200,Categories!$A$6:$A$65,0))&amp;"",""))</f>
        <v/>
      </c>
      <c r="I1200" s="25">
        <f>IF(AND(A1200="",C1200="",D1200=""),"",IF(A1200="","Date missing",IF(NOT(ISNUMBER(A1200)),"Date not recognized",IF(YEAR(A1200)&lt;&gt;Settings!$C$4,"Not in "&amp;Settings!$C$4,IF(C1200="","Category missing",IF(H1200="",IF(COUNTIF(Categories!$A$6:$A$65,C1200)&gt;0,"Category has no type","Category not in list"),IF(D1200="","Amount missing",IF(NOT(ISNUMBER(D1200)),"Amount is not a number",IF(F1200="","",IF(ISNA(MATCH(F1200,Lists!$G$2:$G$25,0)),"Goal / fund not in list",IF(H1200="Income","Fund tag ignored on income","")))))))))))</f>
        <v/>
      </c>
    </row>
    <row r="1201">
      <c r="A1201" s="27" t="n"/>
      <c r="B1201" s="23" t="n"/>
      <c r="C1201" s="23" t="n"/>
      <c r="D1201" s="28" t="n"/>
      <c r="E1201" s="23" t="n"/>
      <c r="F1201" s="23" t="n"/>
      <c r="G1201" s="23" t="n"/>
      <c r="H1201" s="29">
        <f>IF(C1201="","",IFERROR(INDEX(Categories!$B$6:$B$65,MATCH(C1201,Categories!$A$6:$A$65,0))&amp;"",""))</f>
        <v/>
      </c>
      <c r="I1201" s="25">
        <f>IF(AND(A1201="",C1201="",D1201=""),"",IF(A1201="","Date missing",IF(NOT(ISNUMBER(A1201)),"Date not recognized",IF(YEAR(A1201)&lt;&gt;Settings!$C$4,"Not in "&amp;Settings!$C$4,IF(C1201="","Category missing",IF(H1201="",IF(COUNTIF(Categories!$A$6:$A$65,C1201)&gt;0,"Category has no type","Category not in list"),IF(D1201="","Amount missing",IF(NOT(ISNUMBER(D1201)),"Amount is not a number",IF(F1201="","",IF(ISNA(MATCH(F1201,Lists!$G$2:$G$25,0)),"Goal / fund not in list",IF(H1201="Income","Fund tag ignored on income","")))))))))))</f>
        <v/>
      </c>
    </row>
    <row r="1202">
      <c r="A1202" s="27" t="n"/>
      <c r="B1202" s="23" t="n"/>
      <c r="C1202" s="23" t="n"/>
      <c r="D1202" s="28" t="n"/>
      <c r="E1202" s="23" t="n"/>
      <c r="F1202" s="23" t="n"/>
      <c r="G1202" s="23" t="n"/>
      <c r="H1202" s="29">
        <f>IF(C1202="","",IFERROR(INDEX(Categories!$B$6:$B$65,MATCH(C1202,Categories!$A$6:$A$65,0))&amp;"",""))</f>
        <v/>
      </c>
      <c r="I1202" s="25">
        <f>IF(AND(A1202="",C1202="",D1202=""),"",IF(A1202="","Date missing",IF(NOT(ISNUMBER(A1202)),"Date not recognized",IF(YEAR(A1202)&lt;&gt;Settings!$C$4,"Not in "&amp;Settings!$C$4,IF(C1202="","Category missing",IF(H1202="",IF(COUNTIF(Categories!$A$6:$A$65,C1202)&gt;0,"Category has no type","Category not in list"),IF(D1202="","Amount missing",IF(NOT(ISNUMBER(D1202)),"Amount is not a number",IF(F1202="","",IF(ISNA(MATCH(F1202,Lists!$G$2:$G$25,0)),"Goal / fund not in list",IF(H1202="Income","Fund tag ignored on income","")))))))))))</f>
        <v/>
      </c>
    </row>
    <row r="1203">
      <c r="A1203" s="27" t="n"/>
      <c r="B1203" s="23" t="n"/>
      <c r="C1203" s="23" t="n"/>
      <c r="D1203" s="28" t="n"/>
      <c r="E1203" s="23" t="n"/>
      <c r="F1203" s="23" t="n"/>
      <c r="G1203" s="23" t="n"/>
      <c r="H1203" s="29">
        <f>IF(C1203="","",IFERROR(INDEX(Categories!$B$6:$B$65,MATCH(C1203,Categories!$A$6:$A$65,0))&amp;"",""))</f>
        <v/>
      </c>
      <c r="I1203" s="25">
        <f>IF(AND(A1203="",C1203="",D1203=""),"",IF(A1203="","Date missing",IF(NOT(ISNUMBER(A1203)),"Date not recognized",IF(YEAR(A1203)&lt;&gt;Settings!$C$4,"Not in "&amp;Settings!$C$4,IF(C1203="","Category missing",IF(H1203="",IF(COUNTIF(Categories!$A$6:$A$65,C1203)&gt;0,"Category has no type","Category not in list"),IF(D1203="","Amount missing",IF(NOT(ISNUMBER(D1203)),"Amount is not a number",IF(F1203="","",IF(ISNA(MATCH(F1203,Lists!$G$2:$G$25,0)),"Goal / fund not in list",IF(H1203="Income","Fund tag ignored on income","")))))))))))</f>
        <v/>
      </c>
    </row>
    <row r="1204">
      <c r="A1204" s="27" t="n"/>
      <c r="B1204" s="23" t="n"/>
      <c r="C1204" s="23" t="n"/>
      <c r="D1204" s="28" t="n"/>
      <c r="E1204" s="23" t="n"/>
      <c r="F1204" s="23" t="n"/>
      <c r="G1204" s="23" t="n"/>
      <c r="H1204" s="29">
        <f>IF(C1204="","",IFERROR(INDEX(Categories!$B$6:$B$65,MATCH(C1204,Categories!$A$6:$A$65,0))&amp;"",""))</f>
        <v/>
      </c>
      <c r="I1204" s="25">
        <f>IF(AND(A1204="",C1204="",D1204=""),"",IF(A1204="","Date missing",IF(NOT(ISNUMBER(A1204)),"Date not recognized",IF(YEAR(A1204)&lt;&gt;Settings!$C$4,"Not in "&amp;Settings!$C$4,IF(C1204="","Category missing",IF(H1204="",IF(COUNTIF(Categories!$A$6:$A$65,C1204)&gt;0,"Category has no type","Category not in list"),IF(D1204="","Amount missing",IF(NOT(ISNUMBER(D1204)),"Amount is not a number",IF(F1204="","",IF(ISNA(MATCH(F1204,Lists!$G$2:$G$25,0)),"Goal / fund not in list",IF(H1204="Income","Fund tag ignored on income","")))))))))))</f>
        <v/>
      </c>
    </row>
    <row r="1205">
      <c r="A1205" s="27" t="n"/>
      <c r="B1205" s="23" t="n"/>
      <c r="C1205" s="23" t="n"/>
      <c r="D1205" s="28" t="n"/>
      <c r="E1205" s="23" t="n"/>
      <c r="F1205" s="23" t="n"/>
      <c r="G1205" s="23" t="n"/>
      <c r="H1205" s="29">
        <f>IF(C1205="","",IFERROR(INDEX(Categories!$B$6:$B$65,MATCH(C1205,Categories!$A$6:$A$65,0))&amp;"",""))</f>
        <v/>
      </c>
      <c r="I1205" s="25">
        <f>IF(AND(A1205="",C1205="",D1205=""),"",IF(A1205="","Date missing",IF(NOT(ISNUMBER(A1205)),"Date not recognized",IF(YEAR(A1205)&lt;&gt;Settings!$C$4,"Not in "&amp;Settings!$C$4,IF(C1205="","Category missing",IF(H1205="",IF(COUNTIF(Categories!$A$6:$A$65,C1205)&gt;0,"Category has no type","Category not in list"),IF(D1205="","Amount missing",IF(NOT(ISNUMBER(D1205)),"Amount is not a number",IF(F1205="","",IF(ISNA(MATCH(F1205,Lists!$G$2:$G$25,0)),"Goal / fund not in list",IF(H1205="Income","Fund tag ignored on income","")))))))))))</f>
        <v/>
      </c>
    </row>
    <row r="1206">
      <c r="A1206" s="27" t="n"/>
      <c r="B1206" s="23" t="n"/>
      <c r="C1206" s="23" t="n"/>
      <c r="D1206" s="28" t="n"/>
      <c r="E1206" s="23" t="n"/>
      <c r="F1206" s="23" t="n"/>
      <c r="G1206" s="23" t="n"/>
      <c r="H1206" s="29">
        <f>IF(C1206="","",IFERROR(INDEX(Categories!$B$6:$B$65,MATCH(C1206,Categories!$A$6:$A$65,0))&amp;"",""))</f>
        <v/>
      </c>
      <c r="I1206" s="25">
        <f>IF(AND(A1206="",C1206="",D1206=""),"",IF(A1206="","Date missing",IF(NOT(ISNUMBER(A1206)),"Date not recognized",IF(YEAR(A1206)&lt;&gt;Settings!$C$4,"Not in "&amp;Settings!$C$4,IF(C1206="","Category missing",IF(H1206="",IF(COUNTIF(Categories!$A$6:$A$65,C1206)&gt;0,"Category has no type","Category not in list"),IF(D1206="","Amount missing",IF(NOT(ISNUMBER(D1206)),"Amount is not a number",IF(F1206="","",IF(ISNA(MATCH(F1206,Lists!$G$2:$G$25,0)),"Goal / fund not in list",IF(H1206="Income","Fund tag ignored on income","")))))))))))</f>
        <v/>
      </c>
    </row>
    <row r="1207">
      <c r="A1207" s="27" t="n"/>
      <c r="B1207" s="23" t="n"/>
      <c r="C1207" s="23" t="n"/>
      <c r="D1207" s="28" t="n"/>
      <c r="E1207" s="23" t="n"/>
      <c r="F1207" s="23" t="n"/>
      <c r="G1207" s="23" t="n"/>
      <c r="H1207" s="29">
        <f>IF(C1207="","",IFERROR(INDEX(Categories!$B$6:$B$65,MATCH(C1207,Categories!$A$6:$A$65,0))&amp;"",""))</f>
        <v/>
      </c>
      <c r="I1207" s="25">
        <f>IF(AND(A1207="",C1207="",D1207=""),"",IF(A1207="","Date missing",IF(NOT(ISNUMBER(A1207)),"Date not recognized",IF(YEAR(A1207)&lt;&gt;Settings!$C$4,"Not in "&amp;Settings!$C$4,IF(C1207="","Category missing",IF(H1207="",IF(COUNTIF(Categories!$A$6:$A$65,C1207)&gt;0,"Category has no type","Category not in list"),IF(D1207="","Amount missing",IF(NOT(ISNUMBER(D1207)),"Amount is not a number",IF(F1207="","",IF(ISNA(MATCH(F1207,Lists!$G$2:$G$25,0)),"Goal / fund not in list",IF(H1207="Income","Fund tag ignored on income","")))))))))))</f>
        <v/>
      </c>
    </row>
    <row r="1208">
      <c r="A1208" s="27" t="n"/>
      <c r="B1208" s="23" t="n"/>
      <c r="C1208" s="23" t="n"/>
      <c r="D1208" s="28" t="n"/>
      <c r="E1208" s="23" t="n"/>
      <c r="F1208" s="23" t="n"/>
      <c r="G1208" s="23" t="n"/>
      <c r="H1208" s="29">
        <f>IF(C1208="","",IFERROR(INDEX(Categories!$B$6:$B$65,MATCH(C1208,Categories!$A$6:$A$65,0))&amp;"",""))</f>
        <v/>
      </c>
      <c r="I1208" s="25">
        <f>IF(AND(A1208="",C1208="",D1208=""),"",IF(A1208="","Date missing",IF(NOT(ISNUMBER(A1208)),"Date not recognized",IF(YEAR(A1208)&lt;&gt;Settings!$C$4,"Not in "&amp;Settings!$C$4,IF(C1208="","Category missing",IF(H1208="",IF(COUNTIF(Categories!$A$6:$A$65,C1208)&gt;0,"Category has no type","Category not in list"),IF(D1208="","Amount missing",IF(NOT(ISNUMBER(D1208)),"Amount is not a number",IF(F1208="","",IF(ISNA(MATCH(F1208,Lists!$G$2:$G$25,0)),"Goal / fund not in list",IF(H1208="Income","Fund tag ignored on income","")))))))))))</f>
        <v/>
      </c>
    </row>
    <row r="1209">
      <c r="A1209" s="27" t="n"/>
      <c r="B1209" s="23" t="n"/>
      <c r="C1209" s="23" t="n"/>
      <c r="D1209" s="28" t="n"/>
      <c r="E1209" s="23" t="n"/>
      <c r="F1209" s="23" t="n"/>
      <c r="G1209" s="23" t="n"/>
      <c r="H1209" s="29">
        <f>IF(C1209="","",IFERROR(INDEX(Categories!$B$6:$B$65,MATCH(C1209,Categories!$A$6:$A$65,0))&amp;"",""))</f>
        <v/>
      </c>
      <c r="I1209" s="25">
        <f>IF(AND(A1209="",C1209="",D1209=""),"",IF(A1209="","Date missing",IF(NOT(ISNUMBER(A1209)),"Date not recognized",IF(YEAR(A1209)&lt;&gt;Settings!$C$4,"Not in "&amp;Settings!$C$4,IF(C1209="","Category missing",IF(H1209="",IF(COUNTIF(Categories!$A$6:$A$65,C1209)&gt;0,"Category has no type","Category not in list"),IF(D1209="","Amount missing",IF(NOT(ISNUMBER(D1209)),"Amount is not a number",IF(F1209="","",IF(ISNA(MATCH(F1209,Lists!$G$2:$G$25,0)),"Goal / fund not in list",IF(H1209="Income","Fund tag ignored on income","")))))))))))</f>
        <v/>
      </c>
    </row>
    <row r="1210">
      <c r="A1210" s="27" t="n"/>
      <c r="B1210" s="23" t="n"/>
      <c r="C1210" s="23" t="n"/>
      <c r="D1210" s="28" t="n"/>
      <c r="E1210" s="23" t="n"/>
      <c r="F1210" s="23" t="n"/>
      <c r="G1210" s="23" t="n"/>
      <c r="H1210" s="29">
        <f>IF(C1210="","",IFERROR(INDEX(Categories!$B$6:$B$65,MATCH(C1210,Categories!$A$6:$A$65,0))&amp;"",""))</f>
        <v/>
      </c>
      <c r="I1210" s="25">
        <f>IF(AND(A1210="",C1210="",D1210=""),"",IF(A1210="","Date missing",IF(NOT(ISNUMBER(A1210)),"Date not recognized",IF(YEAR(A1210)&lt;&gt;Settings!$C$4,"Not in "&amp;Settings!$C$4,IF(C1210="","Category missing",IF(H1210="",IF(COUNTIF(Categories!$A$6:$A$65,C1210)&gt;0,"Category has no type","Category not in list"),IF(D1210="","Amount missing",IF(NOT(ISNUMBER(D1210)),"Amount is not a number",IF(F1210="","",IF(ISNA(MATCH(F1210,Lists!$G$2:$G$25,0)),"Goal / fund not in list",IF(H1210="Income","Fund tag ignored on income","")))))))))))</f>
        <v/>
      </c>
    </row>
    <row r="1211">
      <c r="A1211" s="27" t="n"/>
      <c r="B1211" s="23" t="n"/>
      <c r="C1211" s="23" t="n"/>
      <c r="D1211" s="28" t="n"/>
      <c r="E1211" s="23" t="n"/>
      <c r="F1211" s="23" t="n"/>
      <c r="G1211" s="23" t="n"/>
      <c r="H1211" s="29">
        <f>IF(C1211="","",IFERROR(INDEX(Categories!$B$6:$B$65,MATCH(C1211,Categories!$A$6:$A$65,0))&amp;"",""))</f>
        <v/>
      </c>
      <c r="I1211" s="25">
        <f>IF(AND(A1211="",C1211="",D1211=""),"",IF(A1211="","Date missing",IF(NOT(ISNUMBER(A1211)),"Date not recognized",IF(YEAR(A1211)&lt;&gt;Settings!$C$4,"Not in "&amp;Settings!$C$4,IF(C1211="","Category missing",IF(H1211="",IF(COUNTIF(Categories!$A$6:$A$65,C1211)&gt;0,"Category has no type","Category not in list"),IF(D1211="","Amount missing",IF(NOT(ISNUMBER(D1211)),"Amount is not a number",IF(F1211="","",IF(ISNA(MATCH(F1211,Lists!$G$2:$G$25,0)),"Goal / fund not in list",IF(H1211="Income","Fund tag ignored on income","")))))))))))</f>
        <v/>
      </c>
    </row>
    <row r="1212">
      <c r="A1212" s="27" t="n"/>
      <c r="B1212" s="23" t="n"/>
      <c r="C1212" s="23" t="n"/>
      <c r="D1212" s="28" t="n"/>
      <c r="E1212" s="23" t="n"/>
      <c r="F1212" s="23" t="n"/>
      <c r="G1212" s="23" t="n"/>
      <c r="H1212" s="29">
        <f>IF(C1212="","",IFERROR(INDEX(Categories!$B$6:$B$65,MATCH(C1212,Categories!$A$6:$A$65,0))&amp;"",""))</f>
        <v/>
      </c>
      <c r="I1212" s="25">
        <f>IF(AND(A1212="",C1212="",D1212=""),"",IF(A1212="","Date missing",IF(NOT(ISNUMBER(A1212)),"Date not recognized",IF(YEAR(A1212)&lt;&gt;Settings!$C$4,"Not in "&amp;Settings!$C$4,IF(C1212="","Category missing",IF(H1212="",IF(COUNTIF(Categories!$A$6:$A$65,C1212)&gt;0,"Category has no type","Category not in list"),IF(D1212="","Amount missing",IF(NOT(ISNUMBER(D1212)),"Amount is not a number",IF(F1212="","",IF(ISNA(MATCH(F1212,Lists!$G$2:$G$25,0)),"Goal / fund not in list",IF(H1212="Income","Fund tag ignored on income","")))))))))))</f>
        <v/>
      </c>
    </row>
    <row r="1213">
      <c r="A1213" s="27" t="n"/>
      <c r="B1213" s="23" t="n"/>
      <c r="C1213" s="23" t="n"/>
      <c r="D1213" s="28" t="n"/>
      <c r="E1213" s="23" t="n"/>
      <c r="F1213" s="23" t="n"/>
      <c r="G1213" s="23" t="n"/>
      <c r="H1213" s="29">
        <f>IF(C1213="","",IFERROR(INDEX(Categories!$B$6:$B$65,MATCH(C1213,Categories!$A$6:$A$65,0))&amp;"",""))</f>
        <v/>
      </c>
      <c r="I1213" s="25">
        <f>IF(AND(A1213="",C1213="",D1213=""),"",IF(A1213="","Date missing",IF(NOT(ISNUMBER(A1213)),"Date not recognized",IF(YEAR(A1213)&lt;&gt;Settings!$C$4,"Not in "&amp;Settings!$C$4,IF(C1213="","Category missing",IF(H1213="",IF(COUNTIF(Categories!$A$6:$A$65,C1213)&gt;0,"Category has no type","Category not in list"),IF(D1213="","Amount missing",IF(NOT(ISNUMBER(D1213)),"Amount is not a number",IF(F1213="","",IF(ISNA(MATCH(F1213,Lists!$G$2:$G$25,0)),"Goal / fund not in list",IF(H1213="Income","Fund tag ignored on income","")))))))))))</f>
        <v/>
      </c>
    </row>
    <row r="1214">
      <c r="A1214" s="27" t="n"/>
      <c r="B1214" s="23" t="n"/>
      <c r="C1214" s="23" t="n"/>
      <c r="D1214" s="28" t="n"/>
      <c r="E1214" s="23" t="n"/>
      <c r="F1214" s="23" t="n"/>
      <c r="G1214" s="23" t="n"/>
      <c r="H1214" s="29">
        <f>IF(C1214="","",IFERROR(INDEX(Categories!$B$6:$B$65,MATCH(C1214,Categories!$A$6:$A$65,0))&amp;"",""))</f>
        <v/>
      </c>
      <c r="I1214" s="25">
        <f>IF(AND(A1214="",C1214="",D1214=""),"",IF(A1214="","Date missing",IF(NOT(ISNUMBER(A1214)),"Date not recognized",IF(YEAR(A1214)&lt;&gt;Settings!$C$4,"Not in "&amp;Settings!$C$4,IF(C1214="","Category missing",IF(H1214="",IF(COUNTIF(Categories!$A$6:$A$65,C1214)&gt;0,"Category has no type","Category not in list"),IF(D1214="","Amount missing",IF(NOT(ISNUMBER(D1214)),"Amount is not a number",IF(F1214="","",IF(ISNA(MATCH(F1214,Lists!$G$2:$G$25,0)),"Goal / fund not in list",IF(H1214="Income","Fund tag ignored on income","")))))))))))</f>
        <v/>
      </c>
    </row>
    <row r="1215">
      <c r="A1215" s="27" t="n"/>
      <c r="B1215" s="23" t="n"/>
      <c r="C1215" s="23" t="n"/>
      <c r="D1215" s="28" t="n"/>
      <c r="E1215" s="23" t="n"/>
      <c r="F1215" s="23" t="n"/>
      <c r="G1215" s="23" t="n"/>
      <c r="H1215" s="29">
        <f>IF(C1215="","",IFERROR(INDEX(Categories!$B$6:$B$65,MATCH(C1215,Categories!$A$6:$A$65,0))&amp;"",""))</f>
        <v/>
      </c>
      <c r="I1215" s="25">
        <f>IF(AND(A1215="",C1215="",D1215=""),"",IF(A1215="","Date missing",IF(NOT(ISNUMBER(A1215)),"Date not recognized",IF(YEAR(A1215)&lt;&gt;Settings!$C$4,"Not in "&amp;Settings!$C$4,IF(C1215="","Category missing",IF(H1215="",IF(COUNTIF(Categories!$A$6:$A$65,C1215)&gt;0,"Category has no type","Category not in list"),IF(D1215="","Amount missing",IF(NOT(ISNUMBER(D1215)),"Amount is not a number",IF(F1215="","",IF(ISNA(MATCH(F1215,Lists!$G$2:$G$25,0)),"Goal / fund not in list",IF(H1215="Income","Fund tag ignored on income","")))))))))))</f>
        <v/>
      </c>
    </row>
    <row r="1216">
      <c r="A1216" s="27" t="n"/>
      <c r="B1216" s="23" t="n"/>
      <c r="C1216" s="23" t="n"/>
      <c r="D1216" s="28" t="n"/>
      <c r="E1216" s="23" t="n"/>
      <c r="F1216" s="23" t="n"/>
      <c r="G1216" s="23" t="n"/>
      <c r="H1216" s="29">
        <f>IF(C1216="","",IFERROR(INDEX(Categories!$B$6:$B$65,MATCH(C1216,Categories!$A$6:$A$65,0))&amp;"",""))</f>
        <v/>
      </c>
      <c r="I1216" s="25">
        <f>IF(AND(A1216="",C1216="",D1216=""),"",IF(A1216="","Date missing",IF(NOT(ISNUMBER(A1216)),"Date not recognized",IF(YEAR(A1216)&lt;&gt;Settings!$C$4,"Not in "&amp;Settings!$C$4,IF(C1216="","Category missing",IF(H1216="",IF(COUNTIF(Categories!$A$6:$A$65,C1216)&gt;0,"Category has no type","Category not in list"),IF(D1216="","Amount missing",IF(NOT(ISNUMBER(D1216)),"Amount is not a number",IF(F1216="","",IF(ISNA(MATCH(F1216,Lists!$G$2:$G$25,0)),"Goal / fund not in list",IF(H1216="Income","Fund tag ignored on income","")))))))))))</f>
        <v/>
      </c>
    </row>
    <row r="1217">
      <c r="A1217" s="27" t="n"/>
      <c r="B1217" s="23" t="n"/>
      <c r="C1217" s="23" t="n"/>
      <c r="D1217" s="28" t="n"/>
      <c r="E1217" s="23" t="n"/>
      <c r="F1217" s="23" t="n"/>
      <c r="G1217" s="23" t="n"/>
      <c r="H1217" s="29">
        <f>IF(C1217="","",IFERROR(INDEX(Categories!$B$6:$B$65,MATCH(C1217,Categories!$A$6:$A$65,0))&amp;"",""))</f>
        <v/>
      </c>
      <c r="I1217" s="25">
        <f>IF(AND(A1217="",C1217="",D1217=""),"",IF(A1217="","Date missing",IF(NOT(ISNUMBER(A1217)),"Date not recognized",IF(YEAR(A1217)&lt;&gt;Settings!$C$4,"Not in "&amp;Settings!$C$4,IF(C1217="","Category missing",IF(H1217="",IF(COUNTIF(Categories!$A$6:$A$65,C1217)&gt;0,"Category has no type","Category not in list"),IF(D1217="","Amount missing",IF(NOT(ISNUMBER(D1217)),"Amount is not a number",IF(F1217="","",IF(ISNA(MATCH(F1217,Lists!$G$2:$G$25,0)),"Goal / fund not in list",IF(H1217="Income","Fund tag ignored on income","")))))))))))</f>
        <v/>
      </c>
    </row>
    <row r="1218">
      <c r="A1218" s="27" t="n"/>
      <c r="B1218" s="23" t="n"/>
      <c r="C1218" s="23" t="n"/>
      <c r="D1218" s="28" t="n"/>
      <c r="E1218" s="23" t="n"/>
      <c r="F1218" s="23" t="n"/>
      <c r="G1218" s="23" t="n"/>
      <c r="H1218" s="29">
        <f>IF(C1218="","",IFERROR(INDEX(Categories!$B$6:$B$65,MATCH(C1218,Categories!$A$6:$A$65,0))&amp;"",""))</f>
        <v/>
      </c>
      <c r="I1218" s="25">
        <f>IF(AND(A1218="",C1218="",D1218=""),"",IF(A1218="","Date missing",IF(NOT(ISNUMBER(A1218)),"Date not recognized",IF(YEAR(A1218)&lt;&gt;Settings!$C$4,"Not in "&amp;Settings!$C$4,IF(C1218="","Category missing",IF(H1218="",IF(COUNTIF(Categories!$A$6:$A$65,C1218)&gt;0,"Category has no type","Category not in list"),IF(D1218="","Amount missing",IF(NOT(ISNUMBER(D1218)),"Amount is not a number",IF(F1218="","",IF(ISNA(MATCH(F1218,Lists!$G$2:$G$25,0)),"Goal / fund not in list",IF(H1218="Income","Fund tag ignored on income","")))))))))))</f>
        <v/>
      </c>
    </row>
    <row r="1219">
      <c r="A1219" s="27" t="n"/>
      <c r="B1219" s="23" t="n"/>
      <c r="C1219" s="23" t="n"/>
      <c r="D1219" s="28" t="n"/>
      <c r="E1219" s="23" t="n"/>
      <c r="F1219" s="23" t="n"/>
      <c r="G1219" s="23" t="n"/>
      <c r="H1219" s="29">
        <f>IF(C1219="","",IFERROR(INDEX(Categories!$B$6:$B$65,MATCH(C1219,Categories!$A$6:$A$65,0))&amp;"",""))</f>
        <v/>
      </c>
      <c r="I1219" s="25">
        <f>IF(AND(A1219="",C1219="",D1219=""),"",IF(A1219="","Date missing",IF(NOT(ISNUMBER(A1219)),"Date not recognized",IF(YEAR(A1219)&lt;&gt;Settings!$C$4,"Not in "&amp;Settings!$C$4,IF(C1219="","Category missing",IF(H1219="",IF(COUNTIF(Categories!$A$6:$A$65,C1219)&gt;0,"Category has no type","Category not in list"),IF(D1219="","Amount missing",IF(NOT(ISNUMBER(D1219)),"Amount is not a number",IF(F1219="","",IF(ISNA(MATCH(F1219,Lists!$G$2:$G$25,0)),"Goal / fund not in list",IF(H1219="Income","Fund tag ignored on income","")))))))))))</f>
        <v/>
      </c>
    </row>
    <row r="1220">
      <c r="A1220" s="27" t="n"/>
      <c r="B1220" s="23" t="n"/>
      <c r="C1220" s="23" t="n"/>
      <c r="D1220" s="28" t="n"/>
      <c r="E1220" s="23" t="n"/>
      <c r="F1220" s="23" t="n"/>
      <c r="G1220" s="23" t="n"/>
      <c r="H1220" s="29">
        <f>IF(C1220="","",IFERROR(INDEX(Categories!$B$6:$B$65,MATCH(C1220,Categories!$A$6:$A$65,0))&amp;"",""))</f>
        <v/>
      </c>
      <c r="I1220" s="25">
        <f>IF(AND(A1220="",C1220="",D1220=""),"",IF(A1220="","Date missing",IF(NOT(ISNUMBER(A1220)),"Date not recognized",IF(YEAR(A1220)&lt;&gt;Settings!$C$4,"Not in "&amp;Settings!$C$4,IF(C1220="","Category missing",IF(H1220="",IF(COUNTIF(Categories!$A$6:$A$65,C1220)&gt;0,"Category has no type","Category not in list"),IF(D1220="","Amount missing",IF(NOT(ISNUMBER(D1220)),"Amount is not a number",IF(F1220="","",IF(ISNA(MATCH(F1220,Lists!$G$2:$G$25,0)),"Goal / fund not in list",IF(H1220="Income","Fund tag ignored on income","")))))))))))</f>
        <v/>
      </c>
    </row>
    <row r="1221">
      <c r="A1221" s="27" t="n"/>
      <c r="B1221" s="23" t="n"/>
      <c r="C1221" s="23" t="n"/>
      <c r="D1221" s="28" t="n"/>
      <c r="E1221" s="23" t="n"/>
      <c r="F1221" s="23" t="n"/>
      <c r="G1221" s="23" t="n"/>
      <c r="H1221" s="29">
        <f>IF(C1221="","",IFERROR(INDEX(Categories!$B$6:$B$65,MATCH(C1221,Categories!$A$6:$A$65,0))&amp;"",""))</f>
        <v/>
      </c>
      <c r="I1221" s="25">
        <f>IF(AND(A1221="",C1221="",D1221=""),"",IF(A1221="","Date missing",IF(NOT(ISNUMBER(A1221)),"Date not recognized",IF(YEAR(A1221)&lt;&gt;Settings!$C$4,"Not in "&amp;Settings!$C$4,IF(C1221="","Category missing",IF(H1221="",IF(COUNTIF(Categories!$A$6:$A$65,C1221)&gt;0,"Category has no type","Category not in list"),IF(D1221="","Amount missing",IF(NOT(ISNUMBER(D1221)),"Amount is not a number",IF(F1221="","",IF(ISNA(MATCH(F1221,Lists!$G$2:$G$25,0)),"Goal / fund not in list",IF(H1221="Income","Fund tag ignored on income","")))))))))))</f>
        <v/>
      </c>
    </row>
    <row r="1222">
      <c r="A1222" s="27" t="n"/>
      <c r="B1222" s="23" t="n"/>
      <c r="C1222" s="23" t="n"/>
      <c r="D1222" s="28" t="n"/>
      <c r="E1222" s="23" t="n"/>
      <c r="F1222" s="23" t="n"/>
      <c r="G1222" s="23" t="n"/>
      <c r="H1222" s="29">
        <f>IF(C1222="","",IFERROR(INDEX(Categories!$B$6:$B$65,MATCH(C1222,Categories!$A$6:$A$65,0))&amp;"",""))</f>
        <v/>
      </c>
      <c r="I1222" s="25">
        <f>IF(AND(A1222="",C1222="",D1222=""),"",IF(A1222="","Date missing",IF(NOT(ISNUMBER(A1222)),"Date not recognized",IF(YEAR(A1222)&lt;&gt;Settings!$C$4,"Not in "&amp;Settings!$C$4,IF(C1222="","Category missing",IF(H1222="",IF(COUNTIF(Categories!$A$6:$A$65,C1222)&gt;0,"Category has no type","Category not in list"),IF(D1222="","Amount missing",IF(NOT(ISNUMBER(D1222)),"Amount is not a number",IF(F1222="","",IF(ISNA(MATCH(F1222,Lists!$G$2:$G$25,0)),"Goal / fund not in list",IF(H1222="Income","Fund tag ignored on income","")))))))))))</f>
        <v/>
      </c>
    </row>
    <row r="1223">
      <c r="A1223" s="27" t="n"/>
      <c r="B1223" s="23" t="n"/>
      <c r="C1223" s="23" t="n"/>
      <c r="D1223" s="28" t="n"/>
      <c r="E1223" s="23" t="n"/>
      <c r="F1223" s="23" t="n"/>
      <c r="G1223" s="23" t="n"/>
      <c r="H1223" s="29">
        <f>IF(C1223="","",IFERROR(INDEX(Categories!$B$6:$B$65,MATCH(C1223,Categories!$A$6:$A$65,0))&amp;"",""))</f>
        <v/>
      </c>
      <c r="I1223" s="25">
        <f>IF(AND(A1223="",C1223="",D1223=""),"",IF(A1223="","Date missing",IF(NOT(ISNUMBER(A1223)),"Date not recognized",IF(YEAR(A1223)&lt;&gt;Settings!$C$4,"Not in "&amp;Settings!$C$4,IF(C1223="","Category missing",IF(H1223="",IF(COUNTIF(Categories!$A$6:$A$65,C1223)&gt;0,"Category has no type","Category not in list"),IF(D1223="","Amount missing",IF(NOT(ISNUMBER(D1223)),"Amount is not a number",IF(F1223="","",IF(ISNA(MATCH(F1223,Lists!$G$2:$G$25,0)),"Goal / fund not in list",IF(H1223="Income","Fund tag ignored on income","")))))))))))</f>
        <v/>
      </c>
    </row>
    <row r="1224">
      <c r="A1224" s="27" t="n"/>
      <c r="B1224" s="23" t="n"/>
      <c r="C1224" s="23" t="n"/>
      <c r="D1224" s="28" t="n"/>
      <c r="E1224" s="23" t="n"/>
      <c r="F1224" s="23" t="n"/>
      <c r="G1224" s="23" t="n"/>
      <c r="H1224" s="29">
        <f>IF(C1224="","",IFERROR(INDEX(Categories!$B$6:$B$65,MATCH(C1224,Categories!$A$6:$A$65,0))&amp;"",""))</f>
        <v/>
      </c>
      <c r="I1224" s="25">
        <f>IF(AND(A1224="",C1224="",D1224=""),"",IF(A1224="","Date missing",IF(NOT(ISNUMBER(A1224)),"Date not recognized",IF(YEAR(A1224)&lt;&gt;Settings!$C$4,"Not in "&amp;Settings!$C$4,IF(C1224="","Category missing",IF(H1224="",IF(COUNTIF(Categories!$A$6:$A$65,C1224)&gt;0,"Category has no type","Category not in list"),IF(D1224="","Amount missing",IF(NOT(ISNUMBER(D1224)),"Amount is not a number",IF(F1224="","",IF(ISNA(MATCH(F1224,Lists!$G$2:$G$25,0)),"Goal / fund not in list",IF(H1224="Income","Fund tag ignored on income","")))))))))))</f>
        <v/>
      </c>
    </row>
    <row r="1225">
      <c r="A1225" s="27" t="n"/>
      <c r="B1225" s="23" t="n"/>
      <c r="C1225" s="23" t="n"/>
      <c r="D1225" s="28" t="n"/>
      <c r="E1225" s="23" t="n"/>
      <c r="F1225" s="23" t="n"/>
      <c r="G1225" s="23" t="n"/>
      <c r="H1225" s="29">
        <f>IF(C1225="","",IFERROR(INDEX(Categories!$B$6:$B$65,MATCH(C1225,Categories!$A$6:$A$65,0))&amp;"",""))</f>
        <v/>
      </c>
      <c r="I1225" s="25">
        <f>IF(AND(A1225="",C1225="",D1225=""),"",IF(A1225="","Date missing",IF(NOT(ISNUMBER(A1225)),"Date not recognized",IF(YEAR(A1225)&lt;&gt;Settings!$C$4,"Not in "&amp;Settings!$C$4,IF(C1225="","Category missing",IF(H1225="",IF(COUNTIF(Categories!$A$6:$A$65,C1225)&gt;0,"Category has no type","Category not in list"),IF(D1225="","Amount missing",IF(NOT(ISNUMBER(D1225)),"Amount is not a number",IF(F1225="","",IF(ISNA(MATCH(F1225,Lists!$G$2:$G$25,0)),"Goal / fund not in list",IF(H1225="Income","Fund tag ignored on income","")))))))))))</f>
        <v/>
      </c>
    </row>
    <row r="1226">
      <c r="A1226" s="27" t="n"/>
      <c r="B1226" s="23" t="n"/>
      <c r="C1226" s="23" t="n"/>
      <c r="D1226" s="28" t="n"/>
      <c r="E1226" s="23" t="n"/>
      <c r="F1226" s="23" t="n"/>
      <c r="G1226" s="23" t="n"/>
      <c r="H1226" s="29">
        <f>IF(C1226="","",IFERROR(INDEX(Categories!$B$6:$B$65,MATCH(C1226,Categories!$A$6:$A$65,0))&amp;"",""))</f>
        <v/>
      </c>
      <c r="I1226" s="25">
        <f>IF(AND(A1226="",C1226="",D1226=""),"",IF(A1226="","Date missing",IF(NOT(ISNUMBER(A1226)),"Date not recognized",IF(YEAR(A1226)&lt;&gt;Settings!$C$4,"Not in "&amp;Settings!$C$4,IF(C1226="","Category missing",IF(H1226="",IF(COUNTIF(Categories!$A$6:$A$65,C1226)&gt;0,"Category has no type","Category not in list"),IF(D1226="","Amount missing",IF(NOT(ISNUMBER(D1226)),"Amount is not a number",IF(F1226="","",IF(ISNA(MATCH(F1226,Lists!$G$2:$G$25,0)),"Goal / fund not in list",IF(H1226="Income","Fund tag ignored on income","")))))))))))</f>
        <v/>
      </c>
    </row>
    <row r="1227">
      <c r="A1227" s="27" t="n"/>
      <c r="B1227" s="23" t="n"/>
      <c r="C1227" s="23" t="n"/>
      <c r="D1227" s="28" t="n"/>
      <c r="E1227" s="23" t="n"/>
      <c r="F1227" s="23" t="n"/>
      <c r="G1227" s="23" t="n"/>
      <c r="H1227" s="29">
        <f>IF(C1227="","",IFERROR(INDEX(Categories!$B$6:$B$65,MATCH(C1227,Categories!$A$6:$A$65,0))&amp;"",""))</f>
        <v/>
      </c>
      <c r="I1227" s="25">
        <f>IF(AND(A1227="",C1227="",D1227=""),"",IF(A1227="","Date missing",IF(NOT(ISNUMBER(A1227)),"Date not recognized",IF(YEAR(A1227)&lt;&gt;Settings!$C$4,"Not in "&amp;Settings!$C$4,IF(C1227="","Category missing",IF(H1227="",IF(COUNTIF(Categories!$A$6:$A$65,C1227)&gt;0,"Category has no type","Category not in list"),IF(D1227="","Amount missing",IF(NOT(ISNUMBER(D1227)),"Amount is not a number",IF(F1227="","",IF(ISNA(MATCH(F1227,Lists!$G$2:$G$25,0)),"Goal / fund not in list",IF(H1227="Income","Fund tag ignored on income","")))))))))))</f>
        <v/>
      </c>
    </row>
    <row r="1228">
      <c r="A1228" s="27" t="n"/>
      <c r="B1228" s="23" t="n"/>
      <c r="C1228" s="23" t="n"/>
      <c r="D1228" s="28" t="n"/>
      <c r="E1228" s="23" t="n"/>
      <c r="F1228" s="23" t="n"/>
      <c r="G1228" s="23" t="n"/>
      <c r="H1228" s="29">
        <f>IF(C1228="","",IFERROR(INDEX(Categories!$B$6:$B$65,MATCH(C1228,Categories!$A$6:$A$65,0))&amp;"",""))</f>
        <v/>
      </c>
      <c r="I1228" s="25">
        <f>IF(AND(A1228="",C1228="",D1228=""),"",IF(A1228="","Date missing",IF(NOT(ISNUMBER(A1228)),"Date not recognized",IF(YEAR(A1228)&lt;&gt;Settings!$C$4,"Not in "&amp;Settings!$C$4,IF(C1228="","Category missing",IF(H1228="",IF(COUNTIF(Categories!$A$6:$A$65,C1228)&gt;0,"Category has no type","Category not in list"),IF(D1228="","Amount missing",IF(NOT(ISNUMBER(D1228)),"Amount is not a number",IF(F1228="","",IF(ISNA(MATCH(F1228,Lists!$G$2:$G$25,0)),"Goal / fund not in list",IF(H1228="Income","Fund tag ignored on income","")))))))))))</f>
        <v/>
      </c>
    </row>
    <row r="1229">
      <c r="A1229" s="27" t="n"/>
      <c r="B1229" s="23" t="n"/>
      <c r="C1229" s="23" t="n"/>
      <c r="D1229" s="28" t="n"/>
      <c r="E1229" s="23" t="n"/>
      <c r="F1229" s="23" t="n"/>
      <c r="G1229" s="23" t="n"/>
      <c r="H1229" s="29">
        <f>IF(C1229="","",IFERROR(INDEX(Categories!$B$6:$B$65,MATCH(C1229,Categories!$A$6:$A$65,0))&amp;"",""))</f>
        <v/>
      </c>
      <c r="I1229" s="25">
        <f>IF(AND(A1229="",C1229="",D1229=""),"",IF(A1229="","Date missing",IF(NOT(ISNUMBER(A1229)),"Date not recognized",IF(YEAR(A1229)&lt;&gt;Settings!$C$4,"Not in "&amp;Settings!$C$4,IF(C1229="","Category missing",IF(H1229="",IF(COUNTIF(Categories!$A$6:$A$65,C1229)&gt;0,"Category has no type","Category not in list"),IF(D1229="","Amount missing",IF(NOT(ISNUMBER(D1229)),"Amount is not a number",IF(F1229="","",IF(ISNA(MATCH(F1229,Lists!$G$2:$G$25,0)),"Goal / fund not in list",IF(H1229="Income","Fund tag ignored on income","")))))))))))</f>
        <v/>
      </c>
    </row>
    <row r="1230">
      <c r="A1230" s="27" t="n"/>
      <c r="B1230" s="23" t="n"/>
      <c r="C1230" s="23" t="n"/>
      <c r="D1230" s="28" t="n"/>
      <c r="E1230" s="23" t="n"/>
      <c r="F1230" s="23" t="n"/>
      <c r="G1230" s="23" t="n"/>
      <c r="H1230" s="29">
        <f>IF(C1230="","",IFERROR(INDEX(Categories!$B$6:$B$65,MATCH(C1230,Categories!$A$6:$A$65,0))&amp;"",""))</f>
        <v/>
      </c>
      <c r="I1230" s="25">
        <f>IF(AND(A1230="",C1230="",D1230=""),"",IF(A1230="","Date missing",IF(NOT(ISNUMBER(A1230)),"Date not recognized",IF(YEAR(A1230)&lt;&gt;Settings!$C$4,"Not in "&amp;Settings!$C$4,IF(C1230="","Category missing",IF(H1230="",IF(COUNTIF(Categories!$A$6:$A$65,C1230)&gt;0,"Category has no type","Category not in list"),IF(D1230="","Amount missing",IF(NOT(ISNUMBER(D1230)),"Amount is not a number",IF(F1230="","",IF(ISNA(MATCH(F1230,Lists!$G$2:$G$25,0)),"Goal / fund not in list",IF(H1230="Income","Fund tag ignored on income","")))))))))))</f>
        <v/>
      </c>
    </row>
    <row r="1231">
      <c r="A1231" s="27" t="n"/>
      <c r="B1231" s="23" t="n"/>
      <c r="C1231" s="23" t="n"/>
      <c r="D1231" s="28" t="n"/>
      <c r="E1231" s="23" t="n"/>
      <c r="F1231" s="23" t="n"/>
      <c r="G1231" s="23" t="n"/>
      <c r="H1231" s="29">
        <f>IF(C1231="","",IFERROR(INDEX(Categories!$B$6:$B$65,MATCH(C1231,Categories!$A$6:$A$65,0))&amp;"",""))</f>
        <v/>
      </c>
      <c r="I1231" s="25">
        <f>IF(AND(A1231="",C1231="",D1231=""),"",IF(A1231="","Date missing",IF(NOT(ISNUMBER(A1231)),"Date not recognized",IF(YEAR(A1231)&lt;&gt;Settings!$C$4,"Not in "&amp;Settings!$C$4,IF(C1231="","Category missing",IF(H1231="",IF(COUNTIF(Categories!$A$6:$A$65,C1231)&gt;0,"Category has no type","Category not in list"),IF(D1231="","Amount missing",IF(NOT(ISNUMBER(D1231)),"Amount is not a number",IF(F1231="","",IF(ISNA(MATCH(F1231,Lists!$G$2:$G$25,0)),"Goal / fund not in list",IF(H1231="Income","Fund tag ignored on income","")))))))))))</f>
        <v/>
      </c>
    </row>
    <row r="1232">
      <c r="A1232" s="27" t="n"/>
      <c r="B1232" s="23" t="n"/>
      <c r="C1232" s="23" t="n"/>
      <c r="D1232" s="28" t="n"/>
      <c r="E1232" s="23" t="n"/>
      <c r="F1232" s="23" t="n"/>
      <c r="G1232" s="23" t="n"/>
      <c r="H1232" s="29">
        <f>IF(C1232="","",IFERROR(INDEX(Categories!$B$6:$B$65,MATCH(C1232,Categories!$A$6:$A$65,0))&amp;"",""))</f>
        <v/>
      </c>
      <c r="I1232" s="25">
        <f>IF(AND(A1232="",C1232="",D1232=""),"",IF(A1232="","Date missing",IF(NOT(ISNUMBER(A1232)),"Date not recognized",IF(YEAR(A1232)&lt;&gt;Settings!$C$4,"Not in "&amp;Settings!$C$4,IF(C1232="","Category missing",IF(H1232="",IF(COUNTIF(Categories!$A$6:$A$65,C1232)&gt;0,"Category has no type","Category not in list"),IF(D1232="","Amount missing",IF(NOT(ISNUMBER(D1232)),"Amount is not a number",IF(F1232="","",IF(ISNA(MATCH(F1232,Lists!$G$2:$G$25,0)),"Goal / fund not in list",IF(H1232="Income","Fund tag ignored on income","")))))))))))</f>
        <v/>
      </c>
    </row>
    <row r="1233">
      <c r="A1233" s="27" t="n"/>
      <c r="B1233" s="23" t="n"/>
      <c r="C1233" s="23" t="n"/>
      <c r="D1233" s="28" t="n"/>
      <c r="E1233" s="23" t="n"/>
      <c r="F1233" s="23" t="n"/>
      <c r="G1233" s="23" t="n"/>
      <c r="H1233" s="29">
        <f>IF(C1233="","",IFERROR(INDEX(Categories!$B$6:$B$65,MATCH(C1233,Categories!$A$6:$A$65,0))&amp;"",""))</f>
        <v/>
      </c>
      <c r="I1233" s="25">
        <f>IF(AND(A1233="",C1233="",D1233=""),"",IF(A1233="","Date missing",IF(NOT(ISNUMBER(A1233)),"Date not recognized",IF(YEAR(A1233)&lt;&gt;Settings!$C$4,"Not in "&amp;Settings!$C$4,IF(C1233="","Category missing",IF(H1233="",IF(COUNTIF(Categories!$A$6:$A$65,C1233)&gt;0,"Category has no type","Category not in list"),IF(D1233="","Amount missing",IF(NOT(ISNUMBER(D1233)),"Amount is not a number",IF(F1233="","",IF(ISNA(MATCH(F1233,Lists!$G$2:$G$25,0)),"Goal / fund not in list",IF(H1233="Income","Fund tag ignored on income","")))))))))))</f>
        <v/>
      </c>
    </row>
    <row r="1234">
      <c r="A1234" s="27" t="n"/>
      <c r="B1234" s="23" t="n"/>
      <c r="C1234" s="23" t="n"/>
      <c r="D1234" s="28" t="n"/>
      <c r="E1234" s="23" t="n"/>
      <c r="F1234" s="23" t="n"/>
      <c r="G1234" s="23" t="n"/>
      <c r="H1234" s="29">
        <f>IF(C1234="","",IFERROR(INDEX(Categories!$B$6:$B$65,MATCH(C1234,Categories!$A$6:$A$65,0))&amp;"",""))</f>
        <v/>
      </c>
      <c r="I1234" s="25">
        <f>IF(AND(A1234="",C1234="",D1234=""),"",IF(A1234="","Date missing",IF(NOT(ISNUMBER(A1234)),"Date not recognized",IF(YEAR(A1234)&lt;&gt;Settings!$C$4,"Not in "&amp;Settings!$C$4,IF(C1234="","Category missing",IF(H1234="",IF(COUNTIF(Categories!$A$6:$A$65,C1234)&gt;0,"Category has no type","Category not in list"),IF(D1234="","Amount missing",IF(NOT(ISNUMBER(D1234)),"Amount is not a number",IF(F1234="","",IF(ISNA(MATCH(F1234,Lists!$G$2:$G$25,0)),"Goal / fund not in list",IF(H1234="Income","Fund tag ignored on income","")))))))))))</f>
        <v/>
      </c>
    </row>
    <row r="1235">
      <c r="A1235" s="27" t="n"/>
      <c r="B1235" s="23" t="n"/>
      <c r="C1235" s="23" t="n"/>
      <c r="D1235" s="28" t="n"/>
      <c r="E1235" s="23" t="n"/>
      <c r="F1235" s="23" t="n"/>
      <c r="G1235" s="23" t="n"/>
      <c r="H1235" s="29">
        <f>IF(C1235="","",IFERROR(INDEX(Categories!$B$6:$B$65,MATCH(C1235,Categories!$A$6:$A$65,0))&amp;"",""))</f>
        <v/>
      </c>
      <c r="I1235" s="25">
        <f>IF(AND(A1235="",C1235="",D1235=""),"",IF(A1235="","Date missing",IF(NOT(ISNUMBER(A1235)),"Date not recognized",IF(YEAR(A1235)&lt;&gt;Settings!$C$4,"Not in "&amp;Settings!$C$4,IF(C1235="","Category missing",IF(H1235="",IF(COUNTIF(Categories!$A$6:$A$65,C1235)&gt;0,"Category has no type","Category not in list"),IF(D1235="","Amount missing",IF(NOT(ISNUMBER(D1235)),"Amount is not a number",IF(F1235="","",IF(ISNA(MATCH(F1235,Lists!$G$2:$G$25,0)),"Goal / fund not in list",IF(H1235="Income","Fund tag ignored on income","")))))))))))</f>
        <v/>
      </c>
    </row>
    <row r="1236">
      <c r="A1236" s="27" t="n"/>
      <c r="B1236" s="23" t="n"/>
      <c r="C1236" s="23" t="n"/>
      <c r="D1236" s="28" t="n"/>
      <c r="E1236" s="23" t="n"/>
      <c r="F1236" s="23" t="n"/>
      <c r="G1236" s="23" t="n"/>
      <c r="H1236" s="29">
        <f>IF(C1236="","",IFERROR(INDEX(Categories!$B$6:$B$65,MATCH(C1236,Categories!$A$6:$A$65,0))&amp;"",""))</f>
        <v/>
      </c>
      <c r="I1236" s="25">
        <f>IF(AND(A1236="",C1236="",D1236=""),"",IF(A1236="","Date missing",IF(NOT(ISNUMBER(A1236)),"Date not recognized",IF(YEAR(A1236)&lt;&gt;Settings!$C$4,"Not in "&amp;Settings!$C$4,IF(C1236="","Category missing",IF(H1236="",IF(COUNTIF(Categories!$A$6:$A$65,C1236)&gt;0,"Category has no type","Category not in list"),IF(D1236="","Amount missing",IF(NOT(ISNUMBER(D1236)),"Amount is not a number",IF(F1236="","",IF(ISNA(MATCH(F1236,Lists!$G$2:$G$25,0)),"Goal / fund not in list",IF(H1236="Income","Fund tag ignored on income","")))))))))))</f>
        <v/>
      </c>
    </row>
    <row r="1237">
      <c r="A1237" s="27" t="n"/>
      <c r="B1237" s="23" t="n"/>
      <c r="C1237" s="23" t="n"/>
      <c r="D1237" s="28" t="n"/>
      <c r="E1237" s="23" t="n"/>
      <c r="F1237" s="23" t="n"/>
      <c r="G1237" s="23" t="n"/>
      <c r="H1237" s="29">
        <f>IF(C1237="","",IFERROR(INDEX(Categories!$B$6:$B$65,MATCH(C1237,Categories!$A$6:$A$65,0))&amp;"",""))</f>
        <v/>
      </c>
      <c r="I1237" s="25">
        <f>IF(AND(A1237="",C1237="",D1237=""),"",IF(A1237="","Date missing",IF(NOT(ISNUMBER(A1237)),"Date not recognized",IF(YEAR(A1237)&lt;&gt;Settings!$C$4,"Not in "&amp;Settings!$C$4,IF(C1237="","Category missing",IF(H1237="",IF(COUNTIF(Categories!$A$6:$A$65,C1237)&gt;0,"Category has no type","Category not in list"),IF(D1237="","Amount missing",IF(NOT(ISNUMBER(D1237)),"Amount is not a number",IF(F1237="","",IF(ISNA(MATCH(F1237,Lists!$G$2:$G$25,0)),"Goal / fund not in list",IF(H1237="Income","Fund tag ignored on income","")))))))))))</f>
        <v/>
      </c>
    </row>
    <row r="1238">
      <c r="A1238" s="27" t="n"/>
      <c r="B1238" s="23" t="n"/>
      <c r="C1238" s="23" t="n"/>
      <c r="D1238" s="28" t="n"/>
      <c r="E1238" s="23" t="n"/>
      <c r="F1238" s="23" t="n"/>
      <c r="G1238" s="23" t="n"/>
      <c r="H1238" s="29">
        <f>IF(C1238="","",IFERROR(INDEX(Categories!$B$6:$B$65,MATCH(C1238,Categories!$A$6:$A$65,0))&amp;"",""))</f>
        <v/>
      </c>
      <c r="I1238" s="25">
        <f>IF(AND(A1238="",C1238="",D1238=""),"",IF(A1238="","Date missing",IF(NOT(ISNUMBER(A1238)),"Date not recognized",IF(YEAR(A1238)&lt;&gt;Settings!$C$4,"Not in "&amp;Settings!$C$4,IF(C1238="","Category missing",IF(H1238="",IF(COUNTIF(Categories!$A$6:$A$65,C1238)&gt;0,"Category has no type","Category not in list"),IF(D1238="","Amount missing",IF(NOT(ISNUMBER(D1238)),"Amount is not a number",IF(F1238="","",IF(ISNA(MATCH(F1238,Lists!$G$2:$G$25,0)),"Goal / fund not in list",IF(H1238="Income","Fund tag ignored on income","")))))))))))</f>
        <v/>
      </c>
    </row>
    <row r="1239">
      <c r="A1239" s="27" t="n"/>
      <c r="B1239" s="23" t="n"/>
      <c r="C1239" s="23" t="n"/>
      <c r="D1239" s="28" t="n"/>
      <c r="E1239" s="23" t="n"/>
      <c r="F1239" s="23" t="n"/>
      <c r="G1239" s="23" t="n"/>
      <c r="H1239" s="29">
        <f>IF(C1239="","",IFERROR(INDEX(Categories!$B$6:$B$65,MATCH(C1239,Categories!$A$6:$A$65,0))&amp;"",""))</f>
        <v/>
      </c>
      <c r="I1239" s="25">
        <f>IF(AND(A1239="",C1239="",D1239=""),"",IF(A1239="","Date missing",IF(NOT(ISNUMBER(A1239)),"Date not recognized",IF(YEAR(A1239)&lt;&gt;Settings!$C$4,"Not in "&amp;Settings!$C$4,IF(C1239="","Category missing",IF(H1239="",IF(COUNTIF(Categories!$A$6:$A$65,C1239)&gt;0,"Category has no type","Category not in list"),IF(D1239="","Amount missing",IF(NOT(ISNUMBER(D1239)),"Amount is not a number",IF(F1239="","",IF(ISNA(MATCH(F1239,Lists!$G$2:$G$25,0)),"Goal / fund not in list",IF(H1239="Income","Fund tag ignored on income","")))))))))))</f>
        <v/>
      </c>
    </row>
    <row r="1240">
      <c r="A1240" s="27" t="n"/>
      <c r="B1240" s="23" t="n"/>
      <c r="C1240" s="23" t="n"/>
      <c r="D1240" s="28" t="n"/>
      <c r="E1240" s="23" t="n"/>
      <c r="F1240" s="23" t="n"/>
      <c r="G1240" s="23" t="n"/>
      <c r="H1240" s="29">
        <f>IF(C1240="","",IFERROR(INDEX(Categories!$B$6:$B$65,MATCH(C1240,Categories!$A$6:$A$65,0))&amp;"",""))</f>
        <v/>
      </c>
      <c r="I1240" s="25">
        <f>IF(AND(A1240="",C1240="",D1240=""),"",IF(A1240="","Date missing",IF(NOT(ISNUMBER(A1240)),"Date not recognized",IF(YEAR(A1240)&lt;&gt;Settings!$C$4,"Not in "&amp;Settings!$C$4,IF(C1240="","Category missing",IF(H1240="",IF(COUNTIF(Categories!$A$6:$A$65,C1240)&gt;0,"Category has no type","Category not in list"),IF(D1240="","Amount missing",IF(NOT(ISNUMBER(D1240)),"Amount is not a number",IF(F1240="","",IF(ISNA(MATCH(F1240,Lists!$G$2:$G$25,0)),"Goal / fund not in list",IF(H1240="Income","Fund tag ignored on income","")))))))))))</f>
        <v/>
      </c>
    </row>
    <row r="1241">
      <c r="A1241" s="27" t="n"/>
      <c r="B1241" s="23" t="n"/>
      <c r="C1241" s="23" t="n"/>
      <c r="D1241" s="28" t="n"/>
      <c r="E1241" s="23" t="n"/>
      <c r="F1241" s="23" t="n"/>
      <c r="G1241" s="23" t="n"/>
      <c r="H1241" s="29">
        <f>IF(C1241="","",IFERROR(INDEX(Categories!$B$6:$B$65,MATCH(C1241,Categories!$A$6:$A$65,0))&amp;"",""))</f>
        <v/>
      </c>
      <c r="I1241" s="25">
        <f>IF(AND(A1241="",C1241="",D1241=""),"",IF(A1241="","Date missing",IF(NOT(ISNUMBER(A1241)),"Date not recognized",IF(YEAR(A1241)&lt;&gt;Settings!$C$4,"Not in "&amp;Settings!$C$4,IF(C1241="","Category missing",IF(H1241="",IF(COUNTIF(Categories!$A$6:$A$65,C1241)&gt;0,"Category has no type","Category not in list"),IF(D1241="","Amount missing",IF(NOT(ISNUMBER(D1241)),"Amount is not a number",IF(F1241="","",IF(ISNA(MATCH(F1241,Lists!$G$2:$G$25,0)),"Goal / fund not in list",IF(H1241="Income","Fund tag ignored on income","")))))))))))</f>
        <v/>
      </c>
    </row>
    <row r="1242">
      <c r="A1242" s="27" t="n"/>
      <c r="B1242" s="23" t="n"/>
      <c r="C1242" s="23" t="n"/>
      <c r="D1242" s="28" t="n"/>
      <c r="E1242" s="23" t="n"/>
      <c r="F1242" s="23" t="n"/>
      <c r="G1242" s="23" t="n"/>
      <c r="H1242" s="29">
        <f>IF(C1242="","",IFERROR(INDEX(Categories!$B$6:$B$65,MATCH(C1242,Categories!$A$6:$A$65,0))&amp;"",""))</f>
        <v/>
      </c>
      <c r="I1242" s="25">
        <f>IF(AND(A1242="",C1242="",D1242=""),"",IF(A1242="","Date missing",IF(NOT(ISNUMBER(A1242)),"Date not recognized",IF(YEAR(A1242)&lt;&gt;Settings!$C$4,"Not in "&amp;Settings!$C$4,IF(C1242="","Category missing",IF(H1242="",IF(COUNTIF(Categories!$A$6:$A$65,C1242)&gt;0,"Category has no type","Category not in list"),IF(D1242="","Amount missing",IF(NOT(ISNUMBER(D1242)),"Amount is not a number",IF(F1242="","",IF(ISNA(MATCH(F1242,Lists!$G$2:$G$25,0)),"Goal / fund not in list",IF(H1242="Income","Fund tag ignored on income","")))))))))))</f>
        <v/>
      </c>
    </row>
    <row r="1243">
      <c r="A1243" s="27" t="n"/>
      <c r="B1243" s="23" t="n"/>
      <c r="C1243" s="23" t="n"/>
      <c r="D1243" s="28" t="n"/>
      <c r="E1243" s="23" t="n"/>
      <c r="F1243" s="23" t="n"/>
      <c r="G1243" s="23" t="n"/>
      <c r="H1243" s="29">
        <f>IF(C1243="","",IFERROR(INDEX(Categories!$B$6:$B$65,MATCH(C1243,Categories!$A$6:$A$65,0))&amp;"",""))</f>
        <v/>
      </c>
      <c r="I1243" s="25">
        <f>IF(AND(A1243="",C1243="",D1243=""),"",IF(A1243="","Date missing",IF(NOT(ISNUMBER(A1243)),"Date not recognized",IF(YEAR(A1243)&lt;&gt;Settings!$C$4,"Not in "&amp;Settings!$C$4,IF(C1243="","Category missing",IF(H1243="",IF(COUNTIF(Categories!$A$6:$A$65,C1243)&gt;0,"Category has no type","Category not in list"),IF(D1243="","Amount missing",IF(NOT(ISNUMBER(D1243)),"Amount is not a number",IF(F1243="","",IF(ISNA(MATCH(F1243,Lists!$G$2:$G$25,0)),"Goal / fund not in list",IF(H1243="Income","Fund tag ignored on income","")))))))))))</f>
        <v/>
      </c>
    </row>
    <row r="1244">
      <c r="A1244" s="27" t="n"/>
      <c r="B1244" s="23" t="n"/>
      <c r="C1244" s="23" t="n"/>
      <c r="D1244" s="28" t="n"/>
      <c r="E1244" s="23" t="n"/>
      <c r="F1244" s="23" t="n"/>
      <c r="G1244" s="23" t="n"/>
      <c r="H1244" s="29">
        <f>IF(C1244="","",IFERROR(INDEX(Categories!$B$6:$B$65,MATCH(C1244,Categories!$A$6:$A$65,0))&amp;"",""))</f>
        <v/>
      </c>
      <c r="I1244" s="25">
        <f>IF(AND(A1244="",C1244="",D1244=""),"",IF(A1244="","Date missing",IF(NOT(ISNUMBER(A1244)),"Date not recognized",IF(YEAR(A1244)&lt;&gt;Settings!$C$4,"Not in "&amp;Settings!$C$4,IF(C1244="","Category missing",IF(H1244="",IF(COUNTIF(Categories!$A$6:$A$65,C1244)&gt;0,"Category has no type","Category not in list"),IF(D1244="","Amount missing",IF(NOT(ISNUMBER(D1244)),"Amount is not a number",IF(F1244="","",IF(ISNA(MATCH(F1244,Lists!$G$2:$G$25,0)),"Goal / fund not in list",IF(H1244="Income","Fund tag ignored on income","")))))))))))</f>
        <v/>
      </c>
    </row>
    <row r="1245">
      <c r="A1245" s="27" t="n"/>
      <c r="B1245" s="23" t="n"/>
      <c r="C1245" s="23" t="n"/>
      <c r="D1245" s="28" t="n"/>
      <c r="E1245" s="23" t="n"/>
      <c r="F1245" s="23" t="n"/>
      <c r="G1245" s="23" t="n"/>
      <c r="H1245" s="29">
        <f>IF(C1245="","",IFERROR(INDEX(Categories!$B$6:$B$65,MATCH(C1245,Categories!$A$6:$A$65,0))&amp;"",""))</f>
        <v/>
      </c>
      <c r="I1245" s="25">
        <f>IF(AND(A1245="",C1245="",D1245=""),"",IF(A1245="","Date missing",IF(NOT(ISNUMBER(A1245)),"Date not recognized",IF(YEAR(A1245)&lt;&gt;Settings!$C$4,"Not in "&amp;Settings!$C$4,IF(C1245="","Category missing",IF(H1245="",IF(COUNTIF(Categories!$A$6:$A$65,C1245)&gt;0,"Category has no type","Category not in list"),IF(D1245="","Amount missing",IF(NOT(ISNUMBER(D1245)),"Amount is not a number",IF(F1245="","",IF(ISNA(MATCH(F1245,Lists!$G$2:$G$25,0)),"Goal / fund not in list",IF(H1245="Income","Fund tag ignored on income","")))))))))))</f>
        <v/>
      </c>
    </row>
    <row r="1246">
      <c r="A1246" s="27" t="n"/>
      <c r="B1246" s="23" t="n"/>
      <c r="C1246" s="23" t="n"/>
      <c r="D1246" s="28" t="n"/>
      <c r="E1246" s="23" t="n"/>
      <c r="F1246" s="23" t="n"/>
      <c r="G1246" s="23" t="n"/>
      <c r="H1246" s="29">
        <f>IF(C1246="","",IFERROR(INDEX(Categories!$B$6:$B$65,MATCH(C1246,Categories!$A$6:$A$65,0))&amp;"",""))</f>
        <v/>
      </c>
      <c r="I1246" s="25">
        <f>IF(AND(A1246="",C1246="",D1246=""),"",IF(A1246="","Date missing",IF(NOT(ISNUMBER(A1246)),"Date not recognized",IF(YEAR(A1246)&lt;&gt;Settings!$C$4,"Not in "&amp;Settings!$C$4,IF(C1246="","Category missing",IF(H1246="",IF(COUNTIF(Categories!$A$6:$A$65,C1246)&gt;0,"Category has no type","Category not in list"),IF(D1246="","Amount missing",IF(NOT(ISNUMBER(D1246)),"Amount is not a number",IF(F1246="","",IF(ISNA(MATCH(F1246,Lists!$G$2:$G$25,0)),"Goal / fund not in list",IF(H1246="Income","Fund tag ignored on income","")))))))))))</f>
        <v/>
      </c>
    </row>
    <row r="1247">
      <c r="A1247" s="27" t="n"/>
      <c r="B1247" s="23" t="n"/>
      <c r="C1247" s="23" t="n"/>
      <c r="D1247" s="28" t="n"/>
      <c r="E1247" s="23" t="n"/>
      <c r="F1247" s="23" t="n"/>
      <c r="G1247" s="23" t="n"/>
      <c r="H1247" s="29">
        <f>IF(C1247="","",IFERROR(INDEX(Categories!$B$6:$B$65,MATCH(C1247,Categories!$A$6:$A$65,0))&amp;"",""))</f>
        <v/>
      </c>
      <c r="I1247" s="25">
        <f>IF(AND(A1247="",C1247="",D1247=""),"",IF(A1247="","Date missing",IF(NOT(ISNUMBER(A1247)),"Date not recognized",IF(YEAR(A1247)&lt;&gt;Settings!$C$4,"Not in "&amp;Settings!$C$4,IF(C1247="","Category missing",IF(H1247="",IF(COUNTIF(Categories!$A$6:$A$65,C1247)&gt;0,"Category has no type","Category not in list"),IF(D1247="","Amount missing",IF(NOT(ISNUMBER(D1247)),"Amount is not a number",IF(F1247="","",IF(ISNA(MATCH(F1247,Lists!$G$2:$G$25,0)),"Goal / fund not in list",IF(H1247="Income","Fund tag ignored on income","")))))))))))</f>
        <v/>
      </c>
    </row>
    <row r="1248">
      <c r="A1248" s="27" t="n"/>
      <c r="B1248" s="23" t="n"/>
      <c r="C1248" s="23" t="n"/>
      <c r="D1248" s="28" t="n"/>
      <c r="E1248" s="23" t="n"/>
      <c r="F1248" s="23" t="n"/>
      <c r="G1248" s="23" t="n"/>
      <c r="H1248" s="29">
        <f>IF(C1248="","",IFERROR(INDEX(Categories!$B$6:$B$65,MATCH(C1248,Categories!$A$6:$A$65,0))&amp;"",""))</f>
        <v/>
      </c>
      <c r="I1248" s="25">
        <f>IF(AND(A1248="",C1248="",D1248=""),"",IF(A1248="","Date missing",IF(NOT(ISNUMBER(A1248)),"Date not recognized",IF(YEAR(A1248)&lt;&gt;Settings!$C$4,"Not in "&amp;Settings!$C$4,IF(C1248="","Category missing",IF(H1248="",IF(COUNTIF(Categories!$A$6:$A$65,C1248)&gt;0,"Category has no type","Category not in list"),IF(D1248="","Amount missing",IF(NOT(ISNUMBER(D1248)),"Amount is not a number",IF(F1248="","",IF(ISNA(MATCH(F1248,Lists!$G$2:$G$25,0)),"Goal / fund not in list",IF(H1248="Income","Fund tag ignored on income","")))))))))))</f>
        <v/>
      </c>
    </row>
    <row r="1249">
      <c r="A1249" s="27" t="n"/>
      <c r="B1249" s="23" t="n"/>
      <c r="C1249" s="23" t="n"/>
      <c r="D1249" s="28" t="n"/>
      <c r="E1249" s="23" t="n"/>
      <c r="F1249" s="23" t="n"/>
      <c r="G1249" s="23" t="n"/>
      <c r="H1249" s="29">
        <f>IF(C1249="","",IFERROR(INDEX(Categories!$B$6:$B$65,MATCH(C1249,Categories!$A$6:$A$65,0))&amp;"",""))</f>
        <v/>
      </c>
      <c r="I1249" s="25">
        <f>IF(AND(A1249="",C1249="",D1249=""),"",IF(A1249="","Date missing",IF(NOT(ISNUMBER(A1249)),"Date not recognized",IF(YEAR(A1249)&lt;&gt;Settings!$C$4,"Not in "&amp;Settings!$C$4,IF(C1249="","Category missing",IF(H1249="",IF(COUNTIF(Categories!$A$6:$A$65,C1249)&gt;0,"Category has no type","Category not in list"),IF(D1249="","Amount missing",IF(NOT(ISNUMBER(D1249)),"Amount is not a number",IF(F1249="","",IF(ISNA(MATCH(F1249,Lists!$G$2:$G$25,0)),"Goal / fund not in list",IF(H1249="Income","Fund tag ignored on income","")))))))))))</f>
        <v/>
      </c>
    </row>
    <row r="1250">
      <c r="A1250" s="27" t="n"/>
      <c r="B1250" s="23" t="n"/>
      <c r="C1250" s="23" t="n"/>
      <c r="D1250" s="28" t="n"/>
      <c r="E1250" s="23" t="n"/>
      <c r="F1250" s="23" t="n"/>
      <c r="G1250" s="23" t="n"/>
      <c r="H1250" s="29">
        <f>IF(C1250="","",IFERROR(INDEX(Categories!$B$6:$B$65,MATCH(C1250,Categories!$A$6:$A$65,0))&amp;"",""))</f>
        <v/>
      </c>
      <c r="I1250" s="25">
        <f>IF(AND(A1250="",C1250="",D1250=""),"",IF(A1250="","Date missing",IF(NOT(ISNUMBER(A1250)),"Date not recognized",IF(YEAR(A1250)&lt;&gt;Settings!$C$4,"Not in "&amp;Settings!$C$4,IF(C1250="","Category missing",IF(H1250="",IF(COUNTIF(Categories!$A$6:$A$65,C1250)&gt;0,"Category has no type","Category not in list"),IF(D1250="","Amount missing",IF(NOT(ISNUMBER(D1250)),"Amount is not a number",IF(F1250="","",IF(ISNA(MATCH(F1250,Lists!$G$2:$G$25,0)),"Goal / fund not in list",IF(H1250="Income","Fund tag ignored on income","")))))))))))</f>
        <v/>
      </c>
    </row>
    <row r="1251">
      <c r="A1251" s="27" t="n"/>
      <c r="B1251" s="23" t="n"/>
      <c r="C1251" s="23" t="n"/>
      <c r="D1251" s="28" t="n"/>
      <c r="E1251" s="23" t="n"/>
      <c r="F1251" s="23" t="n"/>
      <c r="G1251" s="23" t="n"/>
      <c r="H1251" s="29">
        <f>IF(C1251="","",IFERROR(INDEX(Categories!$B$6:$B$65,MATCH(C1251,Categories!$A$6:$A$65,0))&amp;"",""))</f>
        <v/>
      </c>
      <c r="I1251" s="25">
        <f>IF(AND(A1251="",C1251="",D1251=""),"",IF(A1251="","Date missing",IF(NOT(ISNUMBER(A1251)),"Date not recognized",IF(YEAR(A1251)&lt;&gt;Settings!$C$4,"Not in "&amp;Settings!$C$4,IF(C1251="","Category missing",IF(H1251="",IF(COUNTIF(Categories!$A$6:$A$65,C1251)&gt;0,"Category has no type","Category not in list"),IF(D1251="","Amount missing",IF(NOT(ISNUMBER(D1251)),"Amount is not a number",IF(F1251="","",IF(ISNA(MATCH(F1251,Lists!$G$2:$G$25,0)),"Goal / fund not in list",IF(H1251="Income","Fund tag ignored on income","")))))))))))</f>
        <v/>
      </c>
    </row>
    <row r="1252">
      <c r="A1252" s="27" t="n"/>
      <c r="B1252" s="23" t="n"/>
      <c r="C1252" s="23" t="n"/>
      <c r="D1252" s="28" t="n"/>
      <c r="E1252" s="23" t="n"/>
      <c r="F1252" s="23" t="n"/>
      <c r="G1252" s="23" t="n"/>
      <c r="H1252" s="29">
        <f>IF(C1252="","",IFERROR(INDEX(Categories!$B$6:$B$65,MATCH(C1252,Categories!$A$6:$A$65,0))&amp;"",""))</f>
        <v/>
      </c>
      <c r="I1252" s="25">
        <f>IF(AND(A1252="",C1252="",D1252=""),"",IF(A1252="","Date missing",IF(NOT(ISNUMBER(A1252)),"Date not recognized",IF(YEAR(A1252)&lt;&gt;Settings!$C$4,"Not in "&amp;Settings!$C$4,IF(C1252="","Category missing",IF(H1252="",IF(COUNTIF(Categories!$A$6:$A$65,C1252)&gt;0,"Category has no type","Category not in list"),IF(D1252="","Amount missing",IF(NOT(ISNUMBER(D1252)),"Amount is not a number",IF(F1252="","",IF(ISNA(MATCH(F1252,Lists!$G$2:$G$25,0)),"Goal / fund not in list",IF(H1252="Income","Fund tag ignored on income","")))))))))))</f>
        <v/>
      </c>
    </row>
    <row r="1253">
      <c r="A1253" s="27" t="n"/>
      <c r="B1253" s="23" t="n"/>
      <c r="C1253" s="23" t="n"/>
      <c r="D1253" s="28" t="n"/>
      <c r="E1253" s="23" t="n"/>
      <c r="F1253" s="23" t="n"/>
      <c r="G1253" s="23" t="n"/>
      <c r="H1253" s="29">
        <f>IF(C1253="","",IFERROR(INDEX(Categories!$B$6:$B$65,MATCH(C1253,Categories!$A$6:$A$65,0))&amp;"",""))</f>
        <v/>
      </c>
      <c r="I1253" s="25">
        <f>IF(AND(A1253="",C1253="",D1253=""),"",IF(A1253="","Date missing",IF(NOT(ISNUMBER(A1253)),"Date not recognized",IF(YEAR(A1253)&lt;&gt;Settings!$C$4,"Not in "&amp;Settings!$C$4,IF(C1253="","Category missing",IF(H1253="",IF(COUNTIF(Categories!$A$6:$A$65,C1253)&gt;0,"Category has no type","Category not in list"),IF(D1253="","Amount missing",IF(NOT(ISNUMBER(D1253)),"Amount is not a number",IF(F1253="","",IF(ISNA(MATCH(F1253,Lists!$G$2:$G$25,0)),"Goal / fund not in list",IF(H1253="Income","Fund tag ignored on income","")))))))))))</f>
        <v/>
      </c>
    </row>
    <row r="1254">
      <c r="A1254" s="27" t="n"/>
      <c r="B1254" s="23" t="n"/>
      <c r="C1254" s="23" t="n"/>
      <c r="D1254" s="28" t="n"/>
      <c r="E1254" s="23" t="n"/>
      <c r="F1254" s="23" t="n"/>
      <c r="G1254" s="23" t="n"/>
      <c r="H1254" s="29">
        <f>IF(C1254="","",IFERROR(INDEX(Categories!$B$6:$B$65,MATCH(C1254,Categories!$A$6:$A$65,0))&amp;"",""))</f>
        <v/>
      </c>
      <c r="I1254" s="25">
        <f>IF(AND(A1254="",C1254="",D1254=""),"",IF(A1254="","Date missing",IF(NOT(ISNUMBER(A1254)),"Date not recognized",IF(YEAR(A1254)&lt;&gt;Settings!$C$4,"Not in "&amp;Settings!$C$4,IF(C1254="","Category missing",IF(H1254="",IF(COUNTIF(Categories!$A$6:$A$65,C1254)&gt;0,"Category has no type","Category not in list"),IF(D1254="","Amount missing",IF(NOT(ISNUMBER(D1254)),"Amount is not a number",IF(F1254="","",IF(ISNA(MATCH(F1254,Lists!$G$2:$G$25,0)),"Goal / fund not in list",IF(H1254="Income","Fund tag ignored on income","")))))))))))</f>
        <v/>
      </c>
    </row>
    <row r="1255">
      <c r="A1255" s="27" t="n"/>
      <c r="B1255" s="23" t="n"/>
      <c r="C1255" s="23" t="n"/>
      <c r="D1255" s="28" t="n"/>
      <c r="E1255" s="23" t="n"/>
      <c r="F1255" s="23" t="n"/>
      <c r="G1255" s="23" t="n"/>
      <c r="H1255" s="29">
        <f>IF(C1255="","",IFERROR(INDEX(Categories!$B$6:$B$65,MATCH(C1255,Categories!$A$6:$A$65,0))&amp;"",""))</f>
        <v/>
      </c>
      <c r="I1255" s="25">
        <f>IF(AND(A1255="",C1255="",D1255=""),"",IF(A1255="","Date missing",IF(NOT(ISNUMBER(A1255)),"Date not recognized",IF(YEAR(A1255)&lt;&gt;Settings!$C$4,"Not in "&amp;Settings!$C$4,IF(C1255="","Category missing",IF(H1255="",IF(COUNTIF(Categories!$A$6:$A$65,C1255)&gt;0,"Category has no type","Category not in list"),IF(D1255="","Amount missing",IF(NOT(ISNUMBER(D1255)),"Amount is not a number",IF(F1255="","",IF(ISNA(MATCH(F1255,Lists!$G$2:$G$25,0)),"Goal / fund not in list",IF(H1255="Income","Fund tag ignored on income","")))))))))))</f>
        <v/>
      </c>
    </row>
    <row r="1256">
      <c r="A1256" s="27" t="n"/>
      <c r="B1256" s="23" t="n"/>
      <c r="C1256" s="23" t="n"/>
      <c r="D1256" s="28" t="n"/>
      <c r="E1256" s="23" t="n"/>
      <c r="F1256" s="23" t="n"/>
      <c r="G1256" s="23" t="n"/>
      <c r="H1256" s="29">
        <f>IF(C1256="","",IFERROR(INDEX(Categories!$B$6:$B$65,MATCH(C1256,Categories!$A$6:$A$65,0))&amp;"",""))</f>
        <v/>
      </c>
      <c r="I1256" s="25">
        <f>IF(AND(A1256="",C1256="",D1256=""),"",IF(A1256="","Date missing",IF(NOT(ISNUMBER(A1256)),"Date not recognized",IF(YEAR(A1256)&lt;&gt;Settings!$C$4,"Not in "&amp;Settings!$C$4,IF(C1256="","Category missing",IF(H1256="",IF(COUNTIF(Categories!$A$6:$A$65,C1256)&gt;0,"Category has no type","Category not in list"),IF(D1256="","Amount missing",IF(NOT(ISNUMBER(D1256)),"Amount is not a number",IF(F1256="","",IF(ISNA(MATCH(F1256,Lists!$G$2:$G$25,0)),"Goal / fund not in list",IF(H1256="Income","Fund tag ignored on income","")))))))))))</f>
        <v/>
      </c>
    </row>
    <row r="1257">
      <c r="A1257" s="27" t="n"/>
      <c r="B1257" s="23" t="n"/>
      <c r="C1257" s="23" t="n"/>
      <c r="D1257" s="28" t="n"/>
      <c r="E1257" s="23" t="n"/>
      <c r="F1257" s="23" t="n"/>
      <c r="G1257" s="23" t="n"/>
      <c r="H1257" s="29">
        <f>IF(C1257="","",IFERROR(INDEX(Categories!$B$6:$B$65,MATCH(C1257,Categories!$A$6:$A$65,0))&amp;"",""))</f>
        <v/>
      </c>
      <c r="I1257" s="25">
        <f>IF(AND(A1257="",C1257="",D1257=""),"",IF(A1257="","Date missing",IF(NOT(ISNUMBER(A1257)),"Date not recognized",IF(YEAR(A1257)&lt;&gt;Settings!$C$4,"Not in "&amp;Settings!$C$4,IF(C1257="","Category missing",IF(H1257="",IF(COUNTIF(Categories!$A$6:$A$65,C1257)&gt;0,"Category has no type","Category not in list"),IF(D1257="","Amount missing",IF(NOT(ISNUMBER(D1257)),"Amount is not a number",IF(F1257="","",IF(ISNA(MATCH(F1257,Lists!$G$2:$G$25,0)),"Goal / fund not in list",IF(H1257="Income","Fund tag ignored on income","")))))))))))</f>
        <v/>
      </c>
    </row>
    <row r="1258">
      <c r="A1258" s="27" t="n"/>
      <c r="B1258" s="23" t="n"/>
      <c r="C1258" s="23" t="n"/>
      <c r="D1258" s="28" t="n"/>
      <c r="E1258" s="23" t="n"/>
      <c r="F1258" s="23" t="n"/>
      <c r="G1258" s="23" t="n"/>
      <c r="H1258" s="29">
        <f>IF(C1258="","",IFERROR(INDEX(Categories!$B$6:$B$65,MATCH(C1258,Categories!$A$6:$A$65,0))&amp;"",""))</f>
        <v/>
      </c>
      <c r="I1258" s="25">
        <f>IF(AND(A1258="",C1258="",D1258=""),"",IF(A1258="","Date missing",IF(NOT(ISNUMBER(A1258)),"Date not recognized",IF(YEAR(A1258)&lt;&gt;Settings!$C$4,"Not in "&amp;Settings!$C$4,IF(C1258="","Category missing",IF(H1258="",IF(COUNTIF(Categories!$A$6:$A$65,C1258)&gt;0,"Category has no type","Category not in list"),IF(D1258="","Amount missing",IF(NOT(ISNUMBER(D1258)),"Amount is not a number",IF(F1258="","",IF(ISNA(MATCH(F1258,Lists!$G$2:$G$25,0)),"Goal / fund not in list",IF(H1258="Income","Fund tag ignored on income","")))))))))))</f>
        <v/>
      </c>
    </row>
    <row r="1259">
      <c r="A1259" s="27" t="n"/>
      <c r="B1259" s="23" t="n"/>
      <c r="C1259" s="23" t="n"/>
      <c r="D1259" s="28" t="n"/>
      <c r="E1259" s="23" t="n"/>
      <c r="F1259" s="23" t="n"/>
      <c r="G1259" s="23" t="n"/>
      <c r="H1259" s="29">
        <f>IF(C1259="","",IFERROR(INDEX(Categories!$B$6:$B$65,MATCH(C1259,Categories!$A$6:$A$65,0))&amp;"",""))</f>
        <v/>
      </c>
      <c r="I1259" s="25">
        <f>IF(AND(A1259="",C1259="",D1259=""),"",IF(A1259="","Date missing",IF(NOT(ISNUMBER(A1259)),"Date not recognized",IF(YEAR(A1259)&lt;&gt;Settings!$C$4,"Not in "&amp;Settings!$C$4,IF(C1259="","Category missing",IF(H1259="",IF(COUNTIF(Categories!$A$6:$A$65,C1259)&gt;0,"Category has no type","Category not in list"),IF(D1259="","Amount missing",IF(NOT(ISNUMBER(D1259)),"Amount is not a number",IF(F1259="","",IF(ISNA(MATCH(F1259,Lists!$G$2:$G$25,0)),"Goal / fund not in list",IF(H1259="Income","Fund tag ignored on income","")))))))))))</f>
        <v/>
      </c>
    </row>
    <row r="1260">
      <c r="A1260" s="27" t="n"/>
      <c r="B1260" s="23" t="n"/>
      <c r="C1260" s="23" t="n"/>
      <c r="D1260" s="28" t="n"/>
      <c r="E1260" s="23" t="n"/>
      <c r="F1260" s="23" t="n"/>
      <c r="G1260" s="23" t="n"/>
      <c r="H1260" s="29">
        <f>IF(C1260="","",IFERROR(INDEX(Categories!$B$6:$B$65,MATCH(C1260,Categories!$A$6:$A$65,0))&amp;"",""))</f>
        <v/>
      </c>
      <c r="I1260" s="25">
        <f>IF(AND(A1260="",C1260="",D1260=""),"",IF(A1260="","Date missing",IF(NOT(ISNUMBER(A1260)),"Date not recognized",IF(YEAR(A1260)&lt;&gt;Settings!$C$4,"Not in "&amp;Settings!$C$4,IF(C1260="","Category missing",IF(H1260="",IF(COUNTIF(Categories!$A$6:$A$65,C1260)&gt;0,"Category has no type","Category not in list"),IF(D1260="","Amount missing",IF(NOT(ISNUMBER(D1260)),"Amount is not a number",IF(F1260="","",IF(ISNA(MATCH(F1260,Lists!$G$2:$G$25,0)),"Goal / fund not in list",IF(H1260="Income","Fund tag ignored on income","")))))))))))</f>
        <v/>
      </c>
    </row>
    <row r="1261">
      <c r="A1261" s="27" t="n"/>
      <c r="B1261" s="23" t="n"/>
      <c r="C1261" s="23" t="n"/>
      <c r="D1261" s="28" t="n"/>
      <c r="E1261" s="23" t="n"/>
      <c r="F1261" s="23" t="n"/>
      <c r="G1261" s="23" t="n"/>
      <c r="H1261" s="29">
        <f>IF(C1261="","",IFERROR(INDEX(Categories!$B$6:$B$65,MATCH(C1261,Categories!$A$6:$A$65,0))&amp;"",""))</f>
        <v/>
      </c>
      <c r="I1261" s="25">
        <f>IF(AND(A1261="",C1261="",D1261=""),"",IF(A1261="","Date missing",IF(NOT(ISNUMBER(A1261)),"Date not recognized",IF(YEAR(A1261)&lt;&gt;Settings!$C$4,"Not in "&amp;Settings!$C$4,IF(C1261="","Category missing",IF(H1261="",IF(COUNTIF(Categories!$A$6:$A$65,C1261)&gt;0,"Category has no type","Category not in list"),IF(D1261="","Amount missing",IF(NOT(ISNUMBER(D1261)),"Amount is not a number",IF(F1261="","",IF(ISNA(MATCH(F1261,Lists!$G$2:$G$25,0)),"Goal / fund not in list",IF(H1261="Income","Fund tag ignored on income","")))))))))))</f>
        <v/>
      </c>
    </row>
    <row r="1262">
      <c r="A1262" s="27" t="n"/>
      <c r="B1262" s="23" t="n"/>
      <c r="C1262" s="23" t="n"/>
      <c r="D1262" s="28" t="n"/>
      <c r="E1262" s="23" t="n"/>
      <c r="F1262" s="23" t="n"/>
      <c r="G1262" s="23" t="n"/>
      <c r="H1262" s="29">
        <f>IF(C1262="","",IFERROR(INDEX(Categories!$B$6:$B$65,MATCH(C1262,Categories!$A$6:$A$65,0))&amp;"",""))</f>
        <v/>
      </c>
      <c r="I1262" s="25">
        <f>IF(AND(A1262="",C1262="",D1262=""),"",IF(A1262="","Date missing",IF(NOT(ISNUMBER(A1262)),"Date not recognized",IF(YEAR(A1262)&lt;&gt;Settings!$C$4,"Not in "&amp;Settings!$C$4,IF(C1262="","Category missing",IF(H1262="",IF(COUNTIF(Categories!$A$6:$A$65,C1262)&gt;0,"Category has no type","Category not in list"),IF(D1262="","Amount missing",IF(NOT(ISNUMBER(D1262)),"Amount is not a number",IF(F1262="","",IF(ISNA(MATCH(F1262,Lists!$G$2:$G$25,0)),"Goal / fund not in list",IF(H1262="Income","Fund tag ignored on income","")))))))))))</f>
        <v/>
      </c>
    </row>
    <row r="1263">
      <c r="A1263" s="27" t="n"/>
      <c r="B1263" s="23" t="n"/>
      <c r="C1263" s="23" t="n"/>
      <c r="D1263" s="28" t="n"/>
      <c r="E1263" s="23" t="n"/>
      <c r="F1263" s="23" t="n"/>
      <c r="G1263" s="23" t="n"/>
      <c r="H1263" s="29">
        <f>IF(C1263="","",IFERROR(INDEX(Categories!$B$6:$B$65,MATCH(C1263,Categories!$A$6:$A$65,0))&amp;"",""))</f>
        <v/>
      </c>
      <c r="I1263" s="25">
        <f>IF(AND(A1263="",C1263="",D1263=""),"",IF(A1263="","Date missing",IF(NOT(ISNUMBER(A1263)),"Date not recognized",IF(YEAR(A1263)&lt;&gt;Settings!$C$4,"Not in "&amp;Settings!$C$4,IF(C1263="","Category missing",IF(H1263="",IF(COUNTIF(Categories!$A$6:$A$65,C1263)&gt;0,"Category has no type","Category not in list"),IF(D1263="","Amount missing",IF(NOT(ISNUMBER(D1263)),"Amount is not a number",IF(F1263="","",IF(ISNA(MATCH(F1263,Lists!$G$2:$G$25,0)),"Goal / fund not in list",IF(H1263="Income","Fund tag ignored on income","")))))))))))</f>
        <v/>
      </c>
    </row>
    <row r="1264">
      <c r="A1264" s="27" t="n"/>
      <c r="B1264" s="23" t="n"/>
      <c r="C1264" s="23" t="n"/>
      <c r="D1264" s="28" t="n"/>
      <c r="E1264" s="23" t="n"/>
      <c r="F1264" s="23" t="n"/>
      <c r="G1264" s="23" t="n"/>
      <c r="H1264" s="29">
        <f>IF(C1264="","",IFERROR(INDEX(Categories!$B$6:$B$65,MATCH(C1264,Categories!$A$6:$A$65,0))&amp;"",""))</f>
        <v/>
      </c>
      <c r="I1264" s="25">
        <f>IF(AND(A1264="",C1264="",D1264=""),"",IF(A1264="","Date missing",IF(NOT(ISNUMBER(A1264)),"Date not recognized",IF(YEAR(A1264)&lt;&gt;Settings!$C$4,"Not in "&amp;Settings!$C$4,IF(C1264="","Category missing",IF(H1264="",IF(COUNTIF(Categories!$A$6:$A$65,C1264)&gt;0,"Category has no type","Category not in list"),IF(D1264="","Amount missing",IF(NOT(ISNUMBER(D1264)),"Amount is not a number",IF(F1264="","",IF(ISNA(MATCH(F1264,Lists!$G$2:$G$25,0)),"Goal / fund not in list",IF(H1264="Income","Fund tag ignored on income","")))))))))))</f>
        <v/>
      </c>
    </row>
    <row r="1265">
      <c r="A1265" s="27" t="n"/>
      <c r="B1265" s="23" t="n"/>
      <c r="C1265" s="23" t="n"/>
      <c r="D1265" s="28" t="n"/>
      <c r="E1265" s="23" t="n"/>
      <c r="F1265" s="23" t="n"/>
      <c r="G1265" s="23" t="n"/>
      <c r="H1265" s="29">
        <f>IF(C1265="","",IFERROR(INDEX(Categories!$B$6:$B$65,MATCH(C1265,Categories!$A$6:$A$65,0))&amp;"",""))</f>
        <v/>
      </c>
      <c r="I1265" s="25">
        <f>IF(AND(A1265="",C1265="",D1265=""),"",IF(A1265="","Date missing",IF(NOT(ISNUMBER(A1265)),"Date not recognized",IF(YEAR(A1265)&lt;&gt;Settings!$C$4,"Not in "&amp;Settings!$C$4,IF(C1265="","Category missing",IF(H1265="",IF(COUNTIF(Categories!$A$6:$A$65,C1265)&gt;0,"Category has no type","Category not in list"),IF(D1265="","Amount missing",IF(NOT(ISNUMBER(D1265)),"Amount is not a number",IF(F1265="","",IF(ISNA(MATCH(F1265,Lists!$G$2:$G$25,0)),"Goal / fund not in list",IF(H1265="Income","Fund tag ignored on income","")))))))))))</f>
        <v/>
      </c>
    </row>
    <row r="1266">
      <c r="A1266" s="27" t="n"/>
      <c r="B1266" s="23" t="n"/>
      <c r="C1266" s="23" t="n"/>
      <c r="D1266" s="28" t="n"/>
      <c r="E1266" s="23" t="n"/>
      <c r="F1266" s="23" t="n"/>
      <c r="G1266" s="23" t="n"/>
      <c r="H1266" s="29">
        <f>IF(C1266="","",IFERROR(INDEX(Categories!$B$6:$B$65,MATCH(C1266,Categories!$A$6:$A$65,0))&amp;"",""))</f>
        <v/>
      </c>
      <c r="I1266" s="25">
        <f>IF(AND(A1266="",C1266="",D1266=""),"",IF(A1266="","Date missing",IF(NOT(ISNUMBER(A1266)),"Date not recognized",IF(YEAR(A1266)&lt;&gt;Settings!$C$4,"Not in "&amp;Settings!$C$4,IF(C1266="","Category missing",IF(H1266="",IF(COUNTIF(Categories!$A$6:$A$65,C1266)&gt;0,"Category has no type","Category not in list"),IF(D1266="","Amount missing",IF(NOT(ISNUMBER(D1266)),"Amount is not a number",IF(F1266="","",IF(ISNA(MATCH(F1266,Lists!$G$2:$G$25,0)),"Goal / fund not in list",IF(H1266="Income","Fund tag ignored on income","")))))))))))</f>
        <v/>
      </c>
    </row>
    <row r="1267">
      <c r="A1267" s="27" t="n"/>
      <c r="B1267" s="23" t="n"/>
      <c r="C1267" s="23" t="n"/>
      <c r="D1267" s="28" t="n"/>
      <c r="E1267" s="23" t="n"/>
      <c r="F1267" s="23" t="n"/>
      <c r="G1267" s="23" t="n"/>
      <c r="H1267" s="29">
        <f>IF(C1267="","",IFERROR(INDEX(Categories!$B$6:$B$65,MATCH(C1267,Categories!$A$6:$A$65,0))&amp;"",""))</f>
        <v/>
      </c>
      <c r="I1267" s="25">
        <f>IF(AND(A1267="",C1267="",D1267=""),"",IF(A1267="","Date missing",IF(NOT(ISNUMBER(A1267)),"Date not recognized",IF(YEAR(A1267)&lt;&gt;Settings!$C$4,"Not in "&amp;Settings!$C$4,IF(C1267="","Category missing",IF(H1267="",IF(COUNTIF(Categories!$A$6:$A$65,C1267)&gt;0,"Category has no type","Category not in list"),IF(D1267="","Amount missing",IF(NOT(ISNUMBER(D1267)),"Amount is not a number",IF(F1267="","",IF(ISNA(MATCH(F1267,Lists!$G$2:$G$25,0)),"Goal / fund not in list",IF(H1267="Income","Fund tag ignored on income","")))))))))))</f>
        <v/>
      </c>
    </row>
    <row r="1268">
      <c r="A1268" s="27" t="n"/>
      <c r="B1268" s="23" t="n"/>
      <c r="C1268" s="23" t="n"/>
      <c r="D1268" s="28" t="n"/>
      <c r="E1268" s="23" t="n"/>
      <c r="F1268" s="23" t="n"/>
      <c r="G1268" s="23" t="n"/>
      <c r="H1268" s="29">
        <f>IF(C1268="","",IFERROR(INDEX(Categories!$B$6:$B$65,MATCH(C1268,Categories!$A$6:$A$65,0))&amp;"",""))</f>
        <v/>
      </c>
      <c r="I1268" s="25">
        <f>IF(AND(A1268="",C1268="",D1268=""),"",IF(A1268="","Date missing",IF(NOT(ISNUMBER(A1268)),"Date not recognized",IF(YEAR(A1268)&lt;&gt;Settings!$C$4,"Not in "&amp;Settings!$C$4,IF(C1268="","Category missing",IF(H1268="",IF(COUNTIF(Categories!$A$6:$A$65,C1268)&gt;0,"Category has no type","Category not in list"),IF(D1268="","Amount missing",IF(NOT(ISNUMBER(D1268)),"Amount is not a number",IF(F1268="","",IF(ISNA(MATCH(F1268,Lists!$G$2:$G$25,0)),"Goal / fund not in list",IF(H1268="Income","Fund tag ignored on income","")))))))))))</f>
        <v/>
      </c>
    </row>
    <row r="1269">
      <c r="A1269" s="27" t="n"/>
      <c r="B1269" s="23" t="n"/>
      <c r="C1269" s="23" t="n"/>
      <c r="D1269" s="28" t="n"/>
      <c r="E1269" s="23" t="n"/>
      <c r="F1269" s="23" t="n"/>
      <c r="G1269" s="23" t="n"/>
      <c r="H1269" s="29">
        <f>IF(C1269="","",IFERROR(INDEX(Categories!$B$6:$B$65,MATCH(C1269,Categories!$A$6:$A$65,0))&amp;"",""))</f>
        <v/>
      </c>
      <c r="I1269" s="25">
        <f>IF(AND(A1269="",C1269="",D1269=""),"",IF(A1269="","Date missing",IF(NOT(ISNUMBER(A1269)),"Date not recognized",IF(YEAR(A1269)&lt;&gt;Settings!$C$4,"Not in "&amp;Settings!$C$4,IF(C1269="","Category missing",IF(H1269="",IF(COUNTIF(Categories!$A$6:$A$65,C1269)&gt;0,"Category has no type","Category not in list"),IF(D1269="","Amount missing",IF(NOT(ISNUMBER(D1269)),"Amount is not a number",IF(F1269="","",IF(ISNA(MATCH(F1269,Lists!$G$2:$G$25,0)),"Goal / fund not in list",IF(H1269="Income","Fund tag ignored on income","")))))))))))</f>
        <v/>
      </c>
    </row>
    <row r="1270">
      <c r="A1270" s="27" t="n"/>
      <c r="B1270" s="23" t="n"/>
      <c r="C1270" s="23" t="n"/>
      <c r="D1270" s="28" t="n"/>
      <c r="E1270" s="23" t="n"/>
      <c r="F1270" s="23" t="n"/>
      <c r="G1270" s="23" t="n"/>
      <c r="H1270" s="29">
        <f>IF(C1270="","",IFERROR(INDEX(Categories!$B$6:$B$65,MATCH(C1270,Categories!$A$6:$A$65,0))&amp;"",""))</f>
        <v/>
      </c>
      <c r="I1270" s="25">
        <f>IF(AND(A1270="",C1270="",D1270=""),"",IF(A1270="","Date missing",IF(NOT(ISNUMBER(A1270)),"Date not recognized",IF(YEAR(A1270)&lt;&gt;Settings!$C$4,"Not in "&amp;Settings!$C$4,IF(C1270="","Category missing",IF(H1270="",IF(COUNTIF(Categories!$A$6:$A$65,C1270)&gt;0,"Category has no type","Category not in list"),IF(D1270="","Amount missing",IF(NOT(ISNUMBER(D1270)),"Amount is not a number",IF(F1270="","",IF(ISNA(MATCH(F1270,Lists!$G$2:$G$25,0)),"Goal / fund not in list",IF(H1270="Income","Fund tag ignored on income","")))))))))))</f>
        <v/>
      </c>
    </row>
    <row r="1271">
      <c r="A1271" s="27" t="n"/>
      <c r="B1271" s="23" t="n"/>
      <c r="C1271" s="23" t="n"/>
      <c r="D1271" s="28" t="n"/>
      <c r="E1271" s="23" t="n"/>
      <c r="F1271" s="23" t="n"/>
      <c r="G1271" s="23" t="n"/>
      <c r="H1271" s="29">
        <f>IF(C1271="","",IFERROR(INDEX(Categories!$B$6:$B$65,MATCH(C1271,Categories!$A$6:$A$65,0))&amp;"",""))</f>
        <v/>
      </c>
      <c r="I1271" s="25">
        <f>IF(AND(A1271="",C1271="",D1271=""),"",IF(A1271="","Date missing",IF(NOT(ISNUMBER(A1271)),"Date not recognized",IF(YEAR(A1271)&lt;&gt;Settings!$C$4,"Not in "&amp;Settings!$C$4,IF(C1271="","Category missing",IF(H1271="",IF(COUNTIF(Categories!$A$6:$A$65,C1271)&gt;0,"Category has no type","Category not in list"),IF(D1271="","Amount missing",IF(NOT(ISNUMBER(D1271)),"Amount is not a number",IF(F1271="","",IF(ISNA(MATCH(F1271,Lists!$G$2:$G$25,0)),"Goal / fund not in list",IF(H1271="Income","Fund tag ignored on income","")))))))))))</f>
        <v/>
      </c>
    </row>
    <row r="1272">
      <c r="A1272" s="27" t="n"/>
      <c r="B1272" s="23" t="n"/>
      <c r="C1272" s="23" t="n"/>
      <c r="D1272" s="28" t="n"/>
      <c r="E1272" s="23" t="n"/>
      <c r="F1272" s="23" t="n"/>
      <c r="G1272" s="23" t="n"/>
      <c r="H1272" s="29">
        <f>IF(C1272="","",IFERROR(INDEX(Categories!$B$6:$B$65,MATCH(C1272,Categories!$A$6:$A$65,0))&amp;"",""))</f>
        <v/>
      </c>
      <c r="I1272" s="25">
        <f>IF(AND(A1272="",C1272="",D1272=""),"",IF(A1272="","Date missing",IF(NOT(ISNUMBER(A1272)),"Date not recognized",IF(YEAR(A1272)&lt;&gt;Settings!$C$4,"Not in "&amp;Settings!$C$4,IF(C1272="","Category missing",IF(H1272="",IF(COUNTIF(Categories!$A$6:$A$65,C1272)&gt;0,"Category has no type","Category not in list"),IF(D1272="","Amount missing",IF(NOT(ISNUMBER(D1272)),"Amount is not a number",IF(F1272="","",IF(ISNA(MATCH(F1272,Lists!$G$2:$G$25,0)),"Goal / fund not in list",IF(H1272="Income","Fund tag ignored on income","")))))))))))</f>
        <v/>
      </c>
    </row>
    <row r="1273">
      <c r="A1273" s="27" t="n"/>
      <c r="B1273" s="23" t="n"/>
      <c r="C1273" s="23" t="n"/>
      <c r="D1273" s="28" t="n"/>
      <c r="E1273" s="23" t="n"/>
      <c r="F1273" s="23" t="n"/>
      <c r="G1273" s="23" t="n"/>
      <c r="H1273" s="29">
        <f>IF(C1273="","",IFERROR(INDEX(Categories!$B$6:$B$65,MATCH(C1273,Categories!$A$6:$A$65,0))&amp;"",""))</f>
        <v/>
      </c>
      <c r="I1273" s="25">
        <f>IF(AND(A1273="",C1273="",D1273=""),"",IF(A1273="","Date missing",IF(NOT(ISNUMBER(A1273)),"Date not recognized",IF(YEAR(A1273)&lt;&gt;Settings!$C$4,"Not in "&amp;Settings!$C$4,IF(C1273="","Category missing",IF(H1273="",IF(COUNTIF(Categories!$A$6:$A$65,C1273)&gt;0,"Category has no type","Category not in list"),IF(D1273="","Amount missing",IF(NOT(ISNUMBER(D1273)),"Amount is not a number",IF(F1273="","",IF(ISNA(MATCH(F1273,Lists!$G$2:$G$25,0)),"Goal / fund not in list",IF(H1273="Income","Fund tag ignored on income","")))))))))))</f>
        <v/>
      </c>
    </row>
    <row r="1274">
      <c r="A1274" s="27" t="n"/>
      <c r="B1274" s="23" t="n"/>
      <c r="C1274" s="23" t="n"/>
      <c r="D1274" s="28" t="n"/>
      <c r="E1274" s="23" t="n"/>
      <c r="F1274" s="23" t="n"/>
      <c r="G1274" s="23" t="n"/>
      <c r="H1274" s="29">
        <f>IF(C1274="","",IFERROR(INDEX(Categories!$B$6:$B$65,MATCH(C1274,Categories!$A$6:$A$65,0))&amp;"",""))</f>
        <v/>
      </c>
      <c r="I1274" s="25">
        <f>IF(AND(A1274="",C1274="",D1274=""),"",IF(A1274="","Date missing",IF(NOT(ISNUMBER(A1274)),"Date not recognized",IF(YEAR(A1274)&lt;&gt;Settings!$C$4,"Not in "&amp;Settings!$C$4,IF(C1274="","Category missing",IF(H1274="",IF(COUNTIF(Categories!$A$6:$A$65,C1274)&gt;0,"Category has no type","Category not in list"),IF(D1274="","Amount missing",IF(NOT(ISNUMBER(D1274)),"Amount is not a number",IF(F1274="","",IF(ISNA(MATCH(F1274,Lists!$G$2:$G$25,0)),"Goal / fund not in list",IF(H1274="Income","Fund tag ignored on income","")))))))))))</f>
        <v/>
      </c>
    </row>
    <row r="1275">
      <c r="A1275" s="27" t="n"/>
      <c r="B1275" s="23" t="n"/>
      <c r="C1275" s="23" t="n"/>
      <c r="D1275" s="28" t="n"/>
      <c r="E1275" s="23" t="n"/>
      <c r="F1275" s="23" t="n"/>
      <c r="G1275" s="23" t="n"/>
      <c r="H1275" s="29">
        <f>IF(C1275="","",IFERROR(INDEX(Categories!$B$6:$B$65,MATCH(C1275,Categories!$A$6:$A$65,0))&amp;"",""))</f>
        <v/>
      </c>
      <c r="I1275" s="25">
        <f>IF(AND(A1275="",C1275="",D1275=""),"",IF(A1275="","Date missing",IF(NOT(ISNUMBER(A1275)),"Date not recognized",IF(YEAR(A1275)&lt;&gt;Settings!$C$4,"Not in "&amp;Settings!$C$4,IF(C1275="","Category missing",IF(H1275="",IF(COUNTIF(Categories!$A$6:$A$65,C1275)&gt;0,"Category has no type","Category not in list"),IF(D1275="","Amount missing",IF(NOT(ISNUMBER(D1275)),"Amount is not a number",IF(F1275="","",IF(ISNA(MATCH(F1275,Lists!$G$2:$G$25,0)),"Goal / fund not in list",IF(H1275="Income","Fund tag ignored on income","")))))))))))</f>
        <v/>
      </c>
    </row>
    <row r="1276">
      <c r="A1276" s="27" t="n"/>
      <c r="B1276" s="23" t="n"/>
      <c r="C1276" s="23" t="n"/>
      <c r="D1276" s="28" t="n"/>
      <c r="E1276" s="23" t="n"/>
      <c r="F1276" s="23" t="n"/>
      <c r="G1276" s="23" t="n"/>
      <c r="H1276" s="29">
        <f>IF(C1276="","",IFERROR(INDEX(Categories!$B$6:$B$65,MATCH(C1276,Categories!$A$6:$A$65,0))&amp;"",""))</f>
        <v/>
      </c>
      <c r="I1276" s="25">
        <f>IF(AND(A1276="",C1276="",D1276=""),"",IF(A1276="","Date missing",IF(NOT(ISNUMBER(A1276)),"Date not recognized",IF(YEAR(A1276)&lt;&gt;Settings!$C$4,"Not in "&amp;Settings!$C$4,IF(C1276="","Category missing",IF(H1276="",IF(COUNTIF(Categories!$A$6:$A$65,C1276)&gt;0,"Category has no type","Category not in list"),IF(D1276="","Amount missing",IF(NOT(ISNUMBER(D1276)),"Amount is not a number",IF(F1276="","",IF(ISNA(MATCH(F1276,Lists!$G$2:$G$25,0)),"Goal / fund not in list",IF(H1276="Income","Fund tag ignored on income","")))))))))))</f>
        <v/>
      </c>
    </row>
    <row r="1277">
      <c r="A1277" s="27" t="n"/>
      <c r="B1277" s="23" t="n"/>
      <c r="C1277" s="23" t="n"/>
      <c r="D1277" s="28" t="n"/>
      <c r="E1277" s="23" t="n"/>
      <c r="F1277" s="23" t="n"/>
      <c r="G1277" s="23" t="n"/>
      <c r="H1277" s="29">
        <f>IF(C1277="","",IFERROR(INDEX(Categories!$B$6:$B$65,MATCH(C1277,Categories!$A$6:$A$65,0))&amp;"",""))</f>
        <v/>
      </c>
      <c r="I1277" s="25">
        <f>IF(AND(A1277="",C1277="",D1277=""),"",IF(A1277="","Date missing",IF(NOT(ISNUMBER(A1277)),"Date not recognized",IF(YEAR(A1277)&lt;&gt;Settings!$C$4,"Not in "&amp;Settings!$C$4,IF(C1277="","Category missing",IF(H1277="",IF(COUNTIF(Categories!$A$6:$A$65,C1277)&gt;0,"Category has no type","Category not in list"),IF(D1277="","Amount missing",IF(NOT(ISNUMBER(D1277)),"Amount is not a number",IF(F1277="","",IF(ISNA(MATCH(F1277,Lists!$G$2:$G$25,0)),"Goal / fund not in list",IF(H1277="Income","Fund tag ignored on income","")))))))))))</f>
        <v/>
      </c>
    </row>
    <row r="1278">
      <c r="A1278" s="27" t="n"/>
      <c r="B1278" s="23" t="n"/>
      <c r="C1278" s="23" t="n"/>
      <c r="D1278" s="28" t="n"/>
      <c r="E1278" s="23" t="n"/>
      <c r="F1278" s="23" t="n"/>
      <c r="G1278" s="23" t="n"/>
      <c r="H1278" s="29">
        <f>IF(C1278="","",IFERROR(INDEX(Categories!$B$6:$B$65,MATCH(C1278,Categories!$A$6:$A$65,0))&amp;"",""))</f>
        <v/>
      </c>
      <c r="I1278" s="25">
        <f>IF(AND(A1278="",C1278="",D1278=""),"",IF(A1278="","Date missing",IF(NOT(ISNUMBER(A1278)),"Date not recognized",IF(YEAR(A1278)&lt;&gt;Settings!$C$4,"Not in "&amp;Settings!$C$4,IF(C1278="","Category missing",IF(H1278="",IF(COUNTIF(Categories!$A$6:$A$65,C1278)&gt;0,"Category has no type","Category not in list"),IF(D1278="","Amount missing",IF(NOT(ISNUMBER(D1278)),"Amount is not a number",IF(F1278="","",IF(ISNA(MATCH(F1278,Lists!$G$2:$G$25,0)),"Goal / fund not in list",IF(H1278="Income","Fund tag ignored on income","")))))))))))</f>
        <v/>
      </c>
    </row>
    <row r="1279">
      <c r="A1279" s="27" t="n"/>
      <c r="B1279" s="23" t="n"/>
      <c r="C1279" s="23" t="n"/>
      <c r="D1279" s="28" t="n"/>
      <c r="E1279" s="23" t="n"/>
      <c r="F1279" s="23" t="n"/>
      <c r="G1279" s="23" t="n"/>
      <c r="H1279" s="29">
        <f>IF(C1279="","",IFERROR(INDEX(Categories!$B$6:$B$65,MATCH(C1279,Categories!$A$6:$A$65,0))&amp;"",""))</f>
        <v/>
      </c>
      <c r="I1279" s="25">
        <f>IF(AND(A1279="",C1279="",D1279=""),"",IF(A1279="","Date missing",IF(NOT(ISNUMBER(A1279)),"Date not recognized",IF(YEAR(A1279)&lt;&gt;Settings!$C$4,"Not in "&amp;Settings!$C$4,IF(C1279="","Category missing",IF(H1279="",IF(COUNTIF(Categories!$A$6:$A$65,C1279)&gt;0,"Category has no type","Category not in list"),IF(D1279="","Amount missing",IF(NOT(ISNUMBER(D1279)),"Amount is not a number",IF(F1279="","",IF(ISNA(MATCH(F1279,Lists!$G$2:$G$25,0)),"Goal / fund not in list",IF(H1279="Income","Fund tag ignored on income","")))))))))))</f>
        <v/>
      </c>
    </row>
    <row r="1280">
      <c r="A1280" s="27" t="n"/>
      <c r="B1280" s="23" t="n"/>
      <c r="C1280" s="23" t="n"/>
      <c r="D1280" s="28" t="n"/>
      <c r="E1280" s="23" t="n"/>
      <c r="F1280" s="23" t="n"/>
      <c r="G1280" s="23" t="n"/>
      <c r="H1280" s="29">
        <f>IF(C1280="","",IFERROR(INDEX(Categories!$B$6:$B$65,MATCH(C1280,Categories!$A$6:$A$65,0))&amp;"",""))</f>
        <v/>
      </c>
      <c r="I1280" s="25">
        <f>IF(AND(A1280="",C1280="",D1280=""),"",IF(A1280="","Date missing",IF(NOT(ISNUMBER(A1280)),"Date not recognized",IF(YEAR(A1280)&lt;&gt;Settings!$C$4,"Not in "&amp;Settings!$C$4,IF(C1280="","Category missing",IF(H1280="",IF(COUNTIF(Categories!$A$6:$A$65,C1280)&gt;0,"Category has no type","Category not in list"),IF(D1280="","Amount missing",IF(NOT(ISNUMBER(D1280)),"Amount is not a number",IF(F1280="","",IF(ISNA(MATCH(F1280,Lists!$G$2:$G$25,0)),"Goal / fund not in list",IF(H1280="Income","Fund tag ignored on income","")))))))))))</f>
        <v/>
      </c>
    </row>
    <row r="1281">
      <c r="A1281" s="27" t="n"/>
      <c r="B1281" s="23" t="n"/>
      <c r="C1281" s="23" t="n"/>
      <c r="D1281" s="28" t="n"/>
      <c r="E1281" s="23" t="n"/>
      <c r="F1281" s="23" t="n"/>
      <c r="G1281" s="23" t="n"/>
      <c r="H1281" s="29">
        <f>IF(C1281="","",IFERROR(INDEX(Categories!$B$6:$B$65,MATCH(C1281,Categories!$A$6:$A$65,0))&amp;"",""))</f>
        <v/>
      </c>
      <c r="I1281" s="25">
        <f>IF(AND(A1281="",C1281="",D1281=""),"",IF(A1281="","Date missing",IF(NOT(ISNUMBER(A1281)),"Date not recognized",IF(YEAR(A1281)&lt;&gt;Settings!$C$4,"Not in "&amp;Settings!$C$4,IF(C1281="","Category missing",IF(H1281="",IF(COUNTIF(Categories!$A$6:$A$65,C1281)&gt;0,"Category has no type","Category not in list"),IF(D1281="","Amount missing",IF(NOT(ISNUMBER(D1281)),"Amount is not a number",IF(F1281="","",IF(ISNA(MATCH(F1281,Lists!$G$2:$G$25,0)),"Goal / fund not in list",IF(H1281="Income","Fund tag ignored on income","")))))))))))</f>
        <v/>
      </c>
    </row>
    <row r="1282">
      <c r="A1282" s="27" t="n"/>
      <c r="B1282" s="23" t="n"/>
      <c r="C1282" s="23" t="n"/>
      <c r="D1282" s="28" t="n"/>
      <c r="E1282" s="23" t="n"/>
      <c r="F1282" s="23" t="n"/>
      <c r="G1282" s="23" t="n"/>
      <c r="H1282" s="29">
        <f>IF(C1282="","",IFERROR(INDEX(Categories!$B$6:$B$65,MATCH(C1282,Categories!$A$6:$A$65,0))&amp;"",""))</f>
        <v/>
      </c>
      <c r="I1282" s="25">
        <f>IF(AND(A1282="",C1282="",D1282=""),"",IF(A1282="","Date missing",IF(NOT(ISNUMBER(A1282)),"Date not recognized",IF(YEAR(A1282)&lt;&gt;Settings!$C$4,"Not in "&amp;Settings!$C$4,IF(C1282="","Category missing",IF(H1282="",IF(COUNTIF(Categories!$A$6:$A$65,C1282)&gt;0,"Category has no type","Category not in list"),IF(D1282="","Amount missing",IF(NOT(ISNUMBER(D1282)),"Amount is not a number",IF(F1282="","",IF(ISNA(MATCH(F1282,Lists!$G$2:$G$25,0)),"Goal / fund not in list",IF(H1282="Income","Fund tag ignored on income","")))))))))))</f>
        <v/>
      </c>
    </row>
    <row r="1283">
      <c r="A1283" s="27" t="n"/>
      <c r="B1283" s="23" t="n"/>
      <c r="C1283" s="23" t="n"/>
      <c r="D1283" s="28" t="n"/>
      <c r="E1283" s="23" t="n"/>
      <c r="F1283" s="23" t="n"/>
      <c r="G1283" s="23" t="n"/>
      <c r="H1283" s="29">
        <f>IF(C1283="","",IFERROR(INDEX(Categories!$B$6:$B$65,MATCH(C1283,Categories!$A$6:$A$65,0))&amp;"",""))</f>
        <v/>
      </c>
      <c r="I1283" s="25">
        <f>IF(AND(A1283="",C1283="",D1283=""),"",IF(A1283="","Date missing",IF(NOT(ISNUMBER(A1283)),"Date not recognized",IF(YEAR(A1283)&lt;&gt;Settings!$C$4,"Not in "&amp;Settings!$C$4,IF(C1283="","Category missing",IF(H1283="",IF(COUNTIF(Categories!$A$6:$A$65,C1283)&gt;0,"Category has no type","Category not in list"),IF(D1283="","Amount missing",IF(NOT(ISNUMBER(D1283)),"Amount is not a number",IF(F1283="","",IF(ISNA(MATCH(F1283,Lists!$G$2:$G$25,0)),"Goal / fund not in list",IF(H1283="Income","Fund tag ignored on income","")))))))))))</f>
        <v/>
      </c>
    </row>
    <row r="1284">
      <c r="A1284" s="27" t="n"/>
      <c r="B1284" s="23" t="n"/>
      <c r="C1284" s="23" t="n"/>
      <c r="D1284" s="28" t="n"/>
      <c r="E1284" s="23" t="n"/>
      <c r="F1284" s="23" t="n"/>
      <c r="G1284" s="23" t="n"/>
      <c r="H1284" s="29">
        <f>IF(C1284="","",IFERROR(INDEX(Categories!$B$6:$B$65,MATCH(C1284,Categories!$A$6:$A$65,0))&amp;"",""))</f>
        <v/>
      </c>
      <c r="I1284" s="25">
        <f>IF(AND(A1284="",C1284="",D1284=""),"",IF(A1284="","Date missing",IF(NOT(ISNUMBER(A1284)),"Date not recognized",IF(YEAR(A1284)&lt;&gt;Settings!$C$4,"Not in "&amp;Settings!$C$4,IF(C1284="","Category missing",IF(H1284="",IF(COUNTIF(Categories!$A$6:$A$65,C1284)&gt;0,"Category has no type","Category not in list"),IF(D1284="","Amount missing",IF(NOT(ISNUMBER(D1284)),"Amount is not a number",IF(F1284="","",IF(ISNA(MATCH(F1284,Lists!$G$2:$G$25,0)),"Goal / fund not in list",IF(H1284="Income","Fund tag ignored on income","")))))))))))</f>
        <v/>
      </c>
    </row>
    <row r="1285">
      <c r="A1285" s="27" t="n"/>
      <c r="B1285" s="23" t="n"/>
      <c r="C1285" s="23" t="n"/>
      <c r="D1285" s="28" t="n"/>
      <c r="E1285" s="23" t="n"/>
      <c r="F1285" s="23" t="n"/>
      <c r="G1285" s="23" t="n"/>
      <c r="H1285" s="29">
        <f>IF(C1285="","",IFERROR(INDEX(Categories!$B$6:$B$65,MATCH(C1285,Categories!$A$6:$A$65,0))&amp;"",""))</f>
        <v/>
      </c>
      <c r="I1285" s="25">
        <f>IF(AND(A1285="",C1285="",D1285=""),"",IF(A1285="","Date missing",IF(NOT(ISNUMBER(A1285)),"Date not recognized",IF(YEAR(A1285)&lt;&gt;Settings!$C$4,"Not in "&amp;Settings!$C$4,IF(C1285="","Category missing",IF(H1285="",IF(COUNTIF(Categories!$A$6:$A$65,C1285)&gt;0,"Category has no type","Category not in list"),IF(D1285="","Amount missing",IF(NOT(ISNUMBER(D1285)),"Amount is not a number",IF(F1285="","",IF(ISNA(MATCH(F1285,Lists!$G$2:$G$25,0)),"Goal / fund not in list",IF(H1285="Income","Fund tag ignored on income","")))))))))))</f>
        <v/>
      </c>
    </row>
    <row r="1286">
      <c r="A1286" s="27" t="n"/>
      <c r="B1286" s="23" t="n"/>
      <c r="C1286" s="23" t="n"/>
      <c r="D1286" s="28" t="n"/>
      <c r="E1286" s="23" t="n"/>
      <c r="F1286" s="23" t="n"/>
      <c r="G1286" s="23" t="n"/>
      <c r="H1286" s="29">
        <f>IF(C1286="","",IFERROR(INDEX(Categories!$B$6:$B$65,MATCH(C1286,Categories!$A$6:$A$65,0))&amp;"",""))</f>
        <v/>
      </c>
      <c r="I1286" s="25">
        <f>IF(AND(A1286="",C1286="",D1286=""),"",IF(A1286="","Date missing",IF(NOT(ISNUMBER(A1286)),"Date not recognized",IF(YEAR(A1286)&lt;&gt;Settings!$C$4,"Not in "&amp;Settings!$C$4,IF(C1286="","Category missing",IF(H1286="",IF(COUNTIF(Categories!$A$6:$A$65,C1286)&gt;0,"Category has no type","Category not in list"),IF(D1286="","Amount missing",IF(NOT(ISNUMBER(D1286)),"Amount is not a number",IF(F1286="","",IF(ISNA(MATCH(F1286,Lists!$G$2:$G$25,0)),"Goal / fund not in list",IF(H1286="Income","Fund tag ignored on income","")))))))))))</f>
        <v/>
      </c>
    </row>
    <row r="1287">
      <c r="A1287" s="27" t="n"/>
      <c r="B1287" s="23" t="n"/>
      <c r="C1287" s="23" t="n"/>
      <c r="D1287" s="28" t="n"/>
      <c r="E1287" s="23" t="n"/>
      <c r="F1287" s="23" t="n"/>
      <c r="G1287" s="23" t="n"/>
      <c r="H1287" s="29">
        <f>IF(C1287="","",IFERROR(INDEX(Categories!$B$6:$B$65,MATCH(C1287,Categories!$A$6:$A$65,0))&amp;"",""))</f>
        <v/>
      </c>
      <c r="I1287" s="25">
        <f>IF(AND(A1287="",C1287="",D1287=""),"",IF(A1287="","Date missing",IF(NOT(ISNUMBER(A1287)),"Date not recognized",IF(YEAR(A1287)&lt;&gt;Settings!$C$4,"Not in "&amp;Settings!$C$4,IF(C1287="","Category missing",IF(H1287="",IF(COUNTIF(Categories!$A$6:$A$65,C1287)&gt;0,"Category has no type","Category not in list"),IF(D1287="","Amount missing",IF(NOT(ISNUMBER(D1287)),"Amount is not a number",IF(F1287="","",IF(ISNA(MATCH(F1287,Lists!$G$2:$G$25,0)),"Goal / fund not in list",IF(H1287="Income","Fund tag ignored on income","")))))))))))</f>
        <v/>
      </c>
    </row>
    <row r="1288">
      <c r="A1288" s="27" t="n"/>
      <c r="B1288" s="23" t="n"/>
      <c r="C1288" s="23" t="n"/>
      <c r="D1288" s="28" t="n"/>
      <c r="E1288" s="23" t="n"/>
      <c r="F1288" s="23" t="n"/>
      <c r="G1288" s="23" t="n"/>
      <c r="H1288" s="29">
        <f>IF(C1288="","",IFERROR(INDEX(Categories!$B$6:$B$65,MATCH(C1288,Categories!$A$6:$A$65,0))&amp;"",""))</f>
        <v/>
      </c>
      <c r="I1288" s="25">
        <f>IF(AND(A1288="",C1288="",D1288=""),"",IF(A1288="","Date missing",IF(NOT(ISNUMBER(A1288)),"Date not recognized",IF(YEAR(A1288)&lt;&gt;Settings!$C$4,"Not in "&amp;Settings!$C$4,IF(C1288="","Category missing",IF(H1288="",IF(COUNTIF(Categories!$A$6:$A$65,C1288)&gt;0,"Category has no type","Category not in list"),IF(D1288="","Amount missing",IF(NOT(ISNUMBER(D1288)),"Amount is not a number",IF(F1288="","",IF(ISNA(MATCH(F1288,Lists!$G$2:$G$25,0)),"Goal / fund not in list",IF(H1288="Income","Fund tag ignored on income","")))))))))))</f>
        <v/>
      </c>
    </row>
    <row r="1289">
      <c r="A1289" s="27" t="n"/>
      <c r="B1289" s="23" t="n"/>
      <c r="C1289" s="23" t="n"/>
      <c r="D1289" s="28" t="n"/>
      <c r="E1289" s="23" t="n"/>
      <c r="F1289" s="23" t="n"/>
      <c r="G1289" s="23" t="n"/>
      <c r="H1289" s="29">
        <f>IF(C1289="","",IFERROR(INDEX(Categories!$B$6:$B$65,MATCH(C1289,Categories!$A$6:$A$65,0))&amp;"",""))</f>
        <v/>
      </c>
      <c r="I1289" s="25">
        <f>IF(AND(A1289="",C1289="",D1289=""),"",IF(A1289="","Date missing",IF(NOT(ISNUMBER(A1289)),"Date not recognized",IF(YEAR(A1289)&lt;&gt;Settings!$C$4,"Not in "&amp;Settings!$C$4,IF(C1289="","Category missing",IF(H1289="",IF(COUNTIF(Categories!$A$6:$A$65,C1289)&gt;0,"Category has no type","Category not in list"),IF(D1289="","Amount missing",IF(NOT(ISNUMBER(D1289)),"Amount is not a number",IF(F1289="","",IF(ISNA(MATCH(F1289,Lists!$G$2:$G$25,0)),"Goal / fund not in list",IF(H1289="Income","Fund tag ignored on income","")))))))))))</f>
        <v/>
      </c>
    </row>
    <row r="1290">
      <c r="A1290" s="27" t="n"/>
      <c r="B1290" s="23" t="n"/>
      <c r="C1290" s="23" t="n"/>
      <c r="D1290" s="28" t="n"/>
      <c r="E1290" s="23" t="n"/>
      <c r="F1290" s="23" t="n"/>
      <c r="G1290" s="23" t="n"/>
      <c r="H1290" s="29">
        <f>IF(C1290="","",IFERROR(INDEX(Categories!$B$6:$B$65,MATCH(C1290,Categories!$A$6:$A$65,0))&amp;"",""))</f>
        <v/>
      </c>
      <c r="I1290" s="25">
        <f>IF(AND(A1290="",C1290="",D1290=""),"",IF(A1290="","Date missing",IF(NOT(ISNUMBER(A1290)),"Date not recognized",IF(YEAR(A1290)&lt;&gt;Settings!$C$4,"Not in "&amp;Settings!$C$4,IF(C1290="","Category missing",IF(H1290="",IF(COUNTIF(Categories!$A$6:$A$65,C1290)&gt;0,"Category has no type","Category not in list"),IF(D1290="","Amount missing",IF(NOT(ISNUMBER(D1290)),"Amount is not a number",IF(F1290="","",IF(ISNA(MATCH(F1290,Lists!$G$2:$G$25,0)),"Goal / fund not in list",IF(H1290="Income","Fund tag ignored on income","")))))))))))</f>
        <v/>
      </c>
    </row>
    <row r="1291">
      <c r="A1291" s="27" t="n"/>
      <c r="B1291" s="23" t="n"/>
      <c r="C1291" s="23" t="n"/>
      <c r="D1291" s="28" t="n"/>
      <c r="E1291" s="23" t="n"/>
      <c r="F1291" s="23" t="n"/>
      <c r="G1291" s="23" t="n"/>
      <c r="H1291" s="29">
        <f>IF(C1291="","",IFERROR(INDEX(Categories!$B$6:$B$65,MATCH(C1291,Categories!$A$6:$A$65,0))&amp;"",""))</f>
        <v/>
      </c>
      <c r="I1291" s="25">
        <f>IF(AND(A1291="",C1291="",D1291=""),"",IF(A1291="","Date missing",IF(NOT(ISNUMBER(A1291)),"Date not recognized",IF(YEAR(A1291)&lt;&gt;Settings!$C$4,"Not in "&amp;Settings!$C$4,IF(C1291="","Category missing",IF(H1291="",IF(COUNTIF(Categories!$A$6:$A$65,C1291)&gt;0,"Category has no type","Category not in list"),IF(D1291="","Amount missing",IF(NOT(ISNUMBER(D1291)),"Amount is not a number",IF(F1291="","",IF(ISNA(MATCH(F1291,Lists!$G$2:$G$25,0)),"Goal / fund not in list",IF(H1291="Income","Fund tag ignored on income","")))))))))))</f>
        <v/>
      </c>
    </row>
    <row r="1292">
      <c r="A1292" s="27" t="n"/>
      <c r="B1292" s="23" t="n"/>
      <c r="C1292" s="23" t="n"/>
      <c r="D1292" s="28" t="n"/>
      <c r="E1292" s="23" t="n"/>
      <c r="F1292" s="23" t="n"/>
      <c r="G1292" s="23" t="n"/>
      <c r="H1292" s="29">
        <f>IF(C1292="","",IFERROR(INDEX(Categories!$B$6:$B$65,MATCH(C1292,Categories!$A$6:$A$65,0))&amp;"",""))</f>
        <v/>
      </c>
      <c r="I1292" s="25">
        <f>IF(AND(A1292="",C1292="",D1292=""),"",IF(A1292="","Date missing",IF(NOT(ISNUMBER(A1292)),"Date not recognized",IF(YEAR(A1292)&lt;&gt;Settings!$C$4,"Not in "&amp;Settings!$C$4,IF(C1292="","Category missing",IF(H1292="",IF(COUNTIF(Categories!$A$6:$A$65,C1292)&gt;0,"Category has no type","Category not in list"),IF(D1292="","Amount missing",IF(NOT(ISNUMBER(D1292)),"Amount is not a number",IF(F1292="","",IF(ISNA(MATCH(F1292,Lists!$G$2:$G$25,0)),"Goal / fund not in list",IF(H1292="Income","Fund tag ignored on income","")))))))))))</f>
        <v/>
      </c>
    </row>
    <row r="1293">
      <c r="A1293" s="27" t="n"/>
      <c r="B1293" s="23" t="n"/>
      <c r="C1293" s="23" t="n"/>
      <c r="D1293" s="28" t="n"/>
      <c r="E1293" s="23" t="n"/>
      <c r="F1293" s="23" t="n"/>
      <c r="G1293" s="23" t="n"/>
      <c r="H1293" s="29">
        <f>IF(C1293="","",IFERROR(INDEX(Categories!$B$6:$B$65,MATCH(C1293,Categories!$A$6:$A$65,0))&amp;"",""))</f>
        <v/>
      </c>
      <c r="I1293" s="25">
        <f>IF(AND(A1293="",C1293="",D1293=""),"",IF(A1293="","Date missing",IF(NOT(ISNUMBER(A1293)),"Date not recognized",IF(YEAR(A1293)&lt;&gt;Settings!$C$4,"Not in "&amp;Settings!$C$4,IF(C1293="","Category missing",IF(H1293="",IF(COUNTIF(Categories!$A$6:$A$65,C1293)&gt;0,"Category has no type","Category not in list"),IF(D1293="","Amount missing",IF(NOT(ISNUMBER(D1293)),"Amount is not a number",IF(F1293="","",IF(ISNA(MATCH(F1293,Lists!$G$2:$G$25,0)),"Goal / fund not in list",IF(H1293="Income","Fund tag ignored on income","")))))))))))</f>
        <v/>
      </c>
    </row>
    <row r="1294">
      <c r="A1294" s="27" t="n"/>
      <c r="B1294" s="23" t="n"/>
      <c r="C1294" s="23" t="n"/>
      <c r="D1294" s="28" t="n"/>
      <c r="E1294" s="23" t="n"/>
      <c r="F1294" s="23" t="n"/>
      <c r="G1294" s="23" t="n"/>
      <c r="H1294" s="29">
        <f>IF(C1294="","",IFERROR(INDEX(Categories!$B$6:$B$65,MATCH(C1294,Categories!$A$6:$A$65,0))&amp;"",""))</f>
        <v/>
      </c>
      <c r="I1294" s="25">
        <f>IF(AND(A1294="",C1294="",D1294=""),"",IF(A1294="","Date missing",IF(NOT(ISNUMBER(A1294)),"Date not recognized",IF(YEAR(A1294)&lt;&gt;Settings!$C$4,"Not in "&amp;Settings!$C$4,IF(C1294="","Category missing",IF(H1294="",IF(COUNTIF(Categories!$A$6:$A$65,C1294)&gt;0,"Category has no type","Category not in list"),IF(D1294="","Amount missing",IF(NOT(ISNUMBER(D1294)),"Amount is not a number",IF(F1294="","",IF(ISNA(MATCH(F1294,Lists!$G$2:$G$25,0)),"Goal / fund not in list",IF(H1294="Income","Fund tag ignored on income","")))))))))))</f>
        <v/>
      </c>
    </row>
    <row r="1295">
      <c r="A1295" s="27" t="n"/>
      <c r="B1295" s="23" t="n"/>
      <c r="C1295" s="23" t="n"/>
      <c r="D1295" s="28" t="n"/>
      <c r="E1295" s="23" t="n"/>
      <c r="F1295" s="23" t="n"/>
      <c r="G1295" s="23" t="n"/>
      <c r="H1295" s="29">
        <f>IF(C1295="","",IFERROR(INDEX(Categories!$B$6:$B$65,MATCH(C1295,Categories!$A$6:$A$65,0))&amp;"",""))</f>
        <v/>
      </c>
      <c r="I1295" s="25">
        <f>IF(AND(A1295="",C1295="",D1295=""),"",IF(A1295="","Date missing",IF(NOT(ISNUMBER(A1295)),"Date not recognized",IF(YEAR(A1295)&lt;&gt;Settings!$C$4,"Not in "&amp;Settings!$C$4,IF(C1295="","Category missing",IF(H1295="",IF(COUNTIF(Categories!$A$6:$A$65,C1295)&gt;0,"Category has no type","Category not in list"),IF(D1295="","Amount missing",IF(NOT(ISNUMBER(D1295)),"Amount is not a number",IF(F1295="","",IF(ISNA(MATCH(F1295,Lists!$G$2:$G$25,0)),"Goal / fund not in list",IF(H1295="Income","Fund tag ignored on income","")))))))))))</f>
        <v/>
      </c>
    </row>
    <row r="1296">
      <c r="A1296" s="27" t="n"/>
      <c r="B1296" s="23" t="n"/>
      <c r="C1296" s="23" t="n"/>
      <c r="D1296" s="28" t="n"/>
      <c r="E1296" s="23" t="n"/>
      <c r="F1296" s="23" t="n"/>
      <c r="G1296" s="23" t="n"/>
      <c r="H1296" s="29">
        <f>IF(C1296="","",IFERROR(INDEX(Categories!$B$6:$B$65,MATCH(C1296,Categories!$A$6:$A$65,0))&amp;"",""))</f>
        <v/>
      </c>
      <c r="I1296" s="25">
        <f>IF(AND(A1296="",C1296="",D1296=""),"",IF(A1296="","Date missing",IF(NOT(ISNUMBER(A1296)),"Date not recognized",IF(YEAR(A1296)&lt;&gt;Settings!$C$4,"Not in "&amp;Settings!$C$4,IF(C1296="","Category missing",IF(H1296="",IF(COUNTIF(Categories!$A$6:$A$65,C1296)&gt;0,"Category has no type","Category not in list"),IF(D1296="","Amount missing",IF(NOT(ISNUMBER(D1296)),"Amount is not a number",IF(F1296="","",IF(ISNA(MATCH(F1296,Lists!$G$2:$G$25,0)),"Goal / fund not in list",IF(H1296="Income","Fund tag ignored on income","")))))))))))</f>
        <v/>
      </c>
    </row>
    <row r="1297">
      <c r="A1297" s="27" t="n"/>
      <c r="B1297" s="23" t="n"/>
      <c r="C1297" s="23" t="n"/>
      <c r="D1297" s="28" t="n"/>
      <c r="E1297" s="23" t="n"/>
      <c r="F1297" s="23" t="n"/>
      <c r="G1297" s="23" t="n"/>
      <c r="H1297" s="29">
        <f>IF(C1297="","",IFERROR(INDEX(Categories!$B$6:$B$65,MATCH(C1297,Categories!$A$6:$A$65,0))&amp;"",""))</f>
        <v/>
      </c>
      <c r="I1297" s="25">
        <f>IF(AND(A1297="",C1297="",D1297=""),"",IF(A1297="","Date missing",IF(NOT(ISNUMBER(A1297)),"Date not recognized",IF(YEAR(A1297)&lt;&gt;Settings!$C$4,"Not in "&amp;Settings!$C$4,IF(C1297="","Category missing",IF(H1297="",IF(COUNTIF(Categories!$A$6:$A$65,C1297)&gt;0,"Category has no type","Category not in list"),IF(D1297="","Amount missing",IF(NOT(ISNUMBER(D1297)),"Amount is not a number",IF(F1297="","",IF(ISNA(MATCH(F1297,Lists!$G$2:$G$25,0)),"Goal / fund not in list",IF(H1297="Income","Fund tag ignored on income","")))))))))))</f>
        <v/>
      </c>
    </row>
    <row r="1298">
      <c r="A1298" s="27" t="n"/>
      <c r="B1298" s="23" t="n"/>
      <c r="C1298" s="23" t="n"/>
      <c r="D1298" s="28" t="n"/>
      <c r="E1298" s="23" t="n"/>
      <c r="F1298" s="23" t="n"/>
      <c r="G1298" s="23" t="n"/>
      <c r="H1298" s="29">
        <f>IF(C1298="","",IFERROR(INDEX(Categories!$B$6:$B$65,MATCH(C1298,Categories!$A$6:$A$65,0))&amp;"",""))</f>
        <v/>
      </c>
      <c r="I1298" s="25">
        <f>IF(AND(A1298="",C1298="",D1298=""),"",IF(A1298="","Date missing",IF(NOT(ISNUMBER(A1298)),"Date not recognized",IF(YEAR(A1298)&lt;&gt;Settings!$C$4,"Not in "&amp;Settings!$C$4,IF(C1298="","Category missing",IF(H1298="",IF(COUNTIF(Categories!$A$6:$A$65,C1298)&gt;0,"Category has no type","Category not in list"),IF(D1298="","Amount missing",IF(NOT(ISNUMBER(D1298)),"Amount is not a number",IF(F1298="","",IF(ISNA(MATCH(F1298,Lists!$G$2:$G$25,0)),"Goal / fund not in list",IF(H1298="Income","Fund tag ignored on income","")))))))))))</f>
        <v/>
      </c>
    </row>
    <row r="1299">
      <c r="A1299" s="27" t="n"/>
      <c r="B1299" s="23" t="n"/>
      <c r="C1299" s="23" t="n"/>
      <c r="D1299" s="28" t="n"/>
      <c r="E1299" s="23" t="n"/>
      <c r="F1299" s="23" t="n"/>
      <c r="G1299" s="23" t="n"/>
      <c r="H1299" s="29">
        <f>IF(C1299="","",IFERROR(INDEX(Categories!$B$6:$B$65,MATCH(C1299,Categories!$A$6:$A$65,0))&amp;"",""))</f>
        <v/>
      </c>
      <c r="I1299" s="25">
        <f>IF(AND(A1299="",C1299="",D1299=""),"",IF(A1299="","Date missing",IF(NOT(ISNUMBER(A1299)),"Date not recognized",IF(YEAR(A1299)&lt;&gt;Settings!$C$4,"Not in "&amp;Settings!$C$4,IF(C1299="","Category missing",IF(H1299="",IF(COUNTIF(Categories!$A$6:$A$65,C1299)&gt;0,"Category has no type","Category not in list"),IF(D1299="","Amount missing",IF(NOT(ISNUMBER(D1299)),"Amount is not a number",IF(F1299="","",IF(ISNA(MATCH(F1299,Lists!$G$2:$G$25,0)),"Goal / fund not in list",IF(H1299="Income","Fund tag ignored on income","")))))))))))</f>
        <v/>
      </c>
    </row>
    <row r="1300">
      <c r="A1300" s="27" t="n"/>
      <c r="B1300" s="23" t="n"/>
      <c r="C1300" s="23" t="n"/>
      <c r="D1300" s="28" t="n"/>
      <c r="E1300" s="23" t="n"/>
      <c r="F1300" s="23" t="n"/>
      <c r="G1300" s="23" t="n"/>
      <c r="H1300" s="29">
        <f>IF(C1300="","",IFERROR(INDEX(Categories!$B$6:$B$65,MATCH(C1300,Categories!$A$6:$A$65,0))&amp;"",""))</f>
        <v/>
      </c>
      <c r="I1300" s="25">
        <f>IF(AND(A1300="",C1300="",D1300=""),"",IF(A1300="","Date missing",IF(NOT(ISNUMBER(A1300)),"Date not recognized",IF(YEAR(A1300)&lt;&gt;Settings!$C$4,"Not in "&amp;Settings!$C$4,IF(C1300="","Category missing",IF(H1300="",IF(COUNTIF(Categories!$A$6:$A$65,C1300)&gt;0,"Category has no type","Category not in list"),IF(D1300="","Amount missing",IF(NOT(ISNUMBER(D1300)),"Amount is not a number",IF(F1300="","",IF(ISNA(MATCH(F1300,Lists!$G$2:$G$25,0)),"Goal / fund not in list",IF(H1300="Income","Fund tag ignored on income","")))))))))))</f>
        <v/>
      </c>
    </row>
    <row r="1301">
      <c r="A1301" s="27" t="n"/>
      <c r="B1301" s="23" t="n"/>
      <c r="C1301" s="23" t="n"/>
      <c r="D1301" s="28" t="n"/>
      <c r="E1301" s="23" t="n"/>
      <c r="F1301" s="23" t="n"/>
      <c r="G1301" s="23" t="n"/>
      <c r="H1301" s="29">
        <f>IF(C1301="","",IFERROR(INDEX(Categories!$B$6:$B$65,MATCH(C1301,Categories!$A$6:$A$65,0))&amp;"",""))</f>
        <v/>
      </c>
      <c r="I1301" s="25">
        <f>IF(AND(A1301="",C1301="",D1301=""),"",IF(A1301="","Date missing",IF(NOT(ISNUMBER(A1301)),"Date not recognized",IF(YEAR(A1301)&lt;&gt;Settings!$C$4,"Not in "&amp;Settings!$C$4,IF(C1301="","Category missing",IF(H1301="",IF(COUNTIF(Categories!$A$6:$A$65,C1301)&gt;0,"Category has no type","Category not in list"),IF(D1301="","Amount missing",IF(NOT(ISNUMBER(D1301)),"Amount is not a number",IF(F1301="","",IF(ISNA(MATCH(F1301,Lists!$G$2:$G$25,0)),"Goal / fund not in list",IF(H1301="Income","Fund tag ignored on income","")))))))))))</f>
        <v/>
      </c>
    </row>
    <row r="1302">
      <c r="A1302" s="27" t="n"/>
      <c r="B1302" s="23" t="n"/>
      <c r="C1302" s="23" t="n"/>
      <c r="D1302" s="28" t="n"/>
      <c r="E1302" s="23" t="n"/>
      <c r="F1302" s="23" t="n"/>
      <c r="G1302" s="23" t="n"/>
      <c r="H1302" s="29">
        <f>IF(C1302="","",IFERROR(INDEX(Categories!$B$6:$B$65,MATCH(C1302,Categories!$A$6:$A$65,0))&amp;"",""))</f>
        <v/>
      </c>
      <c r="I1302" s="25">
        <f>IF(AND(A1302="",C1302="",D1302=""),"",IF(A1302="","Date missing",IF(NOT(ISNUMBER(A1302)),"Date not recognized",IF(YEAR(A1302)&lt;&gt;Settings!$C$4,"Not in "&amp;Settings!$C$4,IF(C1302="","Category missing",IF(H1302="",IF(COUNTIF(Categories!$A$6:$A$65,C1302)&gt;0,"Category has no type","Category not in list"),IF(D1302="","Amount missing",IF(NOT(ISNUMBER(D1302)),"Amount is not a number",IF(F1302="","",IF(ISNA(MATCH(F1302,Lists!$G$2:$G$25,0)),"Goal / fund not in list",IF(H1302="Income","Fund tag ignored on income","")))))))))))</f>
        <v/>
      </c>
    </row>
    <row r="1303">
      <c r="A1303" s="27" t="n"/>
      <c r="B1303" s="23" t="n"/>
      <c r="C1303" s="23" t="n"/>
      <c r="D1303" s="28" t="n"/>
      <c r="E1303" s="23" t="n"/>
      <c r="F1303" s="23" t="n"/>
      <c r="G1303" s="23" t="n"/>
      <c r="H1303" s="29">
        <f>IF(C1303="","",IFERROR(INDEX(Categories!$B$6:$B$65,MATCH(C1303,Categories!$A$6:$A$65,0))&amp;"",""))</f>
        <v/>
      </c>
      <c r="I1303" s="25">
        <f>IF(AND(A1303="",C1303="",D1303=""),"",IF(A1303="","Date missing",IF(NOT(ISNUMBER(A1303)),"Date not recognized",IF(YEAR(A1303)&lt;&gt;Settings!$C$4,"Not in "&amp;Settings!$C$4,IF(C1303="","Category missing",IF(H1303="",IF(COUNTIF(Categories!$A$6:$A$65,C1303)&gt;0,"Category has no type","Category not in list"),IF(D1303="","Amount missing",IF(NOT(ISNUMBER(D1303)),"Amount is not a number",IF(F1303="","",IF(ISNA(MATCH(F1303,Lists!$G$2:$G$25,0)),"Goal / fund not in list",IF(H1303="Income","Fund tag ignored on income","")))))))))))</f>
        <v/>
      </c>
    </row>
    <row r="1304">
      <c r="A1304" s="27" t="n"/>
      <c r="B1304" s="23" t="n"/>
      <c r="C1304" s="23" t="n"/>
      <c r="D1304" s="28" t="n"/>
      <c r="E1304" s="23" t="n"/>
      <c r="F1304" s="23" t="n"/>
      <c r="G1304" s="23" t="n"/>
      <c r="H1304" s="29">
        <f>IF(C1304="","",IFERROR(INDEX(Categories!$B$6:$B$65,MATCH(C1304,Categories!$A$6:$A$65,0))&amp;"",""))</f>
        <v/>
      </c>
      <c r="I1304" s="25">
        <f>IF(AND(A1304="",C1304="",D1304=""),"",IF(A1304="","Date missing",IF(NOT(ISNUMBER(A1304)),"Date not recognized",IF(YEAR(A1304)&lt;&gt;Settings!$C$4,"Not in "&amp;Settings!$C$4,IF(C1304="","Category missing",IF(H1304="",IF(COUNTIF(Categories!$A$6:$A$65,C1304)&gt;0,"Category has no type","Category not in list"),IF(D1304="","Amount missing",IF(NOT(ISNUMBER(D1304)),"Amount is not a number",IF(F1304="","",IF(ISNA(MATCH(F1304,Lists!$G$2:$G$25,0)),"Goal / fund not in list",IF(H1304="Income","Fund tag ignored on income","")))))))))))</f>
        <v/>
      </c>
    </row>
    <row r="1305">
      <c r="A1305" s="27" t="n"/>
      <c r="B1305" s="23" t="n"/>
      <c r="C1305" s="23" t="n"/>
      <c r="D1305" s="28" t="n"/>
      <c r="E1305" s="23" t="n"/>
      <c r="F1305" s="23" t="n"/>
      <c r="G1305" s="23" t="n"/>
      <c r="H1305" s="29">
        <f>IF(C1305="","",IFERROR(INDEX(Categories!$B$6:$B$65,MATCH(C1305,Categories!$A$6:$A$65,0))&amp;"",""))</f>
        <v/>
      </c>
      <c r="I1305" s="25">
        <f>IF(AND(A1305="",C1305="",D1305=""),"",IF(A1305="","Date missing",IF(NOT(ISNUMBER(A1305)),"Date not recognized",IF(YEAR(A1305)&lt;&gt;Settings!$C$4,"Not in "&amp;Settings!$C$4,IF(C1305="","Category missing",IF(H1305="",IF(COUNTIF(Categories!$A$6:$A$65,C1305)&gt;0,"Category has no type","Category not in list"),IF(D1305="","Amount missing",IF(NOT(ISNUMBER(D1305)),"Amount is not a number",IF(F1305="","",IF(ISNA(MATCH(F1305,Lists!$G$2:$G$25,0)),"Goal / fund not in list",IF(H1305="Income","Fund tag ignored on income","")))))))))))</f>
        <v/>
      </c>
    </row>
    <row r="1306">
      <c r="A1306" s="27" t="n"/>
      <c r="B1306" s="23" t="n"/>
      <c r="C1306" s="23" t="n"/>
      <c r="D1306" s="28" t="n"/>
      <c r="E1306" s="23" t="n"/>
      <c r="F1306" s="23" t="n"/>
      <c r="G1306" s="23" t="n"/>
      <c r="H1306" s="29">
        <f>IF(C1306="","",IFERROR(INDEX(Categories!$B$6:$B$65,MATCH(C1306,Categories!$A$6:$A$65,0))&amp;"",""))</f>
        <v/>
      </c>
      <c r="I1306" s="25">
        <f>IF(AND(A1306="",C1306="",D1306=""),"",IF(A1306="","Date missing",IF(NOT(ISNUMBER(A1306)),"Date not recognized",IF(YEAR(A1306)&lt;&gt;Settings!$C$4,"Not in "&amp;Settings!$C$4,IF(C1306="","Category missing",IF(H1306="",IF(COUNTIF(Categories!$A$6:$A$65,C1306)&gt;0,"Category has no type","Category not in list"),IF(D1306="","Amount missing",IF(NOT(ISNUMBER(D1306)),"Amount is not a number",IF(F1306="","",IF(ISNA(MATCH(F1306,Lists!$G$2:$G$25,0)),"Goal / fund not in list",IF(H1306="Income","Fund tag ignored on income","")))))))))))</f>
        <v/>
      </c>
    </row>
    <row r="1307">
      <c r="A1307" s="27" t="n"/>
      <c r="B1307" s="23" t="n"/>
      <c r="C1307" s="23" t="n"/>
      <c r="D1307" s="28" t="n"/>
      <c r="E1307" s="23" t="n"/>
      <c r="F1307" s="23" t="n"/>
      <c r="G1307" s="23" t="n"/>
      <c r="H1307" s="29">
        <f>IF(C1307="","",IFERROR(INDEX(Categories!$B$6:$B$65,MATCH(C1307,Categories!$A$6:$A$65,0))&amp;"",""))</f>
        <v/>
      </c>
      <c r="I1307" s="25">
        <f>IF(AND(A1307="",C1307="",D1307=""),"",IF(A1307="","Date missing",IF(NOT(ISNUMBER(A1307)),"Date not recognized",IF(YEAR(A1307)&lt;&gt;Settings!$C$4,"Not in "&amp;Settings!$C$4,IF(C1307="","Category missing",IF(H1307="",IF(COUNTIF(Categories!$A$6:$A$65,C1307)&gt;0,"Category has no type","Category not in list"),IF(D1307="","Amount missing",IF(NOT(ISNUMBER(D1307)),"Amount is not a number",IF(F1307="","",IF(ISNA(MATCH(F1307,Lists!$G$2:$G$25,0)),"Goal / fund not in list",IF(H1307="Income","Fund tag ignored on income","")))))))))))</f>
        <v/>
      </c>
    </row>
    <row r="1308">
      <c r="A1308" s="27" t="n"/>
      <c r="B1308" s="23" t="n"/>
      <c r="C1308" s="23" t="n"/>
      <c r="D1308" s="28" t="n"/>
      <c r="E1308" s="23" t="n"/>
      <c r="F1308" s="23" t="n"/>
      <c r="G1308" s="23" t="n"/>
      <c r="H1308" s="29">
        <f>IF(C1308="","",IFERROR(INDEX(Categories!$B$6:$B$65,MATCH(C1308,Categories!$A$6:$A$65,0))&amp;"",""))</f>
        <v/>
      </c>
      <c r="I1308" s="25">
        <f>IF(AND(A1308="",C1308="",D1308=""),"",IF(A1308="","Date missing",IF(NOT(ISNUMBER(A1308)),"Date not recognized",IF(YEAR(A1308)&lt;&gt;Settings!$C$4,"Not in "&amp;Settings!$C$4,IF(C1308="","Category missing",IF(H1308="",IF(COUNTIF(Categories!$A$6:$A$65,C1308)&gt;0,"Category has no type","Category not in list"),IF(D1308="","Amount missing",IF(NOT(ISNUMBER(D1308)),"Amount is not a number",IF(F1308="","",IF(ISNA(MATCH(F1308,Lists!$G$2:$G$25,0)),"Goal / fund not in list",IF(H1308="Income","Fund tag ignored on income","")))))))))))</f>
        <v/>
      </c>
    </row>
    <row r="1309">
      <c r="A1309" s="27" t="n"/>
      <c r="B1309" s="23" t="n"/>
      <c r="C1309" s="23" t="n"/>
      <c r="D1309" s="28" t="n"/>
      <c r="E1309" s="23" t="n"/>
      <c r="F1309" s="23" t="n"/>
      <c r="G1309" s="23" t="n"/>
      <c r="H1309" s="29">
        <f>IF(C1309="","",IFERROR(INDEX(Categories!$B$6:$B$65,MATCH(C1309,Categories!$A$6:$A$65,0))&amp;"",""))</f>
        <v/>
      </c>
      <c r="I1309" s="25">
        <f>IF(AND(A1309="",C1309="",D1309=""),"",IF(A1309="","Date missing",IF(NOT(ISNUMBER(A1309)),"Date not recognized",IF(YEAR(A1309)&lt;&gt;Settings!$C$4,"Not in "&amp;Settings!$C$4,IF(C1309="","Category missing",IF(H1309="",IF(COUNTIF(Categories!$A$6:$A$65,C1309)&gt;0,"Category has no type","Category not in list"),IF(D1309="","Amount missing",IF(NOT(ISNUMBER(D1309)),"Amount is not a number",IF(F1309="","",IF(ISNA(MATCH(F1309,Lists!$G$2:$G$25,0)),"Goal / fund not in list",IF(H1309="Income","Fund tag ignored on income","")))))))))))</f>
        <v/>
      </c>
    </row>
    <row r="1310">
      <c r="A1310" s="27" t="n"/>
      <c r="B1310" s="23" t="n"/>
      <c r="C1310" s="23" t="n"/>
      <c r="D1310" s="28" t="n"/>
      <c r="E1310" s="23" t="n"/>
      <c r="F1310" s="23" t="n"/>
      <c r="G1310" s="23" t="n"/>
      <c r="H1310" s="29">
        <f>IF(C1310="","",IFERROR(INDEX(Categories!$B$6:$B$65,MATCH(C1310,Categories!$A$6:$A$65,0))&amp;"",""))</f>
        <v/>
      </c>
      <c r="I1310" s="25">
        <f>IF(AND(A1310="",C1310="",D1310=""),"",IF(A1310="","Date missing",IF(NOT(ISNUMBER(A1310)),"Date not recognized",IF(YEAR(A1310)&lt;&gt;Settings!$C$4,"Not in "&amp;Settings!$C$4,IF(C1310="","Category missing",IF(H1310="",IF(COUNTIF(Categories!$A$6:$A$65,C1310)&gt;0,"Category has no type","Category not in list"),IF(D1310="","Amount missing",IF(NOT(ISNUMBER(D1310)),"Amount is not a number",IF(F1310="","",IF(ISNA(MATCH(F1310,Lists!$G$2:$G$25,0)),"Goal / fund not in list",IF(H1310="Income","Fund tag ignored on income","")))))))))))</f>
        <v/>
      </c>
    </row>
    <row r="1311">
      <c r="A1311" s="27" t="n"/>
      <c r="B1311" s="23" t="n"/>
      <c r="C1311" s="23" t="n"/>
      <c r="D1311" s="28" t="n"/>
      <c r="E1311" s="23" t="n"/>
      <c r="F1311" s="23" t="n"/>
      <c r="G1311" s="23" t="n"/>
      <c r="H1311" s="29">
        <f>IF(C1311="","",IFERROR(INDEX(Categories!$B$6:$B$65,MATCH(C1311,Categories!$A$6:$A$65,0))&amp;"",""))</f>
        <v/>
      </c>
      <c r="I1311" s="25">
        <f>IF(AND(A1311="",C1311="",D1311=""),"",IF(A1311="","Date missing",IF(NOT(ISNUMBER(A1311)),"Date not recognized",IF(YEAR(A1311)&lt;&gt;Settings!$C$4,"Not in "&amp;Settings!$C$4,IF(C1311="","Category missing",IF(H1311="",IF(COUNTIF(Categories!$A$6:$A$65,C1311)&gt;0,"Category has no type","Category not in list"),IF(D1311="","Amount missing",IF(NOT(ISNUMBER(D1311)),"Amount is not a number",IF(F1311="","",IF(ISNA(MATCH(F1311,Lists!$G$2:$G$25,0)),"Goal / fund not in list",IF(H1311="Income","Fund tag ignored on income","")))))))))))</f>
        <v/>
      </c>
    </row>
    <row r="1312">
      <c r="A1312" s="27" t="n"/>
      <c r="B1312" s="23" t="n"/>
      <c r="C1312" s="23" t="n"/>
      <c r="D1312" s="28" t="n"/>
      <c r="E1312" s="23" t="n"/>
      <c r="F1312" s="23" t="n"/>
      <c r="G1312" s="23" t="n"/>
      <c r="H1312" s="29">
        <f>IF(C1312="","",IFERROR(INDEX(Categories!$B$6:$B$65,MATCH(C1312,Categories!$A$6:$A$65,0))&amp;"",""))</f>
        <v/>
      </c>
      <c r="I1312" s="25">
        <f>IF(AND(A1312="",C1312="",D1312=""),"",IF(A1312="","Date missing",IF(NOT(ISNUMBER(A1312)),"Date not recognized",IF(YEAR(A1312)&lt;&gt;Settings!$C$4,"Not in "&amp;Settings!$C$4,IF(C1312="","Category missing",IF(H1312="",IF(COUNTIF(Categories!$A$6:$A$65,C1312)&gt;0,"Category has no type","Category not in list"),IF(D1312="","Amount missing",IF(NOT(ISNUMBER(D1312)),"Amount is not a number",IF(F1312="","",IF(ISNA(MATCH(F1312,Lists!$G$2:$G$25,0)),"Goal / fund not in list",IF(H1312="Income","Fund tag ignored on income","")))))))))))</f>
        <v/>
      </c>
    </row>
    <row r="1313">
      <c r="A1313" s="27" t="n"/>
      <c r="B1313" s="23" t="n"/>
      <c r="C1313" s="23" t="n"/>
      <c r="D1313" s="28" t="n"/>
      <c r="E1313" s="23" t="n"/>
      <c r="F1313" s="23" t="n"/>
      <c r="G1313" s="23" t="n"/>
      <c r="H1313" s="29">
        <f>IF(C1313="","",IFERROR(INDEX(Categories!$B$6:$B$65,MATCH(C1313,Categories!$A$6:$A$65,0))&amp;"",""))</f>
        <v/>
      </c>
      <c r="I1313" s="25">
        <f>IF(AND(A1313="",C1313="",D1313=""),"",IF(A1313="","Date missing",IF(NOT(ISNUMBER(A1313)),"Date not recognized",IF(YEAR(A1313)&lt;&gt;Settings!$C$4,"Not in "&amp;Settings!$C$4,IF(C1313="","Category missing",IF(H1313="",IF(COUNTIF(Categories!$A$6:$A$65,C1313)&gt;0,"Category has no type","Category not in list"),IF(D1313="","Amount missing",IF(NOT(ISNUMBER(D1313)),"Amount is not a number",IF(F1313="","",IF(ISNA(MATCH(F1313,Lists!$G$2:$G$25,0)),"Goal / fund not in list",IF(H1313="Income","Fund tag ignored on income","")))))))))))</f>
        <v/>
      </c>
    </row>
    <row r="1314">
      <c r="A1314" s="27" t="n"/>
      <c r="B1314" s="23" t="n"/>
      <c r="C1314" s="23" t="n"/>
      <c r="D1314" s="28" t="n"/>
      <c r="E1314" s="23" t="n"/>
      <c r="F1314" s="23" t="n"/>
      <c r="G1314" s="23" t="n"/>
      <c r="H1314" s="29">
        <f>IF(C1314="","",IFERROR(INDEX(Categories!$B$6:$B$65,MATCH(C1314,Categories!$A$6:$A$65,0))&amp;"",""))</f>
        <v/>
      </c>
      <c r="I1314" s="25">
        <f>IF(AND(A1314="",C1314="",D1314=""),"",IF(A1314="","Date missing",IF(NOT(ISNUMBER(A1314)),"Date not recognized",IF(YEAR(A1314)&lt;&gt;Settings!$C$4,"Not in "&amp;Settings!$C$4,IF(C1314="","Category missing",IF(H1314="",IF(COUNTIF(Categories!$A$6:$A$65,C1314)&gt;0,"Category has no type","Category not in list"),IF(D1314="","Amount missing",IF(NOT(ISNUMBER(D1314)),"Amount is not a number",IF(F1314="","",IF(ISNA(MATCH(F1314,Lists!$G$2:$G$25,0)),"Goal / fund not in list",IF(H1314="Income","Fund tag ignored on income","")))))))))))</f>
        <v/>
      </c>
    </row>
    <row r="1315">
      <c r="A1315" s="27" t="n"/>
      <c r="B1315" s="23" t="n"/>
      <c r="C1315" s="23" t="n"/>
      <c r="D1315" s="28" t="n"/>
      <c r="E1315" s="23" t="n"/>
      <c r="F1315" s="23" t="n"/>
      <c r="G1315" s="23" t="n"/>
      <c r="H1315" s="29">
        <f>IF(C1315="","",IFERROR(INDEX(Categories!$B$6:$B$65,MATCH(C1315,Categories!$A$6:$A$65,0))&amp;"",""))</f>
        <v/>
      </c>
      <c r="I1315" s="25">
        <f>IF(AND(A1315="",C1315="",D1315=""),"",IF(A1315="","Date missing",IF(NOT(ISNUMBER(A1315)),"Date not recognized",IF(YEAR(A1315)&lt;&gt;Settings!$C$4,"Not in "&amp;Settings!$C$4,IF(C1315="","Category missing",IF(H1315="",IF(COUNTIF(Categories!$A$6:$A$65,C1315)&gt;0,"Category has no type","Category not in list"),IF(D1315="","Amount missing",IF(NOT(ISNUMBER(D1315)),"Amount is not a number",IF(F1315="","",IF(ISNA(MATCH(F1315,Lists!$G$2:$G$25,0)),"Goal / fund not in list",IF(H1315="Income","Fund tag ignored on income","")))))))))))</f>
        <v/>
      </c>
    </row>
    <row r="1316">
      <c r="A1316" s="27" t="n"/>
      <c r="B1316" s="23" t="n"/>
      <c r="C1316" s="23" t="n"/>
      <c r="D1316" s="28" t="n"/>
      <c r="E1316" s="23" t="n"/>
      <c r="F1316" s="23" t="n"/>
      <c r="G1316" s="23" t="n"/>
      <c r="H1316" s="29">
        <f>IF(C1316="","",IFERROR(INDEX(Categories!$B$6:$B$65,MATCH(C1316,Categories!$A$6:$A$65,0))&amp;"",""))</f>
        <v/>
      </c>
      <c r="I1316" s="25">
        <f>IF(AND(A1316="",C1316="",D1316=""),"",IF(A1316="","Date missing",IF(NOT(ISNUMBER(A1316)),"Date not recognized",IF(YEAR(A1316)&lt;&gt;Settings!$C$4,"Not in "&amp;Settings!$C$4,IF(C1316="","Category missing",IF(H1316="",IF(COUNTIF(Categories!$A$6:$A$65,C1316)&gt;0,"Category has no type","Category not in list"),IF(D1316="","Amount missing",IF(NOT(ISNUMBER(D1316)),"Amount is not a number",IF(F1316="","",IF(ISNA(MATCH(F1316,Lists!$G$2:$G$25,0)),"Goal / fund not in list",IF(H1316="Income","Fund tag ignored on income","")))))))))))</f>
        <v/>
      </c>
    </row>
    <row r="1317">
      <c r="A1317" s="27" t="n"/>
      <c r="B1317" s="23" t="n"/>
      <c r="C1317" s="23" t="n"/>
      <c r="D1317" s="28" t="n"/>
      <c r="E1317" s="23" t="n"/>
      <c r="F1317" s="23" t="n"/>
      <c r="G1317" s="23" t="n"/>
      <c r="H1317" s="29">
        <f>IF(C1317="","",IFERROR(INDEX(Categories!$B$6:$B$65,MATCH(C1317,Categories!$A$6:$A$65,0))&amp;"",""))</f>
        <v/>
      </c>
      <c r="I1317" s="25">
        <f>IF(AND(A1317="",C1317="",D1317=""),"",IF(A1317="","Date missing",IF(NOT(ISNUMBER(A1317)),"Date not recognized",IF(YEAR(A1317)&lt;&gt;Settings!$C$4,"Not in "&amp;Settings!$C$4,IF(C1317="","Category missing",IF(H1317="",IF(COUNTIF(Categories!$A$6:$A$65,C1317)&gt;0,"Category has no type","Category not in list"),IF(D1317="","Amount missing",IF(NOT(ISNUMBER(D1317)),"Amount is not a number",IF(F1317="","",IF(ISNA(MATCH(F1317,Lists!$G$2:$G$25,0)),"Goal / fund not in list",IF(H1317="Income","Fund tag ignored on income","")))))))))))</f>
        <v/>
      </c>
    </row>
    <row r="1318">
      <c r="A1318" s="27" t="n"/>
      <c r="B1318" s="23" t="n"/>
      <c r="C1318" s="23" t="n"/>
      <c r="D1318" s="28" t="n"/>
      <c r="E1318" s="23" t="n"/>
      <c r="F1318" s="23" t="n"/>
      <c r="G1318" s="23" t="n"/>
      <c r="H1318" s="29">
        <f>IF(C1318="","",IFERROR(INDEX(Categories!$B$6:$B$65,MATCH(C1318,Categories!$A$6:$A$65,0))&amp;"",""))</f>
        <v/>
      </c>
      <c r="I1318" s="25">
        <f>IF(AND(A1318="",C1318="",D1318=""),"",IF(A1318="","Date missing",IF(NOT(ISNUMBER(A1318)),"Date not recognized",IF(YEAR(A1318)&lt;&gt;Settings!$C$4,"Not in "&amp;Settings!$C$4,IF(C1318="","Category missing",IF(H1318="",IF(COUNTIF(Categories!$A$6:$A$65,C1318)&gt;0,"Category has no type","Category not in list"),IF(D1318="","Amount missing",IF(NOT(ISNUMBER(D1318)),"Amount is not a number",IF(F1318="","",IF(ISNA(MATCH(F1318,Lists!$G$2:$G$25,0)),"Goal / fund not in list",IF(H1318="Income","Fund tag ignored on income","")))))))))))</f>
        <v/>
      </c>
    </row>
    <row r="1319">
      <c r="A1319" s="27" t="n"/>
      <c r="B1319" s="23" t="n"/>
      <c r="C1319" s="23" t="n"/>
      <c r="D1319" s="28" t="n"/>
      <c r="E1319" s="23" t="n"/>
      <c r="F1319" s="23" t="n"/>
      <c r="G1319" s="23" t="n"/>
      <c r="H1319" s="29">
        <f>IF(C1319="","",IFERROR(INDEX(Categories!$B$6:$B$65,MATCH(C1319,Categories!$A$6:$A$65,0))&amp;"",""))</f>
        <v/>
      </c>
      <c r="I1319" s="25">
        <f>IF(AND(A1319="",C1319="",D1319=""),"",IF(A1319="","Date missing",IF(NOT(ISNUMBER(A1319)),"Date not recognized",IF(YEAR(A1319)&lt;&gt;Settings!$C$4,"Not in "&amp;Settings!$C$4,IF(C1319="","Category missing",IF(H1319="",IF(COUNTIF(Categories!$A$6:$A$65,C1319)&gt;0,"Category has no type","Category not in list"),IF(D1319="","Amount missing",IF(NOT(ISNUMBER(D1319)),"Amount is not a number",IF(F1319="","",IF(ISNA(MATCH(F1319,Lists!$G$2:$G$25,0)),"Goal / fund not in list",IF(H1319="Income","Fund tag ignored on income","")))))))))))</f>
        <v/>
      </c>
    </row>
    <row r="1320">
      <c r="A1320" s="27" t="n"/>
      <c r="B1320" s="23" t="n"/>
      <c r="C1320" s="23" t="n"/>
      <c r="D1320" s="28" t="n"/>
      <c r="E1320" s="23" t="n"/>
      <c r="F1320" s="23" t="n"/>
      <c r="G1320" s="23" t="n"/>
      <c r="H1320" s="29">
        <f>IF(C1320="","",IFERROR(INDEX(Categories!$B$6:$B$65,MATCH(C1320,Categories!$A$6:$A$65,0))&amp;"",""))</f>
        <v/>
      </c>
      <c r="I1320" s="25">
        <f>IF(AND(A1320="",C1320="",D1320=""),"",IF(A1320="","Date missing",IF(NOT(ISNUMBER(A1320)),"Date not recognized",IF(YEAR(A1320)&lt;&gt;Settings!$C$4,"Not in "&amp;Settings!$C$4,IF(C1320="","Category missing",IF(H1320="",IF(COUNTIF(Categories!$A$6:$A$65,C1320)&gt;0,"Category has no type","Category not in list"),IF(D1320="","Amount missing",IF(NOT(ISNUMBER(D1320)),"Amount is not a number",IF(F1320="","",IF(ISNA(MATCH(F1320,Lists!$G$2:$G$25,0)),"Goal / fund not in list",IF(H1320="Income","Fund tag ignored on income","")))))))))))</f>
        <v/>
      </c>
    </row>
    <row r="1321">
      <c r="A1321" s="27" t="n"/>
      <c r="B1321" s="23" t="n"/>
      <c r="C1321" s="23" t="n"/>
      <c r="D1321" s="28" t="n"/>
      <c r="E1321" s="23" t="n"/>
      <c r="F1321" s="23" t="n"/>
      <c r="G1321" s="23" t="n"/>
      <c r="H1321" s="29">
        <f>IF(C1321="","",IFERROR(INDEX(Categories!$B$6:$B$65,MATCH(C1321,Categories!$A$6:$A$65,0))&amp;"",""))</f>
        <v/>
      </c>
      <c r="I1321" s="25">
        <f>IF(AND(A1321="",C1321="",D1321=""),"",IF(A1321="","Date missing",IF(NOT(ISNUMBER(A1321)),"Date not recognized",IF(YEAR(A1321)&lt;&gt;Settings!$C$4,"Not in "&amp;Settings!$C$4,IF(C1321="","Category missing",IF(H1321="",IF(COUNTIF(Categories!$A$6:$A$65,C1321)&gt;0,"Category has no type","Category not in list"),IF(D1321="","Amount missing",IF(NOT(ISNUMBER(D1321)),"Amount is not a number",IF(F1321="","",IF(ISNA(MATCH(F1321,Lists!$G$2:$G$25,0)),"Goal / fund not in list",IF(H1321="Income","Fund tag ignored on income","")))))))))))</f>
        <v/>
      </c>
    </row>
    <row r="1322">
      <c r="A1322" s="27" t="n"/>
      <c r="B1322" s="23" t="n"/>
      <c r="C1322" s="23" t="n"/>
      <c r="D1322" s="28" t="n"/>
      <c r="E1322" s="23" t="n"/>
      <c r="F1322" s="23" t="n"/>
      <c r="G1322" s="23" t="n"/>
      <c r="H1322" s="29">
        <f>IF(C1322="","",IFERROR(INDEX(Categories!$B$6:$B$65,MATCH(C1322,Categories!$A$6:$A$65,0))&amp;"",""))</f>
        <v/>
      </c>
      <c r="I1322" s="25">
        <f>IF(AND(A1322="",C1322="",D1322=""),"",IF(A1322="","Date missing",IF(NOT(ISNUMBER(A1322)),"Date not recognized",IF(YEAR(A1322)&lt;&gt;Settings!$C$4,"Not in "&amp;Settings!$C$4,IF(C1322="","Category missing",IF(H1322="",IF(COUNTIF(Categories!$A$6:$A$65,C1322)&gt;0,"Category has no type","Category not in list"),IF(D1322="","Amount missing",IF(NOT(ISNUMBER(D1322)),"Amount is not a number",IF(F1322="","",IF(ISNA(MATCH(F1322,Lists!$G$2:$G$25,0)),"Goal / fund not in list",IF(H1322="Income","Fund tag ignored on income","")))))))))))</f>
        <v/>
      </c>
    </row>
    <row r="1323">
      <c r="A1323" s="27" t="n"/>
      <c r="B1323" s="23" t="n"/>
      <c r="C1323" s="23" t="n"/>
      <c r="D1323" s="28" t="n"/>
      <c r="E1323" s="23" t="n"/>
      <c r="F1323" s="23" t="n"/>
      <c r="G1323" s="23" t="n"/>
      <c r="H1323" s="29">
        <f>IF(C1323="","",IFERROR(INDEX(Categories!$B$6:$B$65,MATCH(C1323,Categories!$A$6:$A$65,0))&amp;"",""))</f>
        <v/>
      </c>
      <c r="I1323" s="25">
        <f>IF(AND(A1323="",C1323="",D1323=""),"",IF(A1323="","Date missing",IF(NOT(ISNUMBER(A1323)),"Date not recognized",IF(YEAR(A1323)&lt;&gt;Settings!$C$4,"Not in "&amp;Settings!$C$4,IF(C1323="","Category missing",IF(H1323="",IF(COUNTIF(Categories!$A$6:$A$65,C1323)&gt;0,"Category has no type","Category not in list"),IF(D1323="","Amount missing",IF(NOT(ISNUMBER(D1323)),"Amount is not a number",IF(F1323="","",IF(ISNA(MATCH(F1323,Lists!$G$2:$G$25,0)),"Goal / fund not in list",IF(H1323="Income","Fund tag ignored on income","")))))))))))</f>
        <v/>
      </c>
    </row>
    <row r="1324">
      <c r="A1324" s="27" t="n"/>
      <c r="B1324" s="23" t="n"/>
      <c r="C1324" s="23" t="n"/>
      <c r="D1324" s="28" t="n"/>
      <c r="E1324" s="23" t="n"/>
      <c r="F1324" s="23" t="n"/>
      <c r="G1324" s="23" t="n"/>
      <c r="H1324" s="29">
        <f>IF(C1324="","",IFERROR(INDEX(Categories!$B$6:$B$65,MATCH(C1324,Categories!$A$6:$A$65,0))&amp;"",""))</f>
        <v/>
      </c>
      <c r="I1324" s="25">
        <f>IF(AND(A1324="",C1324="",D1324=""),"",IF(A1324="","Date missing",IF(NOT(ISNUMBER(A1324)),"Date not recognized",IF(YEAR(A1324)&lt;&gt;Settings!$C$4,"Not in "&amp;Settings!$C$4,IF(C1324="","Category missing",IF(H1324="",IF(COUNTIF(Categories!$A$6:$A$65,C1324)&gt;0,"Category has no type","Category not in list"),IF(D1324="","Amount missing",IF(NOT(ISNUMBER(D1324)),"Amount is not a number",IF(F1324="","",IF(ISNA(MATCH(F1324,Lists!$G$2:$G$25,0)),"Goal / fund not in list",IF(H1324="Income","Fund tag ignored on income","")))))))))))</f>
        <v/>
      </c>
    </row>
    <row r="1325">
      <c r="A1325" s="27" t="n"/>
      <c r="B1325" s="23" t="n"/>
      <c r="C1325" s="23" t="n"/>
      <c r="D1325" s="28" t="n"/>
      <c r="E1325" s="23" t="n"/>
      <c r="F1325" s="23" t="n"/>
      <c r="G1325" s="23" t="n"/>
      <c r="H1325" s="29">
        <f>IF(C1325="","",IFERROR(INDEX(Categories!$B$6:$B$65,MATCH(C1325,Categories!$A$6:$A$65,0))&amp;"",""))</f>
        <v/>
      </c>
      <c r="I1325" s="25">
        <f>IF(AND(A1325="",C1325="",D1325=""),"",IF(A1325="","Date missing",IF(NOT(ISNUMBER(A1325)),"Date not recognized",IF(YEAR(A1325)&lt;&gt;Settings!$C$4,"Not in "&amp;Settings!$C$4,IF(C1325="","Category missing",IF(H1325="",IF(COUNTIF(Categories!$A$6:$A$65,C1325)&gt;0,"Category has no type","Category not in list"),IF(D1325="","Amount missing",IF(NOT(ISNUMBER(D1325)),"Amount is not a number",IF(F1325="","",IF(ISNA(MATCH(F1325,Lists!$G$2:$G$25,0)),"Goal / fund not in list",IF(H1325="Income","Fund tag ignored on income","")))))))))))</f>
        <v/>
      </c>
    </row>
    <row r="1326">
      <c r="A1326" s="27" t="n"/>
      <c r="B1326" s="23" t="n"/>
      <c r="C1326" s="23" t="n"/>
      <c r="D1326" s="28" t="n"/>
      <c r="E1326" s="23" t="n"/>
      <c r="F1326" s="23" t="n"/>
      <c r="G1326" s="23" t="n"/>
      <c r="H1326" s="29">
        <f>IF(C1326="","",IFERROR(INDEX(Categories!$B$6:$B$65,MATCH(C1326,Categories!$A$6:$A$65,0))&amp;"",""))</f>
        <v/>
      </c>
      <c r="I1326" s="25">
        <f>IF(AND(A1326="",C1326="",D1326=""),"",IF(A1326="","Date missing",IF(NOT(ISNUMBER(A1326)),"Date not recognized",IF(YEAR(A1326)&lt;&gt;Settings!$C$4,"Not in "&amp;Settings!$C$4,IF(C1326="","Category missing",IF(H1326="",IF(COUNTIF(Categories!$A$6:$A$65,C1326)&gt;0,"Category has no type","Category not in list"),IF(D1326="","Amount missing",IF(NOT(ISNUMBER(D1326)),"Amount is not a number",IF(F1326="","",IF(ISNA(MATCH(F1326,Lists!$G$2:$G$25,0)),"Goal / fund not in list",IF(H1326="Income","Fund tag ignored on income","")))))))))))</f>
        <v/>
      </c>
    </row>
    <row r="1327">
      <c r="A1327" s="27" t="n"/>
      <c r="B1327" s="23" t="n"/>
      <c r="C1327" s="23" t="n"/>
      <c r="D1327" s="28" t="n"/>
      <c r="E1327" s="23" t="n"/>
      <c r="F1327" s="23" t="n"/>
      <c r="G1327" s="23" t="n"/>
      <c r="H1327" s="29">
        <f>IF(C1327="","",IFERROR(INDEX(Categories!$B$6:$B$65,MATCH(C1327,Categories!$A$6:$A$65,0))&amp;"",""))</f>
        <v/>
      </c>
      <c r="I1327" s="25">
        <f>IF(AND(A1327="",C1327="",D1327=""),"",IF(A1327="","Date missing",IF(NOT(ISNUMBER(A1327)),"Date not recognized",IF(YEAR(A1327)&lt;&gt;Settings!$C$4,"Not in "&amp;Settings!$C$4,IF(C1327="","Category missing",IF(H1327="",IF(COUNTIF(Categories!$A$6:$A$65,C1327)&gt;0,"Category has no type","Category not in list"),IF(D1327="","Amount missing",IF(NOT(ISNUMBER(D1327)),"Amount is not a number",IF(F1327="","",IF(ISNA(MATCH(F1327,Lists!$G$2:$G$25,0)),"Goal / fund not in list",IF(H1327="Income","Fund tag ignored on income","")))))))))))</f>
        <v/>
      </c>
    </row>
    <row r="1328">
      <c r="A1328" s="27" t="n"/>
      <c r="B1328" s="23" t="n"/>
      <c r="C1328" s="23" t="n"/>
      <c r="D1328" s="28" t="n"/>
      <c r="E1328" s="23" t="n"/>
      <c r="F1328" s="23" t="n"/>
      <c r="G1328" s="23" t="n"/>
      <c r="H1328" s="29">
        <f>IF(C1328="","",IFERROR(INDEX(Categories!$B$6:$B$65,MATCH(C1328,Categories!$A$6:$A$65,0))&amp;"",""))</f>
        <v/>
      </c>
      <c r="I1328" s="25">
        <f>IF(AND(A1328="",C1328="",D1328=""),"",IF(A1328="","Date missing",IF(NOT(ISNUMBER(A1328)),"Date not recognized",IF(YEAR(A1328)&lt;&gt;Settings!$C$4,"Not in "&amp;Settings!$C$4,IF(C1328="","Category missing",IF(H1328="",IF(COUNTIF(Categories!$A$6:$A$65,C1328)&gt;0,"Category has no type","Category not in list"),IF(D1328="","Amount missing",IF(NOT(ISNUMBER(D1328)),"Amount is not a number",IF(F1328="","",IF(ISNA(MATCH(F1328,Lists!$G$2:$G$25,0)),"Goal / fund not in list",IF(H1328="Income","Fund tag ignored on income","")))))))))))</f>
        <v/>
      </c>
    </row>
    <row r="1329">
      <c r="A1329" s="27" t="n"/>
      <c r="B1329" s="23" t="n"/>
      <c r="C1329" s="23" t="n"/>
      <c r="D1329" s="28" t="n"/>
      <c r="E1329" s="23" t="n"/>
      <c r="F1329" s="23" t="n"/>
      <c r="G1329" s="23" t="n"/>
      <c r="H1329" s="29">
        <f>IF(C1329="","",IFERROR(INDEX(Categories!$B$6:$B$65,MATCH(C1329,Categories!$A$6:$A$65,0))&amp;"",""))</f>
        <v/>
      </c>
      <c r="I1329" s="25">
        <f>IF(AND(A1329="",C1329="",D1329=""),"",IF(A1329="","Date missing",IF(NOT(ISNUMBER(A1329)),"Date not recognized",IF(YEAR(A1329)&lt;&gt;Settings!$C$4,"Not in "&amp;Settings!$C$4,IF(C1329="","Category missing",IF(H1329="",IF(COUNTIF(Categories!$A$6:$A$65,C1329)&gt;0,"Category has no type","Category not in list"),IF(D1329="","Amount missing",IF(NOT(ISNUMBER(D1329)),"Amount is not a number",IF(F1329="","",IF(ISNA(MATCH(F1329,Lists!$G$2:$G$25,0)),"Goal / fund not in list",IF(H1329="Income","Fund tag ignored on income","")))))))))))</f>
        <v/>
      </c>
    </row>
    <row r="1330">
      <c r="A1330" s="27" t="n"/>
      <c r="B1330" s="23" t="n"/>
      <c r="C1330" s="23" t="n"/>
      <c r="D1330" s="28" t="n"/>
      <c r="E1330" s="23" t="n"/>
      <c r="F1330" s="23" t="n"/>
      <c r="G1330" s="23" t="n"/>
      <c r="H1330" s="29">
        <f>IF(C1330="","",IFERROR(INDEX(Categories!$B$6:$B$65,MATCH(C1330,Categories!$A$6:$A$65,0))&amp;"",""))</f>
        <v/>
      </c>
      <c r="I1330" s="25">
        <f>IF(AND(A1330="",C1330="",D1330=""),"",IF(A1330="","Date missing",IF(NOT(ISNUMBER(A1330)),"Date not recognized",IF(YEAR(A1330)&lt;&gt;Settings!$C$4,"Not in "&amp;Settings!$C$4,IF(C1330="","Category missing",IF(H1330="",IF(COUNTIF(Categories!$A$6:$A$65,C1330)&gt;0,"Category has no type","Category not in list"),IF(D1330="","Amount missing",IF(NOT(ISNUMBER(D1330)),"Amount is not a number",IF(F1330="","",IF(ISNA(MATCH(F1330,Lists!$G$2:$G$25,0)),"Goal / fund not in list",IF(H1330="Income","Fund tag ignored on income","")))))))))))</f>
        <v/>
      </c>
    </row>
    <row r="1331">
      <c r="A1331" s="27" t="n"/>
      <c r="B1331" s="23" t="n"/>
      <c r="C1331" s="23" t="n"/>
      <c r="D1331" s="28" t="n"/>
      <c r="E1331" s="23" t="n"/>
      <c r="F1331" s="23" t="n"/>
      <c r="G1331" s="23" t="n"/>
      <c r="H1331" s="29">
        <f>IF(C1331="","",IFERROR(INDEX(Categories!$B$6:$B$65,MATCH(C1331,Categories!$A$6:$A$65,0))&amp;"",""))</f>
        <v/>
      </c>
      <c r="I1331" s="25">
        <f>IF(AND(A1331="",C1331="",D1331=""),"",IF(A1331="","Date missing",IF(NOT(ISNUMBER(A1331)),"Date not recognized",IF(YEAR(A1331)&lt;&gt;Settings!$C$4,"Not in "&amp;Settings!$C$4,IF(C1331="","Category missing",IF(H1331="",IF(COUNTIF(Categories!$A$6:$A$65,C1331)&gt;0,"Category has no type","Category not in list"),IF(D1331="","Amount missing",IF(NOT(ISNUMBER(D1331)),"Amount is not a number",IF(F1331="","",IF(ISNA(MATCH(F1331,Lists!$G$2:$G$25,0)),"Goal / fund not in list",IF(H1331="Income","Fund tag ignored on income","")))))))))))</f>
        <v/>
      </c>
    </row>
    <row r="1332">
      <c r="A1332" s="27" t="n"/>
      <c r="B1332" s="23" t="n"/>
      <c r="C1332" s="23" t="n"/>
      <c r="D1332" s="28" t="n"/>
      <c r="E1332" s="23" t="n"/>
      <c r="F1332" s="23" t="n"/>
      <c r="G1332" s="23" t="n"/>
      <c r="H1332" s="29">
        <f>IF(C1332="","",IFERROR(INDEX(Categories!$B$6:$B$65,MATCH(C1332,Categories!$A$6:$A$65,0))&amp;"",""))</f>
        <v/>
      </c>
      <c r="I1332" s="25">
        <f>IF(AND(A1332="",C1332="",D1332=""),"",IF(A1332="","Date missing",IF(NOT(ISNUMBER(A1332)),"Date not recognized",IF(YEAR(A1332)&lt;&gt;Settings!$C$4,"Not in "&amp;Settings!$C$4,IF(C1332="","Category missing",IF(H1332="",IF(COUNTIF(Categories!$A$6:$A$65,C1332)&gt;0,"Category has no type","Category not in list"),IF(D1332="","Amount missing",IF(NOT(ISNUMBER(D1332)),"Amount is not a number",IF(F1332="","",IF(ISNA(MATCH(F1332,Lists!$G$2:$G$25,0)),"Goal / fund not in list",IF(H1332="Income","Fund tag ignored on income","")))))))))))</f>
        <v/>
      </c>
    </row>
    <row r="1333">
      <c r="A1333" s="27" t="n"/>
      <c r="B1333" s="23" t="n"/>
      <c r="C1333" s="23" t="n"/>
      <c r="D1333" s="28" t="n"/>
      <c r="E1333" s="23" t="n"/>
      <c r="F1333" s="23" t="n"/>
      <c r="G1333" s="23" t="n"/>
      <c r="H1333" s="29">
        <f>IF(C1333="","",IFERROR(INDEX(Categories!$B$6:$B$65,MATCH(C1333,Categories!$A$6:$A$65,0))&amp;"",""))</f>
        <v/>
      </c>
      <c r="I1333" s="25">
        <f>IF(AND(A1333="",C1333="",D1333=""),"",IF(A1333="","Date missing",IF(NOT(ISNUMBER(A1333)),"Date not recognized",IF(YEAR(A1333)&lt;&gt;Settings!$C$4,"Not in "&amp;Settings!$C$4,IF(C1333="","Category missing",IF(H1333="",IF(COUNTIF(Categories!$A$6:$A$65,C1333)&gt;0,"Category has no type","Category not in list"),IF(D1333="","Amount missing",IF(NOT(ISNUMBER(D1333)),"Amount is not a number",IF(F1333="","",IF(ISNA(MATCH(F1333,Lists!$G$2:$G$25,0)),"Goal / fund not in list",IF(H1333="Income","Fund tag ignored on income","")))))))))))</f>
        <v/>
      </c>
    </row>
    <row r="1334">
      <c r="A1334" s="27" t="n"/>
      <c r="B1334" s="23" t="n"/>
      <c r="C1334" s="23" t="n"/>
      <c r="D1334" s="28" t="n"/>
      <c r="E1334" s="23" t="n"/>
      <c r="F1334" s="23" t="n"/>
      <c r="G1334" s="23" t="n"/>
      <c r="H1334" s="29">
        <f>IF(C1334="","",IFERROR(INDEX(Categories!$B$6:$B$65,MATCH(C1334,Categories!$A$6:$A$65,0))&amp;"",""))</f>
        <v/>
      </c>
      <c r="I1334" s="25">
        <f>IF(AND(A1334="",C1334="",D1334=""),"",IF(A1334="","Date missing",IF(NOT(ISNUMBER(A1334)),"Date not recognized",IF(YEAR(A1334)&lt;&gt;Settings!$C$4,"Not in "&amp;Settings!$C$4,IF(C1334="","Category missing",IF(H1334="",IF(COUNTIF(Categories!$A$6:$A$65,C1334)&gt;0,"Category has no type","Category not in list"),IF(D1334="","Amount missing",IF(NOT(ISNUMBER(D1334)),"Amount is not a number",IF(F1334="","",IF(ISNA(MATCH(F1334,Lists!$G$2:$G$25,0)),"Goal / fund not in list",IF(H1334="Income","Fund tag ignored on income","")))))))))))</f>
        <v/>
      </c>
    </row>
    <row r="1335">
      <c r="A1335" s="27" t="n"/>
      <c r="B1335" s="23" t="n"/>
      <c r="C1335" s="23" t="n"/>
      <c r="D1335" s="28" t="n"/>
      <c r="E1335" s="23" t="n"/>
      <c r="F1335" s="23" t="n"/>
      <c r="G1335" s="23" t="n"/>
      <c r="H1335" s="29">
        <f>IF(C1335="","",IFERROR(INDEX(Categories!$B$6:$B$65,MATCH(C1335,Categories!$A$6:$A$65,0))&amp;"",""))</f>
        <v/>
      </c>
      <c r="I1335" s="25">
        <f>IF(AND(A1335="",C1335="",D1335=""),"",IF(A1335="","Date missing",IF(NOT(ISNUMBER(A1335)),"Date not recognized",IF(YEAR(A1335)&lt;&gt;Settings!$C$4,"Not in "&amp;Settings!$C$4,IF(C1335="","Category missing",IF(H1335="",IF(COUNTIF(Categories!$A$6:$A$65,C1335)&gt;0,"Category has no type","Category not in list"),IF(D1335="","Amount missing",IF(NOT(ISNUMBER(D1335)),"Amount is not a number",IF(F1335="","",IF(ISNA(MATCH(F1335,Lists!$G$2:$G$25,0)),"Goal / fund not in list",IF(H1335="Income","Fund tag ignored on income","")))))))))))</f>
        <v/>
      </c>
    </row>
    <row r="1336">
      <c r="A1336" s="27" t="n"/>
      <c r="B1336" s="23" t="n"/>
      <c r="C1336" s="23" t="n"/>
      <c r="D1336" s="28" t="n"/>
      <c r="E1336" s="23" t="n"/>
      <c r="F1336" s="23" t="n"/>
      <c r="G1336" s="23" t="n"/>
      <c r="H1336" s="29">
        <f>IF(C1336="","",IFERROR(INDEX(Categories!$B$6:$B$65,MATCH(C1336,Categories!$A$6:$A$65,0))&amp;"",""))</f>
        <v/>
      </c>
      <c r="I1336" s="25">
        <f>IF(AND(A1336="",C1336="",D1336=""),"",IF(A1336="","Date missing",IF(NOT(ISNUMBER(A1336)),"Date not recognized",IF(YEAR(A1336)&lt;&gt;Settings!$C$4,"Not in "&amp;Settings!$C$4,IF(C1336="","Category missing",IF(H1336="",IF(COUNTIF(Categories!$A$6:$A$65,C1336)&gt;0,"Category has no type","Category not in list"),IF(D1336="","Amount missing",IF(NOT(ISNUMBER(D1336)),"Amount is not a number",IF(F1336="","",IF(ISNA(MATCH(F1336,Lists!$G$2:$G$25,0)),"Goal / fund not in list",IF(H1336="Income","Fund tag ignored on income","")))))))))))</f>
        <v/>
      </c>
    </row>
    <row r="1337">
      <c r="A1337" s="27" t="n"/>
      <c r="B1337" s="23" t="n"/>
      <c r="C1337" s="23" t="n"/>
      <c r="D1337" s="28" t="n"/>
      <c r="E1337" s="23" t="n"/>
      <c r="F1337" s="23" t="n"/>
      <c r="G1337" s="23" t="n"/>
      <c r="H1337" s="29">
        <f>IF(C1337="","",IFERROR(INDEX(Categories!$B$6:$B$65,MATCH(C1337,Categories!$A$6:$A$65,0))&amp;"",""))</f>
        <v/>
      </c>
      <c r="I1337" s="25">
        <f>IF(AND(A1337="",C1337="",D1337=""),"",IF(A1337="","Date missing",IF(NOT(ISNUMBER(A1337)),"Date not recognized",IF(YEAR(A1337)&lt;&gt;Settings!$C$4,"Not in "&amp;Settings!$C$4,IF(C1337="","Category missing",IF(H1337="",IF(COUNTIF(Categories!$A$6:$A$65,C1337)&gt;0,"Category has no type","Category not in list"),IF(D1337="","Amount missing",IF(NOT(ISNUMBER(D1337)),"Amount is not a number",IF(F1337="","",IF(ISNA(MATCH(F1337,Lists!$G$2:$G$25,0)),"Goal / fund not in list",IF(H1337="Income","Fund tag ignored on income","")))))))))))</f>
        <v/>
      </c>
    </row>
    <row r="1338">
      <c r="A1338" s="27" t="n"/>
      <c r="B1338" s="23" t="n"/>
      <c r="C1338" s="23" t="n"/>
      <c r="D1338" s="28" t="n"/>
      <c r="E1338" s="23" t="n"/>
      <c r="F1338" s="23" t="n"/>
      <c r="G1338" s="23" t="n"/>
      <c r="H1338" s="29">
        <f>IF(C1338="","",IFERROR(INDEX(Categories!$B$6:$B$65,MATCH(C1338,Categories!$A$6:$A$65,0))&amp;"",""))</f>
        <v/>
      </c>
      <c r="I1338" s="25">
        <f>IF(AND(A1338="",C1338="",D1338=""),"",IF(A1338="","Date missing",IF(NOT(ISNUMBER(A1338)),"Date not recognized",IF(YEAR(A1338)&lt;&gt;Settings!$C$4,"Not in "&amp;Settings!$C$4,IF(C1338="","Category missing",IF(H1338="",IF(COUNTIF(Categories!$A$6:$A$65,C1338)&gt;0,"Category has no type","Category not in list"),IF(D1338="","Amount missing",IF(NOT(ISNUMBER(D1338)),"Amount is not a number",IF(F1338="","",IF(ISNA(MATCH(F1338,Lists!$G$2:$G$25,0)),"Goal / fund not in list",IF(H1338="Income","Fund tag ignored on income","")))))))))))</f>
        <v/>
      </c>
    </row>
    <row r="1339">
      <c r="A1339" s="27" t="n"/>
      <c r="B1339" s="23" t="n"/>
      <c r="C1339" s="23" t="n"/>
      <c r="D1339" s="28" t="n"/>
      <c r="E1339" s="23" t="n"/>
      <c r="F1339" s="23" t="n"/>
      <c r="G1339" s="23" t="n"/>
      <c r="H1339" s="29">
        <f>IF(C1339="","",IFERROR(INDEX(Categories!$B$6:$B$65,MATCH(C1339,Categories!$A$6:$A$65,0))&amp;"",""))</f>
        <v/>
      </c>
      <c r="I1339" s="25">
        <f>IF(AND(A1339="",C1339="",D1339=""),"",IF(A1339="","Date missing",IF(NOT(ISNUMBER(A1339)),"Date not recognized",IF(YEAR(A1339)&lt;&gt;Settings!$C$4,"Not in "&amp;Settings!$C$4,IF(C1339="","Category missing",IF(H1339="",IF(COUNTIF(Categories!$A$6:$A$65,C1339)&gt;0,"Category has no type","Category not in list"),IF(D1339="","Amount missing",IF(NOT(ISNUMBER(D1339)),"Amount is not a number",IF(F1339="","",IF(ISNA(MATCH(F1339,Lists!$G$2:$G$25,0)),"Goal / fund not in list",IF(H1339="Income","Fund tag ignored on income","")))))))))))</f>
        <v/>
      </c>
    </row>
    <row r="1340">
      <c r="A1340" s="27" t="n"/>
      <c r="B1340" s="23" t="n"/>
      <c r="C1340" s="23" t="n"/>
      <c r="D1340" s="28" t="n"/>
      <c r="E1340" s="23" t="n"/>
      <c r="F1340" s="23" t="n"/>
      <c r="G1340" s="23" t="n"/>
      <c r="H1340" s="29">
        <f>IF(C1340="","",IFERROR(INDEX(Categories!$B$6:$B$65,MATCH(C1340,Categories!$A$6:$A$65,0))&amp;"",""))</f>
        <v/>
      </c>
      <c r="I1340" s="25">
        <f>IF(AND(A1340="",C1340="",D1340=""),"",IF(A1340="","Date missing",IF(NOT(ISNUMBER(A1340)),"Date not recognized",IF(YEAR(A1340)&lt;&gt;Settings!$C$4,"Not in "&amp;Settings!$C$4,IF(C1340="","Category missing",IF(H1340="",IF(COUNTIF(Categories!$A$6:$A$65,C1340)&gt;0,"Category has no type","Category not in list"),IF(D1340="","Amount missing",IF(NOT(ISNUMBER(D1340)),"Amount is not a number",IF(F1340="","",IF(ISNA(MATCH(F1340,Lists!$G$2:$G$25,0)),"Goal / fund not in list",IF(H1340="Income","Fund tag ignored on income","")))))))))))</f>
        <v/>
      </c>
    </row>
    <row r="1341">
      <c r="A1341" s="27" t="n"/>
      <c r="B1341" s="23" t="n"/>
      <c r="C1341" s="23" t="n"/>
      <c r="D1341" s="28" t="n"/>
      <c r="E1341" s="23" t="n"/>
      <c r="F1341" s="23" t="n"/>
      <c r="G1341" s="23" t="n"/>
      <c r="H1341" s="29">
        <f>IF(C1341="","",IFERROR(INDEX(Categories!$B$6:$B$65,MATCH(C1341,Categories!$A$6:$A$65,0))&amp;"",""))</f>
        <v/>
      </c>
      <c r="I1341" s="25">
        <f>IF(AND(A1341="",C1341="",D1341=""),"",IF(A1341="","Date missing",IF(NOT(ISNUMBER(A1341)),"Date not recognized",IF(YEAR(A1341)&lt;&gt;Settings!$C$4,"Not in "&amp;Settings!$C$4,IF(C1341="","Category missing",IF(H1341="",IF(COUNTIF(Categories!$A$6:$A$65,C1341)&gt;0,"Category has no type","Category not in list"),IF(D1341="","Amount missing",IF(NOT(ISNUMBER(D1341)),"Amount is not a number",IF(F1341="","",IF(ISNA(MATCH(F1341,Lists!$G$2:$G$25,0)),"Goal / fund not in list",IF(H1341="Income","Fund tag ignored on income","")))))))))))</f>
        <v/>
      </c>
    </row>
    <row r="1342">
      <c r="A1342" s="27" t="n"/>
      <c r="B1342" s="23" t="n"/>
      <c r="C1342" s="23" t="n"/>
      <c r="D1342" s="28" t="n"/>
      <c r="E1342" s="23" t="n"/>
      <c r="F1342" s="23" t="n"/>
      <c r="G1342" s="23" t="n"/>
      <c r="H1342" s="29">
        <f>IF(C1342="","",IFERROR(INDEX(Categories!$B$6:$B$65,MATCH(C1342,Categories!$A$6:$A$65,0))&amp;"",""))</f>
        <v/>
      </c>
      <c r="I1342" s="25">
        <f>IF(AND(A1342="",C1342="",D1342=""),"",IF(A1342="","Date missing",IF(NOT(ISNUMBER(A1342)),"Date not recognized",IF(YEAR(A1342)&lt;&gt;Settings!$C$4,"Not in "&amp;Settings!$C$4,IF(C1342="","Category missing",IF(H1342="",IF(COUNTIF(Categories!$A$6:$A$65,C1342)&gt;0,"Category has no type","Category not in list"),IF(D1342="","Amount missing",IF(NOT(ISNUMBER(D1342)),"Amount is not a number",IF(F1342="","",IF(ISNA(MATCH(F1342,Lists!$G$2:$G$25,0)),"Goal / fund not in list",IF(H1342="Income","Fund tag ignored on income","")))))))))))</f>
        <v/>
      </c>
    </row>
    <row r="1343">
      <c r="A1343" s="27" t="n"/>
      <c r="B1343" s="23" t="n"/>
      <c r="C1343" s="23" t="n"/>
      <c r="D1343" s="28" t="n"/>
      <c r="E1343" s="23" t="n"/>
      <c r="F1343" s="23" t="n"/>
      <c r="G1343" s="23" t="n"/>
      <c r="H1343" s="29">
        <f>IF(C1343="","",IFERROR(INDEX(Categories!$B$6:$B$65,MATCH(C1343,Categories!$A$6:$A$65,0))&amp;"",""))</f>
        <v/>
      </c>
      <c r="I1343" s="25">
        <f>IF(AND(A1343="",C1343="",D1343=""),"",IF(A1343="","Date missing",IF(NOT(ISNUMBER(A1343)),"Date not recognized",IF(YEAR(A1343)&lt;&gt;Settings!$C$4,"Not in "&amp;Settings!$C$4,IF(C1343="","Category missing",IF(H1343="",IF(COUNTIF(Categories!$A$6:$A$65,C1343)&gt;0,"Category has no type","Category not in list"),IF(D1343="","Amount missing",IF(NOT(ISNUMBER(D1343)),"Amount is not a number",IF(F1343="","",IF(ISNA(MATCH(F1343,Lists!$G$2:$G$25,0)),"Goal / fund not in list",IF(H1343="Income","Fund tag ignored on income","")))))))))))</f>
        <v/>
      </c>
    </row>
    <row r="1344">
      <c r="A1344" s="27" t="n"/>
      <c r="B1344" s="23" t="n"/>
      <c r="C1344" s="23" t="n"/>
      <c r="D1344" s="28" t="n"/>
      <c r="E1344" s="23" t="n"/>
      <c r="F1344" s="23" t="n"/>
      <c r="G1344" s="23" t="n"/>
      <c r="H1344" s="29">
        <f>IF(C1344="","",IFERROR(INDEX(Categories!$B$6:$B$65,MATCH(C1344,Categories!$A$6:$A$65,0))&amp;"",""))</f>
        <v/>
      </c>
      <c r="I1344" s="25">
        <f>IF(AND(A1344="",C1344="",D1344=""),"",IF(A1344="","Date missing",IF(NOT(ISNUMBER(A1344)),"Date not recognized",IF(YEAR(A1344)&lt;&gt;Settings!$C$4,"Not in "&amp;Settings!$C$4,IF(C1344="","Category missing",IF(H1344="",IF(COUNTIF(Categories!$A$6:$A$65,C1344)&gt;0,"Category has no type","Category not in list"),IF(D1344="","Amount missing",IF(NOT(ISNUMBER(D1344)),"Amount is not a number",IF(F1344="","",IF(ISNA(MATCH(F1344,Lists!$G$2:$G$25,0)),"Goal / fund not in list",IF(H1344="Income","Fund tag ignored on income","")))))))))))</f>
        <v/>
      </c>
    </row>
    <row r="1345">
      <c r="A1345" s="27" t="n"/>
      <c r="B1345" s="23" t="n"/>
      <c r="C1345" s="23" t="n"/>
      <c r="D1345" s="28" t="n"/>
      <c r="E1345" s="23" t="n"/>
      <c r="F1345" s="23" t="n"/>
      <c r="G1345" s="23" t="n"/>
      <c r="H1345" s="29">
        <f>IF(C1345="","",IFERROR(INDEX(Categories!$B$6:$B$65,MATCH(C1345,Categories!$A$6:$A$65,0))&amp;"",""))</f>
        <v/>
      </c>
      <c r="I1345" s="25">
        <f>IF(AND(A1345="",C1345="",D1345=""),"",IF(A1345="","Date missing",IF(NOT(ISNUMBER(A1345)),"Date not recognized",IF(YEAR(A1345)&lt;&gt;Settings!$C$4,"Not in "&amp;Settings!$C$4,IF(C1345="","Category missing",IF(H1345="",IF(COUNTIF(Categories!$A$6:$A$65,C1345)&gt;0,"Category has no type","Category not in list"),IF(D1345="","Amount missing",IF(NOT(ISNUMBER(D1345)),"Amount is not a number",IF(F1345="","",IF(ISNA(MATCH(F1345,Lists!$G$2:$G$25,0)),"Goal / fund not in list",IF(H1345="Income","Fund tag ignored on income","")))))))))))</f>
        <v/>
      </c>
    </row>
    <row r="1346">
      <c r="A1346" s="27" t="n"/>
      <c r="B1346" s="23" t="n"/>
      <c r="C1346" s="23" t="n"/>
      <c r="D1346" s="28" t="n"/>
      <c r="E1346" s="23" t="n"/>
      <c r="F1346" s="23" t="n"/>
      <c r="G1346" s="23" t="n"/>
      <c r="H1346" s="29">
        <f>IF(C1346="","",IFERROR(INDEX(Categories!$B$6:$B$65,MATCH(C1346,Categories!$A$6:$A$65,0))&amp;"",""))</f>
        <v/>
      </c>
      <c r="I1346" s="25">
        <f>IF(AND(A1346="",C1346="",D1346=""),"",IF(A1346="","Date missing",IF(NOT(ISNUMBER(A1346)),"Date not recognized",IF(YEAR(A1346)&lt;&gt;Settings!$C$4,"Not in "&amp;Settings!$C$4,IF(C1346="","Category missing",IF(H1346="",IF(COUNTIF(Categories!$A$6:$A$65,C1346)&gt;0,"Category has no type","Category not in list"),IF(D1346="","Amount missing",IF(NOT(ISNUMBER(D1346)),"Amount is not a number",IF(F1346="","",IF(ISNA(MATCH(F1346,Lists!$G$2:$G$25,0)),"Goal / fund not in list",IF(H1346="Income","Fund tag ignored on income","")))))))))))</f>
        <v/>
      </c>
    </row>
    <row r="1347">
      <c r="A1347" s="27" t="n"/>
      <c r="B1347" s="23" t="n"/>
      <c r="C1347" s="23" t="n"/>
      <c r="D1347" s="28" t="n"/>
      <c r="E1347" s="23" t="n"/>
      <c r="F1347" s="23" t="n"/>
      <c r="G1347" s="23" t="n"/>
      <c r="H1347" s="29">
        <f>IF(C1347="","",IFERROR(INDEX(Categories!$B$6:$B$65,MATCH(C1347,Categories!$A$6:$A$65,0))&amp;"",""))</f>
        <v/>
      </c>
      <c r="I1347" s="25">
        <f>IF(AND(A1347="",C1347="",D1347=""),"",IF(A1347="","Date missing",IF(NOT(ISNUMBER(A1347)),"Date not recognized",IF(YEAR(A1347)&lt;&gt;Settings!$C$4,"Not in "&amp;Settings!$C$4,IF(C1347="","Category missing",IF(H1347="",IF(COUNTIF(Categories!$A$6:$A$65,C1347)&gt;0,"Category has no type","Category not in list"),IF(D1347="","Amount missing",IF(NOT(ISNUMBER(D1347)),"Amount is not a number",IF(F1347="","",IF(ISNA(MATCH(F1347,Lists!$G$2:$G$25,0)),"Goal / fund not in list",IF(H1347="Income","Fund tag ignored on income","")))))))))))</f>
        <v/>
      </c>
    </row>
    <row r="1348">
      <c r="A1348" s="27" t="n"/>
      <c r="B1348" s="23" t="n"/>
      <c r="C1348" s="23" t="n"/>
      <c r="D1348" s="28" t="n"/>
      <c r="E1348" s="23" t="n"/>
      <c r="F1348" s="23" t="n"/>
      <c r="G1348" s="23" t="n"/>
      <c r="H1348" s="29">
        <f>IF(C1348="","",IFERROR(INDEX(Categories!$B$6:$B$65,MATCH(C1348,Categories!$A$6:$A$65,0))&amp;"",""))</f>
        <v/>
      </c>
      <c r="I1348" s="25">
        <f>IF(AND(A1348="",C1348="",D1348=""),"",IF(A1348="","Date missing",IF(NOT(ISNUMBER(A1348)),"Date not recognized",IF(YEAR(A1348)&lt;&gt;Settings!$C$4,"Not in "&amp;Settings!$C$4,IF(C1348="","Category missing",IF(H1348="",IF(COUNTIF(Categories!$A$6:$A$65,C1348)&gt;0,"Category has no type","Category not in list"),IF(D1348="","Amount missing",IF(NOT(ISNUMBER(D1348)),"Amount is not a number",IF(F1348="","",IF(ISNA(MATCH(F1348,Lists!$G$2:$G$25,0)),"Goal / fund not in list",IF(H1348="Income","Fund tag ignored on income","")))))))))))</f>
        <v/>
      </c>
    </row>
    <row r="1349">
      <c r="A1349" s="27" t="n"/>
      <c r="B1349" s="23" t="n"/>
      <c r="C1349" s="23" t="n"/>
      <c r="D1349" s="28" t="n"/>
      <c r="E1349" s="23" t="n"/>
      <c r="F1349" s="23" t="n"/>
      <c r="G1349" s="23" t="n"/>
      <c r="H1349" s="29">
        <f>IF(C1349="","",IFERROR(INDEX(Categories!$B$6:$B$65,MATCH(C1349,Categories!$A$6:$A$65,0))&amp;"",""))</f>
        <v/>
      </c>
      <c r="I1349" s="25">
        <f>IF(AND(A1349="",C1349="",D1349=""),"",IF(A1349="","Date missing",IF(NOT(ISNUMBER(A1349)),"Date not recognized",IF(YEAR(A1349)&lt;&gt;Settings!$C$4,"Not in "&amp;Settings!$C$4,IF(C1349="","Category missing",IF(H1349="",IF(COUNTIF(Categories!$A$6:$A$65,C1349)&gt;0,"Category has no type","Category not in list"),IF(D1349="","Amount missing",IF(NOT(ISNUMBER(D1349)),"Amount is not a number",IF(F1349="","",IF(ISNA(MATCH(F1349,Lists!$G$2:$G$25,0)),"Goal / fund not in list",IF(H1349="Income","Fund tag ignored on income","")))))))))))</f>
        <v/>
      </c>
    </row>
    <row r="1350">
      <c r="A1350" s="27" t="n"/>
      <c r="B1350" s="23" t="n"/>
      <c r="C1350" s="23" t="n"/>
      <c r="D1350" s="28" t="n"/>
      <c r="E1350" s="23" t="n"/>
      <c r="F1350" s="23" t="n"/>
      <c r="G1350" s="23" t="n"/>
      <c r="H1350" s="29">
        <f>IF(C1350="","",IFERROR(INDEX(Categories!$B$6:$B$65,MATCH(C1350,Categories!$A$6:$A$65,0))&amp;"",""))</f>
        <v/>
      </c>
      <c r="I1350" s="25">
        <f>IF(AND(A1350="",C1350="",D1350=""),"",IF(A1350="","Date missing",IF(NOT(ISNUMBER(A1350)),"Date not recognized",IF(YEAR(A1350)&lt;&gt;Settings!$C$4,"Not in "&amp;Settings!$C$4,IF(C1350="","Category missing",IF(H1350="",IF(COUNTIF(Categories!$A$6:$A$65,C1350)&gt;0,"Category has no type","Category not in list"),IF(D1350="","Amount missing",IF(NOT(ISNUMBER(D1350)),"Amount is not a number",IF(F1350="","",IF(ISNA(MATCH(F1350,Lists!$G$2:$G$25,0)),"Goal / fund not in list",IF(H1350="Income","Fund tag ignored on income","")))))))))))</f>
        <v/>
      </c>
    </row>
    <row r="1351">
      <c r="A1351" s="27" t="n"/>
      <c r="B1351" s="23" t="n"/>
      <c r="C1351" s="23" t="n"/>
      <c r="D1351" s="28" t="n"/>
      <c r="E1351" s="23" t="n"/>
      <c r="F1351" s="23" t="n"/>
      <c r="G1351" s="23" t="n"/>
      <c r="H1351" s="29">
        <f>IF(C1351="","",IFERROR(INDEX(Categories!$B$6:$B$65,MATCH(C1351,Categories!$A$6:$A$65,0))&amp;"",""))</f>
        <v/>
      </c>
      <c r="I1351" s="25">
        <f>IF(AND(A1351="",C1351="",D1351=""),"",IF(A1351="","Date missing",IF(NOT(ISNUMBER(A1351)),"Date not recognized",IF(YEAR(A1351)&lt;&gt;Settings!$C$4,"Not in "&amp;Settings!$C$4,IF(C1351="","Category missing",IF(H1351="",IF(COUNTIF(Categories!$A$6:$A$65,C1351)&gt;0,"Category has no type","Category not in list"),IF(D1351="","Amount missing",IF(NOT(ISNUMBER(D1351)),"Amount is not a number",IF(F1351="","",IF(ISNA(MATCH(F1351,Lists!$G$2:$G$25,0)),"Goal / fund not in list",IF(H1351="Income","Fund tag ignored on income","")))))))))))</f>
        <v/>
      </c>
    </row>
    <row r="1352">
      <c r="A1352" s="27" t="n"/>
      <c r="B1352" s="23" t="n"/>
      <c r="C1352" s="23" t="n"/>
      <c r="D1352" s="28" t="n"/>
      <c r="E1352" s="23" t="n"/>
      <c r="F1352" s="23" t="n"/>
      <c r="G1352" s="23" t="n"/>
      <c r="H1352" s="29">
        <f>IF(C1352="","",IFERROR(INDEX(Categories!$B$6:$B$65,MATCH(C1352,Categories!$A$6:$A$65,0))&amp;"",""))</f>
        <v/>
      </c>
      <c r="I1352" s="25">
        <f>IF(AND(A1352="",C1352="",D1352=""),"",IF(A1352="","Date missing",IF(NOT(ISNUMBER(A1352)),"Date not recognized",IF(YEAR(A1352)&lt;&gt;Settings!$C$4,"Not in "&amp;Settings!$C$4,IF(C1352="","Category missing",IF(H1352="",IF(COUNTIF(Categories!$A$6:$A$65,C1352)&gt;0,"Category has no type","Category not in list"),IF(D1352="","Amount missing",IF(NOT(ISNUMBER(D1352)),"Amount is not a number",IF(F1352="","",IF(ISNA(MATCH(F1352,Lists!$G$2:$G$25,0)),"Goal / fund not in list",IF(H1352="Income","Fund tag ignored on income","")))))))))))</f>
        <v/>
      </c>
    </row>
    <row r="1353">
      <c r="A1353" s="27" t="n"/>
      <c r="B1353" s="23" t="n"/>
      <c r="C1353" s="23" t="n"/>
      <c r="D1353" s="28" t="n"/>
      <c r="E1353" s="23" t="n"/>
      <c r="F1353" s="23" t="n"/>
      <c r="G1353" s="23" t="n"/>
      <c r="H1353" s="29">
        <f>IF(C1353="","",IFERROR(INDEX(Categories!$B$6:$B$65,MATCH(C1353,Categories!$A$6:$A$65,0))&amp;"",""))</f>
        <v/>
      </c>
      <c r="I1353" s="25">
        <f>IF(AND(A1353="",C1353="",D1353=""),"",IF(A1353="","Date missing",IF(NOT(ISNUMBER(A1353)),"Date not recognized",IF(YEAR(A1353)&lt;&gt;Settings!$C$4,"Not in "&amp;Settings!$C$4,IF(C1353="","Category missing",IF(H1353="",IF(COUNTIF(Categories!$A$6:$A$65,C1353)&gt;0,"Category has no type","Category not in list"),IF(D1353="","Amount missing",IF(NOT(ISNUMBER(D1353)),"Amount is not a number",IF(F1353="","",IF(ISNA(MATCH(F1353,Lists!$G$2:$G$25,0)),"Goal / fund not in list",IF(H1353="Income","Fund tag ignored on income","")))))))))))</f>
        <v/>
      </c>
    </row>
    <row r="1354">
      <c r="A1354" s="27" t="n"/>
      <c r="B1354" s="23" t="n"/>
      <c r="C1354" s="23" t="n"/>
      <c r="D1354" s="28" t="n"/>
      <c r="E1354" s="23" t="n"/>
      <c r="F1354" s="23" t="n"/>
      <c r="G1354" s="23" t="n"/>
      <c r="H1354" s="29">
        <f>IF(C1354="","",IFERROR(INDEX(Categories!$B$6:$B$65,MATCH(C1354,Categories!$A$6:$A$65,0))&amp;"",""))</f>
        <v/>
      </c>
      <c r="I1354" s="25">
        <f>IF(AND(A1354="",C1354="",D1354=""),"",IF(A1354="","Date missing",IF(NOT(ISNUMBER(A1354)),"Date not recognized",IF(YEAR(A1354)&lt;&gt;Settings!$C$4,"Not in "&amp;Settings!$C$4,IF(C1354="","Category missing",IF(H1354="",IF(COUNTIF(Categories!$A$6:$A$65,C1354)&gt;0,"Category has no type","Category not in list"),IF(D1354="","Amount missing",IF(NOT(ISNUMBER(D1354)),"Amount is not a number",IF(F1354="","",IF(ISNA(MATCH(F1354,Lists!$G$2:$G$25,0)),"Goal / fund not in list",IF(H1354="Income","Fund tag ignored on income","")))))))))))</f>
        <v/>
      </c>
    </row>
    <row r="1355">
      <c r="A1355" s="27" t="n"/>
      <c r="B1355" s="23" t="n"/>
      <c r="C1355" s="23" t="n"/>
      <c r="D1355" s="28" t="n"/>
      <c r="E1355" s="23" t="n"/>
      <c r="F1355" s="23" t="n"/>
      <c r="G1355" s="23" t="n"/>
      <c r="H1355" s="29">
        <f>IF(C1355="","",IFERROR(INDEX(Categories!$B$6:$B$65,MATCH(C1355,Categories!$A$6:$A$65,0))&amp;"",""))</f>
        <v/>
      </c>
      <c r="I1355" s="25">
        <f>IF(AND(A1355="",C1355="",D1355=""),"",IF(A1355="","Date missing",IF(NOT(ISNUMBER(A1355)),"Date not recognized",IF(YEAR(A1355)&lt;&gt;Settings!$C$4,"Not in "&amp;Settings!$C$4,IF(C1355="","Category missing",IF(H1355="",IF(COUNTIF(Categories!$A$6:$A$65,C1355)&gt;0,"Category has no type","Category not in list"),IF(D1355="","Amount missing",IF(NOT(ISNUMBER(D1355)),"Amount is not a number",IF(F1355="","",IF(ISNA(MATCH(F1355,Lists!$G$2:$G$25,0)),"Goal / fund not in list",IF(H1355="Income","Fund tag ignored on income","")))))))))))</f>
        <v/>
      </c>
    </row>
    <row r="1356">
      <c r="A1356" s="27" t="n"/>
      <c r="B1356" s="23" t="n"/>
      <c r="C1356" s="23" t="n"/>
      <c r="D1356" s="28" t="n"/>
      <c r="E1356" s="23" t="n"/>
      <c r="F1356" s="23" t="n"/>
      <c r="G1356" s="23" t="n"/>
      <c r="H1356" s="29">
        <f>IF(C1356="","",IFERROR(INDEX(Categories!$B$6:$B$65,MATCH(C1356,Categories!$A$6:$A$65,0))&amp;"",""))</f>
        <v/>
      </c>
      <c r="I1356" s="25">
        <f>IF(AND(A1356="",C1356="",D1356=""),"",IF(A1356="","Date missing",IF(NOT(ISNUMBER(A1356)),"Date not recognized",IF(YEAR(A1356)&lt;&gt;Settings!$C$4,"Not in "&amp;Settings!$C$4,IF(C1356="","Category missing",IF(H1356="",IF(COUNTIF(Categories!$A$6:$A$65,C1356)&gt;0,"Category has no type","Category not in list"),IF(D1356="","Amount missing",IF(NOT(ISNUMBER(D1356)),"Amount is not a number",IF(F1356="","",IF(ISNA(MATCH(F1356,Lists!$G$2:$G$25,0)),"Goal / fund not in list",IF(H1356="Income","Fund tag ignored on income","")))))))))))</f>
        <v/>
      </c>
    </row>
    <row r="1357">
      <c r="A1357" s="27" t="n"/>
      <c r="B1357" s="23" t="n"/>
      <c r="C1357" s="23" t="n"/>
      <c r="D1357" s="28" t="n"/>
      <c r="E1357" s="23" t="n"/>
      <c r="F1357" s="23" t="n"/>
      <c r="G1357" s="23" t="n"/>
      <c r="H1357" s="29">
        <f>IF(C1357="","",IFERROR(INDEX(Categories!$B$6:$B$65,MATCH(C1357,Categories!$A$6:$A$65,0))&amp;"",""))</f>
        <v/>
      </c>
      <c r="I1357" s="25">
        <f>IF(AND(A1357="",C1357="",D1357=""),"",IF(A1357="","Date missing",IF(NOT(ISNUMBER(A1357)),"Date not recognized",IF(YEAR(A1357)&lt;&gt;Settings!$C$4,"Not in "&amp;Settings!$C$4,IF(C1357="","Category missing",IF(H1357="",IF(COUNTIF(Categories!$A$6:$A$65,C1357)&gt;0,"Category has no type","Category not in list"),IF(D1357="","Amount missing",IF(NOT(ISNUMBER(D1357)),"Amount is not a number",IF(F1357="","",IF(ISNA(MATCH(F1357,Lists!$G$2:$G$25,0)),"Goal / fund not in list",IF(H1357="Income","Fund tag ignored on income","")))))))))))</f>
        <v/>
      </c>
    </row>
    <row r="1358">
      <c r="A1358" s="27" t="n"/>
      <c r="B1358" s="23" t="n"/>
      <c r="C1358" s="23" t="n"/>
      <c r="D1358" s="28" t="n"/>
      <c r="E1358" s="23" t="n"/>
      <c r="F1358" s="23" t="n"/>
      <c r="G1358" s="23" t="n"/>
      <c r="H1358" s="29">
        <f>IF(C1358="","",IFERROR(INDEX(Categories!$B$6:$B$65,MATCH(C1358,Categories!$A$6:$A$65,0))&amp;"",""))</f>
        <v/>
      </c>
      <c r="I1358" s="25">
        <f>IF(AND(A1358="",C1358="",D1358=""),"",IF(A1358="","Date missing",IF(NOT(ISNUMBER(A1358)),"Date not recognized",IF(YEAR(A1358)&lt;&gt;Settings!$C$4,"Not in "&amp;Settings!$C$4,IF(C1358="","Category missing",IF(H1358="",IF(COUNTIF(Categories!$A$6:$A$65,C1358)&gt;0,"Category has no type","Category not in list"),IF(D1358="","Amount missing",IF(NOT(ISNUMBER(D1358)),"Amount is not a number",IF(F1358="","",IF(ISNA(MATCH(F1358,Lists!$G$2:$G$25,0)),"Goal / fund not in list",IF(H1358="Income","Fund tag ignored on income","")))))))))))</f>
        <v/>
      </c>
    </row>
    <row r="1359">
      <c r="A1359" s="27" t="n"/>
      <c r="B1359" s="23" t="n"/>
      <c r="C1359" s="23" t="n"/>
      <c r="D1359" s="28" t="n"/>
      <c r="E1359" s="23" t="n"/>
      <c r="F1359" s="23" t="n"/>
      <c r="G1359" s="23" t="n"/>
      <c r="H1359" s="29">
        <f>IF(C1359="","",IFERROR(INDEX(Categories!$B$6:$B$65,MATCH(C1359,Categories!$A$6:$A$65,0))&amp;"",""))</f>
        <v/>
      </c>
      <c r="I1359" s="25">
        <f>IF(AND(A1359="",C1359="",D1359=""),"",IF(A1359="","Date missing",IF(NOT(ISNUMBER(A1359)),"Date not recognized",IF(YEAR(A1359)&lt;&gt;Settings!$C$4,"Not in "&amp;Settings!$C$4,IF(C1359="","Category missing",IF(H1359="",IF(COUNTIF(Categories!$A$6:$A$65,C1359)&gt;0,"Category has no type","Category not in list"),IF(D1359="","Amount missing",IF(NOT(ISNUMBER(D1359)),"Amount is not a number",IF(F1359="","",IF(ISNA(MATCH(F1359,Lists!$G$2:$G$25,0)),"Goal / fund not in list",IF(H1359="Income","Fund tag ignored on income","")))))))))))</f>
        <v/>
      </c>
    </row>
    <row r="1360">
      <c r="A1360" s="27" t="n"/>
      <c r="B1360" s="23" t="n"/>
      <c r="C1360" s="23" t="n"/>
      <c r="D1360" s="28" t="n"/>
      <c r="E1360" s="23" t="n"/>
      <c r="F1360" s="23" t="n"/>
      <c r="G1360" s="23" t="n"/>
      <c r="H1360" s="29">
        <f>IF(C1360="","",IFERROR(INDEX(Categories!$B$6:$B$65,MATCH(C1360,Categories!$A$6:$A$65,0))&amp;"",""))</f>
        <v/>
      </c>
      <c r="I1360" s="25">
        <f>IF(AND(A1360="",C1360="",D1360=""),"",IF(A1360="","Date missing",IF(NOT(ISNUMBER(A1360)),"Date not recognized",IF(YEAR(A1360)&lt;&gt;Settings!$C$4,"Not in "&amp;Settings!$C$4,IF(C1360="","Category missing",IF(H1360="",IF(COUNTIF(Categories!$A$6:$A$65,C1360)&gt;0,"Category has no type","Category not in list"),IF(D1360="","Amount missing",IF(NOT(ISNUMBER(D1360)),"Amount is not a number",IF(F1360="","",IF(ISNA(MATCH(F1360,Lists!$G$2:$G$25,0)),"Goal / fund not in list",IF(H1360="Income","Fund tag ignored on income","")))))))))))</f>
        <v/>
      </c>
    </row>
    <row r="1361">
      <c r="A1361" s="27" t="n"/>
      <c r="B1361" s="23" t="n"/>
      <c r="C1361" s="23" t="n"/>
      <c r="D1361" s="28" t="n"/>
      <c r="E1361" s="23" t="n"/>
      <c r="F1361" s="23" t="n"/>
      <c r="G1361" s="23" t="n"/>
      <c r="H1361" s="29">
        <f>IF(C1361="","",IFERROR(INDEX(Categories!$B$6:$B$65,MATCH(C1361,Categories!$A$6:$A$65,0))&amp;"",""))</f>
        <v/>
      </c>
      <c r="I1361" s="25">
        <f>IF(AND(A1361="",C1361="",D1361=""),"",IF(A1361="","Date missing",IF(NOT(ISNUMBER(A1361)),"Date not recognized",IF(YEAR(A1361)&lt;&gt;Settings!$C$4,"Not in "&amp;Settings!$C$4,IF(C1361="","Category missing",IF(H1361="",IF(COUNTIF(Categories!$A$6:$A$65,C1361)&gt;0,"Category has no type","Category not in list"),IF(D1361="","Amount missing",IF(NOT(ISNUMBER(D1361)),"Amount is not a number",IF(F1361="","",IF(ISNA(MATCH(F1361,Lists!$G$2:$G$25,0)),"Goal / fund not in list",IF(H1361="Income","Fund tag ignored on income","")))))))))))</f>
        <v/>
      </c>
    </row>
    <row r="1362">
      <c r="A1362" s="27" t="n"/>
      <c r="B1362" s="23" t="n"/>
      <c r="C1362" s="23" t="n"/>
      <c r="D1362" s="28" t="n"/>
      <c r="E1362" s="23" t="n"/>
      <c r="F1362" s="23" t="n"/>
      <c r="G1362" s="23" t="n"/>
      <c r="H1362" s="29">
        <f>IF(C1362="","",IFERROR(INDEX(Categories!$B$6:$B$65,MATCH(C1362,Categories!$A$6:$A$65,0))&amp;"",""))</f>
        <v/>
      </c>
      <c r="I1362" s="25">
        <f>IF(AND(A1362="",C1362="",D1362=""),"",IF(A1362="","Date missing",IF(NOT(ISNUMBER(A1362)),"Date not recognized",IF(YEAR(A1362)&lt;&gt;Settings!$C$4,"Not in "&amp;Settings!$C$4,IF(C1362="","Category missing",IF(H1362="",IF(COUNTIF(Categories!$A$6:$A$65,C1362)&gt;0,"Category has no type","Category not in list"),IF(D1362="","Amount missing",IF(NOT(ISNUMBER(D1362)),"Amount is not a number",IF(F1362="","",IF(ISNA(MATCH(F1362,Lists!$G$2:$G$25,0)),"Goal / fund not in list",IF(H1362="Income","Fund tag ignored on income","")))))))))))</f>
        <v/>
      </c>
    </row>
    <row r="1363">
      <c r="A1363" s="27" t="n"/>
      <c r="B1363" s="23" t="n"/>
      <c r="C1363" s="23" t="n"/>
      <c r="D1363" s="28" t="n"/>
      <c r="E1363" s="23" t="n"/>
      <c r="F1363" s="23" t="n"/>
      <c r="G1363" s="23" t="n"/>
      <c r="H1363" s="29">
        <f>IF(C1363="","",IFERROR(INDEX(Categories!$B$6:$B$65,MATCH(C1363,Categories!$A$6:$A$65,0))&amp;"",""))</f>
        <v/>
      </c>
      <c r="I1363" s="25">
        <f>IF(AND(A1363="",C1363="",D1363=""),"",IF(A1363="","Date missing",IF(NOT(ISNUMBER(A1363)),"Date not recognized",IF(YEAR(A1363)&lt;&gt;Settings!$C$4,"Not in "&amp;Settings!$C$4,IF(C1363="","Category missing",IF(H1363="",IF(COUNTIF(Categories!$A$6:$A$65,C1363)&gt;0,"Category has no type","Category not in list"),IF(D1363="","Amount missing",IF(NOT(ISNUMBER(D1363)),"Amount is not a number",IF(F1363="","",IF(ISNA(MATCH(F1363,Lists!$G$2:$G$25,0)),"Goal / fund not in list",IF(H1363="Income","Fund tag ignored on income","")))))))))))</f>
        <v/>
      </c>
    </row>
    <row r="1364">
      <c r="A1364" s="27" t="n"/>
      <c r="B1364" s="23" t="n"/>
      <c r="C1364" s="23" t="n"/>
      <c r="D1364" s="28" t="n"/>
      <c r="E1364" s="23" t="n"/>
      <c r="F1364" s="23" t="n"/>
      <c r="G1364" s="23" t="n"/>
      <c r="H1364" s="29">
        <f>IF(C1364="","",IFERROR(INDEX(Categories!$B$6:$B$65,MATCH(C1364,Categories!$A$6:$A$65,0))&amp;"",""))</f>
        <v/>
      </c>
      <c r="I1364" s="25">
        <f>IF(AND(A1364="",C1364="",D1364=""),"",IF(A1364="","Date missing",IF(NOT(ISNUMBER(A1364)),"Date not recognized",IF(YEAR(A1364)&lt;&gt;Settings!$C$4,"Not in "&amp;Settings!$C$4,IF(C1364="","Category missing",IF(H1364="",IF(COUNTIF(Categories!$A$6:$A$65,C1364)&gt;0,"Category has no type","Category not in list"),IF(D1364="","Amount missing",IF(NOT(ISNUMBER(D1364)),"Amount is not a number",IF(F1364="","",IF(ISNA(MATCH(F1364,Lists!$G$2:$G$25,0)),"Goal / fund not in list",IF(H1364="Income","Fund tag ignored on income","")))))))))))</f>
        <v/>
      </c>
    </row>
    <row r="1365">
      <c r="A1365" s="27" t="n"/>
      <c r="B1365" s="23" t="n"/>
      <c r="C1365" s="23" t="n"/>
      <c r="D1365" s="28" t="n"/>
      <c r="E1365" s="23" t="n"/>
      <c r="F1365" s="23" t="n"/>
      <c r="G1365" s="23" t="n"/>
      <c r="H1365" s="29">
        <f>IF(C1365="","",IFERROR(INDEX(Categories!$B$6:$B$65,MATCH(C1365,Categories!$A$6:$A$65,0))&amp;"",""))</f>
        <v/>
      </c>
      <c r="I1365" s="25">
        <f>IF(AND(A1365="",C1365="",D1365=""),"",IF(A1365="","Date missing",IF(NOT(ISNUMBER(A1365)),"Date not recognized",IF(YEAR(A1365)&lt;&gt;Settings!$C$4,"Not in "&amp;Settings!$C$4,IF(C1365="","Category missing",IF(H1365="",IF(COUNTIF(Categories!$A$6:$A$65,C1365)&gt;0,"Category has no type","Category not in list"),IF(D1365="","Amount missing",IF(NOT(ISNUMBER(D1365)),"Amount is not a number",IF(F1365="","",IF(ISNA(MATCH(F1365,Lists!$G$2:$G$25,0)),"Goal / fund not in list",IF(H1365="Income","Fund tag ignored on income","")))))))))))</f>
        <v/>
      </c>
    </row>
    <row r="1366">
      <c r="A1366" s="27" t="n"/>
      <c r="B1366" s="23" t="n"/>
      <c r="C1366" s="23" t="n"/>
      <c r="D1366" s="28" t="n"/>
      <c r="E1366" s="23" t="n"/>
      <c r="F1366" s="23" t="n"/>
      <c r="G1366" s="23" t="n"/>
      <c r="H1366" s="29">
        <f>IF(C1366="","",IFERROR(INDEX(Categories!$B$6:$B$65,MATCH(C1366,Categories!$A$6:$A$65,0))&amp;"",""))</f>
        <v/>
      </c>
      <c r="I1366" s="25">
        <f>IF(AND(A1366="",C1366="",D1366=""),"",IF(A1366="","Date missing",IF(NOT(ISNUMBER(A1366)),"Date not recognized",IF(YEAR(A1366)&lt;&gt;Settings!$C$4,"Not in "&amp;Settings!$C$4,IF(C1366="","Category missing",IF(H1366="",IF(COUNTIF(Categories!$A$6:$A$65,C1366)&gt;0,"Category has no type","Category not in list"),IF(D1366="","Amount missing",IF(NOT(ISNUMBER(D1366)),"Amount is not a number",IF(F1366="","",IF(ISNA(MATCH(F1366,Lists!$G$2:$G$25,0)),"Goal / fund not in list",IF(H1366="Income","Fund tag ignored on income","")))))))))))</f>
        <v/>
      </c>
    </row>
    <row r="1367">
      <c r="A1367" s="27" t="n"/>
      <c r="B1367" s="23" t="n"/>
      <c r="C1367" s="23" t="n"/>
      <c r="D1367" s="28" t="n"/>
      <c r="E1367" s="23" t="n"/>
      <c r="F1367" s="23" t="n"/>
      <c r="G1367" s="23" t="n"/>
      <c r="H1367" s="29">
        <f>IF(C1367="","",IFERROR(INDEX(Categories!$B$6:$B$65,MATCH(C1367,Categories!$A$6:$A$65,0))&amp;"",""))</f>
        <v/>
      </c>
      <c r="I1367" s="25">
        <f>IF(AND(A1367="",C1367="",D1367=""),"",IF(A1367="","Date missing",IF(NOT(ISNUMBER(A1367)),"Date not recognized",IF(YEAR(A1367)&lt;&gt;Settings!$C$4,"Not in "&amp;Settings!$C$4,IF(C1367="","Category missing",IF(H1367="",IF(COUNTIF(Categories!$A$6:$A$65,C1367)&gt;0,"Category has no type","Category not in list"),IF(D1367="","Amount missing",IF(NOT(ISNUMBER(D1367)),"Amount is not a number",IF(F1367="","",IF(ISNA(MATCH(F1367,Lists!$G$2:$G$25,0)),"Goal / fund not in list",IF(H1367="Income","Fund tag ignored on income","")))))))))))</f>
        <v/>
      </c>
    </row>
    <row r="1368">
      <c r="A1368" s="27" t="n"/>
      <c r="B1368" s="23" t="n"/>
      <c r="C1368" s="23" t="n"/>
      <c r="D1368" s="28" t="n"/>
      <c r="E1368" s="23" t="n"/>
      <c r="F1368" s="23" t="n"/>
      <c r="G1368" s="23" t="n"/>
      <c r="H1368" s="29">
        <f>IF(C1368="","",IFERROR(INDEX(Categories!$B$6:$B$65,MATCH(C1368,Categories!$A$6:$A$65,0))&amp;"",""))</f>
        <v/>
      </c>
      <c r="I1368" s="25">
        <f>IF(AND(A1368="",C1368="",D1368=""),"",IF(A1368="","Date missing",IF(NOT(ISNUMBER(A1368)),"Date not recognized",IF(YEAR(A1368)&lt;&gt;Settings!$C$4,"Not in "&amp;Settings!$C$4,IF(C1368="","Category missing",IF(H1368="",IF(COUNTIF(Categories!$A$6:$A$65,C1368)&gt;0,"Category has no type","Category not in list"),IF(D1368="","Amount missing",IF(NOT(ISNUMBER(D1368)),"Amount is not a number",IF(F1368="","",IF(ISNA(MATCH(F1368,Lists!$G$2:$G$25,0)),"Goal / fund not in list",IF(H1368="Income","Fund tag ignored on income","")))))))))))</f>
        <v/>
      </c>
    </row>
    <row r="1369">
      <c r="A1369" s="27" t="n"/>
      <c r="B1369" s="23" t="n"/>
      <c r="C1369" s="23" t="n"/>
      <c r="D1369" s="28" t="n"/>
      <c r="E1369" s="23" t="n"/>
      <c r="F1369" s="23" t="n"/>
      <c r="G1369" s="23" t="n"/>
      <c r="H1369" s="29">
        <f>IF(C1369="","",IFERROR(INDEX(Categories!$B$6:$B$65,MATCH(C1369,Categories!$A$6:$A$65,0))&amp;"",""))</f>
        <v/>
      </c>
      <c r="I1369" s="25">
        <f>IF(AND(A1369="",C1369="",D1369=""),"",IF(A1369="","Date missing",IF(NOT(ISNUMBER(A1369)),"Date not recognized",IF(YEAR(A1369)&lt;&gt;Settings!$C$4,"Not in "&amp;Settings!$C$4,IF(C1369="","Category missing",IF(H1369="",IF(COUNTIF(Categories!$A$6:$A$65,C1369)&gt;0,"Category has no type","Category not in list"),IF(D1369="","Amount missing",IF(NOT(ISNUMBER(D1369)),"Amount is not a number",IF(F1369="","",IF(ISNA(MATCH(F1369,Lists!$G$2:$G$25,0)),"Goal / fund not in list",IF(H1369="Income","Fund tag ignored on income","")))))))))))</f>
        <v/>
      </c>
    </row>
    <row r="1370">
      <c r="A1370" s="27" t="n"/>
      <c r="B1370" s="23" t="n"/>
      <c r="C1370" s="23" t="n"/>
      <c r="D1370" s="28" t="n"/>
      <c r="E1370" s="23" t="n"/>
      <c r="F1370" s="23" t="n"/>
      <c r="G1370" s="23" t="n"/>
      <c r="H1370" s="29">
        <f>IF(C1370="","",IFERROR(INDEX(Categories!$B$6:$B$65,MATCH(C1370,Categories!$A$6:$A$65,0))&amp;"",""))</f>
        <v/>
      </c>
      <c r="I1370" s="25">
        <f>IF(AND(A1370="",C1370="",D1370=""),"",IF(A1370="","Date missing",IF(NOT(ISNUMBER(A1370)),"Date not recognized",IF(YEAR(A1370)&lt;&gt;Settings!$C$4,"Not in "&amp;Settings!$C$4,IF(C1370="","Category missing",IF(H1370="",IF(COUNTIF(Categories!$A$6:$A$65,C1370)&gt;0,"Category has no type","Category not in list"),IF(D1370="","Amount missing",IF(NOT(ISNUMBER(D1370)),"Amount is not a number",IF(F1370="","",IF(ISNA(MATCH(F1370,Lists!$G$2:$G$25,0)),"Goal / fund not in list",IF(H1370="Income","Fund tag ignored on income","")))))))))))</f>
        <v/>
      </c>
    </row>
    <row r="1371">
      <c r="A1371" s="27" t="n"/>
      <c r="B1371" s="23" t="n"/>
      <c r="C1371" s="23" t="n"/>
      <c r="D1371" s="28" t="n"/>
      <c r="E1371" s="23" t="n"/>
      <c r="F1371" s="23" t="n"/>
      <c r="G1371" s="23" t="n"/>
      <c r="H1371" s="29">
        <f>IF(C1371="","",IFERROR(INDEX(Categories!$B$6:$B$65,MATCH(C1371,Categories!$A$6:$A$65,0))&amp;"",""))</f>
        <v/>
      </c>
      <c r="I1371" s="25">
        <f>IF(AND(A1371="",C1371="",D1371=""),"",IF(A1371="","Date missing",IF(NOT(ISNUMBER(A1371)),"Date not recognized",IF(YEAR(A1371)&lt;&gt;Settings!$C$4,"Not in "&amp;Settings!$C$4,IF(C1371="","Category missing",IF(H1371="",IF(COUNTIF(Categories!$A$6:$A$65,C1371)&gt;0,"Category has no type","Category not in list"),IF(D1371="","Amount missing",IF(NOT(ISNUMBER(D1371)),"Amount is not a number",IF(F1371="","",IF(ISNA(MATCH(F1371,Lists!$G$2:$G$25,0)),"Goal / fund not in list",IF(H1371="Income","Fund tag ignored on income","")))))))))))</f>
        <v/>
      </c>
    </row>
    <row r="1372">
      <c r="A1372" s="27" t="n"/>
      <c r="B1372" s="23" t="n"/>
      <c r="C1372" s="23" t="n"/>
      <c r="D1372" s="28" t="n"/>
      <c r="E1372" s="23" t="n"/>
      <c r="F1372" s="23" t="n"/>
      <c r="G1372" s="23" t="n"/>
      <c r="H1372" s="29">
        <f>IF(C1372="","",IFERROR(INDEX(Categories!$B$6:$B$65,MATCH(C1372,Categories!$A$6:$A$65,0))&amp;"",""))</f>
        <v/>
      </c>
      <c r="I1372" s="25">
        <f>IF(AND(A1372="",C1372="",D1372=""),"",IF(A1372="","Date missing",IF(NOT(ISNUMBER(A1372)),"Date not recognized",IF(YEAR(A1372)&lt;&gt;Settings!$C$4,"Not in "&amp;Settings!$C$4,IF(C1372="","Category missing",IF(H1372="",IF(COUNTIF(Categories!$A$6:$A$65,C1372)&gt;0,"Category has no type","Category not in list"),IF(D1372="","Amount missing",IF(NOT(ISNUMBER(D1372)),"Amount is not a number",IF(F1372="","",IF(ISNA(MATCH(F1372,Lists!$G$2:$G$25,0)),"Goal / fund not in list",IF(H1372="Income","Fund tag ignored on income","")))))))))))</f>
        <v/>
      </c>
    </row>
    <row r="1373">
      <c r="A1373" s="27" t="n"/>
      <c r="B1373" s="23" t="n"/>
      <c r="C1373" s="23" t="n"/>
      <c r="D1373" s="28" t="n"/>
      <c r="E1373" s="23" t="n"/>
      <c r="F1373" s="23" t="n"/>
      <c r="G1373" s="23" t="n"/>
      <c r="H1373" s="29">
        <f>IF(C1373="","",IFERROR(INDEX(Categories!$B$6:$B$65,MATCH(C1373,Categories!$A$6:$A$65,0))&amp;"",""))</f>
        <v/>
      </c>
      <c r="I1373" s="25">
        <f>IF(AND(A1373="",C1373="",D1373=""),"",IF(A1373="","Date missing",IF(NOT(ISNUMBER(A1373)),"Date not recognized",IF(YEAR(A1373)&lt;&gt;Settings!$C$4,"Not in "&amp;Settings!$C$4,IF(C1373="","Category missing",IF(H1373="",IF(COUNTIF(Categories!$A$6:$A$65,C1373)&gt;0,"Category has no type","Category not in list"),IF(D1373="","Amount missing",IF(NOT(ISNUMBER(D1373)),"Amount is not a number",IF(F1373="","",IF(ISNA(MATCH(F1373,Lists!$G$2:$G$25,0)),"Goal / fund not in list",IF(H1373="Income","Fund tag ignored on income","")))))))))))</f>
        <v/>
      </c>
    </row>
    <row r="1374">
      <c r="A1374" s="27" t="n"/>
      <c r="B1374" s="23" t="n"/>
      <c r="C1374" s="23" t="n"/>
      <c r="D1374" s="28" t="n"/>
      <c r="E1374" s="23" t="n"/>
      <c r="F1374" s="23" t="n"/>
      <c r="G1374" s="23" t="n"/>
      <c r="H1374" s="29">
        <f>IF(C1374="","",IFERROR(INDEX(Categories!$B$6:$B$65,MATCH(C1374,Categories!$A$6:$A$65,0))&amp;"",""))</f>
        <v/>
      </c>
      <c r="I1374" s="25">
        <f>IF(AND(A1374="",C1374="",D1374=""),"",IF(A1374="","Date missing",IF(NOT(ISNUMBER(A1374)),"Date not recognized",IF(YEAR(A1374)&lt;&gt;Settings!$C$4,"Not in "&amp;Settings!$C$4,IF(C1374="","Category missing",IF(H1374="",IF(COUNTIF(Categories!$A$6:$A$65,C1374)&gt;0,"Category has no type","Category not in list"),IF(D1374="","Amount missing",IF(NOT(ISNUMBER(D1374)),"Amount is not a number",IF(F1374="","",IF(ISNA(MATCH(F1374,Lists!$G$2:$G$25,0)),"Goal / fund not in list",IF(H1374="Income","Fund tag ignored on income","")))))))))))</f>
        <v/>
      </c>
    </row>
    <row r="1375">
      <c r="A1375" s="27" t="n"/>
      <c r="B1375" s="23" t="n"/>
      <c r="C1375" s="23" t="n"/>
      <c r="D1375" s="28" t="n"/>
      <c r="E1375" s="23" t="n"/>
      <c r="F1375" s="23" t="n"/>
      <c r="G1375" s="23" t="n"/>
      <c r="H1375" s="29">
        <f>IF(C1375="","",IFERROR(INDEX(Categories!$B$6:$B$65,MATCH(C1375,Categories!$A$6:$A$65,0))&amp;"",""))</f>
        <v/>
      </c>
      <c r="I1375" s="25">
        <f>IF(AND(A1375="",C1375="",D1375=""),"",IF(A1375="","Date missing",IF(NOT(ISNUMBER(A1375)),"Date not recognized",IF(YEAR(A1375)&lt;&gt;Settings!$C$4,"Not in "&amp;Settings!$C$4,IF(C1375="","Category missing",IF(H1375="",IF(COUNTIF(Categories!$A$6:$A$65,C1375)&gt;0,"Category has no type","Category not in list"),IF(D1375="","Amount missing",IF(NOT(ISNUMBER(D1375)),"Amount is not a number",IF(F1375="","",IF(ISNA(MATCH(F1375,Lists!$G$2:$G$25,0)),"Goal / fund not in list",IF(H1375="Income","Fund tag ignored on income","")))))))))))</f>
        <v/>
      </c>
    </row>
    <row r="1376">
      <c r="A1376" s="27" t="n"/>
      <c r="B1376" s="23" t="n"/>
      <c r="C1376" s="23" t="n"/>
      <c r="D1376" s="28" t="n"/>
      <c r="E1376" s="23" t="n"/>
      <c r="F1376" s="23" t="n"/>
      <c r="G1376" s="23" t="n"/>
      <c r="H1376" s="29">
        <f>IF(C1376="","",IFERROR(INDEX(Categories!$B$6:$B$65,MATCH(C1376,Categories!$A$6:$A$65,0))&amp;"",""))</f>
        <v/>
      </c>
      <c r="I1376" s="25">
        <f>IF(AND(A1376="",C1376="",D1376=""),"",IF(A1376="","Date missing",IF(NOT(ISNUMBER(A1376)),"Date not recognized",IF(YEAR(A1376)&lt;&gt;Settings!$C$4,"Not in "&amp;Settings!$C$4,IF(C1376="","Category missing",IF(H1376="",IF(COUNTIF(Categories!$A$6:$A$65,C1376)&gt;0,"Category has no type","Category not in list"),IF(D1376="","Amount missing",IF(NOT(ISNUMBER(D1376)),"Amount is not a number",IF(F1376="","",IF(ISNA(MATCH(F1376,Lists!$G$2:$G$25,0)),"Goal / fund not in list",IF(H1376="Income","Fund tag ignored on income","")))))))))))</f>
        <v/>
      </c>
    </row>
    <row r="1377">
      <c r="A1377" s="27" t="n"/>
      <c r="B1377" s="23" t="n"/>
      <c r="C1377" s="23" t="n"/>
      <c r="D1377" s="28" t="n"/>
      <c r="E1377" s="23" t="n"/>
      <c r="F1377" s="23" t="n"/>
      <c r="G1377" s="23" t="n"/>
      <c r="H1377" s="29">
        <f>IF(C1377="","",IFERROR(INDEX(Categories!$B$6:$B$65,MATCH(C1377,Categories!$A$6:$A$65,0))&amp;"",""))</f>
        <v/>
      </c>
      <c r="I1377" s="25">
        <f>IF(AND(A1377="",C1377="",D1377=""),"",IF(A1377="","Date missing",IF(NOT(ISNUMBER(A1377)),"Date not recognized",IF(YEAR(A1377)&lt;&gt;Settings!$C$4,"Not in "&amp;Settings!$C$4,IF(C1377="","Category missing",IF(H1377="",IF(COUNTIF(Categories!$A$6:$A$65,C1377)&gt;0,"Category has no type","Category not in list"),IF(D1377="","Amount missing",IF(NOT(ISNUMBER(D1377)),"Amount is not a number",IF(F1377="","",IF(ISNA(MATCH(F1377,Lists!$G$2:$G$25,0)),"Goal / fund not in list",IF(H1377="Income","Fund tag ignored on income","")))))))))))</f>
        <v/>
      </c>
    </row>
    <row r="1378">
      <c r="A1378" s="27" t="n"/>
      <c r="B1378" s="23" t="n"/>
      <c r="C1378" s="23" t="n"/>
      <c r="D1378" s="28" t="n"/>
      <c r="E1378" s="23" t="n"/>
      <c r="F1378" s="23" t="n"/>
      <c r="G1378" s="23" t="n"/>
      <c r="H1378" s="29">
        <f>IF(C1378="","",IFERROR(INDEX(Categories!$B$6:$B$65,MATCH(C1378,Categories!$A$6:$A$65,0))&amp;"",""))</f>
        <v/>
      </c>
      <c r="I1378" s="25">
        <f>IF(AND(A1378="",C1378="",D1378=""),"",IF(A1378="","Date missing",IF(NOT(ISNUMBER(A1378)),"Date not recognized",IF(YEAR(A1378)&lt;&gt;Settings!$C$4,"Not in "&amp;Settings!$C$4,IF(C1378="","Category missing",IF(H1378="",IF(COUNTIF(Categories!$A$6:$A$65,C1378)&gt;0,"Category has no type","Category not in list"),IF(D1378="","Amount missing",IF(NOT(ISNUMBER(D1378)),"Amount is not a number",IF(F1378="","",IF(ISNA(MATCH(F1378,Lists!$G$2:$G$25,0)),"Goal / fund not in list",IF(H1378="Income","Fund tag ignored on income","")))))))))))</f>
        <v/>
      </c>
    </row>
    <row r="1379">
      <c r="A1379" s="27" t="n"/>
      <c r="B1379" s="23" t="n"/>
      <c r="C1379" s="23" t="n"/>
      <c r="D1379" s="28" t="n"/>
      <c r="E1379" s="23" t="n"/>
      <c r="F1379" s="23" t="n"/>
      <c r="G1379" s="23" t="n"/>
      <c r="H1379" s="29">
        <f>IF(C1379="","",IFERROR(INDEX(Categories!$B$6:$B$65,MATCH(C1379,Categories!$A$6:$A$65,0))&amp;"",""))</f>
        <v/>
      </c>
      <c r="I1379" s="25">
        <f>IF(AND(A1379="",C1379="",D1379=""),"",IF(A1379="","Date missing",IF(NOT(ISNUMBER(A1379)),"Date not recognized",IF(YEAR(A1379)&lt;&gt;Settings!$C$4,"Not in "&amp;Settings!$C$4,IF(C1379="","Category missing",IF(H1379="",IF(COUNTIF(Categories!$A$6:$A$65,C1379)&gt;0,"Category has no type","Category not in list"),IF(D1379="","Amount missing",IF(NOT(ISNUMBER(D1379)),"Amount is not a number",IF(F1379="","",IF(ISNA(MATCH(F1379,Lists!$G$2:$G$25,0)),"Goal / fund not in list",IF(H1379="Income","Fund tag ignored on income","")))))))))))</f>
        <v/>
      </c>
    </row>
    <row r="1380">
      <c r="A1380" s="27" t="n"/>
      <c r="B1380" s="23" t="n"/>
      <c r="C1380" s="23" t="n"/>
      <c r="D1380" s="28" t="n"/>
      <c r="E1380" s="23" t="n"/>
      <c r="F1380" s="23" t="n"/>
      <c r="G1380" s="23" t="n"/>
      <c r="H1380" s="29">
        <f>IF(C1380="","",IFERROR(INDEX(Categories!$B$6:$B$65,MATCH(C1380,Categories!$A$6:$A$65,0))&amp;"",""))</f>
        <v/>
      </c>
      <c r="I1380" s="25">
        <f>IF(AND(A1380="",C1380="",D1380=""),"",IF(A1380="","Date missing",IF(NOT(ISNUMBER(A1380)),"Date not recognized",IF(YEAR(A1380)&lt;&gt;Settings!$C$4,"Not in "&amp;Settings!$C$4,IF(C1380="","Category missing",IF(H1380="",IF(COUNTIF(Categories!$A$6:$A$65,C1380)&gt;0,"Category has no type","Category not in list"),IF(D1380="","Amount missing",IF(NOT(ISNUMBER(D1380)),"Amount is not a number",IF(F1380="","",IF(ISNA(MATCH(F1380,Lists!$G$2:$G$25,0)),"Goal / fund not in list",IF(H1380="Income","Fund tag ignored on income","")))))))))))</f>
        <v/>
      </c>
    </row>
    <row r="1381">
      <c r="A1381" s="27" t="n"/>
      <c r="B1381" s="23" t="n"/>
      <c r="C1381" s="23" t="n"/>
      <c r="D1381" s="28" t="n"/>
      <c r="E1381" s="23" t="n"/>
      <c r="F1381" s="23" t="n"/>
      <c r="G1381" s="23" t="n"/>
      <c r="H1381" s="29">
        <f>IF(C1381="","",IFERROR(INDEX(Categories!$B$6:$B$65,MATCH(C1381,Categories!$A$6:$A$65,0))&amp;"",""))</f>
        <v/>
      </c>
      <c r="I1381" s="25">
        <f>IF(AND(A1381="",C1381="",D1381=""),"",IF(A1381="","Date missing",IF(NOT(ISNUMBER(A1381)),"Date not recognized",IF(YEAR(A1381)&lt;&gt;Settings!$C$4,"Not in "&amp;Settings!$C$4,IF(C1381="","Category missing",IF(H1381="",IF(COUNTIF(Categories!$A$6:$A$65,C1381)&gt;0,"Category has no type","Category not in list"),IF(D1381="","Amount missing",IF(NOT(ISNUMBER(D1381)),"Amount is not a number",IF(F1381="","",IF(ISNA(MATCH(F1381,Lists!$G$2:$G$25,0)),"Goal / fund not in list",IF(H1381="Income","Fund tag ignored on income","")))))))))))</f>
        <v/>
      </c>
    </row>
    <row r="1382">
      <c r="A1382" s="27" t="n"/>
      <c r="B1382" s="23" t="n"/>
      <c r="C1382" s="23" t="n"/>
      <c r="D1382" s="28" t="n"/>
      <c r="E1382" s="23" t="n"/>
      <c r="F1382" s="23" t="n"/>
      <c r="G1382" s="23" t="n"/>
      <c r="H1382" s="29">
        <f>IF(C1382="","",IFERROR(INDEX(Categories!$B$6:$B$65,MATCH(C1382,Categories!$A$6:$A$65,0))&amp;"",""))</f>
        <v/>
      </c>
      <c r="I1382" s="25">
        <f>IF(AND(A1382="",C1382="",D1382=""),"",IF(A1382="","Date missing",IF(NOT(ISNUMBER(A1382)),"Date not recognized",IF(YEAR(A1382)&lt;&gt;Settings!$C$4,"Not in "&amp;Settings!$C$4,IF(C1382="","Category missing",IF(H1382="",IF(COUNTIF(Categories!$A$6:$A$65,C1382)&gt;0,"Category has no type","Category not in list"),IF(D1382="","Amount missing",IF(NOT(ISNUMBER(D1382)),"Amount is not a number",IF(F1382="","",IF(ISNA(MATCH(F1382,Lists!$G$2:$G$25,0)),"Goal / fund not in list",IF(H1382="Income","Fund tag ignored on income","")))))))))))</f>
        <v/>
      </c>
    </row>
    <row r="1383">
      <c r="A1383" s="27" t="n"/>
      <c r="B1383" s="23" t="n"/>
      <c r="C1383" s="23" t="n"/>
      <c r="D1383" s="28" t="n"/>
      <c r="E1383" s="23" t="n"/>
      <c r="F1383" s="23" t="n"/>
      <c r="G1383" s="23" t="n"/>
      <c r="H1383" s="29">
        <f>IF(C1383="","",IFERROR(INDEX(Categories!$B$6:$B$65,MATCH(C1383,Categories!$A$6:$A$65,0))&amp;"",""))</f>
        <v/>
      </c>
      <c r="I1383" s="25">
        <f>IF(AND(A1383="",C1383="",D1383=""),"",IF(A1383="","Date missing",IF(NOT(ISNUMBER(A1383)),"Date not recognized",IF(YEAR(A1383)&lt;&gt;Settings!$C$4,"Not in "&amp;Settings!$C$4,IF(C1383="","Category missing",IF(H1383="",IF(COUNTIF(Categories!$A$6:$A$65,C1383)&gt;0,"Category has no type","Category not in list"),IF(D1383="","Amount missing",IF(NOT(ISNUMBER(D1383)),"Amount is not a number",IF(F1383="","",IF(ISNA(MATCH(F1383,Lists!$G$2:$G$25,0)),"Goal / fund not in list",IF(H1383="Income","Fund tag ignored on income","")))))))))))</f>
        <v/>
      </c>
    </row>
    <row r="1384">
      <c r="A1384" s="27" t="n"/>
      <c r="B1384" s="23" t="n"/>
      <c r="C1384" s="23" t="n"/>
      <c r="D1384" s="28" t="n"/>
      <c r="E1384" s="23" t="n"/>
      <c r="F1384" s="23" t="n"/>
      <c r="G1384" s="23" t="n"/>
      <c r="H1384" s="29">
        <f>IF(C1384="","",IFERROR(INDEX(Categories!$B$6:$B$65,MATCH(C1384,Categories!$A$6:$A$65,0))&amp;"",""))</f>
        <v/>
      </c>
      <c r="I1384" s="25">
        <f>IF(AND(A1384="",C1384="",D1384=""),"",IF(A1384="","Date missing",IF(NOT(ISNUMBER(A1384)),"Date not recognized",IF(YEAR(A1384)&lt;&gt;Settings!$C$4,"Not in "&amp;Settings!$C$4,IF(C1384="","Category missing",IF(H1384="",IF(COUNTIF(Categories!$A$6:$A$65,C1384)&gt;0,"Category has no type","Category not in list"),IF(D1384="","Amount missing",IF(NOT(ISNUMBER(D1384)),"Amount is not a number",IF(F1384="","",IF(ISNA(MATCH(F1384,Lists!$G$2:$G$25,0)),"Goal / fund not in list",IF(H1384="Income","Fund tag ignored on income","")))))))))))</f>
        <v/>
      </c>
    </row>
    <row r="1385">
      <c r="A1385" s="27" t="n"/>
      <c r="B1385" s="23" t="n"/>
      <c r="C1385" s="23" t="n"/>
      <c r="D1385" s="28" t="n"/>
      <c r="E1385" s="23" t="n"/>
      <c r="F1385" s="23" t="n"/>
      <c r="G1385" s="23" t="n"/>
      <c r="H1385" s="29">
        <f>IF(C1385="","",IFERROR(INDEX(Categories!$B$6:$B$65,MATCH(C1385,Categories!$A$6:$A$65,0))&amp;"",""))</f>
        <v/>
      </c>
      <c r="I1385" s="25">
        <f>IF(AND(A1385="",C1385="",D1385=""),"",IF(A1385="","Date missing",IF(NOT(ISNUMBER(A1385)),"Date not recognized",IF(YEAR(A1385)&lt;&gt;Settings!$C$4,"Not in "&amp;Settings!$C$4,IF(C1385="","Category missing",IF(H1385="",IF(COUNTIF(Categories!$A$6:$A$65,C1385)&gt;0,"Category has no type","Category not in list"),IF(D1385="","Amount missing",IF(NOT(ISNUMBER(D1385)),"Amount is not a number",IF(F1385="","",IF(ISNA(MATCH(F1385,Lists!$G$2:$G$25,0)),"Goal / fund not in list",IF(H1385="Income","Fund tag ignored on income","")))))))))))</f>
        <v/>
      </c>
    </row>
    <row r="1386">
      <c r="A1386" s="27" t="n"/>
      <c r="B1386" s="23" t="n"/>
      <c r="C1386" s="23" t="n"/>
      <c r="D1386" s="28" t="n"/>
      <c r="E1386" s="23" t="n"/>
      <c r="F1386" s="23" t="n"/>
      <c r="G1386" s="23" t="n"/>
      <c r="H1386" s="29">
        <f>IF(C1386="","",IFERROR(INDEX(Categories!$B$6:$B$65,MATCH(C1386,Categories!$A$6:$A$65,0))&amp;"",""))</f>
        <v/>
      </c>
      <c r="I1386" s="25">
        <f>IF(AND(A1386="",C1386="",D1386=""),"",IF(A1386="","Date missing",IF(NOT(ISNUMBER(A1386)),"Date not recognized",IF(YEAR(A1386)&lt;&gt;Settings!$C$4,"Not in "&amp;Settings!$C$4,IF(C1386="","Category missing",IF(H1386="",IF(COUNTIF(Categories!$A$6:$A$65,C1386)&gt;0,"Category has no type","Category not in list"),IF(D1386="","Amount missing",IF(NOT(ISNUMBER(D1386)),"Amount is not a number",IF(F1386="","",IF(ISNA(MATCH(F1386,Lists!$G$2:$G$25,0)),"Goal / fund not in list",IF(H1386="Income","Fund tag ignored on income","")))))))))))</f>
        <v/>
      </c>
    </row>
    <row r="1387">
      <c r="A1387" s="27" t="n"/>
      <c r="B1387" s="23" t="n"/>
      <c r="C1387" s="23" t="n"/>
      <c r="D1387" s="28" t="n"/>
      <c r="E1387" s="23" t="n"/>
      <c r="F1387" s="23" t="n"/>
      <c r="G1387" s="23" t="n"/>
      <c r="H1387" s="29">
        <f>IF(C1387="","",IFERROR(INDEX(Categories!$B$6:$B$65,MATCH(C1387,Categories!$A$6:$A$65,0))&amp;"",""))</f>
        <v/>
      </c>
      <c r="I1387" s="25">
        <f>IF(AND(A1387="",C1387="",D1387=""),"",IF(A1387="","Date missing",IF(NOT(ISNUMBER(A1387)),"Date not recognized",IF(YEAR(A1387)&lt;&gt;Settings!$C$4,"Not in "&amp;Settings!$C$4,IF(C1387="","Category missing",IF(H1387="",IF(COUNTIF(Categories!$A$6:$A$65,C1387)&gt;0,"Category has no type","Category not in list"),IF(D1387="","Amount missing",IF(NOT(ISNUMBER(D1387)),"Amount is not a number",IF(F1387="","",IF(ISNA(MATCH(F1387,Lists!$G$2:$G$25,0)),"Goal / fund not in list",IF(H1387="Income","Fund tag ignored on income","")))))))))))</f>
        <v/>
      </c>
    </row>
    <row r="1388">
      <c r="A1388" s="27" t="n"/>
      <c r="B1388" s="23" t="n"/>
      <c r="C1388" s="23" t="n"/>
      <c r="D1388" s="28" t="n"/>
      <c r="E1388" s="23" t="n"/>
      <c r="F1388" s="23" t="n"/>
      <c r="G1388" s="23" t="n"/>
      <c r="H1388" s="29">
        <f>IF(C1388="","",IFERROR(INDEX(Categories!$B$6:$B$65,MATCH(C1388,Categories!$A$6:$A$65,0))&amp;"",""))</f>
        <v/>
      </c>
      <c r="I1388" s="25">
        <f>IF(AND(A1388="",C1388="",D1388=""),"",IF(A1388="","Date missing",IF(NOT(ISNUMBER(A1388)),"Date not recognized",IF(YEAR(A1388)&lt;&gt;Settings!$C$4,"Not in "&amp;Settings!$C$4,IF(C1388="","Category missing",IF(H1388="",IF(COUNTIF(Categories!$A$6:$A$65,C1388)&gt;0,"Category has no type","Category not in list"),IF(D1388="","Amount missing",IF(NOT(ISNUMBER(D1388)),"Amount is not a number",IF(F1388="","",IF(ISNA(MATCH(F1388,Lists!$G$2:$G$25,0)),"Goal / fund not in list",IF(H1388="Income","Fund tag ignored on income","")))))))))))</f>
        <v/>
      </c>
    </row>
    <row r="1389">
      <c r="A1389" s="27" t="n"/>
      <c r="B1389" s="23" t="n"/>
      <c r="C1389" s="23" t="n"/>
      <c r="D1389" s="28" t="n"/>
      <c r="E1389" s="23" t="n"/>
      <c r="F1389" s="23" t="n"/>
      <c r="G1389" s="23" t="n"/>
      <c r="H1389" s="29">
        <f>IF(C1389="","",IFERROR(INDEX(Categories!$B$6:$B$65,MATCH(C1389,Categories!$A$6:$A$65,0))&amp;"",""))</f>
        <v/>
      </c>
      <c r="I1389" s="25">
        <f>IF(AND(A1389="",C1389="",D1389=""),"",IF(A1389="","Date missing",IF(NOT(ISNUMBER(A1389)),"Date not recognized",IF(YEAR(A1389)&lt;&gt;Settings!$C$4,"Not in "&amp;Settings!$C$4,IF(C1389="","Category missing",IF(H1389="",IF(COUNTIF(Categories!$A$6:$A$65,C1389)&gt;0,"Category has no type","Category not in list"),IF(D1389="","Amount missing",IF(NOT(ISNUMBER(D1389)),"Amount is not a number",IF(F1389="","",IF(ISNA(MATCH(F1389,Lists!$G$2:$G$25,0)),"Goal / fund not in list",IF(H1389="Income","Fund tag ignored on income","")))))))))))</f>
        <v/>
      </c>
    </row>
    <row r="1390">
      <c r="A1390" s="27" t="n"/>
      <c r="B1390" s="23" t="n"/>
      <c r="C1390" s="23" t="n"/>
      <c r="D1390" s="28" t="n"/>
      <c r="E1390" s="23" t="n"/>
      <c r="F1390" s="23" t="n"/>
      <c r="G1390" s="23" t="n"/>
      <c r="H1390" s="29">
        <f>IF(C1390="","",IFERROR(INDEX(Categories!$B$6:$B$65,MATCH(C1390,Categories!$A$6:$A$65,0))&amp;"",""))</f>
        <v/>
      </c>
      <c r="I1390" s="25">
        <f>IF(AND(A1390="",C1390="",D1390=""),"",IF(A1390="","Date missing",IF(NOT(ISNUMBER(A1390)),"Date not recognized",IF(YEAR(A1390)&lt;&gt;Settings!$C$4,"Not in "&amp;Settings!$C$4,IF(C1390="","Category missing",IF(H1390="",IF(COUNTIF(Categories!$A$6:$A$65,C1390)&gt;0,"Category has no type","Category not in list"),IF(D1390="","Amount missing",IF(NOT(ISNUMBER(D1390)),"Amount is not a number",IF(F1390="","",IF(ISNA(MATCH(F1390,Lists!$G$2:$G$25,0)),"Goal / fund not in list",IF(H1390="Income","Fund tag ignored on income","")))))))))))</f>
        <v/>
      </c>
    </row>
    <row r="1391">
      <c r="A1391" s="27" t="n"/>
      <c r="B1391" s="23" t="n"/>
      <c r="C1391" s="23" t="n"/>
      <c r="D1391" s="28" t="n"/>
      <c r="E1391" s="23" t="n"/>
      <c r="F1391" s="23" t="n"/>
      <c r="G1391" s="23" t="n"/>
      <c r="H1391" s="29">
        <f>IF(C1391="","",IFERROR(INDEX(Categories!$B$6:$B$65,MATCH(C1391,Categories!$A$6:$A$65,0))&amp;"",""))</f>
        <v/>
      </c>
      <c r="I1391" s="25">
        <f>IF(AND(A1391="",C1391="",D1391=""),"",IF(A1391="","Date missing",IF(NOT(ISNUMBER(A1391)),"Date not recognized",IF(YEAR(A1391)&lt;&gt;Settings!$C$4,"Not in "&amp;Settings!$C$4,IF(C1391="","Category missing",IF(H1391="",IF(COUNTIF(Categories!$A$6:$A$65,C1391)&gt;0,"Category has no type","Category not in list"),IF(D1391="","Amount missing",IF(NOT(ISNUMBER(D1391)),"Amount is not a number",IF(F1391="","",IF(ISNA(MATCH(F1391,Lists!$G$2:$G$25,0)),"Goal / fund not in list",IF(H1391="Income","Fund tag ignored on income","")))))))))))</f>
        <v/>
      </c>
    </row>
    <row r="1392">
      <c r="A1392" s="27" t="n"/>
      <c r="B1392" s="23" t="n"/>
      <c r="C1392" s="23" t="n"/>
      <c r="D1392" s="28" t="n"/>
      <c r="E1392" s="23" t="n"/>
      <c r="F1392" s="23" t="n"/>
      <c r="G1392" s="23" t="n"/>
      <c r="H1392" s="29">
        <f>IF(C1392="","",IFERROR(INDEX(Categories!$B$6:$B$65,MATCH(C1392,Categories!$A$6:$A$65,0))&amp;"",""))</f>
        <v/>
      </c>
      <c r="I1392" s="25">
        <f>IF(AND(A1392="",C1392="",D1392=""),"",IF(A1392="","Date missing",IF(NOT(ISNUMBER(A1392)),"Date not recognized",IF(YEAR(A1392)&lt;&gt;Settings!$C$4,"Not in "&amp;Settings!$C$4,IF(C1392="","Category missing",IF(H1392="",IF(COUNTIF(Categories!$A$6:$A$65,C1392)&gt;0,"Category has no type","Category not in list"),IF(D1392="","Amount missing",IF(NOT(ISNUMBER(D1392)),"Amount is not a number",IF(F1392="","",IF(ISNA(MATCH(F1392,Lists!$G$2:$G$25,0)),"Goal / fund not in list",IF(H1392="Income","Fund tag ignored on income","")))))))))))</f>
        <v/>
      </c>
    </row>
    <row r="1393">
      <c r="A1393" s="27" t="n"/>
      <c r="B1393" s="23" t="n"/>
      <c r="C1393" s="23" t="n"/>
      <c r="D1393" s="28" t="n"/>
      <c r="E1393" s="23" t="n"/>
      <c r="F1393" s="23" t="n"/>
      <c r="G1393" s="23" t="n"/>
      <c r="H1393" s="29">
        <f>IF(C1393="","",IFERROR(INDEX(Categories!$B$6:$B$65,MATCH(C1393,Categories!$A$6:$A$65,0))&amp;"",""))</f>
        <v/>
      </c>
      <c r="I1393" s="25">
        <f>IF(AND(A1393="",C1393="",D1393=""),"",IF(A1393="","Date missing",IF(NOT(ISNUMBER(A1393)),"Date not recognized",IF(YEAR(A1393)&lt;&gt;Settings!$C$4,"Not in "&amp;Settings!$C$4,IF(C1393="","Category missing",IF(H1393="",IF(COUNTIF(Categories!$A$6:$A$65,C1393)&gt;0,"Category has no type","Category not in list"),IF(D1393="","Amount missing",IF(NOT(ISNUMBER(D1393)),"Amount is not a number",IF(F1393="","",IF(ISNA(MATCH(F1393,Lists!$G$2:$G$25,0)),"Goal / fund not in list",IF(H1393="Income","Fund tag ignored on income","")))))))))))</f>
        <v/>
      </c>
    </row>
    <row r="1394">
      <c r="A1394" s="27" t="n"/>
      <c r="B1394" s="23" t="n"/>
      <c r="C1394" s="23" t="n"/>
      <c r="D1394" s="28" t="n"/>
      <c r="E1394" s="23" t="n"/>
      <c r="F1394" s="23" t="n"/>
      <c r="G1394" s="23" t="n"/>
      <c r="H1394" s="29">
        <f>IF(C1394="","",IFERROR(INDEX(Categories!$B$6:$B$65,MATCH(C1394,Categories!$A$6:$A$65,0))&amp;"",""))</f>
        <v/>
      </c>
      <c r="I1394" s="25">
        <f>IF(AND(A1394="",C1394="",D1394=""),"",IF(A1394="","Date missing",IF(NOT(ISNUMBER(A1394)),"Date not recognized",IF(YEAR(A1394)&lt;&gt;Settings!$C$4,"Not in "&amp;Settings!$C$4,IF(C1394="","Category missing",IF(H1394="",IF(COUNTIF(Categories!$A$6:$A$65,C1394)&gt;0,"Category has no type","Category not in list"),IF(D1394="","Amount missing",IF(NOT(ISNUMBER(D1394)),"Amount is not a number",IF(F1394="","",IF(ISNA(MATCH(F1394,Lists!$G$2:$G$25,0)),"Goal / fund not in list",IF(H1394="Income","Fund tag ignored on income","")))))))))))</f>
        <v/>
      </c>
    </row>
    <row r="1395">
      <c r="A1395" s="27" t="n"/>
      <c r="B1395" s="23" t="n"/>
      <c r="C1395" s="23" t="n"/>
      <c r="D1395" s="28" t="n"/>
      <c r="E1395" s="23" t="n"/>
      <c r="F1395" s="23" t="n"/>
      <c r="G1395" s="23" t="n"/>
      <c r="H1395" s="29">
        <f>IF(C1395="","",IFERROR(INDEX(Categories!$B$6:$B$65,MATCH(C1395,Categories!$A$6:$A$65,0))&amp;"",""))</f>
        <v/>
      </c>
      <c r="I1395" s="25">
        <f>IF(AND(A1395="",C1395="",D1395=""),"",IF(A1395="","Date missing",IF(NOT(ISNUMBER(A1395)),"Date not recognized",IF(YEAR(A1395)&lt;&gt;Settings!$C$4,"Not in "&amp;Settings!$C$4,IF(C1395="","Category missing",IF(H1395="",IF(COUNTIF(Categories!$A$6:$A$65,C1395)&gt;0,"Category has no type","Category not in list"),IF(D1395="","Amount missing",IF(NOT(ISNUMBER(D1395)),"Amount is not a number",IF(F1395="","",IF(ISNA(MATCH(F1395,Lists!$G$2:$G$25,0)),"Goal / fund not in list",IF(H1395="Income","Fund tag ignored on income","")))))))))))</f>
        <v/>
      </c>
    </row>
    <row r="1396">
      <c r="A1396" s="27" t="n"/>
      <c r="B1396" s="23" t="n"/>
      <c r="C1396" s="23" t="n"/>
      <c r="D1396" s="28" t="n"/>
      <c r="E1396" s="23" t="n"/>
      <c r="F1396" s="23" t="n"/>
      <c r="G1396" s="23" t="n"/>
      <c r="H1396" s="29">
        <f>IF(C1396="","",IFERROR(INDEX(Categories!$B$6:$B$65,MATCH(C1396,Categories!$A$6:$A$65,0))&amp;"",""))</f>
        <v/>
      </c>
      <c r="I1396" s="25">
        <f>IF(AND(A1396="",C1396="",D1396=""),"",IF(A1396="","Date missing",IF(NOT(ISNUMBER(A1396)),"Date not recognized",IF(YEAR(A1396)&lt;&gt;Settings!$C$4,"Not in "&amp;Settings!$C$4,IF(C1396="","Category missing",IF(H1396="",IF(COUNTIF(Categories!$A$6:$A$65,C1396)&gt;0,"Category has no type","Category not in list"),IF(D1396="","Amount missing",IF(NOT(ISNUMBER(D1396)),"Amount is not a number",IF(F1396="","",IF(ISNA(MATCH(F1396,Lists!$G$2:$G$25,0)),"Goal / fund not in list",IF(H1396="Income","Fund tag ignored on income","")))))))))))</f>
        <v/>
      </c>
    </row>
    <row r="1397">
      <c r="A1397" s="27" t="n"/>
      <c r="B1397" s="23" t="n"/>
      <c r="C1397" s="23" t="n"/>
      <c r="D1397" s="28" t="n"/>
      <c r="E1397" s="23" t="n"/>
      <c r="F1397" s="23" t="n"/>
      <c r="G1397" s="23" t="n"/>
      <c r="H1397" s="29">
        <f>IF(C1397="","",IFERROR(INDEX(Categories!$B$6:$B$65,MATCH(C1397,Categories!$A$6:$A$65,0))&amp;"",""))</f>
        <v/>
      </c>
      <c r="I1397" s="25">
        <f>IF(AND(A1397="",C1397="",D1397=""),"",IF(A1397="","Date missing",IF(NOT(ISNUMBER(A1397)),"Date not recognized",IF(YEAR(A1397)&lt;&gt;Settings!$C$4,"Not in "&amp;Settings!$C$4,IF(C1397="","Category missing",IF(H1397="",IF(COUNTIF(Categories!$A$6:$A$65,C1397)&gt;0,"Category has no type","Category not in list"),IF(D1397="","Amount missing",IF(NOT(ISNUMBER(D1397)),"Amount is not a number",IF(F1397="","",IF(ISNA(MATCH(F1397,Lists!$G$2:$G$25,0)),"Goal / fund not in list",IF(H1397="Income","Fund tag ignored on income","")))))))))))</f>
        <v/>
      </c>
    </row>
    <row r="1398">
      <c r="A1398" s="27" t="n"/>
      <c r="B1398" s="23" t="n"/>
      <c r="C1398" s="23" t="n"/>
      <c r="D1398" s="28" t="n"/>
      <c r="E1398" s="23" t="n"/>
      <c r="F1398" s="23" t="n"/>
      <c r="G1398" s="23" t="n"/>
      <c r="H1398" s="29">
        <f>IF(C1398="","",IFERROR(INDEX(Categories!$B$6:$B$65,MATCH(C1398,Categories!$A$6:$A$65,0))&amp;"",""))</f>
        <v/>
      </c>
      <c r="I1398" s="25">
        <f>IF(AND(A1398="",C1398="",D1398=""),"",IF(A1398="","Date missing",IF(NOT(ISNUMBER(A1398)),"Date not recognized",IF(YEAR(A1398)&lt;&gt;Settings!$C$4,"Not in "&amp;Settings!$C$4,IF(C1398="","Category missing",IF(H1398="",IF(COUNTIF(Categories!$A$6:$A$65,C1398)&gt;0,"Category has no type","Category not in list"),IF(D1398="","Amount missing",IF(NOT(ISNUMBER(D1398)),"Amount is not a number",IF(F1398="","",IF(ISNA(MATCH(F1398,Lists!$G$2:$G$25,0)),"Goal / fund not in list",IF(H1398="Income","Fund tag ignored on income","")))))))))))</f>
        <v/>
      </c>
    </row>
    <row r="1399">
      <c r="A1399" s="27" t="n"/>
      <c r="B1399" s="23" t="n"/>
      <c r="C1399" s="23" t="n"/>
      <c r="D1399" s="28" t="n"/>
      <c r="E1399" s="23" t="n"/>
      <c r="F1399" s="23" t="n"/>
      <c r="G1399" s="23" t="n"/>
      <c r="H1399" s="29">
        <f>IF(C1399="","",IFERROR(INDEX(Categories!$B$6:$B$65,MATCH(C1399,Categories!$A$6:$A$65,0))&amp;"",""))</f>
        <v/>
      </c>
      <c r="I1399" s="25">
        <f>IF(AND(A1399="",C1399="",D1399=""),"",IF(A1399="","Date missing",IF(NOT(ISNUMBER(A1399)),"Date not recognized",IF(YEAR(A1399)&lt;&gt;Settings!$C$4,"Not in "&amp;Settings!$C$4,IF(C1399="","Category missing",IF(H1399="",IF(COUNTIF(Categories!$A$6:$A$65,C1399)&gt;0,"Category has no type","Category not in list"),IF(D1399="","Amount missing",IF(NOT(ISNUMBER(D1399)),"Amount is not a number",IF(F1399="","",IF(ISNA(MATCH(F1399,Lists!$G$2:$G$25,0)),"Goal / fund not in list",IF(H1399="Income","Fund tag ignored on income","")))))))))))</f>
        <v/>
      </c>
    </row>
    <row r="1400">
      <c r="A1400" s="27" t="n"/>
      <c r="B1400" s="23" t="n"/>
      <c r="C1400" s="23" t="n"/>
      <c r="D1400" s="28" t="n"/>
      <c r="E1400" s="23" t="n"/>
      <c r="F1400" s="23" t="n"/>
      <c r="G1400" s="23" t="n"/>
      <c r="H1400" s="29">
        <f>IF(C1400="","",IFERROR(INDEX(Categories!$B$6:$B$65,MATCH(C1400,Categories!$A$6:$A$65,0))&amp;"",""))</f>
        <v/>
      </c>
      <c r="I1400" s="25">
        <f>IF(AND(A1400="",C1400="",D1400=""),"",IF(A1400="","Date missing",IF(NOT(ISNUMBER(A1400)),"Date not recognized",IF(YEAR(A1400)&lt;&gt;Settings!$C$4,"Not in "&amp;Settings!$C$4,IF(C1400="","Category missing",IF(H1400="",IF(COUNTIF(Categories!$A$6:$A$65,C1400)&gt;0,"Category has no type","Category not in list"),IF(D1400="","Amount missing",IF(NOT(ISNUMBER(D1400)),"Amount is not a number",IF(F1400="","",IF(ISNA(MATCH(F1400,Lists!$G$2:$G$25,0)),"Goal / fund not in list",IF(H1400="Income","Fund tag ignored on income","")))))))))))</f>
        <v/>
      </c>
    </row>
    <row r="1401">
      <c r="A1401" s="27" t="n"/>
      <c r="B1401" s="23" t="n"/>
      <c r="C1401" s="23" t="n"/>
      <c r="D1401" s="28" t="n"/>
      <c r="E1401" s="23" t="n"/>
      <c r="F1401" s="23" t="n"/>
      <c r="G1401" s="23" t="n"/>
      <c r="H1401" s="29">
        <f>IF(C1401="","",IFERROR(INDEX(Categories!$B$6:$B$65,MATCH(C1401,Categories!$A$6:$A$65,0))&amp;"",""))</f>
        <v/>
      </c>
      <c r="I1401" s="25">
        <f>IF(AND(A1401="",C1401="",D1401=""),"",IF(A1401="","Date missing",IF(NOT(ISNUMBER(A1401)),"Date not recognized",IF(YEAR(A1401)&lt;&gt;Settings!$C$4,"Not in "&amp;Settings!$C$4,IF(C1401="","Category missing",IF(H1401="",IF(COUNTIF(Categories!$A$6:$A$65,C1401)&gt;0,"Category has no type","Category not in list"),IF(D1401="","Amount missing",IF(NOT(ISNUMBER(D1401)),"Amount is not a number",IF(F1401="","",IF(ISNA(MATCH(F1401,Lists!$G$2:$G$25,0)),"Goal / fund not in list",IF(H1401="Income","Fund tag ignored on income","")))))))))))</f>
        <v/>
      </c>
    </row>
    <row r="1402">
      <c r="A1402" s="27" t="n"/>
      <c r="B1402" s="23" t="n"/>
      <c r="C1402" s="23" t="n"/>
      <c r="D1402" s="28" t="n"/>
      <c r="E1402" s="23" t="n"/>
      <c r="F1402" s="23" t="n"/>
      <c r="G1402" s="23" t="n"/>
      <c r="H1402" s="29">
        <f>IF(C1402="","",IFERROR(INDEX(Categories!$B$6:$B$65,MATCH(C1402,Categories!$A$6:$A$65,0))&amp;"",""))</f>
        <v/>
      </c>
      <c r="I1402" s="25">
        <f>IF(AND(A1402="",C1402="",D1402=""),"",IF(A1402="","Date missing",IF(NOT(ISNUMBER(A1402)),"Date not recognized",IF(YEAR(A1402)&lt;&gt;Settings!$C$4,"Not in "&amp;Settings!$C$4,IF(C1402="","Category missing",IF(H1402="",IF(COUNTIF(Categories!$A$6:$A$65,C1402)&gt;0,"Category has no type","Category not in list"),IF(D1402="","Amount missing",IF(NOT(ISNUMBER(D1402)),"Amount is not a number",IF(F1402="","",IF(ISNA(MATCH(F1402,Lists!$G$2:$G$25,0)),"Goal / fund not in list",IF(H1402="Income","Fund tag ignored on income","")))))))))))</f>
        <v/>
      </c>
    </row>
    <row r="1403">
      <c r="A1403" s="27" t="n"/>
      <c r="B1403" s="23" t="n"/>
      <c r="C1403" s="23" t="n"/>
      <c r="D1403" s="28" t="n"/>
      <c r="E1403" s="23" t="n"/>
      <c r="F1403" s="23" t="n"/>
      <c r="G1403" s="23" t="n"/>
      <c r="H1403" s="29">
        <f>IF(C1403="","",IFERROR(INDEX(Categories!$B$6:$B$65,MATCH(C1403,Categories!$A$6:$A$65,0))&amp;"",""))</f>
        <v/>
      </c>
      <c r="I1403" s="25">
        <f>IF(AND(A1403="",C1403="",D1403=""),"",IF(A1403="","Date missing",IF(NOT(ISNUMBER(A1403)),"Date not recognized",IF(YEAR(A1403)&lt;&gt;Settings!$C$4,"Not in "&amp;Settings!$C$4,IF(C1403="","Category missing",IF(H1403="",IF(COUNTIF(Categories!$A$6:$A$65,C1403)&gt;0,"Category has no type","Category not in list"),IF(D1403="","Amount missing",IF(NOT(ISNUMBER(D1403)),"Amount is not a number",IF(F1403="","",IF(ISNA(MATCH(F1403,Lists!$G$2:$G$25,0)),"Goal / fund not in list",IF(H1403="Income","Fund tag ignored on income","")))))))))))</f>
        <v/>
      </c>
    </row>
    <row r="1404">
      <c r="A1404" s="27" t="n"/>
      <c r="B1404" s="23" t="n"/>
      <c r="C1404" s="23" t="n"/>
      <c r="D1404" s="28" t="n"/>
      <c r="E1404" s="23" t="n"/>
      <c r="F1404" s="23" t="n"/>
      <c r="G1404" s="23" t="n"/>
      <c r="H1404" s="29">
        <f>IF(C1404="","",IFERROR(INDEX(Categories!$B$6:$B$65,MATCH(C1404,Categories!$A$6:$A$65,0))&amp;"",""))</f>
        <v/>
      </c>
      <c r="I1404" s="25">
        <f>IF(AND(A1404="",C1404="",D1404=""),"",IF(A1404="","Date missing",IF(NOT(ISNUMBER(A1404)),"Date not recognized",IF(YEAR(A1404)&lt;&gt;Settings!$C$4,"Not in "&amp;Settings!$C$4,IF(C1404="","Category missing",IF(H1404="",IF(COUNTIF(Categories!$A$6:$A$65,C1404)&gt;0,"Category has no type","Category not in list"),IF(D1404="","Amount missing",IF(NOT(ISNUMBER(D1404)),"Amount is not a number",IF(F1404="","",IF(ISNA(MATCH(F1404,Lists!$G$2:$G$25,0)),"Goal / fund not in list",IF(H1404="Income","Fund tag ignored on income","")))))))))))</f>
        <v/>
      </c>
    </row>
    <row r="1405">
      <c r="A1405" s="27" t="n"/>
      <c r="B1405" s="23" t="n"/>
      <c r="C1405" s="23" t="n"/>
      <c r="D1405" s="28" t="n"/>
      <c r="E1405" s="23" t="n"/>
      <c r="F1405" s="23" t="n"/>
      <c r="G1405" s="23" t="n"/>
      <c r="H1405" s="29">
        <f>IF(C1405="","",IFERROR(INDEX(Categories!$B$6:$B$65,MATCH(C1405,Categories!$A$6:$A$65,0))&amp;"",""))</f>
        <v/>
      </c>
      <c r="I1405" s="25">
        <f>IF(AND(A1405="",C1405="",D1405=""),"",IF(A1405="","Date missing",IF(NOT(ISNUMBER(A1405)),"Date not recognized",IF(YEAR(A1405)&lt;&gt;Settings!$C$4,"Not in "&amp;Settings!$C$4,IF(C1405="","Category missing",IF(H1405="",IF(COUNTIF(Categories!$A$6:$A$65,C1405)&gt;0,"Category has no type","Category not in list"),IF(D1405="","Amount missing",IF(NOT(ISNUMBER(D1405)),"Amount is not a number",IF(F1405="","",IF(ISNA(MATCH(F1405,Lists!$G$2:$G$25,0)),"Goal / fund not in list",IF(H1405="Income","Fund tag ignored on income","")))))))))))</f>
        <v/>
      </c>
    </row>
    <row r="1406">
      <c r="A1406" s="27" t="n"/>
      <c r="B1406" s="23" t="n"/>
      <c r="C1406" s="23" t="n"/>
      <c r="D1406" s="28" t="n"/>
      <c r="E1406" s="23" t="n"/>
      <c r="F1406" s="23" t="n"/>
      <c r="G1406" s="23" t="n"/>
      <c r="H1406" s="29">
        <f>IF(C1406="","",IFERROR(INDEX(Categories!$B$6:$B$65,MATCH(C1406,Categories!$A$6:$A$65,0))&amp;"",""))</f>
        <v/>
      </c>
      <c r="I1406" s="25">
        <f>IF(AND(A1406="",C1406="",D1406=""),"",IF(A1406="","Date missing",IF(NOT(ISNUMBER(A1406)),"Date not recognized",IF(YEAR(A1406)&lt;&gt;Settings!$C$4,"Not in "&amp;Settings!$C$4,IF(C1406="","Category missing",IF(H1406="",IF(COUNTIF(Categories!$A$6:$A$65,C1406)&gt;0,"Category has no type","Category not in list"),IF(D1406="","Amount missing",IF(NOT(ISNUMBER(D1406)),"Amount is not a number",IF(F1406="","",IF(ISNA(MATCH(F1406,Lists!$G$2:$G$25,0)),"Goal / fund not in list",IF(H1406="Income","Fund tag ignored on income","")))))))))))</f>
        <v/>
      </c>
    </row>
    <row r="1407">
      <c r="A1407" s="27" t="n"/>
      <c r="B1407" s="23" t="n"/>
      <c r="C1407" s="23" t="n"/>
      <c r="D1407" s="28" t="n"/>
      <c r="E1407" s="23" t="n"/>
      <c r="F1407" s="23" t="n"/>
      <c r="G1407" s="23" t="n"/>
      <c r="H1407" s="29">
        <f>IF(C1407="","",IFERROR(INDEX(Categories!$B$6:$B$65,MATCH(C1407,Categories!$A$6:$A$65,0))&amp;"",""))</f>
        <v/>
      </c>
      <c r="I1407" s="25">
        <f>IF(AND(A1407="",C1407="",D1407=""),"",IF(A1407="","Date missing",IF(NOT(ISNUMBER(A1407)),"Date not recognized",IF(YEAR(A1407)&lt;&gt;Settings!$C$4,"Not in "&amp;Settings!$C$4,IF(C1407="","Category missing",IF(H1407="",IF(COUNTIF(Categories!$A$6:$A$65,C1407)&gt;0,"Category has no type","Category not in list"),IF(D1407="","Amount missing",IF(NOT(ISNUMBER(D1407)),"Amount is not a number",IF(F1407="","",IF(ISNA(MATCH(F1407,Lists!$G$2:$G$25,0)),"Goal / fund not in list",IF(H1407="Income","Fund tag ignored on income","")))))))))))</f>
        <v/>
      </c>
    </row>
    <row r="1408">
      <c r="A1408" s="27" t="n"/>
      <c r="B1408" s="23" t="n"/>
      <c r="C1408" s="23" t="n"/>
      <c r="D1408" s="28" t="n"/>
      <c r="E1408" s="23" t="n"/>
      <c r="F1408" s="23" t="n"/>
      <c r="G1408" s="23" t="n"/>
      <c r="H1408" s="29">
        <f>IF(C1408="","",IFERROR(INDEX(Categories!$B$6:$B$65,MATCH(C1408,Categories!$A$6:$A$65,0))&amp;"",""))</f>
        <v/>
      </c>
      <c r="I1408" s="25">
        <f>IF(AND(A1408="",C1408="",D1408=""),"",IF(A1408="","Date missing",IF(NOT(ISNUMBER(A1408)),"Date not recognized",IF(YEAR(A1408)&lt;&gt;Settings!$C$4,"Not in "&amp;Settings!$C$4,IF(C1408="","Category missing",IF(H1408="",IF(COUNTIF(Categories!$A$6:$A$65,C1408)&gt;0,"Category has no type","Category not in list"),IF(D1408="","Amount missing",IF(NOT(ISNUMBER(D1408)),"Amount is not a number",IF(F1408="","",IF(ISNA(MATCH(F1408,Lists!$G$2:$G$25,0)),"Goal / fund not in list",IF(H1408="Income","Fund tag ignored on income","")))))))))))</f>
        <v/>
      </c>
    </row>
    <row r="1409">
      <c r="A1409" s="27" t="n"/>
      <c r="B1409" s="23" t="n"/>
      <c r="C1409" s="23" t="n"/>
      <c r="D1409" s="28" t="n"/>
      <c r="E1409" s="23" t="n"/>
      <c r="F1409" s="23" t="n"/>
      <c r="G1409" s="23" t="n"/>
      <c r="H1409" s="29">
        <f>IF(C1409="","",IFERROR(INDEX(Categories!$B$6:$B$65,MATCH(C1409,Categories!$A$6:$A$65,0))&amp;"",""))</f>
        <v/>
      </c>
      <c r="I1409" s="25">
        <f>IF(AND(A1409="",C1409="",D1409=""),"",IF(A1409="","Date missing",IF(NOT(ISNUMBER(A1409)),"Date not recognized",IF(YEAR(A1409)&lt;&gt;Settings!$C$4,"Not in "&amp;Settings!$C$4,IF(C1409="","Category missing",IF(H1409="",IF(COUNTIF(Categories!$A$6:$A$65,C1409)&gt;0,"Category has no type","Category not in list"),IF(D1409="","Amount missing",IF(NOT(ISNUMBER(D1409)),"Amount is not a number",IF(F1409="","",IF(ISNA(MATCH(F1409,Lists!$G$2:$G$25,0)),"Goal / fund not in list",IF(H1409="Income","Fund tag ignored on income","")))))))))))</f>
        <v/>
      </c>
    </row>
    <row r="1410">
      <c r="A1410" s="27" t="n"/>
      <c r="B1410" s="23" t="n"/>
      <c r="C1410" s="23" t="n"/>
      <c r="D1410" s="28" t="n"/>
      <c r="E1410" s="23" t="n"/>
      <c r="F1410" s="23" t="n"/>
      <c r="G1410" s="23" t="n"/>
      <c r="H1410" s="29">
        <f>IF(C1410="","",IFERROR(INDEX(Categories!$B$6:$B$65,MATCH(C1410,Categories!$A$6:$A$65,0))&amp;"",""))</f>
        <v/>
      </c>
      <c r="I1410" s="25">
        <f>IF(AND(A1410="",C1410="",D1410=""),"",IF(A1410="","Date missing",IF(NOT(ISNUMBER(A1410)),"Date not recognized",IF(YEAR(A1410)&lt;&gt;Settings!$C$4,"Not in "&amp;Settings!$C$4,IF(C1410="","Category missing",IF(H1410="",IF(COUNTIF(Categories!$A$6:$A$65,C1410)&gt;0,"Category has no type","Category not in list"),IF(D1410="","Amount missing",IF(NOT(ISNUMBER(D1410)),"Amount is not a number",IF(F1410="","",IF(ISNA(MATCH(F1410,Lists!$G$2:$G$25,0)),"Goal / fund not in list",IF(H1410="Income","Fund tag ignored on income","")))))))))))</f>
        <v/>
      </c>
    </row>
    <row r="1411">
      <c r="A1411" s="27" t="n"/>
      <c r="B1411" s="23" t="n"/>
      <c r="C1411" s="23" t="n"/>
      <c r="D1411" s="28" t="n"/>
      <c r="E1411" s="23" t="n"/>
      <c r="F1411" s="23" t="n"/>
      <c r="G1411" s="23" t="n"/>
      <c r="H1411" s="29">
        <f>IF(C1411="","",IFERROR(INDEX(Categories!$B$6:$B$65,MATCH(C1411,Categories!$A$6:$A$65,0))&amp;"",""))</f>
        <v/>
      </c>
      <c r="I1411" s="25">
        <f>IF(AND(A1411="",C1411="",D1411=""),"",IF(A1411="","Date missing",IF(NOT(ISNUMBER(A1411)),"Date not recognized",IF(YEAR(A1411)&lt;&gt;Settings!$C$4,"Not in "&amp;Settings!$C$4,IF(C1411="","Category missing",IF(H1411="",IF(COUNTIF(Categories!$A$6:$A$65,C1411)&gt;0,"Category has no type","Category not in list"),IF(D1411="","Amount missing",IF(NOT(ISNUMBER(D1411)),"Amount is not a number",IF(F1411="","",IF(ISNA(MATCH(F1411,Lists!$G$2:$G$25,0)),"Goal / fund not in list",IF(H1411="Income","Fund tag ignored on income","")))))))))))</f>
        <v/>
      </c>
    </row>
    <row r="1412">
      <c r="A1412" s="27" t="n"/>
      <c r="B1412" s="23" t="n"/>
      <c r="C1412" s="23" t="n"/>
      <c r="D1412" s="28" t="n"/>
      <c r="E1412" s="23" t="n"/>
      <c r="F1412" s="23" t="n"/>
      <c r="G1412" s="23" t="n"/>
      <c r="H1412" s="29">
        <f>IF(C1412="","",IFERROR(INDEX(Categories!$B$6:$B$65,MATCH(C1412,Categories!$A$6:$A$65,0))&amp;"",""))</f>
        <v/>
      </c>
      <c r="I1412" s="25">
        <f>IF(AND(A1412="",C1412="",D1412=""),"",IF(A1412="","Date missing",IF(NOT(ISNUMBER(A1412)),"Date not recognized",IF(YEAR(A1412)&lt;&gt;Settings!$C$4,"Not in "&amp;Settings!$C$4,IF(C1412="","Category missing",IF(H1412="",IF(COUNTIF(Categories!$A$6:$A$65,C1412)&gt;0,"Category has no type","Category not in list"),IF(D1412="","Amount missing",IF(NOT(ISNUMBER(D1412)),"Amount is not a number",IF(F1412="","",IF(ISNA(MATCH(F1412,Lists!$G$2:$G$25,0)),"Goal / fund not in list",IF(H1412="Income","Fund tag ignored on income","")))))))))))</f>
        <v/>
      </c>
    </row>
    <row r="1413">
      <c r="A1413" s="27" t="n"/>
      <c r="B1413" s="23" t="n"/>
      <c r="C1413" s="23" t="n"/>
      <c r="D1413" s="28" t="n"/>
      <c r="E1413" s="23" t="n"/>
      <c r="F1413" s="23" t="n"/>
      <c r="G1413" s="23" t="n"/>
      <c r="H1413" s="29">
        <f>IF(C1413="","",IFERROR(INDEX(Categories!$B$6:$B$65,MATCH(C1413,Categories!$A$6:$A$65,0))&amp;"",""))</f>
        <v/>
      </c>
      <c r="I1413" s="25">
        <f>IF(AND(A1413="",C1413="",D1413=""),"",IF(A1413="","Date missing",IF(NOT(ISNUMBER(A1413)),"Date not recognized",IF(YEAR(A1413)&lt;&gt;Settings!$C$4,"Not in "&amp;Settings!$C$4,IF(C1413="","Category missing",IF(H1413="",IF(COUNTIF(Categories!$A$6:$A$65,C1413)&gt;0,"Category has no type","Category not in list"),IF(D1413="","Amount missing",IF(NOT(ISNUMBER(D1413)),"Amount is not a number",IF(F1413="","",IF(ISNA(MATCH(F1413,Lists!$G$2:$G$25,0)),"Goal / fund not in list",IF(H1413="Income","Fund tag ignored on income","")))))))))))</f>
        <v/>
      </c>
    </row>
    <row r="1414">
      <c r="A1414" s="27" t="n"/>
      <c r="B1414" s="23" t="n"/>
      <c r="C1414" s="23" t="n"/>
      <c r="D1414" s="28" t="n"/>
      <c r="E1414" s="23" t="n"/>
      <c r="F1414" s="23" t="n"/>
      <c r="G1414" s="23" t="n"/>
      <c r="H1414" s="29">
        <f>IF(C1414="","",IFERROR(INDEX(Categories!$B$6:$B$65,MATCH(C1414,Categories!$A$6:$A$65,0))&amp;"",""))</f>
        <v/>
      </c>
      <c r="I1414" s="25">
        <f>IF(AND(A1414="",C1414="",D1414=""),"",IF(A1414="","Date missing",IF(NOT(ISNUMBER(A1414)),"Date not recognized",IF(YEAR(A1414)&lt;&gt;Settings!$C$4,"Not in "&amp;Settings!$C$4,IF(C1414="","Category missing",IF(H1414="",IF(COUNTIF(Categories!$A$6:$A$65,C1414)&gt;0,"Category has no type","Category not in list"),IF(D1414="","Amount missing",IF(NOT(ISNUMBER(D1414)),"Amount is not a number",IF(F1414="","",IF(ISNA(MATCH(F1414,Lists!$G$2:$G$25,0)),"Goal / fund not in list",IF(H1414="Income","Fund tag ignored on income","")))))))))))</f>
        <v/>
      </c>
    </row>
    <row r="1415">
      <c r="A1415" s="27" t="n"/>
      <c r="B1415" s="23" t="n"/>
      <c r="C1415" s="23" t="n"/>
      <c r="D1415" s="28" t="n"/>
      <c r="E1415" s="23" t="n"/>
      <c r="F1415" s="23" t="n"/>
      <c r="G1415" s="23" t="n"/>
      <c r="H1415" s="29">
        <f>IF(C1415="","",IFERROR(INDEX(Categories!$B$6:$B$65,MATCH(C1415,Categories!$A$6:$A$65,0))&amp;"",""))</f>
        <v/>
      </c>
      <c r="I1415" s="25">
        <f>IF(AND(A1415="",C1415="",D1415=""),"",IF(A1415="","Date missing",IF(NOT(ISNUMBER(A1415)),"Date not recognized",IF(YEAR(A1415)&lt;&gt;Settings!$C$4,"Not in "&amp;Settings!$C$4,IF(C1415="","Category missing",IF(H1415="",IF(COUNTIF(Categories!$A$6:$A$65,C1415)&gt;0,"Category has no type","Category not in list"),IF(D1415="","Amount missing",IF(NOT(ISNUMBER(D1415)),"Amount is not a number",IF(F1415="","",IF(ISNA(MATCH(F1415,Lists!$G$2:$G$25,0)),"Goal / fund not in list",IF(H1415="Income","Fund tag ignored on income","")))))))))))</f>
        <v/>
      </c>
    </row>
    <row r="1416">
      <c r="A1416" s="27" t="n"/>
      <c r="B1416" s="23" t="n"/>
      <c r="C1416" s="23" t="n"/>
      <c r="D1416" s="28" t="n"/>
      <c r="E1416" s="23" t="n"/>
      <c r="F1416" s="23" t="n"/>
      <c r="G1416" s="23" t="n"/>
      <c r="H1416" s="29">
        <f>IF(C1416="","",IFERROR(INDEX(Categories!$B$6:$B$65,MATCH(C1416,Categories!$A$6:$A$65,0))&amp;"",""))</f>
        <v/>
      </c>
      <c r="I1416" s="25">
        <f>IF(AND(A1416="",C1416="",D1416=""),"",IF(A1416="","Date missing",IF(NOT(ISNUMBER(A1416)),"Date not recognized",IF(YEAR(A1416)&lt;&gt;Settings!$C$4,"Not in "&amp;Settings!$C$4,IF(C1416="","Category missing",IF(H1416="",IF(COUNTIF(Categories!$A$6:$A$65,C1416)&gt;0,"Category has no type","Category not in list"),IF(D1416="","Amount missing",IF(NOT(ISNUMBER(D1416)),"Amount is not a number",IF(F1416="","",IF(ISNA(MATCH(F1416,Lists!$G$2:$G$25,0)),"Goal / fund not in list",IF(H1416="Income","Fund tag ignored on income","")))))))))))</f>
        <v/>
      </c>
    </row>
    <row r="1417">
      <c r="A1417" s="27" t="n"/>
      <c r="B1417" s="23" t="n"/>
      <c r="C1417" s="23" t="n"/>
      <c r="D1417" s="28" t="n"/>
      <c r="E1417" s="23" t="n"/>
      <c r="F1417" s="23" t="n"/>
      <c r="G1417" s="23" t="n"/>
      <c r="H1417" s="29">
        <f>IF(C1417="","",IFERROR(INDEX(Categories!$B$6:$B$65,MATCH(C1417,Categories!$A$6:$A$65,0))&amp;"",""))</f>
        <v/>
      </c>
      <c r="I1417" s="25">
        <f>IF(AND(A1417="",C1417="",D1417=""),"",IF(A1417="","Date missing",IF(NOT(ISNUMBER(A1417)),"Date not recognized",IF(YEAR(A1417)&lt;&gt;Settings!$C$4,"Not in "&amp;Settings!$C$4,IF(C1417="","Category missing",IF(H1417="",IF(COUNTIF(Categories!$A$6:$A$65,C1417)&gt;0,"Category has no type","Category not in list"),IF(D1417="","Amount missing",IF(NOT(ISNUMBER(D1417)),"Amount is not a number",IF(F1417="","",IF(ISNA(MATCH(F1417,Lists!$G$2:$G$25,0)),"Goal / fund not in list",IF(H1417="Income","Fund tag ignored on income","")))))))))))</f>
        <v/>
      </c>
    </row>
    <row r="1418">
      <c r="A1418" s="27" t="n"/>
      <c r="B1418" s="23" t="n"/>
      <c r="C1418" s="23" t="n"/>
      <c r="D1418" s="28" t="n"/>
      <c r="E1418" s="23" t="n"/>
      <c r="F1418" s="23" t="n"/>
      <c r="G1418" s="23" t="n"/>
      <c r="H1418" s="29">
        <f>IF(C1418="","",IFERROR(INDEX(Categories!$B$6:$B$65,MATCH(C1418,Categories!$A$6:$A$65,0))&amp;"",""))</f>
        <v/>
      </c>
      <c r="I1418" s="25">
        <f>IF(AND(A1418="",C1418="",D1418=""),"",IF(A1418="","Date missing",IF(NOT(ISNUMBER(A1418)),"Date not recognized",IF(YEAR(A1418)&lt;&gt;Settings!$C$4,"Not in "&amp;Settings!$C$4,IF(C1418="","Category missing",IF(H1418="",IF(COUNTIF(Categories!$A$6:$A$65,C1418)&gt;0,"Category has no type","Category not in list"),IF(D1418="","Amount missing",IF(NOT(ISNUMBER(D1418)),"Amount is not a number",IF(F1418="","",IF(ISNA(MATCH(F1418,Lists!$G$2:$G$25,0)),"Goal / fund not in list",IF(H1418="Income","Fund tag ignored on income","")))))))))))</f>
        <v/>
      </c>
    </row>
    <row r="1419">
      <c r="A1419" s="27" t="n"/>
      <c r="B1419" s="23" t="n"/>
      <c r="C1419" s="23" t="n"/>
      <c r="D1419" s="28" t="n"/>
      <c r="E1419" s="23" t="n"/>
      <c r="F1419" s="23" t="n"/>
      <c r="G1419" s="23" t="n"/>
      <c r="H1419" s="29">
        <f>IF(C1419="","",IFERROR(INDEX(Categories!$B$6:$B$65,MATCH(C1419,Categories!$A$6:$A$65,0))&amp;"",""))</f>
        <v/>
      </c>
      <c r="I1419" s="25">
        <f>IF(AND(A1419="",C1419="",D1419=""),"",IF(A1419="","Date missing",IF(NOT(ISNUMBER(A1419)),"Date not recognized",IF(YEAR(A1419)&lt;&gt;Settings!$C$4,"Not in "&amp;Settings!$C$4,IF(C1419="","Category missing",IF(H1419="",IF(COUNTIF(Categories!$A$6:$A$65,C1419)&gt;0,"Category has no type","Category not in list"),IF(D1419="","Amount missing",IF(NOT(ISNUMBER(D1419)),"Amount is not a number",IF(F1419="","",IF(ISNA(MATCH(F1419,Lists!$G$2:$G$25,0)),"Goal / fund not in list",IF(H1419="Income","Fund tag ignored on income","")))))))))))</f>
        <v/>
      </c>
    </row>
    <row r="1420">
      <c r="A1420" s="27" t="n"/>
      <c r="B1420" s="23" t="n"/>
      <c r="C1420" s="23" t="n"/>
      <c r="D1420" s="28" t="n"/>
      <c r="E1420" s="23" t="n"/>
      <c r="F1420" s="23" t="n"/>
      <c r="G1420" s="23" t="n"/>
      <c r="H1420" s="29">
        <f>IF(C1420="","",IFERROR(INDEX(Categories!$B$6:$B$65,MATCH(C1420,Categories!$A$6:$A$65,0))&amp;"",""))</f>
        <v/>
      </c>
      <c r="I1420" s="25">
        <f>IF(AND(A1420="",C1420="",D1420=""),"",IF(A1420="","Date missing",IF(NOT(ISNUMBER(A1420)),"Date not recognized",IF(YEAR(A1420)&lt;&gt;Settings!$C$4,"Not in "&amp;Settings!$C$4,IF(C1420="","Category missing",IF(H1420="",IF(COUNTIF(Categories!$A$6:$A$65,C1420)&gt;0,"Category has no type","Category not in list"),IF(D1420="","Amount missing",IF(NOT(ISNUMBER(D1420)),"Amount is not a number",IF(F1420="","",IF(ISNA(MATCH(F1420,Lists!$G$2:$G$25,0)),"Goal / fund not in list",IF(H1420="Income","Fund tag ignored on income","")))))))))))</f>
        <v/>
      </c>
    </row>
    <row r="1421">
      <c r="A1421" s="27" t="n"/>
      <c r="B1421" s="23" t="n"/>
      <c r="C1421" s="23" t="n"/>
      <c r="D1421" s="28" t="n"/>
      <c r="E1421" s="23" t="n"/>
      <c r="F1421" s="23" t="n"/>
      <c r="G1421" s="23" t="n"/>
      <c r="H1421" s="29">
        <f>IF(C1421="","",IFERROR(INDEX(Categories!$B$6:$B$65,MATCH(C1421,Categories!$A$6:$A$65,0))&amp;"",""))</f>
        <v/>
      </c>
      <c r="I1421" s="25">
        <f>IF(AND(A1421="",C1421="",D1421=""),"",IF(A1421="","Date missing",IF(NOT(ISNUMBER(A1421)),"Date not recognized",IF(YEAR(A1421)&lt;&gt;Settings!$C$4,"Not in "&amp;Settings!$C$4,IF(C1421="","Category missing",IF(H1421="",IF(COUNTIF(Categories!$A$6:$A$65,C1421)&gt;0,"Category has no type","Category not in list"),IF(D1421="","Amount missing",IF(NOT(ISNUMBER(D1421)),"Amount is not a number",IF(F1421="","",IF(ISNA(MATCH(F1421,Lists!$G$2:$G$25,0)),"Goal / fund not in list",IF(H1421="Income","Fund tag ignored on income","")))))))))))</f>
        <v/>
      </c>
    </row>
    <row r="1422">
      <c r="A1422" s="27" t="n"/>
      <c r="B1422" s="23" t="n"/>
      <c r="C1422" s="23" t="n"/>
      <c r="D1422" s="28" t="n"/>
      <c r="E1422" s="23" t="n"/>
      <c r="F1422" s="23" t="n"/>
      <c r="G1422" s="23" t="n"/>
      <c r="H1422" s="29">
        <f>IF(C1422="","",IFERROR(INDEX(Categories!$B$6:$B$65,MATCH(C1422,Categories!$A$6:$A$65,0))&amp;"",""))</f>
        <v/>
      </c>
      <c r="I1422" s="25">
        <f>IF(AND(A1422="",C1422="",D1422=""),"",IF(A1422="","Date missing",IF(NOT(ISNUMBER(A1422)),"Date not recognized",IF(YEAR(A1422)&lt;&gt;Settings!$C$4,"Not in "&amp;Settings!$C$4,IF(C1422="","Category missing",IF(H1422="",IF(COUNTIF(Categories!$A$6:$A$65,C1422)&gt;0,"Category has no type","Category not in list"),IF(D1422="","Amount missing",IF(NOT(ISNUMBER(D1422)),"Amount is not a number",IF(F1422="","",IF(ISNA(MATCH(F1422,Lists!$G$2:$G$25,0)),"Goal / fund not in list",IF(H1422="Income","Fund tag ignored on income","")))))))))))</f>
        <v/>
      </c>
    </row>
    <row r="1423">
      <c r="A1423" s="27" t="n"/>
      <c r="B1423" s="23" t="n"/>
      <c r="C1423" s="23" t="n"/>
      <c r="D1423" s="28" t="n"/>
      <c r="E1423" s="23" t="n"/>
      <c r="F1423" s="23" t="n"/>
      <c r="G1423" s="23" t="n"/>
      <c r="H1423" s="29">
        <f>IF(C1423="","",IFERROR(INDEX(Categories!$B$6:$B$65,MATCH(C1423,Categories!$A$6:$A$65,0))&amp;"",""))</f>
        <v/>
      </c>
      <c r="I1423" s="25">
        <f>IF(AND(A1423="",C1423="",D1423=""),"",IF(A1423="","Date missing",IF(NOT(ISNUMBER(A1423)),"Date not recognized",IF(YEAR(A1423)&lt;&gt;Settings!$C$4,"Not in "&amp;Settings!$C$4,IF(C1423="","Category missing",IF(H1423="",IF(COUNTIF(Categories!$A$6:$A$65,C1423)&gt;0,"Category has no type","Category not in list"),IF(D1423="","Amount missing",IF(NOT(ISNUMBER(D1423)),"Amount is not a number",IF(F1423="","",IF(ISNA(MATCH(F1423,Lists!$G$2:$G$25,0)),"Goal / fund not in list",IF(H1423="Income","Fund tag ignored on income","")))))))))))</f>
        <v/>
      </c>
    </row>
    <row r="1424">
      <c r="A1424" s="27" t="n"/>
      <c r="B1424" s="23" t="n"/>
      <c r="C1424" s="23" t="n"/>
      <c r="D1424" s="28" t="n"/>
      <c r="E1424" s="23" t="n"/>
      <c r="F1424" s="23" t="n"/>
      <c r="G1424" s="23" t="n"/>
      <c r="H1424" s="29">
        <f>IF(C1424="","",IFERROR(INDEX(Categories!$B$6:$B$65,MATCH(C1424,Categories!$A$6:$A$65,0))&amp;"",""))</f>
        <v/>
      </c>
      <c r="I1424" s="25">
        <f>IF(AND(A1424="",C1424="",D1424=""),"",IF(A1424="","Date missing",IF(NOT(ISNUMBER(A1424)),"Date not recognized",IF(YEAR(A1424)&lt;&gt;Settings!$C$4,"Not in "&amp;Settings!$C$4,IF(C1424="","Category missing",IF(H1424="",IF(COUNTIF(Categories!$A$6:$A$65,C1424)&gt;0,"Category has no type","Category not in list"),IF(D1424="","Amount missing",IF(NOT(ISNUMBER(D1424)),"Amount is not a number",IF(F1424="","",IF(ISNA(MATCH(F1424,Lists!$G$2:$G$25,0)),"Goal / fund not in list",IF(H1424="Income","Fund tag ignored on income","")))))))))))</f>
        <v/>
      </c>
    </row>
    <row r="1425">
      <c r="A1425" s="27" t="n"/>
      <c r="B1425" s="23" t="n"/>
      <c r="C1425" s="23" t="n"/>
      <c r="D1425" s="28" t="n"/>
      <c r="E1425" s="23" t="n"/>
      <c r="F1425" s="23" t="n"/>
      <c r="G1425" s="23" t="n"/>
      <c r="H1425" s="29">
        <f>IF(C1425="","",IFERROR(INDEX(Categories!$B$6:$B$65,MATCH(C1425,Categories!$A$6:$A$65,0))&amp;"",""))</f>
        <v/>
      </c>
      <c r="I1425" s="25">
        <f>IF(AND(A1425="",C1425="",D1425=""),"",IF(A1425="","Date missing",IF(NOT(ISNUMBER(A1425)),"Date not recognized",IF(YEAR(A1425)&lt;&gt;Settings!$C$4,"Not in "&amp;Settings!$C$4,IF(C1425="","Category missing",IF(H1425="",IF(COUNTIF(Categories!$A$6:$A$65,C1425)&gt;0,"Category has no type","Category not in list"),IF(D1425="","Amount missing",IF(NOT(ISNUMBER(D1425)),"Amount is not a number",IF(F1425="","",IF(ISNA(MATCH(F1425,Lists!$G$2:$G$25,0)),"Goal / fund not in list",IF(H1425="Income","Fund tag ignored on income","")))))))))))</f>
        <v/>
      </c>
    </row>
    <row r="1426">
      <c r="A1426" s="27" t="n"/>
      <c r="B1426" s="23" t="n"/>
      <c r="C1426" s="23" t="n"/>
      <c r="D1426" s="28" t="n"/>
      <c r="E1426" s="23" t="n"/>
      <c r="F1426" s="23" t="n"/>
      <c r="G1426" s="23" t="n"/>
      <c r="H1426" s="29">
        <f>IF(C1426="","",IFERROR(INDEX(Categories!$B$6:$B$65,MATCH(C1426,Categories!$A$6:$A$65,0))&amp;"",""))</f>
        <v/>
      </c>
      <c r="I1426" s="25">
        <f>IF(AND(A1426="",C1426="",D1426=""),"",IF(A1426="","Date missing",IF(NOT(ISNUMBER(A1426)),"Date not recognized",IF(YEAR(A1426)&lt;&gt;Settings!$C$4,"Not in "&amp;Settings!$C$4,IF(C1426="","Category missing",IF(H1426="",IF(COUNTIF(Categories!$A$6:$A$65,C1426)&gt;0,"Category has no type","Category not in list"),IF(D1426="","Amount missing",IF(NOT(ISNUMBER(D1426)),"Amount is not a number",IF(F1426="","",IF(ISNA(MATCH(F1426,Lists!$G$2:$G$25,0)),"Goal / fund not in list",IF(H1426="Income","Fund tag ignored on income","")))))))))))</f>
        <v/>
      </c>
    </row>
    <row r="1427">
      <c r="A1427" s="27" t="n"/>
      <c r="B1427" s="23" t="n"/>
      <c r="C1427" s="23" t="n"/>
      <c r="D1427" s="28" t="n"/>
      <c r="E1427" s="23" t="n"/>
      <c r="F1427" s="23" t="n"/>
      <c r="G1427" s="23" t="n"/>
      <c r="H1427" s="29">
        <f>IF(C1427="","",IFERROR(INDEX(Categories!$B$6:$B$65,MATCH(C1427,Categories!$A$6:$A$65,0))&amp;"",""))</f>
        <v/>
      </c>
      <c r="I1427" s="25">
        <f>IF(AND(A1427="",C1427="",D1427=""),"",IF(A1427="","Date missing",IF(NOT(ISNUMBER(A1427)),"Date not recognized",IF(YEAR(A1427)&lt;&gt;Settings!$C$4,"Not in "&amp;Settings!$C$4,IF(C1427="","Category missing",IF(H1427="",IF(COUNTIF(Categories!$A$6:$A$65,C1427)&gt;0,"Category has no type","Category not in list"),IF(D1427="","Amount missing",IF(NOT(ISNUMBER(D1427)),"Amount is not a number",IF(F1427="","",IF(ISNA(MATCH(F1427,Lists!$G$2:$G$25,0)),"Goal / fund not in list",IF(H1427="Income","Fund tag ignored on income","")))))))))))</f>
        <v/>
      </c>
    </row>
    <row r="1428">
      <c r="A1428" s="27" t="n"/>
      <c r="B1428" s="23" t="n"/>
      <c r="C1428" s="23" t="n"/>
      <c r="D1428" s="28" t="n"/>
      <c r="E1428" s="23" t="n"/>
      <c r="F1428" s="23" t="n"/>
      <c r="G1428" s="23" t="n"/>
      <c r="H1428" s="29">
        <f>IF(C1428="","",IFERROR(INDEX(Categories!$B$6:$B$65,MATCH(C1428,Categories!$A$6:$A$65,0))&amp;"",""))</f>
        <v/>
      </c>
      <c r="I1428" s="25">
        <f>IF(AND(A1428="",C1428="",D1428=""),"",IF(A1428="","Date missing",IF(NOT(ISNUMBER(A1428)),"Date not recognized",IF(YEAR(A1428)&lt;&gt;Settings!$C$4,"Not in "&amp;Settings!$C$4,IF(C1428="","Category missing",IF(H1428="",IF(COUNTIF(Categories!$A$6:$A$65,C1428)&gt;0,"Category has no type","Category not in list"),IF(D1428="","Amount missing",IF(NOT(ISNUMBER(D1428)),"Amount is not a number",IF(F1428="","",IF(ISNA(MATCH(F1428,Lists!$G$2:$G$25,0)),"Goal / fund not in list",IF(H1428="Income","Fund tag ignored on income","")))))))))))</f>
        <v/>
      </c>
    </row>
    <row r="1429">
      <c r="A1429" s="27" t="n"/>
      <c r="B1429" s="23" t="n"/>
      <c r="C1429" s="23" t="n"/>
      <c r="D1429" s="28" t="n"/>
      <c r="E1429" s="23" t="n"/>
      <c r="F1429" s="23" t="n"/>
      <c r="G1429" s="23" t="n"/>
      <c r="H1429" s="29">
        <f>IF(C1429="","",IFERROR(INDEX(Categories!$B$6:$B$65,MATCH(C1429,Categories!$A$6:$A$65,0))&amp;"",""))</f>
        <v/>
      </c>
      <c r="I1429" s="25">
        <f>IF(AND(A1429="",C1429="",D1429=""),"",IF(A1429="","Date missing",IF(NOT(ISNUMBER(A1429)),"Date not recognized",IF(YEAR(A1429)&lt;&gt;Settings!$C$4,"Not in "&amp;Settings!$C$4,IF(C1429="","Category missing",IF(H1429="",IF(COUNTIF(Categories!$A$6:$A$65,C1429)&gt;0,"Category has no type","Category not in list"),IF(D1429="","Amount missing",IF(NOT(ISNUMBER(D1429)),"Amount is not a number",IF(F1429="","",IF(ISNA(MATCH(F1429,Lists!$G$2:$G$25,0)),"Goal / fund not in list",IF(H1429="Income","Fund tag ignored on income","")))))))))))</f>
        <v/>
      </c>
    </row>
    <row r="1430">
      <c r="A1430" s="27" t="n"/>
      <c r="B1430" s="23" t="n"/>
      <c r="C1430" s="23" t="n"/>
      <c r="D1430" s="28" t="n"/>
      <c r="E1430" s="23" t="n"/>
      <c r="F1430" s="23" t="n"/>
      <c r="G1430" s="23" t="n"/>
      <c r="H1430" s="29">
        <f>IF(C1430="","",IFERROR(INDEX(Categories!$B$6:$B$65,MATCH(C1430,Categories!$A$6:$A$65,0))&amp;"",""))</f>
        <v/>
      </c>
      <c r="I1430" s="25">
        <f>IF(AND(A1430="",C1430="",D1430=""),"",IF(A1430="","Date missing",IF(NOT(ISNUMBER(A1430)),"Date not recognized",IF(YEAR(A1430)&lt;&gt;Settings!$C$4,"Not in "&amp;Settings!$C$4,IF(C1430="","Category missing",IF(H1430="",IF(COUNTIF(Categories!$A$6:$A$65,C1430)&gt;0,"Category has no type","Category not in list"),IF(D1430="","Amount missing",IF(NOT(ISNUMBER(D1430)),"Amount is not a number",IF(F1430="","",IF(ISNA(MATCH(F1430,Lists!$G$2:$G$25,0)),"Goal / fund not in list",IF(H1430="Income","Fund tag ignored on income","")))))))))))</f>
        <v/>
      </c>
    </row>
    <row r="1431">
      <c r="A1431" s="27" t="n"/>
      <c r="B1431" s="23" t="n"/>
      <c r="C1431" s="23" t="n"/>
      <c r="D1431" s="28" t="n"/>
      <c r="E1431" s="23" t="n"/>
      <c r="F1431" s="23" t="n"/>
      <c r="G1431" s="23" t="n"/>
      <c r="H1431" s="29">
        <f>IF(C1431="","",IFERROR(INDEX(Categories!$B$6:$B$65,MATCH(C1431,Categories!$A$6:$A$65,0))&amp;"",""))</f>
        <v/>
      </c>
      <c r="I1431" s="25">
        <f>IF(AND(A1431="",C1431="",D1431=""),"",IF(A1431="","Date missing",IF(NOT(ISNUMBER(A1431)),"Date not recognized",IF(YEAR(A1431)&lt;&gt;Settings!$C$4,"Not in "&amp;Settings!$C$4,IF(C1431="","Category missing",IF(H1431="",IF(COUNTIF(Categories!$A$6:$A$65,C1431)&gt;0,"Category has no type","Category not in list"),IF(D1431="","Amount missing",IF(NOT(ISNUMBER(D1431)),"Amount is not a number",IF(F1431="","",IF(ISNA(MATCH(F1431,Lists!$G$2:$G$25,0)),"Goal / fund not in list",IF(H1431="Income","Fund tag ignored on income","")))))))))))</f>
        <v/>
      </c>
    </row>
    <row r="1432">
      <c r="A1432" s="27" t="n"/>
      <c r="B1432" s="23" t="n"/>
      <c r="C1432" s="23" t="n"/>
      <c r="D1432" s="28" t="n"/>
      <c r="E1432" s="23" t="n"/>
      <c r="F1432" s="23" t="n"/>
      <c r="G1432" s="23" t="n"/>
      <c r="H1432" s="29">
        <f>IF(C1432="","",IFERROR(INDEX(Categories!$B$6:$B$65,MATCH(C1432,Categories!$A$6:$A$65,0))&amp;"",""))</f>
        <v/>
      </c>
      <c r="I1432" s="25">
        <f>IF(AND(A1432="",C1432="",D1432=""),"",IF(A1432="","Date missing",IF(NOT(ISNUMBER(A1432)),"Date not recognized",IF(YEAR(A1432)&lt;&gt;Settings!$C$4,"Not in "&amp;Settings!$C$4,IF(C1432="","Category missing",IF(H1432="",IF(COUNTIF(Categories!$A$6:$A$65,C1432)&gt;0,"Category has no type","Category not in list"),IF(D1432="","Amount missing",IF(NOT(ISNUMBER(D1432)),"Amount is not a number",IF(F1432="","",IF(ISNA(MATCH(F1432,Lists!$G$2:$G$25,0)),"Goal / fund not in list",IF(H1432="Income","Fund tag ignored on income","")))))))))))</f>
        <v/>
      </c>
    </row>
    <row r="1433">
      <c r="A1433" s="27" t="n"/>
      <c r="B1433" s="23" t="n"/>
      <c r="C1433" s="23" t="n"/>
      <c r="D1433" s="28" t="n"/>
      <c r="E1433" s="23" t="n"/>
      <c r="F1433" s="23" t="n"/>
      <c r="G1433" s="23" t="n"/>
      <c r="H1433" s="29">
        <f>IF(C1433="","",IFERROR(INDEX(Categories!$B$6:$B$65,MATCH(C1433,Categories!$A$6:$A$65,0))&amp;"",""))</f>
        <v/>
      </c>
      <c r="I1433" s="25">
        <f>IF(AND(A1433="",C1433="",D1433=""),"",IF(A1433="","Date missing",IF(NOT(ISNUMBER(A1433)),"Date not recognized",IF(YEAR(A1433)&lt;&gt;Settings!$C$4,"Not in "&amp;Settings!$C$4,IF(C1433="","Category missing",IF(H1433="",IF(COUNTIF(Categories!$A$6:$A$65,C1433)&gt;0,"Category has no type","Category not in list"),IF(D1433="","Amount missing",IF(NOT(ISNUMBER(D1433)),"Amount is not a number",IF(F1433="","",IF(ISNA(MATCH(F1433,Lists!$G$2:$G$25,0)),"Goal / fund not in list",IF(H1433="Income","Fund tag ignored on income","")))))))))))</f>
        <v/>
      </c>
    </row>
    <row r="1434">
      <c r="A1434" s="27" t="n"/>
      <c r="B1434" s="23" t="n"/>
      <c r="C1434" s="23" t="n"/>
      <c r="D1434" s="28" t="n"/>
      <c r="E1434" s="23" t="n"/>
      <c r="F1434" s="23" t="n"/>
      <c r="G1434" s="23" t="n"/>
      <c r="H1434" s="29">
        <f>IF(C1434="","",IFERROR(INDEX(Categories!$B$6:$B$65,MATCH(C1434,Categories!$A$6:$A$65,0))&amp;"",""))</f>
        <v/>
      </c>
      <c r="I1434" s="25">
        <f>IF(AND(A1434="",C1434="",D1434=""),"",IF(A1434="","Date missing",IF(NOT(ISNUMBER(A1434)),"Date not recognized",IF(YEAR(A1434)&lt;&gt;Settings!$C$4,"Not in "&amp;Settings!$C$4,IF(C1434="","Category missing",IF(H1434="",IF(COUNTIF(Categories!$A$6:$A$65,C1434)&gt;0,"Category has no type","Category not in list"),IF(D1434="","Amount missing",IF(NOT(ISNUMBER(D1434)),"Amount is not a number",IF(F1434="","",IF(ISNA(MATCH(F1434,Lists!$G$2:$G$25,0)),"Goal / fund not in list",IF(H1434="Income","Fund tag ignored on income","")))))))))))</f>
        <v/>
      </c>
    </row>
    <row r="1435">
      <c r="A1435" s="27" t="n"/>
      <c r="B1435" s="23" t="n"/>
      <c r="C1435" s="23" t="n"/>
      <c r="D1435" s="28" t="n"/>
      <c r="E1435" s="23" t="n"/>
      <c r="F1435" s="23" t="n"/>
      <c r="G1435" s="23" t="n"/>
      <c r="H1435" s="29">
        <f>IF(C1435="","",IFERROR(INDEX(Categories!$B$6:$B$65,MATCH(C1435,Categories!$A$6:$A$65,0))&amp;"",""))</f>
        <v/>
      </c>
      <c r="I1435" s="25">
        <f>IF(AND(A1435="",C1435="",D1435=""),"",IF(A1435="","Date missing",IF(NOT(ISNUMBER(A1435)),"Date not recognized",IF(YEAR(A1435)&lt;&gt;Settings!$C$4,"Not in "&amp;Settings!$C$4,IF(C1435="","Category missing",IF(H1435="",IF(COUNTIF(Categories!$A$6:$A$65,C1435)&gt;0,"Category has no type","Category not in list"),IF(D1435="","Amount missing",IF(NOT(ISNUMBER(D1435)),"Amount is not a number",IF(F1435="","",IF(ISNA(MATCH(F1435,Lists!$G$2:$G$25,0)),"Goal / fund not in list",IF(H1435="Income","Fund tag ignored on income","")))))))))))</f>
        <v/>
      </c>
    </row>
    <row r="1436">
      <c r="A1436" s="27" t="n"/>
      <c r="B1436" s="23" t="n"/>
      <c r="C1436" s="23" t="n"/>
      <c r="D1436" s="28" t="n"/>
      <c r="E1436" s="23" t="n"/>
      <c r="F1436" s="23" t="n"/>
      <c r="G1436" s="23" t="n"/>
      <c r="H1436" s="29">
        <f>IF(C1436="","",IFERROR(INDEX(Categories!$B$6:$B$65,MATCH(C1436,Categories!$A$6:$A$65,0))&amp;"",""))</f>
        <v/>
      </c>
      <c r="I1436" s="25">
        <f>IF(AND(A1436="",C1436="",D1436=""),"",IF(A1436="","Date missing",IF(NOT(ISNUMBER(A1436)),"Date not recognized",IF(YEAR(A1436)&lt;&gt;Settings!$C$4,"Not in "&amp;Settings!$C$4,IF(C1436="","Category missing",IF(H1436="",IF(COUNTIF(Categories!$A$6:$A$65,C1436)&gt;0,"Category has no type","Category not in list"),IF(D1436="","Amount missing",IF(NOT(ISNUMBER(D1436)),"Amount is not a number",IF(F1436="","",IF(ISNA(MATCH(F1436,Lists!$G$2:$G$25,0)),"Goal / fund not in list",IF(H1436="Income","Fund tag ignored on income","")))))))))))</f>
        <v/>
      </c>
    </row>
    <row r="1437">
      <c r="A1437" s="27" t="n"/>
      <c r="B1437" s="23" t="n"/>
      <c r="C1437" s="23" t="n"/>
      <c r="D1437" s="28" t="n"/>
      <c r="E1437" s="23" t="n"/>
      <c r="F1437" s="23" t="n"/>
      <c r="G1437" s="23" t="n"/>
      <c r="H1437" s="29">
        <f>IF(C1437="","",IFERROR(INDEX(Categories!$B$6:$B$65,MATCH(C1437,Categories!$A$6:$A$65,0))&amp;"",""))</f>
        <v/>
      </c>
      <c r="I1437" s="25">
        <f>IF(AND(A1437="",C1437="",D1437=""),"",IF(A1437="","Date missing",IF(NOT(ISNUMBER(A1437)),"Date not recognized",IF(YEAR(A1437)&lt;&gt;Settings!$C$4,"Not in "&amp;Settings!$C$4,IF(C1437="","Category missing",IF(H1437="",IF(COUNTIF(Categories!$A$6:$A$65,C1437)&gt;0,"Category has no type","Category not in list"),IF(D1437="","Amount missing",IF(NOT(ISNUMBER(D1437)),"Amount is not a number",IF(F1437="","",IF(ISNA(MATCH(F1437,Lists!$G$2:$G$25,0)),"Goal / fund not in list",IF(H1437="Income","Fund tag ignored on income","")))))))))))</f>
        <v/>
      </c>
    </row>
    <row r="1438">
      <c r="A1438" s="27" t="n"/>
      <c r="B1438" s="23" t="n"/>
      <c r="C1438" s="23" t="n"/>
      <c r="D1438" s="28" t="n"/>
      <c r="E1438" s="23" t="n"/>
      <c r="F1438" s="23" t="n"/>
      <c r="G1438" s="23" t="n"/>
      <c r="H1438" s="29">
        <f>IF(C1438="","",IFERROR(INDEX(Categories!$B$6:$B$65,MATCH(C1438,Categories!$A$6:$A$65,0))&amp;"",""))</f>
        <v/>
      </c>
      <c r="I1438" s="25">
        <f>IF(AND(A1438="",C1438="",D1438=""),"",IF(A1438="","Date missing",IF(NOT(ISNUMBER(A1438)),"Date not recognized",IF(YEAR(A1438)&lt;&gt;Settings!$C$4,"Not in "&amp;Settings!$C$4,IF(C1438="","Category missing",IF(H1438="",IF(COUNTIF(Categories!$A$6:$A$65,C1438)&gt;0,"Category has no type","Category not in list"),IF(D1438="","Amount missing",IF(NOT(ISNUMBER(D1438)),"Amount is not a number",IF(F1438="","",IF(ISNA(MATCH(F1438,Lists!$G$2:$G$25,0)),"Goal / fund not in list",IF(H1438="Income","Fund tag ignored on income","")))))))))))</f>
        <v/>
      </c>
    </row>
    <row r="1439">
      <c r="A1439" s="27" t="n"/>
      <c r="B1439" s="23" t="n"/>
      <c r="C1439" s="23" t="n"/>
      <c r="D1439" s="28" t="n"/>
      <c r="E1439" s="23" t="n"/>
      <c r="F1439" s="23" t="n"/>
      <c r="G1439" s="23" t="n"/>
      <c r="H1439" s="29">
        <f>IF(C1439="","",IFERROR(INDEX(Categories!$B$6:$B$65,MATCH(C1439,Categories!$A$6:$A$65,0))&amp;"",""))</f>
        <v/>
      </c>
      <c r="I1439" s="25">
        <f>IF(AND(A1439="",C1439="",D1439=""),"",IF(A1439="","Date missing",IF(NOT(ISNUMBER(A1439)),"Date not recognized",IF(YEAR(A1439)&lt;&gt;Settings!$C$4,"Not in "&amp;Settings!$C$4,IF(C1439="","Category missing",IF(H1439="",IF(COUNTIF(Categories!$A$6:$A$65,C1439)&gt;0,"Category has no type","Category not in list"),IF(D1439="","Amount missing",IF(NOT(ISNUMBER(D1439)),"Amount is not a number",IF(F1439="","",IF(ISNA(MATCH(F1439,Lists!$G$2:$G$25,0)),"Goal / fund not in list",IF(H1439="Income","Fund tag ignored on income","")))))))))))</f>
        <v/>
      </c>
    </row>
    <row r="1440">
      <c r="A1440" s="27" t="n"/>
      <c r="B1440" s="23" t="n"/>
      <c r="C1440" s="23" t="n"/>
      <c r="D1440" s="28" t="n"/>
      <c r="E1440" s="23" t="n"/>
      <c r="F1440" s="23" t="n"/>
      <c r="G1440" s="23" t="n"/>
      <c r="H1440" s="29">
        <f>IF(C1440="","",IFERROR(INDEX(Categories!$B$6:$B$65,MATCH(C1440,Categories!$A$6:$A$65,0))&amp;"",""))</f>
        <v/>
      </c>
      <c r="I1440" s="25">
        <f>IF(AND(A1440="",C1440="",D1440=""),"",IF(A1440="","Date missing",IF(NOT(ISNUMBER(A1440)),"Date not recognized",IF(YEAR(A1440)&lt;&gt;Settings!$C$4,"Not in "&amp;Settings!$C$4,IF(C1440="","Category missing",IF(H1440="",IF(COUNTIF(Categories!$A$6:$A$65,C1440)&gt;0,"Category has no type","Category not in list"),IF(D1440="","Amount missing",IF(NOT(ISNUMBER(D1440)),"Amount is not a number",IF(F1440="","",IF(ISNA(MATCH(F1440,Lists!$G$2:$G$25,0)),"Goal / fund not in list",IF(H1440="Income","Fund tag ignored on income","")))))))))))</f>
        <v/>
      </c>
    </row>
    <row r="1441">
      <c r="A1441" s="27" t="n"/>
      <c r="B1441" s="23" t="n"/>
      <c r="C1441" s="23" t="n"/>
      <c r="D1441" s="28" t="n"/>
      <c r="E1441" s="23" t="n"/>
      <c r="F1441" s="23" t="n"/>
      <c r="G1441" s="23" t="n"/>
      <c r="H1441" s="29">
        <f>IF(C1441="","",IFERROR(INDEX(Categories!$B$6:$B$65,MATCH(C1441,Categories!$A$6:$A$65,0))&amp;"",""))</f>
        <v/>
      </c>
      <c r="I1441" s="25">
        <f>IF(AND(A1441="",C1441="",D1441=""),"",IF(A1441="","Date missing",IF(NOT(ISNUMBER(A1441)),"Date not recognized",IF(YEAR(A1441)&lt;&gt;Settings!$C$4,"Not in "&amp;Settings!$C$4,IF(C1441="","Category missing",IF(H1441="",IF(COUNTIF(Categories!$A$6:$A$65,C1441)&gt;0,"Category has no type","Category not in list"),IF(D1441="","Amount missing",IF(NOT(ISNUMBER(D1441)),"Amount is not a number",IF(F1441="","",IF(ISNA(MATCH(F1441,Lists!$G$2:$G$25,0)),"Goal / fund not in list",IF(H1441="Income","Fund tag ignored on income","")))))))))))</f>
        <v/>
      </c>
    </row>
    <row r="1442">
      <c r="A1442" s="27" t="n"/>
      <c r="B1442" s="23" t="n"/>
      <c r="C1442" s="23" t="n"/>
      <c r="D1442" s="28" t="n"/>
      <c r="E1442" s="23" t="n"/>
      <c r="F1442" s="23" t="n"/>
      <c r="G1442" s="23" t="n"/>
      <c r="H1442" s="29">
        <f>IF(C1442="","",IFERROR(INDEX(Categories!$B$6:$B$65,MATCH(C1442,Categories!$A$6:$A$65,0))&amp;"",""))</f>
        <v/>
      </c>
      <c r="I1442" s="25">
        <f>IF(AND(A1442="",C1442="",D1442=""),"",IF(A1442="","Date missing",IF(NOT(ISNUMBER(A1442)),"Date not recognized",IF(YEAR(A1442)&lt;&gt;Settings!$C$4,"Not in "&amp;Settings!$C$4,IF(C1442="","Category missing",IF(H1442="",IF(COUNTIF(Categories!$A$6:$A$65,C1442)&gt;0,"Category has no type","Category not in list"),IF(D1442="","Amount missing",IF(NOT(ISNUMBER(D1442)),"Amount is not a number",IF(F1442="","",IF(ISNA(MATCH(F1442,Lists!$G$2:$G$25,0)),"Goal / fund not in list",IF(H1442="Income","Fund tag ignored on income","")))))))))))</f>
        <v/>
      </c>
    </row>
    <row r="1443">
      <c r="A1443" s="27" t="n"/>
      <c r="B1443" s="23" t="n"/>
      <c r="C1443" s="23" t="n"/>
      <c r="D1443" s="28" t="n"/>
      <c r="E1443" s="23" t="n"/>
      <c r="F1443" s="23" t="n"/>
      <c r="G1443" s="23" t="n"/>
      <c r="H1443" s="29">
        <f>IF(C1443="","",IFERROR(INDEX(Categories!$B$6:$B$65,MATCH(C1443,Categories!$A$6:$A$65,0))&amp;"",""))</f>
        <v/>
      </c>
      <c r="I1443" s="25">
        <f>IF(AND(A1443="",C1443="",D1443=""),"",IF(A1443="","Date missing",IF(NOT(ISNUMBER(A1443)),"Date not recognized",IF(YEAR(A1443)&lt;&gt;Settings!$C$4,"Not in "&amp;Settings!$C$4,IF(C1443="","Category missing",IF(H1443="",IF(COUNTIF(Categories!$A$6:$A$65,C1443)&gt;0,"Category has no type","Category not in list"),IF(D1443="","Amount missing",IF(NOT(ISNUMBER(D1443)),"Amount is not a number",IF(F1443="","",IF(ISNA(MATCH(F1443,Lists!$G$2:$G$25,0)),"Goal / fund not in list",IF(H1443="Income","Fund tag ignored on income","")))))))))))</f>
        <v/>
      </c>
    </row>
    <row r="1444">
      <c r="A1444" s="27" t="n"/>
      <c r="B1444" s="23" t="n"/>
      <c r="C1444" s="23" t="n"/>
      <c r="D1444" s="28" t="n"/>
      <c r="E1444" s="23" t="n"/>
      <c r="F1444" s="23" t="n"/>
      <c r="G1444" s="23" t="n"/>
      <c r="H1444" s="29">
        <f>IF(C1444="","",IFERROR(INDEX(Categories!$B$6:$B$65,MATCH(C1444,Categories!$A$6:$A$65,0))&amp;"",""))</f>
        <v/>
      </c>
      <c r="I1444" s="25">
        <f>IF(AND(A1444="",C1444="",D1444=""),"",IF(A1444="","Date missing",IF(NOT(ISNUMBER(A1444)),"Date not recognized",IF(YEAR(A1444)&lt;&gt;Settings!$C$4,"Not in "&amp;Settings!$C$4,IF(C1444="","Category missing",IF(H1444="",IF(COUNTIF(Categories!$A$6:$A$65,C1444)&gt;0,"Category has no type","Category not in list"),IF(D1444="","Amount missing",IF(NOT(ISNUMBER(D1444)),"Amount is not a number",IF(F1444="","",IF(ISNA(MATCH(F1444,Lists!$G$2:$G$25,0)),"Goal / fund not in list",IF(H1444="Income","Fund tag ignored on income","")))))))))))</f>
        <v/>
      </c>
    </row>
    <row r="1445">
      <c r="A1445" s="27" t="n"/>
      <c r="B1445" s="23" t="n"/>
      <c r="C1445" s="23" t="n"/>
      <c r="D1445" s="28" t="n"/>
      <c r="E1445" s="23" t="n"/>
      <c r="F1445" s="23" t="n"/>
      <c r="G1445" s="23" t="n"/>
      <c r="H1445" s="29">
        <f>IF(C1445="","",IFERROR(INDEX(Categories!$B$6:$B$65,MATCH(C1445,Categories!$A$6:$A$65,0))&amp;"",""))</f>
        <v/>
      </c>
      <c r="I1445" s="25">
        <f>IF(AND(A1445="",C1445="",D1445=""),"",IF(A1445="","Date missing",IF(NOT(ISNUMBER(A1445)),"Date not recognized",IF(YEAR(A1445)&lt;&gt;Settings!$C$4,"Not in "&amp;Settings!$C$4,IF(C1445="","Category missing",IF(H1445="",IF(COUNTIF(Categories!$A$6:$A$65,C1445)&gt;0,"Category has no type","Category not in list"),IF(D1445="","Amount missing",IF(NOT(ISNUMBER(D1445)),"Amount is not a number",IF(F1445="","",IF(ISNA(MATCH(F1445,Lists!$G$2:$G$25,0)),"Goal / fund not in list",IF(H1445="Income","Fund tag ignored on income","")))))))))))</f>
        <v/>
      </c>
    </row>
    <row r="1446">
      <c r="A1446" s="27" t="n"/>
      <c r="B1446" s="23" t="n"/>
      <c r="C1446" s="23" t="n"/>
      <c r="D1446" s="28" t="n"/>
      <c r="E1446" s="23" t="n"/>
      <c r="F1446" s="23" t="n"/>
      <c r="G1446" s="23" t="n"/>
      <c r="H1446" s="29">
        <f>IF(C1446="","",IFERROR(INDEX(Categories!$B$6:$B$65,MATCH(C1446,Categories!$A$6:$A$65,0))&amp;"",""))</f>
        <v/>
      </c>
      <c r="I1446" s="25">
        <f>IF(AND(A1446="",C1446="",D1446=""),"",IF(A1446="","Date missing",IF(NOT(ISNUMBER(A1446)),"Date not recognized",IF(YEAR(A1446)&lt;&gt;Settings!$C$4,"Not in "&amp;Settings!$C$4,IF(C1446="","Category missing",IF(H1446="",IF(COUNTIF(Categories!$A$6:$A$65,C1446)&gt;0,"Category has no type","Category not in list"),IF(D1446="","Amount missing",IF(NOT(ISNUMBER(D1446)),"Amount is not a number",IF(F1446="","",IF(ISNA(MATCH(F1446,Lists!$G$2:$G$25,0)),"Goal / fund not in list",IF(H1446="Income","Fund tag ignored on income","")))))))))))</f>
        <v/>
      </c>
    </row>
    <row r="1447">
      <c r="A1447" s="27" t="n"/>
      <c r="B1447" s="23" t="n"/>
      <c r="C1447" s="23" t="n"/>
      <c r="D1447" s="28" t="n"/>
      <c r="E1447" s="23" t="n"/>
      <c r="F1447" s="23" t="n"/>
      <c r="G1447" s="23" t="n"/>
      <c r="H1447" s="29">
        <f>IF(C1447="","",IFERROR(INDEX(Categories!$B$6:$B$65,MATCH(C1447,Categories!$A$6:$A$65,0))&amp;"",""))</f>
        <v/>
      </c>
      <c r="I1447" s="25">
        <f>IF(AND(A1447="",C1447="",D1447=""),"",IF(A1447="","Date missing",IF(NOT(ISNUMBER(A1447)),"Date not recognized",IF(YEAR(A1447)&lt;&gt;Settings!$C$4,"Not in "&amp;Settings!$C$4,IF(C1447="","Category missing",IF(H1447="",IF(COUNTIF(Categories!$A$6:$A$65,C1447)&gt;0,"Category has no type","Category not in list"),IF(D1447="","Amount missing",IF(NOT(ISNUMBER(D1447)),"Amount is not a number",IF(F1447="","",IF(ISNA(MATCH(F1447,Lists!$G$2:$G$25,0)),"Goal / fund not in list",IF(H1447="Income","Fund tag ignored on income","")))))))))))</f>
        <v/>
      </c>
    </row>
    <row r="1448">
      <c r="A1448" s="27" t="n"/>
      <c r="B1448" s="23" t="n"/>
      <c r="C1448" s="23" t="n"/>
      <c r="D1448" s="28" t="n"/>
      <c r="E1448" s="23" t="n"/>
      <c r="F1448" s="23" t="n"/>
      <c r="G1448" s="23" t="n"/>
      <c r="H1448" s="29">
        <f>IF(C1448="","",IFERROR(INDEX(Categories!$B$6:$B$65,MATCH(C1448,Categories!$A$6:$A$65,0))&amp;"",""))</f>
        <v/>
      </c>
      <c r="I1448" s="25">
        <f>IF(AND(A1448="",C1448="",D1448=""),"",IF(A1448="","Date missing",IF(NOT(ISNUMBER(A1448)),"Date not recognized",IF(YEAR(A1448)&lt;&gt;Settings!$C$4,"Not in "&amp;Settings!$C$4,IF(C1448="","Category missing",IF(H1448="",IF(COUNTIF(Categories!$A$6:$A$65,C1448)&gt;0,"Category has no type","Category not in list"),IF(D1448="","Amount missing",IF(NOT(ISNUMBER(D1448)),"Amount is not a number",IF(F1448="","",IF(ISNA(MATCH(F1448,Lists!$G$2:$G$25,0)),"Goal / fund not in list",IF(H1448="Income","Fund tag ignored on income","")))))))))))</f>
        <v/>
      </c>
    </row>
    <row r="1449">
      <c r="A1449" s="27" t="n"/>
      <c r="B1449" s="23" t="n"/>
      <c r="C1449" s="23" t="n"/>
      <c r="D1449" s="28" t="n"/>
      <c r="E1449" s="23" t="n"/>
      <c r="F1449" s="23" t="n"/>
      <c r="G1449" s="23" t="n"/>
      <c r="H1449" s="29">
        <f>IF(C1449="","",IFERROR(INDEX(Categories!$B$6:$B$65,MATCH(C1449,Categories!$A$6:$A$65,0))&amp;"",""))</f>
        <v/>
      </c>
      <c r="I1449" s="25">
        <f>IF(AND(A1449="",C1449="",D1449=""),"",IF(A1449="","Date missing",IF(NOT(ISNUMBER(A1449)),"Date not recognized",IF(YEAR(A1449)&lt;&gt;Settings!$C$4,"Not in "&amp;Settings!$C$4,IF(C1449="","Category missing",IF(H1449="",IF(COUNTIF(Categories!$A$6:$A$65,C1449)&gt;0,"Category has no type","Category not in list"),IF(D1449="","Amount missing",IF(NOT(ISNUMBER(D1449)),"Amount is not a number",IF(F1449="","",IF(ISNA(MATCH(F1449,Lists!$G$2:$G$25,0)),"Goal / fund not in list",IF(H1449="Income","Fund tag ignored on income","")))))))))))</f>
        <v/>
      </c>
    </row>
    <row r="1450">
      <c r="A1450" s="27" t="n"/>
      <c r="B1450" s="23" t="n"/>
      <c r="C1450" s="23" t="n"/>
      <c r="D1450" s="28" t="n"/>
      <c r="E1450" s="23" t="n"/>
      <c r="F1450" s="23" t="n"/>
      <c r="G1450" s="23" t="n"/>
      <c r="H1450" s="29">
        <f>IF(C1450="","",IFERROR(INDEX(Categories!$B$6:$B$65,MATCH(C1450,Categories!$A$6:$A$65,0))&amp;"",""))</f>
        <v/>
      </c>
      <c r="I1450" s="25">
        <f>IF(AND(A1450="",C1450="",D1450=""),"",IF(A1450="","Date missing",IF(NOT(ISNUMBER(A1450)),"Date not recognized",IF(YEAR(A1450)&lt;&gt;Settings!$C$4,"Not in "&amp;Settings!$C$4,IF(C1450="","Category missing",IF(H1450="",IF(COUNTIF(Categories!$A$6:$A$65,C1450)&gt;0,"Category has no type","Category not in list"),IF(D1450="","Amount missing",IF(NOT(ISNUMBER(D1450)),"Amount is not a number",IF(F1450="","",IF(ISNA(MATCH(F1450,Lists!$G$2:$G$25,0)),"Goal / fund not in list",IF(H1450="Income","Fund tag ignored on income","")))))))))))</f>
        <v/>
      </c>
    </row>
    <row r="1451">
      <c r="A1451" s="27" t="n"/>
      <c r="B1451" s="23" t="n"/>
      <c r="C1451" s="23" t="n"/>
      <c r="D1451" s="28" t="n"/>
      <c r="E1451" s="23" t="n"/>
      <c r="F1451" s="23" t="n"/>
      <c r="G1451" s="23" t="n"/>
      <c r="H1451" s="29">
        <f>IF(C1451="","",IFERROR(INDEX(Categories!$B$6:$B$65,MATCH(C1451,Categories!$A$6:$A$65,0))&amp;"",""))</f>
        <v/>
      </c>
      <c r="I1451" s="25">
        <f>IF(AND(A1451="",C1451="",D1451=""),"",IF(A1451="","Date missing",IF(NOT(ISNUMBER(A1451)),"Date not recognized",IF(YEAR(A1451)&lt;&gt;Settings!$C$4,"Not in "&amp;Settings!$C$4,IF(C1451="","Category missing",IF(H1451="",IF(COUNTIF(Categories!$A$6:$A$65,C1451)&gt;0,"Category has no type","Category not in list"),IF(D1451="","Amount missing",IF(NOT(ISNUMBER(D1451)),"Amount is not a number",IF(F1451="","",IF(ISNA(MATCH(F1451,Lists!$G$2:$G$25,0)),"Goal / fund not in list",IF(H1451="Income","Fund tag ignored on income","")))))))))))</f>
        <v/>
      </c>
    </row>
    <row r="1452">
      <c r="A1452" s="27" t="n"/>
      <c r="B1452" s="23" t="n"/>
      <c r="C1452" s="23" t="n"/>
      <c r="D1452" s="28" t="n"/>
      <c r="E1452" s="23" t="n"/>
      <c r="F1452" s="23" t="n"/>
      <c r="G1452" s="23" t="n"/>
      <c r="H1452" s="29">
        <f>IF(C1452="","",IFERROR(INDEX(Categories!$B$6:$B$65,MATCH(C1452,Categories!$A$6:$A$65,0))&amp;"",""))</f>
        <v/>
      </c>
      <c r="I1452" s="25">
        <f>IF(AND(A1452="",C1452="",D1452=""),"",IF(A1452="","Date missing",IF(NOT(ISNUMBER(A1452)),"Date not recognized",IF(YEAR(A1452)&lt;&gt;Settings!$C$4,"Not in "&amp;Settings!$C$4,IF(C1452="","Category missing",IF(H1452="",IF(COUNTIF(Categories!$A$6:$A$65,C1452)&gt;0,"Category has no type","Category not in list"),IF(D1452="","Amount missing",IF(NOT(ISNUMBER(D1452)),"Amount is not a number",IF(F1452="","",IF(ISNA(MATCH(F1452,Lists!$G$2:$G$25,0)),"Goal / fund not in list",IF(H1452="Income","Fund tag ignored on income","")))))))))))</f>
        <v/>
      </c>
    </row>
    <row r="1453">
      <c r="A1453" s="27" t="n"/>
      <c r="B1453" s="23" t="n"/>
      <c r="C1453" s="23" t="n"/>
      <c r="D1453" s="28" t="n"/>
      <c r="E1453" s="23" t="n"/>
      <c r="F1453" s="23" t="n"/>
      <c r="G1453" s="23" t="n"/>
      <c r="H1453" s="29">
        <f>IF(C1453="","",IFERROR(INDEX(Categories!$B$6:$B$65,MATCH(C1453,Categories!$A$6:$A$65,0))&amp;"",""))</f>
        <v/>
      </c>
      <c r="I1453" s="25">
        <f>IF(AND(A1453="",C1453="",D1453=""),"",IF(A1453="","Date missing",IF(NOT(ISNUMBER(A1453)),"Date not recognized",IF(YEAR(A1453)&lt;&gt;Settings!$C$4,"Not in "&amp;Settings!$C$4,IF(C1453="","Category missing",IF(H1453="",IF(COUNTIF(Categories!$A$6:$A$65,C1453)&gt;0,"Category has no type","Category not in list"),IF(D1453="","Amount missing",IF(NOT(ISNUMBER(D1453)),"Amount is not a number",IF(F1453="","",IF(ISNA(MATCH(F1453,Lists!$G$2:$G$25,0)),"Goal / fund not in list",IF(H1453="Income","Fund tag ignored on income","")))))))))))</f>
        <v/>
      </c>
    </row>
    <row r="1454">
      <c r="A1454" s="27" t="n"/>
      <c r="B1454" s="23" t="n"/>
      <c r="C1454" s="23" t="n"/>
      <c r="D1454" s="28" t="n"/>
      <c r="E1454" s="23" t="n"/>
      <c r="F1454" s="23" t="n"/>
      <c r="G1454" s="23" t="n"/>
      <c r="H1454" s="29">
        <f>IF(C1454="","",IFERROR(INDEX(Categories!$B$6:$B$65,MATCH(C1454,Categories!$A$6:$A$65,0))&amp;"",""))</f>
        <v/>
      </c>
      <c r="I1454" s="25">
        <f>IF(AND(A1454="",C1454="",D1454=""),"",IF(A1454="","Date missing",IF(NOT(ISNUMBER(A1454)),"Date not recognized",IF(YEAR(A1454)&lt;&gt;Settings!$C$4,"Not in "&amp;Settings!$C$4,IF(C1454="","Category missing",IF(H1454="",IF(COUNTIF(Categories!$A$6:$A$65,C1454)&gt;0,"Category has no type","Category not in list"),IF(D1454="","Amount missing",IF(NOT(ISNUMBER(D1454)),"Amount is not a number",IF(F1454="","",IF(ISNA(MATCH(F1454,Lists!$G$2:$G$25,0)),"Goal / fund not in list",IF(H1454="Income","Fund tag ignored on income","")))))))))))</f>
        <v/>
      </c>
    </row>
    <row r="1455">
      <c r="A1455" s="27" t="n"/>
      <c r="B1455" s="23" t="n"/>
      <c r="C1455" s="23" t="n"/>
      <c r="D1455" s="28" t="n"/>
      <c r="E1455" s="23" t="n"/>
      <c r="F1455" s="23" t="n"/>
      <c r="G1455" s="23" t="n"/>
      <c r="H1455" s="29">
        <f>IF(C1455="","",IFERROR(INDEX(Categories!$B$6:$B$65,MATCH(C1455,Categories!$A$6:$A$65,0))&amp;"",""))</f>
        <v/>
      </c>
      <c r="I1455" s="25">
        <f>IF(AND(A1455="",C1455="",D1455=""),"",IF(A1455="","Date missing",IF(NOT(ISNUMBER(A1455)),"Date not recognized",IF(YEAR(A1455)&lt;&gt;Settings!$C$4,"Not in "&amp;Settings!$C$4,IF(C1455="","Category missing",IF(H1455="",IF(COUNTIF(Categories!$A$6:$A$65,C1455)&gt;0,"Category has no type","Category not in list"),IF(D1455="","Amount missing",IF(NOT(ISNUMBER(D1455)),"Amount is not a number",IF(F1455="","",IF(ISNA(MATCH(F1455,Lists!$G$2:$G$25,0)),"Goal / fund not in list",IF(H1455="Income","Fund tag ignored on income","")))))))))))</f>
        <v/>
      </c>
    </row>
    <row r="1456">
      <c r="A1456" s="27" t="n"/>
      <c r="B1456" s="23" t="n"/>
      <c r="C1456" s="23" t="n"/>
      <c r="D1456" s="28" t="n"/>
      <c r="E1456" s="23" t="n"/>
      <c r="F1456" s="23" t="n"/>
      <c r="G1456" s="23" t="n"/>
      <c r="H1456" s="29">
        <f>IF(C1456="","",IFERROR(INDEX(Categories!$B$6:$B$65,MATCH(C1456,Categories!$A$6:$A$65,0))&amp;"",""))</f>
        <v/>
      </c>
      <c r="I1456" s="25">
        <f>IF(AND(A1456="",C1456="",D1456=""),"",IF(A1456="","Date missing",IF(NOT(ISNUMBER(A1456)),"Date not recognized",IF(YEAR(A1456)&lt;&gt;Settings!$C$4,"Not in "&amp;Settings!$C$4,IF(C1456="","Category missing",IF(H1456="",IF(COUNTIF(Categories!$A$6:$A$65,C1456)&gt;0,"Category has no type","Category not in list"),IF(D1456="","Amount missing",IF(NOT(ISNUMBER(D1456)),"Amount is not a number",IF(F1456="","",IF(ISNA(MATCH(F1456,Lists!$G$2:$G$25,0)),"Goal / fund not in list",IF(H1456="Income","Fund tag ignored on income","")))))))))))</f>
        <v/>
      </c>
    </row>
    <row r="1457">
      <c r="A1457" s="27" t="n"/>
      <c r="B1457" s="23" t="n"/>
      <c r="C1457" s="23" t="n"/>
      <c r="D1457" s="28" t="n"/>
      <c r="E1457" s="23" t="n"/>
      <c r="F1457" s="23" t="n"/>
      <c r="G1457" s="23" t="n"/>
      <c r="H1457" s="29">
        <f>IF(C1457="","",IFERROR(INDEX(Categories!$B$6:$B$65,MATCH(C1457,Categories!$A$6:$A$65,0))&amp;"",""))</f>
        <v/>
      </c>
      <c r="I1457" s="25">
        <f>IF(AND(A1457="",C1457="",D1457=""),"",IF(A1457="","Date missing",IF(NOT(ISNUMBER(A1457)),"Date not recognized",IF(YEAR(A1457)&lt;&gt;Settings!$C$4,"Not in "&amp;Settings!$C$4,IF(C1457="","Category missing",IF(H1457="",IF(COUNTIF(Categories!$A$6:$A$65,C1457)&gt;0,"Category has no type","Category not in list"),IF(D1457="","Amount missing",IF(NOT(ISNUMBER(D1457)),"Amount is not a number",IF(F1457="","",IF(ISNA(MATCH(F1457,Lists!$G$2:$G$25,0)),"Goal / fund not in list",IF(H1457="Income","Fund tag ignored on income","")))))))))))</f>
        <v/>
      </c>
    </row>
    <row r="1458">
      <c r="A1458" s="27" t="n"/>
      <c r="B1458" s="23" t="n"/>
      <c r="C1458" s="23" t="n"/>
      <c r="D1458" s="28" t="n"/>
      <c r="E1458" s="23" t="n"/>
      <c r="F1458" s="23" t="n"/>
      <c r="G1458" s="23" t="n"/>
      <c r="H1458" s="29">
        <f>IF(C1458="","",IFERROR(INDEX(Categories!$B$6:$B$65,MATCH(C1458,Categories!$A$6:$A$65,0))&amp;"",""))</f>
        <v/>
      </c>
      <c r="I1458" s="25">
        <f>IF(AND(A1458="",C1458="",D1458=""),"",IF(A1458="","Date missing",IF(NOT(ISNUMBER(A1458)),"Date not recognized",IF(YEAR(A1458)&lt;&gt;Settings!$C$4,"Not in "&amp;Settings!$C$4,IF(C1458="","Category missing",IF(H1458="",IF(COUNTIF(Categories!$A$6:$A$65,C1458)&gt;0,"Category has no type","Category not in list"),IF(D1458="","Amount missing",IF(NOT(ISNUMBER(D1458)),"Amount is not a number",IF(F1458="","",IF(ISNA(MATCH(F1458,Lists!$G$2:$G$25,0)),"Goal / fund not in list",IF(H1458="Income","Fund tag ignored on income","")))))))))))</f>
        <v/>
      </c>
    </row>
    <row r="1459">
      <c r="A1459" s="27" t="n"/>
      <c r="B1459" s="23" t="n"/>
      <c r="C1459" s="23" t="n"/>
      <c r="D1459" s="28" t="n"/>
      <c r="E1459" s="23" t="n"/>
      <c r="F1459" s="23" t="n"/>
      <c r="G1459" s="23" t="n"/>
      <c r="H1459" s="29">
        <f>IF(C1459="","",IFERROR(INDEX(Categories!$B$6:$B$65,MATCH(C1459,Categories!$A$6:$A$65,0))&amp;"",""))</f>
        <v/>
      </c>
      <c r="I1459" s="25">
        <f>IF(AND(A1459="",C1459="",D1459=""),"",IF(A1459="","Date missing",IF(NOT(ISNUMBER(A1459)),"Date not recognized",IF(YEAR(A1459)&lt;&gt;Settings!$C$4,"Not in "&amp;Settings!$C$4,IF(C1459="","Category missing",IF(H1459="",IF(COUNTIF(Categories!$A$6:$A$65,C1459)&gt;0,"Category has no type","Category not in list"),IF(D1459="","Amount missing",IF(NOT(ISNUMBER(D1459)),"Amount is not a number",IF(F1459="","",IF(ISNA(MATCH(F1459,Lists!$G$2:$G$25,0)),"Goal / fund not in list",IF(H1459="Income","Fund tag ignored on income","")))))))))))</f>
        <v/>
      </c>
    </row>
    <row r="1460">
      <c r="A1460" s="27" t="n"/>
      <c r="B1460" s="23" t="n"/>
      <c r="C1460" s="23" t="n"/>
      <c r="D1460" s="28" t="n"/>
      <c r="E1460" s="23" t="n"/>
      <c r="F1460" s="23" t="n"/>
      <c r="G1460" s="23" t="n"/>
      <c r="H1460" s="29">
        <f>IF(C1460="","",IFERROR(INDEX(Categories!$B$6:$B$65,MATCH(C1460,Categories!$A$6:$A$65,0))&amp;"",""))</f>
        <v/>
      </c>
      <c r="I1460" s="25">
        <f>IF(AND(A1460="",C1460="",D1460=""),"",IF(A1460="","Date missing",IF(NOT(ISNUMBER(A1460)),"Date not recognized",IF(YEAR(A1460)&lt;&gt;Settings!$C$4,"Not in "&amp;Settings!$C$4,IF(C1460="","Category missing",IF(H1460="",IF(COUNTIF(Categories!$A$6:$A$65,C1460)&gt;0,"Category has no type","Category not in list"),IF(D1460="","Amount missing",IF(NOT(ISNUMBER(D1460)),"Amount is not a number",IF(F1460="","",IF(ISNA(MATCH(F1460,Lists!$G$2:$G$25,0)),"Goal / fund not in list",IF(H1460="Income","Fund tag ignored on income","")))))))))))</f>
        <v/>
      </c>
    </row>
    <row r="1461">
      <c r="A1461" s="27" t="n"/>
      <c r="B1461" s="23" t="n"/>
      <c r="C1461" s="23" t="n"/>
      <c r="D1461" s="28" t="n"/>
      <c r="E1461" s="23" t="n"/>
      <c r="F1461" s="23" t="n"/>
      <c r="G1461" s="23" t="n"/>
      <c r="H1461" s="29">
        <f>IF(C1461="","",IFERROR(INDEX(Categories!$B$6:$B$65,MATCH(C1461,Categories!$A$6:$A$65,0))&amp;"",""))</f>
        <v/>
      </c>
      <c r="I1461" s="25">
        <f>IF(AND(A1461="",C1461="",D1461=""),"",IF(A1461="","Date missing",IF(NOT(ISNUMBER(A1461)),"Date not recognized",IF(YEAR(A1461)&lt;&gt;Settings!$C$4,"Not in "&amp;Settings!$C$4,IF(C1461="","Category missing",IF(H1461="",IF(COUNTIF(Categories!$A$6:$A$65,C1461)&gt;0,"Category has no type","Category not in list"),IF(D1461="","Amount missing",IF(NOT(ISNUMBER(D1461)),"Amount is not a number",IF(F1461="","",IF(ISNA(MATCH(F1461,Lists!$G$2:$G$25,0)),"Goal / fund not in list",IF(H1461="Income","Fund tag ignored on income","")))))))))))</f>
        <v/>
      </c>
    </row>
    <row r="1462">
      <c r="A1462" s="27" t="n"/>
      <c r="B1462" s="23" t="n"/>
      <c r="C1462" s="23" t="n"/>
      <c r="D1462" s="28" t="n"/>
      <c r="E1462" s="23" t="n"/>
      <c r="F1462" s="23" t="n"/>
      <c r="G1462" s="23" t="n"/>
      <c r="H1462" s="29">
        <f>IF(C1462="","",IFERROR(INDEX(Categories!$B$6:$B$65,MATCH(C1462,Categories!$A$6:$A$65,0))&amp;"",""))</f>
        <v/>
      </c>
      <c r="I1462" s="25">
        <f>IF(AND(A1462="",C1462="",D1462=""),"",IF(A1462="","Date missing",IF(NOT(ISNUMBER(A1462)),"Date not recognized",IF(YEAR(A1462)&lt;&gt;Settings!$C$4,"Not in "&amp;Settings!$C$4,IF(C1462="","Category missing",IF(H1462="",IF(COUNTIF(Categories!$A$6:$A$65,C1462)&gt;0,"Category has no type","Category not in list"),IF(D1462="","Amount missing",IF(NOT(ISNUMBER(D1462)),"Amount is not a number",IF(F1462="","",IF(ISNA(MATCH(F1462,Lists!$G$2:$G$25,0)),"Goal / fund not in list",IF(H1462="Income","Fund tag ignored on income","")))))))))))</f>
        <v/>
      </c>
    </row>
    <row r="1463">
      <c r="A1463" s="27" t="n"/>
      <c r="B1463" s="23" t="n"/>
      <c r="C1463" s="23" t="n"/>
      <c r="D1463" s="28" t="n"/>
      <c r="E1463" s="23" t="n"/>
      <c r="F1463" s="23" t="n"/>
      <c r="G1463" s="23" t="n"/>
      <c r="H1463" s="29">
        <f>IF(C1463="","",IFERROR(INDEX(Categories!$B$6:$B$65,MATCH(C1463,Categories!$A$6:$A$65,0))&amp;"",""))</f>
        <v/>
      </c>
      <c r="I1463" s="25">
        <f>IF(AND(A1463="",C1463="",D1463=""),"",IF(A1463="","Date missing",IF(NOT(ISNUMBER(A1463)),"Date not recognized",IF(YEAR(A1463)&lt;&gt;Settings!$C$4,"Not in "&amp;Settings!$C$4,IF(C1463="","Category missing",IF(H1463="",IF(COUNTIF(Categories!$A$6:$A$65,C1463)&gt;0,"Category has no type","Category not in list"),IF(D1463="","Amount missing",IF(NOT(ISNUMBER(D1463)),"Amount is not a number",IF(F1463="","",IF(ISNA(MATCH(F1463,Lists!$G$2:$G$25,0)),"Goal / fund not in list",IF(H1463="Income","Fund tag ignored on income","")))))))))))</f>
        <v/>
      </c>
    </row>
    <row r="1464">
      <c r="A1464" s="27" t="n"/>
      <c r="B1464" s="23" t="n"/>
      <c r="C1464" s="23" t="n"/>
      <c r="D1464" s="28" t="n"/>
      <c r="E1464" s="23" t="n"/>
      <c r="F1464" s="23" t="n"/>
      <c r="G1464" s="23" t="n"/>
      <c r="H1464" s="29">
        <f>IF(C1464="","",IFERROR(INDEX(Categories!$B$6:$B$65,MATCH(C1464,Categories!$A$6:$A$65,0))&amp;"",""))</f>
        <v/>
      </c>
      <c r="I1464" s="25">
        <f>IF(AND(A1464="",C1464="",D1464=""),"",IF(A1464="","Date missing",IF(NOT(ISNUMBER(A1464)),"Date not recognized",IF(YEAR(A1464)&lt;&gt;Settings!$C$4,"Not in "&amp;Settings!$C$4,IF(C1464="","Category missing",IF(H1464="",IF(COUNTIF(Categories!$A$6:$A$65,C1464)&gt;0,"Category has no type","Category not in list"),IF(D1464="","Amount missing",IF(NOT(ISNUMBER(D1464)),"Amount is not a number",IF(F1464="","",IF(ISNA(MATCH(F1464,Lists!$G$2:$G$25,0)),"Goal / fund not in list",IF(H1464="Income","Fund tag ignored on income","")))))))))))</f>
        <v/>
      </c>
    </row>
    <row r="1465">
      <c r="A1465" s="27" t="n"/>
      <c r="B1465" s="23" t="n"/>
      <c r="C1465" s="23" t="n"/>
      <c r="D1465" s="28" t="n"/>
      <c r="E1465" s="23" t="n"/>
      <c r="F1465" s="23" t="n"/>
      <c r="G1465" s="23" t="n"/>
      <c r="H1465" s="29">
        <f>IF(C1465="","",IFERROR(INDEX(Categories!$B$6:$B$65,MATCH(C1465,Categories!$A$6:$A$65,0))&amp;"",""))</f>
        <v/>
      </c>
      <c r="I1465" s="25">
        <f>IF(AND(A1465="",C1465="",D1465=""),"",IF(A1465="","Date missing",IF(NOT(ISNUMBER(A1465)),"Date not recognized",IF(YEAR(A1465)&lt;&gt;Settings!$C$4,"Not in "&amp;Settings!$C$4,IF(C1465="","Category missing",IF(H1465="",IF(COUNTIF(Categories!$A$6:$A$65,C1465)&gt;0,"Category has no type","Category not in list"),IF(D1465="","Amount missing",IF(NOT(ISNUMBER(D1465)),"Amount is not a number",IF(F1465="","",IF(ISNA(MATCH(F1465,Lists!$G$2:$G$25,0)),"Goal / fund not in list",IF(H1465="Income","Fund tag ignored on income","")))))))))))</f>
        <v/>
      </c>
    </row>
    <row r="1466">
      <c r="A1466" s="27" t="n"/>
      <c r="B1466" s="23" t="n"/>
      <c r="C1466" s="23" t="n"/>
      <c r="D1466" s="28" t="n"/>
      <c r="E1466" s="23" t="n"/>
      <c r="F1466" s="23" t="n"/>
      <c r="G1466" s="23" t="n"/>
      <c r="H1466" s="29">
        <f>IF(C1466="","",IFERROR(INDEX(Categories!$B$6:$B$65,MATCH(C1466,Categories!$A$6:$A$65,0))&amp;"",""))</f>
        <v/>
      </c>
      <c r="I1466" s="25">
        <f>IF(AND(A1466="",C1466="",D1466=""),"",IF(A1466="","Date missing",IF(NOT(ISNUMBER(A1466)),"Date not recognized",IF(YEAR(A1466)&lt;&gt;Settings!$C$4,"Not in "&amp;Settings!$C$4,IF(C1466="","Category missing",IF(H1466="",IF(COUNTIF(Categories!$A$6:$A$65,C1466)&gt;0,"Category has no type","Category not in list"),IF(D1466="","Amount missing",IF(NOT(ISNUMBER(D1466)),"Amount is not a number",IF(F1466="","",IF(ISNA(MATCH(F1466,Lists!$G$2:$G$25,0)),"Goal / fund not in list",IF(H1466="Income","Fund tag ignored on income","")))))))))))</f>
        <v/>
      </c>
    </row>
    <row r="1467">
      <c r="A1467" s="27" t="n"/>
      <c r="B1467" s="23" t="n"/>
      <c r="C1467" s="23" t="n"/>
      <c r="D1467" s="28" t="n"/>
      <c r="E1467" s="23" t="n"/>
      <c r="F1467" s="23" t="n"/>
      <c r="G1467" s="23" t="n"/>
      <c r="H1467" s="29">
        <f>IF(C1467="","",IFERROR(INDEX(Categories!$B$6:$B$65,MATCH(C1467,Categories!$A$6:$A$65,0))&amp;"",""))</f>
        <v/>
      </c>
      <c r="I1467" s="25">
        <f>IF(AND(A1467="",C1467="",D1467=""),"",IF(A1467="","Date missing",IF(NOT(ISNUMBER(A1467)),"Date not recognized",IF(YEAR(A1467)&lt;&gt;Settings!$C$4,"Not in "&amp;Settings!$C$4,IF(C1467="","Category missing",IF(H1467="",IF(COUNTIF(Categories!$A$6:$A$65,C1467)&gt;0,"Category has no type","Category not in list"),IF(D1467="","Amount missing",IF(NOT(ISNUMBER(D1467)),"Amount is not a number",IF(F1467="","",IF(ISNA(MATCH(F1467,Lists!$G$2:$G$25,0)),"Goal / fund not in list",IF(H1467="Income","Fund tag ignored on income","")))))))))))</f>
        <v/>
      </c>
    </row>
    <row r="1468">
      <c r="A1468" s="27" t="n"/>
      <c r="B1468" s="23" t="n"/>
      <c r="C1468" s="23" t="n"/>
      <c r="D1468" s="28" t="n"/>
      <c r="E1468" s="23" t="n"/>
      <c r="F1468" s="23" t="n"/>
      <c r="G1468" s="23" t="n"/>
      <c r="H1468" s="29">
        <f>IF(C1468="","",IFERROR(INDEX(Categories!$B$6:$B$65,MATCH(C1468,Categories!$A$6:$A$65,0))&amp;"",""))</f>
        <v/>
      </c>
      <c r="I1468" s="25">
        <f>IF(AND(A1468="",C1468="",D1468=""),"",IF(A1468="","Date missing",IF(NOT(ISNUMBER(A1468)),"Date not recognized",IF(YEAR(A1468)&lt;&gt;Settings!$C$4,"Not in "&amp;Settings!$C$4,IF(C1468="","Category missing",IF(H1468="",IF(COUNTIF(Categories!$A$6:$A$65,C1468)&gt;0,"Category has no type","Category not in list"),IF(D1468="","Amount missing",IF(NOT(ISNUMBER(D1468)),"Amount is not a number",IF(F1468="","",IF(ISNA(MATCH(F1468,Lists!$G$2:$G$25,0)),"Goal / fund not in list",IF(H1468="Income","Fund tag ignored on income","")))))))))))</f>
        <v/>
      </c>
    </row>
    <row r="1469">
      <c r="A1469" s="27" t="n"/>
      <c r="B1469" s="23" t="n"/>
      <c r="C1469" s="23" t="n"/>
      <c r="D1469" s="28" t="n"/>
      <c r="E1469" s="23" t="n"/>
      <c r="F1469" s="23" t="n"/>
      <c r="G1469" s="23" t="n"/>
      <c r="H1469" s="29">
        <f>IF(C1469="","",IFERROR(INDEX(Categories!$B$6:$B$65,MATCH(C1469,Categories!$A$6:$A$65,0))&amp;"",""))</f>
        <v/>
      </c>
      <c r="I1469" s="25">
        <f>IF(AND(A1469="",C1469="",D1469=""),"",IF(A1469="","Date missing",IF(NOT(ISNUMBER(A1469)),"Date not recognized",IF(YEAR(A1469)&lt;&gt;Settings!$C$4,"Not in "&amp;Settings!$C$4,IF(C1469="","Category missing",IF(H1469="",IF(COUNTIF(Categories!$A$6:$A$65,C1469)&gt;0,"Category has no type","Category not in list"),IF(D1469="","Amount missing",IF(NOT(ISNUMBER(D1469)),"Amount is not a number",IF(F1469="","",IF(ISNA(MATCH(F1469,Lists!$G$2:$G$25,0)),"Goal / fund not in list",IF(H1469="Income","Fund tag ignored on income","")))))))))))</f>
        <v/>
      </c>
    </row>
    <row r="1470">
      <c r="A1470" s="27" t="n"/>
      <c r="B1470" s="23" t="n"/>
      <c r="C1470" s="23" t="n"/>
      <c r="D1470" s="28" t="n"/>
      <c r="E1470" s="23" t="n"/>
      <c r="F1470" s="23" t="n"/>
      <c r="G1470" s="23" t="n"/>
      <c r="H1470" s="29">
        <f>IF(C1470="","",IFERROR(INDEX(Categories!$B$6:$B$65,MATCH(C1470,Categories!$A$6:$A$65,0))&amp;"",""))</f>
        <v/>
      </c>
      <c r="I1470" s="25">
        <f>IF(AND(A1470="",C1470="",D1470=""),"",IF(A1470="","Date missing",IF(NOT(ISNUMBER(A1470)),"Date not recognized",IF(YEAR(A1470)&lt;&gt;Settings!$C$4,"Not in "&amp;Settings!$C$4,IF(C1470="","Category missing",IF(H1470="",IF(COUNTIF(Categories!$A$6:$A$65,C1470)&gt;0,"Category has no type","Category not in list"),IF(D1470="","Amount missing",IF(NOT(ISNUMBER(D1470)),"Amount is not a number",IF(F1470="","",IF(ISNA(MATCH(F1470,Lists!$G$2:$G$25,0)),"Goal / fund not in list",IF(H1470="Income","Fund tag ignored on income","")))))))))))</f>
        <v/>
      </c>
    </row>
    <row r="1471">
      <c r="A1471" s="27" t="n"/>
      <c r="B1471" s="23" t="n"/>
      <c r="C1471" s="23" t="n"/>
      <c r="D1471" s="28" t="n"/>
      <c r="E1471" s="23" t="n"/>
      <c r="F1471" s="23" t="n"/>
      <c r="G1471" s="23" t="n"/>
      <c r="H1471" s="29">
        <f>IF(C1471="","",IFERROR(INDEX(Categories!$B$6:$B$65,MATCH(C1471,Categories!$A$6:$A$65,0))&amp;"",""))</f>
        <v/>
      </c>
      <c r="I1471" s="25">
        <f>IF(AND(A1471="",C1471="",D1471=""),"",IF(A1471="","Date missing",IF(NOT(ISNUMBER(A1471)),"Date not recognized",IF(YEAR(A1471)&lt;&gt;Settings!$C$4,"Not in "&amp;Settings!$C$4,IF(C1471="","Category missing",IF(H1471="",IF(COUNTIF(Categories!$A$6:$A$65,C1471)&gt;0,"Category has no type","Category not in list"),IF(D1471="","Amount missing",IF(NOT(ISNUMBER(D1471)),"Amount is not a number",IF(F1471="","",IF(ISNA(MATCH(F1471,Lists!$G$2:$G$25,0)),"Goal / fund not in list",IF(H1471="Income","Fund tag ignored on income","")))))))))))</f>
        <v/>
      </c>
    </row>
    <row r="1472">
      <c r="A1472" s="27" t="n"/>
      <c r="B1472" s="23" t="n"/>
      <c r="C1472" s="23" t="n"/>
      <c r="D1472" s="28" t="n"/>
      <c r="E1472" s="23" t="n"/>
      <c r="F1472" s="23" t="n"/>
      <c r="G1472" s="23" t="n"/>
      <c r="H1472" s="29">
        <f>IF(C1472="","",IFERROR(INDEX(Categories!$B$6:$B$65,MATCH(C1472,Categories!$A$6:$A$65,0))&amp;"",""))</f>
        <v/>
      </c>
      <c r="I1472" s="25">
        <f>IF(AND(A1472="",C1472="",D1472=""),"",IF(A1472="","Date missing",IF(NOT(ISNUMBER(A1472)),"Date not recognized",IF(YEAR(A1472)&lt;&gt;Settings!$C$4,"Not in "&amp;Settings!$C$4,IF(C1472="","Category missing",IF(H1472="",IF(COUNTIF(Categories!$A$6:$A$65,C1472)&gt;0,"Category has no type","Category not in list"),IF(D1472="","Amount missing",IF(NOT(ISNUMBER(D1472)),"Amount is not a number",IF(F1472="","",IF(ISNA(MATCH(F1472,Lists!$G$2:$G$25,0)),"Goal / fund not in list",IF(H1472="Income","Fund tag ignored on income","")))))))))))</f>
        <v/>
      </c>
    </row>
    <row r="1473">
      <c r="A1473" s="27" t="n"/>
      <c r="B1473" s="23" t="n"/>
      <c r="C1473" s="23" t="n"/>
      <c r="D1473" s="28" t="n"/>
      <c r="E1473" s="23" t="n"/>
      <c r="F1473" s="23" t="n"/>
      <c r="G1473" s="23" t="n"/>
      <c r="H1473" s="29">
        <f>IF(C1473="","",IFERROR(INDEX(Categories!$B$6:$B$65,MATCH(C1473,Categories!$A$6:$A$65,0))&amp;"",""))</f>
        <v/>
      </c>
      <c r="I1473" s="25">
        <f>IF(AND(A1473="",C1473="",D1473=""),"",IF(A1473="","Date missing",IF(NOT(ISNUMBER(A1473)),"Date not recognized",IF(YEAR(A1473)&lt;&gt;Settings!$C$4,"Not in "&amp;Settings!$C$4,IF(C1473="","Category missing",IF(H1473="",IF(COUNTIF(Categories!$A$6:$A$65,C1473)&gt;0,"Category has no type","Category not in list"),IF(D1473="","Amount missing",IF(NOT(ISNUMBER(D1473)),"Amount is not a number",IF(F1473="","",IF(ISNA(MATCH(F1473,Lists!$G$2:$G$25,0)),"Goal / fund not in list",IF(H1473="Income","Fund tag ignored on income","")))))))))))</f>
        <v/>
      </c>
    </row>
    <row r="1474">
      <c r="A1474" s="27" t="n"/>
      <c r="B1474" s="23" t="n"/>
      <c r="C1474" s="23" t="n"/>
      <c r="D1474" s="28" t="n"/>
      <c r="E1474" s="23" t="n"/>
      <c r="F1474" s="23" t="n"/>
      <c r="G1474" s="23" t="n"/>
      <c r="H1474" s="29">
        <f>IF(C1474="","",IFERROR(INDEX(Categories!$B$6:$B$65,MATCH(C1474,Categories!$A$6:$A$65,0))&amp;"",""))</f>
        <v/>
      </c>
      <c r="I1474" s="25">
        <f>IF(AND(A1474="",C1474="",D1474=""),"",IF(A1474="","Date missing",IF(NOT(ISNUMBER(A1474)),"Date not recognized",IF(YEAR(A1474)&lt;&gt;Settings!$C$4,"Not in "&amp;Settings!$C$4,IF(C1474="","Category missing",IF(H1474="",IF(COUNTIF(Categories!$A$6:$A$65,C1474)&gt;0,"Category has no type","Category not in list"),IF(D1474="","Amount missing",IF(NOT(ISNUMBER(D1474)),"Amount is not a number",IF(F1474="","",IF(ISNA(MATCH(F1474,Lists!$G$2:$G$25,0)),"Goal / fund not in list",IF(H1474="Income","Fund tag ignored on income","")))))))))))</f>
        <v/>
      </c>
    </row>
    <row r="1475">
      <c r="A1475" s="27" t="n"/>
      <c r="B1475" s="23" t="n"/>
      <c r="C1475" s="23" t="n"/>
      <c r="D1475" s="28" t="n"/>
      <c r="E1475" s="23" t="n"/>
      <c r="F1475" s="23" t="n"/>
      <c r="G1475" s="23" t="n"/>
      <c r="H1475" s="29">
        <f>IF(C1475="","",IFERROR(INDEX(Categories!$B$6:$B$65,MATCH(C1475,Categories!$A$6:$A$65,0))&amp;"",""))</f>
        <v/>
      </c>
      <c r="I1475" s="25">
        <f>IF(AND(A1475="",C1475="",D1475=""),"",IF(A1475="","Date missing",IF(NOT(ISNUMBER(A1475)),"Date not recognized",IF(YEAR(A1475)&lt;&gt;Settings!$C$4,"Not in "&amp;Settings!$C$4,IF(C1475="","Category missing",IF(H1475="",IF(COUNTIF(Categories!$A$6:$A$65,C1475)&gt;0,"Category has no type","Category not in list"),IF(D1475="","Amount missing",IF(NOT(ISNUMBER(D1475)),"Amount is not a number",IF(F1475="","",IF(ISNA(MATCH(F1475,Lists!$G$2:$G$25,0)),"Goal / fund not in list",IF(H1475="Income","Fund tag ignored on income","")))))))))))</f>
        <v/>
      </c>
    </row>
    <row r="1476">
      <c r="A1476" s="27" t="n"/>
      <c r="B1476" s="23" t="n"/>
      <c r="C1476" s="23" t="n"/>
      <c r="D1476" s="28" t="n"/>
      <c r="E1476" s="23" t="n"/>
      <c r="F1476" s="23" t="n"/>
      <c r="G1476" s="23" t="n"/>
      <c r="H1476" s="29">
        <f>IF(C1476="","",IFERROR(INDEX(Categories!$B$6:$B$65,MATCH(C1476,Categories!$A$6:$A$65,0))&amp;"",""))</f>
        <v/>
      </c>
      <c r="I1476" s="25">
        <f>IF(AND(A1476="",C1476="",D1476=""),"",IF(A1476="","Date missing",IF(NOT(ISNUMBER(A1476)),"Date not recognized",IF(YEAR(A1476)&lt;&gt;Settings!$C$4,"Not in "&amp;Settings!$C$4,IF(C1476="","Category missing",IF(H1476="",IF(COUNTIF(Categories!$A$6:$A$65,C1476)&gt;0,"Category has no type","Category not in list"),IF(D1476="","Amount missing",IF(NOT(ISNUMBER(D1476)),"Amount is not a number",IF(F1476="","",IF(ISNA(MATCH(F1476,Lists!$G$2:$G$25,0)),"Goal / fund not in list",IF(H1476="Income","Fund tag ignored on income","")))))))))))</f>
        <v/>
      </c>
    </row>
    <row r="1477">
      <c r="A1477" s="27" t="n"/>
      <c r="B1477" s="23" t="n"/>
      <c r="C1477" s="23" t="n"/>
      <c r="D1477" s="28" t="n"/>
      <c r="E1477" s="23" t="n"/>
      <c r="F1477" s="23" t="n"/>
      <c r="G1477" s="23" t="n"/>
      <c r="H1477" s="29">
        <f>IF(C1477="","",IFERROR(INDEX(Categories!$B$6:$B$65,MATCH(C1477,Categories!$A$6:$A$65,0))&amp;"",""))</f>
        <v/>
      </c>
      <c r="I1477" s="25">
        <f>IF(AND(A1477="",C1477="",D1477=""),"",IF(A1477="","Date missing",IF(NOT(ISNUMBER(A1477)),"Date not recognized",IF(YEAR(A1477)&lt;&gt;Settings!$C$4,"Not in "&amp;Settings!$C$4,IF(C1477="","Category missing",IF(H1477="",IF(COUNTIF(Categories!$A$6:$A$65,C1477)&gt;0,"Category has no type","Category not in list"),IF(D1477="","Amount missing",IF(NOT(ISNUMBER(D1477)),"Amount is not a number",IF(F1477="","",IF(ISNA(MATCH(F1477,Lists!$G$2:$G$25,0)),"Goal / fund not in list",IF(H1477="Income","Fund tag ignored on income","")))))))))))</f>
        <v/>
      </c>
    </row>
    <row r="1478">
      <c r="A1478" s="27" t="n"/>
      <c r="B1478" s="23" t="n"/>
      <c r="C1478" s="23" t="n"/>
      <c r="D1478" s="28" t="n"/>
      <c r="E1478" s="23" t="n"/>
      <c r="F1478" s="23" t="n"/>
      <c r="G1478" s="23" t="n"/>
      <c r="H1478" s="29">
        <f>IF(C1478="","",IFERROR(INDEX(Categories!$B$6:$B$65,MATCH(C1478,Categories!$A$6:$A$65,0))&amp;"",""))</f>
        <v/>
      </c>
      <c r="I1478" s="25">
        <f>IF(AND(A1478="",C1478="",D1478=""),"",IF(A1478="","Date missing",IF(NOT(ISNUMBER(A1478)),"Date not recognized",IF(YEAR(A1478)&lt;&gt;Settings!$C$4,"Not in "&amp;Settings!$C$4,IF(C1478="","Category missing",IF(H1478="",IF(COUNTIF(Categories!$A$6:$A$65,C1478)&gt;0,"Category has no type","Category not in list"),IF(D1478="","Amount missing",IF(NOT(ISNUMBER(D1478)),"Amount is not a number",IF(F1478="","",IF(ISNA(MATCH(F1478,Lists!$G$2:$G$25,0)),"Goal / fund not in list",IF(H1478="Income","Fund tag ignored on income","")))))))))))</f>
        <v/>
      </c>
    </row>
    <row r="1479">
      <c r="A1479" s="27" t="n"/>
      <c r="B1479" s="23" t="n"/>
      <c r="C1479" s="23" t="n"/>
      <c r="D1479" s="28" t="n"/>
      <c r="E1479" s="23" t="n"/>
      <c r="F1479" s="23" t="n"/>
      <c r="G1479" s="23" t="n"/>
      <c r="H1479" s="29">
        <f>IF(C1479="","",IFERROR(INDEX(Categories!$B$6:$B$65,MATCH(C1479,Categories!$A$6:$A$65,0))&amp;"",""))</f>
        <v/>
      </c>
      <c r="I1479" s="25">
        <f>IF(AND(A1479="",C1479="",D1479=""),"",IF(A1479="","Date missing",IF(NOT(ISNUMBER(A1479)),"Date not recognized",IF(YEAR(A1479)&lt;&gt;Settings!$C$4,"Not in "&amp;Settings!$C$4,IF(C1479="","Category missing",IF(H1479="",IF(COUNTIF(Categories!$A$6:$A$65,C1479)&gt;0,"Category has no type","Category not in list"),IF(D1479="","Amount missing",IF(NOT(ISNUMBER(D1479)),"Amount is not a number",IF(F1479="","",IF(ISNA(MATCH(F1479,Lists!$G$2:$G$25,0)),"Goal / fund not in list",IF(H1479="Income","Fund tag ignored on income","")))))))))))</f>
        <v/>
      </c>
    </row>
    <row r="1480">
      <c r="A1480" s="27" t="n"/>
      <c r="B1480" s="23" t="n"/>
      <c r="C1480" s="23" t="n"/>
      <c r="D1480" s="28" t="n"/>
      <c r="E1480" s="23" t="n"/>
      <c r="F1480" s="23" t="n"/>
      <c r="G1480" s="23" t="n"/>
      <c r="H1480" s="29">
        <f>IF(C1480="","",IFERROR(INDEX(Categories!$B$6:$B$65,MATCH(C1480,Categories!$A$6:$A$65,0))&amp;"",""))</f>
        <v/>
      </c>
      <c r="I1480" s="25">
        <f>IF(AND(A1480="",C1480="",D1480=""),"",IF(A1480="","Date missing",IF(NOT(ISNUMBER(A1480)),"Date not recognized",IF(YEAR(A1480)&lt;&gt;Settings!$C$4,"Not in "&amp;Settings!$C$4,IF(C1480="","Category missing",IF(H1480="",IF(COUNTIF(Categories!$A$6:$A$65,C1480)&gt;0,"Category has no type","Category not in list"),IF(D1480="","Amount missing",IF(NOT(ISNUMBER(D1480)),"Amount is not a number",IF(F1480="","",IF(ISNA(MATCH(F1480,Lists!$G$2:$G$25,0)),"Goal / fund not in list",IF(H1480="Income","Fund tag ignored on income","")))))))))))</f>
        <v/>
      </c>
    </row>
    <row r="1481">
      <c r="A1481" s="27" t="n"/>
      <c r="B1481" s="23" t="n"/>
      <c r="C1481" s="23" t="n"/>
      <c r="D1481" s="28" t="n"/>
      <c r="E1481" s="23" t="n"/>
      <c r="F1481" s="23" t="n"/>
      <c r="G1481" s="23" t="n"/>
      <c r="H1481" s="29">
        <f>IF(C1481="","",IFERROR(INDEX(Categories!$B$6:$B$65,MATCH(C1481,Categories!$A$6:$A$65,0))&amp;"",""))</f>
        <v/>
      </c>
      <c r="I1481" s="25">
        <f>IF(AND(A1481="",C1481="",D1481=""),"",IF(A1481="","Date missing",IF(NOT(ISNUMBER(A1481)),"Date not recognized",IF(YEAR(A1481)&lt;&gt;Settings!$C$4,"Not in "&amp;Settings!$C$4,IF(C1481="","Category missing",IF(H1481="",IF(COUNTIF(Categories!$A$6:$A$65,C1481)&gt;0,"Category has no type","Category not in list"),IF(D1481="","Amount missing",IF(NOT(ISNUMBER(D1481)),"Amount is not a number",IF(F1481="","",IF(ISNA(MATCH(F1481,Lists!$G$2:$G$25,0)),"Goal / fund not in list",IF(H1481="Income","Fund tag ignored on income","")))))))))))</f>
        <v/>
      </c>
    </row>
    <row r="1482">
      <c r="A1482" s="27" t="n"/>
      <c r="B1482" s="23" t="n"/>
      <c r="C1482" s="23" t="n"/>
      <c r="D1482" s="28" t="n"/>
      <c r="E1482" s="23" t="n"/>
      <c r="F1482" s="23" t="n"/>
      <c r="G1482" s="23" t="n"/>
      <c r="H1482" s="29">
        <f>IF(C1482="","",IFERROR(INDEX(Categories!$B$6:$B$65,MATCH(C1482,Categories!$A$6:$A$65,0))&amp;"",""))</f>
        <v/>
      </c>
      <c r="I1482" s="25">
        <f>IF(AND(A1482="",C1482="",D1482=""),"",IF(A1482="","Date missing",IF(NOT(ISNUMBER(A1482)),"Date not recognized",IF(YEAR(A1482)&lt;&gt;Settings!$C$4,"Not in "&amp;Settings!$C$4,IF(C1482="","Category missing",IF(H1482="",IF(COUNTIF(Categories!$A$6:$A$65,C1482)&gt;0,"Category has no type","Category not in list"),IF(D1482="","Amount missing",IF(NOT(ISNUMBER(D1482)),"Amount is not a number",IF(F1482="","",IF(ISNA(MATCH(F1482,Lists!$G$2:$G$25,0)),"Goal / fund not in list",IF(H1482="Income","Fund tag ignored on income","")))))))))))</f>
        <v/>
      </c>
    </row>
    <row r="1483">
      <c r="A1483" s="27" t="n"/>
      <c r="B1483" s="23" t="n"/>
      <c r="C1483" s="23" t="n"/>
      <c r="D1483" s="28" t="n"/>
      <c r="E1483" s="23" t="n"/>
      <c r="F1483" s="23" t="n"/>
      <c r="G1483" s="23" t="n"/>
      <c r="H1483" s="29">
        <f>IF(C1483="","",IFERROR(INDEX(Categories!$B$6:$B$65,MATCH(C1483,Categories!$A$6:$A$65,0))&amp;"",""))</f>
        <v/>
      </c>
      <c r="I1483" s="25">
        <f>IF(AND(A1483="",C1483="",D1483=""),"",IF(A1483="","Date missing",IF(NOT(ISNUMBER(A1483)),"Date not recognized",IF(YEAR(A1483)&lt;&gt;Settings!$C$4,"Not in "&amp;Settings!$C$4,IF(C1483="","Category missing",IF(H1483="",IF(COUNTIF(Categories!$A$6:$A$65,C1483)&gt;0,"Category has no type","Category not in list"),IF(D1483="","Amount missing",IF(NOT(ISNUMBER(D1483)),"Amount is not a number",IF(F1483="","",IF(ISNA(MATCH(F1483,Lists!$G$2:$G$25,0)),"Goal / fund not in list",IF(H1483="Income","Fund tag ignored on income","")))))))))))</f>
        <v/>
      </c>
    </row>
    <row r="1484">
      <c r="A1484" s="27" t="n"/>
      <c r="B1484" s="23" t="n"/>
      <c r="C1484" s="23" t="n"/>
      <c r="D1484" s="28" t="n"/>
      <c r="E1484" s="23" t="n"/>
      <c r="F1484" s="23" t="n"/>
      <c r="G1484" s="23" t="n"/>
      <c r="H1484" s="29">
        <f>IF(C1484="","",IFERROR(INDEX(Categories!$B$6:$B$65,MATCH(C1484,Categories!$A$6:$A$65,0))&amp;"",""))</f>
        <v/>
      </c>
      <c r="I1484" s="25">
        <f>IF(AND(A1484="",C1484="",D1484=""),"",IF(A1484="","Date missing",IF(NOT(ISNUMBER(A1484)),"Date not recognized",IF(YEAR(A1484)&lt;&gt;Settings!$C$4,"Not in "&amp;Settings!$C$4,IF(C1484="","Category missing",IF(H1484="",IF(COUNTIF(Categories!$A$6:$A$65,C1484)&gt;0,"Category has no type","Category not in list"),IF(D1484="","Amount missing",IF(NOT(ISNUMBER(D1484)),"Amount is not a number",IF(F1484="","",IF(ISNA(MATCH(F1484,Lists!$G$2:$G$25,0)),"Goal / fund not in list",IF(H1484="Income","Fund tag ignored on income","")))))))))))</f>
        <v/>
      </c>
    </row>
    <row r="1485">
      <c r="A1485" s="27" t="n"/>
      <c r="B1485" s="23" t="n"/>
      <c r="C1485" s="23" t="n"/>
      <c r="D1485" s="28" t="n"/>
      <c r="E1485" s="23" t="n"/>
      <c r="F1485" s="23" t="n"/>
      <c r="G1485" s="23" t="n"/>
      <c r="H1485" s="29">
        <f>IF(C1485="","",IFERROR(INDEX(Categories!$B$6:$B$65,MATCH(C1485,Categories!$A$6:$A$65,0))&amp;"",""))</f>
        <v/>
      </c>
      <c r="I1485" s="25">
        <f>IF(AND(A1485="",C1485="",D1485=""),"",IF(A1485="","Date missing",IF(NOT(ISNUMBER(A1485)),"Date not recognized",IF(YEAR(A1485)&lt;&gt;Settings!$C$4,"Not in "&amp;Settings!$C$4,IF(C1485="","Category missing",IF(H1485="",IF(COUNTIF(Categories!$A$6:$A$65,C1485)&gt;0,"Category has no type","Category not in list"),IF(D1485="","Amount missing",IF(NOT(ISNUMBER(D1485)),"Amount is not a number",IF(F1485="","",IF(ISNA(MATCH(F1485,Lists!$G$2:$G$25,0)),"Goal / fund not in list",IF(H1485="Income","Fund tag ignored on income","")))))))))))</f>
        <v/>
      </c>
    </row>
    <row r="1486">
      <c r="A1486" s="27" t="n"/>
      <c r="B1486" s="23" t="n"/>
      <c r="C1486" s="23" t="n"/>
      <c r="D1486" s="28" t="n"/>
      <c r="E1486" s="23" t="n"/>
      <c r="F1486" s="23" t="n"/>
      <c r="G1486" s="23" t="n"/>
      <c r="H1486" s="29">
        <f>IF(C1486="","",IFERROR(INDEX(Categories!$B$6:$B$65,MATCH(C1486,Categories!$A$6:$A$65,0))&amp;"",""))</f>
        <v/>
      </c>
      <c r="I1486" s="25">
        <f>IF(AND(A1486="",C1486="",D1486=""),"",IF(A1486="","Date missing",IF(NOT(ISNUMBER(A1486)),"Date not recognized",IF(YEAR(A1486)&lt;&gt;Settings!$C$4,"Not in "&amp;Settings!$C$4,IF(C1486="","Category missing",IF(H1486="",IF(COUNTIF(Categories!$A$6:$A$65,C1486)&gt;0,"Category has no type","Category not in list"),IF(D1486="","Amount missing",IF(NOT(ISNUMBER(D1486)),"Amount is not a number",IF(F1486="","",IF(ISNA(MATCH(F1486,Lists!$G$2:$G$25,0)),"Goal / fund not in list",IF(H1486="Income","Fund tag ignored on income","")))))))))))</f>
        <v/>
      </c>
    </row>
    <row r="1487">
      <c r="A1487" s="27" t="n"/>
      <c r="B1487" s="23" t="n"/>
      <c r="C1487" s="23" t="n"/>
      <c r="D1487" s="28" t="n"/>
      <c r="E1487" s="23" t="n"/>
      <c r="F1487" s="23" t="n"/>
      <c r="G1487" s="23" t="n"/>
      <c r="H1487" s="29">
        <f>IF(C1487="","",IFERROR(INDEX(Categories!$B$6:$B$65,MATCH(C1487,Categories!$A$6:$A$65,0))&amp;"",""))</f>
        <v/>
      </c>
      <c r="I1487" s="25">
        <f>IF(AND(A1487="",C1487="",D1487=""),"",IF(A1487="","Date missing",IF(NOT(ISNUMBER(A1487)),"Date not recognized",IF(YEAR(A1487)&lt;&gt;Settings!$C$4,"Not in "&amp;Settings!$C$4,IF(C1487="","Category missing",IF(H1487="",IF(COUNTIF(Categories!$A$6:$A$65,C1487)&gt;0,"Category has no type","Category not in list"),IF(D1487="","Amount missing",IF(NOT(ISNUMBER(D1487)),"Amount is not a number",IF(F1487="","",IF(ISNA(MATCH(F1487,Lists!$G$2:$G$25,0)),"Goal / fund not in list",IF(H1487="Income","Fund tag ignored on income","")))))))))))</f>
        <v/>
      </c>
    </row>
    <row r="1488">
      <c r="A1488" s="27" t="n"/>
      <c r="B1488" s="23" t="n"/>
      <c r="C1488" s="23" t="n"/>
      <c r="D1488" s="28" t="n"/>
      <c r="E1488" s="23" t="n"/>
      <c r="F1488" s="23" t="n"/>
      <c r="G1488" s="23" t="n"/>
      <c r="H1488" s="29">
        <f>IF(C1488="","",IFERROR(INDEX(Categories!$B$6:$B$65,MATCH(C1488,Categories!$A$6:$A$65,0))&amp;"",""))</f>
        <v/>
      </c>
      <c r="I1488" s="25">
        <f>IF(AND(A1488="",C1488="",D1488=""),"",IF(A1488="","Date missing",IF(NOT(ISNUMBER(A1488)),"Date not recognized",IF(YEAR(A1488)&lt;&gt;Settings!$C$4,"Not in "&amp;Settings!$C$4,IF(C1488="","Category missing",IF(H1488="",IF(COUNTIF(Categories!$A$6:$A$65,C1488)&gt;0,"Category has no type","Category not in list"),IF(D1488="","Amount missing",IF(NOT(ISNUMBER(D1488)),"Amount is not a number",IF(F1488="","",IF(ISNA(MATCH(F1488,Lists!$G$2:$G$25,0)),"Goal / fund not in list",IF(H1488="Income","Fund tag ignored on income","")))))))))))</f>
        <v/>
      </c>
    </row>
    <row r="1489">
      <c r="A1489" s="27" t="n"/>
      <c r="B1489" s="23" t="n"/>
      <c r="C1489" s="23" t="n"/>
      <c r="D1489" s="28" t="n"/>
      <c r="E1489" s="23" t="n"/>
      <c r="F1489" s="23" t="n"/>
      <c r="G1489" s="23" t="n"/>
      <c r="H1489" s="29">
        <f>IF(C1489="","",IFERROR(INDEX(Categories!$B$6:$B$65,MATCH(C1489,Categories!$A$6:$A$65,0))&amp;"",""))</f>
        <v/>
      </c>
      <c r="I1489" s="25">
        <f>IF(AND(A1489="",C1489="",D1489=""),"",IF(A1489="","Date missing",IF(NOT(ISNUMBER(A1489)),"Date not recognized",IF(YEAR(A1489)&lt;&gt;Settings!$C$4,"Not in "&amp;Settings!$C$4,IF(C1489="","Category missing",IF(H1489="",IF(COUNTIF(Categories!$A$6:$A$65,C1489)&gt;0,"Category has no type","Category not in list"),IF(D1489="","Amount missing",IF(NOT(ISNUMBER(D1489)),"Amount is not a number",IF(F1489="","",IF(ISNA(MATCH(F1489,Lists!$G$2:$G$25,0)),"Goal / fund not in list",IF(H1489="Income","Fund tag ignored on income","")))))))))))</f>
        <v/>
      </c>
    </row>
    <row r="1490">
      <c r="A1490" s="27" t="n"/>
      <c r="B1490" s="23" t="n"/>
      <c r="C1490" s="23" t="n"/>
      <c r="D1490" s="28" t="n"/>
      <c r="E1490" s="23" t="n"/>
      <c r="F1490" s="23" t="n"/>
      <c r="G1490" s="23" t="n"/>
      <c r="H1490" s="29">
        <f>IF(C1490="","",IFERROR(INDEX(Categories!$B$6:$B$65,MATCH(C1490,Categories!$A$6:$A$65,0))&amp;"",""))</f>
        <v/>
      </c>
      <c r="I1490" s="25">
        <f>IF(AND(A1490="",C1490="",D1490=""),"",IF(A1490="","Date missing",IF(NOT(ISNUMBER(A1490)),"Date not recognized",IF(YEAR(A1490)&lt;&gt;Settings!$C$4,"Not in "&amp;Settings!$C$4,IF(C1490="","Category missing",IF(H1490="",IF(COUNTIF(Categories!$A$6:$A$65,C1490)&gt;0,"Category has no type","Category not in list"),IF(D1490="","Amount missing",IF(NOT(ISNUMBER(D1490)),"Amount is not a number",IF(F1490="","",IF(ISNA(MATCH(F1490,Lists!$G$2:$G$25,0)),"Goal / fund not in list",IF(H1490="Income","Fund tag ignored on income","")))))))))))</f>
        <v/>
      </c>
    </row>
    <row r="1491">
      <c r="A1491" s="27" t="n"/>
      <c r="B1491" s="23" t="n"/>
      <c r="C1491" s="23" t="n"/>
      <c r="D1491" s="28" t="n"/>
      <c r="E1491" s="23" t="n"/>
      <c r="F1491" s="23" t="n"/>
      <c r="G1491" s="23" t="n"/>
      <c r="H1491" s="29">
        <f>IF(C1491="","",IFERROR(INDEX(Categories!$B$6:$B$65,MATCH(C1491,Categories!$A$6:$A$65,0))&amp;"",""))</f>
        <v/>
      </c>
      <c r="I1491" s="25">
        <f>IF(AND(A1491="",C1491="",D1491=""),"",IF(A1491="","Date missing",IF(NOT(ISNUMBER(A1491)),"Date not recognized",IF(YEAR(A1491)&lt;&gt;Settings!$C$4,"Not in "&amp;Settings!$C$4,IF(C1491="","Category missing",IF(H1491="",IF(COUNTIF(Categories!$A$6:$A$65,C1491)&gt;0,"Category has no type","Category not in list"),IF(D1491="","Amount missing",IF(NOT(ISNUMBER(D1491)),"Amount is not a number",IF(F1491="","",IF(ISNA(MATCH(F1491,Lists!$G$2:$G$25,0)),"Goal / fund not in list",IF(H1491="Income","Fund tag ignored on income","")))))))))))</f>
        <v/>
      </c>
    </row>
    <row r="1492">
      <c r="A1492" s="27" t="n"/>
      <c r="B1492" s="23" t="n"/>
      <c r="C1492" s="23" t="n"/>
      <c r="D1492" s="28" t="n"/>
      <c r="E1492" s="23" t="n"/>
      <c r="F1492" s="23" t="n"/>
      <c r="G1492" s="23" t="n"/>
      <c r="H1492" s="29">
        <f>IF(C1492="","",IFERROR(INDEX(Categories!$B$6:$B$65,MATCH(C1492,Categories!$A$6:$A$65,0))&amp;"",""))</f>
        <v/>
      </c>
      <c r="I1492" s="25">
        <f>IF(AND(A1492="",C1492="",D1492=""),"",IF(A1492="","Date missing",IF(NOT(ISNUMBER(A1492)),"Date not recognized",IF(YEAR(A1492)&lt;&gt;Settings!$C$4,"Not in "&amp;Settings!$C$4,IF(C1492="","Category missing",IF(H1492="",IF(COUNTIF(Categories!$A$6:$A$65,C1492)&gt;0,"Category has no type","Category not in list"),IF(D1492="","Amount missing",IF(NOT(ISNUMBER(D1492)),"Amount is not a number",IF(F1492="","",IF(ISNA(MATCH(F1492,Lists!$G$2:$G$25,0)),"Goal / fund not in list",IF(H1492="Income","Fund tag ignored on income","")))))))))))</f>
        <v/>
      </c>
    </row>
    <row r="1493">
      <c r="A1493" s="27" t="n"/>
      <c r="B1493" s="23" t="n"/>
      <c r="C1493" s="23" t="n"/>
      <c r="D1493" s="28" t="n"/>
      <c r="E1493" s="23" t="n"/>
      <c r="F1493" s="23" t="n"/>
      <c r="G1493" s="23" t="n"/>
      <c r="H1493" s="29">
        <f>IF(C1493="","",IFERROR(INDEX(Categories!$B$6:$B$65,MATCH(C1493,Categories!$A$6:$A$65,0))&amp;"",""))</f>
        <v/>
      </c>
      <c r="I1493" s="25">
        <f>IF(AND(A1493="",C1493="",D1493=""),"",IF(A1493="","Date missing",IF(NOT(ISNUMBER(A1493)),"Date not recognized",IF(YEAR(A1493)&lt;&gt;Settings!$C$4,"Not in "&amp;Settings!$C$4,IF(C1493="","Category missing",IF(H1493="",IF(COUNTIF(Categories!$A$6:$A$65,C1493)&gt;0,"Category has no type","Category not in list"),IF(D1493="","Amount missing",IF(NOT(ISNUMBER(D1493)),"Amount is not a number",IF(F1493="","",IF(ISNA(MATCH(F1493,Lists!$G$2:$G$25,0)),"Goal / fund not in list",IF(H1493="Income","Fund tag ignored on income","")))))))))))</f>
        <v/>
      </c>
    </row>
    <row r="1494">
      <c r="A1494" s="27" t="n"/>
      <c r="B1494" s="23" t="n"/>
      <c r="C1494" s="23" t="n"/>
      <c r="D1494" s="28" t="n"/>
      <c r="E1494" s="23" t="n"/>
      <c r="F1494" s="23" t="n"/>
      <c r="G1494" s="23" t="n"/>
      <c r="H1494" s="29">
        <f>IF(C1494="","",IFERROR(INDEX(Categories!$B$6:$B$65,MATCH(C1494,Categories!$A$6:$A$65,0))&amp;"",""))</f>
        <v/>
      </c>
      <c r="I1494" s="25">
        <f>IF(AND(A1494="",C1494="",D1494=""),"",IF(A1494="","Date missing",IF(NOT(ISNUMBER(A1494)),"Date not recognized",IF(YEAR(A1494)&lt;&gt;Settings!$C$4,"Not in "&amp;Settings!$C$4,IF(C1494="","Category missing",IF(H1494="",IF(COUNTIF(Categories!$A$6:$A$65,C1494)&gt;0,"Category has no type","Category not in list"),IF(D1494="","Amount missing",IF(NOT(ISNUMBER(D1494)),"Amount is not a number",IF(F1494="","",IF(ISNA(MATCH(F1494,Lists!$G$2:$G$25,0)),"Goal / fund not in list",IF(H1494="Income","Fund tag ignored on income","")))))))))))</f>
        <v/>
      </c>
    </row>
    <row r="1495">
      <c r="A1495" s="27" t="n"/>
      <c r="B1495" s="23" t="n"/>
      <c r="C1495" s="23" t="n"/>
      <c r="D1495" s="28" t="n"/>
      <c r="E1495" s="23" t="n"/>
      <c r="F1495" s="23" t="n"/>
      <c r="G1495" s="23" t="n"/>
      <c r="H1495" s="29">
        <f>IF(C1495="","",IFERROR(INDEX(Categories!$B$6:$B$65,MATCH(C1495,Categories!$A$6:$A$65,0))&amp;"",""))</f>
        <v/>
      </c>
      <c r="I1495" s="25">
        <f>IF(AND(A1495="",C1495="",D1495=""),"",IF(A1495="","Date missing",IF(NOT(ISNUMBER(A1495)),"Date not recognized",IF(YEAR(A1495)&lt;&gt;Settings!$C$4,"Not in "&amp;Settings!$C$4,IF(C1495="","Category missing",IF(H1495="",IF(COUNTIF(Categories!$A$6:$A$65,C1495)&gt;0,"Category has no type","Category not in list"),IF(D1495="","Amount missing",IF(NOT(ISNUMBER(D1495)),"Amount is not a number",IF(F1495="","",IF(ISNA(MATCH(F1495,Lists!$G$2:$G$25,0)),"Goal / fund not in list",IF(H1495="Income","Fund tag ignored on income","")))))))))))</f>
        <v/>
      </c>
    </row>
    <row r="1496">
      <c r="A1496" s="27" t="n"/>
      <c r="B1496" s="23" t="n"/>
      <c r="C1496" s="23" t="n"/>
      <c r="D1496" s="28" t="n"/>
      <c r="E1496" s="23" t="n"/>
      <c r="F1496" s="23" t="n"/>
      <c r="G1496" s="23" t="n"/>
      <c r="H1496" s="29">
        <f>IF(C1496="","",IFERROR(INDEX(Categories!$B$6:$B$65,MATCH(C1496,Categories!$A$6:$A$65,0))&amp;"",""))</f>
        <v/>
      </c>
      <c r="I1496" s="25">
        <f>IF(AND(A1496="",C1496="",D1496=""),"",IF(A1496="","Date missing",IF(NOT(ISNUMBER(A1496)),"Date not recognized",IF(YEAR(A1496)&lt;&gt;Settings!$C$4,"Not in "&amp;Settings!$C$4,IF(C1496="","Category missing",IF(H1496="",IF(COUNTIF(Categories!$A$6:$A$65,C1496)&gt;0,"Category has no type","Category not in list"),IF(D1496="","Amount missing",IF(NOT(ISNUMBER(D1496)),"Amount is not a number",IF(F1496="","",IF(ISNA(MATCH(F1496,Lists!$G$2:$G$25,0)),"Goal / fund not in list",IF(H1496="Income","Fund tag ignored on income","")))))))))))</f>
        <v/>
      </c>
    </row>
    <row r="1497">
      <c r="A1497" s="27" t="n"/>
      <c r="B1497" s="23" t="n"/>
      <c r="C1497" s="23" t="n"/>
      <c r="D1497" s="28" t="n"/>
      <c r="E1497" s="23" t="n"/>
      <c r="F1497" s="23" t="n"/>
      <c r="G1497" s="23" t="n"/>
      <c r="H1497" s="29">
        <f>IF(C1497="","",IFERROR(INDEX(Categories!$B$6:$B$65,MATCH(C1497,Categories!$A$6:$A$65,0))&amp;"",""))</f>
        <v/>
      </c>
      <c r="I1497" s="25">
        <f>IF(AND(A1497="",C1497="",D1497=""),"",IF(A1497="","Date missing",IF(NOT(ISNUMBER(A1497)),"Date not recognized",IF(YEAR(A1497)&lt;&gt;Settings!$C$4,"Not in "&amp;Settings!$C$4,IF(C1497="","Category missing",IF(H1497="",IF(COUNTIF(Categories!$A$6:$A$65,C1497)&gt;0,"Category has no type","Category not in list"),IF(D1497="","Amount missing",IF(NOT(ISNUMBER(D1497)),"Amount is not a number",IF(F1497="","",IF(ISNA(MATCH(F1497,Lists!$G$2:$G$25,0)),"Goal / fund not in list",IF(H1497="Income","Fund tag ignored on income","")))))))))))</f>
        <v/>
      </c>
    </row>
    <row r="1498">
      <c r="A1498" s="27" t="n"/>
      <c r="B1498" s="23" t="n"/>
      <c r="C1498" s="23" t="n"/>
      <c r="D1498" s="28" t="n"/>
      <c r="E1498" s="23" t="n"/>
      <c r="F1498" s="23" t="n"/>
      <c r="G1498" s="23" t="n"/>
      <c r="H1498" s="29">
        <f>IF(C1498="","",IFERROR(INDEX(Categories!$B$6:$B$65,MATCH(C1498,Categories!$A$6:$A$65,0))&amp;"",""))</f>
        <v/>
      </c>
      <c r="I1498" s="25">
        <f>IF(AND(A1498="",C1498="",D1498=""),"",IF(A1498="","Date missing",IF(NOT(ISNUMBER(A1498)),"Date not recognized",IF(YEAR(A1498)&lt;&gt;Settings!$C$4,"Not in "&amp;Settings!$C$4,IF(C1498="","Category missing",IF(H1498="",IF(COUNTIF(Categories!$A$6:$A$65,C1498)&gt;0,"Category has no type","Category not in list"),IF(D1498="","Amount missing",IF(NOT(ISNUMBER(D1498)),"Amount is not a number",IF(F1498="","",IF(ISNA(MATCH(F1498,Lists!$G$2:$G$25,0)),"Goal / fund not in list",IF(H1498="Income","Fund tag ignored on income","")))))))))))</f>
        <v/>
      </c>
    </row>
    <row r="1499">
      <c r="A1499" s="27" t="n"/>
      <c r="B1499" s="23" t="n"/>
      <c r="C1499" s="23" t="n"/>
      <c r="D1499" s="28" t="n"/>
      <c r="E1499" s="23" t="n"/>
      <c r="F1499" s="23" t="n"/>
      <c r="G1499" s="23" t="n"/>
      <c r="H1499" s="29">
        <f>IF(C1499="","",IFERROR(INDEX(Categories!$B$6:$B$65,MATCH(C1499,Categories!$A$6:$A$65,0))&amp;"",""))</f>
        <v/>
      </c>
      <c r="I1499" s="25">
        <f>IF(AND(A1499="",C1499="",D1499=""),"",IF(A1499="","Date missing",IF(NOT(ISNUMBER(A1499)),"Date not recognized",IF(YEAR(A1499)&lt;&gt;Settings!$C$4,"Not in "&amp;Settings!$C$4,IF(C1499="","Category missing",IF(H1499="",IF(COUNTIF(Categories!$A$6:$A$65,C1499)&gt;0,"Category has no type","Category not in list"),IF(D1499="","Amount missing",IF(NOT(ISNUMBER(D1499)),"Amount is not a number",IF(F1499="","",IF(ISNA(MATCH(F1499,Lists!$G$2:$G$25,0)),"Goal / fund not in list",IF(H1499="Income","Fund tag ignored on income","")))))))))))</f>
        <v/>
      </c>
    </row>
    <row r="1500">
      <c r="A1500" s="27" t="n"/>
      <c r="B1500" s="23" t="n"/>
      <c r="C1500" s="23" t="n"/>
      <c r="D1500" s="28" t="n"/>
      <c r="E1500" s="23" t="n"/>
      <c r="F1500" s="23" t="n"/>
      <c r="G1500" s="23" t="n"/>
      <c r="H1500" s="29">
        <f>IF(C1500="","",IFERROR(INDEX(Categories!$B$6:$B$65,MATCH(C1500,Categories!$A$6:$A$65,0))&amp;"",""))</f>
        <v/>
      </c>
      <c r="I1500" s="25">
        <f>IF(AND(A1500="",C1500="",D1500=""),"",IF(A1500="","Date missing",IF(NOT(ISNUMBER(A1500)),"Date not recognized",IF(YEAR(A1500)&lt;&gt;Settings!$C$4,"Not in "&amp;Settings!$C$4,IF(C1500="","Category missing",IF(H1500="",IF(COUNTIF(Categories!$A$6:$A$65,C1500)&gt;0,"Category has no type","Category not in list"),IF(D1500="","Amount missing",IF(NOT(ISNUMBER(D1500)),"Amount is not a number",IF(F1500="","",IF(ISNA(MATCH(F1500,Lists!$G$2:$G$25,0)),"Goal / fund not in list",IF(H1500="Income","Fund tag ignored on income","")))))))))))</f>
        <v/>
      </c>
    </row>
    <row r="1501">
      <c r="A1501" s="27" t="n"/>
      <c r="B1501" s="23" t="n"/>
      <c r="C1501" s="23" t="n"/>
      <c r="D1501" s="28" t="n"/>
      <c r="E1501" s="23" t="n"/>
      <c r="F1501" s="23" t="n"/>
      <c r="G1501" s="23" t="n"/>
      <c r="H1501" s="29">
        <f>IF(C1501="","",IFERROR(INDEX(Categories!$B$6:$B$65,MATCH(C1501,Categories!$A$6:$A$65,0))&amp;"",""))</f>
        <v/>
      </c>
      <c r="I1501" s="25">
        <f>IF(AND(A1501="",C1501="",D1501=""),"",IF(A1501="","Date missing",IF(NOT(ISNUMBER(A1501)),"Date not recognized",IF(YEAR(A1501)&lt;&gt;Settings!$C$4,"Not in "&amp;Settings!$C$4,IF(C1501="","Category missing",IF(H1501="",IF(COUNTIF(Categories!$A$6:$A$65,C1501)&gt;0,"Category has no type","Category not in list"),IF(D1501="","Amount missing",IF(NOT(ISNUMBER(D1501)),"Amount is not a number",IF(F1501="","",IF(ISNA(MATCH(F1501,Lists!$G$2:$G$25,0)),"Goal / fund not in list",IF(H1501="Income","Fund tag ignored on income","")))))))))))</f>
        <v/>
      </c>
    </row>
    <row r="1502">
      <c r="A1502" s="27" t="n"/>
      <c r="B1502" s="23" t="n"/>
      <c r="C1502" s="23" t="n"/>
      <c r="D1502" s="28" t="n"/>
      <c r="E1502" s="23" t="n"/>
      <c r="F1502" s="23" t="n"/>
      <c r="G1502" s="23" t="n"/>
      <c r="H1502" s="29">
        <f>IF(C1502="","",IFERROR(INDEX(Categories!$B$6:$B$65,MATCH(C1502,Categories!$A$6:$A$65,0))&amp;"",""))</f>
        <v/>
      </c>
      <c r="I1502" s="25">
        <f>IF(AND(A1502="",C1502="",D1502=""),"",IF(A1502="","Date missing",IF(NOT(ISNUMBER(A1502)),"Date not recognized",IF(YEAR(A1502)&lt;&gt;Settings!$C$4,"Not in "&amp;Settings!$C$4,IF(C1502="","Category missing",IF(H1502="",IF(COUNTIF(Categories!$A$6:$A$65,C1502)&gt;0,"Category has no type","Category not in list"),IF(D1502="","Amount missing",IF(NOT(ISNUMBER(D1502)),"Amount is not a number",IF(F1502="","",IF(ISNA(MATCH(F1502,Lists!$G$2:$G$25,0)),"Goal / fund not in list",IF(H1502="Income","Fund tag ignored on income","")))))))))))</f>
        <v/>
      </c>
    </row>
    <row r="1503">
      <c r="A1503" s="27" t="n"/>
      <c r="B1503" s="23" t="n"/>
      <c r="C1503" s="23" t="n"/>
      <c r="D1503" s="28" t="n"/>
      <c r="E1503" s="23" t="n"/>
      <c r="F1503" s="23" t="n"/>
      <c r="G1503" s="23" t="n"/>
      <c r="H1503" s="29">
        <f>IF(C1503="","",IFERROR(INDEX(Categories!$B$6:$B$65,MATCH(C1503,Categories!$A$6:$A$65,0))&amp;"",""))</f>
        <v/>
      </c>
      <c r="I1503" s="25">
        <f>IF(AND(A1503="",C1503="",D1503=""),"",IF(A1503="","Date missing",IF(NOT(ISNUMBER(A1503)),"Date not recognized",IF(YEAR(A1503)&lt;&gt;Settings!$C$4,"Not in "&amp;Settings!$C$4,IF(C1503="","Category missing",IF(H1503="",IF(COUNTIF(Categories!$A$6:$A$65,C1503)&gt;0,"Category has no type","Category not in list"),IF(D1503="","Amount missing",IF(NOT(ISNUMBER(D1503)),"Amount is not a number",IF(F1503="","",IF(ISNA(MATCH(F1503,Lists!$G$2:$G$25,0)),"Goal / fund not in list",IF(H1503="Income","Fund tag ignored on income","")))))))))))</f>
        <v/>
      </c>
    </row>
    <row r="1504">
      <c r="A1504" s="27" t="n"/>
      <c r="B1504" s="23" t="n"/>
      <c r="C1504" s="23" t="n"/>
      <c r="D1504" s="28" t="n"/>
      <c r="E1504" s="23" t="n"/>
      <c r="F1504" s="23" t="n"/>
      <c r="G1504" s="23" t="n"/>
      <c r="H1504" s="29">
        <f>IF(C1504="","",IFERROR(INDEX(Categories!$B$6:$B$65,MATCH(C1504,Categories!$A$6:$A$65,0))&amp;"",""))</f>
        <v/>
      </c>
      <c r="I1504" s="25">
        <f>IF(AND(A1504="",C1504="",D1504=""),"",IF(A1504="","Date missing",IF(NOT(ISNUMBER(A1504)),"Date not recognized",IF(YEAR(A1504)&lt;&gt;Settings!$C$4,"Not in "&amp;Settings!$C$4,IF(C1504="","Category missing",IF(H1504="",IF(COUNTIF(Categories!$A$6:$A$65,C1504)&gt;0,"Category has no type","Category not in list"),IF(D1504="","Amount missing",IF(NOT(ISNUMBER(D1504)),"Amount is not a number",IF(F1504="","",IF(ISNA(MATCH(F1504,Lists!$G$2:$G$25,0)),"Goal / fund not in list",IF(H1504="Income","Fund tag ignored on income","")))))))))))</f>
        <v/>
      </c>
    </row>
    <row r="1505">
      <c r="A1505" s="27" t="n"/>
      <c r="B1505" s="23" t="n"/>
      <c r="C1505" s="23" t="n"/>
      <c r="D1505" s="28" t="n"/>
      <c r="E1505" s="23" t="n"/>
      <c r="F1505" s="23" t="n"/>
      <c r="G1505" s="23" t="n"/>
      <c r="H1505" s="29">
        <f>IF(C1505="","",IFERROR(INDEX(Categories!$B$6:$B$65,MATCH(C1505,Categories!$A$6:$A$65,0))&amp;"",""))</f>
        <v/>
      </c>
      <c r="I1505" s="25">
        <f>IF(AND(A1505="",C1505="",D1505=""),"",IF(A1505="","Date missing",IF(NOT(ISNUMBER(A1505)),"Date not recognized",IF(YEAR(A1505)&lt;&gt;Settings!$C$4,"Not in "&amp;Settings!$C$4,IF(C1505="","Category missing",IF(H1505="",IF(COUNTIF(Categories!$A$6:$A$65,C1505)&gt;0,"Category has no type","Category not in list"),IF(D1505="","Amount missing",IF(NOT(ISNUMBER(D1505)),"Amount is not a number",IF(F1505="","",IF(ISNA(MATCH(F1505,Lists!$G$2:$G$25,0)),"Goal / fund not in list",IF(H1505="Income","Fund tag ignored on income","")))))))))))</f>
        <v/>
      </c>
    </row>
    <row r="1506">
      <c r="A1506" s="27" t="n"/>
      <c r="B1506" s="23" t="n"/>
      <c r="C1506" s="23" t="n"/>
      <c r="D1506" s="28" t="n"/>
      <c r="E1506" s="23" t="n"/>
      <c r="F1506" s="23" t="n"/>
      <c r="G1506" s="23" t="n"/>
      <c r="H1506" s="29">
        <f>IF(C1506="","",IFERROR(INDEX(Categories!$B$6:$B$65,MATCH(C1506,Categories!$A$6:$A$65,0))&amp;"",""))</f>
        <v/>
      </c>
      <c r="I1506" s="25">
        <f>IF(AND(A1506="",C1506="",D1506=""),"",IF(A1506="","Date missing",IF(NOT(ISNUMBER(A1506)),"Date not recognized",IF(YEAR(A1506)&lt;&gt;Settings!$C$4,"Not in "&amp;Settings!$C$4,IF(C1506="","Category missing",IF(H1506="",IF(COUNTIF(Categories!$A$6:$A$65,C1506)&gt;0,"Category has no type","Category not in list"),IF(D1506="","Amount missing",IF(NOT(ISNUMBER(D1506)),"Amount is not a number",IF(F1506="","",IF(ISNA(MATCH(F1506,Lists!$G$2:$G$25,0)),"Goal / fund not in list",IF(H1506="Income","Fund tag ignored on income","")))))))))))</f>
        <v/>
      </c>
    </row>
    <row r="1507">
      <c r="A1507" s="27" t="n"/>
      <c r="B1507" s="23" t="n"/>
      <c r="C1507" s="23" t="n"/>
      <c r="D1507" s="28" t="n"/>
      <c r="E1507" s="23" t="n"/>
      <c r="F1507" s="23" t="n"/>
      <c r="G1507" s="23" t="n"/>
      <c r="H1507" s="29">
        <f>IF(C1507="","",IFERROR(INDEX(Categories!$B$6:$B$65,MATCH(C1507,Categories!$A$6:$A$65,0))&amp;"",""))</f>
        <v/>
      </c>
      <c r="I1507" s="25">
        <f>IF(AND(A1507="",C1507="",D1507=""),"",IF(A1507="","Date missing",IF(NOT(ISNUMBER(A1507)),"Date not recognized",IF(YEAR(A1507)&lt;&gt;Settings!$C$4,"Not in "&amp;Settings!$C$4,IF(C1507="","Category missing",IF(H1507="",IF(COUNTIF(Categories!$A$6:$A$65,C1507)&gt;0,"Category has no type","Category not in list"),IF(D1507="","Amount missing",IF(NOT(ISNUMBER(D1507)),"Amount is not a number",IF(F1507="","",IF(ISNA(MATCH(F1507,Lists!$G$2:$G$25,0)),"Goal / fund not in list",IF(H1507="Income","Fund tag ignored on income","")))))))))))</f>
        <v/>
      </c>
    </row>
    <row r="1508">
      <c r="A1508" s="27" t="n"/>
      <c r="B1508" s="23" t="n"/>
      <c r="C1508" s="23" t="n"/>
      <c r="D1508" s="28" t="n"/>
      <c r="E1508" s="23" t="n"/>
      <c r="F1508" s="23" t="n"/>
      <c r="G1508" s="23" t="n"/>
      <c r="H1508" s="29">
        <f>IF(C1508="","",IFERROR(INDEX(Categories!$B$6:$B$65,MATCH(C1508,Categories!$A$6:$A$65,0))&amp;"",""))</f>
        <v/>
      </c>
      <c r="I1508" s="25">
        <f>IF(AND(A1508="",C1508="",D1508=""),"",IF(A1508="","Date missing",IF(NOT(ISNUMBER(A1508)),"Date not recognized",IF(YEAR(A1508)&lt;&gt;Settings!$C$4,"Not in "&amp;Settings!$C$4,IF(C1508="","Category missing",IF(H1508="",IF(COUNTIF(Categories!$A$6:$A$65,C1508)&gt;0,"Category has no type","Category not in list"),IF(D1508="","Amount missing",IF(NOT(ISNUMBER(D1508)),"Amount is not a number",IF(F1508="","",IF(ISNA(MATCH(F1508,Lists!$G$2:$G$25,0)),"Goal / fund not in list",IF(H1508="Income","Fund tag ignored on income","")))))))))))</f>
        <v/>
      </c>
    </row>
    <row r="1509">
      <c r="A1509" s="27" t="n"/>
      <c r="B1509" s="23" t="n"/>
      <c r="C1509" s="23" t="n"/>
      <c r="D1509" s="28" t="n"/>
      <c r="E1509" s="23" t="n"/>
      <c r="F1509" s="23" t="n"/>
      <c r="G1509" s="23" t="n"/>
      <c r="H1509" s="29">
        <f>IF(C1509="","",IFERROR(INDEX(Categories!$B$6:$B$65,MATCH(C1509,Categories!$A$6:$A$65,0))&amp;"",""))</f>
        <v/>
      </c>
      <c r="I1509" s="25">
        <f>IF(AND(A1509="",C1509="",D1509=""),"",IF(A1509="","Date missing",IF(NOT(ISNUMBER(A1509)),"Date not recognized",IF(YEAR(A1509)&lt;&gt;Settings!$C$4,"Not in "&amp;Settings!$C$4,IF(C1509="","Category missing",IF(H1509="",IF(COUNTIF(Categories!$A$6:$A$65,C1509)&gt;0,"Category has no type","Category not in list"),IF(D1509="","Amount missing",IF(NOT(ISNUMBER(D1509)),"Amount is not a number",IF(F1509="","",IF(ISNA(MATCH(F1509,Lists!$G$2:$G$25,0)),"Goal / fund not in list",IF(H1509="Income","Fund tag ignored on income","")))))))))))</f>
        <v/>
      </c>
    </row>
    <row r="1510">
      <c r="A1510" s="27" t="n"/>
      <c r="B1510" s="23" t="n"/>
      <c r="C1510" s="23" t="n"/>
      <c r="D1510" s="28" t="n"/>
      <c r="E1510" s="23" t="n"/>
      <c r="F1510" s="23" t="n"/>
      <c r="G1510" s="23" t="n"/>
      <c r="H1510" s="29">
        <f>IF(C1510="","",IFERROR(INDEX(Categories!$B$6:$B$65,MATCH(C1510,Categories!$A$6:$A$65,0))&amp;"",""))</f>
        <v/>
      </c>
      <c r="I1510" s="25">
        <f>IF(AND(A1510="",C1510="",D1510=""),"",IF(A1510="","Date missing",IF(NOT(ISNUMBER(A1510)),"Date not recognized",IF(YEAR(A1510)&lt;&gt;Settings!$C$4,"Not in "&amp;Settings!$C$4,IF(C1510="","Category missing",IF(H1510="",IF(COUNTIF(Categories!$A$6:$A$65,C1510)&gt;0,"Category has no type","Category not in list"),IF(D1510="","Amount missing",IF(NOT(ISNUMBER(D1510)),"Amount is not a number",IF(F1510="","",IF(ISNA(MATCH(F1510,Lists!$G$2:$G$25,0)),"Goal / fund not in list",IF(H1510="Income","Fund tag ignored on income","")))))))))))</f>
        <v/>
      </c>
    </row>
    <row r="1511">
      <c r="A1511" s="27" t="n"/>
      <c r="B1511" s="23" t="n"/>
      <c r="C1511" s="23" t="n"/>
      <c r="D1511" s="28" t="n"/>
      <c r="E1511" s="23" t="n"/>
      <c r="F1511" s="23" t="n"/>
      <c r="G1511" s="23" t="n"/>
      <c r="H1511" s="29">
        <f>IF(C1511="","",IFERROR(INDEX(Categories!$B$6:$B$65,MATCH(C1511,Categories!$A$6:$A$65,0))&amp;"",""))</f>
        <v/>
      </c>
      <c r="I1511" s="25">
        <f>IF(AND(A1511="",C1511="",D1511=""),"",IF(A1511="","Date missing",IF(NOT(ISNUMBER(A1511)),"Date not recognized",IF(YEAR(A1511)&lt;&gt;Settings!$C$4,"Not in "&amp;Settings!$C$4,IF(C1511="","Category missing",IF(H1511="",IF(COUNTIF(Categories!$A$6:$A$65,C1511)&gt;0,"Category has no type","Category not in list"),IF(D1511="","Amount missing",IF(NOT(ISNUMBER(D1511)),"Amount is not a number",IF(F1511="","",IF(ISNA(MATCH(F1511,Lists!$G$2:$G$25,0)),"Goal / fund not in list",IF(H1511="Income","Fund tag ignored on income","")))))))))))</f>
        <v/>
      </c>
    </row>
    <row r="1512">
      <c r="A1512" s="27" t="n"/>
      <c r="B1512" s="23" t="n"/>
      <c r="C1512" s="23" t="n"/>
      <c r="D1512" s="28" t="n"/>
      <c r="E1512" s="23" t="n"/>
      <c r="F1512" s="23" t="n"/>
      <c r="G1512" s="23" t="n"/>
      <c r="H1512" s="29">
        <f>IF(C1512="","",IFERROR(INDEX(Categories!$B$6:$B$65,MATCH(C1512,Categories!$A$6:$A$65,0))&amp;"",""))</f>
        <v/>
      </c>
      <c r="I1512" s="25">
        <f>IF(AND(A1512="",C1512="",D1512=""),"",IF(A1512="","Date missing",IF(NOT(ISNUMBER(A1512)),"Date not recognized",IF(YEAR(A1512)&lt;&gt;Settings!$C$4,"Not in "&amp;Settings!$C$4,IF(C1512="","Category missing",IF(H1512="",IF(COUNTIF(Categories!$A$6:$A$65,C1512)&gt;0,"Category has no type","Category not in list"),IF(D1512="","Amount missing",IF(NOT(ISNUMBER(D1512)),"Amount is not a number",IF(F1512="","",IF(ISNA(MATCH(F1512,Lists!$G$2:$G$25,0)),"Goal / fund not in list",IF(H1512="Income","Fund tag ignored on income","")))))))))))</f>
        <v/>
      </c>
    </row>
    <row r="1513">
      <c r="A1513" s="27" t="n"/>
      <c r="B1513" s="23" t="n"/>
      <c r="C1513" s="23" t="n"/>
      <c r="D1513" s="28" t="n"/>
      <c r="E1513" s="23" t="n"/>
      <c r="F1513" s="23" t="n"/>
      <c r="G1513" s="23" t="n"/>
      <c r="H1513" s="29">
        <f>IF(C1513="","",IFERROR(INDEX(Categories!$B$6:$B$65,MATCH(C1513,Categories!$A$6:$A$65,0))&amp;"",""))</f>
        <v/>
      </c>
      <c r="I1513" s="25">
        <f>IF(AND(A1513="",C1513="",D1513=""),"",IF(A1513="","Date missing",IF(NOT(ISNUMBER(A1513)),"Date not recognized",IF(YEAR(A1513)&lt;&gt;Settings!$C$4,"Not in "&amp;Settings!$C$4,IF(C1513="","Category missing",IF(H1513="",IF(COUNTIF(Categories!$A$6:$A$65,C1513)&gt;0,"Category has no type","Category not in list"),IF(D1513="","Amount missing",IF(NOT(ISNUMBER(D1513)),"Amount is not a number",IF(F1513="","",IF(ISNA(MATCH(F1513,Lists!$G$2:$G$25,0)),"Goal / fund not in list",IF(H1513="Income","Fund tag ignored on income","")))))))))))</f>
        <v/>
      </c>
    </row>
    <row r="1514">
      <c r="A1514" s="27" t="n"/>
      <c r="B1514" s="23" t="n"/>
      <c r="C1514" s="23" t="n"/>
      <c r="D1514" s="28" t="n"/>
      <c r="E1514" s="23" t="n"/>
      <c r="F1514" s="23" t="n"/>
      <c r="G1514" s="23" t="n"/>
      <c r="H1514" s="29">
        <f>IF(C1514="","",IFERROR(INDEX(Categories!$B$6:$B$65,MATCH(C1514,Categories!$A$6:$A$65,0))&amp;"",""))</f>
        <v/>
      </c>
      <c r="I1514" s="25">
        <f>IF(AND(A1514="",C1514="",D1514=""),"",IF(A1514="","Date missing",IF(NOT(ISNUMBER(A1514)),"Date not recognized",IF(YEAR(A1514)&lt;&gt;Settings!$C$4,"Not in "&amp;Settings!$C$4,IF(C1514="","Category missing",IF(H1514="",IF(COUNTIF(Categories!$A$6:$A$65,C1514)&gt;0,"Category has no type","Category not in list"),IF(D1514="","Amount missing",IF(NOT(ISNUMBER(D1514)),"Amount is not a number",IF(F1514="","",IF(ISNA(MATCH(F1514,Lists!$G$2:$G$25,0)),"Goal / fund not in list",IF(H1514="Income","Fund tag ignored on income","")))))))))))</f>
        <v/>
      </c>
    </row>
    <row r="1515">
      <c r="A1515" s="27" t="n"/>
      <c r="B1515" s="23" t="n"/>
      <c r="C1515" s="23" t="n"/>
      <c r="D1515" s="28" t="n"/>
      <c r="E1515" s="23" t="n"/>
      <c r="F1515" s="23" t="n"/>
      <c r="G1515" s="23" t="n"/>
      <c r="H1515" s="29">
        <f>IF(C1515="","",IFERROR(INDEX(Categories!$B$6:$B$65,MATCH(C1515,Categories!$A$6:$A$65,0))&amp;"",""))</f>
        <v/>
      </c>
      <c r="I1515" s="25">
        <f>IF(AND(A1515="",C1515="",D1515=""),"",IF(A1515="","Date missing",IF(NOT(ISNUMBER(A1515)),"Date not recognized",IF(YEAR(A1515)&lt;&gt;Settings!$C$4,"Not in "&amp;Settings!$C$4,IF(C1515="","Category missing",IF(H1515="",IF(COUNTIF(Categories!$A$6:$A$65,C1515)&gt;0,"Category has no type","Category not in list"),IF(D1515="","Amount missing",IF(NOT(ISNUMBER(D1515)),"Amount is not a number",IF(F1515="","",IF(ISNA(MATCH(F1515,Lists!$G$2:$G$25,0)),"Goal / fund not in list",IF(H1515="Income","Fund tag ignored on income","")))))))))))</f>
        <v/>
      </c>
    </row>
    <row r="1516">
      <c r="A1516" s="27" t="n"/>
      <c r="B1516" s="23" t="n"/>
      <c r="C1516" s="23" t="n"/>
      <c r="D1516" s="28" t="n"/>
      <c r="E1516" s="23" t="n"/>
      <c r="F1516" s="23" t="n"/>
      <c r="G1516" s="23" t="n"/>
      <c r="H1516" s="29">
        <f>IF(C1516="","",IFERROR(INDEX(Categories!$B$6:$B$65,MATCH(C1516,Categories!$A$6:$A$65,0))&amp;"",""))</f>
        <v/>
      </c>
      <c r="I1516" s="25">
        <f>IF(AND(A1516="",C1516="",D1516=""),"",IF(A1516="","Date missing",IF(NOT(ISNUMBER(A1516)),"Date not recognized",IF(YEAR(A1516)&lt;&gt;Settings!$C$4,"Not in "&amp;Settings!$C$4,IF(C1516="","Category missing",IF(H1516="",IF(COUNTIF(Categories!$A$6:$A$65,C1516)&gt;0,"Category has no type","Category not in list"),IF(D1516="","Amount missing",IF(NOT(ISNUMBER(D1516)),"Amount is not a number",IF(F1516="","",IF(ISNA(MATCH(F1516,Lists!$G$2:$G$25,0)),"Goal / fund not in list",IF(H1516="Income","Fund tag ignored on income","")))))))))))</f>
        <v/>
      </c>
    </row>
    <row r="1517">
      <c r="A1517" s="27" t="n"/>
      <c r="B1517" s="23" t="n"/>
      <c r="C1517" s="23" t="n"/>
      <c r="D1517" s="28" t="n"/>
      <c r="E1517" s="23" t="n"/>
      <c r="F1517" s="23" t="n"/>
      <c r="G1517" s="23" t="n"/>
      <c r="H1517" s="29">
        <f>IF(C1517="","",IFERROR(INDEX(Categories!$B$6:$B$65,MATCH(C1517,Categories!$A$6:$A$65,0))&amp;"",""))</f>
        <v/>
      </c>
      <c r="I1517" s="25">
        <f>IF(AND(A1517="",C1517="",D1517=""),"",IF(A1517="","Date missing",IF(NOT(ISNUMBER(A1517)),"Date not recognized",IF(YEAR(A1517)&lt;&gt;Settings!$C$4,"Not in "&amp;Settings!$C$4,IF(C1517="","Category missing",IF(H1517="",IF(COUNTIF(Categories!$A$6:$A$65,C1517)&gt;0,"Category has no type","Category not in list"),IF(D1517="","Amount missing",IF(NOT(ISNUMBER(D1517)),"Amount is not a number",IF(F1517="","",IF(ISNA(MATCH(F1517,Lists!$G$2:$G$25,0)),"Goal / fund not in list",IF(H1517="Income","Fund tag ignored on income","")))))))))))</f>
        <v/>
      </c>
    </row>
    <row r="1518">
      <c r="A1518" s="27" t="n"/>
      <c r="B1518" s="23" t="n"/>
      <c r="C1518" s="23" t="n"/>
      <c r="D1518" s="28" t="n"/>
      <c r="E1518" s="23" t="n"/>
      <c r="F1518" s="23" t="n"/>
      <c r="G1518" s="23" t="n"/>
      <c r="H1518" s="29">
        <f>IF(C1518="","",IFERROR(INDEX(Categories!$B$6:$B$65,MATCH(C1518,Categories!$A$6:$A$65,0))&amp;"",""))</f>
        <v/>
      </c>
      <c r="I1518" s="25">
        <f>IF(AND(A1518="",C1518="",D1518=""),"",IF(A1518="","Date missing",IF(NOT(ISNUMBER(A1518)),"Date not recognized",IF(YEAR(A1518)&lt;&gt;Settings!$C$4,"Not in "&amp;Settings!$C$4,IF(C1518="","Category missing",IF(H1518="",IF(COUNTIF(Categories!$A$6:$A$65,C1518)&gt;0,"Category has no type","Category not in list"),IF(D1518="","Amount missing",IF(NOT(ISNUMBER(D1518)),"Amount is not a number",IF(F1518="","",IF(ISNA(MATCH(F1518,Lists!$G$2:$G$25,0)),"Goal / fund not in list",IF(H1518="Income","Fund tag ignored on income","")))))))))))</f>
        <v/>
      </c>
    </row>
    <row r="1519">
      <c r="A1519" s="27" t="n"/>
      <c r="B1519" s="23" t="n"/>
      <c r="C1519" s="23" t="n"/>
      <c r="D1519" s="28" t="n"/>
      <c r="E1519" s="23" t="n"/>
      <c r="F1519" s="23" t="n"/>
      <c r="G1519" s="23" t="n"/>
      <c r="H1519" s="29">
        <f>IF(C1519="","",IFERROR(INDEX(Categories!$B$6:$B$65,MATCH(C1519,Categories!$A$6:$A$65,0))&amp;"",""))</f>
        <v/>
      </c>
      <c r="I1519" s="25">
        <f>IF(AND(A1519="",C1519="",D1519=""),"",IF(A1519="","Date missing",IF(NOT(ISNUMBER(A1519)),"Date not recognized",IF(YEAR(A1519)&lt;&gt;Settings!$C$4,"Not in "&amp;Settings!$C$4,IF(C1519="","Category missing",IF(H1519="",IF(COUNTIF(Categories!$A$6:$A$65,C1519)&gt;0,"Category has no type","Category not in list"),IF(D1519="","Amount missing",IF(NOT(ISNUMBER(D1519)),"Amount is not a number",IF(F1519="","",IF(ISNA(MATCH(F1519,Lists!$G$2:$G$25,0)),"Goal / fund not in list",IF(H1519="Income","Fund tag ignored on income","")))))))))))</f>
        <v/>
      </c>
    </row>
    <row r="1520">
      <c r="A1520" s="27" t="n"/>
      <c r="B1520" s="23" t="n"/>
      <c r="C1520" s="23" t="n"/>
      <c r="D1520" s="28" t="n"/>
      <c r="E1520" s="23" t="n"/>
      <c r="F1520" s="23" t="n"/>
      <c r="G1520" s="23" t="n"/>
      <c r="H1520" s="29">
        <f>IF(C1520="","",IFERROR(INDEX(Categories!$B$6:$B$65,MATCH(C1520,Categories!$A$6:$A$65,0))&amp;"",""))</f>
        <v/>
      </c>
      <c r="I1520" s="25">
        <f>IF(AND(A1520="",C1520="",D1520=""),"",IF(A1520="","Date missing",IF(NOT(ISNUMBER(A1520)),"Date not recognized",IF(YEAR(A1520)&lt;&gt;Settings!$C$4,"Not in "&amp;Settings!$C$4,IF(C1520="","Category missing",IF(H1520="",IF(COUNTIF(Categories!$A$6:$A$65,C1520)&gt;0,"Category has no type","Category not in list"),IF(D1520="","Amount missing",IF(NOT(ISNUMBER(D1520)),"Amount is not a number",IF(F1520="","",IF(ISNA(MATCH(F1520,Lists!$G$2:$G$25,0)),"Goal / fund not in list",IF(H1520="Income","Fund tag ignored on income","")))))))))))</f>
        <v/>
      </c>
    </row>
    <row r="1521">
      <c r="A1521" s="27" t="n"/>
      <c r="B1521" s="23" t="n"/>
      <c r="C1521" s="23" t="n"/>
      <c r="D1521" s="28" t="n"/>
      <c r="E1521" s="23" t="n"/>
      <c r="F1521" s="23" t="n"/>
      <c r="G1521" s="23" t="n"/>
      <c r="H1521" s="29">
        <f>IF(C1521="","",IFERROR(INDEX(Categories!$B$6:$B$65,MATCH(C1521,Categories!$A$6:$A$65,0))&amp;"",""))</f>
        <v/>
      </c>
      <c r="I1521" s="25">
        <f>IF(AND(A1521="",C1521="",D1521=""),"",IF(A1521="","Date missing",IF(NOT(ISNUMBER(A1521)),"Date not recognized",IF(YEAR(A1521)&lt;&gt;Settings!$C$4,"Not in "&amp;Settings!$C$4,IF(C1521="","Category missing",IF(H1521="",IF(COUNTIF(Categories!$A$6:$A$65,C1521)&gt;0,"Category has no type","Category not in list"),IF(D1521="","Amount missing",IF(NOT(ISNUMBER(D1521)),"Amount is not a number",IF(F1521="","",IF(ISNA(MATCH(F1521,Lists!$G$2:$G$25,0)),"Goal / fund not in list",IF(H1521="Income","Fund tag ignored on income","")))))))))))</f>
        <v/>
      </c>
    </row>
    <row r="1522">
      <c r="A1522" s="27" t="n"/>
      <c r="B1522" s="23" t="n"/>
      <c r="C1522" s="23" t="n"/>
      <c r="D1522" s="28" t="n"/>
      <c r="E1522" s="23" t="n"/>
      <c r="F1522" s="23" t="n"/>
      <c r="G1522" s="23" t="n"/>
      <c r="H1522" s="29">
        <f>IF(C1522="","",IFERROR(INDEX(Categories!$B$6:$B$65,MATCH(C1522,Categories!$A$6:$A$65,0))&amp;"",""))</f>
        <v/>
      </c>
      <c r="I1522" s="25">
        <f>IF(AND(A1522="",C1522="",D1522=""),"",IF(A1522="","Date missing",IF(NOT(ISNUMBER(A1522)),"Date not recognized",IF(YEAR(A1522)&lt;&gt;Settings!$C$4,"Not in "&amp;Settings!$C$4,IF(C1522="","Category missing",IF(H1522="",IF(COUNTIF(Categories!$A$6:$A$65,C1522)&gt;0,"Category has no type","Category not in list"),IF(D1522="","Amount missing",IF(NOT(ISNUMBER(D1522)),"Amount is not a number",IF(F1522="","",IF(ISNA(MATCH(F1522,Lists!$G$2:$G$25,0)),"Goal / fund not in list",IF(H1522="Income","Fund tag ignored on income","")))))))))))</f>
        <v/>
      </c>
    </row>
    <row r="1523">
      <c r="A1523" s="27" t="n"/>
      <c r="B1523" s="23" t="n"/>
      <c r="C1523" s="23" t="n"/>
      <c r="D1523" s="28" t="n"/>
      <c r="E1523" s="23" t="n"/>
      <c r="F1523" s="23" t="n"/>
      <c r="G1523" s="23" t="n"/>
      <c r="H1523" s="29">
        <f>IF(C1523="","",IFERROR(INDEX(Categories!$B$6:$B$65,MATCH(C1523,Categories!$A$6:$A$65,0))&amp;"",""))</f>
        <v/>
      </c>
      <c r="I1523" s="25">
        <f>IF(AND(A1523="",C1523="",D1523=""),"",IF(A1523="","Date missing",IF(NOT(ISNUMBER(A1523)),"Date not recognized",IF(YEAR(A1523)&lt;&gt;Settings!$C$4,"Not in "&amp;Settings!$C$4,IF(C1523="","Category missing",IF(H1523="",IF(COUNTIF(Categories!$A$6:$A$65,C1523)&gt;0,"Category has no type","Category not in list"),IF(D1523="","Amount missing",IF(NOT(ISNUMBER(D1523)),"Amount is not a number",IF(F1523="","",IF(ISNA(MATCH(F1523,Lists!$G$2:$G$25,0)),"Goal / fund not in list",IF(H1523="Income","Fund tag ignored on income","")))))))))))</f>
        <v/>
      </c>
    </row>
    <row r="1524">
      <c r="A1524" s="27" t="n"/>
      <c r="B1524" s="23" t="n"/>
      <c r="C1524" s="23" t="n"/>
      <c r="D1524" s="28" t="n"/>
      <c r="E1524" s="23" t="n"/>
      <c r="F1524" s="23" t="n"/>
      <c r="G1524" s="23" t="n"/>
      <c r="H1524" s="29">
        <f>IF(C1524="","",IFERROR(INDEX(Categories!$B$6:$B$65,MATCH(C1524,Categories!$A$6:$A$65,0))&amp;"",""))</f>
        <v/>
      </c>
      <c r="I1524" s="25">
        <f>IF(AND(A1524="",C1524="",D1524=""),"",IF(A1524="","Date missing",IF(NOT(ISNUMBER(A1524)),"Date not recognized",IF(YEAR(A1524)&lt;&gt;Settings!$C$4,"Not in "&amp;Settings!$C$4,IF(C1524="","Category missing",IF(H1524="",IF(COUNTIF(Categories!$A$6:$A$65,C1524)&gt;0,"Category has no type","Category not in list"),IF(D1524="","Amount missing",IF(NOT(ISNUMBER(D1524)),"Amount is not a number",IF(F1524="","",IF(ISNA(MATCH(F1524,Lists!$G$2:$G$25,0)),"Goal / fund not in list",IF(H1524="Income","Fund tag ignored on income","")))))))))))</f>
        <v/>
      </c>
    </row>
    <row r="1525">
      <c r="A1525" s="27" t="n"/>
      <c r="B1525" s="23" t="n"/>
      <c r="C1525" s="23" t="n"/>
      <c r="D1525" s="28" t="n"/>
      <c r="E1525" s="23" t="n"/>
      <c r="F1525" s="23" t="n"/>
      <c r="G1525" s="23" t="n"/>
      <c r="H1525" s="29">
        <f>IF(C1525="","",IFERROR(INDEX(Categories!$B$6:$B$65,MATCH(C1525,Categories!$A$6:$A$65,0))&amp;"",""))</f>
        <v/>
      </c>
      <c r="I1525" s="25">
        <f>IF(AND(A1525="",C1525="",D1525=""),"",IF(A1525="","Date missing",IF(NOT(ISNUMBER(A1525)),"Date not recognized",IF(YEAR(A1525)&lt;&gt;Settings!$C$4,"Not in "&amp;Settings!$C$4,IF(C1525="","Category missing",IF(H1525="",IF(COUNTIF(Categories!$A$6:$A$65,C1525)&gt;0,"Category has no type","Category not in list"),IF(D1525="","Amount missing",IF(NOT(ISNUMBER(D1525)),"Amount is not a number",IF(F1525="","",IF(ISNA(MATCH(F1525,Lists!$G$2:$G$25,0)),"Goal / fund not in list",IF(H1525="Income","Fund tag ignored on income","")))))))))))</f>
        <v/>
      </c>
    </row>
    <row r="1526">
      <c r="A1526" s="27" t="n"/>
      <c r="B1526" s="23" t="n"/>
      <c r="C1526" s="23" t="n"/>
      <c r="D1526" s="28" t="n"/>
      <c r="E1526" s="23" t="n"/>
      <c r="F1526" s="23" t="n"/>
      <c r="G1526" s="23" t="n"/>
      <c r="H1526" s="29">
        <f>IF(C1526="","",IFERROR(INDEX(Categories!$B$6:$B$65,MATCH(C1526,Categories!$A$6:$A$65,0))&amp;"",""))</f>
        <v/>
      </c>
      <c r="I1526" s="25">
        <f>IF(AND(A1526="",C1526="",D1526=""),"",IF(A1526="","Date missing",IF(NOT(ISNUMBER(A1526)),"Date not recognized",IF(YEAR(A1526)&lt;&gt;Settings!$C$4,"Not in "&amp;Settings!$C$4,IF(C1526="","Category missing",IF(H1526="",IF(COUNTIF(Categories!$A$6:$A$65,C1526)&gt;0,"Category has no type","Category not in list"),IF(D1526="","Amount missing",IF(NOT(ISNUMBER(D1526)),"Amount is not a number",IF(F1526="","",IF(ISNA(MATCH(F1526,Lists!$G$2:$G$25,0)),"Goal / fund not in list",IF(H1526="Income","Fund tag ignored on income","")))))))))))</f>
        <v/>
      </c>
    </row>
    <row r="1527">
      <c r="A1527" s="27" t="n"/>
      <c r="B1527" s="23" t="n"/>
      <c r="C1527" s="23" t="n"/>
      <c r="D1527" s="28" t="n"/>
      <c r="E1527" s="23" t="n"/>
      <c r="F1527" s="23" t="n"/>
      <c r="G1527" s="23" t="n"/>
      <c r="H1527" s="29">
        <f>IF(C1527="","",IFERROR(INDEX(Categories!$B$6:$B$65,MATCH(C1527,Categories!$A$6:$A$65,0))&amp;"",""))</f>
        <v/>
      </c>
      <c r="I1527" s="25">
        <f>IF(AND(A1527="",C1527="",D1527=""),"",IF(A1527="","Date missing",IF(NOT(ISNUMBER(A1527)),"Date not recognized",IF(YEAR(A1527)&lt;&gt;Settings!$C$4,"Not in "&amp;Settings!$C$4,IF(C1527="","Category missing",IF(H1527="",IF(COUNTIF(Categories!$A$6:$A$65,C1527)&gt;0,"Category has no type","Category not in list"),IF(D1527="","Amount missing",IF(NOT(ISNUMBER(D1527)),"Amount is not a number",IF(F1527="","",IF(ISNA(MATCH(F1527,Lists!$G$2:$G$25,0)),"Goal / fund not in list",IF(H1527="Income","Fund tag ignored on income","")))))))))))</f>
        <v/>
      </c>
    </row>
    <row r="1528">
      <c r="A1528" s="27" t="n"/>
      <c r="B1528" s="23" t="n"/>
      <c r="C1528" s="23" t="n"/>
      <c r="D1528" s="28" t="n"/>
      <c r="E1528" s="23" t="n"/>
      <c r="F1528" s="23" t="n"/>
      <c r="G1528" s="23" t="n"/>
      <c r="H1528" s="29">
        <f>IF(C1528="","",IFERROR(INDEX(Categories!$B$6:$B$65,MATCH(C1528,Categories!$A$6:$A$65,0))&amp;"",""))</f>
        <v/>
      </c>
      <c r="I1528" s="25">
        <f>IF(AND(A1528="",C1528="",D1528=""),"",IF(A1528="","Date missing",IF(NOT(ISNUMBER(A1528)),"Date not recognized",IF(YEAR(A1528)&lt;&gt;Settings!$C$4,"Not in "&amp;Settings!$C$4,IF(C1528="","Category missing",IF(H1528="",IF(COUNTIF(Categories!$A$6:$A$65,C1528)&gt;0,"Category has no type","Category not in list"),IF(D1528="","Amount missing",IF(NOT(ISNUMBER(D1528)),"Amount is not a number",IF(F1528="","",IF(ISNA(MATCH(F1528,Lists!$G$2:$G$25,0)),"Goal / fund not in list",IF(H1528="Income","Fund tag ignored on income","")))))))))))</f>
        <v/>
      </c>
    </row>
    <row r="1529">
      <c r="A1529" s="27" t="n"/>
      <c r="B1529" s="23" t="n"/>
      <c r="C1529" s="23" t="n"/>
      <c r="D1529" s="28" t="n"/>
      <c r="E1529" s="23" t="n"/>
      <c r="F1529" s="23" t="n"/>
      <c r="G1529" s="23" t="n"/>
      <c r="H1529" s="29">
        <f>IF(C1529="","",IFERROR(INDEX(Categories!$B$6:$B$65,MATCH(C1529,Categories!$A$6:$A$65,0))&amp;"",""))</f>
        <v/>
      </c>
      <c r="I1529" s="25">
        <f>IF(AND(A1529="",C1529="",D1529=""),"",IF(A1529="","Date missing",IF(NOT(ISNUMBER(A1529)),"Date not recognized",IF(YEAR(A1529)&lt;&gt;Settings!$C$4,"Not in "&amp;Settings!$C$4,IF(C1529="","Category missing",IF(H1529="",IF(COUNTIF(Categories!$A$6:$A$65,C1529)&gt;0,"Category has no type","Category not in list"),IF(D1529="","Amount missing",IF(NOT(ISNUMBER(D1529)),"Amount is not a number",IF(F1529="","",IF(ISNA(MATCH(F1529,Lists!$G$2:$G$25,0)),"Goal / fund not in list",IF(H1529="Income","Fund tag ignored on income","")))))))))))</f>
        <v/>
      </c>
    </row>
    <row r="1530">
      <c r="A1530" s="27" t="n"/>
      <c r="B1530" s="23" t="n"/>
      <c r="C1530" s="23" t="n"/>
      <c r="D1530" s="28" t="n"/>
      <c r="E1530" s="23" t="n"/>
      <c r="F1530" s="23" t="n"/>
      <c r="G1530" s="23" t="n"/>
      <c r="H1530" s="29">
        <f>IF(C1530="","",IFERROR(INDEX(Categories!$B$6:$B$65,MATCH(C1530,Categories!$A$6:$A$65,0))&amp;"",""))</f>
        <v/>
      </c>
      <c r="I1530" s="25">
        <f>IF(AND(A1530="",C1530="",D1530=""),"",IF(A1530="","Date missing",IF(NOT(ISNUMBER(A1530)),"Date not recognized",IF(YEAR(A1530)&lt;&gt;Settings!$C$4,"Not in "&amp;Settings!$C$4,IF(C1530="","Category missing",IF(H1530="",IF(COUNTIF(Categories!$A$6:$A$65,C1530)&gt;0,"Category has no type","Category not in list"),IF(D1530="","Amount missing",IF(NOT(ISNUMBER(D1530)),"Amount is not a number",IF(F1530="","",IF(ISNA(MATCH(F1530,Lists!$G$2:$G$25,0)),"Goal / fund not in list",IF(H1530="Income","Fund tag ignored on income","")))))))))))</f>
        <v/>
      </c>
    </row>
    <row r="1531">
      <c r="A1531" s="27" t="n"/>
      <c r="B1531" s="23" t="n"/>
      <c r="C1531" s="23" t="n"/>
      <c r="D1531" s="28" t="n"/>
      <c r="E1531" s="23" t="n"/>
      <c r="F1531" s="23" t="n"/>
      <c r="G1531" s="23" t="n"/>
      <c r="H1531" s="29">
        <f>IF(C1531="","",IFERROR(INDEX(Categories!$B$6:$B$65,MATCH(C1531,Categories!$A$6:$A$65,0))&amp;"",""))</f>
        <v/>
      </c>
      <c r="I1531" s="25">
        <f>IF(AND(A1531="",C1531="",D1531=""),"",IF(A1531="","Date missing",IF(NOT(ISNUMBER(A1531)),"Date not recognized",IF(YEAR(A1531)&lt;&gt;Settings!$C$4,"Not in "&amp;Settings!$C$4,IF(C1531="","Category missing",IF(H1531="",IF(COUNTIF(Categories!$A$6:$A$65,C1531)&gt;0,"Category has no type","Category not in list"),IF(D1531="","Amount missing",IF(NOT(ISNUMBER(D1531)),"Amount is not a number",IF(F1531="","",IF(ISNA(MATCH(F1531,Lists!$G$2:$G$25,0)),"Goal / fund not in list",IF(H1531="Income","Fund tag ignored on income","")))))))))))</f>
        <v/>
      </c>
    </row>
    <row r="1532">
      <c r="A1532" s="27" t="n"/>
      <c r="B1532" s="23" t="n"/>
      <c r="C1532" s="23" t="n"/>
      <c r="D1532" s="28" t="n"/>
      <c r="E1532" s="23" t="n"/>
      <c r="F1532" s="23" t="n"/>
      <c r="G1532" s="23" t="n"/>
      <c r="H1532" s="29">
        <f>IF(C1532="","",IFERROR(INDEX(Categories!$B$6:$B$65,MATCH(C1532,Categories!$A$6:$A$65,0))&amp;"",""))</f>
        <v/>
      </c>
      <c r="I1532" s="25">
        <f>IF(AND(A1532="",C1532="",D1532=""),"",IF(A1532="","Date missing",IF(NOT(ISNUMBER(A1532)),"Date not recognized",IF(YEAR(A1532)&lt;&gt;Settings!$C$4,"Not in "&amp;Settings!$C$4,IF(C1532="","Category missing",IF(H1532="",IF(COUNTIF(Categories!$A$6:$A$65,C1532)&gt;0,"Category has no type","Category not in list"),IF(D1532="","Amount missing",IF(NOT(ISNUMBER(D1532)),"Amount is not a number",IF(F1532="","",IF(ISNA(MATCH(F1532,Lists!$G$2:$G$25,0)),"Goal / fund not in list",IF(H1532="Income","Fund tag ignored on income","")))))))))))</f>
        <v/>
      </c>
    </row>
    <row r="1533">
      <c r="A1533" s="27" t="n"/>
      <c r="B1533" s="23" t="n"/>
      <c r="C1533" s="23" t="n"/>
      <c r="D1533" s="28" t="n"/>
      <c r="E1533" s="23" t="n"/>
      <c r="F1533" s="23" t="n"/>
      <c r="G1533" s="23" t="n"/>
      <c r="H1533" s="29">
        <f>IF(C1533="","",IFERROR(INDEX(Categories!$B$6:$B$65,MATCH(C1533,Categories!$A$6:$A$65,0))&amp;"",""))</f>
        <v/>
      </c>
      <c r="I1533" s="25">
        <f>IF(AND(A1533="",C1533="",D1533=""),"",IF(A1533="","Date missing",IF(NOT(ISNUMBER(A1533)),"Date not recognized",IF(YEAR(A1533)&lt;&gt;Settings!$C$4,"Not in "&amp;Settings!$C$4,IF(C1533="","Category missing",IF(H1533="",IF(COUNTIF(Categories!$A$6:$A$65,C1533)&gt;0,"Category has no type","Category not in list"),IF(D1533="","Amount missing",IF(NOT(ISNUMBER(D1533)),"Amount is not a number",IF(F1533="","",IF(ISNA(MATCH(F1533,Lists!$G$2:$G$25,0)),"Goal / fund not in list",IF(H1533="Income","Fund tag ignored on income","")))))))))))</f>
        <v/>
      </c>
    </row>
    <row r="1534">
      <c r="A1534" s="27" t="n"/>
      <c r="B1534" s="23" t="n"/>
      <c r="C1534" s="23" t="n"/>
      <c r="D1534" s="28" t="n"/>
      <c r="E1534" s="23" t="n"/>
      <c r="F1534" s="23" t="n"/>
      <c r="G1534" s="23" t="n"/>
      <c r="H1534" s="29">
        <f>IF(C1534="","",IFERROR(INDEX(Categories!$B$6:$B$65,MATCH(C1534,Categories!$A$6:$A$65,0))&amp;"",""))</f>
        <v/>
      </c>
      <c r="I1534" s="25">
        <f>IF(AND(A1534="",C1534="",D1534=""),"",IF(A1534="","Date missing",IF(NOT(ISNUMBER(A1534)),"Date not recognized",IF(YEAR(A1534)&lt;&gt;Settings!$C$4,"Not in "&amp;Settings!$C$4,IF(C1534="","Category missing",IF(H1534="",IF(COUNTIF(Categories!$A$6:$A$65,C1534)&gt;0,"Category has no type","Category not in list"),IF(D1534="","Amount missing",IF(NOT(ISNUMBER(D1534)),"Amount is not a number",IF(F1534="","",IF(ISNA(MATCH(F1534,Lists!$G$2:$G$25,0)),"Goal / fund not in list",IF(H1534="Income","Fund tag ignored on income","")))))))))))</f>
        <v/>
      </c>
    </row>
    <row r="1535">
      <c r="A1535" s="27" t="n"/>
      <c r="B1535" s="23" t="n"/>
      <c r="C1535" s="23" t="n"/>
      <c r="D1535" s="28" t="n"/>
      <c r="E1535" s="23" t="n"/>
      <c r="F1535" s="23" t="n"/>
      <c r="G1535" s="23" t="n"/>
      <c r="H1535" s="29">
        <f>IF(C1535="","",IFERROR(INDEX(Categories!$B$6:$B$65,MATCH(C1535,Categories!$A$6:$A$65,0))&amp;"",""))</f>
        <v/>
      </c>
      <c r="I1535" s="25">
        <f>IF(AND(A1535="",C1535="",D1535=""),"",IF(A1535="","Date missing",IF(NOT(ISNUMBER(A1535)),"Date not recognized",IF(YEAR(A1535)&lt;&gt;Settings!$C$4,"Not in "&amp;Settings!$C$4,IF(C1535="","Category missing",IF(H1535="",IF(COUNTIF(Categories!$A$6:$A$65,C1535)&gt;0,"Category has no type","Category not in list"),IF(D1535="","Amount missing",IF(NOT(ISNUMBER(D1535)),"Amount is not a number",IF(F1535="","",IF(ISNA(MATCH(F1535,Lists!$G$2:$G$25,0)),"Goal / fund not in list",IF(H1535="Income","Fund tag ignored on income","")))))))))))</f>
        <v/>
      </c>
    </row>
    <row r="1536">
      <c r="A1536" s="27" t="n"/>
      <c r="B1536" s="23" t="n"/>
      <c r="C1536" s="23" t="n"/>
      <c r="D1536" s="28" t="n"/>
      <c r="E1536" s="23" t="n"/>
      <c r="F1536" s="23" t="n"/>
      <c r="G1536" s="23" t="n"/>
      <c r="H1536" s="29">
        <f>IF(C1536="","",IFERROR(INDEX(Categories!$B$6:$B$65,MATCH(C1536,Categories!$A$6:$A$65,0))&amp;"",""))</f>
        <v/>
      </c>
      <c r="I1536" s="25">
        <f>IF(AND(A1536="",C1536="",D1536=""),"",IF(A1536="","Date missing",IF(NOT(ISNUMBER(A1536)),"Date not recognized",IF(YEAR(A1536)&lt;&gt;Settings!$C$4,"Not in "&amp;Settings!$C$4,IF(C1536="","Category missing",IF(H1536="",IF(COUNTIF(Categories!$A$6:$A$65,C1536)&gt;0,"Category has no type","Category not in list"),IF(D1536="","Amount missing",IF(NOT(ISNUMBER(D1536)),"Amount is not a number",IF(F1536="","",IF(ISNA(MATCH(F1536,Lists!$G$2:$G$25,0)),"Goal / fund not in list",IF(H1536="Income","Fund tag ignored on income","")))))))))))</f>
        <v/>
      </c>
    </row>
    <row r="1537">
      <c r="A1537" s="27" t="n"/>
      <c r="B1537" s="23" t="n"/>
      <c r="C1537" s="23" t="n"/>
      <c r="D1537" s="28" t="n"/>
      <c r="E1537" s="23" t="n"/>
      <c r="F1537" s="23" t="n"/>
      <c r="G1537" s="23" t="n"/>
      <c r="H1537" s="29">
        <f>IF(C1537="","",IFERROR(INDEX(Categories!$B$6:$B$65,MATCH(C1537,Categories!$A$6:$A$65,0))&amp;"",""))</f>
        <v/>
      </c>
      <c r="I1537" s="25">
        <f>IF(AND(A1537="",C1537="",D1537=""),"",IF(A1537="","Date missing",IF(NOT(ISNUMBER(A1537)),"Date not recognized",IF(YEAR(A1537)&lt;&gt;Settings!$C$4,"Not in "&amp;Settings!$C$4,IF(C1537="","Category missing",IF(H1537="",IF(COUNTIF(Categories!$A$6:$A$65,C1537)&gt;0,"Category has no type","Category not in list"),IF(D1537="","Amount missing",IF(NOT(ISNUMBER(D1537)),"Amount is not a number",IF(F1537="","",IF(ISNA(MATCH(F1537,Lists!$G$2:$G$25,0)),"Goal / fund not in list",IF(H1537="Income","Fund tag ignored on income","")))))))))))</f>
        <v/>
      </c>
    </row>
    <row r="1538">
      <c r="A1538" s="27" t="n"/>
      <c r="B1538" s="23" t="n"/>
      <c r="C1538" s="23" t="n"/>
      <c r="D1538" s="28" t="n"/>
      <c r="E1538" s="23" t="n"/>
      <c r="F1538" s="23" t="n"/>
      <c r="G1538" s="23" t="n"/>
      <c r="H1538" s="29">
        <f>IF(C1538="","",IFERROR(INDEX(Categories!$B$6:$B$65,MATCH(C1538,Categories!$A$6:$A$65,0))&amp;"",""))</f>
        <v/>
      </c>
      <c r="I1538" s="25">
        <f>IF(AND(A1538="",C1538="",D1538=""),"",IF(A1538="","Date missing",IF(NOT(ISNUMBER(A1538)),"Date not recognized",IF(YEAR(A1538)&lt;&gt;Settings!$C$4,"Not in "&amp;Settings!$C$4,IF(C1538="","Category missing",IF(H1538="",IF(COUNTIF(Categories!$A$6:$A$65,C1538)&gt;0,"Category has no type","Category not in list"),IF(D1538="","Amount missing",IF(NOT(ISNUMBER(D1538)),"Amount is not a number",IF(F1538="","",IF(ISNA(MATCH(F1538,Lists!$G$2:$G$25,0)),"Goal / fund not in list",IF(H1538="Income","Fund tag ignored on income","")))))))))))</f>
        <v/>
      </c>
    </row>
    <row r="1539">
      <c r="A1539" s="27" t="n"/>
      <c r="B1539" s="23" t="n"/>
      <c r="C1539" s="23" t="n"/>
      <c r="D1539" s="28" t="n"/>
      <c r="E1539" s="23" t="n"/>
      <c r="F1539" s="23" t="n"/>
      <c r="G1539" s="23" t="n"/>
      <c r="H1539" s="29">
        <f>IF(C1539="","",IFERROR(INDEX(Categories!$B$6:$B$65,MATCH(C1539,Categories!$A$6:$A$65,0))&amp;"",""))</f>
        <v/>
      </c>
      <c r="I1539" s="25">
        <f>IF(AND(A1539="",C1539="",D1539=""),"",IF(A1539="","Date missing",IF(NOT(ISNUMBER(A1539)),"Date not recognized",IF(YEAR(A1539)&lt;&gt;Settings!$C$4,"Not in "&amp;Settings!$C$4,IF(C1539="","Category missing",IF(H1539="",IF(COUNTIF(Categories!$A$6:$A$65,C1539)&gt;0,"Category has no type","Category not in list"),IF(D1539="","Amount missing",IF(NOT(ISNUMBER(D1539)),"Amount is not a number",IF(F1539="","",IF(ISNA(MATCH(F1539,Lists!$G$2:$G$25,0)),"Goal / fund not in list",IF(H1539="Income","Fund tag ignored on income","")))))))))))</f>
        <v/>
      </c>
    </row>
    <row r="1540">
      <c r="A1540" s="27" t="n"/>
      <c r="B1540" s="23" t="n"/>
      <c r="C1540" s="23" t="n"/>
      <c r="D1540" s="28" t="n"/>
      <c r="E1540" s="23" t="n"/>
      <c r="F1540" s="23" t="n"/>
      <c r="G1540" s="23" t="n"/>
      <c r="H1540" s="29">
        <f>IF(C1540="","",IFERROR(INDEX(Categories!$B$6:$B$65,MATCH(C1540,Categories!$A$6:$A$65,0))&amp;"",""))</f>
        <v/>
      </c>
      <c r="I1540" s="25">
        <f>IF(AND(A1540="",C1540="",D1540=""),"",IF(A1540="","Date missing",IF(NOT(ISNUMBER(A1540)),"Date not recognized",IF(YEAR(A1540)&lt;&gt;Settings!$C$4,"Not in "&amp;Settings!$C$4,IF(C1540="","Category missing",IF(H1540="",IF(COUNTIF(Categories!$A$6:$A$65,C1540)&gt;0,"Category has no type","Category not in list"),IF(D1540="","Amount missing",IF(NOT(ISNUMBER(D1540)),"Amount is not a number",IF(F1540="","",IF(ISNA(MATCH(F1540,Lists!$G$2:$G$25,0)),"Goal / fund not in list",IF(H1540="Income","Fund tag ignored on income","")))))))))))</f>
        <v/>
      </c>
    </row>
    <row r="1541">
      <c r="A1541" s="27" t="n"/>
      <c r="B1541" s="23" t="n"/>
      <c r="C1541" s="23" t="n"/>
      <c r="D1541" s="28" t="n"/>
      <c r="E1541" s="23" t="n"/>
      <c r="F1541" s="23" t="n"/>
      <c r="G1541" s="23" t="n"/>
      <c r="H1541" s="29">
        <f>IF(C1541="","",IFERROR(INDEX(Categories!$B$6:$B$65,MATCH(C1541,Categories!$A$6:$A$65,0))&amp;"",""))</f>
        <v/>
      </c>
      <c r="I1541" s="25">
        <f>IF(AND(A1541="",C1541="",D1541=""),"",IF(A1541="","Date missing",IF(NOT(ISNUMBER(A1541)),"Date not recognized",IF(YEAR(A1541)&lt;&gt;Settings!$C$4,"Not in "&amp;Settings!$C$4,IF(C1541="","Category missing",IF(H1541="",IF(COUNTIF(Categories!$A$6:$A$65,C1541)&gt;0,"Category has no type","Category not in list"),IF(D1541="","Amount missing",IF(NOT(ISNUMBER(D1541)),"Amount is not a number",IF(F1541="","",IF(ISNA(MATCH(F1541,Lists!$G$2:$G$25,0)),"Goal / fund not in list",IF(H1541="Income","Fund tag ignored on income","")))))))))))</f>
        <v/>
      </c>
    </row>
    <row r="1542">
      <c r="A1542" s="27" t="n"/>
      <c r="B1542" s="23" t="n"/>
      <c r="C1542" s="23" t="n"/>
      <c r="D1542" s="28" t="n"/>
      <c r="E1542" s="23" t="n"/>
      <c r="F1542" s="23" t="n"/>
      <c r="G1542" s="23" t="n"/>
      <c r="H1542" s="29">
        <f>IF(C1542="","",IFERROR(INDEX(Categories!$B$6:$B$65,MATCH(C1542,Categories!$A$6:$A$65,0))&amp;"",""))</f>
        <v/>
      </c>
      <c r="I1542" s="25">
        <f>IF(AND(A1542="",C1542="",D1542=""),"",IF(A1542="","Date missing",IF(NOT(ISNUMBER(A1542)),"Date not recognized",IF(YEAR(A1542)&lt;&gt;Settings!$C$4,"Not in "&amp;Settings!$C$4,IF(C1542="","Category missing",IF(H1542="",IF(COUNTIF(Categories!$A$6:$A$65,C1542)&gt;0,"Category has no type","Category not in list"),IF(D1542="","Amount missing",IF(NOT(ISNUMBER(D1542)),"Amount is not a number",IF(F1542="","",IF(ISNA(MATCH(F1542,Lists!$G$2:$G$25,0)),"Goal / fund not in list",IF(H1542="Income","Fund tag ignored on income","")))))))))))</f>
        <v/>
      </c>
    </row>
    <row r="1543">
      <c r="A1543" s="27" t="n"/>
      <c r="B1543" s="23" t="n"/>
      <c r="C1543" s="23" t="n"/>
      <c r="D1543" s="28" t="n"/>
      <c r="E1543" s="23" t="n"/>
      <c r="F1543" s="23" t="n"/>
      <c r="G1543" s="23" t="n"/>
      <c r="H1543" s="29">
        <f>IF(C1543="","",IFERROR(INDEX(Categories!$B$6:$B$65,MATCH(C1543,Categories!$A$6:$A$65,0))&amp;"",""))</f>
        <v/>
      </c>
      <c r="I1543" s="25">
        <f>IF(AND(A1543="",C1543="",D1543=""),"",IF(A1543="","Date missing",IF(NOT(ISNUMBER(A1543)),"Date not recognized",IF(YEAR(A1543)&lt;&gt;Settings!$C$4,"Not in "&amp;Settings!$C$4,IF(C1543="","Category missing",IF(H1543="",IF(COUNTIF(Categories!$A$6:$A$65,C1543)&gt;0,"Category has no type","Category not in list"),IF(D1543="","Amount missing",IF(NOT(ISNUMBER(D1543)),"Amount is not a number",IF(F1543="","",IF(ISNA(MATCH(F1543,Lists!$G$2:$G$25,0)),"Goal / fund not in list",IF(H1543="Income","Fund tag ignored on income","")))))))))))</f>
        <v/>
      </c>
    </row>
    <row r="1544">
      <c r="A1544" s="27" t="n"/>
      <c r="B1544" s="23" t="n"/>
      <c r="C1544" s="23" t="n"/>
      <c r="D1544" s="28" t="n"/>
      <c r="E1544" s="23" t="n"/>
      <c r="F1544" s="23" t="n"/>
      <c r="G1544" s="23" t="n"/>
      <c r="H1544" s="29">
        <f>IF(C1544="","",IFERROR(INDEX(Categories!$B$6:$B$65,MATCH(C1544,Categories!$A$6:$A$65,0))&amp;"",""))</f>
        <v/>
      </c>
      <c r="I1544" s="25">
        <f>IF(AND(A1544="",C1544="",D1544=""),"",IF(A1544="","Date missing",IF(NOT(ISNUMBER(A1544)),"Date not recognized",IF(YEAR(A1544)&lt;&gt;Settings!$C$4,"Not in "&amp;Settings!$C$4,IF(C1544="","Category missing",IF(H1544="",IF(COUNTIF(Categories!$A$6:$A$65,C1544)&gt;0,"Category has no type","Category not in list"),IF(D1544="","Amount missing",IF(NOT(ISNUMBER(D1544)),"Amount is not a number",IF(F1544="","",IF(ISNA(MATCH(F1544,Lists!$G$2:$G$25,0)),"Goal / fund not in list",IF(H1544="Income","Fund tag ignored on income","")))))))))))</f>
        <v/>
      </c>
    </row>
    <row r="1545">
      <c r="A1545" s="27" t="n"/>
      <c r="B1545" s="23" t="n"/>
      <c r="C1545" s="23" t="n"/>
      <c r="D1545" s="28" t="n"/>
      <c r="E1545" s="23" t="n"/>
      <c r="F1545" s="23" t="n"/>
      <c r="G1545" s="23" t="n"/>
      <c r="H1545" s="29">
        <f>IF(C1545="","",IFERROR(INDEX(Categories!$B$6:$B$65,MATCH(C1545,Categories!$A$6:$A$65,0))&amp;"",""))</f>
        <v/>
      </c>
      <c r="I1545" s="25">
        <f>IF(AND(A1545="",C1545="",D1545=""),"",IF(A1545="","Date missing",IF(NOT(ISNUMBER(A1545)),"Date not recognized",IF(YEAR(A1545)&lt;&gt;Settings!$C$4,"Not in "&amp;Settings!$C$4,IF(C1545="","Category missing",IF(H1545="",IF(COUNTIF(Categories!$A$6:$A$65,C1545)&gt;0,"Category has no type","Category not in list"),IF(D1545="","Amount missing",IF(NOT(ISNUMBER(D1545)),"Amount is not a number",IF(F1545="","",IF(ISNA(MATCH(F1545,Lists!$G$2:$G$25,0)),"Goal / fund not in list",IF(H1545="Income","Fund tag ignored on income","")))))))))))</f>
        <v/>
      </c>
    </row>
    <row r="1546">
      <c r="A1546" s="27" t="n"/>
      <c r="B1546" s="23" t="n"/>
      <c r="C1546" s="23" t="n"/>
      <c r="D1546" s="28" t="n"/>
      <c r="E1546" s="23" t="n"/>
      <c r="F1546" s="23" t="n"/>
      <c r="G1546" s="23" t="n"/>
      <c r="H1546" s="29">
        <f>IF(C1546="","",IFERROR(INDEX(Categories!$B$6:$B$65,MATCH(C1546,Categories!$A$6:$A$65,0))&amp;"",""))</f>
        <v/>
      </c>
      <c r="I1546" s="25">
        <f>IF(AND(A1546="",C1546="",D1546=""),"",IF(A1546="","Date missing",IF(NOT(ISNUMBER(A1546)),"Date not recognized",IF(YEAR(A1546)&lt;&gt;Settings!$C$4,"Not in "&amp;Settings!$C$4,IF(C1546="","Category missing",IF(H1546="",IF(COUNTIF(Categories!$A$6:$A$65,C1546)&gt;0,"Category has no type","Category not in list"),IF(D1546="","Amount missing",IF(NOT(ISNUMBER(D1546)),"Amount is not a number",IF(F1546="","",IF(ISNA(MATCH(F1546,Lists!$G$2:$G$25,0)),"Goal / fund not in list",IF(H1546="Income","Fund tag ignored on income","")))))))))))</f>
        <v/>
      </c>
    </row>
    <row r="1547">
      <c r="A1547" s="27" t="n"/>
      <c r="B1547" s="23" t="n"/>
      <c r="C1547" s="23" t="n"/>
      <c r="D1547" s="28" t="n"/>
      <c r="E1547" s="23" t="n"/>
      <c r="F1547" s="23" t="n"/>
      <c r="G1547" s="23" t="n"/>
      <c r="H1547" s="29">
        <f>IF(C1547="","",IFERROR(INDEX(Categories!$B$6:$B$65,MATCH(C1547,Categories!$A$6:$A$65,0))&amp;"",""))</f>
        <v/>
      </c>
      <c r="I1547" s="25">
        <f>IF(AND(A1547="",C1547="",D1547=""),"",IF(A1547="","Date missing",IF(NOT(ISNUMBER(A1547)),"Date not recognized",IF(YEAR(A1547)&lt;&gt;Settings!$C$4,"Not in "&amp;Settings!$C$4,IF(C1547="","Category missing",IF(H1547="",IF(COUNTIF(Categories!$A$6:$A$65,C1547)&gt;0,"Category has no type","Category not in list"),IF(D1547="","Amount missing",IF(NOT(ISNUMBER(D1547)),"Amount is not a number",IF(F1547="","",IF(ISNA(MATCH(F1547,Lists!$G$2:$G$25,0)),"Goal / fund not in list",IF(H1547="Income","Fund tag ignored on income","")))))))))))</f>
        <v/>
      </c>
    </row>
    <row r="1548">
      <c r="A1548" s="27" t="n"/>
      <c r="B1548" s="23" t="n"/>
      <c r="C1548" s="23" t="n"/>
      <c r="D1548" s="28" t="n"/>
      <c r="E1548" s="23" t="n"/>
      <c r="F1548" s="23" t="n"/>
      <c r="G1548" s="23" t="n"/>
      <c r="H1548" s="29">
        <f>IF(C1548="","",IFERROR(INDEX(Categories!$B$6:$B$65,MATCH(C1548,Categories!$A$6:$A$65,0))&amp;"",""))</f>
        <v/>
      </c>
      <c r="I1548" s="25">
        <f>IF(AND(A1548="",C1548="",D1548=""),"",IF(A1548="","Date missing",IF(NOT(ISNUMBER(A1548)),"Date not recognized",IF(YEAR(A1548)&lt;&gt;Settings!$C$4,"Not in "&amp;Settings!$C$4,IF(C1548="","Category missing",IF(H1548="",IF(COUNTIF(Categories!$A$6:$A$65,C1548)&gt;0,"Category has no type","Category not in list"),IF(D1548="","Amount missing",IF(NOT(ISNUMBER(D1548)),"Amount is not a number",IF(F1548="","",IF(ISNA(MATCH(F1548,Lists!$G$2:$G$25,0)),"Goal / fund not in list",IF(H1548="Income","Fund tag ignored on income","")))))))))))</f>
        <v/>
      </c>
    </row>
    <row r="1549">
      <c r="A1549" s="27" t="n"/>
      <c r="B1549" s="23" t="n"/>
      <c r="C1549" s="23" t="n"/>
      <c r="D1549" s="28" t="n"/>
      <c r="E1549" s="23" t="n"/>
      <c r="F1549" s="23" t="n"/>
      <c r="G1549" s="23" t="n"/>
      <c r="H1549" s="29">
        <f>IF(C1549="","",IFERROR(INDEX(Categories!$B$6:$B$65,MATCH(C1549,Categories!$A$6:$A$65,0))&amp;"",""))</f>
        <v/>
      </c>
      <c r="I1549" s="25">
        <f>IF(AND(A1549="",C1549="",D1549=""),"",IF(A1549="","Date missing",IF(NOT(ISNUMBER(A1549)),"Date not recognized",IF(YEAR(A1549)&lt;&gt;Settings!$C$4,"Not in "&amp;Settings!$C$4,IF(C1549="","Category missing",IF(H1549="",IF(COUNTIF(Categories!$A$6:$A$65,C1549)&gt;0,"Category has no type","Category not in list"),IF(D1549="","Amount missing",IF(NOT(ISNUMBER(D1549)),"Amount is not a number",IF(F1549="","",IF(ISNA(MATCH(F1549,Lists!$G$2:$G$25,0)),"Goal / fund not in list",IF(H1549="Income","Fund tag ignored on income","")))))))))))</f>
        <v/>
      </c>
    </row>
    <row r="1550">
      <c r="A1550" s="27" t="n"/>
      <c r="B1550" s="23" t="n"/>
      <c r="C1550" s="23" t="n"/>
      <c r="D1550" s="28" t="n"/>
      <c r="E1550" s="23" t="n"/>
      <c r="F1550" s="23" t="n"/>
      <c r="G1550" s="23" t="n"/>
      <c r="H1550" s="29">
        <f>IF(C1550="","",IFERROR(INDEX(Categories!$B$6:$B$65,MATCH(C1550,Categories!$A$6:$A$65,0))&amp;"",""))</f>
        <v/>
      </c>
      <c r="I1550" s="25">
        <f>IF(AND(A1550="",C1550="",D1550=""),"",IF(A1550="","Date missing",IF(NOT(ISNUMBER(A1550)),"Date not recognized",IF(YEAR(A1550)&lt;&gt;Settings!$C$4,"Not in "&amp;Settings!$C$4,IF(C1550="","Category missing",IF(H1550="",IF(COUNTIF(Categories!$A$6:$A$65,C1550)&gt;0,"Category has no type","Category not in list"),IF(D1550="","Amount missing",IF(NOT(ISNUMBER(D1550)),"Amount is not a number",IF(F1550="","",IF(ISNA(MATCH(F1550,Lists!$G$2:$G$25,0)),"Goal / fund not in list",IF(H1550="Income","Fund tag ignored on income","")))))))))))</f>
        <v/>
      </c>
    </row>
    <row r="1551">
      <c r="A1551" s="27" t="n"/>
      <c r="B1551" s="23" t="n"/>
      <c r="C1551" s="23" t="n"/>
      <c r="D1551" s="28" t="n"/>
      <c r="E1551" s="23" t="n"/>
      <c r="F1551" s="23" t="n"/>
      <c r="G1551" s="23" t="n"/>
      <c r="H1551" s="29">
        <f>IF(C1551="","",IFERROR(INDEX(Categories!$B$6:$B$65,MATCH(C1551,Categories!$A$6:$A$65,0))&amp;"",""))</f>
        <v/>
      </c>
      <c r="I1551" s="25">
        <f>IF(AND(A1551="",C1551="",D1551=""),"",IF(A1551="","Date missing",IF(NOT(ISNUMBER(A1551)),"Date not recognized",IF(YEAR(A1551)&lt;&gt;Settings!$C$4,"Not in "&amp;Settings!$C$4,IF(C1551="","Category missing",IF(H1551="",IF(COUNTIF(Categories!$A$6:$A$65,C1551)&gt;0,"Category has no type","Category not in list"),IF(D1551="","Amount missing",IF(NOT(ISNUMBER(D1551)),"Amount is not a number",IF(F1551="","",IF(ISNA(MATCH(F1551,Lists!$G$2:$G$25,0)),"Goal / fund not in list",IF(H1551="Income","Fund tag ignored on income","")))))))))))</f>
        <v/>
      </c>
    </row>
    <row r="1552">
      <c r="A1552" s="27" t="n"/>
      <c r="B1552" s="23" t="n"/>
      <c r="C1552" s="23" t="n"/>
      <c r="D1552" s="28" t="n"/>
      <c r="E1552" s="23" t="n"/>
      <c r="F1552" s="23" t="n"/>
      <c r="G1552" s="23" t="n"/>
      <c r="H1552" s="29">
        <f>IF(C1552="","",IFERROR(INDEX(Categories!$B$6:$B$65,MATCH(C1552,Categories!$A$6:$A$65,0))&amp;"",""))</f>
        <v/>
      </c>
      <c r="I1552" s="25">
        <f>IF(AND(A1552="",C1552="",D1552=""),"",IF(A1552="","Date missing",IF(NOT(ISNUMBER(A1552)),"Date not recognized",IF(YEAR(A1552)&lt;&gt;Settings!$C$4,"Not in "&amp;Settings!$C$4,IF(C1552="","Category missing",IF(H1552="",IF(COUNTIF(Categories!$A$6:$A$65,C1552)&gt;0,"Category has no type","Category not in list"),IF(D1552="","Amount missing",IF(NOT(ISNUMBER(D1552)),"Amount is not a number",IF(F1552="","",IF(ISNA(MATCH(F1552,Lists!$G$2:$G$25,0)),"Goal / fund not in list",IF(H1552="Income","Fund tag ignored on income","")))))))))))</f>
        <v/>
      </c>
    </row>
    <row r="1553">
      <c r="A1553" s="27" t="n"/>
      <c r="B1553" s="23" t="n"/>
      <c r="C1553" s="23" t="n"/>
      <c r="D1553" s="28" t="n"/>
      <c r="E1553" s="23" t="n"/>
      <c r="F1553" s="23" t="n"/>
      <c r="G1553" s="23" t="n"/>
      <c r="H1553" s="29">
        <f>IF(C1553="","",IFERROR(INDEX(Categories!$B$6:$B$65,MATCH(C1553,Categories!$A$6:$A$65,0))&amp;"",""))</f>
        <v/>
      </c>
      <c r="I1553" s="25">
        <f>IF(AND(A1553="",C1553="",D1553=""),"",IF(A1553="","Date missing",IF(NOT(ISNUMBER(A1553)),"Date not recognized",IF(YEAR(A1553)&lt;&gt;Settings!$C$4,"Not in "&amp;Settings!$C$4,IF(C1553="","Category missing",IF(H1553="",IF(COUNTIF(Categories!$A$6:$A$65,C1553)&gt;0,"Category has no type","Category not in list"),IF(D1553="","Amount missing",IF(NOT(ISNUMBER(D1553)),"Amount is not a number",IF(F1553="","",IF(ISNA(MATCH(F1553,Lists!$G$2:$G$25,0)),"Goal / fund not in list",IF(H1553="Income","Fund tag ignored on income","")))))))))))</f>
        <v/>
      </c>
    </row>
    <row r="1554">
      <c r="A1554" s="27" t="n"/>
      <c r="B1554" s="23" t="n"/>
      <c r="C1554" s="23" t="n"/>
      <c r="D1554" s="28" t="n"/>
      <c r="E1554" s="23" t="n"/>
      <c r="F1554" s="23" t="n"/>
      <c r="G1554" s="23" t="n"/>
      <c r="H1554" s="29">
        <f>IF(C1554="","",IFERROR(INDEX(Categories!$B$6:$B$65,MATCH(C1554,Categories!$A$6:$A$65,0))&amp;"",""))</f>
        <v/>
      </c>
      <c r="I1554" s="25">
        <f>IF(AND(A1554="",C1554="",D1554=""),"",IF(A1554="","Date missing",IF(NOT(ISNUMBER(A1554)),"Date not recognized",IF(YEAR(A1554)&lt;&gt;Settings!$C$4,"Not in "&amp;Settings!$C$4,IF(C1554="","Category missing",IF(H1554="",IF(COUNTIF(Categories!$A$6:$A$65,C1554)&gt;0,"Category has no type","Category not in list"),IF(D1554="","Amount missing",IF(NOT(ISNUMBER(D1554)),"Amount is not a number",IF(F1554="","",IF(ISNA(MATCH(F1554,Lists!$G$2:$G$25,0)),"Goal / fund not in list",IF(H1554="Income","Fund tag ignored on income","")))))))))))</f>
        <v/>
      </c>
    </row>
    <row r="1555">
      <c r="A1555" s="27" t="n"/>
      <c r="B1555" s="23" t="n"/>
      <c r="C1555" s="23" t="n"/>
      <c r="D1555" s="28" t="n"/>
      <c r="E1555" s="23" t="n"/>
      <c r="F1555" s="23" t="n"/>
      <c r="G1555" s="23" t="n"/>
      <c r="H1555" s="29">
        <f>IF(C1555="","",IFERROR(INDEX(Categories!$B$6:$B$65,MATCH(C1555,Categories!$A$6:$A$65,0))&amp;"",""))</f>
        <v/>
      </c>
      <c r="I1555" s="25">
        <f>IF(AND(A1555="",C1555="",D1555=""),"",IF(A1555="","Date missing",IF(NOT(ISNUMBER(A1555)),"Date not recognized",IF(YEAR(A1555)&lt;&gt;Settings!$C$4,"Not in "&amp;Settings!$C$4,IF(C1555="","Category missing",IF(H1555="",IF(COUNTIF(Categories!$A$6:$A$65,C1555)&gt;0,"Category has no type","Category not in list"),IF(D1555="","Amount missing",IF(NOT(ISNUMBER(D1555)),"Amount is not a number",IF(F1555="","",IF(ISNA(MATCH(F1555,Lists!$G$2:$G$25,0)),"Goal / fund not in list",IF(H1555="Income","Fund tag ignored on income","")))))))))))</f>
        <v/>
      </c>
    </row>
    <row r="1556">
      <c r="A1556" s="27" t="n"/>
      <c r="B1556" s="23" t="n"/>
      <c r="C1556" s="23" t="n"/>
      <c r="D1556" s="28" t="n"/>
      <c r="E1556" s="23" t="n"/>
      <c r="F1556" s="23" t="n"/>
      <c r="G1556" s="23" t="n"/>
      <c r="H1556" s="29">
        <f>IF(C1556="","",IFERROR(INDEX(Categories!$B$6:$B$65,MATCH(C1556,Categories!$A$6:$A$65,0))&amp;"",""))</f>
        <v/>
      </c>
      <c r="I1556" s="25">
        <f>IF(AND(A1556="",C1556="",D1556=""),"",IF(A1556="","Date missing",IF(NOT(ISNUMBER(A1556)),"Date not recognized",IF(YEAR(A1556)&lt;&gt;Settings!$C$4,"Not in "&amp;Settings!$C$4,IF(C1556="","Category missing",IF(H1556="",IF(COUNTIF(Categories!$A$6:$A$65,C1556)&gt;0,"Category has no type","Category not in list"),IF(D1556="","Amount missing",IF(NOT(ISNUMBER(D1556)),"Amount is not a number",IF(F1556="","",IF(ISNA(MATCH(F1556,Lists!$G$2:$G$25,0)),"Goal / fund not in list",IF(H1556="Income","Fund tag ignored on income","")))))))))))</f>
        <v/>
      </c>
    </row>
    <row r="1557">
      <c r="A1557" s="27" t="n"/>
      <c r="B1557" s="23" t="n"/>
      <c r="C1557" s="23" t="n"/>
      <c r="D1557" s="28" t="n"/>
      <c r="E1557" s="23" t="n"/>
      <c r="F1557" s="23" t="n"/>
      <c r="G1557" s="23" t="n"/>
      <c r="H1557" s="29">
        <f>IF(C1557="","",IFERROR(INDEX(Categories!$B$6:$B$65,MATCH(C1557,Categories!$A$6:$A$65,0))&amp;"",""))</f>
        <v/>
      </c>
      <c r="I1557" s="25">
        <f>IF(AND(A1557="",C1557="",D1557=""),"",IF(A1557="","Date missing",IF(NOT(ISNUMBER(A1557)),"Date not recognized",IF(YEAR(A1557)&lt;&gt;Settings!$C$4,"Not in "&amp;Settings!$C$4,IF(C1557="","Category missing",IF(H1557="",IF(COUNTIF(Categories!$A$6:$A$65,C1557)&gt;0,"Category has no type","Category not in list"),IF(D1557="","Amount missing",IF(NOT(ISNUMBER(D1557)),"Amount is not a number",IF(F1557="","",IF(ISNA(MATCH(F1557,Lists!$G$2:$G$25,0)),"Goal / fund not in list",IF(H1557="Income","Fund tag ignored on income","")))))))))))</f>
        <v/>
      </c>
    </row>
    <row r="1558">
      <c r="A1558" s="27" t="n"/>
      <c r="B1558" s="23" t="n"/>
      <c r="C1558" s="23" t="n"/>
      <c r="D1558" s="28" t="n"/>
      <c r="E1558" s="23" t="n"/>
      <c r="F1558" s="23" t="n"/>
      <c r="G1558" s="23" t="n"/>
      <c r="H1558" s="29">
        <f>IF(C1558="","",IFERROR(INDEX(Categories!$B$6:$B$65,MATCH(C1558,Categories!$A$6:$A$65,0))&amp;"",""))</f>
        <v/>
      </c>
      <c r="I1558" s="25">
        <f>IF(AND(A1558="",C1558="",D1558=""),"",IF(A1558="","Date missing",IF(NOT(ISNUMBER(A1558)),"Date not recognized",IF(YEAR(A1558)&lt;&gt;Settings!$C$4,"Not in "&amp;Settings!$C$4,IF(C1558="","Category missing",IF(H1558="",IF(COUNTIF(Categories!$A$6:$A$65,C1558)&gt;0,"Category has no type","Category not in list"),IF(D1558="","Amount missing",IF(NOT(ISNUMBER(D1558)),"Amount is not a number",IF(F1558="","",IF(ISNA(MATCH(F1558,Lists!$G$2:$G$25,0)),"Goal / fund not in list",IF(H1558="Income","Fund tag ignored on income","")))))))))))</f>
        <v/>
      </c>
    </row>
    <row r="1559">
      <c r="A1559" s="27" t="n"/>
      <c r="B1559" s="23" t="n"/>
      <c r="C1559" s="23" t="n"/>
      <c r="D1559" s="28" t="n"/>
      <c r="E1559" s="23" t="n"/>
      <c r="F1559" s="23" t="n"/>
      <c r="G1559" s="23" t="n"/>
      <c r="H1559" s="29">
        <f>IF(C1559="","",IFERROR(INDEX(Categories!$B$6:$B$65,MATCH(C1559,Categories!$A$6:$A$65,0))&amp;"",""))</f>
        <v/>
      </c>
      <c r="I1559" s="25">
        <f>IF(AND(A1559="",C1559="",D1559=""),"",IF(A1559="","Date missing",IF(NOT(ISNUMBER(A1559)),"Date not recognized",IF(YEAR(A1559)&lt;&gt;Settings!$C$4,"Not in "&amp;Settings!$C$4,IF(C1559="","Category missing",IF(H1559="",IF(COUNTIF(Categories!$A$6:$A$65,C1559)&gt;0,"Category has no type","Category not in list"),IF(D1559="","Amount missing",IF(NOT(ISNUMBER(D1559)),"Amount is not a number",IF(F1559="","",IF(ISNA(MATCH(F1559,Lists!$G$2:$G$25,0)),"Goal / fund not in list",IF(H1559="Income","Fund tag ignored on income","")))))))))))</f>
        <v/>
      </c>
    </row>
    <row r="1560">
      <c r="A1560" s="27" t="n"/>
      <c r="B1560" s="23" t="n"/>
      <c r="C1560" s="23" t="n"/>
      <c r="D1560" s="28" t="n"/>
      <c r="E1560" s="23" t="n"/>
      <c r="F1560" s="23" t="n"/>
      <c r="G1560" s="23" t="n"/>
      <c r="H1560" s="29">
        <f>IF(C1560="","",IFERROR(INDEX(Categories!$B$6:$B$65,MATCH(C1560,Categories!$A$6:$A$65,0))&amp;"",""))</f>
        <v/>
      </c>
      <c r="I1560" s="25">
        <f>IF(AND(A1560="",C1560="",D1560=""),"",IF(A1560="","Date missing",IF(NOT(ISNUMBER(A1560)),"Date not recognized",IF(YEAR(A1560)&lt;&gt;Settings!$C$4,"Not in "&amp;Settings!$C$4,IF(C1560="","Category missing",IF(H1560="",IF(COUNTIF(Categories!$A$6:$A$65,C1560)&gt;0,"Category has no type","Category not in list"),IF(D1560="","Amount missing",IF(NOT(ISNUMBER(D1560)),"Amount is not a number",IF(F1560="","",IF(ISNA(MATCH(F1560,Lists!$G$2:$G$25,0)),"Goal / fund not in list",IF(H1560="Income","Fund tag ignored on income","")))))))))))</f>
        <v/>
      </c>
    </row>
    <row r="1561">
      <c r="A1561" s="27" t="n"/>
      <c r="B1561" s="23" t="n"/>
      <c r="C1561" s="23" t="n"/>
      <c r="D1561" s="28" t="n"/>
      <c r="E1561" s="23" t="n"/>
      <c r="F1561" s="23" t="n"/>
      <c r="G1561" s="23" t="n"/>
      <c r="H1561" s="29">
        <f>IF(C1561="","",IFERROR(INDEX(Categories!$B$6:$B$65,MATCH(C1561,Categories!$A$6:$A$65,0))&amp;"",""))</f>
        <v/>
      </c>
      <c r="I1561" s="25">
        <f>IF(AND(A1561="",C1561="",D1561=""),"",IF(A1561="","Date missing",IF(NOT(ISNUMBER(A1561)),"Date not recognized",IF(YEAR(A1561)&lt;&gt;Settings!$C$4,"Not in "&amp;Settings!$C$4,IF(C1561="","Category missing",IF(H1561="",IF(COUNTIF(Categories!$A$6:$A$65,C1561)&gt;0,"Category has no type","Category not in list"),IF(D1561="","Amount missing",IF(NOT(ISNUMBER(D1561)),"Amount is not a number",IF(F1561="","",IF(ISNA(MATCH(F1561,Lists!$G$2:$G$25,0)),"Goal / fund not in list",IF(H1561="Income","Fund tag ignored on income","")))))))))))</f>
        <v/>
      </c>
    </row>
    <row r="1562">
      <c r="A1562" s="27" t="n"/>
      <c r="B1562" s="23" t="n"/>
      <c r="C1562" s="23" t="n"/>
      <c r="D1562" s="28" t="n"/>
      <c r="E1562" s="23" t="n"/>
      <c r="F1562" s="23" t="n"/>
      <c r="G1562" s="23" t="n"/>
      <c r="H1562" s="29">
        <f>IF(C1562="","",IFERROR(INDEX(Categories!$B$6:$B$65,MATCH(C1562,Categories!$A$6:$A$65,0))&amp;"",""))</f>
        <v/>
      </c>
      <c r="I1562" s="25">
        <f>IF(AND(A1562="",C1562="",D1562=""),"",IF(A1562="","Date missing",IF(NOT(ISNUMBER(A1562)),"Date not recognized",IF(YEAR(A1562)&lt;&gt;Settings!$C$4,"Not in "&amp;Settings!$C$4,IF(C1562="","Category missing",IF(H1562="",IF(COUNTIF(Categories!$A$6:$A$65,C1562)&gt;0,"Category has no type","Category not in list"),IF(D1562="","Amount missing",IF(NOT(ISNUMBER(D1562)),"Amount is not a number",IF(F1562="","",IF(ISNA(MATCH(F1562,Lists!$G$2:$G$25,0)),"Goal / fund not in list",IF(H1562="Income","Fund tag ignored on income","")))))))))))</f>
        <v/>
      </c>
    </row>
    <row r="1563">
      <c r="A1563" s="27" t="n"/>
      <c r="B1563" s="23" t="n"/>
      <c r="C1563" s="23" t="n"/>
      <c r="D1563" s="28" t="n"/>
      <c r="E1563" s="23" t="n"/>
      <c r="F1563" s="23" t="n"/>
      <c r="G1563" s="23" t="n"/>
      <c r="H1563" s="29">
        <f>IF(C1563="","",IFERROR(INDEX(Categories!$B$6:$B$65,MATCH(C1563,Categories!$A$6:$A$65,0))&amp;"",""))</f>
        <v/>
      </c>
      <c r="I1563" s="25">
        <f>IF(AND(A1563="",C1563="",D1563=""),"",IF(A1563="","Date missing",IF(NOT(ISNUMBER(A1563)),"Date not recognized",IF(YEAR(A1563)&lt;&gt;Settings!$C$4,"Not in "&amp;Settings!$C$4,IF(C1563="","Category missing",IF(H1563="",IF(COUNTIF(Categories!$A$6:$A$65,C1563)&gt;0,"Category has no type","Category not in list"),IF(D1563="","Amount missing",IF(NOT(ISNUMBER(D1563)),"Amount is not a number",IF(F1563="","",IF(ISNA(MATCH(F1563,Lists!$G$2:$G$25,0)),"Goal / fund not in list",IF(H1563="Income","Fund tag ignored on income","")))))))))))</f>
        <v/>
      </c>
    </row>
    <row r="1564">
      <c r="A1564" s="27" t="n"/>
      <c r="B1564" s="23" t="n"/>
      <c r="C1564" s="23" t="n"/>
      <c r="D1564" s="28" t="n"/>
      <c r="E1564" s="23" t="n"/>
      <c r="F1564" s="23" t="n"/>
      <c r="G1564" s="23" t="n"/>
      <c r="H1564" s="29">
        <f>IF(C1564="","",IFERROR(INDEX(Categories!$B$6:$B$65,MATCH(C1564,Categories!$A$6:$A$65,0))&amp;"",""))</f>
        <v/>
      </c>
      <c r="I1564" s="25">
        <f>IF(AND(A1564="",C1564="",D1564=""),"",IF(A1564="","Date missing",IF(NOT(ISNUMBER(A1564)),"Date not recognized",IF(YEAR(A1564)&lt;&gt;Settings!$C$4,"Not in "&amp;Settings!$C$4,IF(C1564="","Category missing",IF(H1564="",IF(COUNTIF(Categories!$A$6:$A$65,C1564)&gt;0,"Category has no type","Category not in list"),IF(D1564="","Amount missing",IF(NOT(ISNUMBER(D1564)),"Amount is not a number",IF(F1564="","",IF(ISNA(MATCH(F1564,Lists!$G$2:$G$25,0)),"Goal / fund not in list",IF(H1564="Income","Fund tag ignored on income","")))))))))))</f>
        <v/>
      </c>
    </row>
    <row r="1565">
      <c r="A1565" s="27" t="n"/>
      <c r="B1565" s="23" t="n"/>
      <c r="C1565" s="23" t="n"/>
      <c r="D1565" s="28" t="n"/>
      <c r="E1565" s="23" t="n"/>
      <c r="F1565" s="23" t="n"/>
      <c r="G1565" s="23" t="n"/>
      <c r="H1565" s="29">
        <f>IF(C1565="","",IFERROR(INDEX(Categories!$B$6:$B$65,MATCH(C1565,Categories!$A$6:$A$65,0))&amp;"",""))</f>
        <v/>
      </c>
      <c r="I1565" s="25">
        <f>IF(AND(A1565="",C1565="",D1565=""),"",IF(A1565="","Date missing",IF(NOT(ISNUMBER(A1565)),"Date not recognized",IF(YEAR(A1565)&lt;&gt;Settings!$C$4,"Not in "&amp;Settings!$C$4,IF(C1565="","Category missing",IF(H1565="",IF(COUNTIF(Categories!$A$6:$A$65,C1565)&gt;0,"Category has no type","Category not in list"),IF(D1565="","Amount missing",IF(NOT(ISNUMBER(D1565)),"Amount is not a number",IF(F1565="","",IF(ISNA(MATCH(F1565,Lists!$G$2:$G$25,0)),"Goal / fund not in list",IF(H1565="Income","Fund tag ignored on income","")))))))))))</f>
        <v/>
      </c>
    </row>
    <row r="1566">
      <c r="A1566" s="27" t="n"/>
      <c r="B1566" s="23" t="n"/>
      <c r="C1566" s="23" t="n"/>
      <c r="D1566" s="28" t="n"/>
      <c r="E1566" s="23" t="n"/>
      <c r="F1566" s="23" t="n"/>
      <c r="G1566" s="23" t="n"/>
      <c r="H1566" s="29">
        <f>IF(C1566="","",IFERROR(INDEX(Categories!$B$6:$B$65,MATCH(C1566,Categories!$A$6:$A$65,0))&amp;"",""))</f>
        <v/>
      </c>
      <c r="I1566" s="25">
        <f>IF(AND(A1566="",C1566="",D1566=""),"",IF(A1566="","Date missing",IF(NOT(ISNUMBER(A1566)),"Date not recognized",IF(YEAR(A1566)&lt;&gt;Settings!$C$4,"Not in "&amp;Settings!$C$4,IF(C1566="","Category missing",IF(H1566="",IF(COUNTIF(Categories!$A$6:$A$65,C1566)&gt;0,"Category has no type","Category not in list"),IF(D1566="","Amount missing",IF(NOT(ISNUMBER(D1566)),"Amount is not a number",IF(F1566="","",IF(ISNA(MATCH(F1566,Lists!$G$2:$G$25,0)),"Goal / fund not in list",IF(H1566="Income","Fund tag ignored on income","")))))))))))</f>
        <v/>
      </c>
    </row>
    <row r="1567">
      <c r="A1567" s="27" t="n"/>
      <c r="B1567" s="23" t="n"/>
      <c r="C1567" s="23" t="n"/>
      <c r="D1567" s="28" t="n"/>
      <c r="E1567" s="23" t="n"/>
      <c r="F1567" s="23" t="n"/>
      <c r="G1567" s="23" t="n"/>
      <c r="H1567" s="29">
        <f>IF(C1567="","",IFERROR(INDEX(Categories!$B$6:$B$65,MATCH(C1567,Categories!$A$6:$A$65,0))&amp;"",""))</f>
        <v/>
      </c>
      <c r="I1567" s="25">
        <f>IF(AND(A1567="",C1567="",D1567=""),"",IF(A1567="","Date missing",IF(NOT(ISNUMBER(A1567)),"Date not recognized",IF(YEAR(A1567)&lt;&gt;Settings!$C$4,"Not in "&amp;Settings!$C$4,IF(C1567="","Category missing",IF(H1567="",IF(COUNTIF(Categories!$A$6:$A$65,C1567)&gt;0,"Category has no type","Category not in list"),IF(D1567="","Amount missing",IF(NOT(ISNUMBER(D1567)),"Amount is not a number",IF(F1567="","",IF(ISNA(MATCH(F1567,Lists!$G$2:$G$25,0)),"Goal / fund not in list",IF(H1567="Income","Fund tag ignored on income","")))))))))))</f>
        <v/>
      </c>
    </row>
    <row r="1568">
      <c r="A1568" s="27" t="n"/>
      <c r="B1568" s="23" t="n"/>
      <c r="C1568" s="23" t="n"/>
      <c r="D1568" s="28" t="n"/>
      <c r="E1568" s="23" t="n"/>
      <c r="F1568" s="23" t="n"/>
      <c r="G1568" s="23" t="n"/>
      <c r="H1568" s="29">
        <f>IF(C1568="","",IFERROR(INDEX(Categories!$B$6:$B$65,MATCH(C1568,Categories!$A$6:$A$65,0))&amp;"",""))</f>
        <v/>
      </c>
      <c r="I1568" s="25">
        <f>IF(AND(A1568="",C1568="",D1568=""),"",IF(A1568="","Date missing",IF(NOT(ISNUMBER(A1568)),"Date not recognized",IF(YEAR(A1568)&lt;&gt;Settings!$C$4,"Not in "&amp;Settings!$C$4,IF(C1568="","Category missing",IF(H1568="",IF(COUNTIF(Categories!$A$6:$A$65,C1568)&gt;0,"Category has no type","Category not in list"),IF(D1568="","Amount missing",IF(NOT(ISNUMBER(D1568)),"Amount is not a number",IF(F1568="","",IF(ISNA(MATCH(F1568,Lists!$G$2:$G$25,0)),"Goal / fund not in list",IF(H1568="Income","Fund tag ignored on income","")))))))))))</f>
        <v/>
      </c>
    </row>
    <row r="1569">
      <c r="A1569" s="27" t="n"/>
      <c r="B1569" s="23" t="n"/>
      <c r="C1569" s="23" t="n"/>
      <c r="D1569" s="28" t="n"/>
      <c r="E1569" s="23" t="n"/>
      <c r="F1569" s="23" t="n"/>
      <c r="G1569" s="23" t="n"/>
      <c r="H1569" s="29">
        <f>IF(C1569="","",IFERROR(INDEX(Categories!$B$6:$B$65,MATCH(C1569,Categories!$A$6:$A$65,0))&amp;"",""))</f>
        <v/>
      </c>
      <c r="I1569" s="25">
        <f>IF(AND(A1569="",C1569="",D1569=""),"",IF(A1569="","Date missing",IF(NOT(ISNUMBER(A1569)),"Date not recognized",IF(YEAR(A1569)&lt;&gt;Settings!$C$4,"Not in "&amp;Settings!$C$4,IF(C1569="","Category missing",IF(H1569="",IF(COUNTIF(Categories!$A$6:$A$65,C1569)&gt;0,"Category has no type","Category not in list"),IF(D1569="","Amount missing",IF(NOT(ISNUMBER(D1569)),"Amount is not a number",IF(F1569="","",IF(ISNA(MATCH(F1569,Lists!$G$2:$G$25,0)),"Goal / fund not in list",IF(H1569="Income","Fund tag ignored on income","")))))))))))</f>
        <v/>
      </c>
    </row>
    <row r="1570">
      <c r="A1570" s="27" t="n"/>
      <c r="B1570" s="23" t="n"/>
      <c r="C1570" s="23" t="n"/>
      <c r="D1570" s="28" t="n"/>
      <c r="E1570" s="23" t="n"/>
      <c r="F1570" s="23" t="n"/>
      <c r="G1570" s="23" t="n"/>
      <c r="H1570" s="29">
        <f>IF(C1570="","",IFERROR(INDEX(Categories!$B$6:$B$65,MATCH(C1570,Categories!$A$6:$A$65,0))&amp;"",""))</f>
        <v/>
      </c>
      <c r="I1570" s="25">
        <f>IF(AND(A1570="",C1570="",D1570=""),"",IF(A1570="","Date missing",IF(NOT(ISNUMBER(A1570)),"Date not recognized",IF(YEAR(A1570)&lt;&gt;Settings!$C$4,"Not in "&amp;Settings!$C$4,IF(C1570="","Category missing",IF(H1570="",IF(COUNTIF(Categories!$A$6:$A$65,C1570)&gt;0,"Category has no type","Category not in list"),IF(D1570="","Amount missing",IF(NOT(ISNUMBER(D1570)),"Amount is not a number",IF(F1570="","",IF(ISNA(MATCH(F1570,Lists!$G$2:$G$25,0)),"Goal / fund not in list",IF(H1570="Income","Fund tag ignored on income","")))))))))))</f>
        <v/>
      </c>
    </row>
    <row r="1571">
      <c r="A1571" s="27" t="n"/>
      <c r="B1571" s="23" t="n"/>
      <c r="C1571" s="23" t="n"/>
      <c r="D1571" s="28" t="n"/>
      <c r="E1571" s="23" t="n"/>
      <c r="F1571" s="23" t="n"/>
      <c r="G1571" s="23" t="n"/>
      <c r="H1571" s="29">
        <f>IF(C1571="","",IFERROR(INDEX(Categories!$B$6:$B$65,MATCH(C1571,Categories!$A$6:$A$65,0))&amp;"",""))</f>
        <v/>
      </c>
      <c r="I1571" s="25">
        <f>IF(AND(A1571="",C1571="",D1571=""),"",IF(A1571="","Date missing",IF(NOT(ISNUMBER(A1571)),"Date not recognized",IF(YEAR(A1571)&lt;&gt;Settings!$C$4,"Not in "&amp;Settings!$C$4,IF(C1571="","Category missing",IF(H1571="",IF(COUNTIF(Categories!$A$6:$A$65,C1571)&gt;0,"Category has no type","Category not in list"),IF(D1571="","Amount missing",IF(NOT(ISNUMBER(D1571)),"Amount is not a number",IF(F1571="","",IF(ISNA(MATCH(F1571,Lists!$G$2:$G$25,0)),"Goal / fund not in list",IF(H1571="Income","Fund tag ignored on income","")))))))))))</f>
        <v/>
      </c>
    </row>
    <row r="1572">
      <c r="A1572" s="27" t="n"/>
      <c r="B1572" s="23" t="n"/>
      <c r="C1572" s="23" t="n"/>
      <c r="D1572" s="28" t="n"/>
      <c r="E1572" s="23" t="n"/>
      <c r="F1572" s="23" t="n"/>
      <c r="G1572" s="23" t="n"/>
      <c r="H1572" s="29">
        <f>IF(C1572="","",IFERROR(INDEX(Categories!$B$6:$B$65,MATCH(C1572,Categories!$A$6:$A$65,0))&amp;"",""))</f>
        <v/>
      </c>
      <c r="I1572" s="25">
        <f>IF(AND(A1572="",C1572="",D1572=""),"",IF(A1572="","Date missing",IF(NOT(ISNUMBER(A1572)),"Date not recognized",IF(YEAR(A1572)&lt;&gt;Settings!$C$4,"Not in "&amp;Settings!$C$4,IF(C1572="","Category missing",IF(H1572="",IF(COUNTIF(Categories!$A$6:$A$65,C1572)&gt;0,"Category has no type","Category not in list"),IF(D1572="","Amount missing",IF(NOT(ISNUMBER(D1572)),"Amount is not a number",IF(F1572="","",IF(ISNA(MATCH(F1572,Lists!$G$2:$G$25,0)),"Goal / fund not in list",IF(H1572="Income","Fund tag ignored on income","")))))))))))</f>
        <v/>
      </c>
    </row>
    <row r="1573">
      <c r="A1573" s="27" t="n"/>
      <c r="B1573" s="23" t="n"/>
      <c r="C1573" s="23" t="n"/>
      <c r="D1573" s="28" t="n"/>
      <c r="E1573" s="23" t="n"/>
      <c r="F1573" s="23" t="n"/>
      <c r="G1573" s="23" t="n"/>
      <c r="H1573" s="29">
        <f>IF(C1573="","",IFERROR(INDEX(Categories!$B$6:$B$65,MATCH(C1573,Categories!$A$6:$A$65,0))&amp;"",""))</f>
        <v/>
      </c>
      <c r="I1573" s="25">
        <f>IF(AND(A1573="",C1573="",D1573=""),"",IF(A1573="","Date missing",IF(NOT(ISNUMBER(A1573)),"Date not recognized",IF(YEAR(A1573)&lt;&gt;Settings!$C$4,"Not in "&amp;Settings!$C$4,IF(C1573="","Category missing",IF(H1573="",IF(COUNTIF(Categories!$A$6:$A$65,C1573)&gt;0,"Category has no type","Category not in list"),IF(D1573="","Amount missing",IF(NOT(ISNUMBER(D1573)),"Amount is not a number",IF(F1573="","",IF(ISNA(MATCH(F1573,Lists!$G$2:$G$25,0)),"Goal / fund not in list",IF(H1573="Income","Fund tag ignored on income","")))))))))))</f>
        <v/>
      </c>
    </row>
    <row r="1574">
      <c r="A1574" s="27" t="n"/>
      <c r="B1574" s="23" t="n"/>
      <c r="C1574" s="23" t="n"/>
      <c r="D1574" s="28" t="n"/>
      <c r="E1574" s="23" t="n"/>
      <c r="F1574" s="23" t="n"/>
      <c r="G1574" s="23" t="n"/>
      <c r="H1574" s="29">
        <f>IF(C1574="","",IFERROR(INDEX(Categories!$B$6:$B$65,MATCH(C1574,Categories!$A$6:$A$65,0))&amp;"",""))</f>
        <v/>
      </c>
      <c r="I1574" s="25">
        <f>IF(AND(A1574="",C1574="",D1574=""),"",IF(A1574="","Date missing",IF(NOT(ISNUMBER(A1574)),"Date not recognized",IF(YEAR(A1574)&lt;&gt;Settings!$C$4,"Not in "&amp;Settings!$C$4,IF(C1574="","Category missing",IF(H1574="",IF(COUNTIF(Categories!$A$6:$A$65,C1574)&gt;0,"Category has no type","Category not in list"),IF(D1574="","Amount missing",IF(NOT(ISNUMBER(D1574)),"Amount is not a number",IF(F1574="","",IF(ISNA(MATCH(F1574,Lists!$G$2:$G$25,0)),"Goal / fund not in list",IF(H1574="Income","Fund tag ignored on income","")))))))))))</f>
        <v/>
      </c>
    </row>
    <row r="1575">
      <c r="A1575" s="27" t="n"/>
      <c r="B1575" s="23" t="n"/>
      <c r="C1575" s="23" t="n"/>
      <c r="D1575" s="28" t="n"/>
      <c r="E1575" s="23" t="n"/>
      <c r="F1575" s="23" t="n"/>
      <c r="G1575" s="23" t="n"/>
      <c r="H1575" s="29">
        <f>IF(C1575="","",IFERROR(INDEX(Categories!$B$6:$B$65,MATCH(C1575,Categories!$A$6:$A$65,0))&amp;"",""))</f>
        <v/>
      </c>
      <c r="I1575" s="25">
        <f>IF(AND(A1575="",C1575="",D1575=""),"",IF(A1575="","Date missing",IF(NOT(ISNUMBER(A1575)),"Date not recognized",IF(YEAR(A1575)&lt;&gt;Settings!$C$4,"Not in "&amp;Settings!$C$4,IF(C1575="","Category missing",IF(H1575="",IF(COUNTIF(Categories!$A$6:$A$65,C1575)&gt;0,"Category has no type","Category not in list"),IF(D1575="","Amount missing",IF(NOT(ISNUMBER(D1575)),"Amount is not a number",IF(F1575="","",IF(ISNA(MATCH(F1575,Lists!$G$2:$G$25,0)),"Goal / fund not in list",IF(H1575="Income","Fund tag ignored on income","")))))))))))</f>
        <v/>
      </c>
    </row>
    <row r="1576">
      <c r="A1576" s="27" t="n"/>
      <c r="B1576" s="23" t="n"/>
      <c r="C1576" s="23" t="n"/>
      <c r="D1576" s="28" t="n"/>
      <c r="E1576" s="23" t="n"/>
      <c r="F1576" s="23" t="n"/>
      <c r="G1576" s="23" t="n"/>
      <c r="H1576" s="29">
        <f>IF(C1576="","",IFERROR(INDEX(Categories!$B$6:$B$65,MATCH(C1576,Categories!$A$6:$A$65,0))&amp;"",""))</f>
        <v/>
      </c>
      <c r="I1576" s="25">
        <f>IF(AND(A1576="",C1576="",D1576=""),"",IF(A1576="","Date missing",IF(NOT(ISNUMBER(A1576)),"Date not recognized",IF(YEAR(A1576)&lt;&gt;Settings!$C$4,"Not in "&amp;Settings!$C$4,IF(C1576="","Category missing",IF(H1576="",IF(COUNTIF(Categories!$A$6:$A$65,C1576)&gt;0,"Category has no type","Category not in list"),IF(D1576="","Amount missing",IF(NOT(ISNUMBER(D1576)),"Amount is not a number",IF(F1576="","",IF(ISNA(MATCH(F1576,Lists!$G$2:$G$25,0)),"Goal / fund not in list",IF(H1576="Income","Fund tag ignored on income","")))))))))))</f>
        <v/>
      </c>
    </row>
    <row r="1577">
      <c r="A1577" s="27" t="n"/>
      <c r="B1577" s="23" t="n"/>
      <c r="C1577" s="23" t="n"/>
      <c r="D1577" s="28" t="n"/>
      <c r="E1577" s="23" t="n"/>
      <c r="F1577" s="23" t="n"/>
      <c r="G1577" s="23" t="n"/>
      <c r="H1577" s="29">
        <f>IF(C1577="","",IFERROR(INDEX(Categories!$B$6:$B$65,MATCH(C1577,Categories!$A$6:$A$65,0))&amp;"",""))</f>
        <v/>
      </c>
      <c r="I1577" s="25">
        <f>IF(AND(A1577="",C1577="",D1577=""),"",IF(A1577="","Date missing",IF(NOT(ISNUMBER(A1577)),"Date not recognized",IF(YEAR(A1577)&lt;&gt;Settings!$C$4,"Not in "&amp;Settings!$C$4,IF(C1577="","Category missing",IF(H1577="",IF(COUNTIF(Categories!$A$6:$A$65,C1577)&gt;0,"Category has no type","Category not in list"),IF(D1577="","Amount missing",IF(NOT(ISNUMBER(D1577)),"Amount is not a number",IF(F1577="","",IF(ISNA(MATCH(F1577,Lists!$G$2:$G$25,0)),"Goal / fund not in list",IF(H1577="Income","Fund tag ignored on income","")))))))))))</f>
        <v/>
      </c>
    </row>
    <row r="1578">
      <c r="A1578" s="27" t="n"/>
      <c r="B1578" s="23" t="n"/>
      <c r="C1578" s="23" t="n"/>
      <c r="D1578" s="28" t="n"/>
      <c r="E1578" s="23" t="n"/>
      <c r="F1578" s="23" t="n"/>
      <c r="G1578" s="23" t="n"/>
      <c r="H1578" s="29">
        <f>IF(C1578="","",IFERROR(INDEX(Categories!$B$6:$B$65,MATCH(C1578,Categories!$A$6:$A$65,0))&amp;"",""))</f>
        <v/>
      </c>
      <c r="I1578" s="25">
        <f>IF(AND(A1578="",C1578="",D1578=""),"",IF(A1578="","Date missing",IF(NOT(ISNUMBER(A1578)),"Date not recognized",IF(YEAR(A1578)&lt;&gt;Settings!$C$4,"Not in "&amp;Settings!$C$4,IF(C1578="","Category missing",IF(H1578="",IF(COUNTIF(Categories!$A$6:$A$65,C1578)&gt;0,"Category has no type","Category not in list"),IF(D1578="","Amount missing",IF(NOT(ISNUMBER(D1578)),"Amount is not a number",IF(F1578="","",IF(ISNA(MATCH(F1578,Lists!$G$2:$G$25,0)),"Goal / fund not in list",IF(H1578="Income","Fund tag ignored on income","")))))))))))</f>
        <v/>
      </c>
    </row>
    <row r="1579">
      <c r="A1579" s="27" t="n"/>
      <c r="B1579" s="23" t="n"/>
      <c r="C1579" s="23" t="n"/>
      <c r="D1579" s="28" t="n"/>
      <c r="E1579" s="23" t="n"/>
      <c r="F1579" s="23" t="n"/>
      <c r="G1579" s="23" t="n"/>
      <c r="H1579" s="29">
        <f>IF(C1579="","",IFERROR(INDEX(Categories!$B$6:$B$65,MATCH(C1579,Categories!$A$6:$A$65,0))&amp;"",""))</f>
        <v/>
      </c>
      <c r="I1579" s="25">
        <f>IF(AND(A1579="",C1579="",D1579=""),"",IF(A1579="","Date missing",IF(NOT(ISNUMBER(A1579)),"Date not recognized",IF(YEAR(A1579)&lt;&gt;Settings!$C$4,"Not in "&amp;Settings!$C$4,IF(C1579="","Category missing",IF(H1579="",IF(COUNTIF(Categories!$A$6:$A$65,C1579)&gt;0,"Category has no type","Category not in list"),IF(D1579="","Amount missing",IF(NOT(ISNUMBER(D1579)),"Amount is not a number",IF(F1579="","",IF(ISNA(MATCH(F1579,Lists!$G$2:$G$25,0)),"Goal / fund not in list",IF(H1579="Income","Fund tag ignored on income","")))))))))))</f>
        <v/>
      </c>
    </row>
    <row r="1580">
      <c r="A1580" s="27" t="n"/>
      <c r="B1580" s="23" t="n"/>
      <c r="C1580" s="23" t="n"/>
      <c r="D1580" s="28" t="n"/>
      <c r="E1580" s="23" t="n"/>
      <c r="F1580" s="23" t="n"/>
      <c r="G1580" s="23" t="n"/>
      <c r="H1580" s="29">
        <f>IF(C1580="","",IFERROR(INDEX(Categories!$B$6:$B$65,MATCH(C1580,Categories!$A$6:$A$65,0))&amp;"",""))</f>
        <v/>
      </c>
      <c r="I1580" s="25">
        <f>IF(AND(A1580="",C1580="",D1580=""),"",IF(A1580="","Date missing",IF(NOT(ISNUMBER(A1580)),"Date not recognized",IF(YEAR(A1580)&lt;&gt;Settings!$C$4,"Not in "&amp;Settings!$C$4,IF(C1580="","Category missing",IF(H1580="",IF(COUNTIF(Categories!$A$6:$A$65,C1580)&gt;0,"Category has no type","Category not in list"),IF(D1580="","Amount missing",IF(NOT(ISNUMBER(D1580)),"Amount is not a number",IF(F1580="","",IF(ISNA(MATCH(F1580,Lists!$G$2:$G$25,0)),"Goal / fund not in list",IF(H1580="Income","Fund tag ignored on income","")))))))))))</f>
        <v/>
      </c>
    </row>
    <row r="1581">
      <c r="A1581" s="27" t="n"/>
      <c r="B1581" s="23" t="n"/>
      <c r="C1581" s="23" t="n"/>
      <c r="D1581" s="28" t="n"/>
      <c r="E1581" s="23" t="n"/>
      <c r="F1581" s="23" t="n"/>
      <c r="G1581" s="23" t="n"/>
      <c r="H1581" s="29">
        <f>IF(C1581="","",IFERROR(INDEX(Categories!$B$6:$B$65,MATCH(C1581,Categories!$A$6:$A$65,0))&amp;"",""))</f>
        <v/>
      </c>
      <c r="I1581" s="25">
        <f>IF(AND(A1581="",C1581="",D1581=""),"",IF(A1581="","Date missing",IF(NOT(ISNUMBER(A1581)),"Date not recognized",IF(YEAR(A1581)&lt;&gt;Settings!$C$4,"Not in "&amp;Settings!$C$4,IF(C1581="","Category missing",IF(H1581="",IF(COUNTIF(Categories!$A$6:$A$65,C1581)&gt;0,"Category has no type","Category not in list"),IF(D1581="","Amount missing",IF(NOT(ISNUMBER(D1581)),"Amount is not a number",IF(F1581="","",IF(ISNA(MATCH(F1581,Lists!$G$2:$G$25,0)),"Goal / fund not in list",IF(H1581="Income","Fund tag ignored on income","")))))))))))</f>
        <v/>
      </c>
    </row>
    <row r="1582">
      <c r="A1582" s="27" t="n"/>
      <c r="B1582" s="23" t="n"/>
      <c r="C1582" s="23" t="n"/>
      <c r="D1582" s="28" t="n"/>
      <c r="E1582" s="23" t="n"/>
      <c r="F1582" s="23" t="n"/>
      <c r="G1582" s="23" t="n"/>
      <c r="H1582" s="29">
        <f>IF(C1582="","",IFERROR(INDEX(Categories!$B$6:$B$65,MATCH(C1582,Categories!$A$6:$A$65,0))&amp;"",""))</f>
        <v/>
      </c>
      <c r="I1582" s="25">
        <f>IF(AND(A1582="",C1582="",D1582=""),"",IF(A1582="","Date missing",IF(NOT(ISNUMBER(A1582)),"Date not recognized",IF(YEAR(A1582)&lt;&gt;Settings!$C$4,"Not in "&amp;Settings!$C$4,IF(C1582="","Category missing",IF(H1582="",IF(COUNTIF(Categories!$A$6:$A$65,C1582)&gt;0,"Category has no type","Category not in list"),IF(D1582="","Amount missing",IF(NOT(ISNUMBER(D1582)),"Amount is not a number",IF(F1582="","",IF(ISNA(MATCH(F1582,Lists!$G$2:$G$25,0)),"Goal / fund not in list",IF(H1582="Income","Fund tag ignored on income","")))))))))))</f>
        <v/>
      </c>
    </row>
    <row r="1583">
      <c r="A1583" s="27" t="n"/>
      <c r="B1583" s="23" t="n"/>
      <c r="C1583" s="23" t="n"/>
      <c r="D1583" s="28" t="n"/>
      <c r="E1583" s="23" t="n"/>
      <c r="F1583" s="23" t="n"/>
      <c r="G1583" s="23" t="n"/>
      <c r="H1583" s="29">
        <f>IF(C1583="","",IFERROR(INDEX(Categories!$B$6:$B$65,MATCH(C1583,Categories!$A$6:$A$65,0))&amp;"",""))</f>
        <v/>
      </c>
      <c r="I1583" s="25">
        <f>IF(AND(A1583="",C1583="",D1583=""),"",IF(A1583="","Date missing",IF(NOT(ISNUMBER(A1583)),"Date not recognized",IF(YEAR(A1583)&lt;&gt;Settings!$C$4,"Not in "&amp;Settings!$C$4,IF(C1583="","Category missing",IF(H1583="",IF(COUNTIF(Categories!$A$6:$A$65,C1583)&gt;0,"Category has no type","Category not in list"),IF(D1583="","Amount missing",IF(NOT(ISNUMBER(D1583)),"Amount is not a number",IF(F1583="","",IF(ISNA(MATCH(F1583,Lists!$G$2:$G$25,0)),"Goal / fund not in list",IF(H1583="Income","Fund tag ignored on income","")))))))))))</f>
        <v/>
      </c>
    </row>
    <row r="1584">
      <c r="A1584" s="27" t="n"/>
      <c r="B1584" s="23" t="n"/>
      <c r="C1584" s="23" t="n"/>
      <c r="D1584" s="28" t="n"/>
      <c r="E1584" s="23" t="n"/>
      <c r="F1584" s="23" t="n"/>
      <c r="G1584" s="23" t="n"/>
      <c r="H1584" s="29">
        <f>IF(C1584="","",IFERROR(INDEX(Categories!$B$6:$B$65,MATCH(C1584,Categories!$A$6:$A$65,0))&amp;"",""))</f>
        <v/>
      </c>
      <c r="I1584" s="25">
        <f>IF(AND(A1584="",C1584="",D1584=""),"",IF(A1584="","Date missing",IF(NOT(ISNUMBER(A1584)),"Date not recognized",IF(YEAR(A1584)&lt;&gt;Settings!$C$4,"Not in "&amp;Settings!$C$4,IF(C1584="","Category missing",IF(H1584="",IF(COUNTIF(Categories!$A$6:$A$65,C1584)&gt;0,"Category has no type","Category not in list"),IF(D1584="","Amount missing",IF(NOT(ISNUMBER(D1584)),"Amount is not a number",IF(F1584="","",IF(ISNA(MATCH(F1584,Lists!$G$2:$G$25,0)),"Goal / fund not in list",IF(H1584="Income","Fund tag ignored on income","")))))))))))</f>
        <v/>
      </c>
    </row>
    <row r="1585">
      <c r="A1585" s="27" t="n"/>
      <c r="B1585" s="23" t="n"/>
      <c r="C1585" s="23" t="n"/>
      <c r="D1585" s="28" t="n"/>
      <c r="E1585" s="23" t="n"/>
      <c r="F1585" s="23" t="n"/>
      <c r="G1585" s="23" t="n"/>
      <c r="H1585" s="29">
        <f>IF(C1585="","",IFERROR(INDEX(Categories!$B$6:$B$65,MATCH(C1585,Categories!$A$6:$A$65,0))&amp;"",""))</f>
        <v/>
      </c>
      <c r="I1585" s="25">
        <f>IF(AND(A1585="",C1585="",D1585=""),"",IF(A1585="","Date missing",IF(NOT(ISNUMBER(A1585)),"Date not recognized",IF(YEAR(A1585)&lt;&gt;Settings!$C$4,"Not in "&amp;Settings!$C$4,IF(C1585="","Category missing",IF(H1585="",IF(COUNTIF(Categories!$A$6:$A$65,C1585)&gt;0,"Category has no type","Category not in list"),IF(D1585="","Amount missing",IF(NOT(ISNUMBER(D1585)),"Amount is not a number",IF(F1585="","",IF(ISNA(MATCH(F1585,Lists!$G$2:$G$25,0)),"Goal / fund not in list",IF(H1585="Income","Fund tag ignored on income","")))))))))))</f>
        <v/>
      </c>
    </row>
    <row r="1586">
      <c r="A1586" s="27" t="n"/>
      <c r="B1586" s="23" t="n"/>
      <c r="C1586" s="23" t="n"/>
      <c r="D1586" s="28" t="n"/>
      <c r="E1586" s="23" t="n"/>
      <c r="F1586" s="23" t="n"/>
      <c r="G1586" s="23" t="n"/>
      <c r="H1586" s="29">
        <f>IF(C1586="","",IFERROR(INDEX(Categories!$B$6:$B$65,MATCH(C1586,Categories!$A$6:$A$65,0))&amp;"",""))</f>
        <v/>
      </c>
      <c r="I1586" s="25">
        <f>IF(AND(A1586="",C1586="",D1586=""),"",IF(A1586="","Date missing",IF(NOT(ISNUMBER(A1586)),"Date not recognized",IF(YEAR(A1586)&lt;&gt;Settings!$C$4,"Not in "&amp;Settings!$C$4,IF(C1586="","Category missing",IF(H1586="",IF(COUNTIF(Categories!$A$6:$A$65,C1586)&gt;0,"Category has no type","Category not in list"),IF(D1586="","Amount missing",IF(NOT(ISNUMBER(D1586)),"Amount is not a number",IF(F1586="","",IF(ISNA(MATCH(F1586,Lists!$G$2:$G$25,0)),"Goal / fund not in list",IF(H1586="Income","Fund tag ignored on income","")))))))))))</f>
        <v/>
      </c>
    </row>
    <row r="1587">
      <c r="A1587" s="27" t="n"/>
      <c r="B1587" s="23" t="n"/>
      <c r="C1587" s="23" t="n"/>
      <c r="D1587" s="28" t="n"/>
      <c r="E1587" s="23" t="n"/>
      <c r="F1587" s="23" t="n"/>
      <c r="G1587" s="23" t="n"/>
      <c r="H1587" s="29">
        <f>IF(C1587="","",IFERROR(INDEX(Categories!$B$6:$B$65,MATCH(C1587,Categories!$A$6:$A$65,0))&amp;"",""))</f>
        <v/>
      </c>
      <c r="I1587" s="25">
        <f>IF(AND(A1587="",C1587="",D1587=""),"",IF(A1587="","Date missing",IF(NOT(ISNUMBER(A1587)),"Date not recognized",IF(YEAR(A1587)&lt;&gt;Settings!$C$4,"Not in "&amp;Settings!$C$4,IF(C1587="","Category missing",IF(H1587="",IF(COUNTIF(Categories!$A$6:$A$65,C1587)&gt;0,"Category has no type","Category not in list"),IF(D1587="","Amount missing",IF(NOT(ISNUMBER(D1587)),"Amount is not a number",IF(F1587="","",IF(ISNA(MATCH(F1587,Lists!$G$2:$G$25,0)),"Goal / fund not in list",IF(H1587="Income","Fund tag ignored on income","")))))))))))</f>
        <v/>
      </c>
    </row>
    <row r="1588">
      <c r="A1588" s="27" t="n"/>
      <c r="B1588" s="23" t="n"/>
      <c r="C1588" s="23" t="n"/>
      <c r="D1588" s="28" t="n"/>
      <c r="E1588" s="23" t="n"/>
      <c r="F1588" s="23" t="n"/>
      <c r="G1588" s="23" t="n"/>
      <c r="H1588" s="29">
        <f>IF(C1588="","",IFERROR(INDEX(Categories!$B$6:$B$65,MATCH(C1588,Categories!$A$6:$A$65,0))&amp;"",""))</f>
        <v/>
      </c>
      <c r="I1588" s="25">
        <f>IF(AND(A1588="",C1588="",D1588=""),"",IF(A1588="","Date missing",IF(NOT(ISNUMBER(A1588)),"Date not recognized",IF(YEAR(A1588)&lt;&gt;Settings!$C$4,"Not in "&amp;Settings!$C$4,IF(C1588="","Category missing",IF(H1588="",IF(COUNTIF(Categories!$A$6:$A$65,C1588)&gt;0,"Category has no type","Category not in list"),IF(D1588="","Amount missing",IF(NOT(ISNUMBER(D1588)),"Amount is not a number",IF(F1588="","",IF(ISNA(MATCH(F1588,Lists!$G$2:$G$25,0)),"Goal / fund not in list",IF(H1588="Income","Fund tag ignored on income","")))))))))))</f>
        <v/>
      </c>
    </row>
    <row r="1589">
      <c r="A1589" s="27" t="n"/>
      <c r="B1589" s="23" t="n"/>
      <c r="C1589" s="23" t="n"/>
      <c r="D1589" s="28" t="n"/>
      <c r="E1589" s="23" t="n"/>
      <c r="F1589" s="23" t="n"/>
      <c r="G1589" s="23" t="n"/>
      <c r="H1589" s="29">
        <f>IF(C1589="","",IFERROR(INDEX(Categories!$B$6:$B$65,MATCH(C1589,Categories!$A$6:$A$65,0))&amp;"",""))</f>
        <v/>
      </c>
      <c r="I1589" s="25">
        <f>IF(AND(A1589="",C1589="",D1589=""),"",IF(A1589="","Date missing",IF(NOT(ISNUMBER(A1589)),"Date not recognized",IF(YEAR(A1589)&lt;&gt;Settings!$C$4,"Not in "&amp;Settings!$C$4,IF(C1589="","Category missing",IF(H1589="",IF(COUNTIF(Categories!$A$6:$A$65,C1589)&gt;0,"Category has no type","Category not in list"),IF(D1589="","Amount missing",IF(NOT(ISNUMBER(D1589)),"Amount is not a number",IF(F1589="","",IF(ISNA(MATCH(F1589,Lists!$G$2:$G$25,0)),"Goal / fund not in list",IF(H1589="Income","Fund tag ignored on income","")))))))))))</f>
        <v/>
      </c>
    </row>
    <row r="1590">
      <c r="A1590" s="27" t="n"/>
      <c r="B1590" s="23" t="n"/>
      <c r="C1590" s="23" t="n"/>
      <c r="D1590" s="28" t="n"/>
      <c r="E1590" s="23" t="n"/>
      <c r="F1590" s="23" t="n"/>
      <c r="G1590" s="23" t="n"/>
      <c r="H1590" s="29">
        <f>IF(C1590="","",IFERROR(INDEX(Categories!$B$6:$B$65,MATCH(C1590,Categories!$A$6:$A$65,0))&amp;"",""))</f>
        <v/>
      </c>
      <c r="I1590" s="25">
        <f>IF(AND(A1590="",C1590="",D1590=""),"",IF(A1590="","Date missing",IF(NOT(ISNUMBER(A1590)),"Date not recognized",IF(YEAR(A1590)&lt;&gt;Settings!$C$4,"Not in "&amp;Settings!$C$4,IF(C1590="","Category missing",IF(H1590="",IF(COUNTIF(Categories!$A$6:$A$65,C1590)&gt;0,"Category has no type","Category not in list"),IF(D1590="","Amount missing",IF(NOT(ISNUMBER(D1590)),"Amount is not a number",IF(F1590="","",IF(ISNA(MATCH(F1590,Lists!$G$2:$G$25,0)),"Goal / fund not in list",IF(H1590="Income","Fund tag ignored on income","")))))))))))</f>
        <v/>
      </c>
    </row>
    <row r="1591">
      <c r="A1591" s="27" t="n"/>
      <c r="B1591" s="23" t="n"/>
      <c r="C1591" s="23" t="n"/>
      <c r="D1591" s="28" t="n"/>
      <c r="E1591" s="23" t="n"/>
      <c r="F1591" s="23" t="n"/>
      <c r="G1591" s="23" t="n"/>
      <c r="H1591" s="29">
        <f>IF(C1591="","",IFERROR(INDEX(Categories!$B$6:$B$65,MATCH(C1591,Categories!$A$6:$A$65,0))&amp;"",""))</f>
        <v/>
      </c>
      <c r="I1591" s="25">
        <f>IF(AND(A1591="",C1591="",D1591=""),"",IF(A1591="","Date missing",IF(NOT(ISNUMBER(A1591)),"Date not recognized",IF(YEAR(A1591)&lt;&gt;Settings!$C$4,"Not in "&amp;Settings!$C$4,IF(C1591="","Category missing",IF(H1591="",IF(COUNTIF(Categories!$A$6:$A$65,C1591)&gt;0,"Category has no type","Category not in list"),IF(D1591="","Amount missing",IF(NOT(ISNUMBER(D1591)),"Amount is not a number",IF(F1591="","",IF(ISNA(MATCH(F1591,Lists!$G$2:$G$25,0)),"Goal / fund not in list",IF(H1591="Income","Fund tag ignored on income","")))))))))))</f>
        <v/>
      </c>
    </row>
    <row r="1592">
      <c r="A1592" s="27" t="n"/>
      <c r="B1592" s="23" t="n"/>
      <c r="C1592" s="23" t="n"/>
      <c r="D1592" s="28" t="n"/>
      <c r="E1592" s="23" t="n"/>
      <c r="F1592" s="23" t="n"/>
      <c r="G1592" s="23" t="n"/>
      <c r="H1592" s="29">
        <f>IF(C1592="","",IFERROR(INDEX(Categories!$B$6:$B$65,MATCH(C1592,Categories!$A$6:$A$65,0))&amp;"",""))</f>
        <v/>
      </c>
      <c r="I1592" s="25">
        <f>IF(AND(A1592="",C1592="",D1592=""),"",IF(A1592="","Date missing",IF(NOT(ISNUMBER(A1592)),"Date not recognized",IF(YEAR(A1592)&lt;&gt;Settings!$C$4,"Not in "&amp;Settings!$C$4,IF(C1592="","Category missing",IF(H1592="",IF(COUNTIF(Categories!$A$6:$A$65,C1592)&gt;0,"Category has no type","Category not in list"),IF(D1592="","Amount missing",IF(NOT(ISNUMBER(D1592)),"Amount is not a number",IF(F1592="","",IF(ISNA(MATCH(F1592,Lists!$G$2:$G$25,0)),"Goal / fund not in list",IF(H1592="Income","Fund tag ignored on income","")))))))))))</f>
        <v/>
      </c>
    </row>
    <row r="1593">
      <c r="A1593" s="27" t="n"/>
      <c r="B1593" s="23" t="n"/>
      <c r="C1593" s="23" t="n"/>
      <c r="D1593" s="28" t="n"/>
      <c r="E1593" s="23" t="n"/>
      <c r="F1593" s="23" t="n"/>
      <c r="G1593" s="23" t="n"/>
      <c r="H1593" s="29">
        <f>IF(C1593="","",IFERROR(INDEX(Categories!$B$6:$B$65,MATCH(C1593,Categories!$A$6:$A$65,0))&amp;"",""))</f>
        <v/>
      </c>
      <c r="I1593" s="25">
        <f>IF(AND(A1593="",C1593="",D1593=""),"",IF(A1593="","Date missing",IF(NOT(ISNUMBER(A1593)),"Date not recognized",IF(YEAR(A1593)&lt;&gt;Settings!$C$4,"Not in "&amp;Settings!$C$4,IF(C1593="","Category missing",IF(H1593="",IF(COUNTIF(Categories!$A$6:$A$65,C1593)&gt;0,"Category has no type","Category not in list"),IF(D1593="","Amount missing",IF(NOT(ISNUMBER(D1593)),"Amount is not a number",IF(F1593="","",IF(ISNA(MATCH(F1593,Lists!$G$2:$G$25,0)),"Goal / fund not in list",IF(H1593="Income","Fund tag ignored on income","")))))))))))</f>
        <v/>
      </c>
    </row>
    <row r="1594">
      <c r="A1594" s="27" t="n"/>
      <c r="B1594" s="23" t="n"/>
      <c r="C1594" s="23" t="n"/>
      <c r="D1594" s="28" t="n"/>
      <c r="E1594" s="23" t="n"/>
      <c r="F1594" s="23" t="n"/>
      <c r="G1594" s="23" t="n"/>
      <c r="H1594" s="29">
        <f>IF(C1594="","",IFERROR(INDEX(Categories!$B$6:$B$65,MATCH(C1594,Categories!$A$6:$A$65,0))&amp;"",""))</f>
        <v/>
      </c>
      <c r="I1594" s="25">
        <f>IF(AND(A1594="",C1594="",D1594=""),"",IF(A1594="","Date missing",IF(NOT(ISNUMBER(A1594)),"Date not recognized",IF(YEAR(A1594)&lt;&gt;Settings!$C$4,"Not in "&amp;Settings!$C$4,IF(C1594="","Category missing",IF(H1594="",IF(COUNTIF(Categories!$A$6:$A$65,C1594)&gt;0,"Category has no type","Category not in list"),IF(D1594="","Amount missing",IF(NOT(ISNUMBER(D1594)),"Amount is not a number",IF(F1594="","",IF(ISNA(MATCH(F1594,Lists!$G$2:$G$25,0)),"Goal / fund not in list",IF(H1594="Income","Fund tag ignored on income","")))))))))))</f>
        <v/>
      </c>
    </row>
    <row r="1595">
      <c r="A1595" s="27" t="n"/>
      <c r="B1595" s="23" t="n"/>
      <c r="C1595" s="23" t="n"/>
      <c r="D1595" s="28" t="n"/>
      <c r="E1595" s="23" t="n"/>
      <c r="F1595" s="23" t="n"/>
      <c r="G1595" s="23" t="n"/>
      <c r="H1595" s="29">
        <f>IF(C1595="","",IFERROR(INDEX(Categories!$B$6:$B$65,MATCH(C1595,Categories!$A$6:$A$65,0))&amp;"",""))</f>
        <v/>
      </c>
      <c r="I1595" s="25">
        <f>IF(AND(A1595="",C1595="",D1595=""),"",IF(A1595="","Date missing",IF(NOT(ISNUMBER(A1595)),"Date not recognized",IF(YEAR(A1595)&lt;&gt;Settings!$C$4,"Not in "&amp;Settings!$C$4,IF(C1595="","Category missing",IF(H1595="",IF(COUNTIF(Categories!$A$6:$A$65,C1595)&gt;0,"Category has no type","Category not in list"),IF(D1595="","Amount missing",IF(NOT(ISNUMBER(D1595)),"Amount is not a number",IF(F1595="","",IF(ISNA(MATCH(F1595,Lists!$G$2:$G$25,0)),"Goal / fund not in list",IF(H1595="Income","Fund tag ignored on income","")))))))))))</f>
        <v/>
      </c>
    </row>
    <row r="1596">
      <c r="A1596" s="27" t="n"/>
      <c r="B1596" s="23" t="n"/>
      <c r="C1596" s="23" t="n"/>
      <c r="D1596" s="28" t="n"/>
      <c r="E1596" s="23" t="n"/>
      <c r="F1596" s="23" t="n"/>
      <c r="G1596" s="23" t="n"/>
      <c r="H1596" s="29">
        <f>IF(C1596="","",IFERROR(INDEX(Categories!$B$6:$B$65,MATCH(C1596,Categories!$A$6:$A$65,0))&amp;"",""))</f>
        <v/>
      </c>
      <c r="I1596" s="25">
        <f>IF(AND(A1596="",C1596="",D1596=""),"",IF(A1596="","Date missing",IF(NOT(ISNUMBER(A1596)),"Date not recognized",IF(YEAR(A1596)&lt;&gt;Settings!$C$4,"Not in "&amp;Settings!$C$4,IF(C1596="","Category missing",IF(H1596="",IF(COUNTIF(Categories!$A$6:$A$65,C1596)&gt;0,"Category has no type","Category not in list"),IF(D1596="","Amount missing",IF(NOT(ISNUMBER(D1596)),"Amount is not a number",IF(F1596="","",IF(ISNA(MATCH(F1596,Lists!$G$2:$G$25,0)),"Goal / fund not in list",IF(H1596="Income","Fund tag ignored on income","")))))))))))</f>
        <v/>
      </c>
    </row>
    <row r="1597">
      <c r="A1597" s="27" t="n"/>
      <c r="B1597" s="23" t="n"/>
      <c r="C1597" s="23" t="n"/>
      <c r="D1597" s="28" t="n"/>
      <c r="E1597" s="23" t="n"/>
      <c r="F1597" s="23" t="n"/>
      <c r="G1597" s="23" t="n"/>
      <c r="H1597" s="29">
        <f>IF(C1597="","",IFERROR(INDEX(Categories!$B$6:$B$65,MATCH(C1597,Categories!$A$6:$A$65,0))&amp;"",""))</f>
        <v/>
      </c>
      <c r="I1597" s="25">
        <f>IF(AND(A1597="",C1597="",D1597=""),"",IF(A1597="","Date missing",IF(NOT(ISNUMBER(A1597)),"Date not recognized",IF(YEAR(A1597)&lt;&gt;Settings!$C$4,"Not in "&amp;Settings!$C$4,IF(C1597="","Category missing",IF(H1597="",IF(COUNTIF(Categories!$A$6:$A$65,C1597)&gt;0,"Category has no type","Category not in list"),IF(D1597="","Amount missing",IF(NOT(ISNUMBER(D1597)),"Amount is not a number",IF(F1597="","",IF(ISNA(MATCH(F1597,Lists!$G$2:$G$25,0)),"Goal / fund not in list",IF(H1597="Income","Fund tag ignored on income","")))))))))))</f>
        <v/>
      </c>
    </row>
    <row r="1598">
      <c r="A1598" s="27" t="n"/>
      <c r="B1598" s="23" t="n"/>
      <c r="C1598" s="23" t="n"/>
      <c r="D1598" s="28" t="n"/>
      <c r="E1598" s="23" t="n"/>
      <c r="F1598" s="23" t="n"/>
      <c r="G1598" s="23" t="n"/>
      <c r="H1598" s="29">
        <f>IF(C1598="","",IFERROR(INDEX(Categories!$B$6:$B$65,MATCH(C1598,Categories!$A$6:$A$65,0))&amp;"",""))</f>
        <v/>
      </c>
      <c r="I1598" s="25">
        <f>IF(AND(A1598="",C1598="",D1598=""),"",IF(A1598="","Date missing",IF(NOT(ISNUMBER(A1598)),"Date not recognized",IF(YEAR(A1598)&lt;&gt;Settings!$C$4,"Not in "&amp;Settings!$C$4,IF(C1598="","Category missing",IF(H1598="",IF(COUNTIF(Categories!$A$6:$A$65,C1598)&gt;0,"Category has no type","Category not in list"),IF(D1598="","Amount missing",IF(NOT(ISNUMBER(D1598)),"Amount is not a number",IF(F1598="","",IF(ISNA(MATCH(F1598,Lists!$G$2:$G$25,0)),"Goal / fund not in list",IF(H1598="Income","Fund tag ignored on income","")))))))))))</f>
        <v/>
      </c>
    </row>
    <row r="1599">
      <c r="A1599" s="27" t="n"/>
      <c r="B1599" s="23" t="n"/>
      <c r="C1599" s="23" t="n"/>
      <c r="D1599" s="28" t="n"/>
      <c r="E1599" s="23" t="n"/>
      <c r="F1599" s="23" t="n"/>
      <c r="G1599" s="23" t="n"/>
      <c r="H1599" s="29">
        <f>IF(C1599="","",IFERROR(INDEX(Categories!$B$6:$B$65,MATCH(C1599,Categories!$A$6:$A$65,0))&amp;"",""))</f>
        <v/>
      </c>
      <c r="I1599" s="25">
        <f>IF(AND(A1599="",C1599="",D1599=""),"",IF(A1599="","Date missing",IF(NOT(ISNUMBER(A1599)),"Date not recognized",IF(YEAR(A1599)&lt;&gt;Settings!$C$4,"Not in "&amp;Settings!$C$4,IF(C1599="","Category missing",IF(H1599="",IF(COUNTIF(Categories!$A$6:$A$65,C1599)&gt;0,"Category has no type","Category not in list"),IF(D1599="","Amount missing",IF(NOT(ISNUMBER(D1599)),"Amount is not a number",IF(F1599="","",IF(ISNA(MATCH(F1599,Lists!$G$2:$G$25,0)),"Goal / fund not in list",IF(H1599="Income","Fund tag ignored on income","")))))))))))</f>
        <v/>
      </c>
    </row>
    <row r="1600">
      <c r="A1600" s="27" t="n"/>
      <c r="B1600" s="23" t="n"/>
      <c r="C1600" s="23" t="n"/>
      <c r="D1600" s="28" t="n"/>
      <c r="E1600" s="23" t="n"/>
      <c r="F1600" s="23" t="n"/>
      <c r="G1600" s="23" t="n"/>
      <c r="H1600" s="29">
        <f>IF(C1600="","",IFERROR(INDEX(Categories!$B$6:$B$65,MATCH(C1600,Categories!$A$6:$A$65,0))&amp;"",""))</f>
        <v/>
      </c>
      <c r="I1600" s="25">
        <f>IF(AND(A1600="",C1600="",D1600=""),"",IF(A1600="","Date missing",IF(NOT(ISNUMBER(A1600)),"Date not recognized",IF(YEAR(A1600)&lt;&gt;Settings!$C$4,"Not in "&amp;Settings!$C$4,IF(C1600="","Category missing",IF(H1600="",IF(COUNTIF(Categories!$A$6:$A$65,C1600)&gt;0,"Category has no type","Category not in list"),IF(D1600="","Amount missing",IF(NOT(ISNUMBER(D1600)),"Amount is not a number",IF(F1600="","",IF(ISNA(MATCH(F1600,Lists!$G$2:$G$25,0)),"Goal / fund not in list",IF(H1600="Income","Fund tag ignored on income","")))))))))))</f>
        <v/>
      </c>
    </row>
    <row r="1601">
      <c r="A1601" s="27" t="n"/>
      <c r="B1601" s="23" t="n"/>
      <c r="C1601" s="23" t="n"/>
      <c r="D1601" s="28" t="n"/>
      <c r="E1601" s="23" t="n"/>
      <c r="F1601" s="23" t="n"/>
      <c r="G1601" s="23" t="n"/>
      <c r="H1601" s="29">
        <f>IF(C1601="","",IFERROR(INDEX(Categories!$B$6:$B$65,MATCH(C1601,Categories!$A$6:$A$65,0))&amp;"",""))</f>
        <v/>
      </c>
      <c r="I1601" s="25">
        <f>IF(AND(A1601="",C1601="",D1601=""),"",IF(A1601="","Date missing",IF(NOT(ISNUMBER(A1601)),"Date not recognized",IF(YEAR(A1601)&lt;&gt;Settings!$C$4,"Not in "&amp;Settings!$C$4,IF(C1601="","Category missing",IF(H1601="",IF(COUNTIF(Categories!$A$6:$A$65,C1601)&gt;0,"Category has no type","Category not in list"),IF(D1601="","Amount missing",IF(NOT(ISNUMBER(D1601)),"Amount is not a number",IF(F1601="","",IF(ISNA(MATCH(F1601,Lists!$G$2:$G$25,0)),"Goal / fund not in list",IF(H1601="Income","Fund tag ignored on income","")))))))))))</f>
        <v/>
      </c>
    </row>
    <row r="1602">
      <c r="A1602" s="27" t="n"/>
      <c r="B1602" s="23" t="n"/>
      <c r="C1602" s="23" t="n"/>
      <c r="D1602" s="28" t="n"/>
      <c r="E1602" s="23" t="n"/>
      <c r="F1602" s="23" t="n"/>
      <c r="G1602" s="23" t="n"/>
      <c r="H1602" s="29">
        <f>IF(C1602="","",IFERROR(INDEX(Categories!$B$6:$B$65,MATCH(C1602,Categories!$A$6:$A$65,0))&amp;"",""))</f>
        <v/>
      </c>
      <c r="I1602" s="25">
        <f>IF(AND(A1602="",C1602="",D1602=""),"",IF(A1602="","Date missing",IF(NOT(ISNUMBER(A1602)),"Date not recognized",IF(YEAR(A1602)&lt;&gt;Settings!$C$4,"Not in "&amp;Settings!$C$4,IF(C1602="","Category missing",IF(H1602="",IF(COUNTIF(Categories!$A$6:$A$65,C1602)&gt;0,"Category has no type","Category not in list"),IF(D1602="","Amount missing",IF(NOT(ISNUMBER(D1602)),"Amount is not a number",IF(F1602="","",IF(ISNA(MATCH(F1602,Lists!$G$2:$G$25,0)),"Goal / fund not in list",IF(H1602="Income","Fund tag ignored on income","")))))))))))</f>
        <v/>
      </c>
    </row>
    <row r="1603">
      <c r="A1603" s="27" t="n"/>
      <c r="B1603" s="23" t="n"/>
      <c r="C1603" s="23" t="n"/>
      <c r="D1603" s="28" t="n"/>
      <c r="E1603" s="23" t="n"/>
      <c r="F1603" s="23" t="n"/>
      <c r="G1603" s="23" t="n"/>
      <c r="H1603" s="29">
        <f>IF(C1603="","",IFERROR(INDEX(Categories!$B$6:$B$65,MATCH(C1603,Categories!$A$6:$A$65,0))&amp;"",""))</f>
        <v/>
      </c>
      <c r="I1603" s="25">
        <f>IF(AND(A1603="",C1603="",D1603=""),"",IF(A1603="","Date missing",IF(NOT(ISNUMBER(A1603)),"Date not recognized",IF(YEAR(A1603)&lt;&gt;Settings!$C$4,"Not in "&amp;Settings!$C$4,IF(C1603="","Category missing",IF(H1603="",IF(COUNTIF(Categories!$A$6:$A$65,C1603)&gt;0,"Category has no type","Category not in list"),IF(D1603="","Amount missing",IF(NOT(ISNUMBER(D1603)),"Amount is not a number",IF(F1603="","",IF(ISNA(MATCH(F1603,Lists!$G$2:$G$25,0)),"Goal / fund not in list",IF(H1603="Income","Fund tag ignored on income","")))))))))))</f>
        <v/>
      </c>
    </row>
    <row r="1604">
      <c r="A1604" s="27" t="n"/>
      <c r="B1604" s="23" t="n"/>
      <c r="C1604" s="23" t="n"/>
      <c r="D1604" s="28" t="n"/>
      <c r="E1604" s="23" t="n"/>
      <c r="F1604" s="23" t="n"/>
      <c r="G1604" s="23" t="n"/>
      <c r="H1604" s="29">
        <f>IF(C1604="","",IFERROR(INDEX(Categories!$B$6:$B$65,MATCH(C1604,Categories!$A$6:$A$65,0))&amp;"",""))</f>
        <v/>
      </c>
      <c r="I1604" s="25">
        <f>IF(AND(A1604="",C1604="",D1604=""),"",IF(A1604="","Date missing",IF(NOT(ISNUMBER(A1604)),"Date not recognized",IF(YEAR(A1604)&lt;&gt;Settings!$C$4,"Not in "&amp;Settings!$C$4,IF(C1604="","Category missing",IF(H1604="",IF(COUNTIF(Categories!$A$6:$A$65,C1604)&gt;0,"Category has no type","Category not in list"),IF(D1604="","Amount missing",IF(NOT(ISNUMBER(D1604)),"Amount is not a number",IF(F1604="","",IF(ISNA(MATCH(F1604,Lists!$G$2:$G$25,0)),"Goal / fund not in list",IF(H1604="Income","Fund tag ignored on income","")))))))))))</f>
        <v/>
      </c>
    </row>
    <row r="1605">
      <c r="A1605" s="27" t="n"/>
      <c r="B1605" s="23" t="n"/>
      <c r="C1605" s="23" t="n"/>
      <c r="D1605" s="28" t="n"/>
      <c r="E1605" s="23" t="n"/>
      <c r="F1605" s="23" t="n"/>
      <c r="G1605" s="23" t="n"/>
      <c r="H1605" s="29">
        <f>IF(C1605="","",IFERROR(INDEX(Categories!$B$6:$B$65,MATCH(C1605,Categories!$A$6:$A$65,0))&amp;"",""))</f>
        <v/>
      </c>
      <c r="I1605" s="25">
        <f>IF(AND(A1605="",C1605="",D1605=""),"",IF(A1605="","Date missing",IF(NOT(ISNUMBER(A1605)),"Date not recognized",IF(YEAR(A1605)&lt;&gt;Settings!$C$4,"Not in "&amp;Settings!$C$4,IF(C1605="","Category missing",IF(H1605="",IF(COUNTIF(Categories!$A$6:$A$65,C1605)&gt;0,"Category has no type","Category not in list"),IF(D1605="","Amount missing",IF(NOT(ISNUMBER(D1605)),"Amount is not a number",IF(F1605="","",IF(ISNA(MATCH(F1605,Lists!$G$2:$G$25,0)),"Goal / fund not in list",IF(H1605="Income","Fund tag ignored on income","")))))))))))</f>
        <v/>
      </c>
    </row>
    <row r="1606">
      <c r="A1606" s="27" t="n"/>
      <c r="B1606" s="23" t="n"/>
      <c r="C1606" s="23" t="n"/>
      <c r="D1606" s="28" t="n"/>
      <c r="E1606" s="23" t="n"/>
      <c r="F1606" s="23" t="n"/>
      <c r="G1606" s="23" t="n"/>
      <c r="H1606" s="29">
        <f>IF(C1606="","",IFERROR(INDEX(Categories!$B$6:$B$65,MATCH(C1606,Categories!$A$6:$A$65,0))&amp;"",""))</f>
        <v/>
      </c>
      <c r="I1606" s="25">
        <f>IF(AND(A1606="",C1606="",D1606=""),"",IF(A1606="","Date missing",IF(NOT(ISNUMBER(A1606)),"Date not recognized",IF(YEAR(A1606)&lt;&gt;Settings!$C$4,"Not in "&amp;Settings!$C$4,IF(C1606="","Category missing",IF(H1606="",IF(COUNTIF(Categories!$A$6:$A$65,C1606)&gt;0,"Category has no type","Category not in list"),IF(D1606="","Amount missing",IF(NOT(ISNUMBER(D1606)),"Amount is not a number",IF(F1606="","",IF(ISNA(MATCH(F1606,Lists!$G$2:$G$25,0)),"Goal / fund not in list",IF(H1606="Income","Fund tag ignored on income","")))))))))))</f>
        <v/>
      </c>
    </row>
    <row r="1607">
      <c r="A1607" s="27" t="n"/>
      <c r="B1607" s="23" t="n"/>
      <c r="C1607" s="23" t="n"/>
      <c r="D1607" s="28" t="n"/>
      <c r="E1607" s="23" t="n"/>
      <c r="F1607" s="23" t="n"/>
      <c r="G1607" s="23" t="n"/>
      <c r="H1607" s="29">
        <f>IF(C1607="","",IFERROR(INDEX(Categories!$B$6:$B$65,MATCH(C1607,Categories!$A$6:$A$65,0))&amp;"",""))</f>
        <v/>
      </c>
      <c r="I1607" s="25">
        <f>IF(AND(A1607="",C1607="",D1607=""),"",IF(A1607="","Date missing",IF(NOT(ISNUMBER(A1607)),"Date not recognized",IF(YEAR(A1607)&lt;&gt;Settings!$C$4,"Not in "&amp;Settings!$C$4,IF(C1607="","Category missing",IF(H1607="",IF(COUNTIF(Categories!$A$6:$A$65,C1607)&gt;0,"Category has no type","Category not in list"),IF(D1607="","Amount missing",IF(NOT(ISNUMBER(D1607)),"Amount is not a number",IF(F1607="","",IF(ISNA(MATCH(F1607,Lists!$G$2:$G$25,0)),"Goal / fund not in list",IF(H1607="Income","Fund tag ignored on income","")))))))))))</f>
        <v/>
      </c>
    </row>
    <row r="1608">
      <c r="A1608" s="27" t="n"/>
      <c r="B1608" s="23" t="n"/>
      <c r="C1608" s="23" t="n"/>
      <c r="D1608" s="28" t="n"/>
      <c r="E1608" s="23" t="n"/>
      <c r="F1608" s="23" t="n"/>
      <c r="G1608" s="23" t="n"/>
      <c r="H1608" s="29">
        <f>IF(C1608="","",IFERROR(INDEX(Categories!$B$6:$B$65,MATCH(C1608,Categories!$A$6:$A$65,0))&amp;"",""))</f>
        <v/>
      </c>
      <c r="I1608" s="25">
        <f>IF(AND(A1608="",C1608="",D1608=""),"",IF(A1608="","Date missing",IF(NOT(ISNUMBER(A1608)),"Date not recognized",IF(YEAR(A1608)&lt;&gt;Settings!$C$4,"Not in "&amp;Settings!$C$4,IF(C1608="","Category missing",IF(H1608="",IF(COUNTIF(Categories!$A$6:$A$65,C1608)&gt;0,"Category has no type","Category not in list"),IF(D1608="","Amount missing",IF(NOT(ISNUMBER(D1608)),"Amount is not a number",IF(F1608="","",IF(ISNA(MATCH(F1608,Lists!$G$2:$G$25,0)),"Goal / fund not in list",IF(H1608="Income","Fund tag ignored on income","")))))))))))</f>
        <v/>
      </c>
    </row>
    <row r="1609">
      <c r="A1609" s="27" t="n"/>
      <c r="B1609" s="23" t="n"/>
      <c r="C1609" s="23" t="n"/>
      <c r="D1609" s="28" t="n"/>
      <c r="E1609" s="23" t="n"/>
      <c r="F1609" s="23" t="n"/>
      <c r="G1609" s="23" t="n"/>
      <c r="H1609" s="29">
        <f>IF(C1609="","",IFERROR(INDEX(Categories!$B$6:$B$65,MATCH(C1609,Categories!$A$6:$A$65,0))&amp;"",""))</f>
        <v/>
      </c>
      <c r="I1609" s="25">
        <f>IF(AND(A1609="",C1609="",D1609=""),"",IF(A1609="","Date missing",IF(NOT(ISNUMBER(A1609)),"Date not recognized",IF(YEAR(A1609)&lt;&gt;Settings!$C$4,"Not in "&amp;Settings!$C$4,IF(C1609="","Category missing",IF(H1609="",IF(COUNTIF(Categories!$A$6:$A$65,C1609)&gt;0,"Category has no type","Category not in list"),IF(D1609="","Amount missing",IF(NOT(ISNUMBER(D1609)),"Amount is not a number",IF(F1609="","",IF(ISNA(MATCH(F1609,Lists!$G$2:$G$25,0)),"Goal / fund not in list",IF(H1609="Income","Fund tag ignored on income","")))))))))))</f>
        <v/>
      </c>
    </row>
    <row r="1610">
      <c r="A1610" s="27" t="n"/>
      <c r="B1610" s="23" t="n"/>
      <c r="C1610" s="23" t="n"/>
      <c r="D1610" s="28" t="n"/>
      <c r="E1610" s="23" t="n"/>
      <c r="F1610" s="23" t="n"/>
      <c r="G1610" s="23" t="n"/>
      <c r="H1610" s="29">
        <f>IF(C1610="","",IFERROR(INDEX(Categories!$B$6:$B$65,MATCH(C1610,Categories!$A$6:$A$65,0))&amp;"",""))</f>
        <v/>
      </c>
      <c r="I1610" s="25">
        <f>IF(AND(A1610="",C1610="",D1610=""),"",IF(A1610="","Date missing",IF(NOT(ISNUMBER(A1610)),"Date not recognized",IF(YEAR(A1610)&lt;&gt;Settings!$C$4,"Not in "&amp;Settings!$C$4,IF(C1610="","Category missing",IF(H1610="",IF(COUNTIF(Categories!$A$6:$A$65,C1610)&gt;0,"Category has no type","Category not in list"),IF(D1610="","Amount missing",IF(NOT(ISNUMBER(D1610)),"Amount is not a number",IF(F1610="","",IF(ISNA(MATCH(F1610,Lists!$G$2:$G$25,0)),"Goal / fund not in list",IF(H1610="Income","Fund tag ignored on income","")))))))))))</f>
        <v/>
      </c>
    </row>
    <row r="1611">
      <c r="A1611" s="27" t="n"/>
      <c r="B1611" s="23" t="n"/>
      <c r="C1611" s="23" t="n"/>
      <c r="D1611" s="28" t="n"/>
      <c r="E1611" s="23" t="n"/>
      <c r="F1611" s="23" t="n"/>
      <c r="G1611" s="23" t="n"/>
      <c r="H1611" s="29">
        <f>IF(C1611="","",IFERROR(INDEX(Categories!$B$6:$B$65,MATCH(C1611,Categories!$A$6:$A$65,0))&amp;"",""))</f>
        <v/>
      </c>
      <c r="I1611" s="25">
        <f>IF(AND(A1611="",C1611="",D1611=""),"",IF(A1611="","Date missing",IF(NOT(ISNUMBER(A1611)),"Date not recognized",IF(YEAR(A1611)&lt;&gt;Settings!$C$4,"Not in "&amp;Settings!$C$4,IF(C1611="","Category missing",IF(H1611="",IF(COUNTIF(Categories!$A$6:$A$65,C1611)&gt;0,"Category has no type","Category not in list"),IF(D1611="","Amount missing",IF(NOT(ISNUMBER(D1611)),"Amount is not a number",IF(F1611="","",IF(ISNA(MATCH(F1611,Lists!$G$2:$G$25,0)),"Goal / fund not in list",IF(H1611="Income","Fund tag ignored on income","")))))))))))</f>
        <v/>
      </c>
    </row>
    <row r="1612">
      <c r="A1612" s="27" t="n"/>
      <c r="B1612" s="23" t="n"/>
      <c r="C1612" s="23" t="n"/>
      <c r="D1612" s="28" t="n"/>
      <c r="E1612" s="23" t="n"/>
      <c r="F1612" s="23" t="n"/>
      <c r="G1612" s="23" t="n"/>
      <c r="H1612" s="29">
        <f>IF(C1612="","",IFERROR(INDEX(Categories!$B$6:$B$65,MATCH(C1612,Categories!$A$6:$A$65,0))&amp;"",""))</f>
        <v/>
      </c>
      <c r="I1612" s="25">
        <f>IF(AND(A1612="",C1612="",D1612=""),"",IF(A1612="","Date missing",IF(NOT(ISNUMBER(A1612)),"Date not recognized",IF(YEAR(A1612)&lt;&gt;Settings!$C$4,"Not in "&amp;Settings!$C$4,IF(C1612="","Category missing",IF(H1612="",IF(COUNTIF(Categories!$A$6:$A$65,C1612)&gt;0,"Category has no type","Category not in list"),IF(D1612="","Amount missing",IF(NOT(ISNUMBER(D1612)),"Amount is not a number",IF(F1612="","",IF(ISNA(MATCH(F1612,Lists!$G$2:$G$25,0)),"Goal / fund not in list",IF(H1612="Income","Fund tag ignored on income","")))))))))))</f>
        <v/>
      </c>
    </row>
    <row r="1613">
      <c r="A1613" s="27" t="n"/>
      <c r="B1613" s="23" t="n"/>
      <c r="C1613" s="23" t="n"/>
      <c r="D1613" s="28" t="n"/>
      <c r="E1613" s="23" t="n"/>
      <c r="F1613" s="23" t="n"/>
      <c r="G1613" s="23" t="n"/>
      <c r="H1613" s="29">
        <f>IF(C1613="","",IFERROR(INDEX(Categories!$B$6:$B$65,MATCH(C1613,Categories!$A$6:$A$65,0))&amp;"",""))</f>
        <v/>
      </c>
      <c r="I1613" s="25">
        <f>IF(AND(A1613="",C1613="",D1613=""),"",IF(A1613="","Date missing",IF(NOT(ISNUMBER(A1613)),"Date not recognized",IF(YEAR(A1613)&lt;&gt;Settings!$C$4,"Not in "&amp;Settings!$C$4,IF(C1613="","Category missing",IF(H1613="",IF(COUNTIF(Categories!$A$6:$A$65,C1613)&gt;0,"Category has no type","Category not in list"),IF(D1613="","Amount missing",IF(NOT(ISNUMBER(D1613)),"Amount is not a number",IF(F1613="","",IF(ISNA(MATCH(F1613,Lists!$G$2:$G$25,0)),"Goal / fund not in list",IF(H1613="Income","Fund tag ignored on income","")))))))))))</f>
        <v/>
      </c>
    </row>
    <row r="1614">
      <c r="A1614" s="27" t="n"/>
      <c r="B1614" s="23" t="n"/>
      <c r="C1614" s="23" t="n"/>
      <c r="D1614" s="28" t="n"/>
      <c r="E1614" s="23" t="n"/>
      <c r="F1614" s="23" t="n"/>
      <c r="G1614" s="23" t="n"/>
      <c r="H1614" s="29">
        <f>IF(C1614="","",IFERROR(INDEX(Categories!$B$6:$B$65,MATCH(C1614,Categories!$A$6:$A$65,0))&amp;"",""))</f>
        <v/>
      </c>
      <c r="I1614" s="25">
        <f>IF(AND(A1614="",C1614="",D1614=""),"",IF(A1614="","Date missing",IF(NOT(ISNUMBER(A1614)),"Date not recognized",IF(YEAR(A1614)&lt;&gt;Settings!$C$4,"Not in "&amp;Settings!$C$4,IF(C1614="","Category missing",IF(H1614="",IF(COUNTIF(Categories!$A$6:$A$65,C1614)&gt;0,"Category has no type","Category not in list"),IF(D1614="","Amount missing",IF(NOT(ISNUMBER(D1614)),"Amount is not a number",IF(F1614="","",IF(ISNA(MATCH(F1614,Lists!$G$2:$G$25,0)),"Goal / fund not in list",IF(H1614="Income","Fund tag ignored on income","")))))))))))</f>
        <v/>
      </c>
    </row>
    <row r="1615">
      <c r="A1615" s="27" t="n"/>
      <c r="B1615" s="23" t="n"/>
      <c r="C1615" s="23" t="n"/>
      <c r="D1615" s="28" t="n"/>
      <c r="E1615" s="23" t="n"/>
      <c r="F1615" s="23" t="n"/>
      <c r="G1615" s="23" t="n"/>
      <c r="H1615" s="29">
        <f>IF(C1615="","",IFERROR(INDEX(Categories!$B$6:$B$65,MATCH(C1615,Categories!$A$6:$A$65,0))&amp;"",""))</f>
        <v/>
      </c>
      <c r="I1615" s="25">
        <f>IF(AND(A1615="",C1615="",D1615=""),"",IF(A1615="","Date missing",IF(NOT(ISNUMBER(A1615)),"Date not recognized",IF(YEAR(A1615)&lt;&gt;Settings!$C$4,"Not in "&amp;Settings!$C$4,IF(C1615="","Category missing",IF(H1615="",IF(COUNTIF(Categories!$A$6:$A$65,C1615)&gt;0,"Category has no type","Category not in list"),IF(D1615="","Amount missing",IF(NOT(ISNUMBER(D1615)),"Amount is not a number",IF(F1615="","",IF(ISNA(MATCH(F1615,Lists!$G$2:$G$25,0)),"Goal / fund not in list",IF(H1615="Income","Fund tag ignored on income","")))))))))))</f>
        <v/>
      </c>
    </row>
    <row r="1616">
      <c r="A1616" s="27" t="n"/>
      <c r="B1616" s="23" t="n"/>
      <c r="C1616" s="23" t="n"/>
      <c r="D1616" s="28" t="n"/>
      <c r="E1616" s="23" t="n"/>
      <c r="F1616" s="23" t="n"/>
      <c r="G1616" s="23" t="n"/>
      <c r="H1616" s="29">
        <f>IF(C1616="","",IFERROR(INDEX(Categories!$B$6:$B$65,MATCH(C1616,Categories!$A$6:$A$65,0))&amp;"",""))</f>
        <v/>
      </c>
      <c r="I1616" s="25">
        <f>IF(AND(A1616="",C1616="",D1616=""),"",IF(A1616="","Date missing",IF(NOT(ISNUMBER(A1616)),"Date not recognized",IF(YEAR(A1616)&lt;&gt;Settings!$C$4,"Not in "&amp;Settings!$C$4,IF(C1616="","Category missing",IF(H1616="",IF(COUNTIF(Categories!$A$6:$A$65,C1616)&gt;0,"Category has no type","Category not in list"),IF(D1616="","Amount missing",IF(NOT(ISNUMBER(D1616)),"Amount is not a number",IF(F1616="","",IF(ISNA(MATCH(F1616,Lists!$G$2:$G$25,0)),"Goal / fund not in list",IF(H1616="Income","Fund tag ignored on income","")))))))))))</f>
        <v/>
      </c>
    </row>
    <row r="1617">
      <c r="A1617" s="27" t="n"/>
      <c r="B1617" s="23" t="n"/>
      <c r="C1617" s="23" t="n"/>
      <c r="D1617" s="28" t="n"/>
      <c r="E1617" s="23" t="n"/>
      <c r="F1617" s="23" t="n"/>
      <c r="G1617" s="23" t="n"/>
      <c r="H1617" s="29">
        <f>IF(C1617="","",IFERROR(INDEX(Categories!$B$6:$B$65,MATCH(C1617,Categories!$A$6:$A$65,0))&amp;"",""))</f>
        <v/>
      </c>
      <c r="I1617" s="25">
        <f>IF(AND(A1617="",C1617="",D1617=""),"",IF(A1617="","Date missing",IF(NOT(ISNUMBER(A1617)),"Date not recognized",IF(YEAR(A1617)&lt;&gt;Settings!$C$4,"Not in "&amp;Settings!$C$4,IF(C1617="","Category missing",IF(H1617="",IF(COUNTIF(Categories!$A$6:$A$65,C1617)&gt;0,"Category has no type","Category not in list"),IF(D1617="","Amount missing",IF(NOT(ISNUMBER(D1617)),"Amount is not a number",IF(F1617="","",IF(ISNA(MATCH(F1617,Lists!$G$2:$G$25,0)),"Goal / fund not in list",IF(H1617="Income","Fund tag ignored on income","")))))))))))</f>
        <v/>
      </c>
    </row>
    <row r="1618">
      <c r="A1618" s="27" t="n"/>
      <c r="B1618" s="23" t="n"/>
      <c r="C1618" s="23" t="n"/>
      <c r="D1618" s="28" t="n"/>
      <c r="E1618" s="23" t="n"/>
      <c r="F1618" s="23" t="n"/>
      <c r="G1618" s="23" t="n"/>
      <c r="H1618" s="29">
        <f>IF(C1618="","",IFERROR(INDEX(Categories!$B$6:$B$65,MATCH(C1618,Categories!$A$6:$A$65,0))&amp;"",""))</f>
        <v/>
      </c>
      <c r="I1618" s="25">
        <f>IF(AND(A1618="",C1618="",D1618=""),"",IF(A1618="","Date missing",IF(NOT(ISNUMBER(A1618)),"Date not recognized",IF(YEAR(A1618)&lt;&gt;Settings!$C$4,"Not in "&amp;Settings!$C$4,IF(C1618="","Category missing",IF(H1618="",IF(COUNTIF(Categories!$A$6:$A$65,C1618)&gt;0,"Category has no type","Category not in list"),IF(D1618="","Amount missing",IF(NOT(ISNUMBER(D1618)),"Amount is not a number",IF(F1618="","",IF(ISNA(MATCH(F1618,Lists!$G$2:$G$25,0)),"Goal / fund not in list",IF(H1618="Income","Fund tag ignored on income","")))))))))))</f>
        <v/>
      </c>
    </row>
    <row r="1619">
      <c r="A1619" s="27" t="n"/>
      <c r="B1619" s="23" t="n"/>
      <c r="C1619" s="23" t="n"/>
      <c r="D1619" s="28" t="n"/>
      <c r="E1619" s="23" t="n"/>
      <c r="F1619" s="23" t="n"/>
      <c r="G1619" s="23" t="n"/>
      <c r="H1619" s="29">
        <f>IF(C1619="","",IFERROR(INDEX(Categories!$B$6:$B$65,MATCH(C1619,Categories!$A$6:$A$65,0))&amp;"",""))</f>
        <v/>
      </c>
      <c r="I1619" s="25">
        <f>IF(AND(A1619="",C1619="",D1619=""),"",IF(A1619="","Date missing",IF(NOT(ISNUMBER(A1619)),"Date not recognized",IF(YEAR(A1619)&lt;&gt;Settings!$C$4,"Not in "&amp;Settings!$C$4,IF(C1619="","Category missing",IF(H1619="",IF(COUNTIF(Categories!$A$6:$A$65,C1619)&gt;0,"Category has no type","Category not in list"),IF(D1619="","Amount missing",IF(NOT(ISNUMBER(D1619)),"Amount is not a number",IF(F1619="","",IF(ISNA(MATCH(F1619,Lists!$G$2:$G$25,0)),"Goal / fund not in list",IF(H1619="Income","Fund tag ignored on income","")))))))))))</f>
        <v/>
      </c>
    </row>
    <row r="1620">
      <c r="A1620" s="27" t="n"/>
      <c r="B1620" s="23" t="n"/>
      <c r="C1620" s="23" t="n"/>
      <c r="D1620" s="28" t="n"/>
      <c r="E1620" s="23" t="n"/>
      <c r="F1620" s="23" t="n"/>
      <c r="G1620" s="23" t="n"/>
      <c r="H1620" s="29">
        <f>IF(C1620="","",IFERROR(INDEX(Categories!$B$6:$B$65,MATCH(C1620,Categories!$A$6:$A$65,0))&amp;"",""))</f>
        <v/>
      </c>
      <c r="I1620" s="25">
        <f>IF(AND(A1620="",C1620="",D1620=""),"",IF(A1620="","Date missing",IF(NOT(ISNUMBER(A1620)),"Date not recognized",IF(YEAR(A1620)&lt;&gt;Settings!$C$4,"Not in "&amp;Settings!$C$4,IF(C1620="","Category missing",IF(H1620="",IF(COUNTIF(Categories!$A$6:$A$65,C1620)&gt;0,"Category has no type","Category not in list"),IF(D1620="","Amount missing",IF(NOT(ISNUMBER(D1620)),"Amount is not a number",IF(F1620="","",IF(ISNA(MATCH(F1620,Lists!$G$2:$G$25,0)),"Goal / fund not in list",IF(H1620="Income","Fund tag ignored on income","")))))))))))</f>
        <v/>
      </c>
    </row>
    <row r="1621">
      <c r="A1621" s="27" t="n"/>
      <c r="B1621" s="23" t="n"/>
      <c r="C1621" s="23" t="n"/>
      <c r="D1621" s="28" t="n"/>
      <c r="E1621" s="23" t="n"/>
      <c r="F1621" s="23" t="n"/>
      <c r="G1621" s="23" t="n"/>
      <c r="H1621" s="29">
        <f>IF(C1621="","",IFERROR(INDEX(Categories!$B$6:$B$65,MATCH(C1621,Categories!$A$6:$A$65,0))&amp;"",""))</f>
        <v/>
      </c>
      <c r="I1621" s="25">
        <f>IF(AND(A1621="",C1621="",D1621=""),"",IF(A1621="","Date missing",IF(NOT(ISNUMBER(A1621)),"Date not recognized",IF(YEAR(A1621)&lt;&gt;Settings!$C$4,"Not in "&amp;Settings!$C$4,IF(C1621="","Category missing",IF(H1621="",IF(COUNTIF(Categories!$A$6:$A$65,C1621)&gt;0,"Category has no type","Category not in list"),IF(D1621="","Amount missing",IF(NOT(ISNUMBER(D1621)),"Amount is not a number",IF(F1621="","",IF(ISNA(MATCH(F1621,Lists!$G$2:$G$25,0)),"Goal / fund not in list",IF(H1621="Income","Fund tag ignored on income","")))))))))))</f>
        <v/>
      </c>
    </row>
    <row r="1622">
      <c r="A1622" s="27" t="n"/>
      <c r="B1622" s="23" t="n"/>
      <c r="C1622" s="23" t="n"/>
      <c r="D1622" s="28" t="n"/>
      <c r="E1622" s="23" t="n"/>
      <c r="F1622" s="23" t="n"/>
      <c r="G1622" s="23" t="n"/>
      <c r="H1622" s="29">
        <f>IF(C1622="","",IFERROR(INDEX(Categories!$B$6:$B$65,MATCH(C1622,Categories!$A$6:$A$65,0))&amp;"",""))</f>
        <v/>
      </c>
      <c r="I1622" s="25">
        <f>IF(AND(A1622="",C1622="",D1622=""),"",IF(A1622="","Date missing",IF(NOT(ISNUMBER(A1622)),"Date not recognized",IF(YEAR(A1622)&lt;&gt;Settings!$C$4,"Not in "&amp;Settings!$C$4,IF(C1622="","Category missing",IF(H1622="",IF(COUNTIF(Categories!$A$6:$A$65,C1622)&gt;0,"Category has no type","Category not in list"),IF(D1622="","Amount missing",IF(NOT(ISNUMBER(D1622)),"Amount is not a number",IF(F1622="","",IF(ISNA(MATCH(F1622,Lists!$G$2:$G$25,0)),"Goal / fund not in list",IF(H1622="Income","Fund tag ignored on income","")))))))))))</f>
        <v/>
      </c>
    </row>
    <row r="1623">
      <c r="A1623" s="27" t="n"/>
      <c r="B1623" s="23" t="n"/>
      <c r="C1623" s="23" t="n"/>
      <c r="D1623" s="28" t="n"/>
      <c r="E1623" s="23" t="n"/>
      <c r="F1623" s="23" t="n"/>
      <c r="G1623" s="23" t="n"/>
      <c r="H1623" s="29">
        <f>IF(C1623="","",IFERROR(INDEX(Categories!$B$6:$B$65,MATCH(C1623,Categories!$A$6:$A$65,0))&amp;"",""))</f>
        <v/>
      </c>
      <c r="I1623" s="25">
        <f>IF(AND(A1623="",C1623="",D1623=""),"",IF(A1623="","Date missing",IF(NOT(ISNUMBER(A1623)),"Date not recognized",IF(YEAR(A1623)&lt;&gt;Settings!$C$4,"Not in "&amp;Settings!$C$4,IF(C1623="","Category missing",IF(H1623="",IF(COUNTIF(Categories!$A$6:$A$65,C1623)&gt;0,"Category has no type","Category not in list"),IF(D1623="","Amount missing",IF(NOT(ISNUMBER(D1623)),"Amount is not a number",IF(F1623="","",IF(ISNA(MATCH(F1623,Lists!$G$2:$G$25,0)),"Goal / fund not in list",IF(H1623="Income","Fund tag ignored on income","")))))))))))</f>
        <v/>
      </c>
    </row>
    <row r="1624">
      <c r="A1624" s="27" t="n"/>
      <c r="B1624" s="23" t="n"/>
      <c r="C1624" s="23" t="n"/>
      <c r="D1624" s="28" t="n"/>
      <c r="E1624" s="23" t="n"/>
      <c r="F1624" s="23" t="n"/>
      <c r="G1624" s="23" t="n"/>
      <c r="H1624" s="29">
        <f>IF(C1624="","",IFERROR(INDEX(Categories!$B$6:$B$65,MATCH(C1624,Categories!$A$6:$A$65,0))&amp;"",""))</f>
        <v/>
      </c>
      <c r="I1624" s="25">
        <f>IF(AND(A1624="",C1624="",D1624=""),"",IF(A1624="","Date missing",IF(NOT(ISNUMBER(A1624)),"Date not recognized",IF(YEAR(A1624)&lt;&gt;Settings!$C$4,"Not in "&amp;Settings!$C$4,IF(C1624="","Category missing",IF(H1624="",IF(COUNTIF(Categories!$A$6:$A$65,C1624)&gt;0,"Category has no type","Category not in list"),IF(D1624="","Amount missing",IF(NOT(ISNUMBER(D1624)),"Amount is not a number",IF(F1624="","",IF(ISNA(MATCH(F1624,Lists!$G$2:$G$25,0)),"Goal / fund not in list",IF(H1624="Income","Fund tag ignored on income","")))))))))))</f>
        <v/>
      </c>
    </row>
    <row r="1625">
      <c r="A1625" s="27" t="n"/>
      <c r="B1625" s="23" t="n"/>
      <c r="C1625" s="23" t="n"/>
      <c r="D1625" s="28" t="n"/>
      <c r="E1625" s="23" t="n"/>
      <c r="F1625" s="23" t="n"/>
      <c r="G1625" s="23" t="n"/>
      <c r="H1625" s="29">
        <f>IF(C1625="","",IFERROR(INDEX(Categories!$B$6:$B$65,MATCH(C1625,Categories!$A$6:$A$65,0))&amp;"",""))</f>
        <v/>
      </c>
      <c r="I1625" s="25">
        <f>IF(AND(A1625="",C1625="",D1625=""),"",IF(A1625="","Date missing",IF(NOT(ISNUMBER(A1625)),"Date not recognized",IF(YEAR(A1625)&lt;&gt;Settings!$C$4,"Not in "&amp;Settings!$C$4,IF(C1625="","Category missing",IF(H1625="",IF(COUNTIF(Categories!$A$6:$A$65,C1625)&gt;0,"Category has no type","Category not in list"),IF(D1625="","Amount missing",IF(NOT(ISNUMBER(D1625)),"Amount is not a number",IF(F1625="","",IF(ISNA(MATCH(F1625,Lists!$G$2:$G$25,0)),"Goal / fund not in list",IF(H1625="Income","Fund tag ignored on income","")))))))))))</f>
        <v/>
      </c>
    </row>
    <row r="1626">
      <c r="A1626" s="27" t="n"/>
      <c r="B1626" s="23" t="n"/>
      <c r="C1626" s="23" t="n"/>
      <c r="D1626" s="28" t="n"/>
      <c r="E1626" s="23" t="n"/>
      <c r="F1626" s="23" t="n"/>
      <c r="G1626" s="23" t="n"/>
      <c r="H1626" s="29">
        <f>IF(C1626="","",IFERROR(INDEX(Categories!$B$6:$B$65,MATCH(C1626,Categories!$A$6:$A$65,0))&amp;"",""))</f>
        <v/>
      </c>
      <c r="I1626" s="25">
        <f>IF(AND(A1626="",C1626="",D1626=""),"",IF(A1626="","Date missing",IF(NOT(ISNUMBER(A1626)),"Date not recognized",IF(YEAR(A1626)&lt;&gt;Settings!$C$4,"Not in "&amp;Settings!$C$4,IF(C1626="","Category missing",IF(H1626="",IF(COUNTIF(Categories!$A$6:$A$65,C1626)&gt;0,"Category has no type","Category not in list"),IF(D1626="","Amount missing",IF(NOT(ISNUMBER(D1626)),"Amount is not a number",IF(F1626="","",IF(ISNA(MATCH(F1626,Lists!$G$2:$G$25,0)),"Goal / fund not in list",IF(H1626="Income","Fund tag ignored on income","")))))))))))</f>
        <v/>
      </c>
    </row>
    <row r="1627">
      <c r="A1627" s="27" t="n"/>
      <c r="B1627" s="23" t="n"/>
      <c r="C1627" s="23" t="n"/>
      <c r="D1627" s="28" t="n"/>
      <c r="E1627" s="23" t="n"/>
      <c r="F1627" s="23" t="n"/>
      <c r="G1627" s="23" t="n"/>
      <c r="H1627" s="29">
        <f>IF(C1627="","",IFERROR(INDEX(Categories!$B$6:$B$65,MATCH(C1627,Categories!$A$6:$A$65,0))&amp;"",""))</f>
        <v/>
      </c>
      <c r="I1627" s="25">
        <f>IF(AND(A1627="",C1627="",D1627=""),"",IF(A1627="","Date missing",IF(NOT(ISNUMBER(A1627)),"Date not recognized",IF(YEAR(A1627)&lt;&gt;Settings!$C$4,"Not in "&amp;Settings!$C$4,IF(C1627="","Category missing",IF(H1627="",IF(COUNTIF(Categories!$A$6:$A$65,C1627)&gt;0,"Category has no type","Category not in list"),IF(D1627="","Amount missing",IF(NOT(ISNUMBER(D1627)),"Amount is not a number",IF(F1627="","",IF(ISNA(MATCH(F1627,Lists!$G$2:$G$25,0)),"Goal / fund not in list",IF(H1627="Income","Fund tag ignored on income","")))))))))))</f>
        <v/>
      </c>
    </row>
    <row r="1628">
      <c r="A1628" s="27" t="n"/>
      <c r="B1628" s="23" t="n"/>
      <c r="C1628" s="23" t="n"/>
      <c r="D1628" s="28" t="n"/>
      <c r="E1628" s="23" t="n"/>
      <c r="F1628" s="23" t="n"/>
      <c r="G1628" s="23" t="n"/>
      <c r="H1628" s="29">
        <f>IF(C1628="","",IFERROR(INDEX(Categories!$B$6:$B$65,MATCH(C1628,Categories!$A$6:$A$65,0))&amp;"",""))</f>
        <v/>
      </c>
      <c r="I1628" s="25">
        <f>IF(AND(A1628="",C1628="",D1628=""),"",IF(A1628="","Date missing",IF(NOT(ISNUMBER(A1628)),"Date not recognized",IF(YEAR(A1628)&lt;&gt;Settings!$C$4,"Not in "&amp;Settings!$C$4,IF(C1628="","Category missing",IF(H1628="",IF(COUNTIF(Categories!$A$6:$A$65,C1628)&gt;0,"Category has no type","Category not in list"),IF(D1628="","Amount missing",IF(NOT(ISNUMBER(D1628)),"Amount is not a number",IF(F1628="","",IF(ISNA(MATCH(F1628,Lists!$G$2:$G$25,0)),"Goal / fund not in list",IF(H1628="Income","Fund tag ignored on income","")))))))))))</f>
        <v/>
      </c>
    </row>
    <row r="1629">
      <c r="A1629" s="27" t="n"/>
      <c r="B1629" s="23" t="n"/>
      <c r="C1629" s="23" t="n"/>
      <c r="D1629" s="28" t="n"/>
      <c r="E1629" s="23" t="n"/>
      <c r="F1629" s="23" t="n"/>
      <c r="G1629" s="23" t="n"/>
      <c r="H1629" s="29">
        <f>IF(C1629="","",IFERROR(INDEX(Categories!$B$6:$B$65,MATCH(C1629,Categories!$A$6:$A$65,0))&amp;"",""))</f>
        <v/>
      </c>
      <c r="I1629" s="25">
        <f>IF(AND(A1629="",C1629="",D1629=""),"",IF(A1629="","Date missing",IF(NOT(ISNUMBER(A1629)),"Date not recognized",IF(YEAR(A1629)&lt;&gt;Settings!$C$4,"Not in "&amp;Settings!$C$4,IF(C1629="","Category missing",IF(H1629="",IF(COUNTIF(Categories!$A$6:$A$65,C1629)&gt;0,"Category has no type","Category not in list"),IF(D1629="","Amount missing",IF(NOT(ISNUMBER(D1629)),"Amount is not a number",IF(F1629="","",IF(ISNA(MATCH(F1629,Lists!$G$2:$G$25,0)),"Goal / fund not in list",IF(H1629="Income","Fund tag ignored on income","")))))))))))</f>
        <v/>
      </c>
    </row>
    <row r="1630">
      <c r="A1630" s="27" t="n"/>
      <c r="B1630" s="23" t="n"/>
      <c r="C1630" s="23" t="n"/>
      <c r="D1630" s="28" t="n"/>
      <c r="E1630" s="23" t="n"/>
      <c r="F1630" s="23" t="n"/>
      <c r="G1630" s="23" t="n"/>
      <c r="H1630" s="29">
        <f>IF(C1630="","",IFERROR(INDEX(Categories!$B$6:$B$65,MATCH(C1630,Categories!$A$6:$A$65,0))&amp;"",""))</f>
        <v/>
      </c>
      <c r="I1630" s="25">
        <f>IF(AND(A1630="",C1630="",D1630=""),"",IF(A1630="","Date missing",IF(NOT(ISNUMBER(A1630)),"Date not recognized",IF(YEAR(A1630)&lt;&gt;Settings!$C$4,"Not in "&amp;Settings!$C$4,IF(C1630="","Category missing",IF(H1630="",IF(COUNTIF(Categories!$A$6:$A$65,C1630)&gt;0,"Category has no type","Category not in list"),IF(D1630="","Amount missing",IF(NOT(ISNUMBER(D1630)),"Amount is not a number",IF(F1630="","",IF(ISNA(MATCH(F1630,Lists!$G$2:$G$25,0)),"Goal / fund not in list",IF(H1630="Income","Fund tag ignored on income","")))))))))))</f>
        <v/>
      </c>
    </row>
    <row r="1631">
      <c r="A1631" s="27" t="n"/>
      <c r="B1631" s="23" t="n"/>
      <c r="C1631" s="23" t="n"/>
      <c r="D1631" s="28" t="n"/>
      <c r="E1631" s="23" t="n"/>
      <c r="F1631" s="23" t="n"/>
      <c r="G1631" s="23" t="n"/>
      <c r="H1631" s="29">
        <f>IF(C1631="","",IFERROR(INDEX(Categories!$B$6:$B$65,MATCH(C1631,Categories!$A$6:$A$65,0))&amp;"",""))</f>
        <v/>
      </c>
      <c r="I1631" s="25">
        <f>IF(AND(A1631="",C1631="",D1631=""),"",IF(A1631="","Date missing",IF(NOT(ISNUMBER(A1631)),"Date not recognized",IF(YEAR(A1631)&lt;&gt;Settings!$C$4,"Not in "&amp;Settings!$C$4,IF(C1631="","Category missing",IF(H1631="",IF(COUNTIF(Categories!$A$6:$A$65,C1631)&gt;0,"Category has no type","Category not in list"),IF(D1631="","Amount missing",IF(NOT(ISNUMBER(D1631)),"Amount is not a number",IF(F1631="","",IF(ISNA(MATCH(F1631,Lists!$G$2:$G$25,0)),"Goal / fund not in list",IF(H1631="Income","Fund tag ignored on income","")))))))))))</f>
        <v/>
      </c>
    </row>
    <row r="1632">
      <c r="A1632" s="27" t="n"/>
      <c r="B1632" s="23" t="n"/>
      <c r="C1632" s="23" t="n"/>
      <c r="D1632" s="28" t="n"/>
      <c r="E1632" s="23" t="n"/>
      <c r="F1632" s="23" t="n"/>
      <c r="G1632" s="23" t="n"/>
      <c r="H1632" s="29">
        <f>IF(C1632="","",IFERROR(INDEX(Categories!$B$6:$B$65,MATCH(C1632,Categories!$A$6:$A$65,0))&amp;"",""))</f>
        <v/>
      </c>
      <c r="I1632" s="25">
        <f>IF(AND(A1632="",C1632="",D1632=""),"",IF(A1632="","Date missing",IF(NOT(ISNUMBER(A1632)),"Date not recognized",IF(YEAR(A1632)&lt;&gt;Settings!$C$4,"Not in "&amp;Settings!$C$4,IF(C1632="","Category missing",IF(H1632="",IF(COUNTIF(Categories!$A$6:$A$65,C1632)&gt;0,"Category has no type","Category not in list"),IF(D1632="","Amount missing",IF(NOT(ISNUMBER(D1632)),"Amount is not a number",IF(F1632="","",IF(ISNA(MATCH(F1632,Lists!$G$2:$G$25,0)),"Goal / fund not in list",IF(H1632="Income","Fund tag ignored on income","")))))))))))</f>
        <v/>
      </c>
    </row>
    <row r="1633">
      <c r="A1633" s="27" t="n"/>
      <c r="B1633" s="23" t="n"/>
      <c r="C1633" s="23" t="n"/>
      <c r="D1633" s="28" t="n"/>
      <c r="E1633" s="23" t="n"/>
      <c r="F1633" s="23" t="n"/>
      <c r="G1633" s="23" t="n"/>
      <c r="H1633" s="29">
        <f>IF(C1633="","",IFERROR(INDEX(Categories!$B$6:$B$65,MATCH(C1633,Categories!$A$6:$A$65,0))&amp;"",""))</f>
        <v/>
      </c>
      <c r="I1633" s="25">
        <f>IF(AND(A1633="",C1633="",D1633=""),"",IF(A1633="","Date missing",IF(NOT(ISNUMBER(A1633)),"Date not recognized",IF(YEAR(A1633)&lt;&gt;Settings!$C$4,"Not in "&amp;Settings!$C$4,IF(C1633="","Category missing",IF(H1633="",IF(COUNTIF(Categories!$A$6:$A$65,C1633)&gt;0,"Category has no type","Category not in list"),IF(D1633="","Amount missing",IF(NOT(ISNUMBER(D1633)),"Amount is not a number",IF(F1633="","",IF(ISNA(MATCH(F1633,Lists!$G$2:$G$25,0)),"Goal / fund not in list",IF(H1633="Income","Fund tag ignored on income","")))))))))))</f>
        <v/>
      </c>
    </row>
    <row r="1634">
      <c r="A1634" s="27" t="n"/>
      <c r="B1634" s="23" t="n"/>
      <c r="C1634" s="23" t="n"/>
      <c r="D1634" s="28" t="n"/>
      <c r="E1634" s="23" t="n"/>
      <c r="F1634" s="23" t="n"/>
      <c r="G1634" s="23" t="n"/>
      <c r="H1634" s="29">
        <f>IF(C1634="","",IFERROR(INDEX(Categories!$B$6:$B$65,MATCH(C1634,Categories!$A$6:$A$65,0))&amp;"",""))</f>
        <v/>
      </c>
      <c r="I1634" s="25">
        <f>IF(AND(A1634="",C1634="",D1634=""),"",IF(A1634="","Date missing",IF(NOT(ISNUMBER(A1634)),"Date not recognized",IF(YEAR(A1634)&lt;&gt;Settings!$C$4,"Not in "&amp;Settings!$C$4,IF(C1634="","Category missing",IF(H1634="",IF(COUNTIF(Categories!$A$6:$A$65,C1634)&gt;0,"Category has no type","Category not in list"),IF(D1634="","Amount missing",IF(NOT(ISNUMBER(D1634)),"Amount is not a number",IF(F1634="","",IF(ISNA(MATCH(F1634,Lists!$G$2:$G$25,0)),"Goal / fund not in list",IF(H1634="Income","Fund tag ignored on income","")))))))))))</f>
        <v/>
      </c>
    </row>
    <row r="1635">
      <c r="A1635" s="27" t="n"/>
      <c r="B1635" s="23" t="n"/>
      <c r="C1635" s="23" t="n"/>
      <c r="D1635" s="28" t="n"/>
      <c r="E1635" s="23" t="n"/>
      <c r="F1635" s="23" t="n"/>
      <c r="G1635" s="23" t="n"/>
      <c r="H1635" s="29">
        <f>IF(C1635="","",IFERROR(INDEX(Categories!$B$6:$B$65,MATCH(C1635,Categories!$A$6:$A$65,0))&amp;"",""))</f>
        <v/>
      </c>
      <c r="I1635" s="25">
        <f>IF(AND(A1635="",C1635="",D1635=""),"",IF(A1635="","Date missing",IF(NOT(ISNUMBER(A1635)),"Date not recognized",IF(YEAR(A1635)&lt;&gt;Settings!$C$4,"Not in "&amp;Settings!$C$4,IF(C1635="","Category missing",IF(H1635="",IF(COUNTIF(Categories!$A$6:$A$65,C1635)&gt;0,"Category has no type","Category not in list"),IF(D1635="","Amount missing",IF(NOT(ISNUMBER(D1635)),"Amount is not a number",IF(F1635="","",IF(ISNA(MATCH(F1635,Lists!$G$2:$G$25,0)),"Goal / fund not in list",IF(H1635="Income","Fund tag ignored on income","")))))))))))</f>
        <v/>
      </c>
    </row>
    <row r="1636">
      <c r="A1636" s="27" t="n"/>
      <c r="B1636" s="23" t="n"/>
      <c r="C1636" s="23" t="n"/>
      <c r="D1636" s="28" t="n"/>
      <c r="E1636" s="23" t="n"/>
      <c r="F1636" s="23" t="n"/>
      <c r="G1636" s="23" t="n"/>
      <c r="H1636" s="29">
        <f>IF(C1636="","",IFERROR(INDEX(Categories!$B$6:$B$65,MATCH(C1636,Categories!$A$6:$A$65,0))&amp;"",""))</f>
        <v/>
      </c>
      <c r="I1636" s="25">
        <f>IF(AND(A1636="",C1636="",D1636=""),"",IF(A1636="","Date missing",IF(NOT(ISNUMBER(A1636)),"Date not recognized",IF(YEAR(A1636)&lt;&gt;Settings!$C$4,"Not in "&amp;Settings!$C$4,IF(C1636="","Category missing",IF(H1636="",IF(COUNTIF(Categories!$A$6:$A$65,C1636)&gt;0,"Category has no type","Category not in list"),IF(D1636="","Amount missing",IF(NOT(ISNUMBER(D1636)),"Amount is not a number",IF(F1636="","",IF(ISNA(MATCH(F1636,Lists!$G$2:$G$25,0)),"Goal / fund not in list",IF(H1636="Income","Fund tag ignored on income","")))))))))))</f>
        <v/>
      </c>
    </row>
    <row r="1637">
      <c r="A1637" s="27" t="n"/>
      <c r="B1637" s="23" t="n"/>
      <c r="C1637" s="23" t="n"/>
      <c r="D1637" s="28" t="n"/>
      <c r="E1637" s="23" t="n"/>
      <c r="F1637" s="23" t="n"/>
      <c r="G1637" s="23" t="n"/>
      <c r="H1637" s="29">
        <f>IF(C1637="","",IFERROR(INDEX(Categories!$B$6:$B$65,MATCH(C1637,Categories!$A$6:$A$65,0))&amp;"",""))</f>
        <v/>
      </c>
      <c r="I1637" s="25">
        <f>IF(AND(A1637="",C1637="",D1637=""),"",IF(A1637="","Date missing",IF(NOT(ISNUMBER(A1637)),"Date not recognized",IF(YEAR(A1637)&lt;&gt;Settings!$C$4,"Not in "&amp;Settings!$C$4,IF(C1637="","Category missing",IF(H1637="",IF(COUNTIF(Categories!$A$6:$A$65,C1637)&gt;0,"Category has no type","Category not in list"),IF(D1637="","Amount missing",IF(NOT(ISNUMBER(D1637)),"Amount is not a number",IF(F1637="","",IF(ISNA(MATCH(F1637,Lists!$G$2:$G$25,0)),"Goal / fund not in list",IF(H1637="Income","Fund tag ignored on income","")))))))))))</f>
        <v/>
      </c>
    </row>
    <row r="1638">
      <c r="A1638" s="27" t="n"/>
      <c r="B1638" s="23" t="n"/>
      <c r="C1638" s="23" t="n"/>
      <c r="D1638" s="28" t="n"/>
      <c r="E1638" s="23" t="n"/>
      <c r="F1638" s="23" t="n"/>
      <c r="G1638" s="23" t="n"/>
      <c r="H1638" s="29">
        <f>IF(C1638="","",IFERROR(INDEX(Categories!$B$6:$B$65,MATCH(C1638,Categories!$A$6:$A$65,0))&amp;"",""))</f>
        <v/>
      </c>
      <c r="I1638" s="25">
        <f>IF(AND(A1638="",C1638="",D1638=""),"",IF(A1638="","Date missing",IF(NOT(ISNUMBER(A1638)),"Date not recognized",IF(YEAR(A1638)&lt;&gt;Settings!$C$4,"Not in "&amp;Settings!$C$4,IF(C1638="","Category missing",IF(H1638="",IF(COUNTIF(Categories!$A$6:$A$65,C1638)&gt;0,"Category has no type","Category not in list"),IF(D1638="","Amount missing",IF(NOT(ISNUMBER(D1638)),"Amount is not a number",IF(F1638="","",IF(ISNA(MATCH(F1638,Lists!$G$2:$G$25,0)),"Goal / fund not in list",IF(H1638="Income","Fund tag ignored on income","")))))))))))</f>
        <v/>
      </c>
    </row>
    <row r="1639">
      <c r="A1639" s="27" t="n"/>
      <c r="B1639" s="23" t="n"/>
      <c r="C1639" s="23" t="n"/>
      <c r="D1639" s="28" t="n"/>
      <c r="E1639" s="23" t="n"/>
      <c r="F1639" s="23" t="n"/>
      <c r="G1639" s="23" t="n"/>
      <c r="H1639" s="29">
        <f>IF(C1639="","",IFERROR(INDEX(Categories!$B$6:$B$65,MATCH(C1639,Categories!$A$6:$A$65,0))&amp;"",""))</f>
        <v/>
      </c>
      <c r="I1639" s="25">
        <f>IF(AND(A1639="",C1639="",D1639=""),"",IF(A1639="","Date missing",IF(NOT(ISNUMBER(A1639)),"Date not recognized",IF(YEAR(A1639)&lt;&gt;Settings!$C$4,"Not in "&amp;Settings!$C$4,IF(C1639="","Category missing",IF(H1639="",IF(COUNTIF(Categories!$A$6:$A$65,C1639)&gt;0,"Category has no type","Category not in list"),IF(D1639="","Amount missing",IF(NOT(ISNUMBER(D1639)),"Amount is not a number",IF(F1639="","",IF(ISNA(MATCH(F1639,Lists!$G$2:$G$25,0)),"Goal / fund not in list",IF(H1639="Income","Fund tag ignored on income","")))))))))))</f>
        <v/>
      </c>
    </row>
    <row r="1640">
      <c r="A1640" s="27" t="n"/>
      <c r="B1640" s="23" t="n"/>
      <c r="C1640" s="23" t="n"/>
      <c r="D1640" s="28" t="n"/>
      <c r="E1640" s="23" t="n"/>
      <c r="F1640" s="23" t="n"/>
      <c r="G1640" s="23" t="n"/>
      <c r="H1640" s="29">
        <f>IF(C1640="","",IFERROR(INDEX(Categories!$B$6:$B$65,MATCH(C1640,Categories!$A$6:$A$65,0))&amp;"",""))</f>
        <v/>
      </c>
      <c r="I1640" s="25">
        <f>IF(AND(A1640="",C1640="",D1640=""),"",IF(A1640="","Date missing",IF(NOT(ISNUMBER(A1640)),"Date not recognized",IF(YEAR(A1640)&lt;&gt;Settings!$C$4,"Not in "&amp;Settings!$C$4,IF(C1640="","Category missing",IF(H1640="",IF(COUNTIF(Categories!$A$6:$A$65,C1640)&gt;0,"Category has no type","Category not in list"),IF(D1640="","Amount missing",IF(NOT(ISNUMBER(D1640)),"Amount is not a number",IF(F1640="","",IF(ISNA(MATCH(F1640,Lists!$G$2:$G$25,0)),"Goal / fund not in list",IF(H1640="Income","Fund tag ignored on income","")))))))))))</f>
        <v/>
      </c>
    </row>
    <row r="1641">
      <c r="A1641" s="27" t="n"/>
      <c r="B1641" s="23" t="n"/>
      <c r="C1641" s="23" t="n"/>
      <c r="D1641" s="28" t="n"/>
      <c r="E1641" s="23" t="n"/>
      <c r="F1641" s="23" t="n"/>
      <c r="G1641" s="23" t="n"/>
      <c r="H1641" s="29">
        <f>IF(C1641="","",IFERROR(INDEX(Categories!$B$6:$B$65,MATCH(C1641,Categories!$A$6:$A$65,0))&amp;"",""))</f>
        <v/>
      </c>
      <c r="I1641" s="25">
        <f>IF(AND(A1641="",C1641="",D1641=""),"",IF(A1641="","Date missing",IF(NOT(ISNUMBER(A1641)),"Date not recognized",IF(YEAR(A1641)&lt;&gt;Settings!$C$4,"Not in "&amp;Settings!$C$4,IF(C1641="","Category missing",IF(H1641="",IF(COUNTIF(Categories!$A$6:$A$65,C1641)&gt;0,"Category has no type","Category not in list"),IF(D1641="","Amount missing",IF(NOT(ISNUMBER(D1641)),"Amount is not a number",IF(F1641="","",IF(ISNA(MATCH(F1641,Lists!$G$2:$G$25,0)),"Goal / fund not in list",IF(H1641="Income","Fund tag ignored on income","")))))))))))</f>
        <v/>
      </c>
    </row>
    <row r="1642">
      <c r="A1642" s="27" t="n"/>
      <c r="B1642" s="23" t="n"/>
      <c r="C1642" s="23" t="n"/>
      <c r="D1642" s="28" t="n"/>
      <c r="E1642" s="23" t="n"/>
      <c r="F1642" s="23" t="n"/>
      <c r="G1642" s="23" t="n"/>
      <c r="H1642" s="29">
        <f>IF(C1642="","",IFERROR(INDEX(Categories!$B$6:$B$65,MATCH(C1642,Categories!$A$6:$A$65,0))&amp;"",""))</f>
        <v/>
      </c>
      <c r="I1642" s="25">
        <f>IF(AND(A1642="",C1642="",D1642=""),"",IF(A1642="","Date missing",IF(NOT(ISNUMBER(A1642)),"Date not recognized",IF(YEAR(A1642)&lt;&gt;Settings!$C$4,"Not in "&amp;Settings!$C$4,IF(C1642="","Category missing",IF(H1642="",IF(COUNTIF(Categories!$A$6:$A$65,C1642)&gt;0,"Category has no type","Category not in list"),IF(D1642="","Amount missing",IF(NOT(ISNUMBER(D1642)),"Amount is not a number",IF(F1642="","",IF(ISNA(MATCH(F1642,Lists!$G$2:$G$25,0)),"Goal / fund not in list",IF(H1642="Income","Fund tag ignored on income","")))))))))))</f>
        <v/>
      </c>
    </row>
    <row r="1643">
      <c r="A1643" s="27" t="n"/>
      <c r="B1643" s="23" t="n"/>
      <c r="C1643" s="23" t="n"/>
      <c r="D1643" s="28" t="n"/>
      <c r="E1643" s="23" t="n"/>
      <c r="F1643" s="23" t="n"/>
      <c r="G1643" s="23" t="n"/>
      <c r="H1643" s="29">
        <f>IF(C1643="","",IFERROR(INDEX(Categories!$B$6:$B$65,MATCH(C1643,Categories!$A$6:$A$65,0))&amp;"",""))</f>
        <v/>
      </c>
      <c r="I1643" s="25">
        <f>IF(AND(A1643="",C1643="",D1643=""),"",IF(A1643="","Date missing",IF(NOT(ISNUMBER(A1643)),"Date not recognized",IF(YEAR(A1643)&lt;&gt;Settings!$C$4,"Not in "&amp;Settings!$C$4,IF(C1643="","Category missing",IF(H1643="",IF(COUNTIF(Categories!$A$6:$A$65,C1643)&gt;0,"Category has no type","Category not in list"),IF(D1643="","Amount missing",IF(NOT(ISNUMBER(D1643)),"Amount is not a number",IF(F1643="","",IF(ISNA(MATCH(F1643,Lists!$G$2:$G$25,0)),"Goal / fund not in list",IF(H1643="Income","Fund tag ignored on income","")))))))))))</f>
        <v/>
      </c>
    </row>
    <row r="1644">
      <c r="A1644" s="27" t="n"/>
      <c r="B1644" s="23" t="n"/>
      <c r="C1644" s="23" t="n"/>
      <c r="D1644" s="28" t="n"/>
      <c r="E1644" s="23" t="n"/>
      <c r="F1644" s="23" t="n"/>
      <c r="G1644" s="23" t="n"/>
      <c r="H1644" s="29">
        <f>IF(C1644="","",IFERROR(INDEX(Categories!$B$6:$B$65,MATCH(C1644,Categories!$A$6:$A$65,0))&amp;"",""))</f>
        <v/>
      </c>
      <c r="I1644" s="25">
        <f>IF(AND(A1644="",C1644="",D1644=""),"",IF(A1644="","Date missing",IF(NOT(ISNUMBER(A1644)),"Date not recognized",IF(YEAR(A1644)&lt;&gt;Settings!$C$4,"Not in "&amp;Settings!$C$4,IF(C1644="","Category missing",IF(H1644="",IF(COUNTIF(Categories!$A$6:$A$65,C1644)&gt;0,"Category has no type","Category not in list"),IF(D1644="","Amount missing",IF(NOT(ISNUMBER(D1644)),"Amount is not a number",IF(F1644="","",IF(ISNA(MATCH(F1644,Lists!$G$2:$G$25,0)),"Goal / fund not in list",IF(H1644="Income","Fund tag ignored on income","")))))))))))</f>
        <v/>
      </c>
    </row>
    <row r="1645">
      <c r="A1645" s="27" t="n"/>
      <c r="B1645" s="23" t="n"/>
      <c r="C1645" s="23" t="n"/>
      <c r="D1645" s="28" t="n"/>
      <c r="E1645" s="23" t="n"/>
      <c r="F1645" s="23" t="n"/>
      <c r="G1645" s="23" t="n"/>
      <c r="H1645" s="29">
        <f>IF(C1645="","",IFERROR(INDEX(Categories!$B$6:$B$65,MATCH(C1645,Categories!$A$6:$A$65,0))&amp;"",""))</f>
        <v/>
      </c>
      <c r="I1645" s="25">
        <f>IF(AND(A1645="",C1645="",D1645=""),"",IF(A1645="","Date missing",IF(NOT(ISNUMBER(A1645)),"Date not recognized",IF(YEAR(A1645)&lt;&gt;Settings!$C$4,"Not in "&amp;Settings!$C$4,IF(C1645="","Category missing",IF(H1645="",IF(COUNTIF(Categories!$A$6:$A$65,C1645)&gt;0,"Category has no type","Category not in list"),IF(D1645="","Amount missing",IF(NOT(ISNUMBER(D1645)),"Amount is not a number",IF(F1645="","",IF(ISNA(MATCH(F1645,Lists!$G$2:$G$25,0)),"Goal / fund not in list",IF(H1645="Income","Fund tag ignored on income","")))))))))))</f>
        <v/>
      </c>
    </row>
    <row r="1646">
      <c r="A1646" s="27" t="n"/>
      <c r="B1646" s="23" t="n"/>
      <c r="C1646" s="23" t="n"/>
      <c r="D1646" s="28" t="n"/>
      <c r="E1646" s="23" t="n"/>
      <c r="F1646" s="23" t="n"/>
      <c r="G1646" s="23" t="n"/>
      <c r="H1646" s="29">
        <f>IF(C1646="","",IFERROR(INDEX(Categories!$B$6:$B$65,MATCH(C1646,Categories!$A$6:$A$65,0))&amp;"",""))</f>
        <v/>
      </c>
      <c r="I1646" s="25">
        <f>IF(AND(A1646="",C1646="",D1646=""),"",IF(A1646="","Date missing",IF(NOT(ISNUMBER(A1646)),"Date not recognized",IF(YEAR(A1646)&lt;&gt;Settings!$C$4,"Not in "&amp;Settings!$C$4,IF(C1646="","Category missing",IF(H1646="",IF(COUNTIF(Categories!$A$6:$A$65,C1646)&gt;0,"Category has no type","Category not in list"),IF(D1646="","Amount missing",IF(NOT(ISNUMBER(D1646)),"Amount is not a number",IF(F1646="","",IF(ISNA(MATCH(F1646,Lists!$G$2:$G$25,0)),"Goal / fund not in list",IF(H1646="Income","Fund tag ignored on income","")))))))))))</f>
        <v/>
      </c>
    </row>
    <row r="1647">
      <c r="A1647" s="27" t="n"/>
      <c r="B1647" s="23" t="n"/>
      <c r="C1647" s="23" t="n"/>
      <c r="D1647" s="28" t="n"/>
      <c r="E1647" s="23" t="n"/>
      <c r="F1647" s="23" t="n"/>
      <c r="G1647" s="23" t="n"/>
      <c r="H1647" s="29">
        <f>IF(C1647="","",IFERROR(INDEX(Categories!$B$6:$B$65,MATCH(C1647,Categories!$A$6:$A$65,0))&amp;"",""))</f>
        <v/>
      </c>
      <c r="I1647" s="25">
        <f>IF(AND(A1647="",C1647="",D1647=""),"",IF(A1647="","Date missing",IF(NOT(ISNUMBER(A1647)),"Date not recognized",IF(YEAR(A1647)&lt;&gt;Settings!$C$4,"Not in "&amp;Settings!$C$4,IF(C1647="","Category missing",IF(H1647="",IF(COUNTIF(Categories!$A$6:$A$65,C1647)&gt;0,"Category has no type","Category not in list"),IF(D1647="","Amount missing",IF(NOT(ISNUMBER(D1647)),"Amount is not a number",IF(F1647="","",IF(ISNA(MATCH(F1647,Lists!$G$2:$G$25,0)),"Goal / fund not in list",IF(H1647="Income","Fund tag ignored on income","")))))))))))</f>
        <v/>
      </c>
    </row>
    <row r="1648">
      <c r="A1648" s="27" t="n"/>
      <c r="B1648" s="23" t="n"/>
      <c r="C1648" s="23" t="n"/>
      <c r="D1648" s="28" t="n"/>
      <c r="E1648" s="23" t="n"/>
      <c r="F1648" s="23" t="n"/>
      <c r="G1648" s="23" t="n"/>
      <c r="H1648" s="29">
        <f>IF(C1648="","",IFERROR(INDEX(Categories!$B$6:$B$65,MATCH(C1648,Categories!$A$6:$A$65,0))&amp;"",""))</f>
        <v/>
      </c>
      <c r="I1648" s="25">
        <f>IF(AND(A1648="",C1648="",D1648=""),"",IF(A1648="","Date missing",IF(NOT(ISNUMBER(A1648)),"Date not recognized",IF(YEAR(A1648)&lt;&gt;Settings!$C$4,"Not in "&amp;Settings!$C$4,IF(C1648="","Category missing",IF(H1648="",IF(COUNTIF(Categories!$A$6:$A$65,C1648)&gt;0,"Category has no type","Category not in list"),IF(D1648="","Amount missing",IF(NOT(ISNUMBER(D1648)),"Amount is not a number",IF(F1648="","",IF(ISNA(MATCH(F1648,Lists!$G$2:$G$25,0)),"Goal / fund not in list",IF(H1648="Income","Fund tag ignored on income","")))))))))))</f>
        <v/>
      </c>
    </row>
    <row r="1649">
      <c r="A1649" s="27" t="n"/>
      <c r="B1649" s="23" t="n"/>
      <c r="C1649" s="23" t="n"/>
      <c r="D1649" s="28" t="n"/>
      <c r="E1649" s="23" t="n"/>
      <c r="F1649" s="23" t="n"/>
      <c r="G1649" s="23" t="n"/>
      <c r="H1649" s="29">
        <f>IF(C1649="","",IFERROR(INDEX(Categories!$B$6:$B$65,MATCH(C1649,Categories!$A$6:$A$65,0))&amp;"",""))</f>
        <v/>
      </c>
      <c r="I1649" s="25">
        <f>IF(AND(A1649="",C1649="",D1649=""),"",IF(A1649="","Date missing",IF(NOT(ISNUMBER(A1649)),"Date not recognized",IF(YEAR(A1649)&lt;&gt;Settings!$C$4,"Not in "&amp;Settings!$C$4,IF(C1649="","Category missing",IF(H1649="",IF(COUNTIF(Categories!$A$6:$A$65,C1649)&gt;0,"Category has no type","Category not in list"),IF(D1649="","Amount missing",IF(NOT(ISNUMBER(D1649)),"Amount is not a number",IF(F1649="","",IF(ISNA(MATCH(F1649,Lists!$G$2:$G$25,0)),"Goal / fund not in list",IF(H1649="Income","Fund tag ignored on income","")))))))))))</f>
        <v/>
      </c>
    </row>
    <row r="1650">
      <c r="A1650" s="27" t="n"/>
      <c r="B1650" s="23" t="n"/>
      <c r="C1650" s="23" t="n"/>
      <c r="D1650" s="28" t="n"/>
      <c r="E1650" s="23" t="n"/>
      <c r="F1650" s="23" t="n"/>
      <c r="G1650" s="23" t="n"/>
      <c r="H1650" s="29">
        <f>IF(C1650="","",IFERROR(INDEX(Categories!$B$6:$B$65,MATCH(C1650,Categories!$A$6:$A$65,0))&amp;"",""))</f>
        <v/>
      </c>
      <c r="I1650" s="25">
        <f>IF(AND(A1650="",C1650="",D1650=""),"",IF(A1650="","Date missing",IF(NOT(ISNUMBER(A1650)),"Date not recognized",IF(YEAR(A1650)&lt;&gt;Settings!$C$4,"Not in "&amp;Settings!$C$4,IF(C1650="","Category missing",IF(H1650="",IF(COUNTIF(Categories!$A$6:$A$65,C1650)&gt;0,"Category has no type","Category not in list"),IF(D1650="","Amount missing",IF(NOT(ISNUMBER(D1650)),"Amount is not a number",IF(F1650="","",IF(ISNA(MATCH(F1650,Lists!$G$2:$G$25,0)),"Goal / fund not in list",IF(H1650="Income","Fund tag ignored on income","")))))))))))</f>
        <v/>
      </c>
    </row>
    <row r="1651">
      <c r="A1651" s="27" t="n"/>
      <c r="B1651" s="23" t="n"/>
      <c r="C1651" s="23" t="n"/>
      <c r="D1651" s="28" t="n"/>
      <c r="E1651" s="23" t="n"/>
      <c r="F1651" s="23" t="n"/>
      <c r="G1651" s="23" t="n"/>
      <c r="H1651" s="29">
        <f>IF(C1651="","",IFERROR(INDEX(Categories!$B$6:$B$65,MATCH(C1651,Categories!$A$6:$A$65,0))&amp;"",""))</f>
        <v/>
      </c>
      <c r="I1651" s="25">
        <f>IF(AND(A1651="",C1651="",D1651=""),"",IF(A1651="","Date missing",IF(NOT(ISNUMBER(A1651)),"Date not recognized",IF(YEAR(A1651)&lt;&gt;Settings!$C$4,"Not in "&amp;Settings!$C$4,IF(C1651="","Category missing",IF(H1651="",IF(COUNTIF(Categories!$A$6:$A$65,C1651)&gt;0,"Category has no type","Category not in list"),IF(D1651="","Amount missing",IF(NOT(ISNUMBER(D1651)),"Amount is not a number",IF(F1651="","",IF(ISNA(MATCH(F1651,Lists!$G$2:$G$25,0)),"Goal / fund not in list",IF(H1651="Income","Fund tag ignored on income","")))))))))))</f>
        <v/>
      </c>
    </row>
    <row r="1652">
      <c r="A1652" s="27" t="n"/>
      <c r="B1652" s="23" t="n"/>
      <c r="C1652" s="23" t="n"/>
      <c r="D1652" s="28" t="n"/>
      <c r="E1652" s="23" t="n"/>
      <c r="F1652" s="23" t="n"/>
      <c r="G1652" s="23" t="n"/>
      <c r="H1652" s="29">
        <f>IF(C1652="","",IFERROR(INDEX(Categories!$B$6:$B$65,MATCH(C1652,Categories!$A$6:$A$65,0))&amp;"",""))</f>
        <v/>
      </c>
      <c r="I1652" s="25">
        <f>IF(AND(A1652="",C1652="",D1652=""),"",IF(A1652="","Date missing",IF(NOT(ISNUMBER(A1652)),"Date not recognized",IF(YEAR(A1652)&lt;&gt;Settings!$C$4,"Not in "&amp;Settings!$C$4,IF(C1652="","Category missing",IF(H1652="",IF(COUNTIF(Categories!$A$6:$A$65,C1652)&gt;0,"Category has no type","Category not in list"),IF(D1652="","Amount missing",IF(NOT(ISNUMBER(D1652)),"Amount is not a number",IF(F1652="","",IF(ISNA(MATCH(F1652,Lists!$G$2:$G$25,0)),"Goal / fund not in list",IF(H1652="Income","Fund tag ignored on income","")))))))))))</f>
        <v/>
      </c>
    </row>
    <row r="1653">
      <c r="A1653" s="27" t="n"/>
      <c r="B1653" s="23" t="n"/>
      <c r="C1653" s="23" t="n"/>
      <c r="D1653" s="28" t="n"/>
      <c r="E1653" s="23" t="n"/>
      <c r="F1653" s="23" t="n"/>
      <c r="G1653" s="23" t="n"/>
      <c r="H1653" s="29">
        <f>IF(C1653="","",IFERROR(INDEX(Categories!$B$6:$B$65,MATCH(C1653,Categories!$A$6:$A$65,0))&amp;"",""))</f>
        <v/>
      </c>
      <c r="I1653" s="25">
        <f>IF(AND(A1653="",C1653="",D1653=""),"",IF(A1653="","Date missing",IF(NOT(ISNUMBER(A1653)),"Date not recognized",IF(YEAR(A1653)&lt;&gt;Settings!$C$4,"Not in "&amp;Settings!$C$4,IF(C1653="","Category missing",IF(H1653="",IF(COUNTIF(Categories!$A$6:$A$65,C1653)&gt;0,"Category has no type","Category not in list"),IF(D1653="","Amount missing",IF(NOT(ISNUMBER(D1653)),"Amount is not a number",IF(F1653="","",IF(ISNA(MATCH(F1653,Lists!$G$2:$G$25,0)),"Goal / fund not in list",IF(H1653="Income","Fund tag ignored on income","")))))))))))</f>
        <v/>
      </c>
    </row>
    <row r="1654">
      <c r="A1654" s="27" t="n"/>
      <c r="B1654" s="23" t="n"/>
      <c r="C1654" s="23" t="n"/>
      <c r="D1654" s="28" t="n"/>
      <c r="E1654" s="23" t="n"/>
      <c r="F1654" s="23" t="n"/>
      <c r="G1654" s="23" t="n"/>
      <c r="H1654" s="29">
        <f>IF(C1654="","",IFERROR(INDEX(Categories!$B$6:$B$65,MATCH(C1654,Categories!$A$6:$A$65,0))&amp;"",""))</f>
        <v/>
      </c>
      <c r="I1654" s="25">
        <f>IF(AND(A1654="",C1654="",D1654=""),"",IF(A1654="","Date missing",IF(NOT(ISNUMBER(A1654)),"Date not recognized",IF(YEAR(A1654)&lt;&gt;Settings!$C$4,"Not in "&amp;Settings!$C$4,IF(C1654="","Category missing",IF(H1654="",IF(COUNTIF(Categories!$A$6:$A$65,C1654)&gt;0,"Category has no type","Category not in list"),IF(D1654="","Amount missing",IF(NOT(ISNUMBER(D1654)),"Amount is not a number",IF(F1654="","",IF(ISNA(MATCH(F1654,Lists!$G$2:$G$25,0)),"Goal / fund not in list",IF(H1654="Income","Fund tag ignored on income","")))))))))))</f>
        <v/>
      </c>
    </row>
    <row r="1655">
      <c r="A1655" s="27" t="n"/>
      <c r="B1655" s="23" t="n"/>
      <c r="C1655" s="23" t="n"/>
      <c r="D1655" s="28" t="n"/>
      <c r="E1655" s="23" t="n"/>
      <c r="F1655" s="23" t="n"/>
      <c r="G1655" s="23" t="n"/>
      <c r="H1655" s="29">
        <f>IF(C1655="","",IFERROR(INDEX(Categories!$B$6:$B$65,MATCH(C1655,Categories!$A$6:$A$65,0))&amp;"",""))</f>
        <v/>
      </c>
      <c r="I1655" s="25">
        <f>IF(AND(A1655="",C1655="",D1655=""),"",IF(A1655="","Date missing",IF(NOT(ISNUMBER(A1655)),"Date not recognized",IF(YEAR(A1655)&lt;&gt;Settings!$C$4,"Not in "&amp;Settings!$C$4,IF(C1655="","Category missing",IF(H1655="",IF(COUNTIF(Categories!$A$6:$A$65,C1655)&gt;0,"Category has no type","Category not in list"),IF(D1655="","Amount missing",IF(NOT(ISNUMBER(D1655)),"Amount is not a number",IF(F1655="","",IF(ISNA(MATCH(F1655,Lists!$G$2:$G$25,0)),"Goal / fund not in list",IF(H1655="Income","Fund tag ignored on income","")))))))))))</f>
        <v/>
      </c>
    </row>
    <row r="1656">
      <c r="A1656" s="27" t="n"/>
      <c r="B1656" s="23" t="n"/>
      <c r="C1656" s="23" t="n"/>
      <c r="D1656" s="28" t="n"/>
      <c r="E1656" s="23" t="n"/>
      <c r="F1656" s="23" t="n"/>
      <c r="G1656" s="23" t="n"/>
      <c r="H1656" s="29">
        <f>IF(C1656="","",IFERROR(INDEX(Categories!$B$6:$B$65,MATCH(C1656,Categories!$A$6:$A$65,0))&amp;"",""))</f>
        <v/>
      </c>
      <c r="I1656" s="25">
        <f>IF(AND(A1656="",C1656="",D1656=""),"",IF(A1656="","Date missing",IF(NOT(ISNUMBER(A1656)),"Date not recognized",IF(YEAR(A1656)&lt;&gt;Settings!$C$4,"Not in "&amp;Settings!$C$4,IF(C1656="","Category missing",IF(H1656="",IF(COUNTIF(Categories!$A$6:$A$65,C1656)&gt;0,"Category has no type","Category not in list"),IF(D1656="","Amount missing",IF(NOT(ISNUMBER(D1656)),"Amount is not a number",IF(F1656="","",IF(ISNA(MATCH(F1656,Lists!$G$2:$G$25,0)),"Goal / fund not in list",IF(H1656="Income","Fund tag ignored on income","")))))))))))</f>
        <v/>
      </c>
    </row>
    <row r="1657">
      <c r="A1657" s="27" t="n"/>
      <c r="B1657" s="23" t="n"/>
      <c r="C1657" s="23" t="n"/>
      <c r="D1657" s="28" t="n"/>
      <c r="E1657" s="23" t="n"/>
      <c r="F1657" s="23" t="n"/>
      <c r="G1657" s="23" t="n"/>
      <c r="H1657" s="29">
        <f>IF(C1657="","",IFERROR(INDEX(Categories!$B$6:$B$65,MATCH(C1657,Categories!$A$6:$A$65,0))&amp;"",""))</f>
        <v/>
      </c>
      <c r="I1657" s="25">
        <f>IF(AND(A1657="",C1657="",D1657=""),"",IF(A1657="","Date missing",IF(NOT(ISNUMBER(A1657)),"Date not recognized",IF(YEAR(A1657)&lt;&gt;Settings!$C$4,"Not in "&amp;Settings!$C$4,IF(C1657="","Category missing",IF(H1657="",IF(COUNTIF(Categories!$A$6:$A$65,C1657)&gt;0,"Category has no type","Category not in list"),IF(D1657="","Amount missing",IF(NOT(ISNUMBER(D1657)),"Amount is not a number",IF(F1657="","",IF(ISNA(MATCH(F1657,Lists!$G$2:$G$25,0)),"Goal / fund not in list",IF(H1657="Income","Fund tag ignored on income","")))))))))))</f>
        <v/>
      </c>
    </row>
    <row r="1658">
      <c r="A1658" s="27" t="n"/>
      <c r="B1658" s="23" t="n"/>
      <c r="C1658" s="23" t="n"/>
      <c r="D1658" s="28" t="n"/>
      <c r="E1658" s="23" t="n"/>
      <c r="F1658" s="23" t="n"/>
      <c r="G1658" s="23" t="n"/>
      <c r="H1658" s="29">
        <f>IF(C1658="","",IFERROR(INDEX(Categories!$B$6:$B$65,MATCH(C1658,Categories!$A$6:$A$65,0))&amp;"",""))</f>
        <v/>
      </c>
      <c r="I1658" s="25">
        <f>IF(AND(A1658="",C1658="",D1658=""),"",IF(A1658="","Date missing",IF(NOT(ISNUMBER(A1658)),"Date not recognized",IF(YEAR(A1658)&lt;&gt;Settings!$C$4,"Not in "&amp;Settings!$C$4,IF(C1658="","Category missing",IF(H1658="",IF(COUNTIF(Categories!$A$6:$A$65,C1658)&gt;0,"Category has no type","Category not in list"),IF(D1658="","Amount missing",IF(NOT(ISNUMBER(D1658)),"Amount is not a number",IF(F1658="","",IF(ISNA(MATCH(F1658,Lists!$G$2:$G$25,0)),"Goal / fund not in list",IF(H1658="Income","Fund tag ignored on income","")))))))))))</f>
        <v/>
      </c>
    </row>
    <row r="1659">
      <c r="A1659" s="27" t="n"/>
      <c r="B1659" s="23" t="n"/>
      <c r="C1659" s="23" t="n"/>
      <c r="D1659" s="28" t="n"/>
      <c r="E1659" s="23" t="n"/>
      <c r="F1659" s="23" t="n"/>
      <c r="G1659" s="23" t="n"/>
      <c r="H1659" s="29">
        <f>IF(C1659="","",IFERROR(INDEX(Categories!$B$6:$B$65,MATCH(C1659,Categories!$A$6:$A$65,0))&amp;"",""))</f>
        <v/>
      </c>
      <c r="I1659" s="25">
        <f>IF(AND(A1659="",C1659="",D1659=""),"",IF(A1659="","Date missing",IF(NOT(ISNUMBER(A1659)),"Date not recognized",IF(YEAR(A1659)&lt;&gt;Settings!$C$4,"Not in "&amp;Settings!$C$4,IF(C1659="","Category missing",IF(H1659="",IF(COUNTIF(Categories!$A$6:$A$65,C1659)&gt;0,"Category has no type","Category not in list"),IF(D1659="","Amount missing",IF(NOT(ISNUMBER(D1659)),"Amount is not a number",IF(F1659="","",IF(ISNA(MATCH(F1659,Lists!$G$2:$G$25,0)),"Goal / fund not in list",IF(H1659="Income","Fund tag ignored on income","")))))))))))</f>
        <v/>
      </c>
    </row>
    <row r="1660">
      <c r="A1660" s="27" t="n"/>
      <c r="B1660" s="23" t="n"/>
      <c r="C1660" s="23" t="n"/>
      <c r="D1660" s="28" t="n"/>
      <c r="E1660" s="23" t="n"/>
      <c r="F1660" s="23" t="n"/>
      <c r="G1660" s="23" t="n"/>
      <c r="H1660" s="29">
        <f>IF(C1660="","",IFERROR(INDEX(Categories!$B$6:$B$65,MATCH(C1660,Categories!$A$6:$A$65,0))&amp;"",""))</f>
        <v/>
      </c>
      <c r="I1660" s="25">
        <f>IF(AND(A1660="",C1660="",D1660=""),"",IF(A1660="","Date missing",IF(NOT(ISNUMBER(A1660)),"Date not recognized",IF(YEAR(A1660)&lt;&gt;Settings!$C$4,"Not in "&amp;Settings!$C$4,IF(C1660="","Category missing",IF(H1660="",IF(COUNTIF(Categories!$A$6:$A$65,C1660)&gt;0,"Category has no type","Category not in list"),IF(D1660="","Amount missing",IF(NOT(ISNUMBER(D1660)),"Amount is not a number",IF(F1660="","",IF(ISNA(MATCH(F1660,Lists!$G$2:$G$25,0)),"Goal / fund not in list",IF(H1660="Income","Fund tag ignored on income","")))))))))))</f>
        <v/>
      </c>
    </row>
    <row r="1661">
      <c r="A1661" s="27" t="n"/>
      <c r="B1661" s="23" t="n"/>
      <c r="C1661" s="23" t="n"/>
      <c r="D1661" s="28" t="n"/>
      <c r="E1661" s="23" t="n"/>
      <c r="F1661" s="23" t="n"/>
      <c r="G1661" s="23" t="n"/>
      <c r="H1661" s="29">
        <f>IF(C1661="","",IFERROR(INDEX(Categories!$B$6:$B$65,MATCH(C1661,Categories!$A$6:$A$65,0))&amp;"",""))</f>
        <v/>
      </c>
      <c r="I1661" s="25">
        <f>IF(AND(A1661="",C1661="",D1661=""),"",IF(A1661="","Date missing",IF(NOT(ISNUMBER(A1661)),"Date not recognized",IF(YEAR(A1661)&lt;&gt;Settings!$C$4,"Not in "&amp;Settings!$C$4,IF(C1661="","Category missing",IF(H1661="",IF(COUNTIF(Categories!$A$6:$A$65,C1661)&gt;0,"Category has no type","Category not in list"),IF(D1661="","Amount missing",IF(NOT(ISNUMBER(D1661)),"Amount is not a number",IF(F1661="","",IF(ISNA(MATCH(F1661,Lists!$G$2:$G$25,0)),"Goal / fund not in list",IF(H1661="Income","Fund tag ignored on income","")))))))))))</f>
        <v/>
      </c>
    </row>
    <row r="1662">
      <c r="A1662" s="27" t="n"/>
      <c r="B1662" s="23" t="n"/>
      <c r="C1662" s="23" t="n"/>
      <c r="D1662" s="28" t="n"/>
      <c r="E1662" s="23" t="n"/>
      <c r="F1662" s="23" t="n"/>
      <c r="G1662" s="23" t="n"/>
      <c r="H1662" s="29">
        <f>IF(C1662="","",IFERROR(INDEX(Categories!$B$6:$B$65,MATCH(C1662,Categories!$A$6:$A$65,0))&amp;"",""))</f>
        <v/>
      </c>
      <c r="I1662" s="25">
        <f>IF(AND(A1662="",C1662="",D1662=""),"",IF(A1662="","Date missing",IF(NOT(ISNUMBER(A1662)),"Date not recognized",IF(YEAR(A1662)&lt;&gt;Settings!$C$4,"Not in "&amp;Settings!$C$4,IF(C1662="","Category missing",IF(H1662="",IF(COUNTIF(Categories!$A$6:$A$65,C1662)&gt;0,"Category has no type","Category not in list"),IF(D1662="","Amount missing",IF(NOT(ISNUMBER(D1662)),"Amount is not a number",IF(F1662="","",IF(ISNA(MATCH(F1662,Lists!$G$2:$G$25,0)),"Goal / fund not in list",IF(H1662="Income","Fund tag ignored on income","")))))))))))</f>
        <v/>
      </c>
    </row>
    <row r="1663">
      <c r="A1663" s="27" t="n"/>
      <c r="B1663" s="23" t="n"/>
      <c r="C1663" s="23" t="n"/>
      <c r="D1663" s="28" t="n"/>
      <c r="E1663" s="23" t="n"/>
      <c r="F1663" s="23" t="n"/>
      <c r="G1663" s="23" t="n"/>
      <c r="H1663" s="29">
        <f>IF(C1663="","",IFERROR(INDEX(Categories!$B$6:$B$65,MATCH(C1663,Categories!$A$6:$A$65,0))&amp;"",""))</f>
        <v/>
      </c>
      <c r="I1663" s="25">
        <f>IF(AND(A1663="",C1663="",D1663=""),"",IF(A1663="","Date missing",IF(NOT(ISNUMBER(A1663)),"Date not recognized",IF(YEAR(A1663)&lt;&gt;Settings!$C$4,"Not in "&amp;Settings!$C$4,IF(C1663="","Category missing",IF(H1663="",IF(COUNTIF(Categories!$A$6:$A$65,C1663)&gt;0,"Category has no type","Category not in list"),IF(D1663="","Amount missing",IF(NOT(ISNUMBER(D1663)),"Amount is not a number",IF(F1663="","",IF(ISNA(MATCH(F1663,Lists!$G$2:$G$25,0)),"Goal / fund not in list",IF(H1663="Income","Fund tag ignored on income","")))))))))))</f>
        <v/>
      </c>
    </row>
    <row r="1664">
      <c r="A1664" s="27" t="n"/>
      <c r="B1664" s="23" t="n"/>
      <c r="C1664" s="23" t="n"/>
      <c r="D1664" s="28" t="n"/>
      <c r="E1664" s="23" t="n"/>
      <c r="F1664" s="23" t="n"/>
      <c r="G1664" s="23" t="n"/>
      <c r="H1664" s="29">
        <f>IF(C1664="","",IFERROR(INDEX(Categories!$B$6:$B$65,MATCH(C1664,Categories!$A$6:$A$65,0))&amp;"",""))</f>
        <v/>
      </c>
      <c r="I1664" s="25">
        <f>IF(AND(A1664="",C1664="",D1664=""),"",IF(A1664="","Date missing",IF(NOT(ISNUMBER(A1664)),"Date not recognized",IF(YEAR(A1664)&lt;&gt;Settings!$C$4,"Not in "&amp;Settings!$C$4,IF(C1664="","Category missing",IF(H1664="",IF(COUNTIF(Categories!$A$6:$A$65,C1664)&gt;0,"Category has no type","Category not in list"),IF(D1664="","Amount missing",IF(NOT(ISNUMBER(D1664)),"Amount is not a number",IF(F1664="","",IF(ISNA(MATCH(F1664,Lists!$G$2:$G$25,0)),"Goal / fund not in list",IF(H1664="Income","Fund tag ignored on income","")))))))))))</f>
        <v/>
      </c>
    </row>
    <row r="1665">
      <c r="A1665" s="27" t="n"/>
      <c r="B1665" s="23" t="n"/>
      <c r="C1665" s="23" t="n"/>
      <c r="D1665" s="28" t="n"/>
      <c r="E1665" s="23" t="n"/>
      <c r="F1665" s="23" t="n"/>
      <c r="G1665" s="23" t="n"/>
      <c r="H1665" s="29">
        <f>IF(C1665="","",IFERROR(INDEX(Categories!$B$6:$B$65,MATCH(C1665,Categories!$A$6:$A$65,0))&amp;"",""))</f>
        <v/>
      </c>
      <c r="I1665" s="25">
        <f>IF(AND(A1665="",C1665="",D1665=""),"",IF(A1665="","Date missing",IF(NOT(ISNUMBER(A1665)),"Date not recognized",IF(YEAR(A1665)&lt;&gt;Settings!$C$4,"Not in "&amp;Settings!$C$4,IF(C1665="","Category missing",IF(H1665="",IF(COUNTIF(Categories!$A$6:$A$65,C1665)&gt;0,"Category has no type","Category not in list"),IF(D1665="","Amount missing",IF(NOT(ISNUMBER(D1665)),"Amount is not a number",IF(F1665="","",IF(ISNA(MATCH(F1665,Lists!$G$2:$G$25,0)),"Goal / fund not in list",IF(H1665="Income","Fund tag ignored on income","")))))))))))</f>
        <v/>
      </c>
    </row>
    <row r="1666">
      <c r="A1666" s="27" t="n"/>
      <c r="B1666" s="23" t="n"/>
      <c r="C1666" s="23" t="n"/>
      <c r="D1666" s="28" t="n"/>
      <c r="E1666" s="23" t="n"/>
      <c r="F1666" s="23" t="n"/>
      <c r="G1666" s="23" t="n"/>
      <c r="H1666" s="29">
        <f>IF(C1666="","",IFERROR(INDEX(Categories!$B$6:$B$65,MATCH(C1666,Categories!$A$6:$A$65,0))&amp;"",""))</f>
        <v/>
      </c>
      <c r="I1666" s="25">
        <f>IF(AND(A1666="",C1666="",D1666=""),"",IF(A1666="","Date missing",IF(NOT(ISNUMBER(A1666)),"Date not recognized",IF(YEAR(A1666)&lt;&gt;Settings!$C$4,"Not in "&amp;Settings!$C$4,IF(C1666="","Category missing",IF(H1666="",IF(COUNTIF(Categories!$A$6:$A$65,C1666)&gt;0,"Category has no type","Category not in list"),IF(D1666="","Amount missing",IF(NOT(ISNUMBER(D1666)),"Amount is not a number",IF(F1666="","",IF(ISNA(MATCH(F1666,Lists!$G$2:$G$25,0)),"Goal / fund not in list",IF(H1666="Income","Fund tag ignored on income","")))))))))))</f>
        <v/>
      </c>
    </row>
    <row r="1667">
      <c r="A1667" s="27" t="n"/>
      <c r="B1667" s="23" t="n"/>
      <c r="C1667" s="23" t="n"/>
      <c r="D1667" s="28" t="n"/>
      <c r="E1667" s="23" t="n"/>
      <c r="F1667" s="23" t="n"/>
      <c r="G1667" s="23" t="n"/>
      <c r="H1667" s="29">
        <f>IF(C1667="","",IFERROR(INDEX(Categories!$B$6:$B$65,MATCH(C1667,Categories!$A$6:$A$65,0))&amp;"",""))</f>
        <v/>
      </c>
      <c r="I1667" s="25">
        <f>IF(AND(A1667="",C1667="",D1667=""),"",IF(A1667="","Date missing",IF(NOT(ISNUMBER(A1667)),"Date not recognized",IF(YEAR(A1667)&lt;&gt;Settings!$C$4,"Not in "&amp;Settings!$C$4,IF(C1667="","Category missing",IF(H1667="",IF(COUNTIF(Categories!$A$6:$A$65,C1667)&gt;0,"Category has no type","Category not in list"),IF(D1667="","Amount missing",IF(NOT(ISNUMBER(D1667)),"Amount is not a number",IF(F1667="","",IF(ISNA(MATCH(F1667,Lists!$G$2:$G$25,0)),"Goal / fund not in list",IF(H1667="Income","Fund tag ignored on income","")))))))))))</f>
        <v/>
      </c>
    </row>
    <row r="1668">
      <c r="A1668" s="27" t="n"/>
      <c r="B1668" s="23" t="n"/>
      <c r="C1668" s="23" t="n"/>
      <c r="D1668" s="28" t="n"/>
      <c r="E1668" s="23" t="n"/>
      <c r="F1668" s="23" t="n"/>
      <c r="G1668" s="23" t="n"/>
      <c r="H1668" s="29">
        <f>IF(C1668="","",IFERROR(INDEX(Categories!$B$6:$B$65,MATCH(C1668,Categories!$A$6:$A$65,0))&amp;"",""))</f>
        <v/>
      </c>
      <c r="I1668" s="25">
        <f>IF(AND(A1668="",C1668="",D1668=""),"",IF(A1668="","Date missing",IF(NOT(ISNUMBER(A1668)),"Date not recognized",IF(YEAR(A1668)&lt;&gt;Settings!$C$4,"Not in "&amp;Settings!$C$4,IF(C1668="","Category missing",IF(H1668="",IF(COUNTIF(Categories!$A$6:$A$65,C1668)&gt;0,"Category has no type","Category not in list"),IF(D1668="","Amount missing",IF(NOT(ISNUMBER(D1668)),"Amount is not a number",IF(F1668="","",IF(ISNA(MATCH(F1668,Lists!$G$2:$G$25,0)),"Goal / fund not in list",IF(H1668="Income","Fund tag ignored on income","")))))))))))</f>
        <v/>
      </c>
    </row>
    <row r="1669">
      <c r="A1669" s="27" t="n"/>
      <c r="B1669" s="23" t="n"/>
      <c r="C1669" s="23" t="n"/>
      <c r="D1669" s="28" t="n"/>
      <c r="E1669" s="23" t="n"/>
      <c r="F1669" s="23" t="n"/>
      <c r="G1669" s="23" t="n"/>
      <c r="H1669" s="29">
        <f>IF(C1669="","",IFERROR(INDEX(Categories!$B$6:$B$65,MATCH(C1669,Categories!$A$6:$A$65,0))&amp;"",""))</f>
        <v/>
      </c>
      <c r="I1669" s="25">
        <f>IF(AND(A1669="",C1669="",D1669=""),"",IF(A1669="","Date missing",IF(NOT(ISNUMBER(A1669)),"Date not recognized",IF(YEAR(A1669)&lt;&gt;Settings!$C$4,"Not in "&amp;Settings!$C$4,IF(C1669="","Category missing",IF(H1669="",IF(COUNTIF(Categories!$A$6:$A$65,C1669)&gt;0,"Category has no type","Category not in list"),IF(D1669="","Amount missing",IF(NOT(ISNUMBER(D1669)),"Amount is not a number",IF(F1669="","",IF(ISNA(MATCH(F1669,Lists!$G$2:$G$25,0)),"Goal / fund not in list",IF(H1669="Income","Fund tag ignored on income","")))))))))))</f>
        <v/>
      </c>
    </row>
    <row r="1670">
      <c r="A1670" s="27" t="n"/>
      <c r="B1670" s="23" t="n"/>
      <c r="C1670" s="23" t="n"/>
      <c r="D1670" s="28" t="n"/>
      <c r="E1670" s="23" t="n"/>
      <c r="F1670" s="23" t="n"/>
      <c r="G1670" s="23" t="n"/>
      <c r="H1670" s="29">
        <f>IF(C1670="","",IFERROR(INDEX(Categories!$B$6:$B$65,MATCH(C1670,Categories!$A$6:$A$65,0))&amp;"",""))</f>
        <v/>
      </c>
      <c r="I1670" s="25">
        <f>IF(AND(A1670="",C1670="",D1670=""),"",IF(A1670="","Date missing",IF(NOT(ISNUMBER(A1670)),"Date not recognized",IF(YEAR(A1670)&lt;&gt;Settings!$C$4,"Not in "&amp;Settings!$C$4,IF(C1670="","Category missing",IF(H1670="",IF(COUNTIF(Categories!$A$6:$A$65,C1670)&gt;0,"Category has no type","Category not in list"),IF(D1670="","Amount missing",IF(NOT(ISNUMBER(D1670)),"Amount is not a number",IF(F1670="","",IF(ISNA(MATCH(F1670,Lists!$G$2:$G$25,0)),"Goal / fund not in list",IF(H1670="Income","Fund tag ignored on income","")))))))))))</f>
        <v/>
      </c>
    </row>
    <row r="1671">
      <c r="A1671" s="27" t="n"/>
      <c r="B1671" s="23" t="n"/>
      <c r="C1671" s="23" t="n"/>
      <c r="D1671" s="28" t="n"/>
      <c r="E1671" s="23" t="n"/>
      <c r="F1671" s="23" t="n"/>
      <c r="G1671" s="23" t="n"/>
      <c r="H1671" s="29">
        <f>IF(C1671="","",IFERROR(INDEX(Categories!$B$6:$B$65,MATCH(C1671,Categories!$A$6:$A$65,0))&amp;"",""))</f>
        <v/>
      </c>
      <c r="I1671" s="25">
        <f>IF(AND(A1671="",C1671="",D1671=""),"",IF(A1671="","Date missing",IF(NOT(ISNUMBER(A1671)),"Date not recognized",IF(YEAR(A1671)&lt;&gt;Settings!$C$4,"Not in "&amp;Settings!$C$4,IF(C1671="","Category missing",IF(H1671="",IF(COUNTIF(Categories!$A$6:$A$65,C1671)&gt;0,"Category has no type","Category not in list"),IF(D1671="","Amount missing",IF(NOT(ISNUMBER(D1671)),"Amount is not a number",IF(F1671="","",IF(ISNA(MATCH(F1671,Lists!$G$2:$G$25,0)),"Goal / fund not in list",IF(H1671="Income","Fund tag ignored on income","")))))))))))</f>
        <v/>
      </c>
    </row>
    <row r="1672">
      <c r="A1672" s="27" t="n"/>
      <c r="B1672" s="23" t="n"/>
      <c r="C1672" s="23" t="n"/>
      <c r="D1672" s="28" t="n"/>
      <c r="E1672" s="23" t="n"/>
      <c r="F1672" s="23" t="n"/>
      <c r="G1672" s="23" t="n"/>
      <c r="H1672" s="29">
        <f>IF(C1672="","",IFERROR(INDEX(Categories!$B$6:$B$65,MATCH(C1672,Categories!$A$6:$A$65,0))&amp;"",""))</f>
        <v/>
      </c>
      <c r="I1672" s="25">
        <f>IF(AND(A1672="",C1672="",D1672=""),"",IF(A1672="","Date missing",IF(NOT(ISNUMBER(A1672)),"Date not recognized",IF(YEAR(A1672)&lt;&gt;Settings!$C$4,"Not in "&amp;Settings!$C$4,IF(C1672="","Category missing",IF(H1672="",IF(COUNTIF(Categories!$A$6:$A$65,C1672)&gt;0,"Category has no type","Category not in list"),IF(D1672="","Amount missing",IF(NOT(ISNUMBER(D1672)),"Amount is not a number",IF(F1672="","",IF(ISNA(MATCH(F1672,Lists!$G$2:$G$25,0)),"Goal / fund not in list",IF(H1672="Income","Fund tag ignored on income","")))))))))))</f>
        <v/>
      </c>
    </row>
    <row r="1673">
      <c r="A1673" s="27" t="n"/>
      <c r="B1673" s="23" t="n"/>
      <c r="C1673" s="23" t="n"/>
      <c r="D1673" s="28" t="n"/>
      <c r="E1673" s="23" t="n"/>
      <c r="F1673" s="23" t="n"/>
      <c r="G1673" s="23" t="n"/>
      <c r="H1673" s="29">
        <f>IF(C1673="","",IFERROR(INDEX(Categories!$B$6:$B$65,MATCH(C1673,Categories!$A$6:$A$65,0))&amp;"",""))</f>
        <v/>
      </c>
      <c r="I1673" s="25">
        <f>IF(AND(A1673="",C1673="",D1673=""),"",IF(A1673="","Date missing",IF(NOT(ISNUMBER(A1673)),"Date not recognized",IF(YEAR(A1673)&lt;&gt;Settings!$C$4,"Not in "&amp;Settings!$C$4,IF(C1673="","Category missing",IF(H1673="",IF(COUNTIF(Categories!$A$6:$A$65,C1673)&gt;0,"Category has no type","Category not in list"),IF(D1673="","Amount missing",IF(NOT(ISNUMBER(D1673)),"Amount is not a number",IF(F1673="","",IF(ISNA(MATCH(F1673,Lists!$G$2:$G$25,0)),"Goal / fund not in list",IF(H1673="Income","Fund tag ignored on income","")))))))))))</f>
        <v/>
      </c>
    </row>
    <row r="1674">
      <c r="A1674" s="27" t="n"/>
      <c r="B1674" s="23" t="n"/>
      <c r="C1674" s="23" t="n"/>
      <c r="D1674" s="28" t="n"/>
      <c r="E1674" s="23" t="n"/>
      <c r="F1674" s="23" t="n"/>
      <c r="G1674" s="23" t="n"/>
      <c r="H1674" s="29">
        <f>IF(C1674="","",IFERROR(INDEX(Categories!$B$6:$B$65,MATCH(C1674,Categories!$A$6:$A$65,0))&amp;"",""))</f>
        <v/>
      </c>
      <c r="I1674" s="25">
        <f>IF(AND(A1674="",C1674="",D1674=""),"",IF(A1674="","Date missing",IF(NOT(ISNUMBER(A1674)),"Date not recognized",IF(YEAR(A1674)&lt;&gt;Settings!$C$4,"Not in "&amp;Settings!$C$4,IF(C1674="","Category missing",IF(H1674="",IF(COUNTIF(Categories!$A$6:$A$65,C1674)&gt;0,"Category has no type","Category not in list"),IF(D1674="","Amount missing",IF(NOT(ISNUMBER(D1674)),"Amount is not a number",IF(F1674="","",IF(ISNA(MATCH(F1674,Lists!$G$2:$G$25,0)),"Goal / fund not in list",IF(H1674="Income","Fund tag ignored on income","")))))))))))</f>
        <v/>
      </c>
    </row>
    <row r="1675">
      <c r="A1675" s="27" t="n"/>
      <c r="B1675" s="23" t="n"/>
      <c r="C1675" s="23" t="n"/>
      <c r="D1675" s="28" t="n"/>
      <c r="E1675" s="23" t="n"/>
      <c r="F1675" s="23" t="n"/>
      <c r="G1675" s="23" t="n"/>
      <c r="H1675" s="29">
        <f>IF(C1675="","",IFERROR(INDEX(Categories!$B$6:$B$65,MATCH(C1675,Categories!$A$6:$A$65,0))&amp;"",""))</f>
        <v/>
      </c>
      <c r="I1675" s="25">
        <f>IF(AND(A1675="",C1675="",D1675=""),"",IF(A1675="","Date missing",IF(NOT(ISNUMBER(A1675)),"Date not recognized",IF(YEAR(A1675)&lt;&gt;Settings!$C$4,"Not in "&amp;Settings!$C$4,IF(C1675="","Category missing",IF(H1675="",IF(COUNTIF(Categories!$A$6:$A$65,C1675)&gt;0,"Category has no type","Category not in list"),IF(D1675="","Amount missing",IF(NOT(ISNUMBER(D1675)),"Amount is not a number",IF(F1675="","",IF(ISNA(MATCH(F1675,Lists!$G$2:$G$25,0)),"Goal / fund not in list",IF(H1675="Income","Fund tag ignored on income","")))))))))))</f>
        <v/>
      </c>
    </row>
    <row r="1676">
      <c r="A1676" s="27" t="n"/>
      <c r="B1676" s="23" t="n"/>
      <c r="C1676" s="23" t="n"/>
      <c r="D1676" s="28" t="n"/>
      <c r="E1676" s="23" t="n"/>
      <c r="F1676" s="23" t="n"/>
      <c r="G1676" s="23" t="n"/>
      <c r="H1676" s="29">
        <f>IF(C1676="","",IFERROR(INDEX(Categories!$B$6:$B$65,MATCH(C1676,Categories!$A$6:$A$65,0))&amp;"",""))</f>
        <v/>
      </c>
      <c r="I1676" s="25">
        <f>IF(AND(A1676="",C1676="",D1676=""),"",IF(A1676="","Date missing",IF(NOT(ISNUMBER(A1676)),"Date not recognized",IF(YEAR(A1676)&lt;&gt;Settings!$C$4,"Not in "&amp;Settings!$C$4,IF(C1676="","Category missing",IF(H1676="",IF(COUNTIF(Categories!$A$6:$A$65,C1676)&gt;0,"Category has no type","Category not in list"),IF(D1676="","Amount missing",IF(NOT(ISNUMBER(D1676)),"Amount is not a number",IF(F1676="","",IF(ISNA(MATCH(F1676,Lists!$G$2:$G$25,0)),"Goal / fund not in list",IF(H1676="Income","Fund tag ignored on income","")))))))))))</f>
        <v/>
      </c>
    </row>
    <row r="1677">
      <c r="A1677" s="27" t="n"/>
      <c r="B1677" s="23" t="n"/>
      <c r="C1677" s="23" t="n"/>
      <c r="D1677" s="28" t="n"/>
      <c r="E1677" s="23" t="n"/>
      <c r="F1677" s="23" t="n"/>
      <c r="G1677" s="23" t="n"/>
      <c r="H1677" s="29">
        <f>IF(C1677="","",IFERROR(INDEX(Categories!$B$6:$B$65,MATCH(C1677,Categories!$A$6:$A$65,0))&amp;"",""))</f>
        <v/>
      </c>
      <c r="I1677" s="25">
        <f>IF(AND(A1677="",C1677="",D1677=""),"",IF(A1677="","Date missing",IF(NOT(ISNUMBER(A1677)),"Date not recognized",IF(YEAR(A1677)&lt;&gt;Settings!$C$4,"Not in "&amp;Settings!$C$4,IF(C1677="","Category missing",IF(H1677="",IF(COUNTIF(Categories!$A$6:$A$65,C1677)&gt;0,"Category has no type","Category not in list"),IF(D1677="","Amount missing",IF(NOT(ISNUMBER(D1677)),"Amount is not a number",IF(F1677="","",IF(ISNA(MATCH(F1677,Lists!$G$2:$G$25,0)),"Goal / fund not in list",IF(H1677="Income","Fund tag ignored on income","")))))))))))</f>
        <v/>
      </c>
    </row>
    <row r="1678">
      <c r="A1678" s="27" t="n"/>
      <c r="B1678" s="23" t="n"/>
      <c r="C1678" s="23" t="n"/>
      <c r="D1678" s="28" t="n"/>
      <c r="E1678" s="23" t="n"/>
      <c r="F1678" s="23" t="n"/>
      <c r="G1678" s="23" t="n"/>
      <c r="H1678" s="29">
        <f>IF(C1678="","",IFERROR(INDEX(Categories!$B$6:$B$65,MATCH(C1678,Categories!$A$6:$A$65,0))&amp;"",""))</f>
        <v/>
      </c>
      <c r="I1678" s="25">
        <f>IF(AND(A1678="",C1678="",D1678=""),"",IF(A1678="","Date missing",IF(NOT(ISNUMBER(A1678)),"Date not recognized",IF(YEAR(A1678)&lt;&gt;Settings!$C$4,"Not in "&amp;Settings!$C$4,IF(C1678="","Category missing",IF(H1678="",IF(COUNTIF(Categories!$A$6:$A$65,C1678)&gt;0,"Category has no type","Category not in list"),IF(D1678="","Amount missing",IF(NOT(ISNUMBER(D1678)),"Amount is not a number",IF(F1678="","",IF(ISNA(MATCH(F1678,Lists!$G$2:$G$25,0)),"Goal / fund not in list",IF(H1678="Income","Fund tag ignored on income","")))))))))))</f>
        <v/>
      </c>
    </row>
    <row r="1679">
      <c r="A1679" s="27" t="n"/>
      <c r="B1679" s="23" t="n"/>
      <c r="C1679" s="23" t="n"/>
      <c r="D1679" s="28" t="n"/>
      <c r="E1679" s="23" t="n"/>
      <c r="F1679" s="23" t="n"/>
      <c r="G1679" s="23" t="n"/>
      <c r="H1679" s="29">
        <f>IF(C1679="","",IFERROR(INDEX(Categories!$B$6:$B$65,MATCH(C1679,Categories!$A$6:$A$65,0))&amp;"",""))</f>
        <v/>
      </c>
      <c r="I1679" s="25">
        <f>IF(AND(A1679="",C1679="",D1679=""),"",IF(A1679="","Date missing",IF(NOT(ISNUMBER(A1679)),"Date not recognized",IF(YEAR(A1679)&lt;&gt;Settings!$C$4,"Not in "&amp;Settings!$C$4,IF(C1679="","Category missing",IF(H1679="",IF(COUNTIF(Categories!$A$6:$A$65,C1679)&gt;0,"Category has no type","Category not in list"),IF(D1679="","Amount missing",IF(NOT(ISNUMBER(D1679)),"Amount is not a number",IF(F1679="","",IF(ISNA(MATCH(F1679,Lists!$G$2:$G$25,0)),"Goal / fund not in list",IF(H1679="Income","Fund tag ignored on income","")))))))))))</f>
        <v/>
      </c>
    </row>
    <row r="1680">
      <c r="A1680" s="27" t="n"/>
      <c r="B1680" s="23" t="n"/>
      <c r="C1680" s="23" t="n"/>
      <c r="D1680" s="28" t="n"/>
      <c r="E1680" s="23" t="n"/>
      <c r="F1680" s="23" t="n"/>
      <c r="G1680" s="23" t="n"/>
      <c r="H1680" s="29">
        <f>IF(C1680="","",IFERROR(INDEX(Categories!$B$6:$B$65,MATCH(C1680,Categories!$A$6:$A$65,0))&amp;"",""))</f>
        <v/>
      </c>
      <c r="I1680" s="25">
        <f>IF(AND(A1680="",C1680="",D1680=""),"",IF(A1680="","Date missing",IF(NOT(ISNUMBER(A1680)),"Date not recognized",IF(YEAR(A1680)&lt;&gt;Settings!$C$4,"Not in "&amp;Settings!$C$4,IF(C1680="","Category missing",IF(H1680="",IF(COUNTIF(Categories!$A$6:$A$65,C1680)&gt;0,"Category has no type","Category not in list"),IF(D1680="","Amount missing",IF(NOT(ISNUMBER(D1680)),"Amount is not a number",IF(F1680="","",IF(ISNA(MATCH(F1680,Lists!$G$2:$G$25,0)),"Goal / fund not in list",IF(H1680="Income","Fund tag ignored on income","")))))))))))</f>
        <v/>
      </c>
    </row>
    <row r="1681">
      <c r="A1681" s="27" t="n"/>
      <c r="B1681" s="23" t="n"/>
      <c r="C1681" s="23" t="n"/>
      <c r="D1681" s="28" t="n"/>
      <c r="E1681" s="23" t="n"/>
      <c r="F1681" s="23" t="n"/>
      <c r="G1681" s="23" t="n"/>
      <c r="H1681" s="29">
        <f>IF(C1681="","",IFERROR(INDEX(Categories!$B$6:$B$65,MATCH(C1681,Categories!$A$6:$A$65,0))&amp;"",""))</f>
        <v/>
      </c>
      <c r="I1681" s="25">
        <f>IF(AND(A1681="",C1681="",D1681=""),"",IF(A1681="","Date missing",IF(NOT(ISNUMBER(A1681)),"Date not recognized",IF(YEAR(A1681)&lt;&gt;Settings!$C$4,"Not in "&amp;Settings!$C$4,IF(C1681="","Category missing",IF(H1681="",IF(COUNTIF(Categories!$A$6:$A$65,C1681)&gt;0,"Category has no type","Category not in list"),IF(D1681="","Amount missing",IF(NOT(ISNUMBER(D1681)),"Amount is not a number",IF(F1681="","",IF(ISNA(MATCH(F1681,Lists!$G$2:$G$25,0)),"Goal / fund not in list",IF(H1681="Income","Fund tag ignored on income","")))))))))))</f>
        <v/>
      </c>
    </row>
    <row r="1682">
      <c r="A1682" s="27" t="n"/>
      <c r="B1682" s="23" t="n"/>
      <c r="C1682" s="23" t="n"/>
      <c r="D1682" s="28" t="n"/>
      <c r="E1682" s="23" t="n"/>
      <c r="F1682" s="23" t="n"/>
      <c r="G1682" s="23" t="n"/>
      <c r="H1682" s="29">
        <f>IF(C1682="","",IFERROR(INDEX(Categories!$B$6:$B$65,MATCH(C1682,Categories!$A$6:$A$65,0))&amp;"",""))</f>
        <v/>
      </c>
      <c r="I1682" s="25">
        <f>IF(AND(A1682="",C1682="",D1682=""),"",IF(A1682="","Date missing",IF(NOT(ISNUMBER(A1682)),"Date not recognized",IF(YEAR(A1682)&lt;&gt;Settings!$C$4,"Not in "&amp;Settings!$C$4,IF(C1682="","Category missing",IF(H1682="",IF(COUNTIF(Categories!$A$6:$A$65,C1682)&gt;0,"Category has no type","Category not in list"),IF(D1682="","Amount missing",IF(NOT(ISNUMBER(D1682)),"Amount is not a number",IF(F1682="","",IF(ISNA(MATCH(F1682,Lists!$G$2:$G$25,0)),"Goal / fund not in list",IF(H1682="Income","Fund tag ignored on income","")))))))))))</f>
        <v/>
      </c>
    </row>
    <row r="1683">
      <c r="A1683" s="27" t="n"/>
      <c r="B1683" s="23" t="n"/>
      <c r="C1683" s="23" t="n"/>
      <c r="D1683" s="28" t="n"/>
      <c r="E1683" s="23" t="n"/>
      <c r="F1683" s="23" t="n"/>
      <c r="G1683" s="23" t="n"/>
      <c r="H1683" s="29">
        <f>IF(C1683="","",IFERROR(INDEX(Categories!$B$6:$B$65,MATCH(C1683,Categories!$A$6:$A$65,0))&amp;"",""))</f>
        <v/>
      </c>
      <c r="I1683" s="25">
        <f>IF(AND(A1683="",C1683="",D1683=""),"",IF(A1683="","Date missing",IF(NOT(ISNUMBER(A1683)),"Date not recognized",IF(YEAR(A1683)&lt;&gt;Settings!$C$4,"Not in "&amp;Settings!$C$4,IF(C1683="","Category missing",IF(H1683="",IF(COUNTIF(Categories!$A$6:$A$65,C1683)&gt;0,"Category has no type","Category not in list"),IF(D1683="","Amount missing",IF(NOT(ISNUMBER(D1683)),"Amount is not a number",IF(F1683="","",IF(ISNA(MATCH(F1683,Lists!$G$2:$G$25,0)),"Goal / fund not in list",IF(H1683="Income","Fund tag ignored on income","")))))))))))</f>
        <v/>
      </c>
    </row>
    <row r="1684">
      <c r="A1684" s="27" t="n"/>
      <c r="B1684" s="23" t="n"/>
      <c r="C1684" s="23" t="n"/>
      <c r="D1684" s="28" t="n"/>
      <c r="E1684" s="23" t="n"/>
      <c r="F1684" s="23" t="n"/>
      <c r="G1684" s="23" t="n"/>
      <c r="H1684" s="29">
        <f>IF(C1684="","",IFERROR(INDEX(Categories!$B$6:$B$65,MATCH(C1684,Categories!$A$6:$A$65,0))&amp;"",""))</f>
        <v/>
      </c>
      <c r="I1684" s="25">
        <f>IF(AND(A1684="",C1684="",D1684=""),"",IF(A1684="","Date missing",IF(NOT(ISNUMBER(A1684)),"Date not recognized",IF(YEAR(A1684)&lt;&gt;Settings!$C$4,"Not in "&amp;Settings!$C$4,IF(C1684="","Category missing",IF(H1684="",IF(COUNTIF(Categories!$A$6:$A$65,C1684)&gt;0,"Category has no type","Category not in list"),IF(D1684="","Amount missing",IF(NOT(ISNUMBER(D1684)),"Amount is not a number",IF(F1684="","",IF(ISNA(MATCH(F1684,Lists!$G$2:$G$25,0)),"Goal / fund not in list",IF(H1684="Income","Fund tag ignored on income","")))))))))))</f>
        <v/>
      </c>
    </row>
    <row r="1685">
      <c r="A1685" s="27" t="n"/>
      <c r="B1685" s="23" t="n"/>
      <c r="C1685" s="23" t="n"/>
      <c r="D1685" s="28" t="n"/>
      <c r="E1685" s="23" t="n"/>
      <c r="F1685" s="23" t="n"/>
      <c r="G1685" s="23" t="n"/>
      <c r="H1685" s="29">
        <f>IF(C1685="","",IFERROR(INDEX(Categories!$B$6:$B$65,MATCH(C1685,Categories!$A$6:$A$65,0))&amp;"",""))</f>
        <v/>
      </c>
      <c r="I1685" s="25">
        <f>IF(AND(A1685="",C1685="",D1685=""),"",IF(A1685="","Date missing",IF(NOT(ISNUMBER(A1685)),"Date not recognized",IF(YEAR(A1685)&lt;&gt;Settings!$C$4,"Not in "&amp;Settings!$C$4,IF(C1685="","Category missing",IF(H1685="",IF(COUNTIF(Categories!$A$6:$A$65,C1685)&gt;0,"Category has no type","Category not in list"),IF(D1685="","Amount missing",IF(NOT(ISNUMBER(D1685)),"Amount is not a number",IF(F1685="","",IF(ISNA(MATCH(F1685,Lists!$G$2:$G$25,0)),"Goal / fund not in list",IF(H1685="Income","Fund tag ignored on income","")))))))))))</f>
        <v/>
      </c>
    </row>
    <row r="1686">
      <c r="A1686" s="27" t="n"/>
      <c r="B1686" s="23" t="n"/>
      <c r="C1686" s="23" t="n"/>
      <c r="D1686" s="28" t="n"/>
      <c r="E1686" s="23" t="n"/>
      <c r="F1686" s="23" t="n"/>
      <c r="G1686" s="23" t="n"/>
      <c r="H1686" s="29">
        <f>IF(C1686="","",IFERROR(INDEX(Categories!$B$6:$B$65,MATCH(C1686,Categories!$A$6:$A$65,0))&amp;"",""))</f>
        <v/>
      </c>
      <c r="I1686" s="25">
        <f>IF(AND(A1686="",C1686="",D1686=""),"",IF(A1686="","Date missing",IF(NOT(ISNUMBER(A1686)),"Date not recognized",IF(YEAR(A1686)&lt;&gt;Settings!$C$4,"Not in "&amp;Settings!$C$4,IF(C1686="","Category missing",IF(H1686="",IF(COUNTIF(Categories!$A$6:$A$65,C1686)&gt;0,"Category has no type","Category not in list"),IF(D1686="","Amount missing",IF(NOT(ISNUMBER(D1686)),"Amount is not a number",IF(F1686="","",IF(ISNA(MATCH(F1686,Lists!$G$2:$G$25,0)),"Goal / fund not in list",IF(H1686="Income","Fund tag ignored on income","")))))))))))</f>
        <v/>
      </c>
    </row>
    <row r="1687">
      <c r="A1687" s="27" t="n"/>
      <c r="B1687" s="23" t="n"/>
      <c r="C1687" s="23" t="n"/>
      <c r="D1687" s="28" t="n"/>
      <c r="E1687" s="23" t="n"/>
      <c r="F1687" s="23" t="n"/>
      <c r="G1687" s="23" t="n"/>
      <c r="H1687" s="29">
        <f>IF(C1687="","",IFERROR(INDEX(Categories!$B$6:$B$65,MATCH(C1687,Categories!$A$6:$A$65,0))&amp;"",""))</f>
        <v/>
      </c>
      <c r="I1687" s="25">
        <f>IF(AND(A1687="",C1687="",D1687=""),"",IF(A1687="","Date missing",IF(NOT(ISNUMBER(A1687)),"Date not recognized",IF(YEAR(A1687)&lt;&gt;Settings!$C$4,"Not in "&amp;Settings!$C$4,IF(C1687="","Category missing",IF(H1687="",IF(COUNTIF(Categories!$A$6:$A$65,C1687)&gt;0,"Category has no type","Category not in list"),IF(D1687="","Amount missing",IF(NOT(ISNUMBER(D1687)),"Amount is not a number",IF(F1687="","",IF(ISNA(MATCH(F1687,Lists!$G$2:$G$25,0)),"Goal / fund not in list",IF(H1687="Income","Fund tag ignored on income","")))))))))))</f>
        <v/>
      </c>
    </row>
    <row r="1688">
      <c r="A1688" s="27" t="n"/>
      <c r="B1688" s="23" t="n"/>
      <c r="C1688" s="23" t="n"/>
      <c r="D1688" s="28" t="n"/>
      <c r="E1688" s="23" t="n"/>
      <c r="F1688" s="23" t="n"/>
      <c r="G1688" s="23" t="n"/>
      <c r="H1688" s="29">
        <f>IF(C1688="","",IFERROR(INDEX(Categories!$B$6:$B$65,MATCH(C1688,Categories!$A$6:$A$65,0))&amp;"",""))</f>
        <v/>
      </c>
      <c r="I1688" s="25">
        <f>IF(AND(A1688="",C1688="",D1688=""),"",IF(A1688="","Date missing",IF(NOT(ISNUMBER(A1688)),"Date not recognized",IF(YEAR(A1688)&lt;&gt;Settings!$C$4,"Not in "&amp;Settings!$C$4,IF(C1688="","Category missing",IF(H1688="",IF(COUNTIF(Categories!$A$6:$A$65,C1688)&gt;0,"Category has no type","Category not in list"),IF(D1688="","Amount missing",IF(NOT(ISNUMBER(D1688)),"Amount is not a number",IF(F1688="","",IF(ISNA(MATCH(F1688,Lists!$G$2:$G$25,0)),"Goal / fund not in list",IF(H1688="Income","Fund tag ignored on income","")))))))))))</f>
        <v/>
      </c>
    </row>
    <row r="1689">
      <c r="A1689" s="27" t="n"/>
      <c r="B1689" s="23" t="n"/>
      <c r="C1689" s="23" t="n"/>
      <c r="D1689" s="28" t="n"/>
      <c r="E1689" s="23" t="n"/>
      <c r="F1689" s="23" t="n"/>
      <c r="G1689" s="23" t="n"/>
      <c r="H1689" s="29">
        <f>IF(C1689="","",IFERROR(INDEX(Categories!$B$6:$B$65,MATCH(C1689,Categories!$A$6:$A$65,0))&amp;"",""))</f>
        <v/>
      </c>
      <c r="I1689" s="25">
        <f>IF(AND(A1689="",C1689="",D1689=""),"",IF(A1689="","Date missing",IF(NOT(ISNUMBER(A1689)),"Date not recognized",IF(YEAR(A1689)&lt;&gt;Settings!$C$4,"Not in "&amp;Settings!$C$4,IF(C1689="","Category missing",IF(H1689="",IF(COUNTIF(Categories!$A$6:$A$65,C1689)&gt;0,"Category has no type","Category not in list"),IF(D1689="","Amount missing",IF(NOT(ISNUMBER(D1689)),"Amount is not a number",IF(F1689="","",IF(ISNA(MATCH(F1689,Lists!$G$2:$G$25,0)),"Goal / fund not in list",IF(H1689="Income","Fund tag ignored on income","")))))))))))</f>
        <v/>
      </c>
    </row>
    <row r="1690">
      <c r="A1690" s="27" t="n"/>
      <c r="B1690" s="23" t="n"/>
      <c r="C1690" s="23" t="n"/>
      <c r="D1690" s="28" t="n"/>
      <c r="E1690" s="23" t="n"/>
      <c r="F1690" s="23" t="n"/>
      <c r="G1690" s="23" t="n"/>
      <c r="H1690" s="29">
        <f>IF(C1690="","",IFERROR(INDEX(Categories!$B$6:$B$65,MATCH(C1690,Categories!$A$6:$A$65,0))&amp;"",""))</f>
        <v/>
      </c>
      <c r="I1690" s="25">
        <f>IF(AND(A1690="",C1690="",D1690=""),"",IF(A1690="","Date missing",IF(NOT(ISNUMBER(A1690)),"Date not recognized",IF(YEAR(A1690)&lt;&gt;Settings!$C$4,"Not in "&amp;Settings!$C$4,IF(C1690="","Category missing",IF(H1690="",IF(COUNTIF(Categories!$A$6:$A$65,C1690)&gt;0,"Category has no type","Category not in list"),IF(D1690="","Amount missing",IF(NOT(ISNUMBER(D1690)),"Amount is not a number",IF(F1690="","",IF(ISNA(MATCH(F1690,Lists!$G$2:$G$25,0)),"Goal / fund not in list",IF(H1690="Income","Fund tag ignored on income","")))))))))))</f>
        <v/>
      </c>
    </row>
    <row r="1691">
      <c r="A1691" s="27" t="n"/>
      <c r="B1691" s="23" t="n"/>
      <c r="C1691" s="23" t="n"/>
      <c r="D1691" s="28" t="n"/>
      <c r="E1691" s="23" t="n"/>
      <c r="F1691" s="23" t="n"/>
      <c r="G1691" s="23" t="n"/>
      <c r="H1691" s="29">
        <f>IF(C1691="","",IFERROR(INDEX(Categories!$B$6:$B$65,MATCH(C1691,Categories!$A$6:$A$65,0))&amp;"",""))</f>
        <v/>
      </c>
      <c r="I1691" s="25">
        <f>IF(AND(A1691="",C1691="",D1691=""),"",IF(A1691="","Date missing",IF(NOT(ISNUMBER(A1691)),"Date not recognized",IF(YEAR(A1691)&lt;&gt;Settings!$C$4,"Not in "&amp;Settings!$C$4,IF(C1691="","Category missing",IF(H1691="",IF(COUNTIF(Categories!$A$6:$A$65,C1691)&gt;0,"Category has no type","Category not in list"),IF(D1691="","Amount missing",IF(NOT(ISNUMBER(D1691)),"Amount is not a number",IF(F1691="","",IF(ISNA(MATCH(F1691,Lists!$G$2:$G$25,0)),"Goal / fund not in list",IF(H1691="Income","Fund tag ignored on income","")))))))))))</f>
        <v/>
      </c>
    </row>
    <row r="1692">
      <c r="A1692" s="27" t="n"/>
      <c r="B1692" s="23" t="n"/>
      <c r="C1692" s="23" t="n"/>
      <c r="D1692" s="28" t="n"/>
      <c r="E1692" s="23" t="n"/>
      <c r="F1692" s="23" t="n"/>
      <c r="G1692" s="23" t="n"/>
      <c r="H1692" s="29">
        <f>IF(C1692="","",IFERROR(INDEX(Categories!$B$6:$B$65,MATCH(C1692,Categories!$A$6:$A$65,0))&amp;"",""))</f>
        <v/>
      </c>
      <c r="I1692" s="25">
        <f>IF(AND(A1692="",C1692="",D1692=""),"",IF(A1692="","Date missing",IF(NOT(ISNUMBER(A1692)),"Date not recognized",IF(YEAR(A1692)&lt;&gt;Settings!$C$4,"Not in "&amp;Settings!$C$4,IF(C1692="","Category missing",IF(H1692="",IF(COUNTIF(Categories!$A$6:$A$65,C1692)&gt;0,"Category has no type","Category not in list"),IF(D1692="","Amount missing",IF(NOT(ISNUMBER(D1692)),"Amount is not a number",IF(F1692="","",IF(ISNA(MATCH(F1692,Lists!$G$2:$G$25,0)),"Goal / fund not in list",IF(H1692="Income","Fund tag ignored on income","")))))))))))</f>
        <v/>
      </c>
    </row>
    <row r="1693">
      <c r="A1693" s="27" t="n"/>
      <c r="B1693" s="23" t="n"/>
      <c r="C1693" s="23" t="n"/>
      <c r="D1693" s="28" t="n"/>
      <c r="E1693" s="23" t="n"/>
      <c r="F1693" s="23" t="n"/>
      <c r="G1693" s="23" t="n"/>
      <c r="H1693" s="29">
        <f>IF(C1693="","",IFERROR(INDEX(Categories!$B$6:$B$65,MATCH(C1693,Categories!$A$6:$A$65,0))&amp;"",""))</f>
        <v/>
      </c>
      <c r="I1693" s="25">
        <f>IF(AND(A1693="",C1693="",D1693=""),"",IF(A1693="","Date missing",IF(NOT(ISNUMBER(A1693)),"Date not recognized",IF(YEAR(A1693)&lt;&gt;Settings!$C$4,"Not in "&amp;Settings!$C$4,IF(C1693="","Category missing",IF(H1693="",IF(COUNTIF(Categories!$A$6:$A$65,C1693)&gt;0,"Category has no type","Category not in list"),IF(D1693="","Amount missing",IF(NOT(ISNUMBER(D1693)),"Amount is not a number",IF(F1693="","",IF(ISNA(MATCH(F1693,Lists!$G$2:$G$25,0)),"Goal / fund not in list",IF(H1693="Income","Fund tag ignored on income","")))))))))))</f>
        <v/>
      </c>
    </row>
    <row r="1694">
      <c r="A1694" s="27" t="n"/>
      <c r="B1694" s="23" t="n"/>
      <c r="C1694" s="23" t="n"/>
      <c r="D1694" s="28" t="n"/>
      <c r="E1694" s="23" t="n"/>
      <c r="F1694" s="23" t="n"/>
      <c r="G1694" s="23" t="n"/>
      <c r="H1694" s="29">
        <f>IF(C1694="","",IFERROR(INDEX(Categories!$B$6:$B$65,MATCH(C1694,Categories!$A$6:$A$65,0))&amp;"",""))</f>
        <v/>
      </c>
      <c r="I1694" s="25">
        <f>IF(AND(A1694="",C1694="",D1694=""),"",IF(A1694="","Date missing",IF(NOT(ISNUMBER(A1694)),"Date not recognized",IF(YEAR(A1694)&lt;&gt;Settings!$C$4,"Not in "&amp;Settings!$C$4,IF(C1694="","Category missing",IF(H1694="",IF(COUNTIF(Categories!$A$6:$A$65,C1694)&gt;0,"Category has no type","Category not in list"),IF(D1694="","Amount missing",IF(NOT(ISNUMBER(D1694)),"Amount is not a number",IF(F1694="","",IF(ISNA(MATCH(F1694,Lists!$G$2:$G$25,0)),"Goal / fund not in list",IF(H1694="Income","Fund tag ignored on income","")))))))))))</f>
        <v/>
      </c>
    </row>
    <row r="1695">
      <c r="A1695" s="27" t="n"/>
      <c r="B1695" s="23" t="n"/>
      <c r="C1695" s="23" t="n"/>
      <c r="D1695" s="28" t="n"/>
      <c r="E1695" s="23" t="n"/>
      <c r="F1695" s="23" t="n"/>
      <c r="G1695" s="23" t="n"/>
      <c r="H1695" s="29">
        <f>IF(C1695="","",IFERROR(INDEX(Categories!$B$6:$B$65,MATCH(C1695,Categories!$A$6:$A$65,0))&amp;"",""))</f>
        <v/>
      </c>
      <c r="I1695" s="25">
        <f>IF(AND(A1695="",C1695="",D1695=""),"",IF(A1695="","Date missing",IF(NOT(ISNUMBER(A1695)),"Date not recognized",IF(YEAR(A1695)&lt;&gt;Settings!$C$4,"Not in "&amp;Settings!$C$4,IF(C1695="","Category missing",IF(H1695="",IF(COUNTIF(Categories!$A$6:$A$65,C1695)&gt;0,"Category has no type","Category not in list"),IF(D1695="","Amount missing",IF(NOT(ISNUMBER(D1695)),"Amount is not a number",IF(F1695="","",IF(ISNA(MATCH(F1695,Lists!$G$2:$G$25,0)),"Goal / fund not in list",IF(H1695="Income","Fund tag ignored on income","")))))))))))</f>
        <v/>
      </c>
    </row>
    <row r="1696">
      <c r="A1696" s="27" t="n"/>
      <c r="B1696" s="23" t="n"/>
      <c r="C1696" s="23" t="n"/>
      <c r="D1696" s="28" t="n"/>
      <c r="E1696" s="23" t="n"/>
      <c r="F1696" s="23" t="n"/>
      <c r="G1696" s="23" t="n"/>
      <c r="H1696" s="29">
        <f>IF(C1696="","",IFERROR(INDEX(Categories!$B$6:$B$65,MATCH(C1696,Categories!$A$6:$A$65,0))&amp;"",""))</f>
        <v/>
      </c>
      <c r="I1696" s="25">
        <f>IF(AND(A1696="",C1696="",D1696=""),"",IF(A1696="","Date missing",IF(NOT(ISNUMBER(A1696)),"Date not recognized",IF(YEAR(A1696)&lt;&gt;Settings!$C$4,"Not in "&amp;Settings!$C$4,IF(C1696="","Category missing",IF(H1696="",IF(COUNTIF(Categories!$A$6:$A$65,C1696)&gt;0,"Category has no type","Category not in list"),IF(D1696="","Amount missing",IF(NOT(ISNUMBER(D1696)),"Amount is not a number",IF(F1696="","",IF(ISNA(MATCH(F1696,Lists!$G$2:$G$25,0)),"Goal / fund not in list",IF(H1696="Income","Fund tag ignored on income","")))))))))))</f>
        <v/>
      </c>
    </row>
    <row r="1697">
      <c r="A1697" s="27" t="n"/>
      <c r="B1697" s="23" t="n"/>
      <c r="C1697" s="23" t="n"/>
      <c r="D1697" s="28" t="n"/>
      <c r="E1697" s="23" t="n"/>
      <c r="F1697" s="23" t="n"/>
      <c r="G1697" s="23" t="n"/>
      <c r="H1697" s="29">
        <f>IF(C1697="","",IFERROR(INDEX(Categories!$B$6:$B$65,MATCH(C1697,Categories!$A$6:$A$65,0))&amp;"",""))</f>
        <v/>
      </c>
      <c r="I1697" s="25">
        <f>IF(AND(A1697="",C1697="",D1697=""),"",IF(A1697="","Date missing",IF(NOT(ISNUMBER(A1697)),"Date not recognized",IF(YEAR(A1697)&lt;&gt;Settings!$C$4,"Not in "&amp;Settings!$C$4,IF(C1697="","Category missing",IF(H1697="",IF(COUNTIF(Categories!$A$6:$A$65,C1697)&gt;0,"Category has no type","Category not in list"),IF(D1697="","Amount missing",IF(NOT(ISNUMBER(D1697)),"Amount is not a number",IF(F1697="","",IF(ISNA(MATCH(F1697,Lists!$G$2:$G$25,0)),"Goal / fund not in list",IF(H1697="Income","Fund tag ignored on income","")))))))))))</f>
        <v/>
      </c>
    </row>
    <row r="1698">
      <c r="A1698" s="27" t="n"/>
      <c r="B1698" s="23" t="n"/>
      <c r="C1698" s="23" t="n"/>
      <c r="D1698" s="28" t="n"/>
      <c r="E1698" s="23" t="n"/>
      <c r="F1698" s="23" t="n"/>
      <c r="G1698" s="23" t="n"/>
      <c r="H1698" s="29">
        <f>IF(C1698="","",IFERROR(INDEX(Categories!$B$6:$B$65,MATCH(C1698,Categories!$A$6:$A$65,0))&amp;"",""))</f>
        <v/>
      </c>
      <c r="I1698" s="25">
        <f>IF(AND(A1698="",C1698="",D1698=""),"",IF(A1698="","Date missing",IF(NOT(ISNUMBER(A1698)),"Date not recognized",IF(YEAR(A1698)&lt;&gt;Settings!$C$4,"Not in "&amp;Settings!$C$4,IF(C1698="","Category missing",IF(H1698="",IF(COUNTIF(Categories!$A$6:$A$65,C1698)&gt;0,"Category has no type","Category not in list"),IF(D1698="","Amount missing",IF(NOT(ISNUMBER(D1698)),"Amount is not a number",IF(F1698="","",IF(ISNA(MATCH(F1698,Lists!$G$2:$G$25,0)),"Goal / fund not in list",IF(H1698="Income","Fund tag ignored on income","")))))))))))</f>
        <v/>
      </c>
    </row>
    <row r="1699">
      <c r="A1699" s="27" t="n"/>
      <c r="B1699" s="23" t="n"/>
      <c r="C1699" s="23" t="n"/>
      <c r="D1699" s="28" t="n"/>
      <c r="E1699" s="23" t="n"/>
      <c r="F1699" s="23" t="n"/>
      <c r="G1699" s="23" t="n"/>
      <c r="H1699" s="29">
        <f>IF(C1699="","",IFERROR(INDEX(Categories!$B$6:$B$65,MATCH(C1699,Categories!$A$6:$A$65,0))&amp;"",""))</f>
        <v/>
      </c>
      <c r="I1699" s="25">
        <f>IF(AND(A1699="",C1699="",D1699=""),"",IF(A1699="","Date missing",IF(NOT(ISNUMBER(A1699)),"Date not recognized",IF(YEAR(A1699)&lt;&gt;Settings!$C$4,"Not in "&amp;Settings!$C$4,IF(C1699="","Category missing",IF(H1699="",IF(COUNTIF(Categories!$A$6:$A$65,C1699)&gt;0,"Category has no type","Category not in list"),IF(D1699="","Amount missing",IF(NOT(ISNUMBER(D1699)),"Amount is not a number",IF(F1699="","",IF(ISNA(MATCH(F1699,Lists!$G$2:$G$25,0)),"Goal / fund not in list",IF(H1699="Income","Fund tag ignored on income","")))))))))))</f>
        <v/>
      </c>
    </row>
    <row r="1700">
      <c r="A1700" s="27" t="n"/>
      <c r="B1700" s="23" t="n"/>
      <c r="C1700" s="23" t="n"/>
      <c r="D1700" s="28" t="n"/>
      <c r="E1700" s="23" t="n"/>
      <c r="F1700" s="23" t="n"/>
      <c r="G1700" s="23" t="n"/>
      <c r="H1700" s="29">
        <f>IF(C1700="","",IFERROR(INDEX(Categories!$B$6:$B$65,MATCH(C1700,Categories!$A$6:$A$65,0))&amp;"",""))</f>
        <v/>
      </c>
      <c r="I1700" s="25">
        <f>IF(AND(A1700="",C1700="",D1700=""),"",IF(A1700="","Date missing",IF(NOT(ISNUMBER(A1700)),"Date not recognized",IF(YEAR(A1700)&lt;&gt;Settings!$C$4,"Not in "&amp;Settings!$C$4,IF(C1700="","Category missing",IF(H1700="",IF(COUNTIF(Categories!$A$6:$A$65,C1700)&gt;0,"Category has no type","Category not in list"),IF(D1700="","Amount missing",IF(NOT(ISNUMBER(D1700)),"Amount is not a number",IF(F1700="","",IF(ISNA(MATCH(F1700,Lists!$G$2:$G$25,0)),"Goal / fund not in list",IF(H1700="Income","Fund tag ignored on income","")))))))))))</f>
        <v/>
      </c>
    </row>
    <row r="1701">
      <c r="A1701" s="27" t="n"/>
      <c r="B1701" s="23" t="n"/>
      <c r="C1701" s="23" t="n"/>
      <c r="D1701" s="28" t="n"/>
      <c r="E1701" s="23" t="n"/>
      <c r="F1701" s="23" t="n"/>
      <c r="G1701" s="23" t="n"/>
      <c r="H1701" s="29">
        <f>IF(C1701="","",IFERROR(INDEX(Categories!$B$6:$B$65,MATCH(C1701,Categories!$A$6:$A$65,0))&amp;"",""))</f>
        <v/>
      </c>
      <c r="I1701" s="25">
        <f>IF(AND(A1701="",C1701="",D1701=""),"",IF(A1701="","Date missing",IF(NOT(ISNUMBER(A1701)),"Date not recognized",IF(YEAR(A1701)&lt;&gt;Settings!$C$4,"Not in "&amp;Settings!$C$4,IF(C1701="","Category missing",IF(H1701="",IF(COUNTIF(Categories!$A$6:$A$65,C1701)&gt;0,"Category has no type","Category not in list"),IF(D1701="","Amount missing",IF(NOT(ISNUMBER(D1701)),"Amount is not a number",IF(F1701="","",IF(ISNA(MATCH(F1701,Lists!$G$2:$G$25,0)),"Goal / fund not in list",IF(H1701="Income","Fund tag ignored on income","")))))))))))</f>
        <v/>
      </c>
    </row>
    <row r="1702">
      <c r="A1702" s="27" t="n"/>
      <c r="B1702" s="23" t="n"/>
      <c r="C1702" s="23" t="n"/>
      <c r="D1702" s="28" t="n"/>
      <c r="E1702" s="23" t="n"/>
      <c r="F1702" s="23" t="n"/>
      <c r="G1702" s="23" t="n"/>
      <c r="H1702" s="29">
        <f>IF(C1702="","",IFERROR(INDEX(Categories!$B$6:$B$65,MATCH(C1702,Categories!$A$6:$A$65,0))&amp;"",""))</f>
        <v/>
      </c>
      <c r="I1702" s="25">
        <f>IF(AND(A1702="",C1702="",D1702=""),"",IF(A1702="","Date missing",IF(NOT(ISNUMBER(A1702)),"Date not recognized",IF(YEAR(A1702)&lt;&gt;Settings!$C$4,"Not in "&amp;Settings!$C$4,IF(C1702="","Category missing",IF(H1702="",IF(COUNTIF(Categories!$A$6:$A$65,C1702)&gt;0,"Category has no type","Category not in list"),IF(D1702="","Amount missing",IF(NOT(ISNUMBER(D1702)),"Amount is not a number",IF(F1702="","",IF(ISNA(MATCH(F1702,Lists!$G$2:$G$25,0)),"Goal / fund not in list",IF(H1702="Income","Fund tag ignored on income","")))))))))))</f>
        <v/>
      </c>
    </row>
    <row r="1703">
      <c r="A1703" s="27" t="n"/>
      <c r="B1703" s="23" t="n"/>
      <c r="C1703" s="23" t="n"/>
      <c r="D1703" s="28" t="n"/>
      <c r="E1703" s="23" t="n"/>
      <c r="F1703" s="23" t="n"/>
      <c r="G1703" s="23" t="n"/>
      <c r="H1703" s="29">
        <f>IF(C1703="","",IFERROR(INDEX(Categories!$B$6:$B$65,MATCH(C1703,Categories!$A$6:$A$65,0))&amp;"",""))</f>
        <v/>
      </c>
      <c r="I1703" s="25">
        <f>IF(AND(A1703="",C1703="",D1703=""),"",IF(A1703="","Date missing",IF(NOT(ISNUMBER(A1703)),"Date not recognized",IF(YEAR(A1703)&lt;&gt;Settings!$C$4,"Not in "&amp;Settings!$C$4,IF(C1703="","Category missing",IF(H1703="",IF(COUNTIF(Categories!$A$6:$A$65,C1703)&gt;0,"Category has no type","Category not in list"),IF(D1703="","Amount missing",IF(NOT(ISNUMBER(D1703)),"Amount is not a number",IF(F1703="","",IF(ISNA(MATCH(F1703,Lists!$G$2:$G$25,0)),"Goal / fund not in list",IF(H1703="Income","Fund tag ignored on income","")))))))))))</f>
        <v/>
      </c>
    </row>
    <row r="1704">
      <c r="A1704" s="27" t="n"/>
      <c r="B1704" s="23" t="n"/>
      <c r="C1704" s="23" t="n"/>
      <c r="D1704" s="28" t="n"/>
      <c r="E1704" s="23" t="n"/>
      <c r="F1704" s="23" t="n"/>
      <c r="G1704" s="23" t="n"/>
      <c r="H1704" s="29">
        <f>IF(C1704="","",IFERROR(INDEX(Categories!$B$6:$B$65,MATCH(C1704,Categories!$A$6:$A$65,0))&amp;"",""))</f>
        <v/>
      </c>
      <c r="I1704" s="25">
        <f>IF(AND(A1704="",C1704="",D1704=""),"",IF(A1704="","Date missing",IF(NOT(ISNUMBER(A1704)),"Date not recognized",IF(YEAR(A1704)&lt;&gt;Settings!$C$4,"Not in "&amp;Settings!$C$4,IF(C1704="","Category missing",IF(H1704="",IF(COUNTIF(Categories!$A$6:$A$65,C1704)&gt;0,"Category has no type","Category not in list"),IF(D1704="","Amount missing",IF(NOT(ISNUMBER(D1704)),"Amount is not a number",IF(F1704="","",IF(ISNA(MATCH(F1704,Lists!$G$2:$G$25,0)),"Goal / fund not in list",IF(H1704="Income","Fund tag ignored on income","")))))))))))</f>
        <v/>
      </c>
    </row>
    <row r="1705">
      <c r="A1705" s="27" t="n"/>
      <c r="B1705" s="23" t="n"/>
      <c r="C1705" s="23" t="n"/>
      <c r="D1705" s="28" t="n"/>
      <c r="E1705" s="23" t="n"/>
      <c r="F1705" s="23" t="n"/>
      <c r="G1705" s="23" t="n"/>
      <c r="H1705" s="29">
        <f>IF(C1705="","",IFERROR(INDEX(Categories!$B$6:$B$65,MATCH(C1705,Categories!$A$6:$A$65,0))&amp;"",""))</f>
        <v/>
      </c>
      <c r="I1705" s="25">
        <f>IF(AND(A1705="",C1705="",D1705=""),"",IF(A1705="","Date missing",IF(NOT(ISNUMBER(A1705)),"Date not recognized",IF(YEAR(A1705)&lt;&gt;Settings!$C$4,"Not in "&amp;Settings!$C$4,IF(C1705="","Category missing",IF(H1705="",IF(COUNTIF(Categories!$A$6:$A$65,C1705)&gt;0,"Category has no type","Category not in list"),IF(D1705="","Amount missing",IF(NOT(ISNUMBER(D1705)),"Amount is not a number",IF(F1705="","",IF(ISNA(MATCH(F1705,Lists!$G$2:$G$25,0)),"Goal / fund not in list",IF(H1705="Income","Fund tag ignored on income","")))))))))))</f>
        <v/>
      </c>
    </row>
    <row r="1706">
      <c r="A1706" s="27" t="n"/>
      <c r="B1706" s="23" t="n"/>
      <c r="C1706" s="23" t="n"/>
      <c r="D1706" s="28" t="n"/>
      <c r="E1706" s="23" t="n"/>
      <c r="F1706" s="23" t="n"/>
      <c r="G1706" s="23" t="n"/>
      <c r="H1706" s="29">
        <f>IF(C1706="","",IFERROR(INDEX(Categories!$B$6:$B$65,MATCH(C1706,Categories!$A$6:$A$65,0))&amp;"",""))</f>
        <v/>
      </c>
      <c r="I1706" s="25">
        <f>IF(AND(A1706="",C1706="",D1706=""),"",IF(A1706="","Date missing",IF(NOT(ISNUMBER(A1706)),"Date not recognized",IF(YEAR(A1706)&lt;&gt;Settings!$C$4,"Not in "&amp;Settings!$C$4,IF(C1706="","Category missing",IF(H1706="",IF(COUNTIF(Categories!$A$6:$A$65,C1706)&gt;0,"Category has no type","Category not in list"),IF(D1706="","Amount missing",IF(NOT(ISNUMBER(D1706)),"Amount is not a number",IF(F1706="","",IF(ISNA(MATCH(F1706,Lists!$G$2:$G$25,0)),"Goal / fund not in list",IF(H1706="Income","Fund tag ignored on income","")))))))))))</f>
        <v/>
      </c>
    </row>
    <row r="1707">
      <c r="A1707" s="27" t="n"/>
      <c r="B1707" s="23" t="n"/>
      <c r="C1707" s="23" t="n"/>
      <c r="D1707" s="28" t="n"/>
      <c r="E1707" s="23" t="n"/>
      <c r="F1707" s="23" t="n"/>
      <c r="G1707" s="23" t="n"/>
      <c r="H1707" s="29">
        <f>IF(C1707="","",IFERROR(INDEX(Categories!$B$6:$B$65,MATCH(C1707,Categories!$A$6:$A$65,0))&amp;"",""))</f>
        <v/>
      </c>
      <c r="I1707" s="25">
        <f>IF(AND(A1707="",C1707="",D1707=""),"",IF(A1707="","Date missing",IF(NOT(ISNUMBER(A1707)),"Date not recognized",IF(YEAR(A1707)&lt;&gt;Settings!$C$4,"Not in "&amp;Settings!$C$4,IF(C1707="","Category missing",IF(H1707="",IF(COUNTIF(Categories!$A$6:$A$65,C1707)&gt;0,"Category has no type","Category not in list"),IF(D1707="","Amount missing",IF(NOT(ISNUMBER(D1707)),"Amount is not a number",IF(F1707="","",IF(ISNA(MATCH(F1707,Lists!$G$2:$G$25,0)),"Goal / fund not in list",IF(H1707="Income","Fund tag ignored on income","")))))))))))</f>
        <v/>
      </c>
    </row>
    <row r="1708">
      <c r="A1708" s="27" t="n"/>
      <c r="B1708" s="23" t="n"/>
      <c r="C1708" s="23" t="n"/>
      <c r="D1708" s="28" t="n"/>
      <c r="E1708" s="23" t="n"/>
      <c r="F1708" s="23" t="n"/>
      <c r="G1708" s="23" t="n"/>
      <c r="H1708" s="29">
        <f>IF(C1708="","",IFERROR(INDEX(Categories!$B$6:$B$65,MATCH(C1708,Categories!$A$6:$A$65,0))&amp;"",""))</f>
        <v/>
      </c>
      <c r="I1708" s="25">
        <f>IF(AND(A1708="",C1708="",D1708=""),"",IF(A1708="","Date missing",IF(NOT(ISNUMBER(A1708)),"Date not recognized",IF(YEAR(A1708)&lt;&gt;Settings!$C$4,"Not in "&amp;Settings!$C$4,IF(C1708="","Category missing",IF(H1708="",IF(COUNTIF(Categories!$A$6:$A$65,C1708)&gt;0,"Category has no type","Category not in list"),IF(D1708="","Amount missing",IF(NOT(ISNUMBER(D1708)),"Amount is not a number",IF(F1708="","",IF(ISNA(MATCH(F1708,Lists!$G$2:$G$25,0)),"Goal / fund not in list",IF(H1708="Income","Fund tag ignored on income","")))))))))))</f>
        <v/>
      </c>
    </row>
    <row r="1709">
      <c r="A1709" s="27" t="n"/>
      <c r="B1709" s="23" t="n"/>
      <c r="C1709" s="23" t="n"/>
      <c r="D1709" s="28" t="n"/>
      <c r="E1709" s="23" t="n"/>
      <c r="F1709" s="23" t="n"/>
      <c r="G1709" s="23" t="n"/>
      <c r="H1709" s="29">
        <f>IF(C1709="","",IFERROR(INDEX(Categories!$B$6:$B$65,MATCH(C1709,Categories!$A$6:$A$65,0))&amp;"",""))</f>
        <v/>
      </c>
      <c r="I1709" s="25">
        <f>IF(AND(A1709="",C1709="",D1709=""),"",IF(A1709="","Date missing",IF(NOT(ISNUMBER(A1709)),"Date not recognized",IF(YEAR(A1709)&lt;&gt;Settings!$C$4,"Not in "&amp;Settings!$C$4,IF(C1709="","Category missing",IF(H1709="",IF(COUNTIF(Categories!$A$6:$A$65,C1709)&gt;0,"Category has no type","Category not in list"),IF(D1709="","Amount missing",IF(NOT(ISNUMBER(D1709)),"Amount is not a number",IF(F1709="","",IF(ISNA(MATCH(F1709,Lists!$G$2:$G$25,0)),"Goal / fund not in list",IF(H1709="Income","Fund tag ignored on income","")))))))))))</f>
        <v/>
      </c>
    </row>
    <row r="1710">
      <c r="A1710" s="27" t="n"/>
      <c r="B1710" s="23" t="n"/>
      <c r="C1710" s="23" t="n"/>
      <c r="D1710" s="28" t="n"/>
      <c r="E1710" s="23" t="n"/>
      <c r="F1710" s="23" t="n"/>
      <c r="G1710" s="23" t="n"/>
      <c r="H1710" s="29">
        <f>IF(C1710="","",IFERROR(INDEX(Categories!$B$6:$B$65,MATCH(C1710,Categories!$A$6:$A$65,0))&amp;"",""))</f>
        <v/>
      </c>
      <c r="I1710" s="25">
        <f>IF(AND(A1710="",C1710="",D1710=""),"",IF(A1710="","Date missing",IF(NOT(ISNUMBER(A1710)),"Date not recognized",IF(YEAR(A1710)&lt;&gt;Settings!$C$4,"Not in "&amp;Settings!$C$4,IF(C1710="","Category missing",IF(H1710="",IF(COUNTIF(Categories!$A$6:$A$65,C1710)&gt;0,"Category has no type","Category not in list"),IF(D1710="","Amount missing",IF(NOT(ISNUMBER(D1710)),"Amount is not a number",IF(F1710="","",IF(ISNA(MATCH(F1710,Lists!$G$2:$G$25,0)),"Goal / fund not in list",IF(H1710="Income","Fund tag ignored on income","")))))))))))</f>
        <v/>
      </c>
    </row>
    <row r="1711">
      <c r="A1711" s="27" t="n"/>
      <c r="B1711" s="23" t="n"/>
      <c r="C1711" s="23" t="n"/>
      <c r="D1711" s="28" t="n"/>
      <c r="E1711" s="23" t="n"/>
      <c r="F1711" s="23" t="n"/>
      <c r="G1711" s="23" t="n"/>
      <c r="H1711" s="29">
        <f>IF(C1711="","",IFERROR(INDEX(Categories!$B$6:$B$65,MATCH(C1711,Categories!$A$6:$A$65,0))&amp;"",""))</f>
        <v/>
      </c>
      <c r="I1711" s="25">
        <f>IF(AND(A1711="",C1711="",D1711=""),"",IF(A1711="","Date missing",IF(NOT(ISNUMBER(A1711)),"Date not recognized",IF(YEAR(A1711)&lt;&gt;Settings!$C$4,"Not in "&amp;Settings!$C$4,IF(C1711="","Category missing",IF(H1711="",IF(COUNTIF(Categories!$A$6:$A$65,C1711)&gt;0,"Category has no type","Category not in list"),IF(D1711="","Amount missing",IF(NOT(ISNUMBER(D1711)),"Amount is not a number",IF(F1711="","",IF(ISNA(MATCH(F1711,Lists!$G$2:$G$25,0)),"Goal / fund not in list",IF(H1711="Income","Fund tag ignored on income","")))))))))))</f>
        <v/>
      </c>
    </row>
    <row r="1712">
      <c r="A1712" s="27" t="n"/>
      <c r="B1712" s="23" t="n"/>
      <c r="C1712" s="23" t="n"/>
      <c r="D1712" s="28" t="n"/>
      <c r="E1712" s="23" t="n"/>
      <c r="F1712" s="23" t="n"/>
      <c r="G1712" s="23" t="n"/>
      <c r="H1712" s="29">
        <f>IF(C1712="","",IFERROR(INDEX(Categories!$B$6:$B$65,MATCH(C1712,Categories!$A$6:$A$65,0))&amp;"",""))</f>
        <v/>
      </c>
      <c r="I1712" s="25">
        <f>IF(AND(A1712="",C1712="",D1712=""),"",IF(A1712="","Date missing",IF(NOT(ISNUMBER(A1712)),"Date not recognized",IF(YEAR(A1712)&lt;&gt;Settings!$C$4,"Not in "&amp;Settings!$C$4,IF(C1712="","Category missing",IF(H1712="",IF(COUNTIF(Categories!$A$6:$A$65,C1712)&gt;0,"Category has no type","Category not in list"),IF(D1712="","Amount missing",IF(NOT(ISNUMBER(D1712)),"Amount is not a number",IF(F1712="","",IF(ISNA(MATCH(F1712,Lists!$G$2:$G$25,0)),"Goal / fund not in list",IF(H1712="Income","Fund tag ignored on income","")))))))))))</f>
        <v/>
      </c>
    </row>
    <row r="1713">
      <c r="A1713" s="27" t="n"/>
      <c r="B1713" s="23" t="n"/>
      <c r="C1713" s="23" t="n"/>
      <c r="D1713" s="28" t="n"/>
      <c r="E1713" s="23" t="n"/>
      <c r="F1713" s="23" t="n"/>
      <c r="G1713" s="23" t="n"/>
      <c r="H1713" s="29">
        <f>IF(C1713="","",IFERROR(INDEX(Categories!$B$6:$B$65,MATCH(C1713,Categories!$A$6:$A$65,0))&amp;"",""))</f>
        <v/>
      </c>
      <c r="I1713" s="25">
        <f>IF(AND(A1713="",C1713="",D1713=""),"",IF(A1713="","Date missing",IF(NOT(ISNUMBER(A1713)),"Date not recognized",IF(YEAR(A1713)&lt;&gt;Settings!$C$4,"Not in "&amp;Settings!$C$4,IF(C1713="","Category missing",IF(H1713="",IF(COUNTIF(Categories!$A$6:$A$65,C1713)&gt;0,"Category has no type","Category not in list"),IF(D1713="","Amount missing",IF(NOT(ISNUMBER(D1713)),"Amount is not a number",IF(F1713="","",IF(ISNA(MATCH(F1713,Lists!$G$2:$G$25,0)),"Goal / fund not in list",IF(H1713="Income","Fund tag ignored on income","")))))))))))</f>
        <v/>
      </c>
    </row>
    <row r="1714">
      <c r="A1714" s="27" t="n"/>
      <c r="B1714" s="23" t="n"/>
      <c r="C1714" s="23" t="n"/>
      <c r="D1714" s="28" t="n"/>
      <c r="E1714" s="23" t="n"/>
      <c r="F1714" s="23" t="n"/>
      <c r="G1714" s="23" t="n"/>
      <c r="H1714" s="29">
        <f>IF(C1714="","",IFERROR(INDEX(Categories!$B$6:$B$65,MATCH(C1714,Categories!$A$6:$A$65,0))&amp;"",""))</f>
        <v/>
      </c>
      <c r="I1714" s="25">
        <f>IF(AND(A1714="",C1714="",D1714=""),"",IF(A1714="","Date missing",IF(NOT(ISNUMBER(A1714)),"Date not recognized",IF(YEAR(A1714)&lt;&gt;Settings!$C$4,"Not in "&amp;Settings!$C$4,IF(C1714="","Category missing",IF(H1714="",IF(COUNTIF(Categories!$A$6:$A$65,C1714)&gt;0,"Category has no type","Category not in list"),IF(D1714="","Amount missing",IF(NOT(ISNUMBER(D1714)),"Amount is not a number",IF(F1714="","",IF(ISNA(MATCH(F1714,Lists!$G$2:$G$25,0)),"Goal / fund not in list",IF(H1714="Income","Fund tag ignored on income","")))))))))))</f>
        <v/>
      </c>
    </row>
    <row r="1715">
      <c r="A1715" s="27" t="n"/>
      <c r="B1715" s="23" t="n"/>
      <c r="C1715" s="23" t="n"/>
      <c r="D1715" s="28" t="n"/>
      <c r="E1715" s="23" t="n"/>
      <c r="F1715" s="23" t="n"/>
      <c r="G1715" s="23" t="n"/>
      <c r="H1715" s="29">
        <f>IF(C1715="","",IFERROR(INDEX(Categories!$B$6:$B$65,MATCH(C1715,Categories!$A$6:$A$65,0))&amp;"",""))</f>
        <v/>
      </c>
      <c r="I1715" s="25">
        <f>IF(AND(A1715="",C1715="",D1715=""),"",IF(A1715="","Date missing",IF(NOT(ISNUMBER(A1715)),"Date not recognized",IF(YEAR(A1715)&lt;&gt;Settings!$C$4,"Not in "&amp;Settings!$C$4,IF(C1715="","Category missing",IF(H1715="",IF(COUNTIF(Categories!$A$6:$A$65,C1715)&gt;0,"Category has no type","Category not in list"),IF(D1715="","Amount missing",IF(NOT(ISNUMBER(D1715)),"Amount is not a number",IF(F1715="","",IF(ISNA(MATCH(F1715,Lists!$G$2:$G$25,0)),"Goal / fund not in list",IF(H1715="Income","Fund tag ignored on income","")))))))))))</f>
        <v/>
      </c>
    </row>
    <row r="1716">
      <c r="A1716" s="27" t="n"/>
      <c r="B1716" s="23" t="n"/>
      <c r="C1716" s="23" t="n"/>
      <c r="D1716" s="28" t="n"/>
      <c r="E1716" s="23" t="n"/>
      <c r="F1716" s="23" t="n"/>
      <c r="G1716" s="23" t="n"/>
      <c r="H1716" s="29">
        <f>IF(C1716="","",IFERROR(INDEX(Categories!$B$6:$B$65,MATCH(C1716,Categories!$A$6:$A$65,0))&amp;"",""))</f>
        <v/>
      </c>
      <c r="I1716" s="25">
        <f>IF(AND(A1716="",C1716="",D1716=""),"",IF(A1716="","Date missing",IF(NOT(ISNUMBER(A1716)),"Date not recognized",IF(YEAR(A1716)&lt;&gt;Settings!$C$4,"Not in "&amp;Settings!$C$4,IF(C1716="","Category missing",IF(H1716="",IF(COUNTIF(Categories!$A$6:$A$65,C1716)&gt;0,"Category has no type","Category not in list"),IF(D1716="","Amount missing",IF(NOT(ISNUMBER(D1716)),"Amount is not a number",IF(F1716="","",IF(ISNA(MATCH(F1716,Lists!$G$2:$G$25,0)),"Goal / fund not in list",IF(H1716="Income","Fund tag ignored on income","")))))))))))</f>
        <v/>
      </c>
    </row>
    <row r="1717">
      <c r="A1717" s="27" t="n"/>
      <c r="B1717" s="23" t="n"/>
      <c r="C1717" s="23" t="n"/>
      <c r="D1717" s="28" t="n"/>
      <c r="E1717" s="23" t="n"/>
      <c r="F1717" s="23" t="n"/>
      <c r="G1717" s="23" t="n"/>
      <c r="H1717" s="29">
        <f>IF(C1717="","",IFERROR(INDEX(Categories!$B$6:$B$65,MATCH(C1717,Categories!$A$6:$A$65,0))&amp;"",""))</f>
        <v/>
      </c>
      <c r="I1717" s="25">
        <f>IF(AND(A1717="",C1717="",D1717=""),"",IF(A1717="","Date missing",IF(NOT(ISNUMBER(A1717)),"Date not recognized",IF(YEAR(A1717)&lt;&gt;Settings!$C$4,"Not in "&amp;Settings!$C$4,IF(C1717="","Category missing",IF(H1717="",IF(COUNTIF(Categories!$A$6:$A$65,C1717)&gt;0,"Category has no type","Category not in list"),IF(D1717="","Amount missing",IF(NOT(ISNUMBER(D1717)),"Amount is not a number",IF(F1717="","",IF(ISNA(MATCH(F1717,Lists!$G$2:$G$25,0)),"Goal / fund not in list",IF(H1717="Income","Fund tag ignored on income","")))))))))))</f>
        <v/>
      </c>
    </row>
    <row r="1718">
      <c r="A1718" s="27" t="n"/>
      <c r="B1718" s="23" t="n"/>
      <c r="C1718" s="23" t="n"/>
      <c r="D1718" s="28" t="n"/>
      <c r="E1718" s="23" t="n"/>
      <c r="F1718" s="23" t="n"/>
      <c r="G1718" s="23" t="n"/>
      <c r="H1718" s="29">
        <f>IF(C1718="","",IFERROR(INDEX(Categories!$B$6:$B$65,MATCH(C1718,Categories!$A$6:$A$65,0))&amp;"",""))</f>
        <v/>
      </c>
      <c r="I1718" s="25">
        <f>IF(AND(A1718="",C1718="",D1718=""),"",IF(A1718="","Date missing",IF(NOT(ISNUMBER(A1718)),"Date not recognized",IF(YEAR(A1718)&lt;&gt;Settings!$C$4,"Not in "&amp;Settings!$C$4,IF(C1718="","Category missing",IF(H1718="",IF(COUNTIF(Categories!$A$6:$A$65,C1718)&gt;0,"Category has no type","Category not in list"),IF(D1718="","Amount missing",IF(NOT(ISNUMBER(D1718)),"Amount is not a number",IF(F1718="","",IF(ISNA(MATCH(F1718,Lists!$G$2:$G$25,0)),"Goal / fund not in list",IF(H1718="Income","Fund tag ignored on income","")))))))))))</f>
        <v/>
      </c>
    </row>
    <row r="1719">
      <c r="A1719" s="27" t="n"/>
      <c r="B1719" s="23" t="n"/>
      <c r="C1719" s="23" t="n"/>
      <c r="D1719" s="28" t="n"/>
      <c r="E1719" s="23" t="n"/>
      <c r="F1719" s="23" t="n"/>
      <c r="G1719" s="23" t="n"/>
      <c r="H1719" s="29">
        <f>IF(C1719="","",IFERROR(INDEX(Categories!$B$6:$B$65,MATCH(C1719,Categories!$A$6:$A$65,0))&amp;"",""))</f>
        <v/>
      </c>
      <c r="I1719" s="25">
        <f>IF(AND(A1719="",C1719="",D1719=""),"",IF(A1719="","Date missing",IF(NOT(ISNUMBER(A1719)),"Date not recognized",IF(YEAR(A1719)&lt;&gt;Settings!$C$4,"Not in "&amp;Settings!$C$4,IF(C1719="","Category missing",IF(H1719="",IF(COUNTIF(Categories!$A$6:$A$65,C1719)&gt;0,"Category has no type","Category not in list"),IF(D1719="","Amount missing",IF(NOT(ISNUMBER(D1719)),"Amount is not a number",IF(F1719="","",IF(ISNA(MATCH(F1719,Lists!$G$2:$G$25,0)),"Goal / fund not in list",IF(H1719="Income","Fund tag ignored on income","")))))))))))</f>
        <v/>
      </c>
    </row>
    <row r="1720">
      <c r="A1720" s="27" t="n"/>
      <c r="B1720" s="23" t="n"/>
      <c r="C1720" s="23" t="n"/>
      <c r="D1720" s="28" t="n"/>
      <c r="E1720" s="23" t="n"/>
      <c r="F1720" s="23" t="n"/>
      <c r="G1720" s="23" t="n"/>
      <c r="H1720" s="29">
        <f>IF(C1720="","",IFERROR(INDEX(Categories!$B$6:$B$65,MATCH(C1720,Categories!$A$6:$A$65,0))&amp;"",""))</f>
        <v/>
      </c>
      <c r="I1720" s="25">
        <f>IF(AND(A1720="",C1720="",D1720=""),"",IF(A1720="","Date missing",IF(NOT(ISNUMBER(A1720)),"Date not recognized",IF(YEAR(A1720)&lt;&gt;Settings!$C$4,"Not in "&amp;Settings!$C$4,IF(C1720="","Category missing",IF(H1720="",IF(COUNTIF(Categories!$A$6:$A$65,C1720)&gt;0,"Category has no type","Category not in list"),IF(D1720="","Amount missing",IF(NOT(ISNUMBER(D1720)),"Amount is not a number",IF(F1720="","",IF(ISNA(MATCH(F1720,Lists!$G$2:$G$25,0)),"Goal / fund not in list",IF(H1720="Income","Fund tag ignored on income","")))))))))))</f>
        <v/>
      </c>
    </row>
    <row r="1721">
      <c r="A1721" s="27" t="n"/>
      <c r="B1721" s="23" t="n"/>
      <c r="C1721" s="23" t="n"/>
      <c r="D1721" s="28" t="n"/>
      <c r="E1721" s="23" t="n"/>
      <c r="F1721" s="23" t="n"/>
      <c r="G1721" s="23" t="n"/>
      <c r="H1721" s="29">
        <f>IF(C1721="","",IFERROR(INDEX(Categories!$B$6:$B$65,MATCH(C1721,Categories!$A$6:$A$65,0))&amp;"",""))</f>
        <v/>
      </c>
      <c r="I1721" s="25">
        <f>IF(AND(A1721="",C1721="",D1721=""),"",IF(A1721="","Date missing",IF(NOT(ISNUMBER(A1721)),"Date not recognized",IF(YEAR(A1721)&lt;&gt;Settings!$C$4,"Not in "&amp;Settings!$C$4,IF(C1721="","Category missing",IF(H1721="",IF(COUNTIF(Categories!$A$6:$A$65,C1721)&gt;0,"Category has no type","Category not in list"),IF(D1721="","Amount missing",IF(NOT(ISNUMBER(D1721)),"Amount is not a number",IF(F1721="","",IF(ISNA(MATCH(F1721,Lists!$G$2:$G$25,0)),"Goal / fund not in list",IF(H1721="Income","Fund tag ignored on income","")))))))))))</f>
        <v/>
      </c>
    </row>
    <row r="1722">
      <c r="A1722" s="27" t="n"/>
      <c r="B1722" s="23" t="n"/>
      <c r="C1722" s="23" t="n"/>
      <c r="D1722" s="28" t="n"/>
      <c r="E1722" s="23" t="n"/>
      <c r="F1722" s="23" t="n"/>
      <c r="G1722" s="23" t="n"/>
      <c r="H1722" s="29">
        <f>IF(C1722="","",IFERROR(INDEX(Categories!$B$6:$B$65,MATCH(C1722,Categories!$A$6:$A$65,0))&amp;"",""))</f>
        <v/>
      </c>
      <c r="I1722" s="25">
        <f>IF(AND(A1722="",C1722="",D1722=""),"",IF(A1722="","Date missing",IF(NOT(ISNUMBER(A1722)),"Date not recognized",IF(YEAR(A1722)&lt;&gt;Settings!$C$4,"Not in "&amp;Settings!$C$4,IF(C1722="","Category missing",IF(H1722="",IF(COUNTIF(Categories!$A$6:$A$65,C1722)&gt;0,"Category has no type","Category not in list"),IF(D1722="","Amount missing",IF(NOT(ISNUMBER(D1722)),"Amount is not a number",IF(F1722="","",IF(ISNA(MATCH(F1722,Lists!$G$2:$G$25,0)),"Goal / fund not in list",IF(H1722="Income","Fund tag ignored on income","")))))))))))</f>
        <v/>
      </c>
    </row>
    <row r="1723">
      <c r="A1723" s="27" t="n"/>
      <c r="B1723" s="23" t="n"/>
      <c r="C1723" s="23" t="n"/>
      <c r="D1723" s="28" t="n"/>
      <c r="E1723" s="23" t="n"/>
      <c r="F1723" s="23" t="n"/>
      <c r="G1723" s="23" t="n"/>
      <c r="H1723" s="29">
        <f>IF(C1723="","",IFERROR(INDEX(Categories!$B$6:$B$65,MATCH(C1723,Categories!$A$6:$A$65,0))&amp;"",""))</f>
        <v/>
      </c>
      <c r="I1723" s="25">
        <f>IF(AND(A1723="",C1723="",D1723=""),"",IF(A1723="","Date missing",IF(NOT(ISNUMBER(A1723)),"Date not recognized",IF(YEAR(A1723)&lt;&gt;Settings!$C$4,"Not in "&amp;Settings!$C$4,IF(C1723="","Category missing",IF(H1723="",IF(COUNTIF(Categories!$A$6:$A$65,C1723)&gt;0,"Category has no type","Category not in list"),IF(D1723="","Amount missing",IF(NOT(ISNUMBER(D1723)),"Amount is not a number",IF(F1723="","",IF(ISNA(MATCH(F1723,Lists!$G$2:$G$25,0)),"Goal / fund not in list",IF(H1723="Income","Fund tag ignored on income","")))))))))))</f>
        <v/>
      </c>
    </row>
    <row r="1724">
      <c r="A1724" s="27" t="n"/>
      <c r="B1724" s="23" t="n"/>
      <c r="C1724" s="23" t="n"/>
      <c r="D1724" s="28" t="n"/>
      <c r="E1724" s="23" t="n"/>
      <c r="F1724" s="23" t="n"/>
      <c r="G1724" s="23" t="n"/>
      <c r="H1724" s="29">
        <f>IF(C1724="","",IFERROR(INDEX(Categories!$B$6:$B$65,MATCH(C1724,Categories!$A$6:$A$65,0))&amp;"",""))</f>
        <v/>
      </c>
      <c r="I1724" s="25">
        <f>IF(AND(A1724="",C1724="",D1724=""),"",IF(A1724="","Date missing",IF(NOT(ISNUMBER(A1724)),"Date not recognized",IF(YEAR(A1724)&lt;&gt;Settings!$C$4,"Not in "&amp;Settings!$C$4,IF(C1724="","Category missing",IF(H1724="",IF(COUNTIF(Categories!$A$6:$A$65,C1724)&gt;0,"Category has no type","Category not in list"),IF(D1724="","Amount missing",IF(NOT(ISNUMBER(D1724)),"Amount is not a number",IF(F1724="","",IF(ISNA(MATCH(F1724,Lists!$G$2:$G$25,0)),"Goal / fund not in list",IF(H1724="Income","Fund tag ignored on income","")))))))))))</f>
        <v/>
      </c>
    </row>
    <row r="1725">
      <c r="A1725" s="27" t="n"/>
      <c r="B1725" s="23" t="n"/>
      <c r="C1725" s="23" t="n"/>
      <c r="D1725" s="28" t="n"/>
      <c r="E1725" s="23" t="n"/>
      <c r="F1725" s="23" t="n"/>
      <c r="G1725" s="23" t="n"/>
      <c r="H1725" s="29">
        <f>IF(C1725="","",IFERROR(INDEX(Categories!$B$6:$B$65,MATCH(C1725,Categories!$A$6:$A$65,0))&amp;"",""))</f>
        <v/>
      </c>
      <c r="I1725" s="25">
        <f>IF(AND(A1725="",C1725="",D1725=""),"",IF(A1725="","Date missing",IF(NOT(ISNUMBER(A1725)),"Date not recognized",IF(YEAR(A1725)&lt;&gt;Settings!$C$4,"Not in "&amp;Settings!$C$4,IF(C1725="","Category missing",IF(H1725="",IF(COUNTIF(Categories!$A$6:$A$65,C1725)&gt;0,"Category has no type","Category not in list"),IF(D1725="","Amount missing",IF(NOT(ISNUMBER(D1725)),"Amount is not a number",IF(F1725="","",IF(ISNA(MATCH(F1725,Lists!$G$2:$G$25,0)),"Goal / fund not in list",IF(H1725="Income","Fund tag ignored on income","")))))))))))</f>
        <v/>
      </c>
    </row>
    <row r="1726">
      <c r="A1726" s="27" t="n"/>
      <c r="B1726" s="23" t="n"/>
      <c r="C1726" s="23" t="n"/>
      <c r="D1726" s="28" t="n"/>
      <c r="E1726" s="23" t="n"/>
      <c r="F1726" s="23" t="n"/>
      <c r="G1726" s="23" t="n"/>
      <c r="H1726" s="29">
        <f>IF(C1726="","",IFERROR(INDEX(Categories!$B$6:$B$65,MATCH(C1726,Categories!$A$6:$A$65,0))&amp;"",""))</f>
        <v/>
      </c>
      <c r="I1726" s="25">
        <f>IF(AND(A1726="",C1726="",D1726=""),"",IF(A1726="","Date missing",IF(NOT(ISNUMBER(A1726)),"Date not recognized",IF(YEAR(A1726)&lt;&gt;Settings!$C$4,"Not in "&amp;Settings!$C$4,IF(C1726="","Category missing",IF(H1726="",IF(COUNTIF(Categories!$A$6:$A$65,C1726)&gt;0,"Category has no type","Category not in list"),IF(D1726="","Amount missing",IF(NOT(ISNUMBER(D1726)),"Amount is not a number",IF(F1726="","",IF(ISNA(MATCH(F1726,Lists!$G$2:$G$25,0)),"Goal / fund not in list",IF(H1726="Income","Fund tag ignored on income","")))))))))))</f>
        <v/>
      </c>
    </row>
    <row r="1727">
      <c r="A1727" s="27" t="n"/>
      <c r="B1727" s="23" t="n"/>
      <c r="C1727" s="23" t="n"/>
      <c r="D1727" s="28" t="n"/>
      <c r="E1727" s="23" t="n"/>
      <c r="F1727" s="23" t="n"/>
      <c r="G1727" s="23" t="n"/>
      <c r="H1727" s="29">
        <f>IF(C1727="","",IFERROR(INDEX(Categories!$B$6:$B$65,MATCH(C1727,Categories!$A$6:$A$65,0))&amp;"",""))</f>
        <v/>
      </c>
      <c r="I1727" s="25">
        <f>IF(AND(A1727="",C1727="",D1727=""),"",IF(A1727="","Date missing",IF(NOT(ISNUMBER(A1727)),"Date not recognized",IF(YEAR(A1727)&lt;&gt;Settings!$C$4,"Not in "&amp;Settings!$C$4,IF(C1727="","Category missing",IF(H1727="",IF(COUNTIF(Categories!$A$6:$A$65,C1727)&gt;0,"Category has no type","Category not in list"),IF(D1727="","Amount missing",IF(NOT(ISNUMBER(D1727)),"Amount is not a number",IF(F1727="","",IF(ISNA(MATCH(F1727,Lists!$G$2:$G$25,0)),"Goal / fund not in list",IF(H1727="Income","Fund tag ignored on income","")))))))))))</f>
        <v/>
      </c>
    </row>
    <row r="1728">
      <c r="A1728" s="27" t="n"/>
      <c r="B1728" s="23" t="n"/>
      <c r="C1728" s="23" t="n"/>
      <c r="D1728" s="28" t="n"/>
      <c r="E1728" s="23" t="n"/>
      <c r="F1728" s="23" t="n"/>
      <c r="G1728" s="23" t="n"/>
      <c r="H1728" s="29">
        <f>IF(C1728="","",IFERROR(INDEX(Categories!$B$6:$B$65,MATCH(C1728,Categories!$A$6:$A$65,0))&amp;"",""))</f>
        <v/>
      </c>
      <c r="I1728" s="25">
        <f>IF(AND(A1728="",C1728="",D1728=""),"",IF(A1728="","Date missing",IF(NOT(ISNUMBER(A1728)),"Date not recognized",IF(YEAR(A1728)&lt;&gt;Settings!$C$4,"Not in "&amp;Settings!$C$4,IF(C1728="","Category missing",IF(H1728="",IF(COUNTIF(Categories!$A$6:$A$65,C1728)&gt;0,"Category has no type","Category not in list"),IF(D1728="","Amount missing",IF(NOT(ISNUMBER(D1728)),"Amount is not a number",IF(F1728="","",IF(ISNA(MATCH(F1728,Lists!$G$2:$G$25,0)),"Goal / fund not in list",IF(H1728="Income","Fund tag ignored on income","")))))))))))</f>
        <v/>
      </c>
    </row>
    <row r="1729">
      <c r="A1729" s="27" t="n"/>
      <c r="B1729" s="23" t="n"/>
      <c r="C1729" s="23" t="n"/>
      <c r="D1729" s="28" t="n"/>
      <c r="E1729" s="23" t="n"/>
      <c r="F1729" s="23" t="n"/>
      <c r="G1729" s="23" t="n"/>
      <c r="H1729" s="29">
        <f>IF(C1729="","",IFERROR(INDEX(Categories!$B$6:$B$65,MATCH(C1729,Categories!$A$6:$A$65,0))&amp;"",""))</f>
        <v/>
      </c>
      <c r="I1729" s="25">
        <f>IF(AND(A1729="",C1729="",D1729=""),"",IF(A1729="","Date missing",IF(NOT(ISNUMBER(A1729)),"Date not recognized",IF(YEAR(A1729)&lt;&gt;Settings!$C$4,"Not in "&amp;Settings!$C$4,IF(C1729="","Category missing",IF(H1729="",IF(COUNTIF(Categories!$A$6:$A$65,C1729)&gt;0,"Category has no type","Category not in list"),IF(D1729="","Amount missing",IF(NOT(ISNUMBER(D1729)),"Amount is not a number",IF(F1729="","",IF(ISNA(MATCH(F1729,Lists!$G$2:$G$25,0)),"Goal / fund not in list",IF(H1729="Income","Fund tag ignored on income","")))))))))))</f>
        <v/>
      </c>
    </row>
    <row r="1730">
      <c r="A1730" s="27" t="n"/>
      <c r="B1730" s="23" t="n"/>
      <c r="C1730" s="23" t="n"/>
      <c r="D1730" s="28" t="n"/>
      <c r="E1730" s="23" t="n"/>
      <c r="F1730" s="23" t="n"/>
      <c r="G1730" s="23" t="n"/>
      <c r="H1730" s="29">
        <f>IF(C1730="","",IFERROR(INDEX(Categories!$B$6:$B$65,MATCH(C1730,Categories!$A$6:$A$65,0))&amp;"",""))</f>
        <v/>
      </c>
      <c r="I1730" s="25">
        <f>IF(AND(A1730="",C1730="",D1730=""),"",IF(A1730="","Date missing",IF(NOT(ISNUMBER(A1730)),"Date not recognized",IF(YEAR(A1730)&lt;&gt;Settings!$C$4,"Not in "&amp;Settings!$C$4,IF(C1730="","Category missing",IF(H1730="",IF(COUNTIF(Categories!$A$6:$A$65,C1730)&gt;0,"Category has no type","Category not in list"),IF(D1730="","Amount missing",IF(NOT(ISNUMBER(D1730)),"Amount is not a number",IF(F1730="","",IF(ISNA(MATCH(F1730,Lists!$G$2:$G$25,0)),"Goal / fund not in list",IF(H1730="Income","Fund tag ignored on income","")))))))))))</f>
        <v/>
      </c>
    </row>
    <row r="1731">
      <c r="A1731" s="27" t="n"/>
      <c r="B1731" s="23" t="n"/>
      <c r="C1731" s="23" t="n"/>
      <c r="D1731" s="28" t="n"/>
      <c r="E1731" s="23" t="n"/>
      <c r="F1731" s="23" t="n"/>
      <c r="G1731" s="23" t="n"/>
      <c r="H1731" s="29">
        <f>IF(C1731="","",IFERROR(INDEX(Categories!$B$6:$B$65,MATCH(C1731,Categories!$A$6:$A$65,0))&amp;"",""))</f>
        <v/>
      </c>
      <c r="I1731" s="25">
        <f>IF(AND(A1731="",C1731="",D1731=""),"",IF(A1731="","Date missing",IF(NOT(ISNUMBER(A1731)),"Date not recognized",IF(YEAR(A1731)&lt;&gt;Settings!$C$4,"Not in "&amp;Settings!$C$4,IF(C1731="","Category missing",IF(H1731="",IF(COUNTIF(Categories!$A$6:$A$65,C1731)&gt;0,"Category has no type","Category not in list"),IF(D1731="","Amount missing",IF(NOT(ISNUMBER(D1731)),"Amount is not a number",IF(F1731="","",IF(ISNA(MATCH(F1731,Lists!$G$2:$G$25,0)),"Goal / fund not in list",IF(H1731="Income","Fund tag ignored on income","")))))))))))</f>
        <v/>
      </c>
    </row>
    <row r="1732">
      <c r="A1732" s="27" t="n"/>
      <c r="B1732" s="23" t="n"/>
      <c r="C1732" s="23" t="n"/>
      <c r="D1732" s="28" t="n"/>
      <c r="E1732" s="23" t="n"/>
      <c r="F1732" s="23" t="n"/>
      <c r="G1732" s="23" t="n"/>
      <c r="H1732" s="29">
        <f>IF(C1732="","",IFERROR(INDEX(Categories!$B$6:$B$65,MATCH(C1732,Categories!$A$6:$A$65,0))&amp;"",""))</f>
        <v/>
      </c>
      <c r="I1732" s="25">
        <f>IF(AND(A1732="",C1732="",D1732=""),"",IF(A1732="","Date missing",IF(NOT(ISNUMBER(A1732)),"Date not recognized",IF(YEAR(A1732)&lt;&gt;Settings!$C$4,"Not in "&amp;Settings!$C$4,IF(C1732="","Category missing",IF(H1732="",IF(COUNTIF(Categories!$A$6:$A$65,C1732)&gt;0,"Category has no type","Category not in list"),IF(D1732="","Amount missing",IF(NOT(ISNUMBER(D1732)),"Amount is not a number",IF(F1732="","",IF(ISNA(MATCH(F1732,Lists!$G$2:$G$25,0)),"Goal / fund not in list",IF(H1732="Income","Fund tag ignored on income","")))))))))))</f>
        <v/>
      </c>
    </row>
    <row r="1733">
      <c r="A1733" s="27" t="n"/>
      <c r="B1733" s="23" t="n"/>
      <c r="C1733" s="23" t="n"/>
      <c r="D1733" s="28" t="n"/>
      <c r="E1733" s="23" t="n"/>
      <c r="F1733" s="23" t="n"/>
      <c r="G1733" s="23" t="n"/>
      <c r="H1733" s="29">
        <f>IF(C1733="","",IFERROR(INDEX(Categories!$B$6:$B$65,MATCH(C1733,Categories!$A$6:$A$65,0))&amp;"",""))</f>
        <v/>
      </c>
      <c r="I1733" s="25">
        <f>IF(AND(A1733="",C1733="",D1733=""),"",IF(A1733="","Date missing",IF(NOT(ISNUMBER(A1733)),"Date not recognized",IF(YEAR(A1733)&lt;&gt;Settings!$C$4,"Not in "&amp;Settings!$C$4,IF(C1733="","Category missing",IF(H1733="",IF(COUNTIF(Categories!$A$6:$A$65,C1733)&gt;0,"Category has no type","Category not in list"),IF(D1733="","Amount missing",IF(NOT(ISNUMBER(D1733)),"Amount is not a number",IF(F1733="","",IF(ISNA(MATCH(F1733,Lists!$G$2:$G$25,0)),"Goal / fund not in list",IF(H1733="Income","Fund tag ignored on income","")))))))))))</f>
        <v/>
      </c>
    </row>
    <row r="1734">
      <c r="A1734" s="27" t="n"/>
      <c r="B1734" s="23" t="n"/>
      <c r="C1734" s="23" t="n"/>
      <c r="D1734" s="28" t="n"/>
      <c r="E1734" s="23" t="n"/>
      <c r="F1734" s="23" t="n"/>
      <c r="G1734" s="23" t="n"/>
      <c r="H1734" s="29">
        <f>IF(C1734="","",IFERROR(INDEX(Categories!$B$6:$B$65,MATCH(C1734,Categories!$A$6:$A$65,0))&amp;"",""))</f>
        <v/>
      </c>
      <c r="I1734" s="25">
        <f>IF(AND(A1734="",C1734="",D1734=""),"",IF(A1734="","Date missing",IF(NOT(ISNUMBER(A1734)),"Date not recognized",IF(YEAR(A1734)&lt;&gt;Settings!$C$4,"Not in "&amp;Settings!$C$4,IF(C1734="","Category missing",IF(H1734="",IF(COUNTIF(Categories!$A$6:$A$65,C1734)&gt;0,"Category has no type","Category not in list"),IF(D1734="","Amount missing",IF(NOT(ISNUMBER(D1734)),"Amount is not a number",IF(F1734="","",IF(ISNA(MATCH(F1734,Lists!$G$2:$G$25,0)),"Goal / fund not in list",IF(H1734="Income","Fund tag ignored on income","")))))))))))</f>
        <v/>
      </c>
    </row>
    <row r="1735">
      <c r="A1735" s="27" t="n"/>
      <c r="B1735" s="23" t="n"/>
      <c r="C1735" s="23" t="n"/>
      <c r="D1735" s="28" t="n"/>
      <c r="E1735" s="23" t="n"/>
      <c r="F1735" s="23" t="n"/>
      <c r="G1735" s="23" t="n"/>
      <c r="H1735" s="29">
        <f>IF(C1735="","",IFERROR(INDEX(Categories!$B$6:$B$65,MATCH(C1735,Categories!$A$6:$A$65,0))&amp;"",""))</f>
        <v/>
      </c>
      <c r="I1735" s="25">
        <f>IF(AND(A1735="",C1735="",D1735=""),"",IF(A1735="","Date missing",IF(NOT(ISNUMBER(A1735)),"Date not recognized",IF(YEAR(A1735)&lt;&gt;Settings!$C$4,"Not in "&amp;Settings!$C$4,IF(C1735="","Category missing",IF(H1735="",IF(COUNTIF(Categories!$A$6:$A$65,C1735)&gt;0,"Category has no type","Category not in list"),IF(D1735="","Amount missing",IF(NOT(ISNUMBER(D1735)),"Amount is not a number",IF(F1735="","",IF(ISNA(MATCH(F1735,Lists!$G$2:$G$25,0)),"Goal / fund not in list",IF(H1735="Income","Fund tag ignored on income","")))))))))))</f>
        <v/>
      </c>
    </row>
    <row r="1736">
      <c r="A1736" s="27" t="n"/>
      <c r="B1736" s="23" t="n"/>
      <c r="C1736" s="23" t="n"/>
      <c r="D1736" s="28" t="n"/>
      <c r="E1736" s="23" t="n"/>
      <c r="F1736" s="23" t="n"/>
      <c r="G1736" s="23" t="n"/>
      <c r="H1736" s="29">
        <f>IF(C1736="","",IFERROR(INDEX(Categories!$B$6:$B$65,MATCH(C1736,Categories!$A$6:$A$65,0))&amp;"",""))</f>
        <v/>
      </c>
      <c r="I1736" s="25">
        <f>IF(AND(A1736="",C1736="",D1736=""),"",IF(A1736="","Date missing",IF(NOT(ISNUMBER(A1736)),"Date not recognized",IF(YEAR(A1736)&lt;&gt;Settings!$C$4,"Not in "&amp;Settings!$C$4,IF(C1736="","Category missing",IF(H1736="",IF(COUNTIF(Categories!$A$6:$A$65,C1736)&gt;0,"Category has no type","Category not in list"),IF(D1736="","Amount missing",IF(NOT(ISNUMBER(D1736)),"Amount is not a number",IF(F1736="","",IF(ISNA(MATCH(F1736,Lists!$G$2:$G$25,0)),"Goal / fund not in list",IF(H1736="Income","Fund tag ignored on income","")))))))))))</f>
        <v/>
      </c>
    </row>
    <row r="1737">
      <c r="A1737" s="27" t="n"/>
      <c r="B1737" s="23" t="n"/>
      <c r="C1737" s="23" t="n"/>
      <c r="D1737" s="28" t="n"/>
      <c r="E1737" s="23" t="n"/>
      <c r="F1737" s="23" t="n"/>
      <c r="G1737" s="23" t="n"/>
      <c r="H1737" s="29">
        <f>IF(C1737="","",IFERROR(INDEX(Categories!$B$6:$B$65,MATCH(C1737,Categories!$A$6:$A$65,0))&amp;"",""))</f>
        <v/>
      </c>
      <c r="I1737" s="25">
        <f>IF(AND(A1737="",C1737="",D1737=""),"",IF(A1737="","Date missing",IF(NOT(ISNUMBER(A1737)),"Date not recognized",IF(YEAR(A1737)&lt;&gt;Settings!$C$4,"Not in "&amp;Settings!$C$4,IF(C1737="","Category missing",IF(H1737="",IF(COUNTIF(Categories!$A$6:$A$65,C1737)&gt;0,"Category has no type","Category not in list"),IF(D1737="","Amount missing",IF(NOT(ISNUMBER(D1737)),"Amount is not a number",IF(F1737="","",IF(ISNA(MATCH(F1737,Lists!$G$2:$G$25,0)),"Goal / fund not in list",IF(H1737="Income","Fund tag ignored on income","")))))))))))</f>
        <v/>
      </c>
    </row>
    <row r="1738">
      <c r="A1738" s="27" t="n"/>
      <c r="B1738" s="23" t="n"/>
      <c r="C1738" s="23" t="n"/>
      <c r="D1738" s="28" t="n"/>
      <c r="E1738" s="23" t="n"/>
      <c r="F1738" s="23" t="n"/>
      <c r="G1738" s="23" t="n"/>
      <c r="H1738" s="29">
        <f>IF(C1738="","",IFERROR(INDEX(Categories!$B$6:$B$65,MATCH(C1738,Categories!$A$6:$A$65,0))&amp;"",""))</f>
        <v/>
      </c>
      <c r="I1738" s="25">
        <f>IF(AND(A1738="",C1738="",D1738=""),"",IF(A1738="","Date missing",IF(NOT(ISNUMBER(A1738)),"Date not recognized",IF(YEAR(A1738)&lt;&gt;Settings!$C$4,"Not in "&amp;Settings!$C$4,IF(C1738="","Category missing",IF(H1738="",IF(COUNTIF(Categories!$A$6:$A$65,C1738)&gt;0,"Category has no type","Category not in list"),IF(D1738="","Amount missing",IF(NOT(ISNUMBER(D1738)),"Amount is not a number",IF(F1738="","",IF(ISNA(MATCH(F1738,Lists!$G$2:$G$25,0)),"Goal / fund not in list",IF(H1738="Income","Fund tag ignored on income","")))))))))))</f>
        <v/>
      </c>
    </row>
    <row r="1739">
      <c r="A1739" s="27" t="n"/>
      <c r="B1739" s="23" t="n"/>
      <c r="C1739" s="23" t="n"/>
      <c r="D1739" s="28" t="n"/>
      <c r="E1739" s="23" t="n"/>
      <c r="F1739" s="23" t="n"/>
      <c r="G1739" s="23" t="n"/>
      <c r="H1739" s="29">
        <f>IF(C1739="","",IFERROR(INDEX(Categories!$B$6:$B$65,MATCH(C1739,Categories!$A$6:$A$65,0))&amp;"",""))</f>
        <v/>
      </c>
      <c r="I1739" s="25">
        <f>IF(AND(A1739="",C1739="",D1739=""),"",IF(A1739="","Date missing",IF(NOT(ISNUMBER(A1739)),"Date not recognized",IF(YEAR(A1739)&lt;&gt;Settings!$C$4,"Not in "&amp;Settings!$C$4,IF(C1739="","Category missing",IF(H1739="",IF(COUNTIF(Categories!$A$6:$A$65,C1739)&gt;0,"Category has no type","Category not in list"),IF(D1739="","Amount missing",IF(NOT(ISNUMBER(D1739)),"Amount is not a number",IF(F1739="","",IF(ISNA(MATCH(F1739,Lists!$G$2:$G$25,0)),"Goal / fund not in list",IF(H1739="Income","Fund tag ignored on income","")))))))))))</f>
        <v/>
      </c>
    </row>
    <row r="1740">
      <c r="A1740" s="27" t="n"/>
      <c r="B1740" s="23" t="n"/>
      <c r="C1740" s="23" t="n"/>
      <c r="D1740" s="28" t="n"/>
      <c r="E1740" s="23" t="n"/>
      <c r="F1740" s="23" t="n"/>
      <c r="G1740" s="23" t="n"/>
      <c r="H1740" s="29">
        <f>IF(C1740="","",IFERROR(INDEX(Categories!$B$6:$B$65,MATCH(C1740,Categories!$A$6:$A$65,0))&amp;"",""))</f>
        <v/>
      </c>
      <c r="I1740" s="25">
        <f>IF(AND(A1740="",C1740="",D1740=""),"",IF(A1740="","Date missing",IF(NOT(ISNUMBER(A1740)),"Date not recognized",IF(YEAR(A1740)&lt;&gt;Settings!$C$4,"Not in "&amp;Settings!$C$4,IF(C1740="","Category missing",IF(H1740="",IF(COUNTIF(Categories!$A$6:$A$65,C1740)&gt;0,"Category has no type","Category not in list"),IF(D1740="","Amount missing",IF(NOT(ISNUMBER(D1740)),"Amount is not a number",IF(F1740="","",IF(ISNA(MATCH(F1740,Lists!$G$2:$G$25,0)),"Goal / fund not in list",IF(H1740="Income","Fund tag ignored on income","")))))))))))</f>
        <v/>
      </c>
    </row>
    <row r="1741">
      <c r="A1741" s="27" t="n"/>
      <c r="B1741" s="23" t="n"/>
      <c r="C1741" s="23" t="n"/>
      <c r="D1741" s="28" t="n"/>
      <c r="E1741" s="23" t="n"/>
      <c r="F1741" s="23" t="n"/>
      <c r="G1741" s="23" t="n"/>
      <c r="H1741" s="29">
        <f>IF(C1741="","",IFERROR(INDEX(Categories!$B$6:$B$65,MATCH(C1741,Categories!$A$6:$A$65,0))&amp;"",""))</f>
        <v/>
      </c>
      <c r="I1741" s="25">
        <f>IF(AND(A1741="",C1741="",D1741=""),"",IF(A1741="","Date missing",IF(NOT(ISNUMBER(A1741)),"Date not recognized",IF(YEAR(A1741)&lt;&gt;Settings!$C$4,"Not in "&amp;Settings!$C$4,IF(C1741="","Category missing",IF(H1741="",IF(COUNTIF(Categories!$A$6:$A$65,C1741)&gt;0,"Category has no type","Category not in list"),IF(D1741="","Amount missing",IF(NOT(ISNUMBER(D1741)),"Amount is not a number",IF(F1741="","",IF(ISNA(MATCH(F1741,Lists!$G$2:$G$25,0)),"Goal / fund not in list",IF(H1741="Income","Fund tag ignored on income","")))))))))))</f>
        <v/>
      </c>
    </row>
    <row r="1742">
      <c r="A1742" s="27" t="n"/>
      <c r="B1742" s="23" t="n"/>
      <c r="C1742" s="23" t="n"/>
      <c r="D1742" s="28" t="n"/>
      <c r="E1742" s="23" t="n"/>
      <c r="F1742" s="23" t="n"/>
      <c r="G1742" s="23" t="n"/>
      <c r="H1742" s="29">
        <f>IF(C1742="","",IFERROR(INDEX(Categories!$B$6:$B$65,MATCH(C1742,Categories!$A$6:$A$65,0))&amp;"",""))</f>
        <v/>
      </c>
      <c r="I1742" s="25">
        <f>IF(AND(A1742="",C1742="",D1742=""),"",IF(A1742="","Date missing",IF(NOT(ISNUMBER(A1742)),"Date not recognized",IF(YEAR(A1742)&lt;&gt;Settings!$C$4,"Not in "&amp;Settings!$C$4,IF(C1742="","Category missing",IF(H1742="",IF(COUNTIF(Categories!$A$6:$A$65,C1742)&gt;0,"Category has no type","Category not in list"),IF(D1742="","Amount missing",IF(NOT(ISNUMBER(D1742)),"Amount is not a number",IF(F1742="","",IF(ISNA(MATCH(F1742,Lists!$G$2:$G$25,0)),"Goal / fund not in list",IF(H1742="Income","Fund tag ignored on income","")))))))))))</f>
        <v/>
      </c>
    </row>
    <row r="1743">
      <c r="A1743" s="27" t="n"/>
      <c r="B1743" s="23" t="n"/>
      <c r="C1743" s="23" t="n"/>
      <c r="D1743" s="28" t="n"/>
      <c r="E1743" s="23" t="n"/>
      <c r="F1743" s="23" t="n"/>
      <c r="G1743" s="23" t="n"/>
      <c r="H1743" s="29">
        <f>IF(C1743="","",IFERROR(INDEX(Categories!$B$6:$B$65,MATCH(C1743,Categories!$A$6:$A$65,0))&amp;"",""))</f>
        <v/>
      </c>
      <c r="I1743" s="25">
        <f>IF(AND(A1743="",C1743="",D1743=""),"",IF(A1743="","Date missing",IF(NOT(ISNUMBER(A1743)),"Date not recognized",IF(YEAR(A1743)&lt;&gt;Settings!$C$4,"Not in "&amp;Settings!$C$4,IF(C1743="","Category missing",IF(H1743="",IF(COUNTIF(Categories!$A$6:$A$65,C1743)&gt;0,"Category has no type","Category not in list"),IF(D1743="","Amount missing",IF(NOT(ISNUMBER(D1743)),"Amount is not a number",IF(F1743="","",IF(ISNA(MATCH(F1743,Lists!$G$2:$G$25,0)),"Goal / fund not in list",IF(H1743="Income","Fund tag ignored on income","")))))))))))</f>
        <v/>
      </c>
    </row>
    <row r="1744">
      <c r="A1744" s="27" t="n"/>
      <c r="B1744" s="23" t="n"/>
      <c r="C1744" s="23" t="n"/>
      <c r="D1744" s="28" t="n"/>
      <c r="E1744" s="23" t="n"/>
      <c r="F1744" s="23" t="n"/>
      <c r="G1744" s="23" t="n"/>
      <c r="H1744" s="29">
        <f>IF(C1744="","",IFERROR(INDEX(Categories!$B$6:$B$65,MATCH(C1744,Categories!$A$6:$A$65,0))&amp;"",""))</f>
        <v/>
      </c>
      <c r="I1744" s="25">
        <f>IF(AND(A1744="",C1744="",D1744=""),"",IF(A1744="","Date missing",IF(NOT(ISNUMBER(A1744)),"Date not recognized",IF(YEAR(A1744)&lt;&gt;Settings!$C$4,"Not in "&amp;Settings!$C$4,IF(C1744="","Category missing",IF(H1744="",IF(COUNTIF(Categories!$A$6:$A$65,C1744)&gt;0,"Category has no type","Category not in list"),IF(D1744="","Amount missing",IF(NOT(ISNUMBER(D1744)),"Amount is not a number",IF(F1744="","",IF(ISNA(MATCH(F1744,Lists!$G$2:$G$25,0)),"Goal / fund not in list",IF(H1744="Income","Fund tag ignored on income","")))))))))))</f>
        <v/>
      </c>
    </row>
    <row r="1745">
      <c r="A1745" s="27" t="n"/>
      <c r="B1745" s="23" t="n"/>
      <c r="C1745" s="23" t="n"/>
      <c r="D1745" s="28" t="n"/>
      <c r="E1745" s="23" t="n"/>
      <c r="F1745" s="23" t="n"/>
      <c r="G1745" s="23" t="n"/>
      <c r="H1745" s="29">
        <f>IF(C1745="","",IFERROR(INDEX(Categories!$B$6:$B$65,MATCH(C1745,Categories!$A$6:$A$65,0))&amp;"",""))</f>
        <v/>
      </c>
      <c r="I1745" s="25">
        <f>IF(AND(A1745="",C1745="",D1745=""),"",IF(A1745="","Date missing",IF(NOT(ISNUMBER(A1745)),"Date not recognized",IF(YEAR(A1745)&lt;&gt;Settings!$C$4,"Not in "&amp;Settings!$C$4,IF(C1745="","Category missing",IF(H1745="",IF(COUNTIF(Categories!$A$6:$A$65,C1745)&gt;0,"Category has no type","Category not in list"),IF(D1745="","Amount missing",IF(NOT(ISNUMBER(D1745)),"Amount is not a number",IF(F1745="","",IF(ISNA(MATCH(F1745,Lists!$G$2:$G$25,0)),"Goal / fund not in list",IF(H1745="Income","Fund tag ignored on income","")))))))))))</f>
        <v/>
      </c>
    </row>
    <row r="1746">
      <c r="A1746" s="27" t="n"/>
      <c r="B1746" s="23" t="n"/>
      <c r="C1746" s="23" t="n"/>
      <c r="D1746" s="28" t="n"/>
      <c r="E1746" s="23" t="n"/>
      <c r="F1746" s="23" t="n"/>
      <c r="G1746" s="23" t="n"/>
      <c r="H1746" s="29">
        <f>IF(C1746="","",IFERROR(INDEX(Categories!$B$6:$B$65,MATCH(C1746,Categories!$A$6:$A$65,0))&amp;"",""))</f>
        <v/>
      </c>
      <c r="I1746" s="25">
        <f>IF(AND(A1746="",C1746="",D1746=""),"",IF(A1746="","Date missing",IF(NOT(ISNUMBER(A1746)),"Date not recognized",IF(YEAR(A1746)&lt;&gt;Settings!$C$4,"Not in "&amp;Settings!$C$4,IF(C1746="","Category missing",IF(H1746="",IF(COUNTIF(Categories!$A$6:$A$65,C1746)&gt;0,"Category has no type","Category not in list"),IF(D1746="","Amount missing",IF(NOT(ISNUMBER(D1746)),"Amount is not a number",IF(F1746="","",IF(ISNA(MATCH(F1746,Lists!$G$2:$G$25,0)),"Goal / fund not in list",IF(H1746="Income","Fund tag ignored on income","")))))))))))</f>
        <v/>
      </c>
    </row>
    <row r="1747">
      <c r="A1747" s="27" t="n"/>
      <c r="B1747" s="23" t="n"/>
      <c r="C1747" s="23" t="n"/>
      <c r="D1747" s="28" t="n"/>
      <c r="E1747" s="23" t="n"/>
      <c r="F1747" s="23" t="n"/>
      <c r="G1747" s="23" t="n"/>
      <c r="H1747" s="29">
        <f>IF(C1747="","",IFERROR(INDEX(Categories!$B$6:$B$65,MATCH(C1747,Categories!$A$6:$A$65,0))&amp;"",""))</f>
        <v/>
      </c>
      <c r="I1747" s="25">
        <f>IF(AND(A1747="",C1747="",D1747=""),"",IF(A1747="","Date missing",IF(NOT(ISNUMBER(A1747)),"Date not recognized",IF(YEAR(A1747)&lt;&gt;Settings!$C$4,"Not in "&amp;Settings!$C$4,IF(C1747="","Category missing",IF(H1747="",IF(COUNTIF(Categories!$A$6:$A$65,C1747)&gt;0,"Category has no type","Category not in list"),IF(D1747="","Amount missing",IF(NOT(ISNUMBER(D1747)),"Amount is not a number",IF(F1747="","",IF(ISNA(MATCH(F1747,Lists!$G$2:$G$25,0)),"Goal / fund not in list",IF(H1747="Income","Fund tag ignored on income","")))))))))))</f>
        <v/>
      </c>
    </row>
    <row r="1748">
      <c r="A1748" s="27" t="n"/>
      <c r="B1748" s="23" t="n"/>
      <c r="C1748" s="23" t="n"/>
      <c r="D1748" s="28" t="n"/>
      <c r="E1748" s="23" t="n"/>
      <c r="F1748" s="23" t="n"/>
      <c r="G1748" s="23" t="n"/>
      <c r="H1748" s="29">
        <f>IF(C1748="","",IFERROR(INDEX(Categories!$B$6:$B$65,MATCH(C1748,Categories!$A$6:$A$65,0))&amp;"",""))</f>
        <v/>
      </c>
      <c r="I1748" s="25">
        <f>IF(AND(A1748="",C1748="",D1748=""),"",IF(A1748="","Date missing",IF(NOT(ISNUMBER(A1748)),"Date not recognized",IF(YEAR(A1748)&lt;&gt;Settings!$C$4,"Not in "&amp;Settings!$C$4,IF(C1748="","Category missing",IF(H1748="",IF(COUNTIF(Categories!$A$6:$A$65,C1748)&gt;0,"Category has no type","Category not in list"),IF(D1748="","Amount missing",IF(NOT(ISNUMBER(D1748)),"Amount is not a number",IF(F1748="","",IF(ISNA(MATCH(F1748,Lists!$G$2:$G$25,0)),"Goal / fund not in list",IF(H1748="Income","Fund tag ignored on income","")))))))))))</f>
        <v/>
      </c>
    </row>
    <row r="1749">
      <c r="A1749" s="27" t="n"/>
      <c r="B1749" s="23" t="n"/>
      <c r="C1749" s="23" t="n"/>
      <c r="D1749" s="28" t="n"/>
      <c r="E1749" s="23" t="n"/>
      <c r="F1749" s="23" t="n"/>
      <c r="G1749" s="23" t="n"/>
      <c r="H1749" s="29">
        <f>IF(C1749="","",IFERROR(INDEX(Categories!$B$6:$B$65,MATCH(C1749,Categories!$A$6:$A$65,0))&amp;"",""))</f>
        <v/>
      </c>
      <c r="I1749" s="25">
        <f>IF(AND(A1749="",C1749="",D1749=""),"",IF(A1749="","Date missing",IF(NOT(ISNUMBER(A1749)),"Date not recognized",IF(YEAR(A1749)&lt;&gt;Settings!$C$4,"Not in "&amp;Settings!$C$4,IF(C1749="","Category missing",IF(H1749="",IF(COUNTIF(Categories!$A$6:$A$65,C1749)&gt;0,"Category has no type","Category not in list"),IF(D1749="","Amount missing",IF(NOT(ISNUMBER(D1749)),"Amount is not a number",IF(F1749="","",IF(ISNA(MATCH(F1749,Lists!$G$2:$G$25,0)),"Goal / fund not in list",IF(H1749="Income","Fund tag ignored on income","")))))))))))</f>
        <v/>
      </c>
    </row>
    <row r="1750">
      <c r="A1750" s="27" t="n"/>
      <c r="B1750" s="23" t="n"/>
      <c r="C1750" s="23" t="n"/>
      <c r="D1750" s="28" t="n"/>
      <c r="E1750" s="23" t="n"/>
      <c r="F1750" s="23" t="n"/>
      <c r="G1750" s="23" t="n"/>
      <c r="H1750" s="29">
        <f>IF(C1750="","",IFERROR(INDEX(Categories!$B$6:$B$65,MATCH(C1750,Categories!$A$6:$A$65,0))&amp;"",""))</f>
        <v/>
      </c>
      <c r="I1750" s="25">
        <f>IF(AND(A1750="",C1750="",D1750=""),"",IF(A1750="","Date missing",IF(NOT(ISNUMBER(A1750)),"Date not recognized",IF(YEAR(A1750)&lt;&gt;Settings!$C$4,"Not in "&amp;Settings!$C$4,IF(C1750="","Category missing",IF(H1750="",IF(COUNTIF(Categories!$A$6:$A$65,C1750)&gt;0,"Category has no type","Category not in list"),IF(D1750="","Amount missing",IF(NOT(ISNUMBER(D1750)),"Amount is not a number",IF(F1750="","",IF(ISNA(MATCH(F1750,Lists!$G$2:$G$25,0)),"Goal / fund not in list",IF(H1750="Income","Fund tag ignored on income","")))))))))))</f>
        <v/>
      </c>
    </row>
    <row r="1751">
      <c r="A1751" s="27" t="n"/>
      <c r="B1751" s="23" t="n"/>
      <c r="C1751" s="23" t="n"/>
      <c r="D1751" s="28" t="n"/>
      <c r="E1751" s="23" t="n"/>
      <c r="F1751" s="23" t="n"/>
      <c r="G1751" s="23" t="n"/>
      <c r="H1751" s="29">
        <f>IF(C1751="","",IFERROR(INDEX(Categories!$B$6:$B$65,MATCH(C1751,Categories!$A$6:$A$65,0))&amp;"",""))</f>
        <v/>
      </c>
      <c r="I1751" s="25">
        <f>IF(AND(A1751="",C1751="",D1751=""),"",IF(A1751="","Date missing",IF(NOT(ISNUMBER(A1751)),"Date not recognized",IF(YEAR(A1751)&lt;&gt;Settings!$C$4,"Not in "&amp;Settings!$C$4,IF(C1751="","Category missing",IF(H1751="",IF(COUNTIF(Categories!$A$6:$A$65,C1751)&gt;0,"Category has no type","Category not in list"),IF(D1751="","Amount missing",IF(NOT(ISNUMBER(D1751)),"Amount is not a number",IF(F1751="","",IF(ISNA(MATCH(F1751,Lists!$G$2:$G$25,0)),"Goal / fund not in list",IF(H1751="Income","Fund tag ignored on income","")))))))))))</f>
        <v/>
      </c>
    </row>
    <row r="1752">
      <c r="A1752" s="27" t="n"/>
      <c r="B1752" s="23" t="n"/>
      <c r="C1752" s="23" t="n"/>
      <c r="D1752" s="28" t="n"/>
      <c r="E1752" s="23" t="n"/>
      <c r="F1752" s="23" t="n"/>
      <c r="G1752" s="23" t="n"/>
      <c r="H1752" s="29">
        <f>IF(C1752="","",IFERROR(INDEX(Categories!$B$6:$B$65,MATCH(C1752,Categories!$A$6:$A$65,0))&amp;"",""))</f>
        <v/>
      </c>
      <c r="I1752" s="25">
        <f>IF(AND(A1752="",C1752="",D1752=""),"",IF(A1752="","Date missing",IF(NOT(ISNUMBER(A1752)),"Date not recognized",IF(YEAR(A1752)&lt;&gt;Settings!$C$4,"Not in "&amp;Settings!$C$4,IF(C1752="","Category missing",IF(H1752="",IF(COUNTIF(Categories!$A$6:$A$65,C1752)&gt;0,"Category has no type","Category not in list"),IF(D1752="","Amount missing",IF(NOT(ISNUMBER(D1752)),"Amount is not a number",IF(F1752="","",IF(ISNA(MATCH(F1752,Lists!$G$2:$G$25,0)),"Goal / fund not in list",IF(H1752="Income","Fund tag ignored on income","")))))))))))</f>
        <v/>
      </c>
    </row>
    <row r="1753">
      <c r="A1753" s="27" t="n"/>
      <c r="B1753" s="23" t="n"/>
      <c r="C1753" s="23" t="n"/>
      <c r="D1753" s="28" t="n"/>
      <c r="E1753" s="23" t="n"/>
      <c r="F1753" s="23" t="n"/>
      <c r="G1753" s="23" t="n"/>
      <c r="H1753" s="29">
        <f>IF(C1753="","",IFERROR(INDEX(Categories!$B$6:$B$65,MATCH(C1753,Categories!$A$6:$A$65,0))&amp;"",""))</f>
        <v/>
      </c>
      <c r="I1753" s="25">
        <f>IF(AND(A1753="",C1753="",D1753=""),"",IF(A1753="","Date missing",IF(NOT(ISNUMBER(A1753)),"Date not recognized",IF(YEAR(A1753)&lt;&gt;Settings!$C$4,"Not in "&amp;Settings!$C$4,IF(C1753="","Category missing",IF(H1753="",IF(COUNTIF(Categories!$A$6:$A$65,C1753)&gt;0,"Category has no type","Category not in list"),IF(D1753="","Amount missing",IF(NOT(ISNUMBER(D1753)),"Amount is not a number",IF(F1753="","",IF(ISNA(MATCH(F1753,Lists!$G$2:$G$25,0)),"Goal / fund not in list",IF(H1753="Income","Fund tag ignored on income","")))))))))))</f>
        <v/>
      </c>
    </row>
    <row r="1754">
      <c r="A1754" s="27" t="n"/>
      <c r="B1754" s="23" t="n"/>
      <c r="C1754" s="23" t="n"/>
      <c r="D1754" s="28" t="n"/>
      <c r="E1754" s="23" t="n"/>
      <c r="F1754" s="23" t="n"/>
      <c r="G1754" s="23" t="n"/>
      <c r="H1754" s="29">
        <f>IF(C1754="","",IFERROR(INDEX(Categories!$B$6:$B$65,MATCH(C1754,Categories!$A$6:$A$65,0))&amp;"",""))</f>
        <v/>
      </c>
      <c r="I1754" s="25">
        <f>IF(AND(A1754="",C1754="",D1754=""),"",IF(A1754="","Date missing",IF(NOT(ISNUMBER(A1754)),"Date not recognized",IF(YEAR(A1754)&lt;&gt;Settings!$C$4,"Not in "&amp;Settings!$C$4,IF(C1754="","Category missing",IF(H1754="",IF(COUNTIF(Categories!$A$6:$A$65,C1754)&gt;0,"Category has no type","Category not in list"),IF(D1754="","Amount missing",IF(NOT(ISNUMBER(D1754)),"Amount is not a number",IF(F1754="","",IF(ISNA(MATCH(F1754,Lists!$G$2:$G$25,0)),"Goal / fund not in list",IF(H1754="Income","Fund tag ignored on income","")))))))))))</f>
        <v/>
      </c>
    </row>
    <row r="1755">
      <c r="A1755" s="27" t="n"/>
      <c r="B1755" s="23" t="n"/>
      <c r="C1755" s="23" t="n"/>
      <c r="D1755" s="28" t="n"/>
      <c r="E1755" s="23" t="n"/>
      <c r="F1755" s="23" t="n"/>
      <c r="G1755" s="23" t="n"/>
      <c r="H1755" s="29">
        <f>IF(C1755="","",IFERROR(INDEX(Categories!$B$6:$B$65,MATCH(C1755,Categories!$A$6:$A$65,0))&amp;"",""))</f>
        <v/>
      </c>
      <c r="I1755" s="25">
        <f>IF(AND(A1755="",C1755="",D1755=""),"",IF(A1755="","Date missing",IF(NOT(ISNUMBER(A1755)),"Date not recognized",IF(YEAR(A1755)&lt;&gt;Settings!$C$4,"Not in "&amp;Settings!$C$4,IF(C1755="","Category missing",IF(H1755="",IF(COUNTIF(Categories!$A$6:$A$65,C1755)&gt;0,"Category has no type","Category not in list"),IF(D1755="","Amount missing",IF(NOT(ISNUMBER(D1755)),"Amount is not a number",IF(F1755="","",IF(ISNA(MATCH(F1755,Lists!$G$2:$G$25,0)),"Goal / fund not in list",IF(H1755="Income","Fund tag ignored on income","")))))))))))</f>
        <v/>
      </c>
    </row>
    <row r="1756">
      <c r="A1756" s="27" t="n"/>
      <c r="B1756" s="23" t="n"/>
      <c r="C1756" s="23" t="n"/>
      <c r="D1756" s="28" t="n"/>
      <c r="E1756" s="23" t="n"/>
      <c r="F1756" s="23" t="n"/>
      <c r="G1756" s="23" t="n"/>
      <c r="H1756" s="29">
        <f>IF(C1756="","",IFERROR(INDEX(Categories!$B$6:$B$65,MATCH(C1756,Categories!$A$6:$A$65,0))&amp;"",""))</f>
        <v/>
      </c>
      <c r="I1756" s="25">
        <f>IF(AND(A1756="",C1756="",D1756=""),"",IF(A1756="","Date missing",IF(NOT(ISNUMBER(A1756)),"Date not recognized",IF(YEAR(A1756)&lt;&gt;Settings!$C$4,"Not in "&amp;Settings!$C$4,IF(C1756="","Category missing",IF(H1756="",IF(COUNTIF(Categories!$A$6:$A$65,C1756)&gt;0,"Category has no type","Category not in list"),IF(D1756="","Amount missing",IF(NOT(ISNUMBER(D1756)),"Amount is not a number",IF(F1756="","",IF(ISNA(MATCH(F1756,Lists!$G$2:$G$25,0)),"Goal / fund not in list",IF(H1756="Income","Fund tag ignored on income","")))))))))))</f>
        <v/>
      </c>
    </row>
    <row r="1757">
      <c r="A1757" s="27" t="n"/>
      <c r="B1757" s="23" t="n"/>
      <c r="C1757" s="23" t="n"/>
      <c r="D1757" s="28" t="n"/>
      <c r="E1757" s="23" t="n"/>
      <c r="F1757" s="23" t="n"/>
      <c r="G1757" s="23" t="n"/>
      <c r="H1757" s="29">
        <f>IF(C1757="","",IFERROR(INDEX(Categories!$B$6:$B$65,MATCH(C1757,Categories!$A$6:$A$65,0))&amp;"",""))</f>
        <v/>
      </c>
      <c r="I1757" s="25">
        <f>IF(AND(A1757="",C1757="",D1757=""),"",IF(A1757="","Date missing",IF(NOT(ISNUMBER(A1757)),"Date not recognized",IF(YEAR(A1757)&lt;&gt;Settings!$C$4,"Not in "&amp;Settings!$C$4,IF(C1757="","Category missing",IF(H1757="",IF(COUNTIF(Categories!$A$6:$A$65,C1757)&gt;0,"Category has no type","Category not in list"),IF(D1757="","Amount missing",IF(NOT(ISNUMBER(D1757)),"Amount is not a number",IF(F1757="","",IF(ISNA(MATCH(F1757,Lists!$G$2:$G$25,0)),"Goal / fund not in list",IF(H1757="Income","Fund tag ignored on income","")))))))))))</f>
        <v/>
      </c>
    </row>
    <row r="1758">
      <c r="A1758" s="27" t="n"/>
      <c r="B1758" s="23" t="n"/>
      <c r="C1758" s="23" t="n"/>
      <c r="D1758" s="28" t="n"/>
      <c r="E1758" s="23" t="n"/>
      <c r="F1758" s="23" t="n"/>
      <c r="G1758" s="23" t="n"/>
      <c r="H1758" s="29">
        <f>IF(C1758="","",IFERROR(INDEX(Categories!$B$6:$B$65,MATCH(C1758,Categories!$A$6:$A$65,0))&amp;"",""))</f>
        <v/>
      </c>
      <c r="I1758" s="25">
        <f>IF(AND(A1758="",C1758="",D1758=""),"",IF(A1758="","Date missing",IF(NOT(ISNUMBER(A1758)),"Date not recognized",IF(YEAR(A1758)&lt;&gt;Settings!$C$4,"Not in "&amp;Settings!$C$4,IF(C1758="","Category missing",IF(H1758="",IF(COUNTIF(Categories!$A$6:$A$65,C1758)&gt;0,"Category has no type","Category not in list"),IF(D1758="","Amount missing",IF(NOT(ISNUMBER(D1758)),"Amount is not a number",IF(F1758="","",IF(ISNA(MATCH(F1758,Lists!$G$2:$G$25,0)),"Goal / fund not in list",IF(H1758="Income","Fund tag ignored on income","")))))))))))</f>
        <v/>
      </c>
    </row>
    <row r="1759">
      <c r="A1759" s="27" t="n"/>
      <c r="B1759" s="23" t="n"/>
      <c r="C1759" s="23" t="n"/>
      <c r="D1759" s="28" t="n"/>
      <c r="E1759" s="23" t="n"/>
      <c r="F1759" s="23" t="n"/>
      <c r="G1759" s="23" t="n"/>
      <c r="H1759" s="29">
        <f>IF(C1759="","",IFERROR(INDEX(Categories!$B$6:$B$65,MATCH(C1759,Categories!$A$6:$A$65,0))&amp;"",""))</f>
        <v/>
      </c>
      <c r="I1759" s="25">
        <f>IF(AND(A1759="",C1759="",D1759=""),"",IF(A1759="","Date missing",IF(NOT(ISNUMBER(A1759)),"Date not recognized",IF(YEAR(A1759)&lt;&gt;Settings!$C$4,"Not in "&amp;Settings!$C$4,IF(C1759="","Category missing",IF(H1759="",IF(COUNTIF(Categories!$A$6:$A$65,C1759)&gt;0,"Category has no type","Category not in list"),IF(D1759="","Amount missing",IF(NOT(ISNUMBER(D1759)),"Amount is not a number",IF(F1759="","",IF(ISNA(MATCH(F1759,Lists!$G$2:$G$25,0)),"Goal / fund not in list",IF(H1759="Income","Fund tag ignored on income","")))))))))))</f>
        <v/>
      </c>
    </row>
    <row r="1760">
      <c r="A1760" s="27" t="n"/>
      <c r="B1760" s="23" t="n"/>
      <c r="C1760" s="23" t="n"/>
      <c r="D1760" s="28" t="n"/>
      <c r="E1760" s="23" t="n"/>
      <c r="F1760" s="23" t="n"/>
      <c r="G1760" s="23" t="n"/>
      <c r="H1760" s="29">
        <f>IF(C1760="","",IFERROR(INDEX(Categories!$B$6:$B$65,MATCH(C1760,Categories!$A$6:$A$65,0))&amp;"",""))</f>
        <v/>
      </c>
      <c r="I1760" s="25">
        <f>IF(AND(A1760="",C1760="",D1760=""),"",IF(A1760="","Date missing",IF(NOT(ISNUMBER(A1760)),"Date not recognized",IF(YEAR(A1760)&lt;&gt;Settings!$C$4,"Not in "&amp;Settings!$C$4,IF(C1760="","Category missing",IF(H1760="",IF(COUNTIF(Categories!$A$6:$A$65,C1760)&gt;0,"Category has no type","Category not in list"),IF(D1760="","Amount missing",IF(NOT(ISNUMBER(D1760)),"Amount is not a number",IF(F1760="","",IF(ISNA(MATCH(F1760,Lists!$G$2:$G$25,0)),"Goal / fund not in list",IF(H1760="Income","Fund tag ignored on income","")))))))))))</f>
        <v/>
      </c>
    </row>
    <row r="1761">
      <c r="A1761" s="27" t="n"/>
      <c r="B1761" s="23" t="n"/>
      <c r="C1761" s="23" t="n"/>
      <c r="D1761" s="28" t="n"/>
      <c r="E1761" s="23" t="n"/>
      <c r="F1761" s="23" t="n"/>
      <c r="G1761" s="23" t="n"/>
      <c r="H1761" s="29">
        <f>IF(C1761="","",IFERROR(INDEX(Categories!$B$6:$B$65,MATCH(C1761,Categories!$A$6:$A$65,0))&amp;"",""))</f>
        <v/>
      </c>
      <c r="I1761" s="25">
        <f>IF(AND(A1761="",C1761="",D1761=""),"",IF(A1761="","Date missing",IF(NOT(ISNUMBER(A1761)),"Date not recognized",IF(YEAR(A1761)&lt;&gt;Settings!$C$4,"Not in "&amp;Settings!$C$4,IF(C1761="","Category missing",IF(H1761="",IF(COUNTIF(Categories!$A$6:$A$65,C1761)&gt;0,"Category has no type","Category not in list"),IF(D1761="","Amount missing",IF(NOT(ISNUMBER(D1761)),"Amount is not a number",IF(F1761="","",IF(ISNA(MATCH(F1761,Lists!$G$2:$G$25,0)),"Goal / fund not in list",IF(H1761="Income","Fund tag ignored on income","")))))))))))</f>
        <v/>
      </c>
    </row>
    <row r="1762">
      <c r="A1762" s="27" t="n"/>
      <c r="B1762" s="23" t="n"/>
      <c r="C1762" s="23" t="n"/>
      <c r="D1762" s="28" t="n"/>
      <c r="E1762" s="23" t="n"/>
      <c r="F1762" s="23" t="n"/>
      <c r="G1762" s="23" t="n"/>
      <c r="H1762" s="29">
        <f>IF(C1762="","",IFERROR(INDEX(Categories!$B$6:$B$65,MATCH(C1762,Categories!$A$6:$A$65,0))&amp;"",""))</f>
        <v/>
      </c>
      <c r="I1762" s="25">
        <f>IF(AND(A1762="",C1762="",D1762=""),"",IF(A1762="","Date missing",IF(NOT(ISNUMBER(A1762)),"Date not recognized",IF(YEAR(A1762)&lt;&gt;Settings!$C$4,"Not in "&amp;Settings!$C$4,IF(C1762="","Category missing",IF(H1762="",IF(COUNTIF(Categories!$A$6:$A$65,C1762)&gt;0,"Category has no type","Category not in list"),IF(D1762="","Amount missing",IF(NOT(ISNUMBER(D1762)),"Amount is not a number",IF(F1762="","",IF(ISNA(MATCH(F1762,Lists!$G$2:$G$25,0)),"Goal / fund not in list",IF(H1762="Income","Fund tag ignored on income","")))))))))))</f>
        <v/>
      </c>
    </row>
    <row r="1763">
      <c r="A1763" s="27" t="n"/>
      <c r="B1763" s="23" t="n"/>
      <c r="C1763" s="23" t="n"/>
      <c r="D1763" s="28" t="n"/>
      <c r="E1763" s="23" t="n"/>
      <c r="F1763" s="23" t="n"/>
      <c r="G1763" s="23" t="n"/>
      <c r="H1763" s="29">
        <f>IF(C1763="","",IFERROR(INDEX(Categories!$B$6:$B$65,MATCH(C1763,Categories!$A$6:$A$65,0))&amp;"",""))</f>
        <v/>
      </c>
      <c r="I1763" s="25">
        <f>IF(AND(A1763="",C1763="",D1763=""),"",IF(A1763="","Date missing",IF(NOT(ISNUMBER(A1763)),"Date not recognized",IF(YEAR(A1763)&lt;&gt;Settings!$C$4,"Not in "&amp;Settings!$C$4,IF(C1763="","Category missing",IF(H1763="",IF(COUNTIF(Categories!$A$6:$A$65,C1763)&gt;0,"Category has no type","Category not in list"),IF(D1763="","Amount missing",IF(NOT(ISNUMBER(D1763)),"Amount is not a number",IF(F1763="","",IF(ISNA(MATCH(F1763,Lists!$G$2:$G$25,0)),"Goal / fund not in list",IF(H1763="Income","Fund tag ignored on income","")))))))))))</f>
        <v/>
      </c>
    </row>
    <row r="1764">
      <c r="A1764" s="27" t="n"/>
      <c r="B1764" s="23" t="n"/>
      <c r="C1764" s="23" t="n"/>
      <c r="D1764" s="28" t="n"/>
      <c r="E1764" s="23" t="n"/>
      <c r="F1764" s="23" t="n"/>
      <c r="G1764" s="23" t="n"/>
      <c r="H1764" s="29">
        <f>IF(C1764="","",IFERROR(INDEX(Categories!$B$6:$B$65,MATCH(C1764,Categories!$A$6:$A$65,0))&amp;"",""))</f>
        <v/>
      </c>
      <c r="I1764" s="25">
        <f>IF(AND(A1764="",C1764="",D1764=""),"",IF(A1764="","Date missing",IF(NOT(ISNUMBER(A1764)),"Date not recognized",IF(YEAR(A1764)&lt;&gt;Settings!$C$4,"Not in "&amp;Settings!$C$4,IF(C1764="","Category missing",IF(H1764="",IF(COUNTIF(Categories!$A$6:$A$65,C1764)&gt;0,"Category has no type","Category not in list"),IF(D1764="","Amount missing",IF(NOT(ISNUMBER(D1764)),"Amount is not a number",IF(F1764="","",IF(ISNA(MATCH(F1764,Lists!$G$2:$G$25,0)),"Goal / fund not in list",IF(H1764="Income","Fund tag ignored on income","")))))))))))</f>
        <v/>
      </c>
    </row>
    <row r="1765">
      <c r="A1765" s="27" t="n"/>
      <c r="B1765" s="23" t="n"/>
      <c r="C1765" s="23" t="n"/>
      <c r="D1765" s="28" t="n"/>
      <c r="E1765" s="23" t="n"/>
      <c r="F1765" s="23" t="n"/>
      <c r="G1765" s="23" t="n"/>
      <c r="H1765" s="29">
        <f>IF(C1765="","",IFERROR(INDEX(Categories!$B$6:$B$65,MATCH(C1765,Categories!$A$6:$A$65,0))&amp;"",""))</f>
        <v/>
      </c>
      <c r="I1765" s="25">
        <f>IF(AND(A1765="",C1765="",D1765=""),"",IF(A1765="","Date missing",IF(NOT(ISNUMBER(A1765)),"Date not recognized",IF(YEAR(A1765)&lt;&gt;Settings!$C$4,"Not in "&amp;Settings!$C$4,IF(C1765="","Category missing",IF(H1765="",IF(COUNTIF(Categories!$A$6:$A$65,C1765)&gt;0,"Category has no type","Category not in list"),IF(D1765="","Amount missing",IF(NOT(ISNUMBER(D1765)),"Amount is not a number",IF(F1765="","",IF(ISNA(MATCH(F1765,Lists!$G$2:$G$25,0)),"Goal / fund not in list",IF(H1765="Income","Fund tag ignored on income","")))))))))))</f>
        <v/>
      </c>
    </row>
    <row r="1766">
      <c r="A1766" s="27" t="n"/>
      <c r="B1766" s="23" t="n"/>
      <c r="C1766" s="23" t="n"/>
      <c r="D1766" s="28" t="n"/>
      <c r="E1766" s="23" t="n"/>
      <c r="F1766" s="23" t="n"/>
      <c r="G1766" s="23" t="n"/>
      <c r="H1766" s="29">
        <f>IF(C1766="","",IFERROR(INDEX(Categories!$B$6:$B$65,MATCH(C1766,Categories!$A$6:$A$65,0))&amp;"",""))</f>
        <v/>
      </c>
      <c r="I1766" s="25">
        <f>IF(AND(A1766="",C1766="",D1766=""),"",IF(A1766="","Date missing",IF(NOT(ISNUMBER(A1766)),"Date not recognized",IF(YEAR(A1766)&lt;&gt;Settings!$C$4,"Not in "&amp;Settings!$C$4,IF(C1766="","Category missing",IF(H1766="",IF(COUNTIF(Categories!$A$6:$A$65,C1766)&gt;0,"Category has no type","Category not in list"),IF(D1766="","Amount missing",IF(NOT(ISNUMBER(D1766)),"Amount is not a number",IF(F1766="","",IF(ISNA(MATCH(F1766,Lists!$G$2:$G$25,0)),"Goal / fund not in list",IF(H1766="Income","Fund tag ignored on income","")))))))))))</f>
        <v/>
      </c>
    </row>
    <row r="1767">
      <c r="A1767" s="27" t="n"/>
      <c r="B1767" s="23" t="n"/>
      <c r="C1767" s="23" t="n"/>
      <c r="D1767" s="28" t="n"/>
      <c r="E1767" s="23" t="n"/>
      <c r="F1767" s="23" t="n"/>
      <c r="G1767" s="23" t="n"/>
      <c r="H1767" s="29">
        <f>IF(C1767="","",IFERROR(INDEX(Categories!$B$6:$B$65,MATCH(C1767,Categories!$A$6:$A$65,0))&amp;"",""))</f>
        <v/>
      </c>
      <c r="I1767" s="25">
        <f>IF(AND(A1767="",C1767="",D1767=""),"",IF(A1767="","Date missing",IF(NOT(ISNUMBER(A1767)),"Date not recognized",IF(YEAR(A1767)&lt;&gt;Settings!$C$4,"Not in "&amp;Settings!$C$4,IF(C1767="","Category missing",IF(H1767="",IF(COUNTIF(Categories!$A$6:$A$65,C1767)&gt;0,"Category has no type","Category not in list"),IF(D1767="","Amount missing",IF(NOT(ISNUMBER(D1767)),"Amount is not a number",IF(F1767="","",IF(ISNA(MATCH(F1767,Lists!$G$2:$G$25,0)),"Goal / fund not in list",IF(H1767="Income","Fund tag ignored on income","")))))))))))</f>
        <v/>
      </c>
    </row>
    <row r="1768">
      <c r="A1768" s="27" t="n"/>
      <c r="B1768" s="23" t="n"/>
      <c r="C1768" s="23" t="n"/>
      <c r="D1768" s="28" t="n"/>
      <c r="E1768" s="23" t="n"/>
      <c r="F1768" s="23" t="n"/>
      <c r="G1768" s="23" t="n"/>
      <c r="H1768" s="29">
        <f>IF(C1768="","",IFERROR(INDEX(Categories!$B$6:$B$65,MATCH(C1768,Categories!$A$6:$A$65,0))&amp;"",""))</f>
        <v/>
      </c>
      <c r="I1768" s="25">
        <f>IF(AND(A1768="",C1768="",D1768=""),"",IF(A1768="","Date missing",IF(NOT(ISNUMBER(A1768)),"Date not recognized",IF(YEAR(A1768)&lt;&gt;Settings!$C$4,"Not in "&amp;Settings!$C$4,IF(C1768="","Category missing",IF(H1768="",IF(COUNTIF(Categories!$A$6:$A$65,C1768)&gt;0,"Category has no type","Category not in list"),IF(D1768="","Amount missing",IF(NOT(ISNUMBER(D1768)),"Amount is not a number",IF(F1768="","",IF(ISNA(MATCH(F1768,Lists!$G$2:$G$25,0)),"Goal / fund not in list",IF(H1768="Income","Fund tag ignored on income","")))))))))))</f>
        <v/>
      </c>
    </row>
    <row r="1769">
      <c r="A1769" s="27" t="n"/>
      <c r="B1769" s="23" t="n"/>
      <c r="C1769" s="23" t="n"/>
      <c r="D1769" s="28" t="n"/>
      <c r="E1769" s="23" t="n"/>
      <c r="F1769" s="23" t="n"/>
      <c r="G1769" s="23" t="n"/>
      <c r="H1769" s="29">
        <f>IF(C1769="","",IFERROR(INDEX(Categories!$B$6:$B$65,MATCH(C1769,Categories!$A$6:$A$65,0))&amp;"",""))</f>
        <v/>
      </c>
      <c r="I1769" s="25">
        <f>IF(AND(A1769="",C1769="",D1769=""),"",IF(A1769="","Date missing",IF(NOT(ISNUMBER(A1769)),"Date not recognized",IF(YEAR(A1769)&lt;&gt;Settings!$C$4,"Not in "&amp;Settings!$C$4,IF(C1769="","Category missing",IF(H1769="",IF(COUNTIF(Categories!$A$6:$A$65,C1769)&gt;0,"Category has no type","Category not in list"),IF(D1769="","Amount missing",IF(NOT(ISNUMBER(D1769)),"Amount is not a number",IF(F1769="","",IF(ISNA(MATCH(F1769,Lists!$G$2:$G$25,0)),"Goal / fund not in list",IF(H1769="Income","Fund tag ignored on income","")))))))))))</f>
        <v/>
      </c>
    </row>
    <row r="1770">
      <c r="A1770" s="27" t="n"/>
      <c r="B1770" s="23" t="n"/>
      <c r="C1770" s="23" t="n"/>
      <c r="D1770" s="28" t="n"/>
      <c r="E1770" s="23" t="n"/>
      <c r="F1770" s="23" t="n"/>
      <c r="G1770" s="23" t="n"/>
      <c r="H1770" s="29">
        <f>IF(C1770="","",IFERROR(INDEX(Categories!$B$6:$B$65,MATCH(C1770,Categories!$A$6:$A$65,0))&amp;"",""))</f>
        <v/>
      </c>
      <c r="I1770" s="25">
        <f>IF(AND(A1770="",C1770="",D1770=""),"",IF(A1770="","Date missing",IF(NOT(ISNUMBER(A1770)),"Date not recognized",IF(YEAR(A1770)&lt;&gt;Settings!$C$4,"Not in "&amp;Settings!$C$4,IF(C1770="","Category missing",IF(H1770="",IF(COUNTIF(Categories!$A$6:$A$65,C1770)&gt;0,"Category has no type","Category not in list"),IF(D1770="","Amount missing",IF(NOT(ISNUMBER(D1770)),"Amount is not a number",IF(F1770="","",IF(ISNA(MATCH(F1770,Lists!$G$2:$G$25,0)),"Goal / fund not in list",IF(H1770="Income","Fund tag ignored on income","")))))))))))</f>
        <v/>
      </c>
    </row>
    <row r="1771">
      <c r="A1771" s="27" t="n"/>
      <c r="B1771" s="23" t="n"/>
      <c r="C1771" s="23" t="n"/>
      <c r="D1771" s="28" t="n"/>
      <c r="E1771" s="23" t="n"/>
      <c r="F1771" s="23" t="n"/>
      <c r="G1771" s="23" t="n"/>
      <c r="H1771" s="29">
        <f>IF(C1771="","",IFERROR(INDEX(Categories!$B$6:$B$65,MATCH(C1771,Categories!$A$6:$A$65,0))&amp;"",""))</f>
        <v/>
      </c>
      <c r="I1771" s="25">
        <f>IF(AND(A1771="",C1771="",D1771=""),"",IF(A1771="","Date missing",IF(NOT(ISNUMBER(A1771)),"Date not recognized",IF(YEAR(A1771)&lt;&gt;Settings!$C$4,"Not in "&amp;Settings!$C$4,IF(C1771="","Category missing",IF(H1771="",IF(COUNTIF(Categories!$A$6:$A$65,C1771)&gt;0,"Category has no type","Category not in list"),IF(D1771="","Amount missing",IF(NOT(ISNUMBER(D1771)),"Amount is not a number",IF(F1771="","",IF(ISNA(MATCH(F1771,Lists!$G$2:$G$25,0)),"Goal / fund not in list",IF(H1771="Income","Fund tag ignored on income","")))))))))))</f>
        <v/>
      </c>
    </row>
    <row r="1772">
      <c r="A1772" s="27" t="n"/>
      <c r="B1772" s="23" t="n"/>
      <c r="C1772" s="23" t="n"/>
      <c r="D1772" s="28" t="n"/>
      <c r="E1772" s="23" t="n"/>
      <c r="F1772" s="23" t="n"/>
      <c r="G1772" s="23" t="n"/>
      <c r="H1772" s="29">
        <f>IF(C1772="","",IFERROR(INDEX(Categories!$B$6:$B$65,MATCH(C1772,Categories!$A$6:$A$65,0))&amp;"",""))</f>
        <v/>
      </c>
      <c r="I1772" s="25">
        <f>IF(AND(A1772="",C1772="",D1772=""),"",IF(A1772="","Date missing",IF(NOT(ISNUMBER(A1772)),"Date not recognized",IF(YEAR(A1772)&lt;&gt;Settings!$C$4,"Not in "&amp;Settings!$C$4,IF(C1772="","Category missing",IF(H1772="",IF(COUNTIF(Categories!$A$6:$A$65,C1772)&gt;0,"Category has no type","Category not in list"),IF(D1772="","Amount missing",IF(NOT(ISNUMBER(D1772)),"Amount is not a number",IF(F1772="","",IF(ISNA(MATCH(F1772,Lists!$G$2:$G$25,0)),"Goal / fund not in list",IF(H1772="Income","Fund tag ignored on income","")))))))))))</f>
        <v/>
      </c>
    </row>
    <row r="1773">
      <c r="A1773" s="27" t="n"/>
      <c r="B1773" s="23" t="n"/>
      <c r="C1773" s="23" t="n"/>
      <c r="D1773" s="28" t="n"/>
      <c r="E1773" s="23" t="n"/>
      <c r="F1773" s="23" t="n"/>
      <c r="G1773" s="23" t="n"/>
      <c r="H1773" s="29">
        <f>IF(C1773="","",IFERROR(INDEX(Categories!$B$6:$B$65,MATCH(C1773,Categories!$A$6:$A$65,0))&amp;"",""))</f>
        <v/>
      </c>
      <c r="I1773" s="25">
        <f>IF(AND(A1773="",C1773="",D1773=""),"",IF(A1773="","Date missing",IF(NOT(ISNUMBER(A1773)),"Date not recognized",IF(YEAR(A1773)&lt;&gt;Settings!$C$4,"Not in "&amp;Settings!$C$4,IF(C1773="","Category missing",IF(H1773="",IF(COUNTIF(Categories!$A$6:$A$65,C1773)&gt;0,"Category has no type","Category not in list"),IF(D1773="","Amount missing",IF(NOT(ISNUMBER(D1773)),"Amount is not a number",IF(F1773="","",IF(ISNA(MATCH(F1773,Lists!$G$2:$G$25,0)),"Goal / fund not in list",IF(H1773="Income","Fund tag ignored on income","")))))))))))</f>
        <v/>
      </c>
    </row>
    <row r="1774">
      <c r="A1774" s="27" t="n"/>
      <c r="B1774" s="23" t="n"/>
      <c r="C1774" s="23" t="n"/>
      <c r="D1774" s="28" t="n"/>
      <c r="E1774" s="23" t="n"/>
      <c r="F1774" s="23" t="n"/>
      <c r="G1774" s="23" t="n"/>
      <c r="H1774" s="29">
        <f>IF(C1774="","",IFERROR(INDEX(Categories!$B$6:$B$65,MATCH(C1774,Categories!$A$6:$A$65,0))&amp;"",""))</f>
        <v/>
      </c>
      <c r="I1774" s="25">
        <f>IF(AND(A1774="",C1774="",D1774=""),"",IF(A1774="","Date missing",IF(NOT(ISNUMBER(A1774)),"Date not recognized",IF(YEAR(A1774)&lt;&gt;Settings!$C$4,"Not in "&amp;Settings!$C$4,IF(C1774="","Category missing",IF(H1774="",IF(COUNTIF(Categories!$A$6:$A$65,C1774)&gt;0,"Category has no type","Category not in list"),IF(D1774="","Amount missing",IF(NOT(ISNUMBER(D1774)),"Amount is not a number",IF(F1774="","",IF(ISNA(MATCH(F1774,Lists!$G$2:$G$25,0)),"Goal / fund not in list",IF(H1774="Income","Fund tag ignored on income","")))))))))))</f>
        <v/>
      </c>
    </row>
    <row r="1775">
      <c r="A1775" s="27" t="n"/>
      <c r="B1775" s="23" t="n"/>
      <c r="C1775" s="23" t="n"/>
      <c r="D1775" s="28" t="n"/>
      <c r="E1775" s="23" t="n"/>
      <c r="F1775" s="23" t="n"/>
      <c r="G1775" s="23" t="n"/>
      <c r="H1775" s="29">
        <f>IF(C1775="","",IFERROR(INDEX(Categories!$B$6:$B$65,MATCH(C1775,Categories!$A$6:$A$65,0))&amp;"",""))</f>
        <v/>
      </c>
      <c r="I1775" s="25">
        <f>IF(AND(A1775="",C1775="",D1775=""),"",IF(A1775="","Date missing",IF(NOT(ISNUMBER(A1775)),"Date not recognized",IF(YEAR(A1775)&lt;&gt;Settings!$C$4,"Not in "&amp;Settings!$C$4,IF(C1775="","Category missing",IF(H1775="",IF(COUNTIF(Categories!$A$6:$A$65,C1775)&gt;0,"Category has no type","Category not in list"),IF(D1775="","Amount missing",IF(NOT(ISNUMBER(D1775)),"Amount is not a number",IF(F1775="","",IF(ISNA(MATCH(F1775,Lists!$G$2:$G$25,0)),"Goal / fund not in list",IF(H1775="Income","Fund tag ignored on income","")))))))))))</f>
        <v/>
      </c>
    </row>
    <row r="1776">
      <c r="A1776" s="27" t="n"/>
      <c r="B1776" s="23" t="n"/>
      <c r="C1776" s="23" t="n"/>
      <c r="D1776" s="28" t="n"/>
      <c r="E1776" s="23" t="n"/>
      <c r="F1776" s="23" t="n"/>
      <c r="G1776" s="23" t="n"/>
      <c r="H1776" s="29">
        <f>IF(C1776="","",IFERROR(INDEX(Categories!$B$6:$B$65,MATCH(C1776,Categories!$A$6:$A$65,0))&amp;"",""))</f>
        <v/>
      </c>
      <c r="I1776" s="25">
        <f>IF(AND(A1776="",C1776="",D1776=""),"",IF(A1776="","Date missing",IF(NOT(ISNUMBER(A1776)),"Date not recognized",IF(YEAR(A1776)&lt;&gt;Settings!$C$4,"Not in "&amp;Settings!$C$4,IF(C1776="","Category missing",IF(H1776="",IF(COUNTIF(Categories!$A$6:$A$65,C1776)&gt;0,"Category has no type","Category not in list"),IF(D1776="","Amount missing",IF(NOT(ISNUMBER(D1776)),"Amount is not a number",IF(F1776="","",IF(ISNA(MATCH(F1776,Lists!$G$2:$G$25,0)),"Goal / fund not in list",IF(H1776="Income","Fund tag ignored on income","")))))))))))</f>
        <v/>
      </c>
    </row>
    <row r="1777">
      <c r="A1777" s="27" t="n"/>
      <c r="B1777" s="23" t="n"/>
      <c r="C1777" s="23" t="n"/>
      <c r="D1777" s="28" t="n"/>
      <c r="E1777" s="23" t="n"/>
      <c r="F1777" s="23" t="n"/>
      <c r="G1777" s="23" t="n"/>
      <c r="H1777" s="29">
        <f>IF(C1777="","",IFERROR(INDEX(Categories!$B$6:$B$65,MATCH(C1777,Categories!$A$6:$A$65,0))&amp;"",""))</f>
        <v/>
      </c>
      <c r="I1777" s="25">
        <f>IF(AND(A1777="",C1777="",D1777=""),"",IF(A1777="","Date missing",IF(NOT(ISNUMBER(A1777)),"Date not recognized",IF(YEAR(A1777)&lt;&gt;Settings!$C$4,"Not in "&amp;Settings!$C$4,IF(C1777="","Category missing",IF(H1777="",IF(COUNTIF(Categories!$A$6:$A$65,C1777)&gt;0,"Category has no type","Category not in list"),IF(D1777="","Amount missing",IF(NOT(ISNUMBER(D1777)),"Amount is not a number",IF(F1777="","",IF(ISNA(MATCH(F1777,Lists!$G$2:$G$25,0)),"Goal / fund not in list",IF(H1777="Income","Fund tag ignored on income","")))))))))))</f>
        <v/>
      </c>
    </row>
    <row r="1778">
      <c r="A1778" s="27" t="n"/>
      <c r="B1778" s="23" t="n"/>
      <c r="C1778" s="23" t="n"/>
      <c r="D1778" s="28" t="n"/>
      <c r="E1778" s="23" t="n"/>
      <c r="F1778" s="23" t="n"/>
      <c r="G1778" s="23" t="n"/>
      <c r="H1778" s="29">
        <f>IF(C1778="","",IFERROR(INDEX(Categories!$B$6:$B$65,MATCH(C1778,Categories!$A$6:$A$65,0))&amp;"",""))</f>
        <v/>
      </c>
      <c r="I1778" s="25">
        <f>IF(AND(A1778="",C1778="",D1778=""),"",IF(A1778="","Date missing",IF(NOT(ISNUMBER(A1778)),"Date not recognized",IF(YEAR(A1778)&lt;&gt;Settings!$C$4,"Not in "&amp;Settings!$C$4,IF(C1778="","Category missing",IF(H1778="",IF(COUNTIF(Categories!$A$6:$A$65,C1778)&gt;0,"Category has no type","Category not in list"),IF(D1778="","Amount missing",IF(NOT(ISNUMBER(D1778)),"Amount is not a number",IF(F1778="","",IF(ISNA(MATCH(F1778,Lists!$G$2:$G$25,0)),"Goal / fund not in list",IF(H1778="Income","Fund tag ignored on income","")))))))))))</f>
        <v/>
      </c>
    </row>
    <row r="1779">
      <c r="A1779" s="27" t="n"/>
      <c r="B1779" s="23" t="n"/>
      <c r="C1779" s="23" t="n"/>
      <c r="D1779" s="28" t="n"/>
      <c r="E1779" s="23" t="n"/>
      <c r="F1779" s="23" t="n"/>
      <c r="G1779" s="23" t="n"/>
      <c r="H1779" s="29">
        <f>IF(C1779="","",IFERROR(INDEX(Categories!$B$6:$B$65,MATCH(C1779,Categories!$A$6:$A$65,0))&amp;"",""))</f>
        <v/>
      </c>
      <c r="I1779" s="25">
        <f>IF(AND(A1779="",C1779="",D1779=""),"",IF(A1779="","Date missing",IF(NOT(ISNUMBER(A1779)),"Date not recognized",IF(YEAR(A1779)&lt;&gt;Settings!$C$4,"Not in "&amp;Settings!$C$4,IF(C1779="","Category missing",IF(H1779="",IF(COUNTIF(Categories!$A$6:$A$65,C1779)&gt;0,"Category has no type","Category not in list"),IF(D1779="","Amount missing",IF(NOT(ISNUMBER(D1779)),"Amount is not a number",IF(F1779="","",IF(ISNA(MATCH(F1779,Lists!$G$2:$G$25,0)),"Goal / fund not in list",IF(H1779="Income","Fund tag ignored on income","")))))))))))</f>
        <v/>
      </c>
    </row>
    <row r="1780">
      <c r="A1780" s="27" t="n"/>
      <c r="B1780" s="23" t="n"/>
      <c r="C1780" s="23" t="n"/>
      <c r="D1780" s="28" t="n"/>
      <c r="E1780" s="23" t="n"/>
      <c r="F1780" s="23" t="n"/>
      <c r="G1780" s="23" t="n"/>
      <c r="H1780" s="29">
        <f>IF(C1780="","",IFERROR(INDEX(Categories!$B$6:$B$65,MATCH(C1780,Categories!$A$6:$A$65,0))&amp;"",""))</f>
        <v/>
      </c>
      <c r="I1780" s="25">
        <f>IF(AND(A1780="",C1780="",D1780=""),"",IF(A1780="","Date missing",IF(NOT(ISNUMBER(A1780)),"Date not recognized",IF(YEAR(A1780)&lt;&gt;Settings!$C$4,"Not in "&amp;Settings!$C$4,IF(C1780="","Category missing",IF(H1780="",IF(COUNTIF(Categories!$A$6:$A$65,C1780)&gt;0,"Category has no type","Category not in list"),IF(D1780="","Amount missing",IF(NOT(ISNUMBER(D1780)),"Amount is not a number",IF(F1780="","",IF(ISNA(MATCH(F1780,Lists!$G$2:$G$25,0)),"Goal / fund not in list",IF(H1780="Income","Fund tag ignored on income","")))))))))))</f>
        <v/>
      </c>
    </row>
    <row r="1781">
      <c r="A1781" s="27" t="n"/>
      <c r="B1781" s="23" t="n"/>
      <c r="C1781" s="23" t="n"/>
      <c r="D1781" s="28" t="n"/>
      <c r="E1781" s="23" t="n"/>
      <c r="F1781" s="23" t="n"/>
      <c r="G1781" s="23" t="n"/>
      <c r="H1781" s="29">
        <f>IF(C1781="","",IFERROR(INDEX(Categories!$B$6:$B$65,MATCH(C1781,Categories!$A$6:$A$65,0))&amp;"",""))</f>
        <v/>
      </c>
      <c r="I1781" s="25">
        <f>IF(AND(A1781="",C1781="",D1781=""),"",IF(A1781="","Date missing",IF(NOT(ISNUMBER(A1781)),"Date not recognized",IF(YEAR(A1781)&lt;&gt;Settings!$C$4,"Not in "&amp;Settings!$C$4,IF(C1781="","Category missing",IF(H1781="",IF(COUNTIF(Categories!$A$6:$A$65,C1781)&gt;0,"Category has no type","Category not in list"),IF(D1781="","Amount missing",IF(NOT(ISNUMBER(D1781)),"Amount is not a number",IF(F1781="","",IF(ISNA(MATCH(F1781,Lists!$G$2:$G$25,0)),"Goal / fund not in list",IF(H1781="Income","Fund tag ignored on income","")))))))))))</f>
        <v/>
      </c>
    </row>
    <row r="1782">
      <c r="A1782" s="27" t="n"/>
      <c r="B1782" s="23" t="n"/>
      <c r="C1782" s="23" t="n"/>
      <c r="D1782" s="28" t="n"/>
      <c r="E1782" s="23" t="n"/>
      <c r="F1782" s="23" t="n"/>
      <c r="G1782" s="23" t="n"/>
      <c r="H1782" s="29">
        <f>IF(C1782="","",IFERROR(INDEX(Categories!$B$6:$B$65,MATCH(C1782,Categories!$A$6:$A$65,0))&amp;"",""))</f>
        <v/>
      </c>
      <c r="I1782" s="25">
        <f>IF(AND(A1782="",C1782="",D1782=""),"",IF(A1782="","Date missing",IF(NOT(ISNUMBER(A1782)),"Date not recognized",IF(YEAR(A1782)&lt;&gt;Settings!$C$4,"Not in "&amp;Settings!$C$4,IF(C1782="","Category missing",IF(H1782="",IF(COUNTIF(Categories!$A$6:$A$65,C1782)&gt;0,"Category has no type","Category not in list"),IF(D1782="","Amount missing",IF(NOT(ISNUMBER(D1782)),"Amount is not a number",IF(F1782="","",IF(ISNA(MATCH(F1782,Lists!$G$2:$G$25,0)),"Goal / fund not in list",IF(H1782="Income","Fund tag ignored on income","")))))))))))</f>
        <v/>
      </c>
    </row>
    <row r="1783">
      <c r="A1783" s="27" t="n"/>
      <c r="B1783" s="23" t="n"/>
      <c r="C1783" s="23" t="n"/>
      <c r="D1783" s="28" t="n"/>
      <c r="E1783" s="23" t="n"/>
      <c r="F1783" s="23" t="n"/>
      <c r="G1783" s="23" t="n"/>
      <c r="H1783" s="29">
        <f>IF(C1783="","",IFERROR(INDEX(Categories!$B$6:$B$65,MATCH(C1783,Categories!$A$6:$A$65,0))&amp;"",""))</f>
        <v/>
      </c>
      <c r="I1783" s="25">
        <f>IF(AND(A1783="",C1783="",D1783=""),"",IF(A1783="","Date missing",IF(NOT(ISNUMBER(A1783)),"Date not recognized",IF(YEAR(A1783)&lt;&gt;Settings!$C$4,"Not in "&amp;Settings!$C$4,IF(C1783="","Category missing",IF(H1783="",IF(COUNTIF(Categories!$A$6:$A$65,C1783)&gt;0,"Category has no type","Category not in list"),IF(D1783="","Amount missing",IF(NOT(ISNUMBER(D1783)),"Amount is not a number",IF(F1783="","",IF(ISNA(MATCH(F1783,Lists!$G$2:$G$25,0)),"Goal / fund not in list",IF(H1783="Income","Fund tag ignored on income","")))))))))))</f>
        <v/>
      </c>
    </row>
    <row r="1784">
      <c r="A1784" s="27" t="n"/>
      <c r="B1784" s="23" t="n"/>
      <c r="C1784" s="23" t="n"/>
      <c r="D1784" s="28" t="n"/>
      <c r="E1784" s="23" t="n"/>
      <c r="F1784" s="23" t="n"/>
      <c r="G1784" s="23" t="n"/>
      <c r="H1784" s="29">
        <f>IF(C1784="","",IFERROR(INDEX(Categories!$B$6:$B$65,MATCH(C1784,Categories!$A$6:$A$65,0))&amp;"",""))</f>
        <v/>
      </c>
      <c r="I1784" s="25">
        <f>IF(AND(A1784="",C1784="",D1784=""),"",IF(A1784="","Date missing",IF(NOT(ISNUMBER(A1784)),"Date not recognized",IF(YEAR(A1784)&lt;&gt;Settings!$C$4,"Not in "&amp;Settings!$C$4,IF(C1784="","Category missing",IF(H1784="",IF(COUNTIF(Categories!$A$6:$A$65,C1784)&gt;0,"Category has no type","Category not in list"),IF(D1784="","Amount missing",IF(NOT(ISNUMBER(D1784)),"Amount is not a number",IF(F1784="","",IF(ISNA(MATCH(F1784,Lists!$G$2:$G$25,0)),"Goal / fund not in list",IF(H1784="Income","Fund tag ignored on income","")))))))))))</f>
        <v/>
      </c>
    </row>
    <row r="1785">
      <c r="A1785" s="27" t="n"/>
      <c r="B1785" s="23" t="n"/>
      <c r="C1785" s="23" t="n"/>
      <c r="D1785" s="28" t="n"/>
      <c r="E1785" s="23" t="n"/>
      <c r="F1785" s="23" t="n"/>
      <c r="G1785" s="23" t="n"/>
      <c r="H1785" s="29">
        <f>IF(C1785="","",IFERROR(INDEX(Categories!$B$6:$B$65,MATCH(C1785,Categories!$A$6:$A$65,0))&amp;"",""))</f>
        <v/>
      </c>
      <c r="I1785" s="25">
        <f>IF(AND(A1785="",C1785="",D1785=""),"",IF(A1785="","Date missing",IF(NOT(ISNUMBER(A1785)),"Date not recognized",IF(YEAR(A1785)&lt;&gt;Settings!$C$4,"Not in "&amp;Settings!$C$4,IF(C1785="","Category missing",IF(H1785="",IF(COUNTIF(Categories!$A$6:$A$65,C1785)&gt;0,"Category has no type","Category not in list"),IF(D1785="","Amount missing",IF(NOT(ISNUMBER(D1785)),"Amount is not a number",IF(F1785="","",IF(ISNA(MATCH(F1785,Lists!$G$2:$G$25,0)),"Goal / fund not in list",IF(H1785="Income","Fund tag ignored on income","")))))))))))</f>
        <v/>
      </c>
    </row>
    <row r="1786">
      <c r="A1786" s="27" t="n"/>
      <c r="B1786" s="23" t="n"/>
      <c r="C1786" s="23" t="n"/>
      <c r="D1786" s="28" t="n"/>
      <c r="E1786" s="23" t="n"/>
      <c r="F1786" s="23" t="n"/>
      <c r="G1786" s="23" t="n"/>
      <c r="H1786" s="29">
        <f>IF(C1786="","",IFERROR(INDEX(Categories!$B$6:$B$65,MATCH(C1786,Categories!$A$6:$A$65,0))&amp;"",""))</f>
        <v/>
      </c>
      <c r="I1786" s="25">
        <f>IF(AND(A1786="",C1786="",D1786=""),"",IF(A1786="","Date missing",IF(NOT(ISNUMBER(A1786)),"Date not recognized",IF(YEAR(A1786)&lt;&gt;Settings!$C$4,"Not in "&amp;Settings!$C$4,IF(C1786="","Category missing",IF(H1786="",IF(COUNTIF(Categories!$A$6:$A$65,C1786)&gt;0,"Category has no type","Category not in list"),IF(D1786="","Amount missing",IF(NOT(ISNUMBER(D1786)),"Amount is not a number",IF(F1786="","",IF(ISNA(MATCH(F1786,Lists!$G$2:$G$25,0)),"Goal / fund not in list",IF(H1786="Income","Fund tag ignored on income","")))))))))))</f>
        <v/>
      </c>
    </row>
    <row r="1787">
      <c r="A1787" s="27" t="n"/>
      <c r="B1787" s="23" t="n"/>
      <c r="C1787" s="23" t="n"/>
      <c r="D1787" s="28" t="n"/>
      <c r="E1787" s="23" t="n"/>
      <c r="F1787" s="23" t="n"/>
      <c r="G1787" s="23" t="n"/>
      <c r="H1787" s="29">
        <f>IF(C1787="","",IFERROR(INDEX(Categories!$B$6:$B$65,MATCH(C1787,Categories!$A$6:$A$65,0))&amp;"",""))</f>
        <v/>
      </c>
      <c r="I1787" s="25">
        <f>IF(AND(A1787="",C1787="",D1787=""),"",IF(A1787="","Date missing",IF(NOT(ISNUMBER(A1787)),"Date not recognized",IF(YEAR(A1787)&lt;&gt;Settings!$C$4,"Not in "&amp;Settings!$C$4,IF(C1787="","Category missing",IF(H1787="",IF(COUNTIF(Categories!$A$6:$A$65,C1787)&gt;0,"Category has no type","Category not in list"),IF(D1787="","Amount missing",IF(NOT(ISNUMBER(D1787)),"Amount is not a number",IF(F1787="","",IF(ISNA(MATCH(F1787,Lists!$G$2:$G$25,0)),"Goal / fund not in list",IF(H1787="Income","Fund tag ignored on income","")))))))))))</f>
        <v/>
      </c>
    </row>
    <row r="1788">
      <c r="A1788" s="27" t="n"/>
      <c r="B1788" s="23" t="n"/>
      <c r="C1788" s="23" t="n"/>
      <c r="D1788" s="28" t="n"/>
      <c r="E1788" s="23" t="n"/>
      <c r="F1788" s="23" t="n"/>
      <c r="G1788" s="23" t="n"/>
      <c r="H1788" s="29">
        <f>IF(C1788="","",IFERROR(INDEX(Categories!$B$6:$B$65,MATCH(C1788,Categories!$A$6:$A$65,0))&amp;"",""))</f>
        <v/>
      </c>
      <c r="I1788" s="25">
        <f>IF(AND(A1788="",C1788="",D1788=""),"",IF(A1788="","Date missing",IF(NOT(ISNUMBER(A1788)),"Date not recognized",IF(YEAR(A1788)&lt;&gt;Settings!$C$4,"Not in "&amp;Settings!$C$4,IF(C1788="","Category missing",IF(H1788="",IF(COUNTIF(Categories!$A$6:$A$65,C1788)&gt;0,"Category has no type","Category not in list"),IF(D1788="","Amount missing",IF(NOT(ISNUMBER(D1788)),"Amount is not a number",IF(F1788="","",IF(ISNA(MATCH(F1788,Lists!$G$2:$G$25,0)),"Goal / fund not in list",IF(H1788="Income","Fund tag ignored on income","")))))))))))</f>
        <v/>
      </c>
    </row>
    <row r="1789">
      <c r="A1789" s="27" t="n"/>
      <c r="B1789" s="23" t="n"/>
      <c r="C1789" s="23" t="n"/>
      <c r="D1789" s="28" t="n"/>
      <c r="E1789" s="23" t="n"/>
      <c r="F1789" s="23" t="n"/>
      <c r="G1789" s="23" t="n"/>
      <c r="H1789" s="29">
        <f>IF(C1789="","",IFERROR(INDEX(Categories!$B$6:$B$65,MATCH(C1789,Categories!$A$6:$A$65,0))&amp;"",""))</f>
        <v/>
      </c>
      <c r="I1789" s="25">
        <f>IF(AND(A1789="",C1789="",D1789=""),"",IF(A1789="","Date missing",IF(NOT(ISNUMBER(A1789)),"Date not recognized",IF(YEAR(A1789)&lt;&gt;Settings!$C$4,"Not in "&amp;Settings!$C$4,IF(C1789="","Category missing",IF(H1789="",IF(COUNTIF(Categories!$A$6:$A$65,C1789)&gt;0,"Category has no type","Category not in list"),IF(D1789="","Amount missing",IF(NOT(ISNUMBER(D1789)),"Amount is not a number",IF(F1789="","",IF(ISNA(MATCH(F1789,Lists!$G$2:$G$25,0)),"Goal / fund not in list",IF(H1789="Income","Fund tag ignored on income","")))))))))))</f>
        <v/>
      </c>
    </row>
    <row r="1790">
      <c r="A1790" s="27" t="n"/>
      <c r="B1790" s="23" t="n"/>
      <c r="C1790" s="23" t="n"/>
      <c r="D1790" s="28" t="n"/>
      <c r="E1790" s="23" t="n"/>
      <c r="F1790" s="23" t="n"/>
      <c r="G1790" s="23" t="n"/>
      <c r="H1790" s="29">
        <f>IF(C1790="","",IFERROR(INDEX(Categories!$B$6:$B$65,MATCH(C1790,Categories!$A$6:$A$65,0))&amp;"",""))</f>
        <v/>
      </c>
      <c r="I1790" s="25">
        <f>IF(AND(A1790="",C1790="",D1790=""),"",IF(A1790="","Date missing",IF(NOT(ISNUMBER(A1790)),"Date not recognized",IF(YEAR(A1790)&lt;&gt;Settings!$C$4,"Not in "&amp;Settings!$C$4,IF(C1790="","Category missing",IF(H1790="",IF(COUNTIF(Categories!$A$6:$A$65,C1790)&gt;0,"Category has no type","Category not in list"),IF(D1790="","Amount missing",IF(NOT(ISNUMBER(D1790)),"Amount is not a number",IF(F1790="","",IF(ISNA(MATCH(F1790,Lists!$G$2:$G$25,0)),"Goal / fund not in list",IF(H1790="Income","Fund tag ignored on income","")))))))))))</f>
        <v/>
      </c>
    </row>
    <row r="1791">
      <c r="A1791" s="27" t="n"/>
      <c r="B1791" s="23" t="n"/>
      <c r="C1791" s="23" t="n"/>
      <c r="D1791" s="28" t="n"/>
      <c r="E1791" s="23" t="n"/>
      <c r="F1791" s="23" t="n"/>
      <c r="G1791" s="23" t="n"/>
      <c r="H1791" s="29">
        <f>IF(C1791="","",IFERROR(INDEX(Categories!$B$6:$B$65,MATCH(C1791,Categories!$A$6:$A$65,0))&amp;"",""))</f>
        <v/>
      </c>
      <c r="I1791" s="25">
        <f>IF(AND(A1791="",C1791="",D1791=""),"",IF(A1791="","Date missing",IF(NOT(ISNUMBER(A1791)),"Date not recognized",IF(YEAR(A1791)&lt;&gt;Settings!$C$4,"Not in "&amp;Settings!$C$4,IF(C1791="","Category missing",IF(H1791="",IF(COUNTIF(Categories!$A$6:$A$65,C1791)&gt;0,"Category has no type","Category not in list"),IF(D1791="","Amount missing",IF(NOT(ISNUMBER(D1791)),"Amount is not a number",IF(F1791="","",IF(ISNA(MATCH(F1791,Lists!$G$2:$G$25,0)),"Goal / fund not in list",IF(H1791="Income","Fund tag ignored on income","")))))))))))</f>
        <v/>
      </c>
    </row>
    <row r="1792">
      <c r="A1792" s="27" t="n"/>
      <c r="B1792" s="23" t="n"/>
      <c r="C1792" s="23" t="n"/>
      <c r="D1792" s="28" t="n"/>
      <c r="E1792" s="23" t="n"/>
      <c r="F1792" s="23" t="n"/>
      <c r="G1792" s="23" t="n"/>
      <c r="H1792" s="29">
        <f>IF(C1792="","",IFERROR(INDEX(Categories!$B$6:$B$65,MATCH(C1792,Categories!$A$6:$A$65,0))&amp;"",""))</f>
        <v/>
      </c>
      <c r="I1792" s="25">
        <f>IF(AND(A1792="",C1792="",D1792=""),"",IF(A1792="","Date missing",IF(NOT(ISNUMBER(A1792)),"Date not recognized",IF(YEAR(A1792)&lt;&gt;Settings!$C$4,"Not in "&amp;Settings!$C$4,IF(C1792="","Category missing",IF(H1792="",IF(COUNTIF(Categories!$A$6:$A$65,C1792)&gt;0,"Category has no type","Category not in list"),IF(D1792="","Amount missing",IF(NOT(ISNUMBER(D1792)),"Amount is not a number",IF(F1792="","",IF(ISNA(MATCH(F1792,Lists!$G$2:$G$25,0)),"Goal / fund not in list",IF(H1792="Income","Fund tag ignored on income","")))))))))))</f>
        <v/>
      </c>
    </row>
    <row r="1793">
      <c r="A1793" s="27" t="n"/>
      <c r="B1793" s="23" t="n"/>
      <c r="C1793" s="23" t="n"/>
      <c r="D1793" s="28" t="n"/>
      <c r="E1793" s="23" t="n"/>
      <c r="F1793" s="23" t="n"/>
      <c r="G1793" s="23" t="n"/>
      <c r="H1793" s="29">
        <f>IF(C1793="","",IFERROR(INDEX(Categories!$B$6:$B$65,MATCH(C1793,Categories!$A$6:$A$65,0))&amp;"",""))</f>
        <v/>
      </c>
      <c r="I1793" s="25">
        <f>IF(AND(A1793="",C1793="",D1793=""),"",IF(A1793="","Date missing",IF(NOT(ISNUMBER(A1793)),"Date not recognized",IF(YEAR(A1793)&lt;&gt;Settings!$C$4,"Not in "&amp;Settings!$C$4,IF(C1793="","Category missing",IF(H1793="",IF(COUNTIF(Categories!$A$6:$A$65,C1793)&gt;0,"Category has no type","Category not in list"),IF(D1793="","Amount missing",IF(NOT(ISNUMBER(D1793)),"Amount is not a number",IF(F1793="","",IF(ISNA(MATCH(F1793,Lists!$G$2:$G$25,0)),"Goal / fund not in list",IF(H1793="Income","Fund tag ignored on income","")))))))))))</f>
        <v/>
      </c>
    </row>
    <row r="1794">
      <c r="A1794" s="27" t="n"/>
      <c r="B1794" s="23" t="n"/>
      <c r="C1794" s="23" t="n"/>
      <c r="D1794" s="28" t="n"/>
      <c r="E1794" s="23" t="n"/>
      <c r="F1794" s="23" t="n"/>
      <c r="G1794" s="23" t="n"/>
      <c r="H1794" s="29">
        <f>IF(C1794="","",IFERROR(INDEX(Categories!$B$6:$B$65,MATCH(C1794,Categories!$A$6:$A$65,0))&amp;"",""))</f>
        <v/>
      </c>
      <c r="I1794" s="25">
        <f>IF(AND(A1794="",C1794="",D1794=""),"",IF(A1794="","Date missing",IF(NOT(ISNUMBER(A1794)),"Date not recognized",IF(YEAR(A1794)&lt;&gt;Settings!$C$4,"Not in "&amp;Settings!$C$4,IF(C1794="","Category missing",IF(H1794="",IF(COUNTIF(Categories!$A$6:$A$65,C1794)&gt;0,"Category has no type","Category not in list"),IF(D1794="","Amount missing",IF(NOT(ISNUMBER(D1794)),"Amount is not a number",IF(F1794="","",IF(ISNA(MATCH(F1794,Lists!$G$2:$G$25,0)),"Goal / fund not in list",IF(H1794="Income","Fund tag ignored on income","")))))))))))</f>
        <v/>
      </c>
    </row>
    <row r="1795">
      <c r="A1795" s="27" t="n"/>
      <c r="B1795" s="23" t="n"/>
      <c r="C1795" s="23" t="n"/>
      <c r="D1795" s="28" t="n"/>
      <c r="E1795" s="23" t="n"/>
      <c r="F1795" s="23" t="n"/>
      <c r="G1795" s="23" t="n"/>
      <c r="H1795" s="29">
        <f>IF(C1795="","",IFERROR(INDEX(Categories!$B$6:$B$65,MATCH(C1795,Categories!$A$6:$A$65,0))&amp;"",""))</f>
        <v/>
      </c>
      <c r="I1795" s="25">
        <f>IF(AND(A1795="",C1795="",D1795=""),"",IF(A1795="","Date missing",IF(NOT(ISNUMBER(A1795)),"Date not recognized",IF(YEAR(A1795)&lt;&gt;Settings!$C$4,"Not in "&amp;Settings!$C$4,IF(C1795="","Category missing",IF(H1795="",IF(COUNTIF(Categories!$A$6:$A$65,C1795)&gt;0,"Category has no type","Category not in list"),IF(D1795="","Amount missing",IF(NOT(ISNUMBER(D1795)),"Amount is not a number",IF(F1795="","",IF(ISNA(MATCH(F1795,Lists!$G$2:$G$25,0)),"Goal / fund not in list",IF(H1795="Income","Fund tag ignored on income","")))))))))))</f>
        <v/>
      </c>
    </row>
    <row r="1796">
      <c r="A1796" s="27" t="n"/>
      <c r="B1796" s="23" t="n"/>
      <c r="C1796" s="23" t="n"/>
      <c r="D1796" s="28" t="n"/>
      <c r="E1796" s="23" t="n"/>
      <c r="F1796" s="23" t="n"/>
      <c r="G1796" s="23" t="n"/>
      <c r="H1796" s="29">
        <f>IF(C1796="","",IFERROR(INDEX(Categories!$B$6:$B$65,MATCH(C1796,Categories!$A$6:$A$65,0))&amp;"",""))</f>
        <v/>
      </c>
      <c r="I1796" s="25">
        <f>IF(AND(A1796="",C1796="",D1796=""),"",IF(A1796="","Date missing",IF(NOT(ISNUMBER(A1796)),"Date not recognized",IF(YEAR(A1796)&lt;&gt;Settings!$C$4,"Not in "&amp;Settings!$C$4,IF(C1796="","Category missing",IF(H1796="",IF(COUNTIF(Categories!$A$6:$A$65,C1796)&gt;0,"Category has no type","Category not in list"),IF(D1796="","Amount missing",IF(NOT(ISNUMBER(D1796)),"Amount is not a number",IF(F1796="","",IF(ISNA(MATCH(F1796,Lists!$G$2:$G$25,0)),"Goal / fund not in list",IF(H1796="Income","Fund tag ignored on income","")))))))))))</f>
        <v/>
      </c>
    </row>
    <row r="1797">
      <c r="A1797" s="27" t="n"/>
      <c r="B1797" s="23" t="n"/>
      <c r="C1797" s="23" t="n"/>
      <c r="D1797" s="28" t="n"/>
      <c r="E1797" s="23" t="n"/>
      <c r="F1797" s="23" t="n"/>
      <c r="G1797" s="23" t="n"/>
      <c r="H1797" s="29">
        <f>IF(C1797="","",IFERROR(INDEX(Categories!$B$6:$B$65,MATCH(C1797,Categories!$A$6:$A$65,0))&amp;"",""))</f>
        <v/>
      </c>
      <c r="I1797" s="25">
        <f>IF(AND(A1797="",C1797="",D1797=""),"",IF(A1797="","Date missing",IF(NOT(ISNUMBER(A1797)),"Date not recognized",IF(YEAR(A1797)&lt;&gt;Settings!$C$4,"Not in "&amp;Settings!$C$4,IF(C1797="","Category missing",IF(H1797="",IF(COUNTIF(Categories!$A$6:$A$65,C1797)&gt;0,"Category has no type","Category not in list"),IF(D1797="","Amount missing",IF(NOT(ISNUMBER(D1797)),"Amount is not a number",IF(F1797="","",IF(ISNA(MATCH(F1797,Lists!$G$2:$G$25,0)),"Goal / fund not in list",IF(H1797="Income","Fund tag ignored on income","")))))))))))</f>
        <v/>
      </c>
    </row>
    <row r="1798">
      <c r="A1798" s="27" t="n"/>
      <c r="B1798" s="23" t="n"/>
      <c r="C1798" s="23" t="n"/>
      <c r="D1798" s="28" t="n"/>
      <c r="E1798" s="23" t="n"/>
      <c r="F1798" s="23" t="n"/>
      <c r="G1798" s="23" t="n"/>
      <c r="H1798" s="29">
        <f>IF(C1798="","",IFERROR(INDEX(Categories!$B$6:$B$65,MATCH(C1798,Categories!$A$6:$A$65,0))&amp;"",""))</f>
        <v/>
      </c>
      <c r="I1798" s="25">
        <f>IF(AND(A1798="",C1798="",D1798=""),"",IF(A1798="","Date missing",IF(NOT(ISNUMBER(A1798)),"Date not recognized",IF(YEAR(A1798)&lt;&gt;Settings!$C$4,"Not in "&amp;Settings!$C$4,IF(C1798="","Category missing",IF(H1798="",IF(COUNTIF(Categories!$A$6:$A$65,C1798)&gt;0,"Category has no type","Category not in list"),IF(D1798="","Amount missing",IF(NOT(ISNUMBER(D1798)),"Amount is not a number",IF(F1798="","",IF(ISNA(MATCH(F1798,Lists!$G$2:$G$25,0)),"Goal / fund not in list",IF(H1798="Income","Fund tag ignored on income","")))))))))))</f>
        <v/>
      </c>
    </row>
    <row r="1799">
      <c r="A1799" s="27" t="n"/>
      <c r="B1799" s="23" t="n"/>
      <c r="C1799" s="23" t="n"/>
      <c r="D1799" s="28" t="n"/>
      <c r="E1799" s="23" t="n"/>
      <c r="F1799" s="23" t="n"/>
      <c r="G1799" s="23" t="n"/>
      <c r="H1799" s="29">
        <f>IF(C1799="","",IFERROR(INDEX(Categories!$B$6:$B$65,MATCH(C1799,Categories!$A$6:$A$65,0))&amp;"",""))</f>
        <v/>
      </c>
      <c r="I1799" s="25">
        <f>IF(AND(A1799="",C1799="",D1799=""),"",IF(A1799="","Date missing",IF(NOT(ISNUMBER(A1799)),"Date not recognized",IF(YEAR(A1799)&lt;&gt;Settings!$C$4,"Not in "&amp;Settings!$C$4,IF(C1799="","Category missing",IF(H1799="",IF(COUNTIF(Categories!$A$6:$A$65,C1799)&gt;0,"Category has no type","Category not in list"),IF(D1799="","Amount missing",IF(NOT(ISNUMBER(D1799)),"Amount is not a number",IF(F1799="","",IF(ISNA(MATCH(F1799,Lists!$G$2:$G$25,0)),"Goal / fund not in list",IF(H1799="Income","Fund tag ignored on income","")))))))))))</f>
        <v/>
      </c>
    </row>
    <row r="1800">
      <c r="A1800" s="27" t="n"/>
      <c r="B1800" s="23" t="n"/>
      <c r="C1800" s="23" t="n"/>
      <c r="D1800" s="28" t="n"/>
      <c r="E1800" s="23" t="n"/>
      <c r="F1800" s="23" t="n"/>
      <c r="G1800" s="23" t="n"/>
      <c r="H1800" s="29">
        <f>IF(C1800="","",IFERROR(INDEX(Categories!$B$6:$B$65,MATCH(C1800,Categories!$A$6:$A$65,0))&amp;"",""))</f>
        <v/>
      </c>
      <c r="I1800" s="25">
        <f>IF(AND(A1800="",C1800="",D1800=""),"",IF(A1800="","Date missing",IF(NOT(ISNUMBER(A1800)),"Date not recognized",IF(YEAR(A1800)&lt;&gt;Settings!$C$4,"Not in "&amp;Settings!$C$4,IF(C1800="","Category missing",IF(H1800="",IF(COUNTIF(Categories!$A$6:$A$65,C1800)&gt;0,"Category has no type","Category not in list"),IF(D1800="","Amount missing",IF(NOT(ISNUMBER(D1800)),"Amount is not a number",IF(F1800="","",IF(ISNA(MATCH(F1800,Lists!$G$2:$G$25,0)),"Goal / fund not in list",IF(H1800="Income","Fund tag ignored on income","")))))))))))</f>
        <v/>
      </c>
    </row>
    <row r="1801">
      <c r="A1801" s="27" t="n"/>
      <c r="B1801" s="23" t="n"/>
      <c r="C1801" s="23" t="n"/>
      <c r="D1801" s="28" t="n"/>
      <c r="E1801" s="23" t="n"/>
      <c r="F1801" s="23" t="n"/>
      <c r="G1801" s="23" t="n"/>
      <c r="H1801" s="29">
        <f>IF(C1801="","",IFERROR(INDEX(Categories!$B$6:$B$65,MATCH(C1801,Categories!$A$6:$A$65,0))&amp;"",""))</f>
        <v/>
      </c>
      <c r="I1801" s="25">
        <f>IF(AND(A1801="",C1801="",D1801=""),"",IF(A1801="","Date missing",IF(NOT(ISNUMBER(A1801)),"Date not recognized",IF(YEAR(A1801)&lt;&gt;Settings!$C$4,"Not in "&amp;Settings!$C$4,IF(C1801="","Category missing",IF(H1801="",IF(COUNTIF(Categories!$A$6:$A$65,C1801)&gt;0,"Category has no type","Category not in list"),IF(D1801="","Amount missing",IF(NOT(ISNUMBER(D1801)),"Amount is not a number",IF(F1801="","",IF(ISNA(MATCH(F1801,Lists!$G$2:$G$25,0)),"Goal / fund not in list",IF(H1801="Income","Fund tag ignored on income","")))))))))))</f>
        <v/>
      </c>
    </row>
    <row r="1802">
      <c r="A1802" s="27" t="n"/>
      <c r="B1802" s="23" t="n"/>
      <c r="C1802" s="23" t="n"/>
      <c r="D1802" s="28" t="n"/>
      <c r="E1802" s="23" t="n"/>
      <c r="F1802" s="23" t="n"/>
      <c r="G1802" s="23" t="n"/>
      <c r="H1802" s="29">
        <f>IF(C1802="","",IFERROR(INDEX(Categories!$B$6:$B$65,MATCH(C1802,Categories!$A$6:$A$65,0))&amp;"",""))</f>
        <v/>
      </c>
      <c r="I1802" s="25">
        <f>IF(AND(A1802="",C1802="",D1802=""),"",IF(A1802="","Date missing",IF(NOT(ISNUMBER(A1802)),"Date not recognized",IF(YEAR(A1802)&lt;&gt;Settings!$C$4,"Not in "&amp;Settings!$C$4,IF(C1802="","Category missing",IF(H1802="",IF(COUNTIF(Categories!$A$6:$A$65,C1802)&gt;0,"Category has no type","Category not in list"),IF(D1802="","Amount missing",IF(NOT(ISNUMBER(D1802)),"Amount is not a number",IF(F1802="","",IF(ISNA(MATCH(F1802,Lists!$G$2:$G$25,0)),"Goal / fund not in list",IF(H1802="Income","Fund tag ignored on income","")))))))))))</f>
        <v/>
      </c>
    </row>
    <row r="1803">
      <c r="A1803" s="27" t="n"/>
      <c r="B1803" s="23" t="n"/>
      <c r="C1803" s="23" t="n"/>
      <c r="D1803" s="28" t="n"/>
      <c r="E1803" s="23" t="n"/>
      <c r="F1803" s="23" t="n"/>
      <c r="G1803" s="23" t="n"/>
      <c r="H1803" s="29">
        <f>IF(C1803="","",IFERROR(INDEX(Categories!$B$6:$B$65,MATCH(C1803,Categories!$A$6:$A$65,0))&amp;"",""))</f>
        <v/>
      </c>
      <c r="I1803" s="25">
        <f>IF(AND(A1803="",C1803="",D1803=""),"",IF(A1803="","Date missing",IF(NOT(ISNUMBER(A1803)),"Date not recognized",IF(YEAR(A1803)&lt;&gt;Settings!$C$4,"Not in "&amp;Settings!$C$4,IF(C1803="","Category missing",IF(H1803="",IF(COUNTIF(Categories!$A$6:$A$65,C1803)&gt;0,"Category has no type","Category not in list"),IF(D1803="","Amount missing",IF(NOT(ISNUMBER(D1803)),"Amount is not a number",IF(F1803="","",IF(ISNA(MATCH(F1803,Lists!$G$2:$G$25,0)),"Goal / fund not in list",IF(H1803="Income","Fund tag ignored on income","")))))))))))</f>
        <v/>
      </c>
    </row>
    <row r="1804">
      <c r="A1804" s="27" t="n"/>
      <c r="B1804" s="23" t="n"/>
      <c r="C1804" s="23" t="n"/>
      <c r="D1804" s="28" t="n"/>
      <c r="E1804" s="23" t="n"/>
      <c r="F1804" s="23" t="n"/>
      <c r="G1804" s="23" t="n"/>
      <c r="H1804" s="29">
        <f>IF(C1804="","",IFERROR(INDEX(Categories!$B$6:$B$65,MATCH(C1804,Categories!$A$6:$A$65,0))&amp;"",""))</f>
        <v/>
      </c>
      <c r="I1804" s="25">
        <f>IF(AND(A1804="",C1804="",D1804=""),"",IF(A1804="","Date missing",IF(NOT(ISNUMBER(A1804)),"Date not recognized",IF(YEAR(A1804)&lt;&gt;Settings!$C$4,"Not in "&amp;Settings!$C$4,IF(C1804="","Category missing",IF(H1804="",IF(COUNTIF(Categories!$A$6:$A$65,C1804)&gt;0,"Category has no type","Category not in list"),IF(D1804="","Amount missing",IF(NOT(ISNUMBER(D1804)),"Amount is not a number",IF(F1804="","",IF(ISNA(MATCH(F1804,Lists!$G$2:$G$25,0)),"Goal / fund not in list",IF(H1804="Income","Fund tag ignored on income","")))))))))))</f>
        <v/>
      </c>
    </row>
    <row r="1805">
      <c r="A1805" s="27" t="n"/>
      <c r="B1805" s="23" t="n"/>
      <c r="C1805" s="23" t="n"/>
      <c r="D1805" s="28" t="n"/>
      <c r="E1805" s="23" t="n"/>
      <c r="F1805" s="23" t="n"/>
      <c r="G1805" s="23" t="n"/>
      <c r="H1805" s="29">
        <f>IF(C1805="","",IFERROR(INDEX(Categories!$B$6:$B$65,MATCH(C1805,Categories!$A$6:$A$65,0))&amp;"",""))</f>
        <v/>
      </c>
      <c r="I1805" s="25">
        <f>IF(AND(A1805="",C1805="",D1805=""),"",IF(A1805="","Date missing",IF(NOT(ISNUMBER(A1805)),"Date not recognized",IF(YEAR(A1805)&lt;&gt;Settings!$C$4,"Not in "&amp;Settings!$C$4,IF(C1805="","Category missing",IF(H1805="",IF(COUNTIF(Categories!$A$6:$A$65,C1805)&gt;0,"Category has no type","Category not in list"),IF(D1805="","Amount missing",IF(NOT(ISNUMBER(D1805)),"Amount is not a number",IF(F1805="","",IF(ISNA(MATCH(F1805,Lists!$G$2:$G$25,0)),"Goal / fund not in list",IF(H1805="Income","Fund tag ignored on income","")))))))))))</f>
        <v/>
      </c>
    </row>
    <row r="1806">
      <c r="A1806" s="27" t="n"/>
      <c r="B1806" s="23" t="n"/>
      <c r="C1806" s="23" t="n"/>
      <c r="D1806" s="28" t="n"/>
      <c r="E1806" s="23" t="n"/>
      <c r="F1806" s="23" t="n"/>
      <c r="G1806" s="23" t="n"/>
      <c r="H1806" s="29">
        <f>IF(C1806="","",IFERROR(INDEX(Categories!$B$6:$B$65,MATCH(C1806,Categories!$A$6:$A$65,0))&amp;"",""))</f>
        <v/>
      </c>
      <c r="I1806" s="25">
        <f>IF(AND(A1806="",C1806="",D1806=""),"",IF(A1806="","Date missing",IF(NOT(ISNUMBER(A1806)),"Date not recognized",IF(YEAR(A1806)&lt;&gt;Settings!$C$4,"Not in "&amp;Settings!$C$4,IF(C1806="","Category missing",IF(H1806="",IF(COUNTIF(Categories!$A$6:$A$65,C1806)&gt;0,"Category has no type","Category not in list"),IF(D1806="","Amount missing",IF(NOT(ISNUMBER(D1806)),"Amount is not a number",IF(F1806="","",IF(ISNA(MATCH(F1806,Lists!$G$2:$G$25,0)),"Goal / fund not in list",IF(H1806="Income","Fund tag ignored on income","")))))))))))</f>
        <v/>
      </c>
    </row>
    <row r="1807">
      <c r="A1807" s="27" t="n"/>
      <c r="B1807" s="23" t="n"/>
      <c r="C1807" s="23" t="n"/>
      <c r="D1807" s="28" t="n"/>
      <c r="E1807" s="23" t="n"/>
      <c r="F1807" s="23" t="n"/>
      <c r="G1807" s="23" t="n"/>
      <c r="H1807" s="29">
        <f>IF(C1807="","",IFERROR(INDEX(Categories!$B$6:$B$65,MATCH(C1807,Categories!$A$6:$A$65,0))&amp;"",""))</f>
        <v/>
      </c>
      <c r="I1807" s="25">
        <f>IF(AND(A1807="",C1807="",D1807=""),"",IF(A1807="","Date missing",IF(NOT(ISNUMBER(A1807)),"Date not recognized",IF(YEAR(A1807)&lt;&gt;Settings!$C$4,"Not in "&amp;Settings!$C$4,IF(C1807="","Category missing",IF(H1807="",IF(COUNTIF(Categories!$A$6:$A$65,C1807)&gt;0,"Category has no type","Category not in list"),IF(D1807="","Amount missing",IF(NOT(ISNUMBER(D1807)),"Amount is not a number",IF(F1807="","",IF(ISNA(MATCH(F1807,Lists!$G$2:$G$25,0)),"Goal / fund not in list",IF(H1807="Income","Fund tag ignored on income","")))))))))))</f>
        <v/>
      </c>
    </row>
    <row r="1808">
      <c r="A1808" s="27" t="n"/>
      <c r="B1808" s="23" t="n"/>
      <c r="C1808" s="23" t="n"/>
      <c r="D1808" s="28" t="n"/>
      <c r="E1808" s="23" t="n"/>
      <c r="F1808" s="23" t="n"/>
      <c r="G1808" s="23" t="n"/>
      <c r="H1808" s="29">
        <f>IF(C1808="","",IFERROR(INDEX(Categories!$B$6:$B$65,MATCH(C1808,Categories!$A$6:$A$65,0))&amp;"",""))</f>
        <v/>
      </c>
      <c r="I1808" s="25">
        <f>IF(AND(A1808="",C1808="",D1808=""),"",IF(A1808="","Date missing",IF(NOT(ISNUMBER(A1808)),"Date not recognized",IF(YEAR(A1808)&lt;&gt;Settings!$C$4,"Not in "&amp;Settings!$C$4,IF(C1808="","Category missing",IF(H1808="",IF(COUNTIF(Categories!$A$6:$A$65,C1808)&gt;0,"Category has no type","Category not in list"),IF(D1808="","Amount missing",IF(NOT(ISNUMBER(D1808)),"Amount is not a number",IF(F1808="","",IF(ISNA(MATCH(F1808,Lists!$G$2:$G$25,0)),"Goal / fund not in list",IF(H1808="Income","Fund tag ignored on income","")))))))))))</f>
        <v/>
      </c>
    </row>
    <row r="1809">
      <c r="A1809" s="27" t="n"/>
      <c r="B1809" s="23" t="n"/>
      <c r="C1809" s="23" t="n"/>
      <c r="D1809" s="28" t="n"/>
      <c r="E1809" s="23" t="n"/>
      <c r="F1809" s="23" t="n"/>
      <c r="G1809" s="23" t="n"/>
      <c r="H1809" s="29">
        <f>IF(C1809="","",IFERROR(INDEX(Categories!$B$6:$B$65,MATCH(C1809,Categories!$A$6:$A$65,0))&amp;"",""))</f>
        <v/>
      </c>
      <c r="I1809" s="25">
        <f>IF(AND(A1809="",C1809="",D1809=""),"",IF(A1809="","Date missing",IF(NOT(ISNUMBER(A1809)),"Date not recognized",IF(YEAR(A1809)&lt;&gt;Settings!$C$4,"Not in "&amp;Settings!$C$4,IF(C1809="","Category missing",IF(H1809="",IF(COUNTIF(Categories!$A$6:$A$65,C1809)&gt;0,"Category has no type","Category not in list"),IF(D1809="","Amount missing",IF(NOT(ISNUMBER(D1809)),"Amount is not a number",IF(F1809="","",IF(ISNA(MATCH(F1809,Lists!$G$2:$G$25,0)),"Goal / fund not in list",IF(H1809="Income","Fund tag ignored on income","")))))))))))</f>
        <v/>
      </c>
    </row>
    <row r="1810">
      <c r="A1810" s="27" t="n"/>
      <c r="B1810" s="23" t="n"/>
      <c r="C1810" s="23" t="n"/>
      <c r="D1810" s="28" t="n"/>
      <c r="E1810" s="23" t="n"/>
      <c r="F1810" s="23" t="n"/>
      <c r="G1810" s="23" t="n"/>
      <c r="H1810" s="29">
        <f>IF(C1810="","",IFERROR(INDEX(Categories!$B$6:$B$65,MATCH(C1810,Categories!$A$6:$A$65,0))&amp;"",""))</f>
        <v/>
      </c>
      <c r="I1810" s="25">
        <f>IF(AND(A1810="",C1810="",D1810=""),"",IF(A1810="","Date missing",IF(NOT(ISNUMBER(A1810)),"Date not recognized",IF(YEAR(A1810)&lt;&gt;Settings!$C$4,"Not in "&amp;Settings!$C$4,IF(C1810="","Category missing",IF(H1810="",IF(COUNTIF(Categories!$A$6:$A$65,C1810)&gt;0,"Category has no type","Category not in list"),IF(D1810="","Amount missing",IF(NOT(ISNUMBER(D1810)),"Amount is not a number",IF(F1810="","",IF(ISNA(MATCH(F1810,Lists!$G$2:$G$25,0)),"Goal / fund not in list",IF(H1810="Income","Fund tag ignored on income","")))))))))))</f>
        <v/>
      </c>
    </row>
    <row r="1811">
      <c r="A1811" s="27" t="n"/>
      <c r="B1811" s="23" t="n"/>
      <c r="C1811" s="23" t="n"/>
      <c r="D1811" s="28" t="n"/>
      <c r="E1811" s="23" t="n"/>
      <c r="F1811" s="23" t="n"/>
      <c r="G1811" s="23" t="n"/>
      <c r="H1811" s="29">
        <f>IF(C1811="","",IFERROR(INDEX(Categories!$B$6:$B$65,MATCH(C1811,Categories!$A$6:$A$65,0))&amp;"",""))</f>
        <v/>
      </c>
      <c r="I1811" s="25">
        <f>IF(AND(A1811="",C1811="",D1811=""),"",IF(A1811="","Date missing",IF(NOT(ISNUMBER(A1811)),"Date not recognized",IF(YEAR(A1811)&lt;&gt;Settings!$C$4,"Not in "&amp;Settings!$C$4,IF(C1811="","Category missing",IF(H1811="",IF(COUNTIF(Categories!$A$6:$A$65,C1811)&gt;0,"Category has no type","Category not in list"),IF(D1811="","Amount missing",IF(NOT(ISNUMBER(D1811)),"Amount is not a number",IF(F1811="","",IF(ISNA(MATCH(F1811,Lists!$G$2:$G$25,0)),"Goal / fund not in list",IF(H1811="Income","Fund tag ignored on income","")))))))))))</f>
        <v/>
      </c>
    </row>
    <row r="1812">
      <c r="A1812" s="27" t="n"/>
      <c r="B1812" s="23" t="n"/>
      <c r="C1812" s="23" t="n"/>
      <c r="D1812" s="28" t="n"/>
      <c r="E1812" s="23" t="n"/>
      <c r="F1812" s="23" t="n"/>
      <c r="G1812" s="23" t="n"/>
      <c r="H1812" s="29">
        <f>IF(C1812="","",IFERROR(INDEX(Categories!$B$6:$B$65,MATCH(C1812,Categories!$A$6:$A$65,0))&amp;"",""))</f>
        <v/>
      </c>
      <c r="I1812" s="25">
        <f>IF(AND(A1812="",C1812="",D1812=""),"",IF(A1812="","Date missing",IF(NOT(ISNUMBER(A1812)),"Date not recognized",IF(YEAR(A1812)&lt;&gt;Settings!$C$4,"Not in "&amp;Settings!$C$4,IF(C1812="","Category missing",IF(H1812="",IF(COUNTIF(Categories!$A$6:$A$65,C1812)&gt;0,"Category has no type","Category not in list"),IF(D1812="","Amount missing",IF(NOT(ISNUMBER(D1812)),"Amount is not a number",IF(F1812="","",IF(ISNA(MATCH(F1812,Lists!$G$2:$G$25,0)),"Goal / fund not in list",IF(H1812="Income","Fund tag ignored on income","")))))))))))</f>
        <v/>
      </c>
    </row>
    <row r="1813">
      <c r="A1813" s="27" t="n"/>
      <c r="B1813" s="23" t="n"/>
      <c r="C1813" s="23" t="n"/>
      <c r="D1813" s="28" t="n"/>
      <c r="E1813" s="23" t="n"/>
      <c r="F1813" s="23" t="n"/>
      <c r="G1813" s="23" t="n"/>
      <c r="H1813" s="29">
        <f>IF(C1813="","",IFERROR(INDEX(Categories!$B$6:$B$65,MATCH(C1813,Categories!$A$6:$A$65,0))&amp;"",""))</f>
        <v/>
      </c>
      <c r="I1813" s="25">
        <f>IF(AND(A1813="",C1813="",D1813=""),"",IF(A1813="","Date missing",IF(NOT(ISNUMBER(A1813)),"Date not recognized",IF(YEAR(A1813)&lt;&gt;Settings!$C$4,"Not in "&amp;Settings!$C$4,IF(C1813="","Category missing",IF(H1813="",IF(COUNTIF(Categories!$A$6:$A$65,C1813)&gt;0,"Category has no type","Category not in list"),IF(D1813="","Amount missing",IF(NOT(ISNUMBER(D1813)),"Amount is not a number",IF(F1813="","",IF(ISNA(MATCH(F1813,Lists!$G$2:$G$25,0)),"Goal / fund not in list",IF(H1813="Income","Fund tag ignored on income","")))))))))))</f>
        <v/>
      </c>
    </row>
    <row r="1814">
      <c r="A1814" s="27" t="n"/>
      <c r="B1814" s="23" t="n"/>
      <c r="C1814" s="23" t="n"/>
      <c r="D1814" s="28" t="n"/>
      <c r="E1814" s="23" t="n"/>
      <c r="F1814" s="23" t="n"/>
      <c r="G1814" s="23" t="n"/>
      <c r="H1814" s="29">
        <f>IF(C1814="","",IFERROR(INDEX(Categories!$B$6:$B$65,MATCH(C1814,Categories!$A$6:$A$65,0))&amp;"",""))</f>
        <v/>
      </c>
      <c r="I1814" s="25">
        <f>IF(AND(A1814="",C1814="",D1814=""),"",IF(A1814="","Date missing",IF(NOT(ISNUMBER(A1814)),"Date not recognized",IF(YEAR(A1814)&lt;&gt;Settings!$C$4,"Not in "&amp;Settings!$C$4,IF(C1814="","Category missing",IF(H1814="",IF(COUNTIF(Categories!$A$6:$A$65,C1814)&gt;0,"Category has no type","Category not in list"),IF(D1814="","Amount missing",IF(NOT(ISNUMBER(D1814)),"Amount is not a number",IF(F1814="","",IF(ISNA(MATCH(F1814,Lists!$G$2:$G$25,0)),"Goal / fund not in list",IF(H1814="Income","Fund tag ignored on income","")))))))))))</f>
        <v/>
      </c>
    </row>
    <row r="1815">
      <c r="A1815" s="27" t="n"/>
      <c r="B1815" s="23" t="n"/>
      <c r="C1815" s="23" t="n"/>
      <c r="D1815" s="28" t="n"/>
      <c r="E1815" s="23" t="n"/>
      <c r="F1815" s="23" t="n"/>
      <c r="G1815" s="23" t="n"/>
      <c r="H1815" s="29">
        <f>IF(C1815="","",IFERROR(INDEX(Categories!$B$6:$B$65,MATCH(C1815,Categories!$A$6:$A$65,0))&amp;"",""))</f>
        <v/>
      </c>
      <c r="I1815" s="25">
        <f>IF(AND(A1815="",C1815="",D1815=""),"",IF(A1815="","Date missing",IF(NOT(ISNUMBER(A1815)),"Date not recognized",IF(YEAR(A1815)&lt;&gt;Settings!$C$4,"Not in "&amp;Settings!$C$4,IF(C1815="","Category missing",IF(H1815="",IF(COUNTIF(Categories!$A$6:$A$65,C1815)&gt;0,"Category has no type","Category not in list"),IF(D1815="","Amount missing",IF(NOT(ISNUMBER(D1815)),"Amount is not a number",IF(F1815="","",IF(ISNA(MATCH(F1815,Lists!$G$2:$G$25,0)),"Goal / fund not in list",IF(H1815="Income","Fund tag ignored on income","")))))))))))</f>
        <v/>
      </c>
    </row>
    <row r="1816">
      <c r="A1816" s="27" t="n"/>
      <c r="B1816" s="23" t="n"/>
      <c r="C1816" s="23" t="n"/>
      <c r="D1816" s="28" t="n"/>
      <c r="E1816" s="23" t="n"/>
      <c r="F1816" s="23" t="n"/>
      <c r="G1816" s="23" t="n"/>
      <c r="H1816" s="29">
        <f>IF(C1816="","",IFERROR(INDEX(Categories!$B$6:$B$65,MATCH(C1816,Categories!$A$6:$A$65,0))&amp;"",""))</f>
        <v/>
      </c>
      <c r="I1816" s="25">
        <f>IF(AND(A1816="",C1816="",D1816=""),"",IF(A1816="","Date missing",IF(NOT(ISNUMBER(A1816)),"Date not recognized",IF(YEAR(A1816)&lt;&gt;Settings!$C$4,"Not in "&amp;Settings!$C$4,IF(C1816="","Category missing",IF(H1816="",IF(COUNTIF(Categories!$A$6:$A$65,C1816)&gt;0,"Category has no type","Category not in list"),IF(D1816="","Amount missing",IF(NOT(ISNUMBER(D1816)),"Amount is not a number",IF(F1816="","",IF(ISNA(MATCH(F1816,Lists!$G$2:$G$25,0)),"Goal / fund not in list",IF(H1816="Income","Fund tag ignored on income","")))))))))))</f>
        <v/>
      </c>
    </row>
    <row r="1817">
      <c r="A1817" s="27" t="n"/>
      <c r="B1817" s="23" t="n"/>
      <c r="C1817" s="23" t="n"/>
      <c r="D1817" s="28" t="n"/>
      <c r="E1817" s="23" t="n"/>
      <c r="F1817" s="23" t="n"/>
      <c r="G1817" s="23" t="n"/>
      <c r="H1817" s="29">
        <f>IF(C1817="","",IFERROR(INDEX(Categories!$B$6:$B$65,MATCH(C1817,Categories!$A$6:$A$65,0))&amp;"",""))</f>
        <v/>
      </c>
      <c r="I1817" s="25">
        <f>IF(AND(A1817="",C1817="",D1817=""),"",IF(A1817="","Date missing",IF(NOT(ISNUMBER(A1817)),"Date not recognized",IF(YEAR(A1817)&lt;&gt;Settings!$C$4,"Not in "&amp;Settings!$C$4,IF(C1817="","Category missing",IF(H1817="",IF(COUNTIF(Categories!$A$6:$A$65,C1817)&gt;0,"Category has no type","Category not in list"),IF(D1817="","Amount missing",IF(NOT(ISNUMBER(D1817)),"Amount is not a number",IF(F1817="","",IF(ISNA(MATCH(F1817,Lists!$G$2:$G$25,0)),"Goal / fund not in list",IF(H1817="Income","Fund tag ignored on income","")))))))))))</f>
        <v/>
      </c>
    </row>
    <row r="1818">
      <c r="A1818" s="27" t="n"/>
      <c r="B1818" s="23" t="n"/>
      <c r="C1818" s="23" t="n"/>
      <c r="D1818" s="28" t="n"/>
      <c r="E1818" s="23" t="n"/>
      <c r="F1818" s="23" t="n"/>
      <c r="G1818" s="23" t="n"/>
      <c r="H1818" s="29">
        <f>IF(C1818="","",IFERROR(INDEX(Categories!$B$6:$B$65,MATCH(C1818,Categories!$A$6:$A$65,0))&amp;"",""))</f>
        <v/>
      </c>
      <c r="I1818" s="25">
        <f>IF(AND(A1818="",C1818="",D1818=""),"",IF(A1818="","Date missing",IF(NOT(ISNUMBER(A1818)),"Date not recognized",IF(YEAR(A1818)&lt;&gt;Settings!$C$4,"Not in "&amp;Settings!$C$4,IF(C1818="","Category missing",IF(H1818="",IF(COUNTIF(Categories!$A$6:$A$65,C1818)&gt;0,"Category has no type","Category not in list"),IF(D1818="","Amount missing",IF(NOT(ISNUMBER(D1818)),"Amount is not a number",IF(F1818="","",IF(ISNA(MATCH(F1818,Lists!$G$2:$G$25,0)),"Goal / fund not in list",IF(H1818="Income","Fund tag ignored on income","")))))))))))</f>
        <v/>
      </c>
    </row>
    <row r="1819">
      <c r="A1819" s="27" t="n"/>
      <c r="B1819" s="23" t="n"/>
      <c r="C1819" s="23" t="n"/>
      <c r="D1819" s="28" t="n"/>
      <c r="E1819" s="23" t="n"/>
      <c r="F1819" s="23" t="n"/>
      <c r="G1819" s="23" t="n"/>
      <c r="H1819" s="29">
        <f>IF(C1819="","",IFERROR(INDEX(Categories!$B$6:$B$65,MATCH(C1819,Categories!$A$6:$A$65,0))&amp;"",""))</f>
        <v/>
      </c>
      <c r="I1819" s="25">
        <f>IF(AND(A1819="",C1819="",D1819=""),"",IF(A1819="","Date missing",IF(NOT(ISNUMBER(A1819)),"Date not recognized",IF(YEAR(A1819)&lt;&gt;Settings!$C$4,"Not in "&amp;Settings!$C$4,IF(C1819="","Category missing",IF(H1819="",IF(COUNTIF(Categories!$A$6:$A$65,C1819)&gt;0,"Category has no type","Category not in list"),IF(D1819="","Amount missing",IF(NOT(ISNUMBER(D1819)),"Amount is not a number",IF(F1819="","",IF(ISNA(MATCH(F1819,Lists!$G$2:$G$25,0)),"Goal / fund not in list",IF(H1819="Income","Fund tag ignored on income","")))))))))))</f>
        <v/>
      </c>
    </row>
    <row r="1820">
      <c r="A1820" s="27" t="n"/>
      <c r="B1820" s="23" t="n"/>
      <c r="C1820" s="23" t="n"/>
      <c r="D1820" s="28" t="n"/>
      <c r="E1820" s="23" t="n"/>
      <c r="F1820" s="23" t="n"/>
      <c r="G1820" s="23" t="n"/>
      <c r="H1820" s="29">
        <f>IF(C1820="","",IFERROR(INDEX(Categories!$B$6:$B$65,MATCH(C1820,Categories!$A$6:$A$65,0))&amp;"",""))</f>
        <v/>
      </c>
      <c r="I1820" s="25">
        <f>IF(AND(A1820="",C1820="",D1820=""),"",IF(A1820="","Date missing",IF(NOT(ISNUMBER(A1820)),"Date not recognized",IF(YEAR(A1820)&lt;&gt;Settings!$C$4,"Not in "&amp;Settings!$C$4,IF(C1820="","Category missing",IF(H1820="",IF(COUNTIF(Categories!$A$6:$A$65,C1820)&gt;0,"Category has no type","Category not in list"),IF(D1820="","Amount missing",IF(NOT(ISNUMBER(D1820)),"Amount is not a number",IF(F1820="","",IF(ISNA(MATCH(F1820,Lists!$G$2:$G$25,0)),"Goal / fund not in list",IF(H1820="Income","Fund tag ignored on income","")))))))))))</f>
        <v/>
      </c>
    </row>
    <row r="1821">
      <c r="A1821" s="27" t="n"/>
      <c r="B1821" s="23" t="n"/>
      <c r="C1821" s="23" t="n"/>
      <c r="D1821" s="28" t="n"/>
      <c r="E1821" s="23" t="n"/>
      <c r="F1821" s="23" t="n"/>
      <c r="G1821" s="23" t="n"/>
      <c r="H1821" s="29">
        <f>IF(C1821="","",IFERROR(INDEX(Categories!$B$6:$B$65,MATCH(C1821,Categories!$A$6:$A$65,0))&amp;"",""))</f>
        <v/>
      </c>
      <c r="I1821" s="25">
        <f>IF(AND(A1821="",C1821="",D1821=""),"",IF(A1821="","Date missing",IF(NOT(ISNUMBER(A1821)),"Date not recognized",IF(YEAR(A1821)&lt;&gt;Settings!$C$4,"Not in "&amp;Settings!$C$4,IF(C1821="","Category missing",IF(H1821="",IF(COUNTIF(Categories!$A$6:$A$65,C1821)&gt;0,"Category has no type","Category not in list"),IF(D1821="","Amount missing",IF(NOT(ISNUMBER(D1821)),"Amount is not a number",IF(F1821="","",IF(ISNA(MATCH(F1821,Lists!$G$2:$G$25,0)),"Goal / fund not in list",IF(H1821="Income","Fund tag ignored on income","")))))))))))</f>
        <v/>
      </c>
    </row>
    <row r="1822">
      <c r="A1822" s="27" t="n"/>
      <c r="B1822" s="23" t="n"/>
      <c r="C1822" s="23" t="n"/>
      <c r="D1822" s="28" t="n"/>
      <c r="E1822" s="23" t="n"/>
      <c r="F1822" s="23" t="n"/>
      <c r="G1822" s="23" t="n"/>
      <c r="H1822" s="29">
        <f>IF(C1822="","",IFERROR(INDEX(Categories!$B$6:$B$65,MATCH(C1822,Categories!$A$6:$A$65,0))&amp;"",""))</f>
        <v/>
      </c>
      <c r="I1822" s="25">
        <f>IF(AND(A1822="",C1822="",D1822=""),"",IF(A1822="","Date missing",IF(NOT(ISNUMBER(A1822)),"Date not recognized",IF(YEAR(A1822)&lt;&gt;Settings!$C$4,"Not in "&amp;Settings!$C$4,IF(C1822="","Category missing",IF(H1822="",IF(COUNTIF(Categories!$A$6:$A$65,C1822)&gt;0,"Category has no type","Category not in list"),IF(D1822="","Amount missing",IF(NOT(ISNUMBER(D1822)),"Amount is not a number",IF(F1822="","",IF(ISNA(MATCH(F1822,Lists!$G$2:$G$25,0)),"Goal / fund not in list",IF(H1822="Income","Fund tag ignored on income","")))))))))))</f>
        <v/>
      </c>
    </row>
    <row r="1823">
      <c r="A1823" s="27" t="n"/>
      <c r="B1823" s="23" t="n"/>
      <c r="C1823" s="23" t="n"/>
      <c r="D1823" s="28" t="n"/>
      <c r="E1823" s="23" t="n"/>
      <c r="F1823" s="23" t="n"/>
      <c r="G1823" s="23" t="n"/>
      <c r="H1823" s="29">
        <f>IF(C1823="","",IFERROR(INDEX(Categories!$B$6:$B$65,MATCH(C1823,Categories!$A$6:$A$65,0))&amp;"",""))</f>
        <v/>
      </c>
      <c r="I1823" s="25">
        <f>IF(AND(A1823="",C1823="",D1823=""),"",IF(A1823="","Date missing",IF(NOT(ISNUMBER(A1823)),"Date not recognized",IF(YEAR(A1823)&lt;&gt;Settings!$C$4,"Not in "&amp;Settings!$C$4,IF(C1823="","Category missing",IF(H1823="",IF(COUNTIF(Categories!$A$6:$A$65,C1823)&gt;0,"Category has no type","Category not in list"),IF(D1823="","Amount missing",IF(NOT(ISNUMBER(D1823)),"Amount is not a number",IF(F1823="","",IF(ISNA(MATCH(F1823,Lists!$G$2:$G$25,0)),"Goal / fund not in list",IF(H1823="Income","Fund tag ignored on income","")))))))))))</f>
        <v/>
      </c>
    </row>
    <row r="1824">
      <c r="A1824" s="27" t="n"/>
      <c r="B1824" s="23" t="n"/>
      <c r="C1824" s="23" t="n"/>
      <c r="D1824" s="28" t="n"/>
      <c r="E1824" s="23" t="n"/>
      <c r="F1824" s="23" t="n"/>
      <c r="G1824" s="23" t="n"/>
      <c r="H1824" s="29">
        <f>IF(C1824="","",IFERROR(INDEX(Categories!$B$6:$B$65,MATCH(C1824,Categories!$A$6:$A$65,0))&amp;"",""))</f>
        <v/>
      </c>
      <c r="I1824" s="25">
        <f>IF(AND(A1824="",C1824="",D1824=""),"",IF(A1824="","Date missing",IF(NOT(ISNUMBER(A1824)),"Date not recognized",IF(YEAR(A1824)&lt;&gt;Settings!$C$4,"Not in "&amp;Settings!$C$4,IF(C1824="","Category missing",IF(H1824="",IF(COUNTIF(Categories!$A$6:$A$65,C1824)&gt;0,"Category has no type","Category not in list"),IF(D1824="","Amount missing",IF(NOT(ISNUMBER(D1824)),"Amount is not a number",IF(F1824="","",IF(ISNA(MATCH(F1824,Lists!$G$2:$G$25,0)),"Goal / fund not in list",IF(H1824="Income","Fund tag ignored on income","")))))))))))</f>
        <v/>
      </c>
    </row>
    <row r="1825">
      <c r="A1825" s="27" t="n"/>
      <c r="B1825" s="23" t="n"/>
      <c r="C1825" s="23" t="n"/>
      <c r="D1825" s="28" t="n"/>
      <c r="E1825" s="23" t="n"/>
      <c r="F1825" s="23" t="n"/>
      <c r="G1825" s="23" t="n"/>
      <c r="H1825" s="29">
        <f>IF(C1825="","",IFERROR(INDEX(Categories!$B$6:$B$65,MATCH(C1825,Categories!$A$6:$A$65,0))&amp;"",""))</f>
        <v/>
      </c>
      <c r="I1825" s="25">
        <f>IF(AND(A1825="",C1825="",D1825=""),"",IF(A1825="","Date missing",IF(NOT(ISNUMBER(A1825)),"Date not recognized",IF(YEAR(A1825)&lt;&gt;Settings!$C$4,"Not in "&amp;Settings!$C$4,IF(C1825="","Category missing",IF(H1825="",IF(COUNTIF(Categories!$A$6:$A$65,C1825)&gt;0,"Category has no type","Category not in list"),IF(D1825="","Amount missing",IF(NOT(ISNUMBER(D1825)),"Amount is not a number",IF(F1825="","",IF(ISNA(MATCH(F1825,Lists!$G$2:$G$25,0)),"Goal / fund not in list",IF(H1825="Income","Fund tag ignored on income","")))))))))))</f>
        <v/>
      </c>
    </row>
    <row r="1826">
      <c r="A1826" s="27" t="n"/>
      <c r="B1826" s="23" t="n"/>
      <c r="C1826" s="23" t="n"/>
      <c r="D1826" s="28" t="n"/>
      <c r="E1826" s="23" t="n"/>
      <c r="F1826" s="23" t="n"/>
      <c r="G1826" s="23" t="n"/>
      <c r="H1826" s="29">
        <f>IF(C1826="","",IFERROR(INDEX(Categories!$B$6:$B$65,MATCH(C1826,Categories!$A$6:$A$65,0))&amp;"",""))</f>
        <v/>
      </c>
      <c r="I1826" s="25">
        <f>IF(AND(A1826="",C1826="",D1826=""),"",IF(A1826="","Date missing",IF(NOT(ISNUMBER(A1826)),"Date not recognized",IF(YEAR(A1826)&lt;&gt;Settings!$C$4,"Not in "&amp;Settings!$C$4,IF(C1826="","Category missing",IF(H1826="",IF(COUNTIF(Categories!$A$6:$A$65,C1826)&gt;0,"Category has no type","Category not in list"),IF(D1826="","Amount missing",IF(NOT(ISNUMBER(D1826)),"Amount is not a number",IF(F1826="","",IF(ISNA(MATCH(F1826,Lists!$G$2:$G$25,0)),"Goal / fund not in list",IF(H1826="Income","Fund tag ignored on income","")))))))))))</f>
        <v/>
      </c>
    </row>
    <row r="1827">
      <c r="A1827" s="27" t="n"/>
      <c r="B1827" s="23" t="n"/>
      <c r="C1827" s="23" t="n"/>
      <c r="D1827" s="28" t="n"/>
      <c r="E1827" s="23" t="n"/>
      <c r="F1827" s="23" t="n"/>
      <c r="G1827" s="23" t="n"/>
      <c r="H1827" s="29">
        <f>IF(C1827="","",IFERROR(INDEX(Categories!$B$6:$B$65,MATCH(C1827,Categories!$A$6:$A$65,0))&amp;"",""))</f>
        <v/>
      </c>
      <c r="I1827" s="25">
        <f>IF(AND(A1827="",C1827="",D1827=""),"",IF(A1827="","Date missing",IF(NOT(ISNUMBER(A1827)),"Date not recognized",IF(YEAR(A1827)&lt;&gt;Settings!$C$4,"Not in "&amp;Settings!$C$4,IF(C1827="","Category missing",IF(H1827="",IF(COUNTIF(Categories!$A$6:$A$65,C1827)&gt;0,"Category has no type","Category not in list"),IF(D1827="","Amount missing",IF(NOT(ISNUMBER(D1827)),"Amount is not a number",IF(F1827="","",IF(ISNA(MATCH(F1827,Lists!$G$2:$G$25,0)),"Goal / fund not in list",IF(H1827="Income","Fund tag ignored on income","")))))))))))</f>
        <v/>
      </c>
    </row>
    <row r="1828">
      <c r="A1828" s="27" t="n"/>
      <c r="B1828" s="23" t="n"/>
      <c r="C1828" s="23" t="n"/>
      <c r="D1828" s="28" t="n"/>
      <c r="E1828" s="23" t="n"/>
      <c r="F1828" s="23" t="n"/>
      <c r="G1828" s="23" t="n"/>
      <c r="H1828" s="29">
        <f>IF(C1828="","",IFERROR(INDEX(Categories!$B$6:$B$65,MATCH(C1828,Categories!$A$6:$A$65,0))&amp;"",""))</f>
        <v/>
      </c>
      <c r="I1828" s="25">
        <f>IF(AND(A1828="",C1828="",D1828=""),"",IF(A1828="","Date missing",IF(NOT(ISNUMBER(A1828)),"Date not recognized",IF(YEAR(A1828)&lt;&gt;Settings!$C$4,"Not in "&amp;Settings!$C$4,IF(C1828="","Category missing",IF(H1828="",IF(COUNTIF(Categories!$A$6:$A$65,C1828)&gt;0,"Category has no type","Category not in list"),IF(D1828="","Amount missing",IF(NOT(ISNUMBER(D1828)),"Amount is not a number",IF(F1828="","",IF(ISNA(MATCH(F1828,Lists!$G$2:$G$25,0)),"Goal / fund not in list",IF(H1828="Income","Fund tag ignored on income","")))))))))))</f>
        <v/>
      </c>
    </row>
    <row r="1829">
      <c r="A1829" s="27" t="n"/>
      <c r="B1829" s="23" t="n"/>
      <c r="C1829" s="23" t="n"/>
      <c r="D1829" s="28" t="n"/>
      <c r="E1829" s="23" t="n"/>
      <c r="F1829" s="23" t="n"/>
      <c r="G1829" s="23" t="n"/>
      <c r="H1829" s="29">
        <f>IF(C1829="","",IFERROR(INDEX(Categories!$B$6:$B$65,MATCH(C1829,Categories!$A$6:$A$65,0))&amp;"",""))</f>
        <v/>
      </c>
      <c r="I1829" s="25">
        <f>IF(AND(A1829="",C1829="",D1829=""),"",IF(A1829="","Date missing",IF(NOT(ISNUMBER(A1829)),"Date not recognized",IF(YEAR(A1829)&lt;&gt;Settings!$C$4,"Not in "&amp;Settings!$C$4,IF(C1829="","Category missing",IF(H1829="",IF(COUNTIF(Categories!$A$6:$A$65,C1829)&gt;0,"Category has no type","Category not in list"),IF(D1829="","Amount missing",IF(NOT(ISNUMBER(D1829)),"Amount is not a number",IF(F1829="","",IF(ISNA(MATCH(F1829,Lists!$G$2:$G$25,0)),"Goal / fund not in list",IF(H1829="Income","Fund tag ignored on income","")))))))))))</f>
        <v/>
      </c>
    </row>
    <row r="1830">
      <c r="A1830" s="27" t="n"/>
      <c r="B1830" s="23" t="n"/>
      <c r="C1830" s="23" t="n"/>
      <c r="D1830" s="28" t="n"/>
      <c r="E1830" s="23" t="n"/>
      <c r="F1830" s="23" t="n"/>
      <c r="G1830" s="23" t="n"/>
      <c r="H1830" s="29">
        <f>IF(C1830="","",IFERROR(INDEX(Categories!$B$6:$B$65,MATCH(C1830,Categories!$A$6:$A$65,0))&amp;"",""))</f>
        <v/>
      </c>
      <c r="I1830" s="25">
        <f>IF(AND(A1830="",C1830="",D1830=""),"",IF(A1830="","Date missing",IF(NOT(ISNUMBER(A1830)),"Date not recognized",IF(YEAR(A1830)&lt;&gt;Settings!$C$4,"Not in "&amp;Settings!$C$4,IF(C1830="","Category missing",IF(H1830="",IF(COUNTIF(Categories!$A$6:$A$65,C1830)&gt;0,"Category has no type","Category not in list"),IF(D1830="","Amount missing",IF(NOT(ISNUMBER(D1830)),"Amount is not a number",IF(F1830="","",IF(ISNA(MATCH(F1830,Lists!$G$2:$G$25,0)),"Goal / fund not in list",IF(H1830="Income","Fund tag ignored on income","")))))))))))</f>
        <v/>
      </c>
    </row>
    <row r="1831">
      <c r="A1831" s="27" t="n"/>
      <c r="B1831" s="23" t="n"/>
      <c r="C1831" s="23" t="n"/>
      <c r="D1831" s="28" t="n"/>
      <c r="E1831" s="23" t="n"/>
      <c r="F1831" s="23" t="n"/>
      <c r="G1831" s="23" t="n"/>
      <c r="H1831" s="29">
        <f>IF(C1831="","",IFERROR(INDEX(Categories!$B$6:$B$65,MATCH(C1831,Categories!$A$6:$A$65,0))&amp;"",""))</f>
        <v/>
      </c>
      <c r="I1831" s="25">
        <f>IF(AND(A1831="",C1831="",D1831=""),"",IF(A1831="","Date missing",IF(NOT(ISNUMBER(A1831)),"Date not recognized",IF(YEAR(A1831)&lt;&gt;Settings!$C$4,"Not in "&amp;Settings!$C$4,IF(C1831="","Category missing",IF(H1831="",IF(COUNTIF(Categories!$A$6:$A$65,C1831)&gt;0,"Category has no type","Category not in list"),IF(D1831="","Amount missing",IF(NOT(ISNUMBER(D1831)),"Amount is not a number",IF(F1831="","",IF(ISNA(MATCH(F1831,Lists!$G$2:$G$25,0)),"Goal / fund not in list",IF(H1831="Income","Fund tag ignored on income","")))))))))))</f>
        <v/>
      </c>
    </row>
    <row r="1832">
      <c r="A1832" s="27" t="n"/>
      <c r="B1832" s="23" t="n"/>
      <c r="C1832" s="23" t="n"/>
      <c r="D1832" s="28" t="n"/>
      <c r="E1832" s="23" t="n"/>
      <c r="F1832" s="23" t="n"/>
      <c r="G1832" s="23" t="n"/>
      <c r="H1832" s="29">
        <f>IF(C1832="","",IFERROR(INDEX(Categories!$B$6:$B$65,MATCH(C1832,Categories!$A$6:$A$65,0))&amp;"",""))</f>
        <v/>
      </c>
      <c r="I1832" s="25">
        <f>IF(AND(A1832="",C1832="",D1832=""),"",IF(A1832="","Date missing",IF(NOT(ISNUMBER(A1832)),"Date not recognized",IF(YEAR(A1832)&lt;&gt;Settings!$C$4,"Not in "&amp;Settings!$C$4,IF(C1832="","Category missing",IF(H1832="",IF(COUNTIF(Categories!$A$6:$A$65,C1832)&gt;0,"Category has no type","Category not in list"),IF(D1832="","Amount missing",IF(NOT(ISNUMBER(D1832)),"Amount is not a number",IF(F1832="","",IF(ISNA(MATCH(F1832,Lists!$G$2:$G$25,0)),"Goal / fund not in list",IF(H1832="Income","Fund tag ignored on income","")))))))))))</f>
        <v/>
      </c>
    </row>
    <row r="1833">
      <c r="A1833" s="27" t="n"/>
      <c r="B1833" s="23" t="n"/>
      <c r="C1833" s="23" t="n"/>
      <c r="D1833" s="28" t="n"/>
      <c r="E1833" s="23" t="n"/>
      <c r="F1833" s="23" t="n"/>
      <c r="G1833" s="23" t="n"/>
      <c r="H1833" s="29">
        <f>IF(C1833="","",IFERROR(INDEX(Categories!$B$6:$B$65,MATCH(C1833,Categories!$A$6:$A$65,0))&amp;"",""))</f>
        <v/>
      </c>
      <c r="I1833" s="25">
        <f>IF(AND(A1833="",C1833="",D1833=""),"",IF(A1833="","Date missing",IF(NOT(ISNUMBER(A1833)),"Date not recognized",IF(YEAR(A1833)&lt;&gt;Settings!$C$4,"Not in "&amp;Settings!$C$4,IF(C1833="","Category missing",IF(H1833="",IF(COUNTIF(Categories!$A$6:$A$65,C1833)&gt;0,"Category has no type","Category not in list"),IF(D1833="","Amount missing",IF(NOT(ISNUMBER(D1833)),"Amount is not a number",IF(F1833="","",IF(ISNA(MATCH(F1833,Lists!$G$2:$G$25,0)),"Goal / fund not in list",IF(H1833="Income","Fund tag ignored on income","")))))))))))</f>
        <v/>
      </c>
    </row>
    <row r="1834">
      <c r="A1834" s="27" t="n"/>
      <c r="B1834" s="23" t="n"/>
      <c r="C1834" s="23" t="n"/>
      <c r="D1834" s="28" t="n"/>
      <c r="E1834" s="23" t="n"/>
      <c r="F1834" s="23" t="n"/>
      <c r="G1834" s="23" t="n"/>
      <c r="H1834" s="29">
        <f>IF(C1834="","",IFERROR(INDEX(Categories!$B$6:$B$65,MATCH(C1834,Categories!$A$6:$A$65,0))&amp;"",""))</f>
        <v/>
      </c>
      <c r="I1834" s="25">
        <f>IF(AND(A1834="",C1834="",D1834=""),"",IF(A1834="","Date missing",IF(NOT(ISNUMBER(A1834)),"Date not recognized",IF(YEAR(A1834)&lt;&gt;Settings!$C$4,"Not in "&amp;Settings!$C$4,IF(C1834="","Category missing",IF(H1834="",IF(COUNTIF(Categories!$A$6:$A$65,C1834)&gt;0,"Category has no type","Category not in list"),IF(D1834="","Amount missing",IF(NOT(ISNUMBER(D1834)),"Amount is not a number",IF(F1834="","",IF(ISNA(MATCH(F1834,Lists!$G$2:$G$25,0)),"Goal / fund not in list",IF(H1834="Income","Fund tag ignored on income","")))))))))))</f>
        <v/>
      </c>
    </row>
    <row r="1835">
      <c r="A1835" s="27" t="n"/>
      <c r="B1835" s="23" t="n"/>
      <c r="C1835" s="23" t="n"/>
      <c r="D1835" s="28" t="n"/>
      <c r="E1835" s="23" t="n"/>
      <c r="F1835" s="23" t="n"/>
      <c r="G1835" s="23" t="n"/>
      <c r="H1835" s="29">
        <f>IF(C1835="","",IFERROR(INDEX(Categories!$B$6:$B$65,MATCH(C1835,Categories!$A$6:$A$65,0))&amp;"",""))</f>
        <v/>
      </c>
      <c r="I1835" s="25">
        <f>IF(AND(A1835="",C1835="",D1835=""),"",IF(A1835="","Date missing",IF(NOT(ISNUMBER(A1835)),"Date not recognized",IF(YEAR(A1835)&lt;&gt;Settings!$C$4,"Not in "&amp;Settings!$C$4,IF(C1835="","Category missing",IF(H1835="",IF(COUNTIF(Categories!$A$6:$A$65,C1835)&gt;0,"Category has no type","Category not in list"),IF(D1835="","Amount missing",IF(NOT(ISNUMBER(D1835)),"Amount is not a number",IF(F1835="","",IF(ISNA(MATCH(F1835,Lists!$G$2:$G$25,0)),"Goal / fund not in list",IF(H1835="Income","Fund tag ignored on income","")))))))))))</f>
        <v/>
      </c>
    </row>
    <row r="1836">
      <c r="A1836" s="27" t="n"/>
      <c r="B1836" s="23" t="n"/>
      <c r="C1836" s="23" t="n"/>
      <c r="D1836" s="28" t="n"/>
      <c r="E1836" s="23" t="n"/>
      <c r="F1836" s="23" t="n"/>
      <c r="G1836" s="23" t="n"/>
      <c r="H1836" s="29">
        <f>IF(C1836="","",IFERROR(INDEX(Categories!$B$6:$B$65,MATCH(C1836,Categories!$A$6:$A$65,0))&amp;"",""))</f>
        <v/>
      </c>
      <c r="I1836" s="25">
        <f>IF(AND(A1836="",C1836="",D1836=""),"",IF(A1836="","Date missing",IF(NOT(ISNUMBER(A1836)),"Date not recognized",IF(YEAR(A1836)&lt;&gt;Settings!$C$4,"Not in "&amp;Settings!$C$4,IF(C1836="","Category missing",IF(H1836="",IF(COUNTIF(Categories!$A$6:$A$65,C1836)&gt;0,"Category has no type","Category not in list"),IF(D1836="","Amount missing",IF(NOT(ISNUMBER(D1836)),"Amount is not a number",IF(F1836="","",IF(ISNA(MATCH(F1836,Lists!$G$2:$G$25,0)),"Goal / fund not in list",IF(H1836="Income","Fund tag ignored on income","")))))))))))</f>
        <v/>
      </c>
    </row>
    <row r="1837">
      <c r="A1837" s="27" t="n"/>
      <c r="B1837" s="23" t="n"/>
      <c r="C1837" s="23" t="n"/>
      <c r="D1837" s="28" t="n"/>
      <c r="E1837" s="23" t="n"/>
      <c r="F1837" s="23" t="n"/>
      <c r="G1837" s="23" t="n"/>
      <c r="H1837" s="29">
        <f>IF(C1837="","",IFERROR(INDEX(Categories!$B$6:$B$65,MATCH(C1837,Categories!$A$6:$A$65,0))&amp;"",""))</f>
        <v/>
      </c>
      <c r="I1837" s="25">
        <f>IF(AND(A1837="",C1837="",D1837=""),"",IF(A1837="","Date missing",IF(NOT(ISNUMBER(A1837)),"Date not recognized",IF(YEAR(A1837)&lt;&gt;Settings!$C$4,"Not in "&amp;Settings!$C$4,IF(C1837="","Category missing",IF(H1837="",IF(COUNTIF(Categories!$A$6:$A$65,C1837)&gt;0,"Category has no type","Category not in list"),IF(D1837="","Amount missing",IF(NOT(ISNUMBER(D1837)),"Amount is not a number",IF(F1837="","",IF(ISNA(MATCH(F1837,Lists!$G$2:$G$25,0)),"Goal / fund not in list",IF(H1837="Income","Fund tag ignored on income","")))))))))))</f>
        <v/>
      </c>
    </row>
    <row r="1838">
      <c r="A1838" s="27" t="n"/>
      <c r="B1838" s="23" t="n"/>
      <c r="C1838" s="23" t="n"/>
      <c r="D1838" s="28" t="n"/>
      <c r="E1838" s="23" t="n"/>
      <c r="F1838" s="23" t="n"/>
      <c r="G1838" s="23" t="n"/>
      <c r="H1838" s="29">
        <f>IF(C1838="","",IFERROR(INDEX(Categories!$B$6:$B$65,MATCH(C1838,Categories!$A$6:$A$65,0))&amp;"",""))</f>
        <v/>
      </c>
      <c r="I1838" s="25">
        <f>IF(AND(A1838="",C1838="",D1838=""),"",IF(A1838="","Date missing",IF(NOT(ISNUMBER(A1838)),"Date not recognized",IF(YEAR(A1838)&lt;&gt;Settings!$C$4,"Not in "&amp;Settings!$C$4,IF(C1838="","Category missing",IF(H1838="",IF(COUNTIF(Categories!$A$6:$A$65,C1838)&gt;0,"Category has no type","Category not in list"),IF(D1838="","Amount missing",IF(NOT(ISNUMBER(D1838)),"Amount is not a number",IF(F1838="","",IF(ISNA(MATCH(F1838,Lists!$G$2:$G$25,0)),"Goal / fund not in list",IF(H1838="Income","Fund tag ignored on income","")))))))))))</f>
        <v/>
      </c>
    </row>
    <row r="1839">
      <c r="A1839" s="27" t="n"/>
      <c r="B1839" s="23" t="n"/>
      <c r="C1839" s="23" t="n"/>
      <c r="D1839" s="28" t="n"/>
      <c r="E1839" s="23" t="n"/>
      <c r="F1839" s="23" t="n"/>
      <c r="G1839" s="23" t="n"/>
      <c r="H1839" s="29">
        <f>IF(C1839="","",IFERROR(INDEX(Categories!$B$6:$B$65,MATCH(C1839,Categories!$A$6:$A$65,0))&amp;"",""))</f>
        <v/>
      </c>
      <c r="I1839" s="25">
        <f>IF(AND(A1839="",C1839="",D1839=""),"",IF(A1839="","Date missing",IF(NOT(ISNUMBER(A1839)),"Date not recognized",IF(YEAR(A1839)&lt;&gt;Settings!$C$4,"Not in "&amp;Settings!$C$4,IF(C1839="","Category missing",IF(H1839="",IF(COUNTIF(Categories!$A$6:$A$65,C1839)&gt;0,"Category has no type","Category not in list"),IF(D1839="","Amount missing",IF(NOT(ISNUMBER(D1839)),"Amount is not a number",IF(F1839="","",IF(ISNA(MATCH(F1839,Lists!$G$2:$G$25,0)),"Goal / fund not in list",IF(H1839="Income","Fund tag ignored on income","")))))))))))</f>
        <v/>
      </c>
    </row>
    <row r="1840">
      <c r="A1840" s="27" t="n"/>
      <c r="B1840" s="23" t="n"/>
      <c r="C1840" s="23" t="n"/>
      <c r="D1840" s="28" t="n"/>
      <c r="E1840" s="23" t="n"/>
      <c r="F1840" s="23" t="n"/>
      <c r="G1840" s="23" t="n"/>
      <c r="H1840" s="29">
        <f>IF(C1840="","",IFERROR(INDEX(Categories!$B$6:$B$65,MATCH(C1840,Categories!$A$6:$A$65,0))&amp;"",""))</f>
        <v/>
      </c>
      <c r="I1840" s="25">
        <f>IF(AND(A1840="",C1840="",D1840=""),"",IF(A1840="","Date missing",IF(NOT(ISNUMBER(A1840)),"Date not recognized",IF(YEAR(A1840)&lt;&gt;Settings!$C$4,"Not in "&amp;Settings!$C$4,IF(C1840="","Category missing",IF(H1840="",IF(COUNTIF(Categories!$A$6:$A$65,C1840)&gt;0,"Category has no type","Category not in list"),IF(D1840="","Amount missing",IF(NOT(ISNUMBER(D1840)),"Amount is not a number",IF(F1840="","",IF(ISNA(MATCH(F1840,Lists!$G$2:$G$25,0)),"Goal / fund not in list",IF(H1840="Income","Fund tag ignored on income","")))))))))))</f>
        <v/>
      </c>
    </row>
    <row r="1841">
      <c r="A1841" s="27" t="n"/>
      <c r="B1841" s="23" t="n"/>
      <c r="C1841" s="23" t="n"/>
      <c r="D1841" s="28" t="n"/>
      <c r="E1841" s="23" t="n"/>
      <c r="F1841" s="23" t="n"/>
      <c r="G1841" s="23" t="n"/>
      <c r="H1841" s="29">
        <f>IF(C1841="","",IFERROR(INDEX(Categories!$B$6:$B$65,MATCH(C1841,Categories!$A$6:$A$65,0))&amp;"",""))</f>
        <v/>
      </c>
      <c r="I1841" s="25">
        <f>IF(AND(A1841="",C1841="",D1841=""),"",IF(A1841="","Date missing",IF(NOT(ISNUMBER(A1841)),"Date not recognized",IF(YEAR(A1841)&lt;&gt;Settings!$C$4,"Not in "&amp;Settings!$C$4,IF(C1841="","Category missing",IF(H1841="",IF(COUNTIF(Categories!$A$6:$A$65,C1841)&gt;0,"Category has no type","Category not in list"),IF(D1841="","Amount missing",IF(NOT(ISNUMBER(D1841)),"Amount is not a number",IF(F1841="","",IF(ISNA(MATCH(F1841,Lists!$G$2:$G$25,0)),"Goal / fund not in list",IF(H1841="Income","Fund tag ignored on income","")))))))))))</f>
        <v/>
      </c>
    </row>
    <row r="1842">
      <c r="A1842" s="27" t="n"/>
      <c r="B1842" s="23" t="n"/>
      <c r="C1842" s="23" t="n"/>
      <c r="D1842" s="28" t="n"/>
      <c r="E1842" s="23" t="n"/>
      <c r="F1842" s="23" t="n"/>
      <c r="G1842" s="23" t="n"/>
      <c r="H1842" s="29">
        <f>IF(C1842="","",IFERROR(INDEX(Categories!$B$6:$B$65,MATCH(C1842,Categories!$A$6:$A$65,0))&amp;"",""))</f>
        <v/>
      </c>
      <c r="I1842" s="25">
        <f>IF(AND(A1842="",C1842="",D1842=""),"",IF(A1842="","Date missing",IF(NOT(ISNUMBER(A1842)),"Date not recognized",IF(YEAR(A1842)&lt;&gt;Settings!$C$4,"Not in "&amp;Settings!$C$4,IF(C1842="","Category missing",IF(H1842="",IF(COUNTIF(Categories!$A$6:$A$65,C1842)&gt;0,"Category has no type","Category not in list"),IF(D1842="","Amount missing",IF(NOT(ISNUMBER(D1842)),"Amount is not a number",IF(F1842="","",IF(ISNA(MATCH(F1842,Lists!$G$2:$G$25,0)),"Goal / fund not in list",IF(H1842="Income","Fund tag ignored on income","")))))))))))</f>
        <v/>
      </c>
    </row>
    <row r="1843">
      <c r="A1843" s="27" t="n"/>
      <c r="B1843" s="23" t="n"/>
      <c r="C1843" s="23" t="n"/>
      <c r="D1843" s="28" t="n"/>
      <c r="E1843" s="23" t="n"/>
      <c r="F1843" s="23" t="n"/>
      <c r="G1843" s="23" t="n"/>
      <c r="H1843" s="29">
        <f>IF(C1843="","",IFERROR(INDEX(Categories!$B$6:$B$65,MATCH(C1843,Categories!$A$6:$A$65,0))&amp;"",""))</f>
        <v/>
      </c>
      <c r="I1843" s="25">
        <f>IF(AND(A1843="",C1843="",D1843=""),"",IF(A1843="","Date missing",IF(NOT(ISNUMBER(A1843)),"Date not recognized",IF(YEAR(A1843)&lt;&gt;Settings!$C$4,"Not in "&amp;Settings!$C$4,IF(C1843="","Category missing",IF(H1843="",IF(COUNTIF(Categories!$A$6:$A$65,C1843)&gt;0,"Category has no type","Category not in list"),IF(D1843="","Amount missing",IF(NOT(ISNUMBER(D1843)),"Amount is not a number",IF(F1843="","",IF(ISNA(MATCH(F1843,Lists!$G$2:$G$25,0)),"Goal / fund not in list",IF(H1843="Income","Fund tag ignored on income","")))))))))))</f>
        <v/>
      </c>
    </row>
    <row r="1844">
      <c r="A1844" s="27" t="n"/>
      <c r="B1844" s="23" t="n"/>
      <c r="C1844" s="23" t="n"/>
      <c r="D1844" s="28" t="n"/>
      <c r="E1844" s="23" t="n"/>
      <c r="F1844" s="23" t="n"/>
      <c r="G1844" s="23" t="n"/>
      <c r="H1844" s="29">
        <f>IF(C1844="","",IFERROR(INDEX(Categories!$B$6:$B$65,MATCH(C1844,Categories!$A$6:$A$65,0))&amp;"",""))</f>
        <v/>
      </c>
      <c r="I1844" s="25">
        <f>IF(AND(A1844="",C1844="",D1844=""),"",IF(A1844="","Date missing",IF(NOT(ISNUMBER(A1844)),"Date not recognized",IF(YEAR(A1844)&lt;&gt;Settings!$C$4,"Not in "&amp;Settings!$C$4,IF(C1844="","Category missing",IF(H1844="",IF(COUNTIF(Categories!$A$6:$A$65,C1844)&gt;0,"Category has no type","Category not in list"),IF(D1844="","Amount missing",IF(NOT(ISNUMBER(D1844)),"Amount is not a number",IF(F1844="","",IF(ISNA(MATCH(F1844,Lists!$G$2:$G$25,0)),"Goal / fund not in list",IF(H1844="Income","Fund tag ignored on income","")))))))))))</f>
        <v/>
      </c>
    </row>
    <row r="1845">
      <c r="A1845" s="27" t="n"/>
      <c r="B1845" s="23" t="n"/>
      <c r="C1845" s="23" t="n"/>
      <c r="D1845" s="28" t="n"/>
      <c r="E1845" s="23" t="n"/>
      <c r="F1845" s="23" t="n"/>
      <c r="G1845" s="23" t="n"/>
      <c r="H1845" s="29">
        <f>IF(C1845="","",IFERROR(INDEX(Categories!$B$6:$B$65,MATCH(C1845,Categories!$A$6:$A$65,0))&amp;"",""))</f>
        <v/>
      </c>
      <c r="I1845" s="25">
        <f>IF(AND(A1845="",C1845="",D1845=""),"",IF(A1845="","Date missing",IF(NOT(ISNUMBER(A1845)),"Date not recognized",IF(YEAR(A1845)&lt;&gt;Settings!$C$4,"Not in "&amp;Settings!$C$4,IF(C1845="","Category missing",IF(H1845="",IF(COUNTIF(Categories!$A$6:$A$65,C1845)&gt;0,"Category has no type","Category not in list"),IF(D1845="","Amount missing",IF(NOT(ISNUMBER(D1845)),"Amount is not a number",IF(F1845="","",IF(ISNA(MATCH(F1845,Lists!$G$2:$G$25,0)),"Goal / fund not in list",IF(H1845="Income","Fund tag ignored on income","")))))))))))</f>
        <v/>
      </c>
    </row>
    <row r="1846">
      <c r="A1846" s="27" t="n"/>
      <c r="B1846" s="23" t="n"/>
      <c r="C1846" s="23" t="n"/>
      <c r="D1846" s="28" t="n"/>
      <c r="E1846" s="23" t="n"/>
      <c r="F1846" s="23" t="n"/>
      <c r="G1846" s="23" t="n"/>
      <c r="H1846" s="29">
        <f>IF(C1846="","",IFERROR(INDEX(Categories!$B$6:$B$65,MATCH(C1846,Categories!$A$6:$A$65,0))&amp;"",""))</f>
        <v/>
      </c>
      <c r="I1846" s="25">
        <f>IF(AND(A1846="",C1846="",D1846=""),"",IF(A1846="","Date missing",IF(NOT(ISNUMBER(A1846)),"Date not recognized",IF(YEAR(A1846)&lt;&gt;Settings!$C$4,"Not in "&amp;Settings!$C$4,IF(C1846="","Category missing",IF(H1846="",IF(COUNTIF(Categories!$A$6:$A$65,C1846)&gt;0,"Category has no type","Category not in list"),IF(D1846="","Amount missing",IF(NOT(ISNUMBER(D1846)),"Amount is not a number",IF(F1846="","",IF(ISNA(MATCH(F1846,Lists!$G$2:$G$25,0)),"Goal / fund not in list",IF(H1846="Income","Fund tag ignored on income","")))))))))))</f>
        <v/>
      </c>
    </row>
    <row r="1847">
      <c r="A1847" s="27" t="n"/>
      <c r="B1847" s="23" t="n"/>
      <c r="C1847" s="23" t="n"/>
      <c r="D1847" s="28" t="n"/>
      <c r="E1847" s="23" t="n"/>
      <c r="F1847" s="23" t="n"/>
      <c r="G1847" s="23" t="n"/>
      <c r="H1847" s="29">
        <f>IF(C1847="","",IFERROR(INDEX(Categories!$B$6:$B$65,MATCH(C1847,Categories!$A$6:$A$65,0))&amp;"",""))</f>
        <v/>
      </c>
      <c r="I1847" s="25">
        <f>IF(AND(A1847="",C1847="",D1847=""),"",IF(A1847="","Date missing",IF(NOT(ISNUMBER(A1847)),"Date not recognized",IF(YEAR(A1847)&lt;&gt;Settings!$C$4,"Not in "&amp;Settings!$C$4,IF(C1847="","Category missing",IF(H1847="",IF(COUNTIF(Categories!$A$6:$A$65,C1847)&gt;0,"Category has no type","Category not in list"),IF(D1847="","Amount missing",IF(NOT(ISNUMBER(D1847)),"Amount is not a number",IF(F1847="","",IF(ISNA(MATCH(F1847,Lists!$G$2:$G$25,0)),"Goal / fund not in list",IF(H1847="Income","Fund tag ignored on income","")))))))))))</f>
        <v/>
      </c>
    </row>
    <row r="1848">
      <c r="A1848" s="27" t="n"/>
      <c r="B1848" s="23" t="n"/>
      <c r="C1848" s="23" t="n"/>
      <c r="D1848" s="28" t="n"/>
      <c r="E1848" s="23" t="n"/>
      <c r="F1848" s="23" t="n"/>
      <c r="G1848" s="23" t="n"/>
      <c r="H1848" s="29">
        <f>IF(C1848="","",IFERROR(INDEX(Categories!$B$6:$B$65,MATCH(C1848,Categories!$A$6:$A$65,0))&amp;"",""))</f>
        <v/>
      </c>
      <c r="I1848" s="25">
        <f>IF(AND(A1848="",C1848="",D1848=""),"",IF(A1848="","Date missing",IF(NOT(ISNUMBER(A1848)),"Date not recognized",IF(YEAR(A1848)&lt;&gt;Settings!$C$4,"Not in "&amp;Settings!$C$4,IF(C1848="","Category missing",IF(H1848="",IF(COUNTIF(Categories!$A$6:$A$65,C1848)&gt;0,"Category has no type","Category not in list"),IF(D1848="","Amount missing",IF(NOT(ISNUMBER(D1848)),"Amount is not a number",IF(F1848="","",IF(ISNA(MATCH(F1848,Lists!$G$2:$G$25,0)),"Goal / fund not in list",IF(H1848="Income","Fund tag ignored on income","")))))))))))</f>
        <v/>
      </c>
    </row>
    <row r="1849">
      <c r="A1849" s="27" t="n"/>
      <c r="B1849" s="23" t="n"/>
      <c r="C1849" s="23" t="n"/>
      <c r="D1849" s="28" t="n"/>
      <c r="E1849" s="23" t="n"/>
      <c r="F1849" s="23" t="n"/>
      <c r="G1849" s="23" t="n"/>
      <c r="H1849" s="29">
        <f>IF(C1849="","",IFERROR(INDEX(Categories!$B$6:$B$65,MATCH(C1849,Categories!$A$6:$A$65,0))&amp;"",""))</f>
        <v/>
      </c>
      <c r="I1849" s="25">
        <f>IF(AND(A1849="",C1849="",D1849=""),"",IF(A1849="","Date missing",IF(NOT(ISNUMBER(A1849)),"Date not recognized",IF(YEAR(A1849)&lt;&gt;Settings!$C$4,"Not in "&amp;Settings!$C$4,IF(C1849="","Category missing",IF(H1849="",IF(COUNTIF(Categories!$A$6:$A$65,C1849)&gt;0,"Category has no type","Category not in list"),IF(D1849="","Amount missing",IF(NOT(ISNUMBER(D1849)),"Amount is not a number",IF(F1849="","",IF(ISNA(MATCH(F1849,Lists!$G$2:$G$25,0)),"Goal / fund not in list",IF(H1849="Income","Fund tag ignored on income","")))))))))))</f>
        <v/>
      </c>
    </row>
    <row r="1850">
      <c r="A1850" s="27" t="n"/>
      <c r="B1850" s="23" t="n"/>
      <c r="C1850" s="23" t="n"/>
      <c r="D1850" s="28" t="n"/>
      <c r="E1850" s="23" t="n"/>
      <c r="F1850" s="23" t="n"/>
      <c r="G1850" s="23" t="n"/>
      <c r="H1850" s="29">
        <f>IF(C1850="","",IFERROR(INDEX(Categories!$B$6:$B$65,MATCH(C1850,Categories!$A$6:$A$65,0))&amp;"",""))</f>
        <v/>
      </c>
      <c r="I1850" s="25">
        <f>IF(AND(A1850="",C1850="",D1850=""),"",IF(A1850="","Date missing",IF(NOT(ISNUMBER(A1850)),"Date not recognized",IF(YEAR(A1850)&lt;&gt;Settings!$C$4,"Not in "&amp;Settings!$C$4,IF(C1850="","Category missing",IF(H1850="",IF(COUNTIF(Categories!$A$6:$A$65,C1850)&gt;0,"Category has no type","Category not in list"),IF(D1850="","Amount missing",IF(NOT(ISNUMBER(D1850)),"Amount is not a number",IF(F1850="","",IF(ISNA(MATCH(F1850,Lists!$G$2:$G$25,0)),"Goal / fund not in list",IF(H1850="Income","Fund tag ignored on income","")))))))))))</f>
        <v/>
      </c>
    </row>
    <row r="1851">
      <c r="A1851" s="27" t="n"/>
      <c r="B1851" s="23" t="n"/>
      <c r="C1851" s="23" t="n"/>
      <c r="D1851" s="28" t="n"/>
      <c r="E1851" s="23" t="n"/>
      <c r="F1851" s="23" t="n"/>
      <c r="G1851" s="23" t="n"/>
      <c r="H1851" s="29">
        <f>IF(C1851="","",IFERROR(INDEX(Categories!$B$6:$B$65,MATCH(C1851,Categories!$A$6:$A$65,0))&amp;"",""))</f>
        <v/>
      </c>
      <c r="I1851" s="25">
        <f>IF(AND(A1851="",C1851="",D1851=""),"",IF(A1851="","Date missing",IF(NOT(ISNUMBER(A1851)),"Date not recognized",IF(YEAR(A1851)&lt;&gt;Settings!$C$4,"Not in "&amp;Settings!$C$4,IF(C1851="","Category missing",IF(H1851="",IF(COUNTIF(Categories!$A$6:$A$65,C1851)&gt;0,"Category has no type","Category not in list"),IF(D1851="","Amount missing",IF(NOT(ISNUMBER(D1851)),"Amount is not a number",IF(F1851="","",IF(ISNA(MATCH(F1851,Lists!$G$2:$G$25,0)),"Goal / fund not in list",IF(H1851="Income","Fund tag ignored on income","")))))))))))</f>
        <v/>
      </c>
    </row>
    <row r="1852">
      <c r="A1852" s="27" t="n"/>
      <c r="B1852" s="23" t="n"/>
      <c r="C1852" s="23" t="n"/>
      <c r="D1852" s="28" t="n"/>
      <c r="E1852" s="23" t="n"/>
      <c r="F1852" s="23" t="n"/>
      <c r="G1852" s="23" t="n"/>
      <c r="H1852" s="29">
        <f>IF(C1852="","",IFERROR(INDEX(Categories!$B$6:$B$65,MATCH(C1852,Categories!$A$6:$A$65,0))&amp;"",""))</f>
        <v/>
      </c>
      <c r="I1852" s="25">
        <f>IF(AND(A1852="",C1852="",D1852=""),"",IF(A1852="","Date missing",IF(NOT(ISNUMBER(A1852)),"Date not recognized",IF(YEAR(A1852)&lt;&gt;Settings!$C$4,"Not in "&amp;Settings!$C$4,IF(C1852="","Category missing",IF(H1852="",IF(COUNTIF(Categories!$A$6:$A$65,C1852)&gt;0,"Category has no type","Category not in list"),IF(D1852="","Amount missing",IF(NOT(ISNUMBER(D1852)),"Amount is not a number",IF(F1852="","",IF(ISNA(MATCH(F1852,Lists!$G$2:$G$25,0)),"Goal / fund not in list",IF(H1852="Income","Fund tag ignored on income","")))))))))))</f>
        <v/>
      </c>
    </row>
    <row r="1853">
      <c r="A1853" s="27" t="n"/>
      <c r="B1853" s="23" t="n"/>
      <c r="C1853" s="23" t="n"/>
      <c r="D1853" s="28" t="n"/>
      <c r="E1853" s="23" t="n"/>
      <c r="F1853" s="23" t="n"/>
      <c r="G1853" s="23" t="n"/>
      <c r="H1853" s="29">
        <f>IF(C1853="","",IFERROR(INDEX(Categories!$B$6:$B$65,MATCH(C1853,Categories!$A$6:$A$65,0))&amp;"",""))</f>
        <v/>
      </c>
      <c r="I1853" s="25">
        <f>IF(AND(A1853="",C1853="",D1853=""),"",IF(A1853="","Date missing",IF(NOT(ISNUMBER(A1853)),"Date not recognized",IF(YEAR(A1853)&lt;&gt;Settings!$C$4,"Not in "&amp;Settings!$C$4,IF(C1853="","Category missing",IF(H1853="",IF(COUNTIF(Categories!$A$6:$A$65,C1853)&gt;0,"Category has no type","Category not in list"),IF(D1853="","Amount missing",IF(NOT(ISNUMBER(D1853)),"Amount is not a number",IF(F1853="","",IF(ISNA(MATCH(F1853,Lists!$G$2:$G$25,0)),"Goal / fund not in list",IF(H1853="Income","Fund tag ignored on income","")))))))))))</f>
        <v/>
      </c>
    </row>
    <row r="1854">
      <c r="A1854" s="27" t="n"/>
      <c r="B1854" s="23" t="n"/>
      <c r="C1854" s="23" t="n"/>
      <c r="D1854" s="28" t="n"/>
      <c r="E1854" s="23" t="n"/>
      <c r="F1854" s="23" t="n"/>
      <c r="G1854" s="23" t="n"/>
      <c r="H1854" s="29">
        <f>IF(C1854="","",IFERROR(INDEX(Categories!$B$6:$B$65,MATCH(C1854,Categories!$A$6:$A$65,0))&amp;"",""))</f>
        <v/>
      </c>
      <c r="I1854" s="25">
        <f>IF(AND(A1854="",C1854="",D1854=""),"",IF(A1854="","Date missing",IF(NOT(ISNUMBER(A1854)),"Date not recognized",IF(YEAR(A1854)&lt;&gt;Settings!$C$4,"Not in "&amp;Settings!$C$4,IF(C1854="","Category missing",IF(H1854="",IF(COUNTIF(Categories!$A$6:$A$65,C1854)&gt;0,"Category has no type","Category not in list"),IF(D1854="","Amount missing",IF(NOT(ISNUMBER(D1854)),"Amount is not a number",IF(F1854="","",IF(ISNA(MATCH(F1854,Lists!$G$2:$G$25,0)),"Goal / fund not in list",IF(H1854="Income","Fund tag ignored on income","")))))))))))</f>
        <v/>
      </c>
    </row>
    <row r="1855">
      <c r="A1855" s="27" t="n"/>
      <c r="B1855" s="23" t="n"/>
      <c r="C1855" s="23" t="n"/>
      <c r="D1855" s="28" t="n"/>
      <c r="E1855" s="23" t="n"/>
      <c r="F1855" s="23" t="n"/>
      <c r="G1855" s="23" t="n"/>
      <c r="H1855" s="29">
        <f>IF(C1855="","",IFERROR(INDEX(Categories!$B$6:$B$65,MATCH(C1855,Categories!$A$6:$A$65,0))&amp;"",""))</f>
        <v/>
      </c>
      <c r="I1855" s="25">
        <f>IF(AND(A1855="",C1855="",D1855=""),"",IF(A1855="","Date missing",IF(NOT(ISNUMBER(A1855)),"Date not recognized",IF(YEAR(A1855)&lt;&gt;Settings!$C$4,"Not in "&amp;Settings!$C$4,IF(C1855="","Category missing",IF(H1855="",IF(COUNTIF(Categories!$A$6:$A$65,C1855)&gt;0,"Category has no type","Category not in list"),IF(D1855="","Amount missing",IF(NOT(ISNUMBER(D1855)),"Amount is not a number",IF(F1855="","",IF(ISNA(MATCH(F1855,Lists!$G$2:$G$25,0)),"Goal / fund not in list",IF(H1855="Income","Fund tag ignored on income","")))))))))))</f>
        <v/>
      </c>
    </row>
    <row r="1856">
      <c r="A1856" s="27" t="n"/>
      <c r="B1856" s="23" t="n"/>
      <c r="C1856" s="23" t="n"/>
      <c r="D1856" s="28" t="n"/>
      <c r="E1856" s="23" t="n"/>
      <c r="F1856" s="23" t="n"/>
      <c r="G1856" s="23" t="n"/>
      <c r="H1856" s="29">
        <f>IF(C1856="","",IFERROR(INDEX(Categories!$B$6:$B$65,MATCH(C1856,Categories!$A$6:$A$65,0))&amp;"",""))</f>
        <v/>
      </c>
      <c r="I1856" s="25">
        <f>IF(AND(A1856="",C1856="",D1856=""),"",IF(A1856="","Date missing",IF(NOT(ISNUMBER(A1856)),"Date not recognized",IF(YEAR(A1856)&lt;&gt;Settings!$C$4,"Not in "&amp;Settings!$C$4,IF(C1856="","Category missing",IF(H1856="",IF(COUNTIF(Categories!$A$6:$A$65,C1856)&gt;0,"Category has no type","Category not in list"),IF(D1856="","Amount missing",IF(NOT(ISNUMBER(D1856)),"Amount is not a number",IF(F1856="","",IF(ISNA(MATCH(F1856,Lists!$G$2:$G$25,0)),"Goal / fund not in list",IF(H1856="Income","Fund tag ignored on income","")))))))))))</f>
        <v/>
      </c>
    </row>
    <row r="1857">
      <c r="A1857" s="27" t="n"/>
      <c r="B1857" s="23" t="n"/>
      <c r="C1857" s="23" t="n"/>
      <c r="D1857" s="28" t="n"/>
      <c r="E1857" s="23" t="n"/>
      <c r="F1857" s="23" t="n"/>
      <c r="G1857" s="23" t="n"/>
      <c r="H1857" s="29">
        <f>IF(C1857="","",IFERROR(INDEX(Categories!$B$6:$B$65,MATCH(C1857,Categories!$A$6:$A$65,0))&amp;"",""))</f>
        <v/>
      </c>
      <c r="I1857" s="25">
        <f>IF(AND(A1857="",C1857="",D1857=""),"",IF(A1857="","Date missing",IF(NOT(ISNUMBER(A1857)),"Date not recognized",IF(YEAR(A1857)&lt;&gt;Settings!$C$4,"Not in "&amp;Settings!$C$4,IF(C1857="","Category missing",IF(H1857="",IF(COUNTIF(Categories!$A$6:$A$65,C1857)&gt;0,"Category has no type","Category not in list"),IF(D1857="","Amount missing",IF(NOT(ISNUMBER(D1857)),"Amount is not a number",IF(F1857="","",IF(ISNA(MATCH(F1857,Lists!$G$2:$G$25,0)),"Goal / fund not in list",IF(H1857="Income","Fund tag ignored on income","")))))))))))</f>
        <v/>
      </c>
    </row>
    <row r="1858">
      <c r="A1858" s="27" t="n"/>
      <c r="B1858" s="23" t="n"/>
      <c r="C1858" s="23" t="n"/>
      <c r="D1858" s="28" t="n"/>
      <c r="E1858" s="23" t="n"/>
      <c r="F1858" s="23" t="n"/>
      <c r="G1858" s="23" t="n"/>
      <c r="H1858" s="29">
        <f>IF(C1858="","",IFERROR(INDEX(Categories!$B$6:$B$65,MATCH(C1858,Categories!$A$6:$A$65,0))&amp;"",""))</f>
        <v/>
      </c>
      <c r="I1858" s="25">
        <f>IF(AND(A1858="",C1858="",D1858=""),"",IF(A1858="","Date missing",IF(NOT(ISNUMBER(A1858)),"Date not recognized",IF(YEAR(A1858)&lt;&gt;Settings!$C$4,"Not in "&amp;Settings!$C$4,IF(C1858="","Category missing",IF(H1858="",IF(COUNTIF(Categories!$A$6:$A$65,C1858)&gt;0,"Category has no type","Category not in list"),IF(D1858="","Amount missing",IF(NOT(ISNUMBER(D1858)),"Amount is not a number",IF(F1858="","",IF(ISNA(MATCH(F1858,Lists!$G$2:$G$25,0)),"Goal / fund not in list",IF(H1858="Income","Fund tag ignored on income","")))))))))))</f>
        <v/>
      </c>
    </row>
    <row r="1859">
      <c r="A1859" s="27" t="n"/>
      <c r="B1859" s="23" t="n"/>
      <c r="C1859" s="23" t="n"/>
      <c r="D1859" s="28" t="n"/>
      <c r="E1859" s="23" t="n"/>
      <c r="F1859" s="23" t="n"/>
      <c r="G1859" s="23" t="n"/>
      <c r="H1859" s="29">
        <f>IF(C1859="","",IFERROR(INDEX(Categories!$B$6:$B$65,MATCH(C1859,Categories!$A$6:$A$65,0))&amp;"",""))</f>
        <v/>
      </c>
      <c r="I1859" s="25">
        <f>IF(AND(A1859="",C1859="",D1859=""),"",IF(A1859="","Date missing",IF(NOT(ISNUMBER(A1859)),"Date not recognized",IF(YEAR(A1859)&lt;&gt;Settings!$C$4,"Not in "&amp;Settings!$C$4,IF(C1859="","Category missing",IF(H1859="",IF(COUNTIF(Categories!$A$6:$A$65,C1859)&gt;0,"Category has no type","Category not in list"),IF(D1859="","Amount missing",IF(NOT(ISNUMBER(D1859)),"Amount is not a number",IF(F1859="","",IF(ISNA(MATCH(F1859,Lists!$G$2:$G$25,0)),"Goal / fund not in list",IF(H1859="Income","Fund tag ignored on income","")))))))))))</f>
        <v/>
      </c>
    </row>
    <row r="1860">
      <c r="A1860" s="27" t="n"/>
      <c r="B1860" s="23" t="n"/>
      <c r="C1860" s="23" t="n"/>
      <c r="D1860" s="28" t="n"/>
      <c r="E1860" s="23" t="n"/>
      <c r="F1860" s="23" t="n"/>
      <c r="G1860" s="23" t="n"/>
      <c r="H1860" s="29">
        <f>IF(C1860="","",IFERROR(INDEX(Categories!$B$6:$B$65,MATCH(C1860,Categories!$A$6:$A$65,0))&amp;"",""))</f>
        <v/>
      </c>
      <c r="I1860" s="25">
        <f>IF(AND(A1860="",C1860="",D1860=""),"",IF(A1860="","Date missing",IF(NOT(ISNUMBER(A1860)),"Date not recognized",IF(YEAR(A1860)&lt;&gt;Settings!$C$4,"Not in "&amp;Settings!$C$4,IF(C1860="","Category missing",IF(H1860="",IF(COUNTIF(Categories!$A$6:$A$65,C1860)&gt;0,"Category has no type","Category not in list"),IF(D1860="","Amount missing",IF(NOT(ISNUMBER(D1860)),"Amount is not a number",IF(F1860="","",IF(ISNA(MATCH(F1860,Lists!$G$2:$G$25,0)),"Goal / fund not in list",IF(H1860="Income","Fund tag ignored on income","")))))))))))</f>
        <v/>
      </c>
    </row>
    <row r="1861">
      <c r="A1861" s="27" t="n"/>
      <c r="B1861" s="23" t="n"/>
      <c r="C1861" s="23" t="n"/>
      <c r="D1861" s="28" t="n"/>
      <c r="E1861" s="23" t="n"/>
      <c r="F1861" s="23" t="n"/>
      <c r="G1861" s="23" t="n"/>
      <c r="H1861" s="29">
        <f>IF(C1861="","",IFERROR(INDEX(Categories!$B$6:$B$65,MATCH(C1861,Categories!$A$6:$A$65,0))&amp;"",""))</f>
        <v/>
      </c>
      <c r="I1861" s="25">
        <f>IF(AND(A1861="",C1861="",D1861=""),"",IF(A1861="","Date missing",IF(NOT(ISNUMBER(A1861)),"Date not recognized",IF(YEAR(A1861)&lt;&gt;Settings!$C$4,"Not in "&amp;Settings!$C$4,IF(C1861="","Category missing",IF(H1861="",IF(COUNTIF(Categories!$A$6:$A$65,C1861)&gt;0,"Category has no type","Category not in list"),IF(D1861="","Amount missing",IF(NOT(ISNUMBER(D1861)),"Amount is not a number",IF(F1861="","",IF(ISNA(MATCH(F1861,Lists!$G$2:$G$25,0)),"Goal / fund not in list",IF(H1861="Income","Fund tag ignored on income","")))))))))))</f>
        <v/>
      </c>
    </row>
    <row r="1862">
      <c r="A1862" s="27" t="n"/>
      <c r="B1862" s="23" t="n"/>
      <c r="C1862" s="23" t="n"/>
      <c r="D1862" s="28" t="n"/>
      <c r="E1862" s="23" t="n"/>
      <c r="F1862" s="23" t="n"/>
      <c r="G1862" s="23" t="n"/>
      <c r="H1862" s="29">
        <f>IF(C1862="","",IFERROR(INDEX(Categories!$B$6:$B$65,MATCH(C1862,Categories!$A$6:$A$65,0))&amp;"",""))</f>
        <v/>
      </c>
      <c r="I1862" s="25">
        <f>IF(AND(A1862="",C1862="",D1862=""),"",IF(A1862="","Date missing",IF(NOT(ISNUMBER(A1862)),"Date not recognized",IF(YEAR(A1862)&lt;&gt;Settings!$C$4,"Not in "&amp;Settings!$C$4,IF(C1862="","Category missing",IF(H1862="",IF(COUNTIF(Categories!$A$6:$A$65,C1862)&gt;0,"Category has no type","Category not in list"),IF(D1862="","Amount missing",IF(NOT(ISNUMBER(D1862)),"Amount is not a number",IF(F1862="","",IF(ISNA(MATCH(F1862,Lists!$G$2:$G$25,0)),"Goal / fund not in list",IF(H1862="Income","Fund tag ignored on income","")))))))))))</f>
        <v/>
      </c>
    </row>
    <row r="1863">
      <c r="A1863" s="27" t="n"/>
      <c r="B1863" s="23" t="n"/>
      <c r="C1863" s="23" t="n"/>
      <c r="D1863" s="28" t="n"/>
      <c r="E1863" s="23" t="n"/>
      <c r="F1863" s="23" t="n"/>
      <c r="G1863" s="23" t="n"/>
      <c r="H1863" s="29">
        <f>IF(C1863="","",IFERROR(INDEX(Categories!$B$6:$B$65,MATCH(C1863,Categories!$A$6:$A$65,0))&amp;"",""))</f>
        <v/>
      </c>
      <c r="I1863" s="25">
        <f>IF(AND(A1863="",C1863="",D1863=""),"",IF(A1863="","Date missing",IF(NOT(ISNUMBER(A1863)),"Date not recognized",IF(YEAR(A1863)&lt;&gt;Settings!$C$4,"Not in "&amp;Settings!$C$4,IF(C1863="","Category missing",IF(H1863="",IF(COUNTIF(Categories!$A$6:$A$65,C1863)&gt;0,"Category has no type","Category not in list"),IF(D1863="","Amount missing",IF(NOT(ISNUMBER(D1863)),"Amount is not a number",IF(F1863="","",IF(ISNA(MATCH(F1863,Lists!$G$2:$G$25,0)),"Goal / fund not in list",IF(H1863="Income","Fund tag ignored on income","")))))))))))</f>
        <v/>
      </c>
    </row>
    <row r="1864">
      <c r="A1864" s="27" t="n"/>
      <c r="B1864" s="23" t="n"/>
      <c r="C1864" s="23" t="n"/>
      <c r="D1864" s="28" t="n"/>
      <c r="E1864" s="23" t="n"/>
      <c r="F1864" s="23" t="n"/>
      <c r="G1864" s="23" t="n"/>
      <c r="H1864" s="29">
        <f>IF(C1864="","",IFERROR(INDEX(Categories!$B$6:$B$65,MATCH(C1864,Categories!$A$6:$A$65,0))&amp;"",""))</f>
        <v/>
      </c>
      <c r="I1864" s="25">
        <f>IF(AND(A1864="",C1864="",D1864=""),"",IF(A1864="","Date missing",IF(NOT(ISNUMBER(A1864)),"Date not recognized",IF(YEAR(A1864)&lt;&gt;Settings!$C$4,"Not in "&amp;Settings!$C$4,IF(C1864="","Category missing",IF(H1864="",IF(COUNTIF(Categories!$A$6:$A$65,C1864)&gt;0,"Category has no type","Category not in list"),IF(D1864="","Amount missing",IF(NOT(ISNUMBER(D1864)),"Amount is not a number",IF(F1864="","",IF(ISNA(MATCH(F1864,Lists!$G$2:$G$25,0)),"Goal / fund not in list",IF(H1864="Income","Fund tag ignored on income","")))))))))))</f>
        <v/>
      </c>
    </row>
    <row r="1865">
      <c r="A1865" s="27" t="n"/>
      <c r="B1865" s="23" t="n"/>
      <c r="C1865" s="23" t="n"/>
      <c r="D1865" s="28" t="n"/>
      <c r="E1865" s="23" t="n"/>
      <c r="F1865" s="23" t="n"/>
      <c r="G1865" s="23" t="n"/>
      <c r="H1865" s="29">
        <f>IF(C1865="","",IFERROR(INDEX(Categories!$B$6:$B$65,MATCH(C1865,Categories!$A$6:$A$65,0))&amp;"",""))</f>
        <v/>
      </c>
      <c r="I1865" s="25">
        <f>IF(AND(A1865="",C1865="",D1865=""),"",IF(A1865="","Date missing",IF(NOT(ISNUMBER(A1865)),"Date not recognized",IF(YEAR(A1865)&lt;&gt;Settings!$C$4,"Not in "&amp;Settings!$C$4,IF(C1865="","Category missing",IF(H1865="",IF(COUNTIF(Categories!$A$6:$A$65,C1865)&gt;0,"Category has no type","Category not in list"),IF(D1865="","Amount missing",IF(NOT(ISNUMBER(D1865)),"Amount is not a number",IF(F1865="","",IF(ISNA(MATCH(F1865,Lists!$G$2:$G$25,0)),"Goal / fund not in list",IF(H1865="Income","Fund tag ignored on income","")))))))))))</f>
        <v/>
      </c>
    </row>
    <row r="1866">
      <c r="A1866" s="27" t="n"/>
      <c r="B1866" s="23" t="n"/>
      <c r="C1866" s="23" t="n"/>
      <c r="D1866" s="28" t="n"/>
      <c r="E1866" s="23" t="n"/>
      <c r="F1866" s="23" t="n"/>
      <c r="G1866" s="23" t="n"/>
      <c r="H1866" s="29">
        <f>IF(C1866="","",IFERROR(INDEX(Categories!$B$6:$B$65,MATCH(C1866,Categories!$A$6:$A$65,0))&amp;"",""))</f>
        <v/>
      </c>
      <c r="I1866" s="25">
        <f>IF(AND(A1866="",C1866="",D1866=""),"",IF(A1866="","Date missing",IF(NOT(ISNUMBER(A1866)),"Date not recognized",IF(YEAR(A1866)&lt;&gt;Settings!$C$4,"Not in "&amp;Settings!$C$4,IF(C1866="","Category missing",IF(H1866="",IF(COUNTIF(Categories!$A$6:$A$65,C1866)&gt;0,"Category has no type","Category not in list"),IF(D1866="","Amount missing",IF(NOT(ISNUMBER(D1866)),"Amount is not a number",IF(F1866="","",IF(ISNA(MATCH(F1866,Lists!$G$2:$G$25,0)),"Goal / fund not in list",IF(H1866="Income","Fund tag ignored on income","")))))))))))</f>
        <v/>
      </c>
    </row>
    <row r="1867">
      <c r="A1867" s="27" t="n"/>
      <c r="B1867" s="23" t="n"/>
      <c r="C1867" s="23" t="n"/>
      <c r="D1867" s="28" t="n"/>
      <c r="E1867" s="23" t="n"/>
      <c r="F1867" s="23" t="n"/>
      <c r="G1867" s="23" t="n"/>
      <c r="H1867" s="29">
        <f>IF(C1867="","",IFERROR(INDEX(Categories!$B$6:$B$65,MATCH(C1867,Categories!$A$6:$A$65,0))&amp;"",""))</f>
        <v/>
      </c>
      <c r="I1867" s="25">
        <f>IF(AND(A1867="",C1867="",D1867=""),"",IF(A1867="","Date missing",IF(NOT(ISNUMBER(A1867)),"Date not recognized",IF(YEAR(A1867)&lt;&gt;Settings!$C$4,"Not in "&amp;Settings!$C$4,IF(C1867="","Category missing",IF(H1867="",IF(COUNTIF(Categories!$A$6:$A$65,C1867)&gt;0,"Category has no type","Category not in list"),IF(D1867="","Amount missing",IF(NOT(ISNUMBER(D1867)),"Amount is not a number",IF(F1867="","",IF(ISNA(MATCH(F1867,Lists!$G$2:$G$25,0)),"Goal / fund not in list",IF(H1867="Income","Fund tag ignored on income","")))))))))))</f>
        <v/>
      </c>
    </row>
    <row r="1868">
      <c r="A1868" s="27" t="n"/>
      <c r="B1868" s="23" t="n"/>
      <c r="C1868" s="23" t="n"/>
      <c r="D1868" s="28" t="n"/>
      <c r="E1868" s="23" t="n"/>
      <c r="F1868" s="23" t="n"/>
      <c r="G1868" s="23" t="n"/>
      <c r="H1868" s="29">
        <f>IF(C1868="","",IFERROR(INDEX(Categories!$B$6:$B$65,MATCH(C1868,Categories!$A$6:$A$65,0))&amp;"",""))</f>
        <v/>
      </c>
      <c r="I1868" s="25">
        <f>IF(AND(A1868="",C1868="",D1868=""),"",IF(A1868="","Date missing",IF(NOT(ISNUMBER(A1868)),"Date not recognized",IF(YEAR(A1868)&lt;&gt;Settings!$C$4,"Not in "&amp;Settings!$C$4,IF(C1868="","Category missing",IF(H1868="",IF(COUNTIF(Categories!$A$6:$A$65,C1868)&gt;0,"Category has no type","Category not in list"),IF(D1868="","Amount missing",IF(NOT(ISNUMBER(D1868)),"Amount is not a number",IF(F1868="","",IF(ISNA(MATCH(F1868,Lists!$G$2:$G$25,0)),"Goal / fund not in list",IF(H1868="Income","Fund tag ignored on income","")))))))))))</f>
        <v/>
      </c>
    </row>
    <row r="1869">
      <c r="A1869" s="27" t="n"/>
      <c r="B1869" s="23" t="n"/>
      <c r="C1869" s="23" t="n"/>
      <c r="D1869" s="28" t="n"/>
      <c r="E1869" s="23" t="n"/>
      <c r="F1869" s="23" t="n"/>
      <c r="G1869" s="23" t="n"/>
      <c r="H1869" s="29">
        <f>IF(C1869="","",IFERROR(INDEX(Categories!$B$6:$B$65,MATCH(C1869,Categories!$A$6:$A$65,0))&amp;"",""))</f>
        <v/>
      </c>
      <c r="I1869" s="25">
        <f>IF(AND(A1869="",C1869="",D1869=""),"",IF(A1869="","Date missing",IF(NOT(ISNUMBER(A1869)),"Date not recognized",IF(YEAR(A1869)&lt;&gt;Settings!$C$4,"Not in "&amp;Settings!$C$4,IF(C1869="","Category missing",IF(H1869="",IF(COUNTIF(Categories!$A$6:$A$65,C1869)&gt;0,"Category has no type","Category not in list"),IF(D1869="","Amount missing",IF(NOT(ISNUMBER(D1869)),"Amount is not a number",IF(F1869="","",IF(ISNA(MATCH(F1869,Lists!$G$2:$G$25,0)),"Goal / fund not in list",IF(H1869="Income","Fund tag ignored on income","")))))))))))</f>
        <v/>
      </c>
    </row>
    <row r="1870">
      <c r="A1870" s="27" t="n"/>
      <c r="B1870" s="23" t="n"/>
      <c r="C1870" s="23" t="n"/>
      <c r="D1870" s="28" t="n"/>
      <c r="E1870" s="23" t="n"/>
      <c r="F1870" s="23" t="n"/>
      <c r="G1870" s="23" t="n"/>
      <c r="H1870" s="29">
        <f>IF(C1870="","",IFERROR(INDEX(Categories!$B$6:$B$65,MATCH(C1870,Categories!$A$6:$A$65,0))&amp;"",""))</f>
        <v/>
      </c>
      <c r="I1870" s="25">
        <f>IF(AND(A1870="",C1870="",D1870=""),"",IF(A1870="","Date missing",IF(NOT(ISNUMBER(A1870)),"Date not recognized",IF(YEAR(A1870)&lt;&gt;Settings!$C$4,"Not in "&amp;Settings!$C$4,IF(C1870="","Category missing",IF(H1870="",IF(COUNTIF(Categories!$A$6:$A$65,C1870)&gt;0,"Category has no type","Category not in list"),IF(D1870="","Amount missing",IF(NOT(ISNUMBER(D1870)),"Amount is not a number",IF(F1870="","",IF(ISNA(MATCH(F1870,Lists!$G$2:$G$25,0)),"Goal / fund not in list",IF(H1870="Income","Fund tag ignored on income","")))))))))))</f>
        <v/>
      </c>
    </row>
    <row r="1871">
      <c r="A1871" s="27" t="n"/>
      <c r="B1871" s="23" t="n"/>
      <c r="C1871" s="23" t="n"/>
      <c r="D1871" s="28" t="n"/>
      <c r="E1871" s="23" t="n"/>
      <c r="F1871" s="23" t="n"/>
      <c r="G1871" s="23" t="n"/>
      <c r="H1871" s="29">
        <f>IF(C1871="","",IFERROR(INDEX(Categories!$B$6:$B$65,MATCH(C1871,Categories!$A$6:$A$65,0))&amp;"",""))</f>
        <v/>
      </c>
      <c r="I1871" s="25">
        <f>IF(AND(A1871="",C1871="",D1871=""),"",IF(A1871="","Date missing",IF(NOT(ISNUMBER(A1871)),"Date not recognized",IF(YEAR(A1871)&lt;&gt;Settings!$C$4,"Not in "&amp;Settings!$C$4,IF(C1871="","Category missing",IF(H1871="",IF(COUNTIF(Categories!$A$6:$A$65,C1871)&gt;0,"Category has no type","Category not in list"),IF(D1871="","Amount missing",IF(NOT(ISNUMBER(D1871)),"Amount is not a number",IF(F1871="","",IF(ISNA(MATCH(F1871,Lists!$G$2:$G$25,0)),"Goal / fund not in list",IF(H1871="Income","Fund tag ignored on income","")))))))))))</f>
        <v/>
      </c>
    </row>
    <row r="1872">
      <c r="A1872" s="27" t="n"/>
      <c r="B1872" s="23" t="n"/>
      <c r="C1872" s="23" t="n"/>
      <c r="D1872" s="28" t="n"/>
      <c r="E1872" s="23" t="n"/>
      <c r="F1872" s="23" t="n"/>
      <c r="G1872" s="23" t="n"/>
      <c r="H1872" s="29">
        <f>IF(C1872="","",IFERROR(INDEX(Categories!$B$6:$B$65,MATCH(C1872,Categories!$A$6:$A$65,0))&amp;"",""))</f>
        <v/>
      </c>
      <c r="I1872" s="25">
        <f>IF(AND(A1872="",C1872="",D1872=""),"",IF(A1872="","Date missing",IF(NOT(ISNUMBER(A1872)),"Date not recognized",IF(YEAR(A1872)&lt;&gt;Settings!$C$4,"Not in "&amp;Settings!$C$4,IF(C1872="","Category missing",IF(H1872="",IF(COUNTIF(Categories!$A$6:$A$65,C1872)&gt;0,"Category has no type","Category not in list"),IF(D1872="","Amount missing",IF(NOT(ISNUMBER(D1872)),"Amount is not a number",IF(F1872="","",IF(ISNA(MATCH(F1872,Lists!$G$2:$G$25,0)),"Goal / fund not in list",IF(H1872="Income","Fund tag ignored on income","")))))))))))</f>
        <v/>
      </c>
    </row>
    <row r="1873">
      <c r="A1873" s="27" t="n"/>
      <c r="B1873" s="23" t="n"/>
      <c r="C1873" s="23" t="n"/>
      <c r="D1873" s="28" t="n"/>
      <c r="E1873" s="23" t="n"/>
      <c r="F1873" s="23" t="n"/>
      <c r="G1873" s="23" t="n"/>
      <c r="H1873" s="29">
        <f>IF(C1873="","",IFERROR(INDEX(Categories!$B$6:$B$65,MATCH(C1873,Categories!$A$6:$A$65,0))&amp;"",""))</f>
        <v/>
      </c>
      <c r="I1873" s="25">
        <f>IF(AND(A1873="",C1873="",D1873=""),"",IF(A1873="","Date missing",IF(NOT(ISNUMBER(A1873)),"Date not recognized",IF(YEAR(A1873)&lt;&gt;Settings!$C$4,"Not in "&amp;Settings!$C$4,IF(C1873="","Category missing",IF(H1873="",IF(COUNTIF(Categories!$A$6:$A$65,C1873)&gt;0,"Category has no type","Category not in list"),IF(D1873="","Amount missing",IF(NOT(ISNUMBER(D1873)),"Amount is not a number",IF(F1873="","",IF(ISNA(MATCH(F1873,Lists!$G$2:$G$25,0)),"Goal / fund not in list",IF(H1873="Income","Fund tag ignored on income","")))))))))))</f>
        <v/>
      </c>
    </row>
    <row r="1874">
      <c r="A1874" s="27" t="n"/>
      <c r="B1874" s="23" t="n"/>
      <c r="C1874" s="23" t="n"/>
      <c r="D1874" s="28" t="n"/>
      <c r="E1874" s="23" t="n"/>
      <c r="F1874" s="23" t="n"/>
      <c r="G1874" s="23" t="n"/>
      <c r="H1874" s="29">
        <f>IF(C1874="","",IFERROR(INDEX(Categories!$B$6:$B$65,MATCH(C1874,Categories!$A$6:$A$65,0))&amp;"",""))</f>
        <v/>
      </c>
      <c r="I1874" s="25">
        <f>IF(AND(A1874="",C1874="",D1874=""),"",IF(A1874="","Date missing",IF(NOT(ISNUMBER(A1874)),"Date not recognized",IF(YEAR(A1874)&lt;&gt;Settings!$C$4,"Not in "&amp;Settings!$C$4,IF(C1874="","Category missing",IF(H1874="",IF(COUNTIF(Categories!$A$6:$A$65,C1874)&gt;0,"Category has no type","Category not in list"),IF(D1874="","Amount missing",IF(NOT(ISNUMBER(D1874)),"Amount is not a number",IF(F1874="","",IF(ISNA(MATCH(F1874,Lists!$G$2:$G$25,0)),"Goal / fund not in list",IF(H1874="Income","Fund tag ignored on income","")))))))))))</f>
        <v/>
      </c>
    </row>
    <row r="1875">
      <c r="A1875" s="27" t="n"/>
      <c r="B1875" s="23" t="n"/>
      <c r="C1875" s="23" t="n"/>
      <c r="D1875" s="28" t="n"/>
      <c r="E1875" s="23" t="n"/>
      <c r="F1875" s="23" t="n"/>
      <c r="G1875" s="23" t="n"/>
      <c r="H1875" s="29">
        <f>IF(C1875="","",IFERROR(INDEX(Categories!$B$6:$B$65,MATCH(C1875,Categories!$A$6:$A$65,0))&amp;"",""))</f>
        <v/>
      </c>
      <c r="I1875" s="25">
        <f>IF(AND(A1875="",C1875="",D1875=""),"",IF(A1875="","Date missing",IF(NOT(ISNUMBER(A1875)),"Date not recognized",IF(YEAR(A1875)&lt;&gt;Settings!$C$4,"Not in "&amp;Settings!$C$4,IF(C1875="","Category missing",IF(H1875="",IF(COUNTIF(Categories!$A$6:$A$65,C1875)&gt;0,"Category has no type","Category not in list"),IF(D1875="","Amount missing",IF(NOT(ISNUMBER(D1875)),"Amount is not a number",IF(F1875="","",IF(ISNA(MATCH(F1875,Lists!$G$2:$G$25,0)),"Goal / fund not in list",IF(H1875="Income","Fund tag ignored on income","")))))))))))</f>
        <v/>
      </c>
    </row>
    <row r="1876">
      <c r="A1876" s="27" t="n"/>
      <c r="B1876" s="23" t="n"/>
      <c r="C1876" s="23" t="n"/>
      <c r="D1876" s="28" t="n"/>
      <c r="E1876" s="23" t="n"/>
      <c r="F1876" s="23" t="n"/>
      <c r="G1876" s="23" t="n"/>
      <c r="H1876" s="29">
        <f>IF(C1876="","",IFERROR(INDEX(Categories!$B$6:$B$65,MATCH(C1876,Categories!$A$6:$A$65,0))&amp;"",""))</f>
        <v/>
      </c>
      <c r="I1876" s="25">
        <f>IF(AND(A1876="",C1876="",D1876=""),"",IF(A1876="","Date missing",IF(NOT(ISNUMBER(A1876)),"Date not recognized",IF(YEAR(A1876)&lt;&gt;Settings!$C$4,"Not in "&amp;Settings!$C$4,IF(C1876="","Category missing",IF(H1876="",IF(COUNTIF(Categories!$A$6:$A$65,C1876)&gt;0,"Category has no type","Category not in list"),IF(D1876="","Amount missing",IF(NOT(ISNUMBER(D1876)),"Amount is not a number",IF(F1876="","",IF(ISNA(MATCH(F1876,Lists!$G$2:$G$25,0)),"Goal / fund not in list",IF(H1876="Income","Fund tag ignored on income","")))))))))))</f>
        <v/>
      </c>
    </row>
    <row r="1877">
      <c r="A1877" s="27" t="n"/>
      <c r="B1877" s="23" t="n"/>
      <c r="C1877" s="23" t="n"/>
      <c r="D1877" s="28" t="n"/>
      <c r="E1877" s="23" t="n"/>
      <c r="F1877" s="23" t="n"/>
      <c r="G1877" s="23" t="n"/>
      <c r="H1877" s="29">
        <f>IF(C1877="","",IFERROR(INDEX(Categories!$B$6:$B$65,MATCH(C1877,Categories!$A$6:$A$65,0))&amp;"",""))</f>
        <v/>
      </c>
      <c r="I1877" s="25">
        <f>IF(AND(A1877="",C1877="",D1877=""),"",IF(A1877="","Date missing",IF(NOT(ISNUMBER(A1877)),"Date not recognized",IF(YEAR(A1877)&lt;&gt;Settings!$C$4,"Not in "&amp;Settings!$C$4,IF(C1877="","Category missing",IF(H1877="",IF(COUNTIF(Categories!$A$6:$A$65,C1877)&gt;0,"Category has no type","Category not in list"),IF(D1877="","Amount missing",IF(NOT(ISNUMBER(D1877)),"Amount is not a number",IF(F1877="","",IF(ISNA(MATCH(F1877,Lists!$G$2:$G$25,0)),"Goal / fund not in list",IF(H1877="Income","Fund tag ignored on income","")))))))))))</f>
        <v/>
      </c>
    </row>
    <row r="1878">
      <c r="A1878" s="27" t="n"/>
      <c r="B1878" s="23" t="n"/>
      <c r="C1878" s="23" t="n"/>
      <c r="D1878" s="28" t="n"/>
      <c r="E1878" s="23" t="n"/>
      <c r="F1878" s="23" t="n"/>
      <c r="G1878" s="23" t="n"/>
      <c r="H1878" s="29">
        <f>IF(C1878="","",IFERROR(INDEX(Categories!$B$6:$B$65,MATCH(C1878,Categories!$A$6:$A$65,0))&amp;"",""))</f>
        <v/>
      </c>
      <c r="I1878" s="25">
        <f>IF(AND(A1878="",C1878="",D1878=""),"",IF(A1878="","Date missing",IF(NOT(ISNUMBER(A1878)),"Date not recognized",IF(YEAR(A1878)&lt;&gt;Settings!$C$4,"Not in "&amp;Settings!$C$4,IF(C1878="","Category missing",IF(H1878="",IF(COUNTIF(Categories!$A$6:$A$65,C1878)&gt;0,"Category has no type","Category not in list"),IF(D1878="","Amount missing",IF(NOT(ISNUMBER(D1878)),"Amount is not a number",IF(F1878="","",IF(ISNA(MATCH(F1878,Lists!$G$2:$G$25,0)),"Goal / fund not in list",IF(H1878="Income","Fund tag ignored on income","")))))))))))</f>
        <v/>
      </c>
    </row>
    <row r="1879">
      <c r="A1879" s="27" t="n"/>
      <c r="B1879" s="23" t="n"/>
      <c r="C1879" s="23" t="n"/>
      <c r="D1879" s="28" t="n"/>
      <c r="E1879" s="23" t="n"/>
      <c r="F1879" s="23" t="n"/>
      <c r="G1879" s="23" t="n"/>
      <c r="H1879" s="29">
        <f>IF(C1879="","",IFERROR(INDEX(Categories!$B$6:$B$65,MATCH(C1879,Categories!$A$6:$A$65,0))&amp;"",""))</f>
        <v/>
      </c>
      <c r="I1879" s="25">
        <f>IF(AND(A1879="",C1879="",D1879=""),"",IF(A1879="","Date missing",IF(NOT(ISNUMBER(A1879)),"Date not recognized",IF(YEAR(A1879)&lt;&gt;Settings!$C$4,"Not in "&amp;Settings!$C$4,IF(C1879="","Category missing",IF(H1879="",IF(COUNTIF(Categories!$A$6:$A$65,C1879)&gt;0,"Category has no type","Category not in list"),IF(D1879="","Amount missing",IF(NOT(ISNUMBER(D1879)),"Amount is not a number",IF(F1879="","",IF(ISNA(MATCH(F1879,Lists!$G$2:$G$25,0)),"Goal / fund not in list",IF(H1879="Income","Fund tag ignored on income","")))))))))))</f>
        <v/>
      </c>
    </row>
    <row r="1880">
      <c r="A1880" s="27" t="n"/>
      <c r="B1880" s="23" t="n"/>
      <c r="C1880" s="23" t="n"/>
      <c r="D1880" s="28" t="n"/>
      <c r="E1880" s="23" t="n"/>
      <c r="F1880" s="23" t="n"/>
      <c r="G1880" s="23" t="n"/>
      <c r="H1880" s="29">
        <f>IF(C1880="","",IFERROR(INDEX(Categories!$B$6:$B$65,MATCH(C1880,Categories!$A$6:$A$65,0))&amp;"",""))</f>
        <v/>
      </c>
      <c r="I1880" s="25">
        <f>IF(AND(A1880="",C1880="",D1880=""),"",IF(A1880="","Date missing",IF(NOT(ISNUMBER(A1880)),"Date not recognized",IF(YEAR(A1880)&lt;&gt;Settings!$C$4,"Not in "&amp;Settings!$C$4,IF(C1880="","Category missing",IF(H1880="",IF(COUNTIF(Categories!$A$6:$A$65,C1880)&gt;0,"Category has no type","Category not in list"),IF(D1880="","Amount missing",IF(NOT(ISNUMBER(D1880)),"Amount is not a number",IF(F1880="","",IF(ISNA(MATCH(F1880,Lists!$G$2:$G$25,0)),"Goal / fund not in list",IF(H1880="Income","Fund tag ignored on income","")))))))))))</f>
        <v/>
      </c>
    </row>
    <row r="1881">
      <c r="A1881" s="27" t="n"/>
      <c r="B1881" s="23" t="n"/>
      <c r="C1881" s="23" t="n"/>
      <c r="D1881" s="28" t="n"/>
      <c r="E1881" s="23" t="n"/>
      <c r="F1881" s="23" t="n"/>
      <c r="G1881" s="23" t="n"/>
      <c r="H1881" s="29">
        <f>IF(C1881="","",IFERROR(INDEX(Categories!$B$6:$B$65,MATCH(C1881,Categories!$A$6:$A$65,0))&amp;"",""))</f>
        <v/>
      </c>
      <c r="I1881" s="25">
        <f>IF(AND(A1881="",C1881="",D1881=""),"",IF(A1881="","Date missing",IF(NOT(ISNUMBER(A1881)),"Date not recognized",IF(YEAR(A1881)&lt;&gt;Settings!$C$4,"Not in "&amp;Settings!$C$4,IF(C1881="","Category missing",IF(H1881="",IF(COUNTIF(Categories!$A$6:$A$65,C1881)&gt;0,"Category has no type","Category not in list"),IF(D1881="","Amount missing",IF(NOT(ISNUMBER(D1881)),"Amount is not a number",IF(F1881="","",IF(ISNA(MATCH(F1881,Lists!$G$2:$G$25,0)),"Goal / fund not in list",IF(H1881="Income","Fund tag ignored on income","")))))))))))</f>
        <v/>
      </c>
    </row>
    <row r="1882">
      <c r="A1882" s="27" t="n"/>
      <c r="B1882" s="23" t="n"/>
      <c r="C1882" s="23" t="n"/>
      <c r="D1882" s="28" t="n"/>
      <c r="E1882" s="23" t="n"/>
      <c r="F1882" s="23" t="n"/>
      <c r="G1882" s="23" t="n"/>
      <c r="H1882" s="29">
        <f>IF(C1882="","",IFERROR(INDEX(Categories!$B$6:$B$65,MATCH(C1882,Categories!$A$6:$A$65,0))&amp;"",""))</f>
        <v/>
      </c>
      <c r="I1882" s="25">
        <f>IF(AND(A1882="",C1882="",D1882=""),"",IF(A1882="","Date missing",IF(NOT(ISNUMBER(A1882)),"Date not recognized",IF(YEAR(A1882)&lt;&gt;Settings!$C$4,"Not in "&amp;Settings!$C$4,IF(C1882="","Category missing",IF(H1882="",IF(COUNTIF(Categories!$A$6:$A$65,C1882)&gt;0,"Category has no type","Category not in list"),IF(D1882="","Amount missing",IF(NOT(ISNUMBER(D1882)),"Amount is not a number",IF(F1882="","",IF(ISNA(MATCH(F1882,Lists!$G$2:$G$25,0)),"Goal / fund not in list",IF(H1882="Income","Fund tag ignored on income","")))))))))))</f>
        <v/>
      </c>
    </row>
    <row r="1883">
      <c r="A1883" s="27" t="n"/>
      <c r="B1883" s="23" t="n"/>
      <c r="C1883" s="23" t="n"/>
      <c r="D1883" s="28" t="n"/>
      <c r="E1883" s="23" t="n"/>
      <c r="F1883" s="23" t="n"/>
      <c r="G1883" s="23" t="n"/>
      <c r="H1883" s="29">
        <f>IF(C1883="","",IFERROR(INDEX(Categories!$B$6:$B$65,MATCH(C1883,Categories!$A$6:$A$65,0))&amp;"",""))</f>
        <v/>
      </c>
      <c r="I1883" s="25">
        <f>IF(AND(A1883="",C1883="",D1883=""),"",IF(A1883="","Date missing",IF(NOT(ISNUMBER(A1883)),"Date not recognized",IF(YEAR(A1883)&lt;&gt;Settings!$C$4,"Not in "&amp;Settings!$C$4,IF(C1883="","Category missing",IF(H1883="",IF(COUNTIF(Categories!$A$6:$A$65,C1883)&gt;0,"Category has no type","Category not in list"),IF(D1883="","Amount missing",IF(NOT(ISNUMBER(D1883)),"Amount is not a number",IF(F1883="","",IF(ISNA(MATCH(F1883,Lists!$G$2:$G$25,0)),"Goal / fund not in list",IF(H1883="Income","Fund tag ignored on income","")))))))))))</f>
        <v/>
      </c>
    </row>
    <row r="1884">
      <c r="A1884" s="27" t="n"/>
      <c r="B1884" s="23" t="n"/>
      <c r="C1884" s="23" t="n"/>
      <c r="D1884" s="28" t="n"/>
      <c r="E1884" s="23" t="n"/>
      <c r="F1884" s="23" t="n"/>
      <c r="G1884" s="23" t="n"/>
      <c r="H1884" s="29">
        <f>IF(C1884="","",IFERROR(INDEX(Categories!$B$6:$B$65,MATCH(C1884,Categories!$A$6:$A$65,0))&amp;"",""))</f>
        <v/>
      </c>
      <c r="I1884" s="25">
        <f>IF(AND(A1884="",C1884="",D1884=""),"",IF(A1884="","Date missing",IF(NOT(ISNUMBER(A1884)),"Date not recognized",IF(YEAR(A1884)&lt;&gt;Settings!$C$4,"Not in "&amp;Settings!$C$4,IF(C1884="","Category missing",IF(H1884="",IF(COUNTIF(Categories!$A$6:$A$65,C1884)&gt;0,"Category has no type","Category not in list"),IF(D1884="","Amount missing",IF(NOT(ISNUMBER(D1884)),"Amount is not a number",IF(F1884="","",IF(ISNA(MATCH(F1884,Lists!$G$2:$G$25,0)),"Goal / fund not in list",IF(H1884="Income","Fund tag ignored on income","")))))))))))</f>
        <v/>
      </c>
    </row>
    <row r="1885">
      <c r="A1885" s="27" t="n"/>
      <c r="B1885" s="23" t="n"/>
      <c r="C1885" s="23" t="n"/>
      <c r="D1885" s="28" t="n"/>
      <c r="E1885" s="23" t="n"/>
      <c r="F1885" s="23" t="n"/>
      <c r="G1885" s="23" t="n"/>
      <c r="H1885" s="29">
        <f>IF(C1885="","",IFERROR(INDEX(Categories!$B$6:$B$65,MATCH(C1885,Categories!$A$6:$A$65,0))&amp;"",""))</f>
        <v/>
      </c>
      <c r="I1885" s="25">
        <f>IF(AND(A1885="",C1885="",D1885=""),"",IF(A1885="","Date missing",IF(NOT(ISNUMBER(A1885)),"Date not recognized",IF(YEAR(A1885)&lt;&gt;Settings!$C$4,"Not in "&amp;Settings!$C$4,IF(C1885="","Category missing",IF(H1885="",IF(COUNTIF(Categories!$A$6:$A$65,C1885)&gt;0,"Category has no type","Category not in list"),IF(D1885="","Amount missing",IF(NOT(ISNUMBER(D1885)),"Amount is not a number",IF(F1885="","",IF(ISNA(MATCH(F1885,Lists!$G$2:$G$25,0)),"Goal / fund not in list",IF(H1885="Income","Fund tag ignored on income","")))))))))))</f>
        <v/>
      </c>
    </row>
    <row r="1886">
      <c r="A1886" s="27" t="n"/>
      <c r="B1886" s="23" t="n"/>
      <c r="C1886" s="23" t="n"/>
      <c r="D1886" s="28" t="n"/>
      <c r="E1886" s="23" t="n"/>
      <c r="F1886" s="23" t="n"/>
      <c r="G1886" s="23" t="n"/>
      <c r="H1886" s="29">
        <f>IF(C1886="","",IFERROR(INDEX(Categories!$B$6:$B$65,MATCH(C1886,Categories!$A$6:$A$65,0))&amp;"",""))</f>
        <v/>
      </c>
      <c r="I1886" s="25">
        <f>IF(AND(A1886="",C1886="",D1886=""),"",IF(A1886="","Date missing",IF(NOT(ISNUMBER(A1886)),"Date not recognized",IF(YEAR(A1886)&lt;&gt;Settings!$C$4,"Not in "&amp;Settings!$C$4,IF(C1886="","Category missing",IF(H1886="",IF(COUNTIF(Categories!$A$6:$A$65,C1886)&gt;0,"Category has no type","Category not in list"),IF(D1886="","Amount missing",IF(NOT(ISNUMBER(D1886)),"Amount is not a number",IF(F1886="","",IF(ISNA(MATCH(F1886,Lists!$G$2:$G$25,0)),"Goal / fund not in list",IF(H1886="Income","Fund tag ignored on income","")))))))))))</f>
        <v/>
      </c>
    </row>
    <row r="1887">
      <c r="A1887" s="27" t="n"/>
      <c r="B1887" s="23" t="n"/>
      <c r="C1887" s="23" t="n"/>
      <c r="D1887" s="28" t="n"/>
      <c r="E1887" s="23" t="n"/>
      <c r="F1887" s="23" t="n"/>
      <c r="G1887" s="23" t="n"/>
      <c r="H1887" s="29">
        <f>IF(C1887="","",IFERROR(INDEX(Categories!$B$6:$B$65,MATCH(C1887,Categories!$A$6:$A$65,0))&amp;"",""))</f>
        <v/>
      </c>
      <c r="I1887" s="25">
        <f>IF(AND(A1887="",C1887="",D1887=""),"",IF(A1887="","Date missing",IF(NOT(ISNUMBER(A1887)),"Date not recognized",IF(YEAR(A1887)&lt;&gt;Settings!$C$4,"Not in "&amp;Settings!$C$4,IF(C1887="","Category missing",IF(H1887="",IF(COUNTIF(Categories!$A$6:$A$65,C1887)&gt;0,"Category has no type","Category not in list"),IF(D1887="","Amount missing",IF(NOT(ISNUMBER(D1887)),"Amount is not a number",IF(F1887="","",IF(ISNA(MATCH(F1887,Lists!$G$2:$G$25,0)),"Goal / fund not in list",IF(H1887="Income","Fund tag ignored on income","")))))))))))</f>
        <v/>
      </c>
    </row>
    <row r="1888">
      <c r="A1888" s="27" t="n"/>
      <c r="B1888" s="23" t="n"/>
      <c r="C1888" s="23" t="n"/>
      <c r="D1888" s="28" t="n"/>
      <c r="E1888" s="23" t="n"/>
      <c r="F1888" s="23" t="n"/>
      <c r="G1888" s="23" t="n"/>
      <c r="H1888" s="29">
        <f>IF(C1888="","",IFERROR(INDEX(Categories!$B$6:$B$65,MATCH(C1888,Categories!$A$6:$A$65,0))&amp;"",""))</f>
        <v/>
      </c>
      <c r="I1888" s="25">
        <f>IF(AND(A1888="",C1888="",D1888=""),"",IF(A1888="","Date missing",IF(NOT(ISNUMBER(A1888)),"Date not recognized",IF(YEAR(A1888)&lt;&gt;Settings!$C$4,"Not in "&amp;Settings!$C$4,IF(C1888="","Category missing",IF(H1888="",IF(COUNTIF(Categories!$A$6:$A$65,C1888)&gt;0,"Category has no type","Category not in list"),IF(D1888="","Amount missing",IF(NOT(ISNUMBER(D1888)),"Amount is not a number",IF(F1888="","",IF(ISNA(MATCH(F1888,Lists!$G$2:$G$25,0)),"Goal / fund not in list",IF(H1888="Income","Fund tag ignored on income","")))))))))))</f>
        <v/>
      </c>
    </row>
    <row r="1889">
      <c r="A1889" s="27" t="n"/>
      <c r="B1889" s="23" t="n"/>
      <c r="C1889" s="23" t="n"/>
      <c r="D1889" s="28" t="n"/>
      <c r="E1889" s="23" t="n"/>
      <c r="F1889" s="23" t="n"/>
      <c r="G1889" s="23" t="n"/>
      <c r="H1889" s="29">
        <f>IF(C1889="","",IFERROR(INDEX(Categories!$B$6:$B$65,MATCH(C1889,Categories!$A$6:$A$65,0))&amp;"",""))</f>
        <v/>
      </c>
      <c r="I1889" s="25">
        <f>IF(AND(A1889="",C1889="",D1889=""),"",IF(A1889="","Date missing",IF(NOT(ISNUMBER(A1889)),"Date not recognized",IF(YEAR(A1889)&lt;&gt;Settings!$C$4,"Not in "&amp;Settings!$C$4,IF(C1889="","Category missing",IF(H1889="",IF(COUNTIF(Categories!$A$6:$A$65,C1889)&gt;0,"Category has no type","Category not in list"),IF(D1889="","Amount missing",IF(NOT(ISNUMBER(D1889)),"Amount is not a number",IF(F1889="","",IF(ISNA(MATCH(F1889,Lists!$G$2:$G$25,0)),"Goal / fund not in list",IF(H1889="Income","Fund tag ignored on income","")))))))))))</f>
        <v/>
      </c>
    </row>
    <row r="1890">
      <c r="A1890" s="27" t="n"/>
      <c r="B1890" s="23" t="n"/>
      <c r="C1890" s="23" t="n"/>
      <c r="D1890" s="28" t="n"/>
      <c r="E1890" s="23" t="n"/>
      <c r="F1890" s="23" t="n"/>
      <c r="G1890" s="23" t="n"/>
      <c r="H1890" s="29">
        <f>IF(C1890="","",IFERROR(INDEX(Categories!$B$6:$B$65,MATCH(C1890,Categories!$A$6:$A$65,0))&amp;"",""))</f>
        <v/>
      </c>
      <c r="I1890" s="25">
        <f>IF(AND(A1890="",C1890="",D1890=""),"",IF(A1890="","Date missing",IF(NOT(ISNUMBER(A1890)),"Date not recognized",IF(YEAR(A1890)&lt;&gt;Settings!$C$4,"Not in "&amp;Settings!$C$4,IF(C1890="","Category missing",IF(H1890="",IF(COUNTIF(Categories!$A$6:$A$65,C1890)&gt;0,"Category has no type","Category not in list"),IF(D1890="","Amount missing",IF(NOT(ISNUMBER(D1890)),"Amount is not a number",IF(F1890="","",IF(ISNA(MATCH(F1890,Lists!$G$2:$G$25,0)),"Goal / fund not in list",IF(H1890="Income","Fund tag ignored on income","")))))))))))</f>
        <v/>
      </c>
    </row>
    <row r="1891">
      <c r="A1891" s="27" t="n"/>
      <c r="B1891" s="23" t="n"/>
      <c r="C1891" s="23" t="n"/>
      <c r="D1891" s="28" t="n"/>
      <c r="E1891" s="23" t="n"/>
      <c r="F1891" s="23" t="n"/>
      <c r="G1891" s="23" t="n"/>
      <c r="H1891" s="29">
        <f>IF(C1891="","",IFERROR(INDEX(Categories!$B$6:$B$65,MATCH(C1891,Categories!$A$6:$A$65,0))&amp;"",""))</f>
        <v/>
      </c>
      <c r="I1891" s="25">
        <f>IF(AND(A1891="",C1891="",D1891=""),"",IF(A1891="","Date missing",IF(NOT(ISNUMBER(A1891)),"Date not recognized",IF(YEAR(A1891)&lt;&gt;Settings!$C$4,"Not in "&amp;Settings!$C$4,IF(C1891="","Category missing",IF(H1891="",IF(COUNTIF(Categories!$A$6:$A$65,C1891)&gt;0,"Category has no type","Category not in list"),IF(D1891="","Amount missing",IF(NOT(ISNUMBER(D1891)),"Amount is not a number",IF(F1891="","",IF(ISNA(MATCH(F1891,Lists!$G$2:$G$25,0)),"Goal / fund not in list",IF(H1891="Income","Fund tag ignored on income","")))))))))))</f>
        <v/>
      </c>
    </row>
    <row r="1892">
      <c r="A1892" s="27" t="n"/>
      <c r="B1892" s="23" t="n"/>
      <c r="C1892" s="23" t="n"/>
      <c r="D1892" s="28" t="n"/>
      <c r="E1892" s="23" t="n"/>
      <c r="F1892" s="23" t="n"/>
      <c r="G1892" s="23" t="n"/>
      <c r="H1892" s="29">
        <f>IF(C1892="","",IFERROR(INDEX(Categories!$B$6:$B$65,MATCH(C1892,Categories!$A$6:$A$65,0))&amp;"",""))</f>
        <v/>
      </c>
      <c r="I1892" s="25">
        <f>IF(AND(A1892="",C1892="",D1892=""),"",IF(A1892="","Date missing",IF(NOT(ISNUMBER(A1892)),"Date not recognized",IF(YEAR(A1892)&lt;&gt;Settings!$C$4,"Not in "&amp;Settings!$C$4,IF(C1892="","Category missing",IF(H1892="",IF(COUNTIF(Categories!$A$6:$A$65,C1892)&gt;0,"Category has no type","Category not in list"),IF(D1892="","Amount missing",IF(NOT(ISNUMBER(D1892)),"Amount is not a number",IF(F1892="","",IF(ISNA(MATCH(F1892,Lists!$G$2:$G$25,0)),"Goal / fund not in list",IF(H1892="Income","Fund tag ignored on income","")))))))))))</f>
        <v/>
      </c>
    </row>
    <row r="1893">
      <c r="A1893" s="27" t="n"/>
      <c r="B1893" s="23" t="n"/>
      <c r="C1893" s="23" t="n"/>
      <c r="D1893" s="28" t="n"/>
      <c r="E1893" s="23" t="n"/>
      <c r="F1893" s="23" t="n"/>
      <c r="G1893" s="23" t="n"/>
      <c r="H1893" s="29">
        <f>IF(C1893="","",IFERROR(INDEX(Categories!$B$6:$B$65,MATCH(C1893,Categories!$A$6:$A$65,0))&amp;"",""))</f>
        <v/>
      </c>
      <c r="I1893" s="25">
        <f>IF(AND(A1893="",C1893="",D1893=""),"",IF(A1893="","Date missing",IF(NOT(ISNUMBER(A1893)),"Date not recognized",IF(YEAR(A1893)&lt;&gt;Settings!$C$4,"Not in "&amp;Settings!$C$4,IF(C1893="","Category missing",IF(H1893="",IF(COUNTIF(Categories!$A$6:$A$65,C1893)&gt;0,"Category has no type","Category not in list"),IF(D1893="","Amount missing",IF(NOT(ISNUMBER(D1893)),"Amount is not a number",IF(F1893="","",IF(ISNA(MATCH(F1893,Lists!$G$2:$G$25,0)),"Goal / fund not in list",IF(H1893="Income","Fund tag ignored on income","")))))))))))</f>
        <v/>
      </c>
    </row>
    <row r="1894">
      <c r="A1894" s="27" t="n"/>
      <c r="B1894" s="23" t="n"/>
      <c r="C1894" s="23" t="n"/>
      <c r="D1894" s="28" t="n"/>
      <c r="E1894" s="23" t="n"/>
      <c r="F1894" s="23" t="n"/>
      <c r="G1894" s="23" t="n"/>
      <c r="H1894" s="29">
        <f>IF(C1894="","",IFERROR(INDEX(Categories!$B$6:$B$65,MATCH(C1894,Categories!$A$6:$A$65,0))&amp;"",""))</f>
        <v/>
      </c>
      <c r="I1894" s="25">
        <f>IF(AND(A1894="",C1894="",D1894=""),"",IF(A1894="","Date missing",IF(NOT(ISNUMBER(A1894)),"Date not recognized",IF(YEAR(A1894)&lt;&gt;Settings!$C$4,"Not in "&amp;Settings!$C$4,IF(C1894="","Category missing",IF(H1894="",IF(COUNTIF(Categories!$A$6:$A$65,C1894)&gt;0,"Category has no type","Category not in list"),IF(D1894="","Amount missing",IF(NOT(ISNUMBER(D1894)),"Amount is not a number",IF(F1894="","",IF(ISNA(MATCH(F1894,Lists!$G$2:$G$25,0)),"Goal / fund not in list",IF(H1894="Income","Fund tag ignored on income","")))))))))))</f>
        <v/>
      </c>
    </row>
    <row r="1895">
      <c r="A1895" s="27" t="n"/>
      <c r="B1895" s="23" t="n"/>
      <c r="C1895" s="23" t="n"/>
      <c r="D1895" s="28" t="n"/>
      <c r="E1895" s="23" t="n"/>
      <c r="F1895" s="23" t="n"/>
      <c r="G1895" s="23" t="n"/>
      <c r="H1895" s="29">
        <f>IF(C1895="","",IFERROR(INDEX(Categories!$B$6:$B$65,MATCH(C1895,Categories!$A$6:$A$65,0))&amp;"",""))</f>
        <v/>
      </c>
      <c r="I1895" s="25">
        <f>IF(AND(A1895="",C1895="",D1895=""),"",IF(A1895="","Date missing",IF(NOT(ISNUMBER(A1895)),"Date not recognized",IF(YEAR(A1895)&lt;&gt;Settings!$C$4,"Not in "&amp;Settings!$C$4,IF(C1895="","Category missing",IF(H1895="",IF(COUNTIF(Categories!$A$6:$A$65,C1895)&gt;0,"Category has no type","Category not in list"),IF(D1895="","Amount missing",IF(NOT(ISNUMBER(D1895)),"Amount is not a number",IF(F1895="","",IF(ISNA(MATCH(F1895,Lists!$G$2:$G$25,0)),"Goal / fund not in list",IF(H1895="Income","Fund tag ignored on income","")))))))))))</f>
        <v/>
      </c>
    </row>
    <row r="1896">
      <c r="A1896" s="27" t="n"/>
      <c r="B1896" s="23" t="n"/>
      <c r="C1896" s="23" t="n"/>
      <c r="D1896" s="28" t="n"/>
      <c r="E1896" s="23" t="n"/>
      <c r="F1896" s="23" t="n"/>
      <c r="G1896" s="23" t="n"/>
      <c r="H1896" s="29">
        <f>IF(C1896="","",IFERROR(INDEX(Categories!$B$6:$B$65,MATCH(C1896,Categories!$A$6:$A$65,0))&amp;"",""))</f>
        <v/>
      </c>
      <c r="I1896" s="25">
        <f>IF(AND(A1896="",C1896="",D1896=""),"",IF(A1896="","Date missing",IF(NOT(ISNUMBER(A1896)),"Date not recognized",IF(YEAR(A1896)&lt;&gt;Settings!$C$4,"Not in "&amp;Settings!$C$4,IF(C1896="","Category missing",IF(H1896="",IF(COUNTIF(Categories!$A$6:$A$65,C1896)&gt;0,"Category has no type","Category not in list"),IF(D1896="","Amount missing",IF(NOT(ISNUMBER(D1896)),"Amount is not a number",IF(F1896="","",IF(ISNA(MATCH(F1896,Lists!$G$2:$G$25,0)),"Goal / fund not in list",IF(H1896="Income","Fund tag ignored on income","")))))))))))</f>
        <v/>
      </c>
    </row>
    <row r="1897">
      <c r="A1897" s="27" t="n"/>
      <c r="B1897" s="23" t="n"/>
      <c r="C1897" s="23" t="n"/>
      <c r="D1897" s="28" t="n"/>
      <c r="E1897" s="23" t="n"/>
      <c r="F1897" s="23" t="n"/>
      <c r="G1897" s="23" t="n"/>
      <c r="H1897" s="29">
        <f>IF(C1897="","",IFERROR(INDEX(Categories!$B$6:$B$65,MATCH(C1897,Categories!$A$6:$A$65,0))&amp;"",""))</f>
        <v/>
      </c>
      <c r="I1897" s="25">
        <f>IF(AND(A1897="",C1897="",D1897=""),"",IF(A1897="","Date missing",IF(NOT(ISNUMBER(A1897)),"Date not recognized",IF(YEAR(A1897)&lt;&gt;Settings!$C$4,"Not in "&amp;Settings!$C$4,IF(C1897="","Category missing",IF(H1897="",IF(COUNTIF(Categories!$A$6:$A$65,C1897)&gt;0,"Category has no type","Category not in list"),IF(D1897="","Amount missing",IF(NOT(ISNUMBER(D1897)),"Amount is not a number",IF(F1897="","",IF(ISNA(MATCH(F1897,Lists!$G$2:$G$25,0)),"Goal / fund not in list",IF(H1897="Income","Fund tag ignored on income","")))))))))))</f>
        <v/>
      </c>
    </row>
    <row r="1898">
      <c r="A1898" s="27" t="n"/>
      <c r="B1898" s="23" t="n"/>
      <c r="C1898" s="23" t="n"/>
      <c r="D1898" s="28" t="n"/>
      <c r="E1898" s="23" t="n"/>
      <c r="F1898" s="23" t="n"/>
      <c r="G1898" s="23" t="n"/>
      <c r="H1898" s="29">
        <f>IF(C1898="","",IFERROR(INDEX(Categories!$B$6:$B$65,MATCH(C1898,Categories!$A$6:$A$65,0))&amp;"",""))</f>
        <v/>
      </c>
      <c r="I1898" s="25">
        <f>IF(AND(A1898="",C1898="",D1898=""),"",IF(A1898="","Date missing",IF(NOT(ISNUMBER(A1898)),"Date not recognized",IF(YEAR(A1898)&lt;&gt;Settings!$C$4,"Not in "&amp;Settings!$C$4,IF(C1898="","Category missing",IF(H1898="",IF(COUNTIF(Categories!$A$6:$A$65,C1898)&gt;0,"Category has no type","Category not in list"),IF(D1898="","Amount missing",IF(NOT(ISNUMBER(D1898)),"Amount is not a number",IF(F1898="","",IF(ISNA(MATCH(F1898,Lists!$G$2:$G$25,0)),"Goal / fund not in list",IF(H1898="Income","Fund tag ignored on income","")))))))))))</f>
        <v/>
      </c>
    </row>
    <row r="1899">
      <c r="A1899" s="27" t="n"/>
      <c r="B1899" s="23" t="n"/>
      <c r="C1899" s="23" t="n"/>
      <c r="D1899" s="28" t="n"/>
      <c r="E1899" s="23" t="n"/>
      <c r="F1899" s="23" t="n"/>
      <c r="G1899" s="23" t="n"/>
      <c r="H1899" s="29">
        <f>IF(C1899="","",IFERROR(INDEX(Categories!$B$6:$B$65,MATCH(C1899,Categories!$A$6:$A$65,0))&amp;"",""))</f>
        <v/>
      </c>
      <c r="I1899" s="25">
        <f>IF(AND(A1899="",C1899="",D1899=""),"",IF(A1899="","Date missing",IF(NOT(ISNUMBER(A1899)),"Date not recognized",IF(YEAR(A1899)&lt;&gt;Settings!$C$4,"Not in "&amp;Settings!$C$4,IF(C1899="","Category missing",IF(H1899="",IF(COUNTIF(Categories!$A$6:$A$65,C1899)&gt;0,"Category has no type","Category not in list"),IF(D1899="","Amount missing",IF(NOT(ISNUMBER(D1899)),"Amount is not a number",IF(F1899="","",IF(ISNA(MATCH(F1899,Lists!$G$2:$G$25,0)),"Goal / fund not in list",IF(H1899="Income","Fund tag ignored on income","")))))))))))</f>
        <v/>
      </c>
    </row>
    <row r="1900">
      <c r="A1900" s="27" t="n"/>
      <c r="B1900" s="23" t="n"/>
      <c r="C1900" s="23" t="n"/>
      <c r="D1900" s="28" t="n"/>
      <c r="E1900" s="23" t="n"/>
      <c r="F1900" s="23" t="n"/>
      <c r="G1900" s="23" t="n"/>
      <c r="H1900" s="29">
        <f>IF(C1900="","",IFERROR(INDEX(Categories!$B$6:$B$65,MATCH(C1900,Categories!$A$6:$A$65,0))&amp;"",""))</f>
        <v/>
      </c>
      <c r="I1900" s="25">
        <f>IF(AND(A1900="",C1900="",D1900=""),"",IF(A1900="","Date missing",IF(NOT(ISNUMBER(A1900)),"Date not recognized",IF(YEAR(A1900)&lt;&gt;Settings!$C$4,"Not in "&amp;Settings!$C$4,IF(C1900="","Category missing",IF(H1900="",IF(COUNTIF(Categories!$A$6:$A$65,C1900)&gt;0,"Category has no type","Category not in list"),IF(D1900="","Amount missing",IF(NOT(ISNUMBER(D1900)),"Amount is not a number",IF(F1900="","",IF(ISNA(MATCH(F1900,Lists!$G$2:$G$25,0)),"Goal / fund not in list",IF(H1900="Income","Fund tag ignored on income","")))))))))))</f>
        <v/>
      </c>
    </row>
    <row r="1901">
      <c r="A1901" s="27" t="n"/>
      <c r="B1901" s="23" t="n"/>
      <c r="C1901" s="23" t="n"/>
      <c r="D1901" s="28" t="n"/>
      <c r="E1901" s="23" t="n"/>
      <c r="F1901" s="23" t="n"/>
      <c r="G1901" s="23" t="n"/>
      <c r="H1901" s="29">
        <f>IF(C1901="","",IFERROR(INDEX(Categories!$B$6:$B$65,MATCH(C1901,Categories!$A$6:$A$65,0))&amp;"",""))</f>
        <v/>
      </c>
      <c r="I1901" s="25">
        <f>IF(AND(A1901="",C1901="",D1901=""),"",IF(A1901="","Date missing",IF(NOT(ISNUMBER(A1901)),"Date not recognized",IF(YEAR(A1901)&lt;&gt;Settings!$C$4,"Not in "&amp;Settings!$C$4,IF(C1901="","Category missing",IF(H1901="",IF(COUNTIF(Categories!$A$6:$A$65,C1901)&gt;0,"Category has no type","Category not in list"),IF(D1901="","Amount missing",IF(NOT(ISNUMBER(D1901)),"Amount is not a number",IF(F1901="","",IF(ISNA(MATCH(F1901,Lists!$G$2:$G$25,0)),"Goal / fund not in list",IF(H1901="Income","Fund tag ignored on income","")))))))))))</f>
        <v/>
      </c>
    </row>
    <row r="1902">
      <c r="A1902" s="27" t="n"/>
      <c r="B1902" s="23" t="n"/>
      <c r="C1902" s="23" t="n"/>
      <c r="D1902" s="28" t="n"/>
      <c r="E1902" s="23" t="n"/>
      <c r="F1902" s="23" t="n"/>
      <c r="G1902" s="23" t="n"/>
      <c r="H1902" s="29">
        <f>IF(C1902="","",IFERROR(INDEX(Categories!$B$6:$B$65,MATCH(C1902,Categories!$A$6:$A$65,0))&amp;"",""))</f>
        <v/>
      </c>
      <c r="I1902" s="25">
        <f>IF(AND(A1902="",C1902="",D1902=""),"",IF(A1902="","Date missing",IF(NOT(ISNUMBER(A1902)),"Date not recognized",IF(YEAR(A1902)&lt;&gt;Settings!$C$4,"Not in "&amp;Settings!$C$4,IF(C1902="","Category missing",IF(H1902="",IF(COUNTIF(Categories!$A$6:$A$65,C1902)&gt;0,"Category has no type","Category not in list"),IF(D1902="","Amount missing",IF(NOT(ISNUMBER(D1902)),"Amount is not a number",IF(F1902="","",IF(ISNA(MATCH(F1902,Lists!$G$2:$G$25,0)),"Goal / fund not in list",IF(H1902="Income","Fund tag ignored on income","")))))))))))</f>
        <v/>
      </c>
    </row>
    <row r="1903">
      <c r="A1903" s="27" t="n"/>
      <c r="B1903" s="23" t="n"/>
      <c r="C1903" s="23" t="n"/>
      <c r="D1903" s="28" t="n"/>
      <c r="E1903" s="23" t="n"/>
      <c r="F1903" s="23" t="n"/>
      <c r="G1903" s="23" t="n"/>
      <c r="H1903" s="29">
        <f>IF(C1903="","",IFERROR(INDEX(Categories!$B$6:$B$65,MATCH(C1903,Categories!$A$6:$A$65,0))&amp;"",""))</f>
        <v/>
      </c>
      <c r="I1903" s="25">
        <f>IF(AND(A1903="",C1903="",D1903=""),"",IF(A1903="","Date missing",IF(NOT(ISNUMBER(A1903)),"Date not recognized",IF(YEAR(A1903)&lt;&gt;Settings!$C$4,"Not in "&amp;Settings!$C$4,IF(C1903="","Category missing",IF(H1903="",IF(COUNTIF(Categories!$A$6:$A$65,C1903)&gt;0,"Category has no type","Category not in list"),IF(D1903="","Amount missing",IF(NOT(ISNUMBER(D1903)),"Amount is not a number",IF(F1903="","",IF(ISNA(MATCH(F1903,Lists!$G$2:$G$25,0)),"Goal / fund not in list",IF(H1903="Income","Fund tag ignored on income","")))))))))))</f>
        <v/>
      </c>
    </row>
    <row r="1904">
      <c r="A1904" s="27" t="n"/>
      <c r="B1904" s="23" t="n"/>
      <c r="C1904" s="23" t="n"/>
      <c r="D1904" s="28" t="n"/>
      <c r="E1904" s="23" t="n"/>
      <c r="F1904" s="23" t="n"/>
      <c r="G1904" s="23" t="n"/>
      <c r="H1904" s="29">
        <f>IF(C1904="","",IFERROR(INDEX(Categories!$B$6:$B$65,MATCH(C1904,Categories!$A$6:$A$65,0))&amp;"",""))</f>
        <v/>
      </c>
      <c r="I1904" s="25">
        <f>IF(AND(A1904="",C1904="",D1904=""),"",IF(A1904="","Date missing",IF(NOT(ISNUMBER(A1904)),"Date not recognized",IF(YEAR(A1904)&lt;&gt;Settings!$C$4,"Not in "&amp;Settings!$C$4,IF(C1904="","Category missing",IF(H1904="",IF(COUNTIF(Categories!$A$6:$A$65,C1904)&gt;0,"Category has no type","Category not in list"),IF(D1904="","Amount missing",IF(NOT(ISNUMBER(D1904)),"Amount is not a number",IF(F1904="","",IF(ISNA(MATCH(F1904,Lists!$G$2:$G$25,0)),"Goal / fund not in list",IF(H1904="Income","Fund tag ignored on income","")))))))))))</f>
        <v/>
      </c>
    </row>
    <row r="1905">
      <c r="A1905" s="27" t="n"/>
      <c r="B1905" s="23" t="n"/>
      <c r="C1905" s="23" t="n"/>
      <c r="D1905" s="28" t="n"/>
      <c r="E1905" s="23" t="n"/>
      <c r="F1905" s="23" t="n"/>
      <c r="G1905" s="23" t="n"/>
      <c r="H1905" s="29">
        <f>IF(C1905="","",IFERROR(INDEX(Categories!$B$6:$B$65,MATCH(C1905,Categories!$A$6:$A$65,0))&amp;"",""))</f>
        <v/>
      </c>
      <c r="I1905" s="25">
        <f>IF(AND(A1905="",C1905="",D1905=""),"",IF(A1905="","Date missing",IF(NOT(ISNUMBER(A1905)),"Date not recognized",IF(YEAR(A1905)&lt;&gt;Settings!$C$4,"Not in "&amp;Settings!$C$4,IF(C1905="","Category missing",IF(H1905="",IF(COUNTIF(Categories!$A$6:$A$65,C1905)&gt;0,"Category has no type","Category not in list"),IF(D1905="","Amount missing",IF(NOT(ISNUMBER(D1905)),"Amount is not a number",IF(F1905="","",IF(ISNA(MATCH(F1905,Lists!$G$2:$G$25,0)),"Goal / fund not in list",IF(H1905="Income","Fund tag ignored on income","")))))))))))</f>
        <v/>
      </c>
    </row>
    <row r="1906">
      <c r="A1906" s="27" t="n"/>
      <c r="B1906" s="23" t="n"/>
      <c r="C1906" s="23" t="n"/>
      <c r="D1906" s="28" t="n"/>
      <c r="E1906" s="23" t="n"/>
      <c r="F1906" s="23" t="n"/>
      <c r="G1906" s="23" t="n"/>
      <c r="H1906" s="29">
        <f>IF(C1906="","",IFERROR(INDEX(Categories!$B$6:$B$65,MATCH(C1906,Categories!$A$6:$A$65,0))&amp;"",""))</f>
        <v/>
      </c>
      <c r="I1906" s="25">
        <f>IF(AND(A1906="",C1906="",D1906=""),"",IF(A1906="","Date missing",IF(NOT(ISNUMBER(A1906)),"Date not recognized",IF(YEAR(A1906)&lt;&gt;Settings!$C$4,"Not in "&amp;Settings!$C$4,IF(C1906="","Category missing",IF(H1906="",IF(COUNTIF(Categories!$A$6:$A$65,C1906)&gt;0,"Category has no type","Category not in list"),IF(D1906="","Amount missing",IF(NOT(ISNUMBER(D1906)),"Amount is not a number",IF(F1906="","",IF(ISNA(MATCH(F1906,Lists!$G$2:$G$25,0)),"Goal / fund not in list",IF(H1906="Income","Fund tag ignored on income","")))))))))))</f>
        <v/>
      </c>
    </row>
    <row r="1907">
      <c r="A1907" s="27" t="n"/>
      <c r="B1907" s="23" t="n"/>
      <c r="C1907" s="23" t="n"/>
      <c r="D1907" s="28" t="n"/>
      <c r="E1907" s="23" t="n"/>
      <c r="F1907" s="23" t="n"/>
      <c r="G1907" s="23" t="n"/>
      <c r="H1907" s="29">
        <f>IF(C1907="","",IFERROR(INDEX(Categories!$B$6:$B$65,MATCH(C1907,Categories!$A$6:$A$65,0))&amp;"",""))</f>
        <v/>
      </c>
      <c r="I1907" s="25">
        <f>IF(AND(A1907="",C1907="",D1907=""),"",IF(A1907="","Date missing",IF(NOT(ISNUMBER(A1907)),"Date not recognized",IF(YEAR(A1907)&lt;&gt;Settings!$C$4,"Not in "&amp;Settings!$C$4,IF(C1907="","Category missing",IF(H1907="",IF(COUNTIF(Categories!$A$6:$A$65,C1907)&gt;0,"Category has no type","Category not in list"),IF(D1907="","Amount missing",IF(NOT(ISNUMBER(D1907)),"Amount is not a number",IF(F1907="","",IF(ISNA(MATCH(F1907,Lists!$G$2:$G$25,0)),"Goal / fund not in list",IF(H1907="Income","Fund tag ignored on income","")))))))))))</f>
        <v/>
      </c>
    </row>
    <row r="1908">
      <c r="A1908" s="27" t="n"/>
      <c r="B1908" s="23" t="n"/>
      <c r="C1908" s="23" t="n"/>
      <c r="D1908" s="28" t="n"/>
      <c r="E1908" s="23" t="n"/>
      <c r="F1908" s="23" t="n"/>
      <c r="G1908" s="23" t="n"/>
      <c r="H1908" s="29">
        <f>IF(C1908="","",IFERROR(INDEX(Categories!$B$6:$B$65,MATCH(C1908,Categories!$A$6:$A$65,0))&amp;"",""))</f>
        <v/>
      </c>
      <c r="I1908" s="25">
        <f>IF(AND(A1908="",C1908="",D1908=""),"",IF(A1908="","Date missing",IF(NOT(ISNUMBER(A1908)),"Date not recognized",IF(YEAR(A1908)&lt;&gt;Settings!$C$4,"Not in "&amp;Settings!$C$4,IF(C1908="","Category missing",IF(H1908="",IF(COUNTIF(Categories!$A$6:$A$65,C1908)&gt;0,"Category has no type","Category not in list"),IF(D1908="","Amount missing",IF(NOT(ISNUMBER(D1908)),"Amount is not a number",IF(F1908="","",IF(ISNA(MATCH(F1908,Lists!$G$2:$G$25,0)),"Goal / fund not in list",IF(H1908="Income","Fund tag ignored on income","")))))))))))</f>
        <v/>
      </c>
    </row>
    <row r="1909">
      <c r="A1909" s="27" t="n"/>
      <c r="B1909" s="23" t="n"/>
      <c r="C1909" s="23" t="n"/>
      <c r="D1909" s="28" t="n"/>
      <c r="E1909" s="23" t="n"/>
      <c r="F1909" s="23" t="n"/>
      <c r="G1909" s="23" t="n"/>
      <c r="H1909" s="29">
        <f>IF(C1909="","",IFERROR(INDEX(Categories!$B$6:$B$65,MATCH(C1909,Categories!$A$6:$A$65,0))&amp;"",""))</f>
        <v/>
      </c>
      <c r="I1909" s="25">
        <f>IF(AND(A1909="",C1909="",D1909=""),"",IF(A1909="","Date missing",IF(NOT(ISNUMBER(A1909)),"Date not recognized",IF(YEAR(A1909)&lt;&gt;Settings!$C$4,"Not in "&amp;Settings!$C$4,IF(C1909="","Category missing",IF(H1909="",IF(COUNTIF(Categories!$A$6:$A$65,C1909)&gt;0,"Category has no type","Category not in list"),IF(D1909="","Amount missing",IF(NOT(ISNUMBER(D1909)),"Amount is not a number",IF(F1909="","",IF(ISNA(MATCH(F1909,Lists!$G$2:$G$25,0)),"Goal / fund not in list",IF(H1909="Income","Fund tag ignored on income","")))))))))))</f>
        <v/>
      </c>
    </row>
    <row r="1910">
      <c r="A1910" s="27" t="n"/>
      <c r="B1910" s="23" t="n"/>
      <c r="C1910" s="23" t="n"/>
      <c r="D1910" s="28" t="n"/>
      <c r="E1910" s="23" t="n"/>
      <c r="F1910" s="23" t="n"/>
      <c r="G1910" s="23" t="n"/>
      <c r="H1910" s="29">
        <f>IF(C1910="","",IFERROR(INDEX(Categories!$B$6:$B$65,MATCH(C1910,Categories!$A$6:$A$65,0))&amp;"",""))</f>
        <v/>
      </c>
      <c r="I1910" s="25">
        <f>IF(AND(A1910="",C1910="",D1910=""),"",IF(A1910="","Date missing",IF(NOT(ISNUMBER(A1910)),"Date not recognized",IF(YEAR(A1910)&lt;&gt;Settings!$C$4,"Not in "&amp;Settings!$C$4,IF(C1910="","Category missing",IF(H1910="",IF(COUNTIF(Categories!$A$6:$A$65,C1910)&gt;0,"Category has no type","Category not in list"),IF(D1910="","Amount missing",IF(NOT(ISNUMBER(D1910)),"Amount is not a number",IF(F1910="","",IF(ISNA(MATCH(F1910,Lists!$G$2:$G$25,0)),"Goal / fund not in list",IF(H1910="Income","Fund tag ignored on income","")))))))))))</f>
        <v/>
      </c>
    </row>
    <row r="1911">
      <c r="A1911" s="27" t="n"/>
      <c r="B1911" s="23" t="n"/>
      <c r="C1911" s="23" t="n"/>
      <c r="D1911" s="28" t="n"/>
      <c r="E1911" s="23" t="n"/>
      <c r="F1911" s="23" t="n"/>
      <c r="G1911" s="23" t="n"/>
      <c r="H1911" s="29">
        <f>IF(C1911="","",IFERROR(INDEX(Categories!$B$6:$B$65,MATCH(C1911,Categories!$A$6:$A$65,0))&amp;"",""))</f>
        <v/>
      </c>
      <c r="I1911" s="25">
        <f>IF(AND(A1911="",C1911="",D1911=""),"",IF(A1911="","Date missing",IF(NOT(ISNUMBER(A1911)),"Date not recognized",IF(YEAR(A1911)&lt;&gt;Settings!$C$4,"Not in "&amp;Settings!$C$4,IF(C1911="","Category missing",IF(H1911="",IF(COUNTIF(Categories!$A$6:$A$65,C1911)&gt;0,"Category has no type","Category not in list"),IF(D1911="","Amount missing",IF(NOT(ISNUMBER(D1911)),"Amount is not a number",IF(F1911="","",IF(ISNA(MATCH(F1911,Lists!$G$2:$G$25,0)),"Goal / fund not in list",IF(H1911="Income","Fund tag ignored on income","")))))))))))</f>
        <v/>
      </c>
    </row>
    <row r="1912">
      <c r="A1912" s="27" t="n"/>
      <c r="B1912" s="23" t="n"/>
      <c r="C1912" s="23" t="n"/>
      <c r="D1912" s="28" t="n"/>
      <c r="E1912" s="23" t="n"/>
      <c r="F1912" s="23" t="n"/>
      <c r="G1912" s="23" t="n"/>
      <c r="H1912" s="29">
        <f>IF(C1912="","",IFERROR(INDEX(Categories!$B$6:$B$65,MATCH(C1912,Categories!$A$6:$A$65,0))&amp;"",""))</f>
        <v/>
      </c>
      <c r="I1912" s="25">
        <f>IF(AND(A1912="",C1912="",D1912=""),"",IF(A1912="","Date missing",IF(NOT(ISNUMBER(A1912)),"Date not recognized",IF(YEAR(A1912)&lt;&gt;Settings!$C$4,"Not in "&amp;Settings!$C$4,IF(C1912="","Category missing",IF(H1912="",IF(COUNTIF(Categories!$A$6:$A$65,C1912)&gt;0,"Category has no type","Category not in list"),IF(D1912="","Amount missing",IF(NOT(ISNUMBER(D1912)),"Amount is not a number",IF(F1912="","",IF(ISNA(MATCH(F1912,Lists!$G$2:$G$25,0)),"Goal / fund not in list",IF(H1912="Income","Fund tag ignored on income","")))))))))))</f>
        <v/>
      </c>
    </row>
    <row r="1913">
      <c r="A1913" s="27" t="n"/>
      <c r="B1913" s="23" t="n"/>
      <c r="C1913" s="23" t="n"/>
      <c r="D1913" s="28" t="n"/>
      <c r="E1913" s="23" t="n"/>
      <c r="F1913" s="23" t="n"/>
      <c r="G1913" s="23" t="n"/>
      <c r="H1913" s="29">
        <f>IF(C1913="","",IFERROR(INDEX(Categories!$B$6:$B$65,MATCH(C1913,Categories!$A$6:$A$65,0))&amp;"",""))</f>
        <v/>
      </c>
      <c r="I1913" s="25">
        <f>IF(AND(A1913="",C1913="",D1913=""),"",IF(A1913="","Date missing",IF(NOT(ISNUMBER(A1913)),"Date not recognized",IF(YEAR(A1913)&lt;&gt;Settings!$C$4,"Not in "&amp;Settings!$C$4,IF(C1913="","Category missing",IF(H1913="",IF(COUNTIF(Categories!$A$6:$A$65,C1913)&gt;0,"Category has no type","Category not in list"),IF(D1913="","Amount missing",IF(NOT(ISNUMBER(D1913)),"Amount is not a number",IF(F1913="","",IF(ISNA(MATCH(F1913,Lists!$G$2:$G$25,0)),"Goal / fund not in list",IF(H1913="Income","Fund tag ignored on income","")))))))))))</f>
        <v/>
      </c>
    </row>
    <row r="1914">
      <c r="A1914" s="27" t="n"/>
      <c r="B1914" s="23" t="n"/>
      <c r="C1914" s="23" t="n"/>
      <c r="D1914" s="28" t="n"/>
      <c r="E1914" s="23" t="n"/>
      <c r="F1914" s="23" t="n"/>
      <c r="G1914" s="23" t="n"/>
      <c r="H1914" s="29">
        <f>IF(C1914="","",IFERROR(INDEX(Categories!$B$6:$B$65,MATCH(C1914,Categories!$A$6:$A$65,0))&amp;"",""))</f>
        <v/>
      </c>
      <c r="I1914" s="25">
        <f>IF(AND(A1914="",C1914="",D1914=""),"",IF(A1914="","Date missing",IF(NOT(ISNUMBER(A1914)),"Date not recognized",IF(YEAR(A1914)&lt;&gt;Settings!$C$4,"Not in "&amp;Settings!$C$4,IF(C1914="","Category missing",IF(H1914="",IF(COUNTIF(Categories!$A$6:$A$65,C1914)&gt;0,"Category has no type","Category not in list"),IF(D1914="","Amount missing",IF(NOT(ISNUMBER(D1914)),"Amount is not a number",IF(F1914="","",IF(ISNA(MATCH(F1914,Lists!$G$2:$G$25,0)),"Goal / fund not in list",IF(H1914="Income","Fund tag ignored on income","")))))))))))</f>
        <v/>
      </c>
    </row>
    <row r="1915">
      <c r="A1915" s="27" t="n"/>
      <c r="B1915" s="23" t="n"/>
      <c r="C1915" s="23" t="n"/>
      <c r="D1915" s="28" t="n"/>
      <c r="E1915" s="23" t="n"/>
      <c r="F1915" s="23" t="n"/>
      <c r="G1915" s="23" t="n"/>
      <c r="H1915" s="29">
        <f>IF(C1915="","",IFERROR(INDEX(Categories!$B$6:$B$65,MATCH(C1915,Categories!$A$6:$A$65,0))&amp;"",""))</f>
        <v/>
      </c>
      <c r="I1915" s="25">
        <f>IF(AND(A1915="",C1915="",D1915=""),"",IF(A1915="","Date missing",IF(NOT(ISNUMBER(A1915)),"Date not recognized",IF(YEAR(A1915)&lt;&gt;Settings!$C$4,"Not in "&amp;Settings!$C$4,IF(C1915="","Category missing",IF(H1915="",IF(COUNTIF(Categories!$A$6:$A$65,C1915)&gt;0,"Category has no type","Category not in list"),IF(D1915="","Amount missing",IF(NOT(ISNUMBER(D1915)),"Amount is not a number",IF(F1915="","",IF(ISNA(MATCH(F1915,Lists!$G$2:$G$25,0)),"Goal / fund not in list",IF(H1915="Income","Fund tag ignored on income","")))))))))))</f>
        <v/>
      </c>
    </row>
    <row r="1916">
      <c r="A1916" s="27" t="n"/>
      <c r="B1916" s="23" t="n"/>
      <c r="C1916" s="23" t="n"/>
      <c r="D1916" s="28" t="n"/>
      <c r="E1916" s="23" t="n"/>
      <c r="F1916" s="23" t="n"/>
      <c r="G1916" s="23" t="n"/>
      <c r="H1916" s="29">
        <f>IF(C1916="","",IFERROR(INDEX(Categories!$B$6:$B$65,MATCH(C1916,Categories!$A$6:$A$65,0))&amp;"",""))</f>
        <v/>
      </c>
      <c r="I1916" s="25">
        <f>IF(AND(A1916="",C1916="",D1916=""),"",IF(A1916="","Date missing",IF(NOT(ISNUMBER(A1916)),"Date not recognized",IF(YEAR(A1916)&lt;&gt;Settings!$C$4,"Not in "&amp;Settings!$C$4,IF(C1916="","Category missing",IF(H1916="",IF(COUNTIF(Categories!$A$6:$A$65,C1916)&gt;0,"Category has no type","Category not in list"),IF(D1916="","Amount missing",IF(NOT(ISNUMBER(D1916)),"Amount is not a number",IF(F1916="","",IF(ISNA(MATCH(F1916,Lists!$G$2:$G$25,0)),"Goal / fund not in list",IF(H1916="Income","Fund tag ignored on income","")))))))))))</f>
        <v/>
      </c>
    </row>
    <row r="1917">
      <c r="A1917" s="27" t="n"/>
      <c r="B1917" s="23" t="n"/>
      <c r="C1917" s="23" t="n"/>
      <c r="D1917" s="28" t="n"/>
      <c r="E1917" s="23" t="n"/>
      <c r="F1917" s="23" t="n"/>
      <c r="G1917" s="23" t="n"/>
      <c r="H1917" s="29">
        <f>IF(C1917="","",IFERROR(INDEX(Categories!$B$6:$B$65,MATCH(C1917,Categories!$A$6:$A$65,0))&amp;"",""))</f>
        <v/>
      </c>
      <c r="I1917" s="25">
        <f>IF(AND(A1917="",C1917="",D1917=""),"",IF(A1917="","Date missing",IF(NOT(ISNUMBER(A1917)),"Date not recognized",IF(YEAR(A1917)&lt;&gt;Settings!$C$4,"Not in "&amp;Settings!$C$4,IF(C1917="","Category missing",IF(H1917="",IF(COUNTIF(Categories!$A$6:$A$65,C1917)&gt;0,"Category has no type","Category not in list"),IF(D1917="","Amount missing",IF(NOT(ISNUMBER(D1917)),"Amount is not a number",IF(F1917="","",IF(ISNA(MATCH(F1917,Lists!$G$2:$G$25,0)),"Goal / fund not in list",IF(H1917="Income","Fund tag ignored on income","")))))))))))</f>
        <v/>
      </c>
    </row>
    <row r="1918">
      <c r="A1918" s="27" t="n"/>
      <c r="B1918" s="23" t="n"/>
      <c r="C1918" s="23" t="n"/>
      <c r="D1918" s="28" t="n"/>
      <c r="E1918" s="23" t="n"/>
      <c r="F1918" s="23" t="n"/>
      <c r="G1918" s="23" t="n"/>
      <c r="H1918" s="29">
        <f>IF(C1918="","",IFERROR(INDEX(Categories!$B$6:$B$65,MATCH(C1918,Categories!$A$6:$A$65,0))&amp;"",""))</f>
        <v/>
      </c>
      <c r="I1918" s="25">
        <f>IF(AND(A1918="",C1918="",D1918=""),"",IF(A1918="","Date missing",IF(NOT(ISNUMBER(A1918)),"Date not recognized",IF(YEAR(A1918)&lt;&gt;Settings!$C$4,"Not in "&amp;Settings!$C$4,IF(C1918="","Category missing",IF(H1918="",IF(COUNTIF(Categories!$A$6:$A$65,C1918)&gt;0,"Category has no type","Category not in list"),IF(D1918="","Amount missing",IF(NOT(ISNUMBER(D1918)),"Amount is not a number",IF(F1918="","",IF(ISNA(MATCH(F1918,Lists!$G$2:$G$25,0)),"Goal / fund not in list",IF(H1918="Income","Fund tag ignored on income","")))))))))))</f>
        <v/>
      </c>
    </row>
    <row r="1919">
      <c r="A1919" s="27" t="n"/>
      <c r="B1919" s="23" t="n"/>
      <c r="C1919" s="23" t="n"/>
      <c r="D1919" s="28" t="n"/>
      <c r="E1919" s="23" t="n"/>
      <c r="F1919" s="23" t="n"/>
      <c r="G1919" s="23" t="n"/>
      <c r="H1919" s="29">
        <f>IF(C1919="","",IFERROR(INDEX(Categories!$B$6:$B$65,MATCH(C1919,Categories!$A$6:$A$65,0))&amp;"",""))</f>
        <v/>
      </c>
      <c r="I1919" s="25">
        <f>IF(AND(A1919="",C1919="",D1919=""),"",IF(A1919="","Date missing",IF(NOT(ISNUMBER(A1919)),"Date not recognized",IF(YEAR(A1919)&lt;&gt;Settings!$C$4,"Not in "&amp;Settings!$C$4,IF(C1919="","Category missing",IF(H1919="",IF(COUNTIF(Categories!$A$6:$A$65,C1919)&gt;0,"Category has no type","Category not in list"),IF(D1919="","Amount missing",IF(NOT(ISNUMBER(D1919)),"Amount is not a number",IF(F1919="","",IF(ISNA(MATCH(F1919,Lists!$G$2:$G$25,0)),"Goal / fund not in list",IF(H1919="Income","Fund tag ignored on income","")))))))))))</f>
        <v/>
      </c>
    </row>
    <row r="1920">
      <c r="A1920" s="27" t="n"/>
      <c r="B1920" s="23" t="n"/>
      <c r="C1920" s="23" t="n"/>
      <c r="D1920" s="28" t="n"/>
      <c r="E1920" s="23" t="n"/>
      <c r="F1920" s="23" t="n"/>
      <c r="G1920" s="23" t="n"/>
      <c r="H1920" s="29">
        <f>IF(C1920="","",IFERROR(INDEX(Categories!$B$6:$B$65,MATCH(C1920,Categories!$A$6:$A$65,0))&amp;"",""))</f>
        <v/>
      </c>
      <c r="I1920" s="25">
        <f>IF(AND(A1920="",C1920="",D1920=""),"",IF(A1920="","Date missing",IF(NOT(ISNUMBER(A1920)),"Date not recognized",IF(YEAR(A1920)&lt;&gt;Settings!$C$4,"Not in "&amp;Settings!$C$4,IF(C1920="","Category missing",IF(H1920="",IF(COUNTIF(Categories!$A$6:$A$65,C1920)&gt;0,"Category has no type","Category not in list"),IF(D1920="","Amount missing",IF(NOT(ISNUMBER(D1920)),"Amount is not a number",IF(F1920="","",IF(ISNA(MATCH(F1920,Lists!$G$2:$G$25,0)),"Goal / fund not in list",IF(H1920="Income","Fund tag ignored on income","")))))))))))</f>
        <v/>
      </c>
    </row>
    <row r="1921">
      <c r="A1921" s="27" t="n"/>
      <c r="B1921" s="23" t="n"/>
      <c r="C1921" s="23" t="n"/>
      <c r="D1921" s="28" t="n"/>
      <c r="E1921" s="23" t="n"/>
      <c r="F1921" s="23" t="n"/>
      <c r="G1921" s="23" t="n"/>
      <c r="H1921" s="29">
        <f>IF(C1921="","",IFERROR(INDEX(Categories!$B$6:$B$65,MATCH(C1921,Categories!$A$6:$A$65,0))&amp;"",""))</f>
        <v/>
      </c>
      <c r="I1921" s="25">
        <f>IF(AND(A1921="",C1921="",D1921=""),"",IF(A1921="","Date missing",IF(NOT(ISNUMBER(A1921)),"Date not recognized",IF(YEAR(A1921)&lt;&gt;Settings!$C$4,"Not in "&amp;Settings!$C$4,IF(C1921="","Category missing",IF(H1921="",IF(COUNTIF(Categories!$A$6:$A$65,C1921)&gt;0,"Category has no type","Category not in list"),IF(D1921="","Amount missing",IF(NOT(ISNUMBER(D1921)),"Amount is not a number",IF(F1921="","",IF(ISNA(MATCH(F1921,Lists!$G$2:$G$25,0)),"Goal / fund not in list",IF(H1921="Income","Fund tag ignored on income","")))))))))))</f>
        <v/>
      </c>
    </row>
    <row r="1922">
      <c r="A1922" s="27" t="n"/>
      <c r="B1922" s="23" t="n"/>
      <c r="C1922" s="23" t="n"/>
      <c r="D1922" s="28" t="n"/>
      <c r="E1922" s="23" t="n"/>
      <c r="F1922" s="23" t="n"/>
      <c r="G1922" s="23" t="n"/>
      <c r="H1922" s="29">
        <f>IF(C1922="","",IFERROR(INDEX(Categories!$B$6:$B$65,MATCH(C1922,Categories!$A$6:$A$65,0))&amp;"",""))</f>
        <v/>
      </c>
      <c r="I1922" s="25">
        <f>IF(AND(A1922="",C1922="",D1922=""),"",IF(A1922="","Date missing",IF(NOT(ISNUMBER(A1922)),"Date not recognized",IF(YEAR(A1922)&lt;&gt;Settings!$C$4,"Not in "&amp;Settings!$C$4,IF(C1922="","Category missing",IF(H1922="",IF(COUNTIF(Categories!$A$6:$A$65,C1922)&gt;0,"Category has no type","Category not in list"),IF(D1922="","Amount missing",IF(NOT(ISNUMBER(D1922)),"Amount is not a number",IF(F1922="","",IF(ISNA(MATCH(F1922,Lists!$G$2:$G$25,0)),"Goal / fund not in list",IF(H1922="Income","Fund tag ignored on income","")))))))))))</f>
        <v/>
      </c>
    </row>
    <row r="1923">
      <c r="A1923" s="27" t="n"/>
      <c r="B1923" s="23" t="n"/>
      <c r="C1923" s="23" t="n"/>
      <c r="D1923" s="28" t="n"/>
      <c r="E1923" s="23" t="n"/>
      <c r="F1923" s="23" t="n"/>
      <c r="G1923" s="23" t="n"/>
      <c r="H1923" s="29">
        <f>IF(C1923="","",IFERROR(INDEX(Categories!$B$6:$B$65,MATCH(C1923,Categories!$A$6:$A$65,0))&amp;"",""))</f>
        <v/>
      </c>
      <c r="I1923" s="25">
        <f>IF(AND(A1923="",C1923="",D1923=""),"",IF(A1923="","Date missing",IF(NOT(ISNUMBER(A1923)),"Date not recognized",IF(YEAR(A1923)&lt;&gt;Settings!$C$4,"Not in "&amp;Settings!$C$4,IF(C1923="","Category missing",IF(H1923="",IF(COUNTIF(Categories!$A$6:$A$65,C1923)&gt;0,"Category has no type","Category not in list"),IF(D1923="","Amount missing",IF(NOT(ISNUMBER(D1923)),"Amount is not a number",IF(F1923="","",IF(ISNA(MATCH(F1923,Lists!$G$2:$G$25,0)),"Goal / fund not in list",IF(H1923="Income","Fund tag ignored on income","")))))))))))</f>
        <v/>
      </c>
    </row>
    <row r="1924">
      <c r="A1924" s="27" t="n"/>
      <c r="B1924" s="23" t="n"/>
      <c r="C1924" s="23" t="n"/>
      <c r="D1924" s="28" t="n"/>
      <c r="E1924" s="23" t="n"/>
      <c r="F1924" s="23" t="n"/>
      <c r="G1924" s="23" t="n"/>
      <c r="H1924" s="29">
        <f>IF(C1924="","",IFERROR(INDEX(Categories!$B$6:$B$65,MATCH(C1924,Categories!$A$6:$A$65,0))&amp;"",""))</f>
        <v/>
      </c>
      <c r="I1924" s="25">
        <f>IF(AND(A1924="",C1924="",D1924=""),"",IF(A1924="","Date missing",IF(NOT(ISNUMBER(A1924)),"Date not recognized",IF(YEAR(A1924)&lt;&gt;Settings!$C$4,"Not in "&amp;Settings!$C$4,IF(C1924="","Category missing",IF(H1924="",IF(COUNTIF(Categories!$A$6:$A$65,C1924)&gt;0,"Category has no type","Category not in list"),IF(D1924="","Amount missing",IF(NOT(ISNUMBER(D1924)),"Amount is not a number",IF(F1924="","",IF(ISNA(MATCH(F1924,Lists!$G$2:$G$25,0)),"Goal / fund not in list",IF(H1924="Income","Fund tag ignored on income","")))))))))))</f>
        <v/>
      </c>
    </row>
    <row r="1925">
      <c r="A1925" s="27" t="n"/>
      <c r="B1925" s="23" t="n"/>
      <c r="C1925" s="23" t="n"/>
      <c r="D1925" s="28" t="n"/>
      <c r="E1925" s="23" t="n"/>
      <c r="F1925" s="23" t="n"/>
      <c r="G1925" s="23" t="n"/>
      <c r="H1925" s="29">
        <f>IF(C1925="","",IFERROR(INDEX(Categories!$B$6:$B$65,MATCH(C1925,Categories!$A$6:$A$65,0))&amp;"",""))</f>
        <v/>
      </c>
      <c r="I1925" s="25">
        <f>IF(AND(A1925="",C1925="",D1925=""),"",IF(A1925="","Date missing",IF(NOT(ISNUMBER(A1925)),"Date not recognized",IF(YEAR(A1925)&lt;&gt;Settings!$C$4,"Not in "&amp;Settings!$C$4,IF(C1925="","Category missing",IF(H1925="",IF(COUNTIF(Categories!$A$6:$A$65,C1925)&gt;0,"Category has no type","Category not in list"),IF(D1925="","Amount missing",IF(NOT(ISNUMBER(D1925)),"Amount is not a number",IF(F1925="","",IF(ISNA(MATCH(F1925,Lists!$G$2:$G$25,0)),"Goal / fund not in list",IF(H1925="Income","Fund tag ignored on income","")))))))))))</f>
        <v/>
      </c>
    </row>
    <row r="1926">
      <c r="A1926" s="27" t="n"/>
      <c r="B1926" s="23" t="n"/>
      <c r="C1926" s="23" t="n"/>
      <c r="D1926" s="28" t="n"/>
      <c r="E1926" s="23" t="n"/>
      <c r="F1926" s="23" t="n"/>
      <c r="G1926" s="23" t="n"/>
      <c r="H1926" s="29">
        <f>IF(C1926="","",IFERROR(INDEX(Categories!$B$6:$B$65,MATCH(C1926,Categories!$A$6:$A$65,0))&amp;"",""))</f>
        <v/>
      </c>
      <c r="I1926" s="25">
        <f>IF(AND(A1926="",C1926="",D1926=""),"",IF(A1926="","Date missing",IF(NOT(ISNUMBER(A1926)),"Date not recognized",IF(YEAR(A1926)&lt;&gt;Settings!$C$4,"Not in "&amp;Settings!$C$4,IF(C1926="","Category missing",IF(H1926="",IF(COUNTIF(Categories!$A$6:$A$65,C1926)&gt;0,"Category has no type","Category not in list"),IF(D1926="","Amount missing",IF(NOT(ISNUMBER(D1926)),"Amount is not a number",IF(F1926="","",IF(ISNA(MATCH(F1926,Lists!$G$2:$G$25,0)),"Goal / fund not in list",IF(H1926="Income","Fund tag ignored on income","")))))))))))</f>
        <v/>
      </c>
    </row>
    <row r="1927">
      <c r="A1927" s="27" t="n"/>
      <c r="B1927" s="23" t="n"/>
      <c r="C1927" s="23" t="n"/>
      <c r="D1927" s="28" t="n"/>
      <c r="E1927" s="23" t="n"/>
      <c r="F1927" s="23" t="n"/>
      <c r="G1927" s="23" t="n"/>
      <c r="H1927" s="29">
        <f>IF(C1927="","",IFERROR(INDEX(Categories!$B$6:$B$65,MATCH(C1927,Categories!$A$6:$A$65,0))&amp;"",""))</f>
        <v/>
      </c>
      <c r="I1927" s="25">
        <f>IF(AND(A1927="",C1927="",D1927=""),"",IF(A1927="","Date missing",IF(NOT(ISNUMBER(A1927)),"Date not recognized",IF(YEAR(A1927)&lt;&gt;Settings!$C$4,"Not in "&amp;Settings!$C$4,IF(C1927="","Category missing",IF(H1927="",IF(COUNTIF(Categories!$A$6:$A$65,C1927)&gt;0,"Category has no type","Category not in list"),IF(D1927="","Amount missing",IF(NOT(ISNUMBER(D1927)),"Amount is not a number",IF(F1927="","",IF(ISNA(MATCH(F1927,Lists!$G$2:$G$25,0)),"Goal / fund not in list",IF(H1927="Income","Fund tag ignored on income","")))))))))))</f>
        <v/>
      </c>
    </row>
    <row r="1928">
      <c r="A1928" s="27" t="n"/>
      <c r="B1928" s="23" t="n"/>
      <c r="C1928" s="23" t="n"/>
      <c r="D1928" s="28" t="n"/>
      <c r="E1928" s="23" t="n"/>
      <c r="F1928" s="23" t="n"/>
      <c r="G1928" s="23" t="n"/>
      <c r="H1928" s="29">
        <f>IF(C1928="","",IFERROR(INDEX(Categories!$B$6:$B$65,MATCH(C1928,Categories!$A$6:$A$65,0))&amp;"",""))</f>
        <v/>
      </c>
      <c r="I1928" s="25">
        <f>IF(AND(A1928="",C1928="",D1928=""),"",IF(A1928="","Date missing",IF(NOT(ISNUMBER(A1928)),"Date not recognized",IF(YEAR(A1928)&lt;&gt;Settings!$C$4,"Not in "&amp;Settings!$C$4,IF(C1928="","Category missing",IF(H1928="",IF(COUNTIF(Categories!$A$6:$A$65,C1928)&gt;0,"Category has no type","Category not in list"),IF(D1928="","Amount missing",IF(NOT(ISNUMBER(D1928)),"Amount is not a number",IF(F1928="","",IF(ISNA(MATCH(F1928,Lists!$G$2:$G$25,0)),"Goal / fund not in list",IF(H1928="Income","Fund tag ignored on income","")))))))))))</f>
        <v/>
      </c>
    </row>
    <row r="1929">
      <c r="A1929" s="27" t="n"/>
      <c r="B1929" s="23" t="n"/>
      <c r="C1929" s="23" t="n"/>
      <c r="D1929" s="28" t="n"/>
      <c r="E1929" s="23" t="n"/>
      <c r="F1929" s="23" t="n"/>
      <c r="G1929" s="23" t="n"/>
      <c r="H1929" s="29">
        <f>IF(C1929="","",IFERROR(INDEX(Categories!$B$6:$B$65,MATCH(C1929,Categories!$A$6:$A$65,0))&amp;"",""))</f>
        <v/>
      </c>
      <c r="I1929" s="25">
        <f>IF(AND(A1929="",C1929="",D1929=""),"",IF(A1929="","Date missing",IF(NOT(ISNUMBER(A1929)),"Date not recognized",IF(YEAR(A1929)&lt;&gt;Settings!$C$4,"Not in "&amp;Settings!$C$4,IF(C1929="","Category missing",IF(H1929="",IF(COUNTIF(Categories!$A$6:$A$65,C1929)&gt;0,"Category has no type","Category not in list"),IF(D1929="","Amount missing",IF(NOT(ISNUMBER(D1929)),"Amount is not a number",IF(F1929="","",IF(ISNA(MATCH(F1929,Lists!$G$2:$G$25,0)),"Goal / fund not in list",IF(H1929="Income","Fund tag ignored on income","")))))))))))</f>
        <v/>
      </c>
    </row>
    <row r="1930">
      <c r="A1930" s="27" t="n"/>
      <c r="B1930" s="23" t="n"/>
      <c r="C1930" s="23" t="n"/>
      <c r="D1930" s="28" t="n"/>
      <c r="E1930" s="23" t="n"/>
      <c r="F1930" s="23" t="n"/>
      <c r="G1930" s="23" t="n"/>
      <c r="H1930" s="29">
        <f>IF(C1930="","",IFERROR(INDEX(Categories!$B$6:$B$65,MATCH(C1930,Categories!$A$6:$A$65,0))&amp;"",""))</f>
        <v/>
      </c>
      <c r="I1930" s="25">
        <f>IF(AND(A1930="",C1930="",D1930=""),"",IF(A1930="","Date missing",IF(NOT(ISNUMBER(A1930)),"Date not recognized",IF(YEAR(A1930)&lt;&gt;Settings!$C$4,"Not in "&amp;Settings!$C$4,IF(C1930="","Category missing",IF(H1930="",IF(COUNTIF(Categories!$A$6:$A$65,C1930)&gt;0,"Category has no type","Category not in list"),IF(D1930="","Amount missing",IF(NOT(ISNUMBER(D1930)),"Amount is not a number",IF(F1930="","",IF(ISNA(MATCH(F1930,Lists!$G$2:$G$25,0)),"Goal / fund not in list",IF(H1930="Income","Fund tag ignored on income","")))))))))))</f>
        <v/>
      </c>
    </row>
    <row r="1931">
      <c r="A1931" s="27" t="n"/>
      <c r="B1931" s="23" t="n"/>
      <c r="C1931" s="23" t="n"/>
      <c r="D1931" s="28" t="n"/>
      <c r="E1931" s="23" t="n"/>
      <c r="F1931" s="23" t="n"/>
      <c r="G1931" s="23" t="n"/>
      <c r="H1931" s="29">
        <f>IF(C1931="","",IFERROR(INDEX(Categories!$B$6:$B$65,MATCH(C1931,Categories!$A$6:$A$65,0))&amp;"",""))</f>
        <v/>
      </c>
      <c r="I1931" s="25">
        <f>IF(AND(A1931="",C1931="",D1931=""),"",IF(A1931="","Date missing",IF(NOT(ISNUMBER(A1931)),"Date not recognized",IF(YEAR(A1931)&lt;&gt;Settings!$C$4,"Not in "&amp;Settings!$C$4,IF(C1931="","Category missing",IF(H1931="",IF(COUNTIF(Categories!$A$6:$A$65,C1931)&gt;0,"Category has no type","Category not in list"),IF(D1931="","Amount missing",IF(NOT(ISNUMBER(D1931)),"Amount is not a number",IF(F1931="","",IF(ISNA(MATCH(F1931,Lists!$G$2:$G$25,0)),"Goal / fund not in list",IF(H1931="Income","Fund tag ignored on income","")))))))))))</f>
        <v/>
      </c>
    </row>
    <row r="1932">
      <c r="A1932" s="27" t="n"/>
      <c r="B1932" s="23" t="n"/>
      <c r="C1932" s="23" t="n"/>
      <c r="D1932" s="28" t="n"/>
      <c r="E1932" s="23" t="n"/>
      <c r="F1932" s="23" t="n"/>
      <c r="G1932" s="23" t="n"/>
      <c r="H1932" s="29">
        <f>IF(C1932="","",IFERROR(INDEX(Categories!$B$6:$B$65,MATCH(C1932,Categories!$A$6:$A$65,0))&amp;"",""))</f>
        <v/>
      </c>
      <c r="I1932" s="25">
        <f>IF(AND(A1932="",C1932="",D1932=""),"",IF(A1932="","Date missing",IF(NOT(ISNUMBER(A1932)),"Date not recognized",IF(YEAR(A1932)&lt;&gt;Settings!$C$4,"Not in "&amp;Settings!$C$4,IF(C1932="","Category missing",IF(H1932="",IF(COUNTIF(Categories!$A$6:$A$65,C1932)&gt;0,"Category has no type","Category not in list"),IF(D1932="","Amount missing",IF(NOT(ISNUMBER(D1932)),"Amount is not a number",IF(F1932="","",IF(ISNA(MATCH(F1932,Lists!$G$2:$G$25,0)),"Goal / fund not in list",IF(H1932="Income","Fund tag ignored on income","")))))))))))</f>
        <v/>
      </c>
    </row>
    <row r="1933">
      <c r="A1933" s="27" t="n"/>
      <c r="B1933" s="23" t="n"/>
      <c r="C1933" s="23" t="n"/>
      <c r="D1933" s="28" t="n"/>
      <c r="E1933" s="23" t="n"/>
      <c r="F1933" s="23" t="n"/>
      <c r="G1933" s="23" t="n"/>
      <c r="H1933" s="29">
        <f>IF(C1933="","",IFERROR(INDEX(Categories!$B$6:$B$65,MATCH(C1933,Categories!$A$6:$A$65,0))&amp;"",""))</f>
        <v/>
      </c>
      <c r="I1933" s="25">
        <f>IF(AND(A1933="",C1933="",D1933=""),"",IF(A1933="","Date missing",IF(NOT(ISNUMBER(A1933)),"Date not recognized",IF(YEAR(A1933)&lt;&gt;Settings!$C$4,"Not in "&amp;Settings!$C$4,IF(C1933="","Category missing",IF(H1933="",IF(COUNTIF(Categories!$A$6:$A$65,C1933)&gt;0,"Category has no type","Category not in list"),IF(D1933="","Amount missing",IF(NOT(ISNUMBER(D1933)),"Amount is not a number",IF(F1933="","",IF(ISNA(MATCH(F1933,Lists!$G$2:$G$25,0)),"Goal / fund not in list",IF(H1933="Income","Fund tag ignored on income","")))))))))))</f>
        <v/>
      </c>
    </row>
    <row r="1934">
      <c r="A1934" s="27" t="n"/>
      <c r="B1934" s="23" t="n"/>
      <c r="C1934" s="23" t="n"/>
      <c r="D1934" s="28" t="n"/>
      <c r="E1934" s="23" t="n"/>
      <c r="F1934" s="23" t="n"/>
      <c r="G1934" s="23" t="n"/>
      <c r="H1934" s="29">
        <f>IF(C1934="","",IFERROR(INDEX(Categories!$B$6:$B$65,MATCH(C1934,Categories!$A$6:$A$65,0))&amp;"",""))</f>
        <v/>
      </c>
      <c r="I1934" s="25">
        <f>IF(AND(A1934="",C1934="",D1934=""),"",IF(A1934="","Date missing",IF(NOT(ISNUMBER(A1934)),"Date not recognized",IF(YEAR(A1934)&lt;&gt;Settings!$C$4,"Not in "&amp;Settings!$C$4,IF(C1934="","Category missing",IF(H1934="",IF(COUNTIF(Categories!$A$6:$A$65,C1934)&gt;0,"Category has no type","Category not in list"),IF(D1934="","Amount missing",IF(NOT(ISNUMBER(D1934)),"Amount is not a number",IF(F1934="","",IF(ISNA(MATCH(F1934,Lists!$G$2:$G$25,0)),"Goal / fund not in list",IF(H1934="Income","Fund tag ignored on income","")))))))))))</f>
        <v/>
      </c>
    </row>
    <row r="1935">
      <c r="A1935" s="27" t="n"/>
      <c r="B1935" s="23" t="n"/>
      <c r="C1935" s="23" t="n"/>
      <c r="D1935" s="28" t="n"/>
      <c r="E1935" s="23" t="n"/>
      <c r="F1935" s="23" t="n"/>
      <c r="G1935" s="23" t="n"/>
      <c r="H1935" s="29">
        <f>IF(C1935="","",IFERROR(INDEX(Categories!$B$6:$B$65,MATCH(C1935,Categories!$A$6:$A$65,0))&amp;"",""))</f>
        <v/>
      </c>
      <c r="I1935" s="25">
        <f>IF(AND(A1935="",C1935="",D1935=""),"",IF(A1935="","Date missing",IF(NOT(ISNUMBER(A1935)),"Date not recognized",IF(YEAR(A1935)&lt;&gt;Settings!$C$4,"Not in "&amp;Settings!$C$4,IF(C1935="","Category missing",IF(H1935="",IF(COUNTIF(Categories!$A$6:$A$65,C1935)&gt;0,"Category has no type","Category not in list"),IF(D1935="","Amount missing",IF(NOT(ISNUMBER(D1935)),"Amount is not a number",IF(F1935="","",IF(ISNA(MATCH(F1935,Lists!$G$2:$G$25,0)),"Goal / fund not in list",IF(H1935="Income","Fund tag ignored on income","")))))))))))</f>
        <v/>
      </c>
    </row>
    <row r="1936">
      <c r="A1936" s="27" t="n"/>
      <c r="B1936" s="23" t="n"/>
      <c r="C1936" s="23" t="n"/>
      <c r="D1936" s="28" t="n"/>
      <c r="E1936" s="23" t="n"/>
      <c r="F1936" s="23" t="n"/>
      <c r="G1936" s="23" t="n"/>
      <c r="H1936" s="29">
        <f>IF(C1936="","",IFERROR(INDEX(Categories!$B$6:$B$65,MATCH(C1936,Categories!$A$6:$A$65,0))&amp;"",""))</f>
        <v/>
      </c>
      <c r="I1936" s="25">
        <f>IF(AND(A1936="",C1936="",D1936=""),"",IF(A1936="","Date missing",IF(NOT(ISNUMBER(A1936)),"Date not recognized",IF(YEAR(A1936)&lt;&gt;Settings!$C$4,"Not in "&amp;Settings!$C$4,IF(C1936="","Category missing",IF(H1936="",IF(COUNTIF(Categories!$A$6:$A$65,C1936)&gt;0,"Category has no type","Category not in list"),IF(D1936="","Amount missing",IF(NOT(ISNUMBER(D1936)),"Amount is not a number",IF(F1936="","",IF(ISNA(MATCH(F1936,Lists!$G$2:$G$25,0)),"Goal / fund not in list",IF(H1936="Income","Fund tag ignored on income","")))))))))))</f>
        <v/>
      </c>
    </row>
    <row r="1937">
      <c r="A1937" s="27" t="n"/>
      <c r="B1937" s="23" t="n"/>
      <c r="C1937" s="23" t="n"/>
      <c r="D1937" s="28" t="n"/>
      <c r="E1937" s="23" t="n"/>
      <c r="F1937" s="23" t="n"/>
      <c r="G1937" s="23" t="n"/>
      <c r="H1937" s="29">
        <f>IF(C1937="","",IFERROR(INDEX(Categories!$B$6:$B$65,MATCH(C1937,Categories!$A$6:$A$65,0))&amp;"",""))</f>
        <v/>
      </c>
      <c r="I1937" s="25">
        <f>IF(AND(A1937="",C1937="",D1937=""),"",IF(A1937="","Date missing",IF(NOT(ISNUMBER(A1937)),"Date not recognized",IF(YEAR(A1937)&lt;&gt;Settings!$C$4,"Not in "&amp;Settings!$C$4,IF(C1937="","Category missing",IF(H1937="",IF(COUNTIF(Categories!$A$6:$A$65,C1937)&gt;0,"Category has no type","Category not in list"),IF(D1937="","Amount missing",IF(NOT(ISNUMBER(D1937)),"Amount is not a number",IF(F1937="","",IF(ISNA(MATCH(F1937,Lists!$G$2:$G$25,0)),"Goal / fund not in list",IF(H1937="Income","Fund tag ignored on income","")))))))))))</f>
        <v/>
      </c>
    </row>
    <row r="1938">
      <c r="A1938" s="27" t="n"/>
      <c r="B1938" s="23" t="n"/>
      <c r="C1938" s="23" t="n"/>
      <c r="D1938" s="28" t="n"/>
      <c r="E1938" s="23" t="n"/>
      <c r="F1938" s="23" t="n"/>
      <c r="G1938" s="23" t="n"/>
      <c r="H1938" s="29">
        <f>IF(C1938="","",IFERROR(INDEX(Categories!$B$6:$B$65,MATCH(C1938,Categories!$A$6:$A$65,0))&amp;"",""))</f>
        <v/>
      </c>
      <c r="I1938" s="25">
        <f>IF(AND(A1938="",C1938="",D1938=""),"",IF(A1938="","Date missing",IF(NOT(ISNUMBER(A1938)),"Date not recognized",IF(YEAR(A1938)&lt;&gt;Settings!$C$4,"Not in "&amp;Settings!$C$4,IF(C1938="","Category missing",IF(H1938="",IF(COUNTIF(Categories!$A$6:$A$65,C1938)&gt;0,"Category has no type","Category not in list"),IF(D1938="","Amount missing",IF(NOT(ISNUMBER(D1938)),"Amount is not a number",IF(F1938="","",IF(ISNA(MATCH(F1938,Lists!$G$2:$G$25,0)),"Goal / fund not in list",IF(H1938="Income","Fund tag ignored on income","")))))))))))</f>
        <v/>
      </c>
    </row>
    <row r="1939">
      <c r="A1939" s="27" t="n"/>
      <c r="B1939" s="23" t="n"/>
      <c r="C1939" s="23" t="n"/>
      <c r="D1939" s="28" t="n"/>
      <c r="E1939" s="23" t="n"/>
      <c r="F1939" s="23" t="n"/>
      <c r="G1939" s="23" t="n"/>
      <c r="H1939" s="29">
        <f>IF(C1939="","",IFERROR(INDEX(Categories!$B$6:$B$65,MATCH(C1939,Categories!$A$6:$A$65,0))&amp;"",""))</f>
        <v/>
      </c>
      <c r="I1939" s="25">
        <f>IF(AND(A1939="",C1939="",D1939=""),"",IF(A1939="","Date missing",IF(NOT(ISNUMBER(A1939)),"Date not recognized",IF(YEAR(A1939)&lt;&gt;Settings!$C$4,"Not in "&amp;Settings!$C$4,IF(C1939="","Category missing",IF(H1939="",IF(COUNTIF(Categories!$A$6:$A$65,C1939)&gt;0,"Category has no type","Category not in list"),IF(D1939="","Amount missing",IF(NOT(ISNUMBER(D1939)),"Amount is not a number",IF(F1939="","",IF(ISNA(MATCH(F1939,Lists!$G$2:$G$25,0)),"Goal / fund not in list",IF(H1939="Income","Fund tag ignored on income","")))))))))))</f>
        <v/>
      </c>
    </row>
    <row r="1940">
      <c r="A1940" s="27" t="n"/>
      <c r="B1940" s="23" t="n"/>
      <c r="C1940" s="23" t="n"/>
      <c r="D1940" s="28" t="n"/>
      <c r="E1940" s="23" t="n"/>
      <c r="F1940" s="23" t="n"/>
      <c r="G1940" s="23" t="n"/>
      <c r="H1940" s="29">
        <f>IF(C1940="","",IFERROR(INDEX(Categories!$B$6:$B$65,MATCH(C1940,Categories!$A$6:$A$65,0))&amp;"",""))</f>
        <v/>
      </c>
      <c r="I1940" s="25">
        <f>IF(AND(A1940="",C1940="",D1940=""),"",IF(A1940="","Date missing",IF(NOT(ISNUMBER(A1940)),"Date not recognized",IF(YEAR(A1940)&lt;&gt;Settings!$C$4,"Not in "&amp;Settings!$C$4,IF(C1940="","Category missing",IF(H1940="",IF(COUNTIF(Categories!$A$6:$A$65,C1940)&gt;0,"Category has no type","Category not in list"),IF(D1940="","Amount missing",IF(NOT(ISNUMBER(D1940)),"Amount is not a number",IF(F1940="","",IF(ISNA(MATCH(F1940,Lists!$G$2:$G$25,0)),"Goal / fund not in list",IF(H1940="Income","Fund tag ignored on income","")))))))))))</f>
        <v/>
      </c>
    </row>
    <row r="1941">
      <c r="A1941" s="27" t="n"/>
      <c r="B1941" s="23" t="n"/>
      <c r="C1941" s="23" t="n"/>
      <c r="D1941" s="28" t="n"/>
      <c r="E1941" s="23" t="n"/>
      <c r="F1941" s="23" t="n"/>
      <c r="G1941" s="23" t="n"/>
      <c r="H1941" s="29">
        <f>IF(C1941="","",IFERROR(INDEX(Categories!$B$6:$B$65,MATCH(C1941,Categories!$A$6:$A$65,0))&amp;"",""))</f>
        <v/>
      </c>
      <c r="I1941" s="25">
        <f>IF(AND(A1941="",C1941="",D1941=""),"",IF(A1941="","Date missing",IF(NOT(ISNUMBER(A1941)),"Date not recognized",IF(YEAR(A1941)&lt;&gt;Settings!$C$4,"Not in "&amp;Settings!$C$4,IF(C1941="","Category missing",IF(H1941="",IF(COUNTIF(Categories!$A$6:$A$65,C1941)&gt;0,"Category has no type","Category not in list"),IF(D1941="","Amount missing",IF(NOT(ISNUMBER(D1941)),"Amount is not a number",IF(F1941="","",IF(ISNA(MATCH(F1941,Lists!$G$2:$G$25,0)),"Goal / fund not in list",IF(H1941="Income","Fund tag ignored on income","")))))))))))</f>
        <v/>
      </c>
    </row>
    <row r="1942">
      <c r="A1942" s="27" t="n"/>
      <c r="B1942" s="23" t="n"/>
      <c r="C1942" s="23" t="n"/>
      <c r="D1942" s="28" t="n"/>
      <c r="E1942" s="23" t="n"/>
      <c r="F1942" s="23" t="n"/>
      <c r="G1942" s="23" t="n"/>
      <c r="H1942" s="29">
        <f>IF(C1942="","",IFERROR(INDEX(Categories!$B$6:$B$65,MATCH(C1942,Categories!$A$6:$A$65,0))&amp;"",""))</f>
        <v/>
      </c>
      <c r="I1942" s="25">
        <f>IF(AND(A1942="",C1942="",D1942=""),"",IF(A1942="","Date missing",IF(NOT(ISNUMBER(A1942)),"Date not recognized",IF(YEAR(A1942)&lt;&gt;Settings!$C$4,"Not in "&amp;Settings!$C$4,IF(C1942="","Category missing",IF(H1942="",IF(COUNTIF(Categories!$A$6:$A$65,C1942)&gt;0,"Category has no type","Category not in list"),IF(D1942="","Amount missing",IF(NOT(ISNUMBER(D1942)),"Amount is not a number",IF(F1942="","",IF(ISNA(MATCH(F1942,Lists!$G$2:$G$25,0)),"Goal / fund not in list",IF(H1942="Income","Fund tag ignored on income","")))))))))))</f>
        <v/>
      </c>
    </row>
    <row r="1943">
      <c r="A1943" s="27" t="n"/>
      <c r="B1943" s="23" t="n"/>
      <c r="C1943" s="23" t="n"/>
      <c r="D1943" s="28" t="n"/>
      <c r="E1943" s="23" t="n"/>
      <c r="F1943" s="23" t="n"/>
      <c r="G1943" s="23" t="n"/>
      <c r="H1943" s="29">
        <f>IF(C1943="","",IFERROR(INDEX(Categories!$B$6:$B$65,MATCH(C1943,Categories!$A$6:$A$65,0))&amp;"",""))</f>
        <v/>
      </c>
      <c r="I1943" s="25">
        <f>IF(AND(A1943="",C1943="",D1943=""),"",IF(A1943="","Date missing",IF(NOT(ISNUMBER(A1943)),"Date not recognized",IF(YEAR(A1943)&lt;&gt;Settings!$C$4,"Not in "&amp;Settings!$C$4,IF(C1943="","Category missing",IF(H1943="",IF(COUNTIF(Categories!$A$6:$A$65,C1943)&gt;0,"Category has no type","Category not in list"),IF(D1943="","Amount missing",IF(NOT(ISNUMBER(D1943)),"Amount is not a number",IF(F1943="","",IF(ISNA(MATCH(F1943,Lists!$G$2:$G$25,0)),"Goal / fund not in list",IF(H1943="Income","Fund tag ignored on income","")))))))))))</f>
        <v/>
      </c>
    </row>
    <row r="1944">
      <c r="A1944" s="27" t="n"/>
      <c r="B1944" s="23" t="n"/>
      <c r="C1944" s="23" t="n"/>
      <c r="D1944" s="28" t="n"/>
      <c r="E1944" s="23" t="n"/>
      <c r="F1944" s="23" t="n"/>
      <c r="G1944" s="23" t="n"/>
      <c r="H1944" s="29">
        <f>IF(C1944="","",IFERROR(INDEX(Categories!$B$6:$B$65,MATCH(C1944,Categories!$A$6:$A$65,0))&amp;"",""))</f>
        <v/>
      </c>
      <c r="I1944" s="25">
        <f>IF(AND(A1944="",C1944="",D1944=""),"",IF(A1944="","Date missing",IF(NOT(ISNUMBER(A1944)),"Date not recognized",IF(YEAR(A1944)&lt;&gt;Settings!$C$4,"Not in "&amp;Settings!$C$4,IF(C1944="","Category missing",IF(H1944="",IF(COUNTIF(Categories!$A$6:$A$65,C1944)&gt;0,"Category has no type","Category not in list"),IF(D1944="","Amount missing",IF(NOT(ISNUMBER(D1944)),"Amount is not a number",IF(F1944="","",IF(ISNA(MATCH(F1944,Lists!$G$2:$G$25,0)),"Goal / fund not in list",IF(H1944="Income","Fund tag ignored on income","")))))))))))</f>
        <v/>
      </c>
    </row>
    <row r="1945">
      <c r="A1945" s="27" t="n"/>
      <c r="B1945" s="23" t="n"/>
      <c r="C1945" s="23" t="n"/>
      <c r="D1945" s="28" t="n"/>
      <c r="E1945" s="23" t="n"/>
      <c r="F1945" s="23" t="n"/>
      <c r="G1945" s="23" t="n"/>
      <c r="H1945" s="29">
        <f>IF(C1945="","",IFERROR(INDEX(Categories!$B$6:$B$65,MATCH(C1945,Categories!$A$6:$A$65,0))&amp;"",""))</f>
        <v/>
      </c>
      <c r="I1945" s="25">
        <f>IF(AND(A1945="",C1945="",D1945=""),"",IF(A1945="","Date missing",IF(NOT(ISNUMBER(A1945)),"Date not recognized",IF(YEAR(A1945)&lt;&gt;Settings!$C$4,"Not in "&amp;Settings!$C$4,IF(C1945="","Category missing",IF(H1945="",IF(COUNTIF(Categories!$A$6:$A$65,C1945)&gt;0,"Category has no type","Category not in list"),IF(D1945="","Amount missing",IF(NOT(ISNUMBER(D1945)),"Amount is not a number",IF(F1945="","",IF(ISNA(MATCH(F1945,Lists!$G$2:$G$25,0)),"Goal / fund not in list",IF(H1945="Income","Fund tag ignored on income","")))))))))))</f>
        <v/>
      </c>
    </row>
    <row r="1946">
      <c r="A1946" s="27" t="n"/>
      <c r="B1946" s="23" t="n"/>
      <c r="C1946" s="23" t="n"/>
      <c r="D1946" s="28" t="n"/>
      <c r="E1946" s="23" t="n"/>
      <c r="F1946" s="23" t="n"/>
      <c r="G1946" s="23" t="n"/>
      <c r="H1946" s="29">
        <f>IF(C1946="","",IFERROR(INDEX(Categories!$B$6:$B$65,MATCH(C1946,Categories!$A$6:$A$65,0))&amp;"",""))</f>
        <v/>
      </c>
      <c r="I1946" s="25">
        <f>IF(AND(A1946="",C1946="",D1946=""),"",IF(A1946="","Date missing",IF(NOT(ISNUMBER(A1946)),"Date not recognized",IF(YEAR(A1946)&lt;&gt;Settings!$C$4,"Not in "&amp;Settings!$C$4,IF(C1946="","Category missing",IF(H1946="",IF(COUNTIF(Categories!$A$6:$A$65,C1946)&gt;0,"Category has no type","Category not in list"),IF(D1946="","Amount missing",IF(NOT(ISNUMBER(D1946)),"Amount is not a number",IF(F1946="","",IF(ISNA(MATCH(F1946,Lists!$G$2:$G$25,0)),"Goal / fund not in list",IF(H1946="Income","Fund tag ignored on income","")))))))))))</f>
        <v/>
      </c>
    </row>
    <row r="1947">
      <c r="A1947" s="27" t="n"/>
      <c r="B1947" s="23" t="n"/>
      <c r="C1947" s="23" t="n"/>
      <c r="D1947" s="28" t="n"/>
      <c r="E1947" s="23" t="n"/>
      <c r="F1947" s="23" t="n"/>
      <c r="G1947" s="23" t="n"/>
      <c r="H1947" s="29">
        <f>IF(C1947="","",IFERROR(INDEX(Categories!$B$6:$B$65,MATCH(C1947,Categories!$A$6:$A$65,0))&amp;"",""))</f>
        <v/>
      </c>
      <c r="I1947" s="25">
        <f>IF(AND(A1947="",C1947="",D1947=""),"",IF(A1947="","Date missing",IF(NOT(ISNUMBER(A1947)),"Date not recognized",IF(YEAR(A1947)&lt;&gt;Settings!$C$4,"Not in "&amp;Settings!$C$4,IF(C1947="","Category missing",IF(H1947="",IF(COUNTIF(Categories!$A$6:$A$65,C1947)&gt;0,"Category has no type","Category not in list"),IF(D1947="","Amount missing",IF(NOT(ISNUMBER(D1947)),"Amount is not a number",IF(F1947="","",IF(ISNA(MATCH(F1947,Lists!$G$2:$G$25,0)),"Goal / fund not in list",IF(H1947="Income","Fund tag ignored on income","")))))))))))</f>
        <v/>
      </c>
    </row>
    <row r="1948">
      <c r="A1948" s="27" t="n"/>
      <c r="B1948" s="23" t="n"/>
      <c r="C1948" s="23" t="n"/>
      <c r="D1948" s="28" t="n"/>
      <c r="E1948" s="23" t="n"/>
      <c r="F1948" s="23" t="n"/>
      <c r="G1948" s="23" t="n"/>
      <c r="H1948" s="29">
        <f>IF(C1948="","",IFERROR(INDEX(Categories!$B$6:$B$65,MATCH(C1948,Categories!$A$6:$A$65,0))&amp;"",""))</f>
        <v/>
      </c>
      <c r="I1948" s="25">
        <f>IF(AND(A1948="",C1948="",D1948=""),"",IF(A1948="","Date missing",IF(NOT(ISNUMBER(A1948)),"Date not recognized",IF(YEAR(A1948)&lt;&gt;Settings!$C$4,"Not in "&amp;Settings!$C$4,IF(C1948="","Category missing",IF(H1948="",IF(COUNTIF(Categories!$A$6:$A$65,C1948)&gt;0,"Category has no type","Category not in list"),IF(D1948="","Amount missing",IF(NOT(ISNUMBER(D1948)),"Amount is not a number",IF(F1948="","",IF(ISNA(MATCH(F1948,Lists!$G$2:$G$25,0)),"Goal / fund not in list",IF(H1948="Income","Fund tag ignored on income","")))))))))))</f>
        <v/>
      </c>
    </row>
    <row r="1949">
      <c r="A1949" s="27" t="n"/>
      <c r="B1949" s="23" t="n"/>
      <c r="C1949" s="23" t="n"/>
      <c r="D1949" s="28" t="n"/>
      <c r="E1949" s="23" t="n"/>
      <c r="F1949" s="23" t="n"/>
      <c r="G1949" s="23" t="n"/>
      <c r="H1949" s="29">
        <f>IF(C1949="","",IFERROR(INDEX(Categories!$B$6:$B$65,MATCH(C1949,Categories!$A$6:$A$65,0))&amp;"",""))</f>
        <v/>
      </c>
      <c r="I1949" s="25">
        <f>IF(AND(A1949="",C1949="",D1949=""),"",IF(A1949="","Date missing",IF(NOT(ISNUMBER(A1949)),"Date not recognized",IF(YEAR(A1949)&lt;&gt;Settings!$C$4,"Not in "&amp;Settings!$C$4,IF(C1949="","Category missing",IF(H1949="",IF(COUNTIF(Categories!$A$6:$A$65,C1949)&gt;0,"Category has no type","Category not in list"),IF(D1949="","Amount missing",IF(NOT(ISNUMBER(D1949)),"Amount is not a number",IF(F1949="","",IF(ISNA(MATCH(F1949,Lists!$G$2:$G$25,0)),"Goal / fund not in list",IF(H1949="Income","Fund tag ignored on income","")))))))))))</f>
        <v/>
      </c>
    </row>
    <row r="1950">
      <c r="A1950" s="27" t="n"/>
      <c r="B1950" s="23" t="n"/>
      <c r="C1950" s="23" t="n"/>
      <c r="D1950" s="28" t="n"/>
      <c r="E1950" s="23" t="n"/>
      <c r="F1950" s="23" t="n"/>
      <c r="G1950" s="23" t="n"/>
      <c r="H1950" s="29">
        <f>IF(C1950="","",IFERROR(INDEX(Categories!$B$6:$B$65,MATCH(C1950,Categories!$A$6:$A$65,0))&amp;"",""))</f>
        <v/>
      </c>
      <c r="I1950" s="25">
        <f>IF(AND(A1950="",C1950="",D1950=""),"",IF(A1950="","Date missing",IF(NOT(ISNUMBER(A1950)),"Date not recognized",IF(YEAR(A1950)&lt;&gt;Settings!$C$4,"Not in "&amp;Settings!$C$4,IF(C1950="","Category missing",IF(H1950="",IF(COUNTIF(Categories!$A$6:$A$65,C1950)&gt;0,"Category has no type","Category not in list"),IF(D1950="","Amount missing",IF(NOT(ISNUMBER(D1950)),"Amount is not a number",IF(F1950="","",IF(ISNA(MATCH(F1950,Lists!$G$2:$G$25,0)),"Goal / fund not in list",IF(H1950="Income","Fund tag ignored on income","")))))))))))</f>
        <v/>
      </c>
    </row>
    <row r="1951">
      <c r="A1951" s="27" t="n"/>
      <c r="B1951" s="23" t="n"/>
      <c r="C1951" s="23" t="n"/>
      <c r="D1951" s="28" t="n"/>
      <c r="E1951" s="23" t="n"/>
      <c r="F1951" s="23" t="n"/>
      <c r="G1951" s="23" t="n"/>
      <c r="H1951" s="29">
        <f>IF(C1951="","",IFERROR(INDEX(Categories!$B$6:$B$65,MATCH(C1951,Categories!$A$6:$A$65,0))&amp;"",""))</f>
        <v/>
      </c>
      <c r="I1951" s="25">
        <f>IF(AND(A1951="",C1951="",D1951=""),"",IF(A1951="","Date missing",IF(NOT(ISNUMBER(A1951)),"Date not recognized",IF(YEAR(A1951)&lt;&gt;Settings!$C$4,"Not in "&amp;Settings!$C$4,IF(C1951="","Category missing",IF(H1951="",IF(COUNTIF(Categories!$A$6:$A$65,C1951)&gt;0,"Category has no type","Category not in list"),IF(D1951="","Amount missing",IF(NOT(ISNUMBER(D1951)),"Amount is not a number",IF(F1951="","",IF(ISNA(MATCH(F1951,Lists!$G$2:$G$25,0)),"Goal / fund not in list",IF(H1951="Income","Fund tag ignored on income","")))))))))))</f>
        <v/>
      </c>
    </row>
    <row r="1952">
      <c r="A1952" s="27" t="n"/>
      <c r="B1952" s="23" t="n"/>
      <c r="C1952" s="23" t="n"/>
      <c r="D1952" s="28" t="n"/>
      <c r="E1952" s="23" t="n"/>
      <c r="F1952" s="23" t="n"/>
      <c r="G1952" s="23" t="n"/>
      <c r="H1952" s="29">
        <f>IF(C1952="","",IFERROR(INDEX(Categories!$B$6:$B$65,MATCH(C1952,Categories!$A$6:$A$65,0))&amp;"",""))</f>
        <v/>
      </c>
      <c r="I1952" s="25">
        <f>IF(AND(A1952="",C1952="",D1952=""),"",IF(A1952="","Date missing",IF(NOT(ISNUMBER(A1952)),"Date not recognized",IF(YEAR(A1952)&lt;&gt;Settings!$C$4,"Not in "&amp;Settings!$C$4,IF(C1952="","Category missing",IF(H1952="",IF(COUNTIF(Categories!$A$6:$A$65,C1952)&gt;0,"Category has no type","Category not in list"),IF(D1952="","Amount missing",IF(NOT(ISNUMBER(D1952)),"Amount is not a number",IF(F1952="","",IF(ISNA(MATCH(F1952,Lists!$G$2:$G$25,0)),"Goal / fund not in list",IF(H1952="Income","Fund tag ignored on income","")))))))))))</f>
        <v/>
      </c>
    </row>
    <row r="1953">
      <c r="A1953" s="27" t="n"/>
      <c r="B1953" s="23" t="n"/>
      <c r="C1953" s="23" t="n"/>
      <c r="D1953" s="28" t="n"/>
      <c r="E1953" s="23" t="n"/>
      <c r="F1953" s="23" t="n"/>
      <c r="G1953" s="23" t="n"/>
      <c r="H1953" s="29">
        <f>IF(C1953="","",IFERROR(INDEX(Categories!$B$6:$B$65,MATCH(C1953,Categories!$A$6:$A$65,0))&amp;"",""))</f>
        <v/>
      </c>
      <c r="I1953" s="25">
        <f>IF(AND(A1953="",C1953="",D1953=""),"",IF(A1953="","Date missing",IF(NOT(ISNUMBER(A1953)),"Date not recognized",IF(YEAR(A1953)&lt;&gt;Settings!$C$4,"Not in "&amp;Settings!$C$4,IF(C1953="","Category missing",IF(H1953="",IF(COUNTIF(Categories!$A$6:$A$65,C1953)&gt;0,"Category has no type","Category not in list"),IF(D1953="","Amount missing",IF(NOT(ISNUMBER(D1953)),"Amount is not a number",IF(F1953="","",IF(ISNA(MATCH(F1953,Lists!$G$2:$G$25,0)),"Goal / fund not in list",IF(H1953="Income","Fund tag ignored on income","")))))))))))</f>
        <v/>
      </c>
    </row>
    <row r="1954">
      <c r="A1954" s="27" t="n"/>
      <c r="B1954" s="23" t="n"/>
      <c r="C1954" s="23" t="n"/>
      <c r="D1954" s="28" t="n"/>
      <c r="E1954" s="23" t="n"/>
      <c r="F1954" s="23" t="n"/>
      <c r="G1954" s="23" t="n"/>
      <c r="H1954" s="29">
        <f>IF(C1954="","",IFERROR(INDEX(Categories!$B$6:$B$65,MATCH(C1954,Categories!$A$6:$A$65,0))&amp;"",""))</f>
        <v/>
      </c>
      <c r="I1954" s="25">
        <f>IF(AND(A1954="",C1954="",D1954=""),"",IF(A1954="","Date missing",IF(NOT(ISNUMBER(A1954)),"Date not recognized",IF(YEAR(A1954)&lt;&gt;Settings!$C$4,"Not in "&amp;Settings!$C$4,IF(C1954="","Category missing",IF(H1954="",IF(COUNTIF(Categories!$A$6:$A$65,C1954)&gt;0,"Category has no type","Category not in list"),IF(D1954="","Amount missing",IF(NOT(ISNUMBER(D1954)),"Amount is not a number",IF(F1954="","",IF(ISNA(MATCH(F1954,Lists!$G$2:$G$25,0)),"Goal / fund not in list",IF(H1954="Income","Fund tag ignored on income","")))))))))))</f>
        <v/>
      </c>
    </row>
    <row r="1955">
      <c r="A1955" s="27" t="n"/>
      <c r="B1955" s="23" t="n"/>
      <c r="C1955" s="23" t="n"/>
      <c r="D1955" s="28" t="n"/>
      <c r="E1955" s="23" t="n"/>
      <c r="F1955" s="23" t="n"/>
      <c r="G1955" s="23" t="n"/>
      <c r="H1955" s="29">
        <f>IF(C1955="","",IFERROR(INDEX(Categories!$B$6:$B$65,MATCH(C1955,Categories!$A$6:$A$65,0))&amp;"",""))</f>
        <v/>
      </c>
      <c r="I1955" s="25">
        <f>IF(AND(A1955="",C1955="",D1955=""),"",IF(A1955="","Date missing",IF(NOT(ISNUMBER(A1955)),"Date not recognized",IF(YEAR(A1955)&lt;&gt;Settings!$C$4,"Not in "&amp;Settings!$C$4,IF(C1955="","Category missing",IF(H1955="",IF(COUNTIF(Categories!$A$6:$A$65,C1955)&gt;0,"Category has no type","Category not in list"),IF(D1955="","Amount missing",IF(NOT(ISNUMBER(D1955)),"Amount is not a number",IF(F1955="","",IF(ISNA(MATCH(F1955,Lists!$G$2:$G$25,0)),"Goal / fund not in list",IF(H1955="Income","Fund tag ignored on income","")))))))))))</f>
        <v/>
      </c>
    </row>
    <row r="1956">
      <c r="A1956" s="27" t="n"/>
      <c r="B1956" s="23" t="n"/>
      <c r="C1956" s="23" t="n"/>
      <c r="D1956" s="28" t="n"/>
      <c r="E1956" s="23" t="n"/>
      <c r="F1956" s="23" t="n"/>
      <c r="G1956" s="23" t="n"/>
      <c r="H1956" s="29">
        <f>IF(C1956="","",IFERROR(INDEX(Categories!$B$6:$B$65,MATCH(C1956,Categories!$A$6:$A$65,0))&amp;"",""))</f>
        <v/>
      </c>
      <c r="I1956" s="25">
        <f>IF(AND(A1956="",C1956="",D1956=""),"",IF(A1956="","Date missing",IF(NOT(ISNUMBER(A1956)),"Date not recognized",IF(YEAR(A1956)&lt;&gt;Settings!$C$4,"Not in "&amp;Settings!$C$4,IF(C1956="","Category missing",IF(H1956="",IF(COUNTIF(Categories!$A$6:$A$65,C1956)&gt;0,"Category has no type","Category not in list"),IF(D1956="","Amount missing",IF(NOT(ISNUMBER(D1956)),"Amount is not a number",IF(F1956="","",IF(ISNA(MATCH(F1956,Lists!$G$2:$G$25,0)),"Goal / fund not in list",IF(H1956="Income","Fund tag ignored on income","")))))))))))</f>
        <v/>
      </c>
    </row>
    <row r="1957">
      <c r="A1957" s="27" t="n"/>
      <c r="B1957" s="23" t="n"/>
      <c r="C1957" s="23" t="n"/>
      <c r="D1957" s="28" t="n"/>
      <c r="E1957" s="23" t="n"/>
      <c r="F1957" s="23" t="n"/>
      <c r="G1957" s="23" t="n"/>
      <c r="H1957" s="29">
        <f>IF(C1957="","",IFERROR(INDEX(Categories!$B$6:$B$65,MATCH(C1957,Categories!$A$6:$A$65,0))&amp;"",""))</f>
        <v/>
      </c>
      <c r="I1957" s="25">
        <f>IF(AND(A1957="",C1957="",D1957=""),"",IF(A1957="","Date missing",IF(NOT(ISNUMBER(A1957)),"Date not recognized",IF(YEAR(A1957)&lt;&gt;Settings!$C$4,"Not in "&amp;Settings!$C$4,IF(C1957="","Category missing",IF(H1957="",IF(COUNTIF(Categories!$A$6:$A$65,C1957)&gt;0,"Category has no type","Category not in list"),IF(D1957="","Amount missing",IF(NOT(ISNUMBER(D1957)),"Amount is not a number",IF(F1957="","",IF(ISNA(MATCH(F1957,Lists!$G$2:$G$25,0)),"Goal / fund not in list",IF(H1957="Income","Fund tag ignored on income","")))))))))))</f>
        <v/>
      </c>
    </row>
    <row r="1958">
      <c r="A1958" s="27" t="n"/>
      <c r="B1958" s="23" t="n"/>
      <c r="C1958" s="23" t="n"/>
      <c r="D1958" s="28" t="n"/>
      <c r="E1958" s="23" t="n"/>
      <c r="F1958" s="23" t="n"/>
      <c r="G1958" s="23" t="n"/>
      <c r="H1958" s="29">
        <f>IF(C1958="","",IFERROR(INDEX(Categories!$B$6:$B$65,MATCH(C1958,Categories!$A$6:$A$65,0))&amp;"",""))</f>
        <v/>
      </c>
      <c r="I1958" s="25">
        <f>IF(AND(A1958="",C1958="",D1958=""),"",IF(A1958="","Date missing",IF(NOT(ISNUMBER(A1958)),"Date not recognized",IF(YEAR(A1958)&lt;&gt;Settings!$C$4,"Not in "&amp;Settings!$C$4,IF(C1958="","Category missing",IF(H1958="",IF(COUNTIF(Categories!$A$6:$A$65,C1958)&gt;0,"Category has no type","Category not in list"),IF(D1958="","Amount missing",IF(NOT(ISNUMBER(D1958)),"Amount is not a number",IF(F1958="","",IF(ISNA(MATCH(F1958,Lists!$G$2:$G$25,0)),"Goal / fund not in list",IF(H1958="Income","Fund tag ignored on income","")))))))))))</f>
        <v/>
      </c>
    </row>
    <row r="1959">
      <c r="A1959" s="27" t="n"/>
      <c r="B1959" s="23" t="n"/>
      <c r="C1959" s="23" t="n"/>
      <c r="D1959" s="28" t="n"/>
      <c r="E1959" s="23" t="n"/>
      <c r="F1959" s="23" t="n"/>
      <c r="G1959" s="23" t="n"/>
      <c r="H1959" s="29">
        <f>IF(C1959="","",IFERROR(INDEX(Categories!$B$6:$B$65,MATCH(C1959,Categories!$A$6:$A$65,0))&amp;"",""))</f>
        <v/>
      </c>
      <c r="I1959" s="25">
        <f>IF(AND(A1959="",C1959="",D1959=""),"",IF(A1959="","Date missing",IF(NOT(ISNUMBER(A1959)),"Date not recognized",IF(YEAR(A1959)&lt;&gt;Settings!$C$4,"Not in "&amp;Settings!$C$4,IF(C1959="","Category missing",IF(H1959="",IF(COUNTIF(Categories!$A$6:$A$65,C1959)&gt;0,"Category has no type","Category not in list"),IF(D1959="","Amount missing",IF(NOT(ISNUMBER(D1959)),"Amount is not a number",IF(F1959="","",IF(ISNA(MATCH(F1959,Lists!$G$2:$G$25,0)),"Goal / fund not in list",IF(H1959="Income","Fund tag ignored on income","")))))))))))</f>
        <v/>
      </c>
    </row>
    <row r="1960">
      <c r="A1960" s="27" t="n"/>
      <c r="B1960" s="23" t="n"/>
      <c r="C1960" s="23" t="n"/>
      <c r="D1960" s="28" t="n"/>
      <c r="E1960" s="23" t="n"/>
      <c r="F1960" s="23" t="n"/>
      <c r="G1960" s="23" t="n"/>
      <c r="H1960" s="29">
        <f>IF(C1960="","",IFERROR(INDEX(Categories!$B$6:$B$65,MATCH(C1960,Categories!$A$6:$A$65,0))&amp;"",""))</f>
        <v/>
      </c>
      <c r="I1960" s="25">
        <f>IF(AND(A1960="",C1960="",D1960=""),"",IF(A1960="","Date missing",IF(NOT(ISNUMBER(A1960)),"Date not recognized",IF(YEAR(A1960)&lt;&gt;Settings!$C$4,"Not in "&amp;Settings!$C$4,IF(C1960="","Category missing",IF(H1960="",IF(COUNTIF(Categories!$A$6:$A$65,C1960)&gt;0,"Category has no type","Category not in list"),IF(D1960="","Amount missing",IF(NOT(ISNUMBER(D1960)),"Amount is not a number",IF(F1960="","",IF(ISNA(MATCH(F1960,Lists!$G$2:$G$25,0)),"Goal / fund not in list",IF(H1960="Income","Fund tag ignored on income","")))))))))))</f>
        <v/>
      </c>
    </row>
    <row r="1961">
      <c r="A1961" s="27" t="n"/>
      <c r="B1961" s="23" t="n"/>
      <c r="C1961" s="23" t="n"/>
      <c r="D1961" s="28" t="n"/>
      <c r="E1961" s="23" t="n"/>
      <c r="F1961" s="23" t="n"/>
      <c r="G1961" s="23" t="n"/>
      <c r="H1961" s="29">
        <f>IF(C1961="","",IFERROR(INDEX(Categories!$B$6:$B$65,MATCH(C1961,Categories!$A$6:$A$65,0))&amp;"",""))</f>
        <v/>
      </c>
      <c r="I1961" s="25">
        <f>IF(AND(A1961="",C1961="",D1961=""),"",IF(A1961="","Date missing",IF(NOT(ISNUMBER(A1961)),"Date not recognized",IF(YEAR(A1961)&lt;&gt;Settings!$C$4,"Not in "&amp;Settings!$C$4,IF(C1961="","Category missing",IF(H1961="",IF(COUNTIF(Categories!$A$6:$A$65,C1961)&gt;0,"Category has no type","Category not in list"),IF(D1961="","Amount missing",IF(NOT(ISNUMBER(D1961)),"Amount is not a number",IF(F1961="","",IF(ISNA(MATCH(F1961,Lists!$G$2:$G$25,0)),"Goal / fund not in list",IF(H1961="Income","Fund tag ignored on income","")))))))))))</f>
        <v/>
      </c>
    </row>
    <row r="1962">
      <c r="A1962" s="27" t="n"/>
      <c r="B1962" s="23" t="n"/>
      <c r="C1962" s="23" t="n"/>
      <c r="D1962" s="28" t="n"/>
      <c r="E1962" s="23" t="n"/>
      <c r="F1962" s="23" t="n"/>
      <c r="G1962" s="23" t="n"/>
      <c r="H1962" s="29">
        <f>IF(C1962="","",IFERROR(INDEX(Categories!$B$6:$B$65,MATCH(C1962,Categories!$A$6:$A$65,0))&amp;"",""))</f>
        <v/>
      </c>
      <c r="I1962" s="25">
        <f>IF(AND(A1962="",C1962="",D1962=""),"",IF(A1962="","Date missing",IF(NOT(ISNUMBER(A1962)),"Date not recognized",IF(YEAR(A1962)&lt;&gt;Settings!$C$4,"Not in "&amp;Settings!$C$4,IF(C1962="","Category missing",IF(H1962="",IF(COUNTIF(Categories!$A$6:$A$65,C1962)&gt;0,"Category has no type","Category not in list"),IF(D1962="","Amount missing",IF(NOT(ISNUMBER(D1962)),"Amount is not a number",IF(F1962="","",IF(ISNA(MATCH(F1962,Lists!$G$2:$G$25,0)),"Goal / fund not in list",IF(H1962="Income","Fund tag ignored on income","")))))))))))</f>
        <v/>
      </c>
    </row>
    <row r="1963">
      <c r="A1963" s="27" t="n"/>
      <c r="B1963" s="23" t="n"/>
      <c r="C1963" s="23" t="n"/>
      <c r="D1963" s="28" t="n"/>
      <c r="E1963" s="23" t="n"/>
      <c r="F1963" s="23" t="n"/>
      <c r="G1963" s="23" t="n"/>
      <c r="H1963" s="29">
        <f>IF(C1963="","",IFERROR(INDEX(Categories!$B$6:$B$65,MATCH(C1963,Categories!$A$6:$A$65,0))&amp;"",""))</f>
        <v/>
      </c>
      <c r="I1963" s="25">
        <f>IF(AND(A1963="",C1963="",D1963=""),"",IF(A1963="","Date missing",IF(NOT(ISNUMBER(A1963)),"Date not recognized",IF(YEAR(A1963)&lt;&gt;Settings!$C$4,"Not in "&amp;Settings!$C$4,IF(C1963="","Category missing",IF(H1963="",IF(COUNTIF(Categories!$A$6:$A$65,C1963)&gt;0,"Category has no type","Category not in list"),IF(D1963="","Amount missing",IF(NOT(ISNUMBER(D1963)),"Amount is not a number",IF(F1963="","",IF(ISNA(MATCH(F1963,Lists!$G$2:$G$25,0)),"Goal / fund not in list",IF(H1963="Income","Fund tag ignored on income","")))))))))))</f>
        <v/>
      </c>
    </row>
    <row r="1964">
      <c r="A1964" s="27" t="n"/>
      <c r="B1964" s="23" t="n"/>
      <c r="C1964" s="23" t="n"/>
      <c r="D1964" s="28" t="n"/>
      <c r="E1964" s="23" t="n"/>
      <c r="F1964" s="23" t="n"/>
      <c r="G1964" s="23" t="n"/>
      <c r="H1964" s="29">
        <f>IF(C1964="","",IFERROR(INDEX(Categories!$B$6:$B$65,MATCH(C1964,Categories!$A$6:$A$65,0))&amp;"",""))</f>
        <v/>
      </c>
      <c r="I1964" s="25">
        <f>IF(AND(A1964="",C1964="",D1964=""),"",IF(A1964="","Date missing",IF(NOT(ISNUMBER(A1964)),"Date not recognized",IF(YEAR(A1964)&lt;&gt;Settings!$C$4,"Not in "&amp;Settings!$C$4,IF(C1964="","Category missing",IF(H1964="",IF(COUNTIF(Categories!$A$6:$A$65,C1964)&gt;0,"Category has no type","Category not in list"),IF(D1964="","Amount missing",IF(NOT(ISNUMBER(D1964)),"Amount is not a number",IF(F1964="","",IF(ISNA(MATCH(F1964,Lists!$G$2:$G$25,0)),"Goal / fund not in list",IF(H1964="Income","Fund tag ignored on income","")))))))))))</f>
        <v/>
      </c>
    </row>
    <row r="1965">
      <c r="A1965" s="27" t="n"/>
      <c r="B1965" s="23" t="n"/>
      <c r="C1965" s="23" t="n"/>
      <c r="D1965" s="28" t="n"/>
      <c r="E1965" s="23" t="n"/>
      <c r="F1965" s="23" t="n"/>
      <c r="G1965" s="23" t="n"/>
      <c r="H1965" s="29">
        <f>IF(C1965="","",IFERROR(INDEX(Categories!$B$6:$B$65,MATCH(C1965,Categories!$A$6:$A$65,0))&amp;"",""))</f>
        <v/>
      </c>
      <c r="I1965" s="25">
        <f>IF(AND(A1965="",C1965="",D1965=""),"",IF(A1965="","Date missing",IF(NOT(ISNUMBER(A1965)),"Date not recognized",IF(YEAR(A1965)&lt;&gt;Settings!$C$4,"Not in "&amp;Settings!$C$4,IF(C1965="","Category missing",IF(H1965="",IF(COUNTIF(Categories!$A$6:$A$65,C1965)&gt;0,"Category has no type","Category not in list"),IF(D1965="","Amount missing",IF(NOT(ISNUMBER(D1965)),"Amount is not a number",IF(F1965="","",IF(ISNA(MATCH(F1965,Lists!$G$2:$G$25,0)),"Goal / fund not in list",IF(H1965="Income","Fund tag ignored on income","")))))))))))</f>
        <v/>
      </c>
    </row>
    <row r="1966">
      <c r="A1966" s="27" t="n"/>
      <c r="B1966" s="23" t="n"/>
      <c r="C1966" s="23" t="n"/>
      <c r="D1966" s="28" t="n"/>
      <c r="E1966" s="23" t="n"/>
      <c r="F1966" s="23" t="n"/>
      <c r="G1966" s="23" t="n"/>
      <c r="H1966" s="29">
        <f>IF(C1966="","",IFERROR(INDEX(Categories!$B$6:$B$65,MATCH(C1966,Categories!$A$6:$A$65,0))&amp;"",""))</f>
        <v/>
      </c>
      <c r="I1966" s="25">
        <f>IF(AND(A1966="",C1966="",D1966=""),"",IF(A1966="","Date missing",IF(NOT(ISNUMBER(A1966)),"Date not recognized",IF(YEAR(A1966)&lt;&gt;Settings!$C$4,"Not in "&amp;Settings!$C$4,IF(C1966="","Category missing",IF(H1966="",IF(COUNTIF(Categories!$A$6:$A$65,C1966)&gt;0,"Category has no type","Category not in list"),IF(D1966="","Amount missing",IF(NOT(ISNUMBER(D1966)),"Amount is not a number",IF(F1966="","",IF(ISNA(MATCH(F1966,Lists!$G$2:$G$25,0)),"Goal / fund not in list",IF(H1966="Income","Fund tag ignored on income","")))))))))))</f>
        <v/>
      </c>
    </row>
    <row r="1967">
      <c r="A1967" s="27" t="n"/>
      <c r="B1967" s="23" t="n"/>
      <c r="C1967" s="23" t="n"/>
      <c r="D1967" s="28" t="n"/>
      <c r="E1967" s="23" t="n"/>
      <c r="F1967" s="23" t="n"/>
      <c r="G1967" s="23" t="n"/>
      <c r="H1967" s="29">
        <f>IF(C1967="","",IFERROR(INDEX(Categories!$B$6:$B$65,MATCH(C1967,Categories!$A$6:$A$65,0))&amp;"",""))</f>
        <v/>
      </c>
      <c r="I1967" s="25">
        <f>IF(AND(A1967="",C1967="",D1967=""),"",IF(A1967="","Date missing",IF(NOT(ISNUMBER(A1967)),"Date not recognized",IF(YEAR(A1967)&lt;&gt;Settings!$C$4,"Not in "&amp;Settings!$C$4,IF(C1967="","Category missing",IF(H1967="",IF(COUNTIF(Categories!$A$6:$A$65,C1967)&gt;0,"Category has no type","Category not in list"),IF(D1967="","Amount missing",IF(NOT(ISNUMBER(D1967)),"Amount is not a number",IF(F1967="","",IF(ISNA(MATCH(F1967,Lists!$G$2:$G$25,0)),"Goal / fund not in list",IF(H1967="Income","Fund tag ignored on income","")))))))))))</f>
        <v/>
      </c>
    </row>
    <row r="1968">
      <c r="A1968" s="27" t="n"/>
      <c r="B1968" s="23" t="n"/>
      <c r="C1968" s="23" t="n"/>
      <c r="D1968" s="28" t="n"/>
      <c r="E1968" s="23" t="n"/>
      <c r="F1968" s="23" t="n"/>
      <c r="G1968" s="23" t="n"/>
      <c r="H1968" s="29">
        <f>IF(C1968="","",IFERROR(INDEX(Categories!$B$6:$B$65,MATCH(C1968,Categories!$A$6:$A$65,0))&amp;"",""))</f>
        <v/>
      </c>
      <c r="I1968" s="25">
        <f>IF(AND(A1968="",C1968="",D1968=""),"",IF(A1968="","Date missing",IF(NOT(ISNUMBER(A1968)),"Date not recognized",IF(YEAR(A1968)&lt;&gt;Settings!$C$4,"Not in "&amp;Settings!$C$4,IF(C1968="","Category missing",IF(H1968="",IF(COUNTIF(Categories!$A$6:$A$65,C1968)&gt;0,"Category has no type","Category not in list"),IF(D1968="","Amount missing",IF(NOT(ISNUMBER(D1968)),"Amount is not a number",IF(F1968="","",IF(ISNA(MATCH(F1968,Lists!$G$2:$G$25,0)),"Goal / fund not in list",IF(H1968="Income","Fund tag ignored on income","")))))))))))</f>
        <v/>
      </c>
    </row>
    <row r="1969">
      <c r="A1969" s="27" t="n"/>
      <c r="B1969" s="23" t="n"/>
      <c r="C1969" s="23" t="n"/>
      <c r="D1969" s="28" t="n"/>
      <c r="E1969" s="23" t="n"/>
      <c r="F1969" s="23" t="n"/>
      <c r="G1969" s="23" t="n"/>
      <c r="H1969" s="29">
        <f>IF(C1969="","",IFERROR(INDEX(Categories!$B$6:$B$65,MATCH(C1969,Categories!$A$6:$A$65,0))&amp;"",""))</f>
        <v/>
      </c>
      <c r="I1969" s="25">
        <f>IF(AND(A1969="",C1969="",D1969=""),"",IF(A1969="","Date missing",IF(NOT(ISNUMBER(A1969)),"Date not recognized",IF(YEAR(A1969)&lt;&gt;Settings!$C$4,"Not in "&amp;Settings!$C$4,IF(C1969="","Category missing",IF(H1969="",IF(COUNTIF(Categories!$A$6:$A$65,C1969)&gt;0,"Category has no type","Category not in list"),IF(D1969="","Amount missing",IF(NOT(ISNUMBER(D1969)),"Amount is not a number",IF(F1969="","",IF(ISNA(MATCH(F1969,Lists!$G$2:$G$25,0)),"Goal / fund not in list",IF(H1969="Income","Fund tag ignored on income","")))))))))))</f>
        <v/>
      </c>
    </row>
    <row r="1970">
      <c r="A1970" s="27" t="n"/>
      <c r="B1970" s="23" t="n"/>
      <c r="C1970" s="23" t="n"/>
      <c r="D1970" s="28" t="n"/>
      <c r="E1970" s="23" t="n"/>
      <c r="F1970" s="23" t="n"/>
      <c r="G1970" s="23" t="n"/>
      <c r="H1970" s="29">
        <f>IF(C1970="","",IFERROR(INDEX(Categories!$B$6:$B$65,MATCH(C1970,Categories!$A$6:$A$65,0))&amp;"",""))</f>
        <v/>
      </c>
      <c r="I1970" s="25">
        <f>IF(AND(A1970="",C1970="",D1970=""),"",IF(A1970="","Date missing",IF(NOT(ISNUMBER(A1970)),"Date not recognized",IF(YEAR(A1970)&lt;&gt;Settings!$C$4,"Not in "&amp;Settings!$C$4,IF(C1970="","Category missing",IF(H1970="",IF(COUNTIF(Categories!$A$6:$A$65,C1970)&gt;0,"Category has no type","Category not in list"),IF(D1970="","Amount missing",IF(NOT(ISNUMBER(D1970)),"Amount is not a number",IF(F1970="","",IF(ISNA(MATCH(F1970,Lists!$G$2:$G$25,0)),"Goal / fund not in list",IF(H1970="Income","Fund tag ignored on income","")))))))))))</f>
        <v/>
      </c>
    </row>
    <row r="1971">
      <c r="A1971" s="27" t="n"/>
      <c r="B1971" s="23" t="n"/>
      <c r="C1971" s="23" t="n"/>
      <c r="D1971" s="28" t="n"/>
      <c r="E1971" s="23" t="n"/>
      <c r="F1971" s="23" t="n"/>
      <c r="G1971" s="23" t="n"/>
      <c r="H1971" s="29">
        <f>IF(C1971="","",IFERROR(INDEX(Categories!$B$6:$B$65,MATCH(C1971,Categories!$A$6:$A$65,0))&amp;"",""))</f>
        <v/>
      </c>
      <c r="I1971" s="25">
        <f>IF(AND(A1971="",C1971="",D1971=""),"",IF(A1971="","Date missing",IF(NOT(ISNUMBER(A1971)),"Date not recognized",IF(YEAR(A1971)&lt;&gt;Settings!$C$4,"Not in "&amp;Settings!$C$4,IF(C1971="","Category missing",IF(H1971="",IF(COUNTIF(Categories!$A$6:$A$65,C1971)&gt;0,"Category has no type","Category not in list"),IF(D1971="","Amount missing",IF(NOT(ISNUMBER(D1971)),"Amount is not a number",IF(F1971="","",IF(ISNA(MATCH(F1971,Lists!$G$2:$G$25,0)),"Goal / fund not in list",IF(H1971="Income","Fund tag ignored on income","")))))))))))</f>
        <v/>
      </c>
    </row>
    <row r="1972">
      <c r="A1972" s="27" t="n"/>
      <c r="B1972" s="23" t="n"/>
      <c r="C1972" s="23" t="n"/>
      <c r="D1972" s="28" t="n"/>
      <c r="E1972" s="23" t="n"/>
      <c r="F1972" s="23" t="n"/>
      <c r="G1972" s="23" t="n"/>
      <c r="H1972" s="29">
        <f>IF(C1972="","",IFERROR(INDEX(Categories!$B$6:$B$65,MATCH(C1972,Categories!$A$6:$A$65,0))&amp;"",""))</f>
        <v/>
      </c>
      <c r="I1972" s="25">
        <f>IF(AND(A1972="",C1972="",D1972=""),"",IF(A1972="","Date missing",IF(NOT(ISNUMBER(A1972)),"Date not recognized",IF(YEAR(A1972)&lt;&gt;Settings!$C$4,"Not in "&amp;Settings!$C$4,IF(C1972="","Category missing",IF(H1972="",IF(COUNTIF(Categories!$A$6:$A$65,C1972)&gt;0,"Category has no type","Category not in list"),IF(D1972="","Amount missing",IF(NOT(ISNUMBER(D1972)),"Amount is not a number",IF(F1972="","",IF(ISNA(MATCH(F1972,Lists!$G$2:$G$25,0)),"Goal / fund not in list",IF(H1972="Income","Fund tag ignored on income","")))))))))))</f>
        <v/>
      </c>
    </row>
    <row r="1973">
      <c r="A1973" s="27" t="n"/>
      <c r="B1973" s="23" t="n"/>
      <c r="C1973" s="23" t="n"/>
      <c r="D1973" s="28" t="n"/>
      <c r="E1973" s="23" t="n"/>
      <c r="F1973" s="23" t="n"/>
      <c r="G1973" s="23" t="n"/>
      <c r="H1973" s="29">
        <f>IF(C1973="","",IFERROR(INDEX(Categories!$B$6:$B$65,MATCH(C1973,Categories!$A$6:$A$65,0))&amp;"",""))</f>
        <v/>
      </c>
      <c r="I1973" s="25">
        <f>IF(AND(A1973="",C1973="",D1973=""),"",IF(A1973="","Date missing",IF(NOT(ISNUMBER(A1973)),"Date not recognized",IF(YEAR(A1973)&lt;&gt;Settings!$C$4,"Not in "&amp;Settings!$C$4,IF(C1973="","Category missing",IF(H1973="",IF(COUNTIF(Categories!$A$6:$A$65,C1973)&gt;0,"Category has no type","Category not in list"),IF(D1973="","Amount missing",IF(NOT(ISNUMBER(D1973)),"Amount is not a number",IF(F1973="","",IF(ISNA(MATCH(F1973,Lists!$G$2:$G$25,0)),"Goal / fund not in list",IF(H1973="Income","Fund tag ignored on income","")))))))))))</f>
        <v/>
      </c>
    </row>
    <row r="1974">
      <c r="A1974" s="27" t="n"/>
      <c r="B1974" s="23" t="n"/>
      <c r="C1974" s="23" t="n"/>
      <c r="D1974" s="28" t="n"/>
      <c r="E1974" s="23" t="n"/>
      <c r="F1974" s="23" t="n"/>
      <c r="G1974" s="23" t="n"/>
      <c r="H1974" s="29">
        <f>IF(C1974="","",IFERROR(INDEX(Categories!$B$6:$B$65,MATCH(C1974,Categories!$A$6:$A$65,0))&amp;"",""))</f>
        <v/>
      </c>
      <c r="I1974" s="25">
        <f>IF(AND(A1974="",C1974="",D1974=""),"",IF(A1974="","Date missing",IF(NOT(ISNUMBER(A1974)),"Date not recognized",IF(YEAR(A1974)&lt;&gt;Settings!$C$4,"Not in "&amp;Settings!$C$4,IF(C1974="","Category missing",IF(H1974="",IF(COUNTIF(Categories!$A$6:$A$65,C1974)&gt;0,"Category has no type","Category not in list"),IF(D1974="","Amount missing",IF(NOT(ISNUMBER(D1974)),"Amount is not a number",IF(F1974="","",IF(ISNA(MATCH(F1974,Lists!$G$2:$G$25,0)),"Goal / fund not in list",IF(H1974="Income","Fund tag ignored on income","")))))))))))</f>
        <v/>
      </c>
    </row>
    <row r="1975">
      <c r="A1975" s="27" t="n"/>
      <c r="B1975" s="23" t="n"/>
      <c r="C1975" s="23" t="n"/>
      <c r="D1975" s="28" t="n"/>
      <c r="E1975" s="23" t="n"/>
      <c r="F1975" s="23" t="n"/>
      <c r="G1975" s="23" t="n"/>
      <c r="H1975" s="29">
        <f>IF(C1975="","",IFERROR(INDEX(Categories!$B$6:$B$65,MATCH(C1975,Categories!$A$6:$A$65,0))&amp;"",""))</f>
        <v/>
      </c>
      <c r="I1975" s="25">
        <f>IF(AND(A1975="",C1975="",D1975=""),"",IF(A1975="","Date missing",IF(NOT(ISNUMBER(A1975)),"Date not recognized",IF(YEAR(A1975)&lt;&gt;Settings!$C$4,"Not in "&amp;Settings!$C$4,IF(C1975="","Category missing",IF(H1975="",IF(COUNTIF(Categories!$A$6:$A$65,C1975)&gt;0,"Category has no type","Category not in list"),IF(D1975="","Amount missing",IF(NOT(ISNUMBER(D1975)),"Amount is not a number",IF(F1975="","",IF(ISNA(MATCH(F1975,Lists!$G$2:$G$25,0)),"Goal / fund not in list",IF(H1975="Income","Fund tag ignored on income","")))))))))))</f>
        <v/>
      </c>
    </row>
    <row r="1976">
      <c r="A1976" s="27" t="n"/>
      <c r="B1976" s="23" t="n"/>
      <c r="C1976" s="23" t="n"/>
      <c r="D1976" s="28" t="n"/>
      <c r="E1976" s="23" t="n"/>
      <c r="F1976" s="23" t="n"/>
      <c r="G1976" s="23" t="n"/>
      <c r="H1976" s="29">
        <f>IF(C1976="","",IFERROR(INDEX(Categories!$B$6:$B$65,MATCH(C1976,Categories!$A$6:$A$65,0))&amp;"",""))</f>
        <v/>
      </c>
      <c r="I1976" s="25">
        <f>IF(AND(A1976="",C1976="",D1976=""),"",IF(A1976="","Date missing",IF(NOT(ISNUMBER(A1976)),"Date not recognized",IF(YEAR(A1976)&lt;&gt;Settings!$C$4,"Not in "&amp;Settings!$C$4,IF(C1976="","Category missing",IF(H1976="",IF(COUNTIF(Categories!$A$6:$A$65,C1976)&gt;0,"Category has no type","Category not in list"),IF(D1976="","Amount missing",IF(NOT(ISNUMBER(D1976)),"Amount is not a number",IF(F1976="","",IF(ISNA(MATCH(F1976,Lists!$G$2:$G$25,0)),"Goal / fund not in list",IF(H1976="Income","Fund tag ignored on income","")))))))))))</f>
        <v/>
      </c>
    </row>
    <row r="1977">
      <c r="A1977" s="27" t="n"/>
      <c r="B1977" s="23" t="n"/>
      <c r="C1977" s="23" t="n"/>
      <c r="D1977" s="28" t="n"/>
      <c r="E1977" s="23" t="n"/>
      <c r="F1977" s="23" t="n"/>
      <c r="G1977" s="23" t="n"/>
      <c r="H1977" s="29">
        <f>IF(C1977="","",IFERROR(INDEX(Categories!$B$6:$B$65,MATCH(C1977,Categories!$A$6:$A$65,0))&amp;"",""))</f>
        <v/>
      </c>
      <c r="I1977" s="25">
        <f>IF(AND(A1977="",C1977="",D1977=""),"",IF(A1977="","Date missing",IF(NOT(ISNUMBER(A1977)),"Date not recognized",IF(YEAR(A1977)&lt;&gt;Settings!$C$4,"Not in "&amp;Settings!$C$4,IF(C1977="","Category missing",IF(H1977="",IF(COUNTIF(Categories!$A$6:$A$65,C1977)&gt;0,"Category has no type","Category not in list"),IF(D1977="","Amount missing",IF(NOT(ISNUMBER(D1977)),"Amount is not a number",IF(F1977="","",IF(ISNA(MATCH(F1977,Lists!$G$2:$G$25,0)),"Goal / fund not in list",IF(H1977="Income","Fund tag ignored on income","")))))))))))</f>
        <v/>
      </c>
    </row>
    <row r="1978">
      <c r="A1978" s="27" t="n"/>
      <c r="B1978" s="23" t="n"/>
      <c r="C1978" s="23" t="n"/>
      <c r="D1978" s="28" t="n"/>
      <c r="E1978" s="23" t="n"/>
      <c r="F1978" s="23" t="n"/>
      <c r="G1978" s="23" t="n"/>
      <c r="H1978" s="29">
        <f>IF(C1978="","",IFERROR(INDEX(Categories!$B$6:$B$65,MATCH(C1978,Categories!$A$6:$A$65,0))&amp;"",""))</f>
        <v/>
      </c>
      <c r="I1978" s="25">
        <f>IF(AND(A1978="",C1978="",D1978=""),"",IF(A1978="","Date missing",IF(NOT(ISNUMBER(A1978)),"Date not recognized",IF(YEAR(A1978)&lt;&gt;Settings!$C$4,"Not in "&amp;Settings!$C$4,IF(C1978="","Category missing",IF(H1978="",IF(COUNTIF(Categories!$A$6:$A$65,C1978)&gt;0,"Category has no type","Category not in list"),IF(D1978="","Amount missing",IF(NOT(ISNUMBER(D1978)),"Amount is not a number",IF(F1978="","",IF(ISNA(MATCH(F1978,Lists!$G$2:$G$25,0)),"Goal / fund not in list",IF(H1978="Income","Fund tag ignored on income","")))))))))))</f>
        <v/>
      </c>
    </row>
    <row r="1979">
      <c r="A1979" s="27" t="n"/>
      <c r="B1979" s="23" t="n"/>
      <c r="C1979" s="23" t="n"/>
      <c r="D1979" s="28" t="n"/>
      <c r="E1979" s="23" t="n"/>
      <c r="F1979" s="23" t="n"/>
      <c r="G1979" s="23" t="n"/>
      <c r="H1979" s="29">
        <f>IF(C1979="","",IFERROR(INDEX(Categories!$B$6:$B$65,MATCH(C1979,Categories!$A$6:$A$65,0))&amp;"",""))</f>
        <v/>
      </c>
      <c r="I1979" s="25">
        <f>IF(AND(A1979="",C1979="",D1979=""),"",IF(A1979="","Date missing",IF(NOT(ISNUMBER(A1979)),"Date not recognized",IF(YEAR(A1979)&lt;&gt;Settings!$C$4,"Not in "&amp;Settings!$C$4,IF(C1979="","Category missing",IF(H1979="",IF(COUNTIF(Categories!$A$6:$A$65,C1979)&gt;0,"Category has no type","Category not in list"),IF(D1979="","Amount missing",IF(NOT(ISNUMBER(D1979)),"Amount is not a number",IF(F1979="","",IF(ISNA(MATCH(F1979,Lists!$G$2:$G$25,0)),"Goal / fund not in list",IF(H1979="Income","Fund tag ignored on income","")))))))))))</f>
        <v/>
      </c>
    </row>
    <row r="1980">
      <c r="A1980" s="27" t="n"/>
      <c r="B1980" s="23" t="n"/>
      <c r="C1980" s="23" t="n"/>
      <c r="D1980" s="28" t="n"/>
      <c r="E1980" s="23" t="n"/>
      <c r="F1980" s="23" t="n"/>
      <c r="G1980" s="23" t="n"/>
      <c r="H1980" s="29">
        <f>IF(C1980="","",IFERROR(INDEX(Categories!$B$6:$B$65,MATCH(C1980,Categories!$A$6:$A$65,0))&amp;"",""))</f>
        <v/>
      </c>
      <c r="I1980" s="25">
        <f>IF(AND(A1980="",C1980="",D1980=""),"",IF(A1980="","Date missing",IF(NOT(ISNUMBER(A1980)),"Date not recognized",IF(YEAR(A1980)&lt;&gt;Settings!$C$4,"Not in "&amp;Settings!$C$4,IF(C1980="","Category missing",IF(H1980="",IF(COUNTIF(Categories!$A$6:$A$65,C1980)&gt;0,"Category has no type","Category not in list"),IF(D1980="","Amount missing",IF(NOT(ISNUMBER(D1980)),"Amount is not a number",IF(F1980="","",IF(ISNA(MATCH(F1980,Lists!$G$2:$G$25,0)),"Goal / fund not in list",IF(H1980="Income","Fund tag ignored on income","")))))))))))</f>
        <v/>
      </c>
    </row>
    <row r="1981">
      <c r="A1981" s="27" t="n"/>
      <c r="B1981" s="23" t="n"/>
      <c r="C1981" s="23" t="n"/>
      <c r="D1981" s="28" t="n"/>
      <c r="E1981" s="23" t="n"/>
      <c r="F1981" s="23" t="n"/>
      <c r="G1981" s="23" t="n"/>
      <c r="H1981" s="29">
        <f>IF(C1981="","",IFERROR(INDEX(Categories!$B$6:$B$65,MATCH(C1981,Categories!$A$6:$A$65,0))&amp;"",""))</f>
        <v/>
      </c>
      <c r="I1981" s="25">
        <f>IF(AND(A1981="",C1981="",D1981=""),"",IF(A1981="","Date missing",IF(NOT(ISNUMBER(A1981)),"Date not recognized",IF(YEAR(A1981)&lt;&gt;Settings!$C$4,"Not in "&amp;Settings!$C$4,IF(C1981="","Category missing",IF(H1981="",IF(COUNTIF(Categories!$A$6:$A$65,C1981)&gt;0,"Category has no type","Category not in list"),IF(D1981="","Amount missing",IF(NOT(ISNUMBER(D1981)),"Amount is not a number",IF(F1981="","",IF(ISNA(MATCH(F1981,Lists!$G$2:$G$25,0)),"Goal / fund not in list",IF(H1981="Income","Fund tag ignored on income","")))))))))))</f>
        <v/>
      </c>
    </row>
    <row r="1982">
      <c r="A1982" s="27" t="n"/>
      <c r="B1982" s="23" t="n"/>
      <c r="C1982" s="23" t="n"/>
      <c r="D1982" s="28" t="n"/>
      <c r="E1982" s="23" t="n"/>
      <c r="F1982" s="23" t="n"/>
      <c r="G1982" s="23" t="n"/>
      <c r="H1982" s="29">
        <f>IF(C1982="","",IFERROR(INDEX(Categories!$B$6:$B$65,MATCH(C1982,Categories!$A$6:$A$65,0))&amp;"",""))</f>
        <v/>
      </c>
      <c r="I1982" s="25">
        <f>IF(AND(A1982="",C1982="",D1982=""),"",IF(A1982="","Date missing",IF(NOT(ISNUMBER(A1982)),"Date not recognized",IF(YEAR(A1982)&lt;&gt;Settings!$C$4,"Not in "&amp;Settings!$C$4,IF(C1982="","Category missing",IF(H1982="",IF(COUNTIF(Categories!$A$6:$A$65,C1982)&gt;0,"Category has no type","Category not in list"),IF(D1982="","Amount missing",IF(NOT(ISNUMBER(D1982)),"Amount is not a number",IF(F1982="","",IF(ISNA(MATCH(F1982,Lists!$G$2:$G$25,0)),"Goal / fund not in list",IF(H1982="Income","Fund tag ignored on income","")))))))))))</f>
        <v/>
      </c>
    </row>
    <row r="1983">
      <c r="A1983" s="27" t="n"/>
      <c r="B1983" s="23" t="n"/>
      <c r="C1983" s="23" t="n"/>
      <c r="D1983" s="28" t="n"/>
      <c r="E1983" s="23" t="n"/>
      <c r="F1983" s="23" t="n"/>
      <c r="G1983" s="23" t="n"/>
      <c r="H1983" s="29">
        <f>IF(C1983="","",IFERROR(INDEX(Categories!$B$6:$B$65,MATCH(C1983,Categories!$A$6:$A$65,0))&amp;"",""))</f>
        <v/>
      </c>
      <c r="I1983" s="25">
        <f>IF(AND(A1983="",C1983="",D1983=""),"",IF(A1983="","Date missing",IF(NOT(ISNUMBER(A1983)),"Date not recognized",IF(YEAR(A1983)&lt;&gt;Settings!$C$4,"Not in "&amp;Settings!$C$4,IF(C1983="","Category missing",IF(H1983="",IF(COUNTIF(Categories!$A$6:$A$65,C1983)&gt;0,"Category has no type","Category not in list"),IF(D1983="","Amount missing",IF(NOT(ISNUMBER(D1983)),"Amount is not a number",IF(F1983="","",IF(ISNA(MATCH(F1983,Lists!$G$2:$G$25,0)),"Goal / fund not in list",IF(H1983="Income","Fund tag ignored on income","")))))))))))</f>
        <v/>
      </c>
    </row>
    <row r="1984">
      <c r="A1984" s="27" t="n"/>
      <c r="B1984" s="23" t="n"/>
      <c r="C1984" s="23" t="n"/>
      <c r="D1984" s="28" t="n"/>
      <c r="E1984" s="23" t="n"/>
      <c r="F1984" s="23" t="n"/>
      <c r="G1984" s="23" t="n"/>
      <c r="H1984" s="29">
        <f>IF(C1984="","",IFERROR(INDEX(Categories!$B$6:$B$65,MATCH(C1984,Categories!$A$6:$A$65,0))&amp;"",""))</f>
        <v/>
      </c>
      <c r="I1984" s="25">
        <f>IF(AND(A1984="",C1984="",D1984=""),"",IF(A1984="","Date missing",IF(NOT(ISNUMBER(A1984)),"Date not recognized",IF(YEAR(A1984)&lt;&gt;Settings!$C$4,"Not in "&amp;Settings!$C$4,IF(C1984="","Category missing",IF(H1984="",IF(COUNTIF(Categories!$A$6:$A$65,C1984)&gt;0,"Category has no type","Category not in list"),IF(D1984="","Amount missing",IF(NOT(ISNUMBER(D1984)),"Amount is not a number",IF(F1984="","",IF(ISNA(MATCH(F1984,Lists!$G$2:$G$25,0)),"Goal / fund not in list",IF(H1984="Income","Fund tag ignored on income","")))))))))))</f>
        <v/>
      </c>
    </row>
    <row r="1985">
      <c r="A1985" s="27" t="n"/>
      <c r="B1985" s="23" t="n"/>
      <c r="C1985" s="23" t="n"/>
      <c r="D1985" s="28" t="n"/>
      <c r="E1985" s="23" t="n"/>
      <c r="F1985" s="23" t="n"/>
      <c r="G1985" s="23" t="n"/>
      <c r="H1985" s="29">
        <f>IF(C1985="","",IFERROR(INDEX(Categories!$B$6:$B$65,MATCH(C1985,Categories!$A$6:$A$65,0))&amp;"",""))</f>
        <v/>
      </c>
      <c r="I1985" s="25">
        <f>IF(AND(A1985="",C1985="",D1985=""),"",IF(A1985="","Date missing",IF(NOT(ISNUMBER(A1985)),"Date not recognized",IF(YEAR(A1985)&lt;&gt;Settings!$C$4,"Not in "&amp;Settings!$C$4,IF(C1985="","Category missing",IF(H1985="",IF(COUNTIF(Categories!$A$6:$A$65,C1985)&gt;0,"Category has no type","Category not in list"),IF(D1985="","Amount missing",IF(NOT(ISNUMBER(D1985)),"Amount is not a number",IF(F1985="","",IF(ISNA(MATCH(F1985,Lists!$G$2:$G$25,0)),"Goal / fund not in list",IF(H1985="Income","Fund tag ignored on income","")))))))))))</f>
        <v/>
      </c>
    </row>
    <row r="1986">
      <c r="A1986" s="27" t="n"/>
      <c r="B1986" s="23" t="n"/>
      <c r="C1986" s="23" t="n"/>
      <c r="D1986" s="28" t="n"/>
      <c r="E1986" s="23" t="n"/>
      <c r="F1986" s="23" t="n"/>
      <c r="G1986" s="23" t="n"/>
      <c r="H1986" s="29">
        <f>IF(C1986="","",IFERROR(INDEX(Categories!$B$6:$B$65,MATCH(C1986,Categories!$A$6:$A$65,0))&amp;"",""))</f>
        <v/>
      </c>
      <c r="I1986" s="25">
        <f>IF(AND(A1986="",C1986="",D1986=""),"",IF(A1986="","Date missing",IF(NOT(ISNUMBER(A1986)),"Date not recognized",IF(YEAR(A1986)&lt;&gt;Settings!$C$4,"Not in "&amp;Settings!$C$4,IF(C1986="","Category missing",IF(H1986="",IF(COUNTIF(Categories!$A$6:$A$65,C1986)&gt;0,"Category has no type","Category not in list"),IF(D1986="","Amount missing",IF(NOT(ISNUMBER(D1986)),"Amount is not a number",IF(F1986="","",IF(ISNA(MATCH(F1986,Lists!$G$2:$G$25,0)),"Goal / fund not in list",IF(H1986="Income","Fund tag ignored on income","")))))))))))</f>
        <v/>
      </c>
    </row>
    <row r="1987">
      <c r="A1987" s="27" t="n"/>
      <c r="B1987" s="23" t="n"/>
      <c r="C1987" s="23" t="n"/>
      <c r="D1987" s="28" t="n"/>
      <c r="E1987" s="23" t="n"/>
      <c r="F1987" s="23" t="n"/>
      <c r="G1987" s="23" t="n"/>
      <c r="H1987" s="29">
        <f>IF(C1987="","",IFERROR(INDEX(Categories!$B$6:$B$65,MATCH(C1987,Categories!$A$6:$A$65,0))&amp;"",""))</f>
        <v/>
      </c>
      <c r="I1987" s="25">
        <f>IF(AND(A1987="",C1987="",D1987=""),"",IF(A1987="","Date missing",IF(NOT(ISNUMBER(A1987)),"Date not recognized",IF(YEAR(A1987)&lt;&gt;Settings!$C$4,"Not in "&amp;Settings!$C$4,IF(C1987="","Category missing",IF(H1987="",IF(COUNTIF(Categories!$A$6:$A$65,C1987)&gt;0,"Category has no type","Category not in list"),IF(D1987="","Amount missing",IF(NOT(ISNUMBER(D1987)),"Amount is not a number",IF(F1987="","",IF(ISNA(MATCH(F1987,Lists!$G$2:$G$25,0)),"Goal / fund not in list",IF(H1987="Income","Fund tag ignored on income","")))))))))))</f>
        <v/>
      </c>
    </row>
    <row r="1988">
      <c r="A1988" s="27" t="n"/>
      <c r="B1988" s="23" t="n"/>
      <c r="C1988" s="23" t="n"/>
      <c r="D1988" s="28" t="n"/>
      <c r="E1988" s="23" t="n"/>
      <c r="F1988" s="23" t="n"/>
      <c r="G1988" s="23" t="n"/>
      <c r="H1988" s="29">
        <f>IF(C1988="","",IFERROR(INDEX(Categories!$B$6:$B$65,MATCH(C1988,Categories!$A$6:$A$65,0))&amp;"",""))</f>
        <v/>
      </c>
      <c r="I1988" s="25">
        <f>IF(AND(A1988="",C1988="",D1988=""),"",IF(A1988="","Date missing",IF(NOT(ISNUMBER(A1988)),"Date not recognized",IF(YEAR(A1988)&lt;&gt;Settings!$C$4,"Not in "&amp;Settings!$C$4,IF(C1988="","Category missing",IF(H1988="",IF(COUNTIF(Categories!$A$6:$A$65,C1988)&gt;0,"Category has no type","Category not in list"),IF(D1988="","Amount missing",IF(NOT(ISNUMBER(D1988)),"Amount is not a number",IF(F1988="","",IF(ISNA(MATCH(F1988,Lists!$G$2:$G$25,0)),"Goal / fund not in list",IF(H1988="Income","Fund tag ignored on income","")))))))))))</f>
        <v/>
      </c>
    </row>
    <row r="1989">
      <c r="A1989" s="27" t="n"/>
      <c r="B1989" s="23" t="n"/>
      <c r="C1989" s="23" t="n"/>
      <c r="D1989" s="28" t="n"/>
      <c r="E1989" s="23" t="n"/>
      <c r="F1989" s="23" t="n"/>
      <c r="G1989" s="23" t="n"/>
      <c r="H1989" s="29">
        <f>IF(C1989="","",IFERROR(INDEX(Categories!$B$6:$B$65,MATCH(C1989,Categories!$A$6:$A$65,0))&amp;"",""))</f>
        <v/>
      </c>
      <c r="I1989" s="25">
        <f>IF(AND(A1989="",C1989="",D1989=""),"",IF(A1989="","Date missing",IF(NOT(ISNUMBER(A1989)),"Date not recognized",IF(YEAR(A1989)&lt;&gt;Settings!$C$4,"Not in "&amp;Settings!$C$4,IF(C1989="","Category missing",IF(H1989="",IF(COUNTIF(Categories!$A$6:$A$65,C1989)&gt;0,"Category has no type","Category not in list"),IF(D1989="","Amount missing",IF(NOT(ISNUMBER(D1989)),"Amount is not a number",IF(F1989="","",IF(ISNA(MATCH(F1989,Lists!$G$2:$G$25,0)),"Goal / fund not in list",IF(H1989="Income","Fund tag ignored on income","")))))))))))</f>
        <v/>
      </c>
    </row>
    <row r="1990">
      <c r="A1990" s="27" t="n"/>
      <c r="B1990" s="23" t="n"/>
      <c r="C1990" s="23" t="n"/>
      <c r="D1990" s="28" t="n"/>
      <c r="E1990" s="23" t="n"/>
      <c r="F1990" s="23" t="n"/>
      <c r="G1990" s="23" t="n"/>
      <c r="H1990" s="29">
        <f>IF(C1990="","",IFERROR(INDEX(Categories!$B$6:$B$65,MATCH(C1990,Categories!$A$6:$A$65,0))&amp;"",""))</f>
        <v/>
      </c>
      <c r="I1990" s="25">
        <f>IF(AND(A1990="",C1990="",D1990=""),"",IF(A1990="","Date missing",IF(NOT(ISNUMBER(A1990)),"Date not recognized",IF(YEAR(A1990)&lt;&gt;Settings!$C$4,"Not in "&amp;Settings!$C$4,IF(C1990="","Category missing",IF(H1990="",IF(COUNTIF(Categories!$A$6:$A$65,C1990)&gt;0,"Category has no type","Category not in list"),IF(D1990="","Amount missing",IF(NOT(ISNUMBER(D1990)),"Amount is not a number",IF(F1990="","",IF(ISNA(MATCH(F1990,Lists!$G$2:$G$25,0)),"Goal / fund not in list",IF(H1990="Income","Fund tag ignored on income","")))))))))))</f>
        <v/>
      </c>
    </row>
    <row r="1991">
      <c r="A1991" s="27" t="n"/>
      <c r="B1991" s="23" t="n"/>
      <c r="C1991" s="23" t="n"/>
      <c r="D1991" s="28" t="n"/>
      <c r="E1991" s="23" t="n"/>
      <c r="F1991" s="23" t="n"/>
      <c r="G1991" s="23" t="n"/>
      <c r="H1991" s="29">
        <f>IF(C1991="","",IFERROR(INDEX(Categories!$B$6:$B$65,MATCH(C1991,Categories!$A$6:$A$65,0))&amp;"",""))</f>
        <v/>
      </c>
      <c r="I1991" s="25">
        <f>IF(AND(A1991="",C1991="",D1991=""),"",IF(A1991="","Date missing",IF(NOT(ISNUMBER(A1991)),"Date not recognized",IF(YEAR(A1991)&lt;&gt;Settings!$C$4,"Not in "&amp;Settings!$C$4,IF(C1991="","Category missing",IF(H1991="",IF(COUNTIF(Categories!$A$6:$A$65,C1991)&gt;0,"Category has no type","Category not in list"),IF(D1991="","Amount missing",IF(NOT(ISNUMBER(D1991)),"Amount is not a number",IF(F1991="","",IF(ISNA(MATCH(F1991,Lists!$G$2:$G$25,0)),"Goal / fund not in list",IF(H1991="Income","Fund tag ignored on income","")))))))))))</f>
        <v/>
      </c>
    </row>
    <row r="1992">
      <c r="A1992" s="27" t="n"/>
      <c r="B1992" s="23" t="n"/>
      <c r="C1992" s="23" t="n"/>
      <c r="D1992" s="28" t="n"/>
      <c r="E1992" s="23" t="n"/>
      <c r="F1992" s="23" t="n"/>
      <c r="G1992" s="23" t="n"/>
      <c r="H1992" s="29">
        <f>IF(C1992="","",IFERROR(INDEX(Categories!$B$6:$B$65,MATCH(C1992,Categories!$A$6:$A$65,0))&amp;"",""))</f>
        <v/>
      </c>
      <c r="I1992" s="25">
        <f>IF(AND(A1992="",C1992="",D1992=""),"",IF(A1992="","Date missing",IF(NOT(ISNUMBER(A1992)),"Date not recognized",IF(YEAR(A1992)&lt;&gt;Settings!$C$4,"Not in "&amp;Settings!$C$4,IF(C1992="","Category missing",IF(H1992="",IF(COUNTIF(Categories!$A$6:$A$65,C1992)&gt;0,"Category has no type","Category not in list"),IF(D1992="","Amount missing",IF(NOT(ISNUMBER(D1992)),"Amount is not a number",IF(F1992="","",IF(ISNA(MATCH(F1992,Lists!$G$2:$G$25,0)),"Goal / fund not in list",IF(H1992="Income","Fund tag ignored on income","")))))))))))</f>
        <v/>
      </c>
    </row>
    <row r="1993">
      <c r="A1993" s="27" t="n"/>
      <c r="B1993" s="23" t="n"/>
      <c r="C1993" s="23" t="n"/>
      <c r="D1993" s="28" t="n"/>
      <c r="E1993" s="23" t="n"/>
      <c r="F1993" s="23" t="n"/>
      <c r="G1993" s="23" t="n"/>
      <c r="H1993" s="29">
        <f>IF(C1993="","",IFERROR(INDEX(Categories!$B$6:$B$65,MATCH(C1993,Categories!$A$6:$A$65,0))&amp;"",""))</f>
        <v/>
      </c>
      <c r="I1993" s="25">
        <f>IF(AND(A1993="",C1993="",D1993=""),"",IF(A1993="","Date missing",IF(NOT(ISNUMBER(A1993)),"Date not recognized",IF(YEAR(A1993)&lt;&gt;Settings!$C$4,"Not in "&amp;Settings!$C$4,IF(C1993="","Category missing",IF(H1993="",IF(COUNTIF(Categories!$A$6:$A$65,C1993)&gt;0,"Category has no type","Category not in list"),IF(D1993="","Amount missing",IF(NOT(ISNUMBER(D1993)),"Amount is not a number",IF(F1993="","",IF(ISNA(MATCH(F1993,Lists!$G$2:$G$25,0)),"Goal / fund not in list",IF(H1993="Income","Fund tag ignored on income","")))))))))))</f>
        <v/>
      </c>
    </row>
    <row r="1994">
      <c r="A1994" s="27" t="n"/>
      <c r="B1994" s="23" t="n"/>
      <c r="C1994" s="23" t="n"/>
      <c r="D1994" s="28" t="n"/>
      <c r="E1994" s="23" t="n"/>
      <c r="F1994" s="23" t="n"/>
      <c r="G1994" s="23" t="n"/>
      <c r="H1994" s="29">
        <f>IF(C1994="","",IFERROR(INDEX(Categories!$B$6:$B$65,MATCH(C1994,Categories!$A$6:$A$65,0))&amp;"",""))</f>
        <v/>
      </c>
      <c r="I1994" s="25">
        <f>IF(AND(A1994="",C1994="",D1994=""),"",IF(A1994="","Date missing",IF(NOT(ISNUMBER(A1994)),"Date not recognized",IF(YEAR(A1994)&lt;&gt;Settings!$C$4,"Not in "&amp;Settings!$C$4,IF(C1994="","Category missing",IF(H1994="",IF(COUNTIF(Categories!$A$6:$A$65,C1994)&gt;0,"Category has no type","Category not in list"),IF(D1994="","Amount missing",IF(NOT(ISNUMBER(D1994)),"Amount is not a number",IF(F1994="","",IF(ISNA(MATCH(F1994,Lists!$G$2:$G$25,0)),"Goal / fund not in list",IF(H1994="Income","Fund tag ignored on income","")))))))))))</f>
        <v/>
      </c>
    </row>
    <row r="1995">
      <c r="A1995" s="27" t="n"/>
      <c r="B1995" s="23" t="n"/>
      <c r="C1995" s="23" t="n"/>
      <c r="D1995" s="28" t="n"/>
      <c r="E1995" s="23" t="n"/>
      <c r="F1995" s="23" t="n"/>
      <c r="G1995" s="23" t="n"/>
      <c r="H1995" s="29">
        <f>IF(C1995="","",IFERROR(INDEX(Categories!$B$6:$B$65,MATCH(C1995,Categories!$A$6:$A$65,0))&amp;"",""))</f>
        <v/>
      </c>
      <c r="I1995" s="25">
        <f>IF(AND(A1995="",C1995="",D1995=""),"",IF(A1995="","Date missing",IF(NOT(ISNUMBER(A1995)),"Date not recognized",IF(YEAR(A1995)&lt;&gt;Settings!$C$4,"Not in "&amp;Settings!$C$4,IF(C1995="","Category missing",IF(H1995="",IF(COUNTIF(Categories!$A$6:$A$65,C1995)&gt;0,"Category has no type","Category not in list"),IF(D1995="","Amount missing",IF(NOT(ISNUMBER(D1995)),"Amount is not a number",IF(F1995="","",IF(ISNA(MATCH(F1995,Lists!$G$2:$G$25,0)),"Goal / fund not in list",IF(H1995="Income","Fund tag ignored on income","")))))))))))</f>
        <v/>
      </c>
    </row>
    <row r="1996">
      <c r="A1996" s="27" t="n"/>
      <c r="B1996" s="23" t="n"/>
      <c r="C1996" s="23" t="n"/>
      <c r="D1996" s="28" t="n"/>
      <c r="E1996" s="23" t="n"/>
      <c r="F1996" s="23" t="n"/>
      <c r="G1996" s="23" t="n"/>
      <c r="H1996" s="29">
        <f>IF(C1996="","",IFERROR(INDEX(Categories!$B$6:$B$65,MATCH(C1996,Categories!$A$6:$A$65,0))&amp;"",""))</f>
        <v/>
      </c>
      <c r="I1996" s="25">
        <f>IF(AND(A1996="",C1996="",D1996=""),"",IF(A1996="","Date missing",IF(NOT(ISNUMBER(A1996)),"Date not recognized",IF(YEAR(A1996)&lt;&gt;Settings!$C$4,"Not in "&amp;Settings!$C$4,IF(C1996="","Category missing",IF(H1996="",IF(COUNTIF(Categories!$A$6:$A$65,C1996)&gt;0,"Category has no type","Category not in list"),IF(D1996="","Amount missing",IF(NOT(ISNUMBER(D1996)),"Amount is not a number",IF(F1996="","",IF(ISNA(MATCH(F1996,Lists!$G$2:$G$25,0)),"Goal / fund not in list",IF(H1996="Income","Fund tag ignored on income","")))))))))))</f>
        <v/>
      </c>
    </row>
    <row r="1997">
      <c r="A1997" s="27" t="n"/>
      <c r="B1997" s="23" t="n"/>
      <c r="C1997" s="23" t="n"/>
      <c r="D1997" s="28" t="n"/>
      <c r="E1997" s="23" t="n"/>
      <c r="F1997" s="23" t="n"/>
      <c r="G1997" s="23" t="n"/>
      <c r="H1997" s="29">
        <f>IF(C1997="","",IFERROR(INDEX(Categories!$B$6:$B$65,MATCH(C1997,Categories!$A$6:$A$65,0))&amp;"",""))</f>
        <v/>
      </c>
      <c r="I1997" s="25">
        <f>IF(AND(A1997="",C1997="",D1997=""),"",IF(A1997="","Date missing",IF(NOT(ISNUMBER(A1997)),"Date not recognized",IF(YEAR(A1997)&lt;&gt;Settings!$C$4,"Not in "&amp;Settings!$C$4,IF(C1997="","Category missing",IF(H1997="",IF(COUNTIF(Categories!$A$6:$A$65,C1997)&gt;0,"Category has no type","Category not in list"),IF(D1997="","Amount missing",IF(NOT(ISNUMBER(D1997)),"Amount is not a number",IF(F1997="","",IF(ISNA(MATCH(F1997,Lists!$G$2:$G$25,0)),"Goal / fund not in list",IF(H1997="Income","Fund tag ignored on income","")))))))))))</f>
        <v/>
      </c>
    </row>
    <row r="1998">
      <c r="A1998" s="27" t="n"/>
      <c r="B1998" s="23" t="n"/>
      <c r="C1998" s="23" t="n"/>
      <c r="D1998" s="28" t="n"/>
      <c r="E1998" s="23" t="n"/>
      <c r="F1998" s="23" t="n"/>
      <c r="G1998" s="23" t="n"/>
      <c r="H1998" s="29">
        <f>IF(C1998="","",IFERROR(INDEX(Categories!$B$6:$B$65,MATCH(C1998,Categories!$A$6:$A$65,0))&amp;"",""))</f>
        <v/>
      </c>
      <c r="I1998" s="25">
        <f>IF(AND(A1998="",C1998="",D1998=""),"",IF(A1998="","Date missing",IF(NOT(ISNUMBER(A1998)),"Date not recognized",IF(YEAR(A1998)&lt;&gt;Settings!$C$4,"Not in "&amp;Settings!$C$4,IF(C1998="","Category missing",IF(H1998="",IF(COUNTIF(Categories!$A$6:$A$65,C1998)&gt;0,"Category has no type","Category not in list"),IF(D1998="","Amount missing",IF(NOT(ISNUMBER(D1998)),"Amount is not a number",IF(F1998="","",IF(ISNA(MATCH(F1998,Lists!$G$2:$G$25,0)),"Goal / fund not in list",IF(H1998="Income","Fund tag ignored on income","")))))))))))</f>
        <v/>
      </c>
    </row>
    <row r="1999">
      <c r="A1999" s="27" t="n"/>
      <c r="B1999" s="23" t="n"/>
      <c r="C1999" s="23" t="n"/>
      <c r="D1999" s="28" t="n"/>
      <c r="E1999" s="23" t="n"/>
      <c r="F1999" s="23" t="n"/>
      <c r="G1999" s="23" t="n"/>
      <c r="H1999" s="29">
        <f>IF(C1999="","",IFERROR(INDEX(Categories!$B$6:$B$65,MATCH(C1999,Categories!$A$6:$A$65,0))&amp;"",""))</f>
        <v/>
      </c>
      <c r="I1999" s="25">
        <f>IF(AND(A1999="",C1999="",D1999=""),"",IF(A1999="","Date missing",IF(NOT(ISNUMBER(A1999)),"Date not recognized",IF(YEAR(A1999)&lt;&gt;Settings!$C$4,"Not in "&amp;Settings!$C$4,IF(C1999="","Category missing",IF(H1999="",IF(COUNTIF(Categories!$A$6:$A$65,C1999)&gt;0,"Category has no type","Category not in list"),IF(D1999="","Amount missing",IF(NOT(ISNUMBER(D1999)),"Amount is not a number",IF(F1999="","",IF(ISNA(MATCH(F1999,Lists!$G$2:$G$25,0)),"Goal / fund not in list",IF(H1999="Income","Fund tag ignored on income","")))))))))))</f>
        <v/>
      </c>
    </row>
    <row r="2000">
      <c r="A2000" s="27" t="n"/>
      <c r="B2000" s="23" t="n"/>
      <c r="C2000" s="23" t="n"/>
      <c r="D2000" s="28" t="n"/>
      <c r="E2000" s="23" t="n"/>
      <c r="F2000" s="23" t="n"/>
      <c r="G2000" s="23" t="n"/>
      <c r="H2000" s="29">
        <f>IF(C2000="","",IFERROR(INDEX(Categories!$B$6:$B$65,MATCH(C2000,Categories!$A$6:$A$65,0))&amp;"",""))</f>
        <v/>
      </c>
      <c r="I2000" s="25">
        <f>IF(AND(A2000="",C2000="",D2000=""),"",IF(A2000="","Date missing",IF(NOT(ISNUMBER(A2000)),"Date not recognized",IF(YEAR(A2000)&lt;&gt;Settings!$C$4,"Not in "&amp;Settings!$C$4,IF(C2000="","Category missing",IF(H2000="",IF(COUNTIF(Categories!$A$6:$A$65,C2000)&gt;0,"Category has no type","Category not in list"),IF(D2000="","Amount missing",IF(NOT(ISNUMBER(D2000)),"Amount is not a number",IF(F2000="","",IF(ISNA(MATCH(F2000,Lists!$G$2:$G$25,0)),"Goal / fund not in list",IF(H2000="Income","Fund tag ignored on income","")))))))))))</f>
        <v/>
      </c>
    </row>
    <row r="2001">
      <c r="A2001" s="27" t="n"/>
      <c r="B2001" s="23" t="n"/>
      <c r="C2001" s="23" t="n"/>
      <c r="D2001" s="28" t="n"/>
      <c r="E2001" s="23" t="n"/>
      <c r="F2001" s="23" t="n"/>
      <c r="G2001" s="23" t="n"/>
      <c r="H2001" s="29">
        <f>IF(C2001="","",IFERROR(INDEX(Categories!$B$6:$B$65,MATCH(C2001,Categories!$A$6:$A$65,0))&amp;"",""))</f>
        <v/>
      </c>
      <c r="I2001" s="25">
        <f>IF(AND(A2001="",C2001="",D2001=""),"",IF(A2001="","Date missing",IF(NOT(ISNUMBER(A2001)),"Date not recognized",IF(YEAR(A2001)&lt;&gt;Settings!$C$4,"Not in "&amp;Settings!$C$4,IF(C2001="","Category missing",IF(H2001="",IF(COUNTIF(Categories!$A$6:$A$65,C2001)&gt;0,"Category has no type","Category not in list"),IF(D2001="","Amount missing",IF(NOT(ISNUMBER(D2001)),"Amount is not a number",IF(F2001="","",IF(ISNA(MATCH(F2001,Lists!$G$2:$G$25,0)),"Goal / fund not in list",IF(H2001="Income","Fund tag ignored on income","")))))))))))</f>
        <v/>
      </c>
    </row>
    <row r="2002">
      <c r="A2002" s="27" t="n"/>
      <c r="B2002" s="23" t="n"/>
      <c r="C2002" s="23" t="n"/>
      <c r="D2002" s="28" t="n"/>
      <c r="E2002" s="23" t="n"/>
      <c r="F2002" s="23" t="n"/>
      <c r="G2002" s="23" t="n"/>
      <c r="H2002" s="29">
        <f>IF(C2002="","",IFERROR(INDEX(Categories!$B$6:$B$65,MATCH(C2002,Categories!$A$6:$A$65,0))&amp;"",""))</f>
        <v/>
      </c>
      <c r="I2002" s="25">
        <f>IF(AND(A2002="",C2002="",D2002=""),"",IF(A2002="","Date missing",IF(NOT(ISNUMBER(A2002)),"Date not recognized",IF(YEAR(A2002)&lt;&gt;Settings!$C$4,"Not in "&amp;Settings!$C$4,IF(C2002="","Category missing",IF(H2002="",IF(COUNTIF(Categories!$A$6:$A$65,C2002)&gt;0,"Category has no type","Category not in list"),IF(D2002="","Amount missing",IF(NOT(ISNUMBER(D2002)),"Amount is not a number",IF(F2002="","",IF(ISNA(MATCH(F2002,Lists!$G$2:$G$25,0)),"Goal / fund not in list",IF(H2002="Income","Fund tag ignored on income","")))))))))))</f>
        <v/>
      </c>
    </row>
    <row r="2003">
      <c r="A2003" s="27" t="n"/>
      <c r="B2003" s="23" t="n"/>
      <c r="C2003" s="23" t="n"/>
      <c r="D2003" s="28" t="n"/>
      <c r="E2003" s="23" t="n"/>
      <c r="F2003" s="23" t="n"/>
      <c r="G2003" s="23" t="n"/>
      <c r="H2003" s="29">
        <f>IF(C2003="","",IFERROR(INDEX(Categories!$B$6:$B$65,MATCH(C2003,Categories!$A$6:$A$65,0))&amp;"",""))</f>
        <v/>
      </c>
      <c r="I2003" s="25">
        <f>IF(AND(A2003="",C2003="",D2003=""),"",IF(A2003="","Date missing",IF(NOT(ISNUMBER(A2003)),"Date not recognized",IF(YEAR(A2003)&lt;&gt;Settings!$C$4,"Not in "&amp;Settings!$C$4,IF(C2003="","Category missing",IF(H2003="",IF(COUNTIF(Categories!$A$6:$A$65,C2003)&gt;0,"Category has no type","Category not in list"),IF(D2003="","Amount missing",IF(NOT(ISNUMBER(D2003)),"Amount is not a number",IF(F2003="","",IF(ISNA(MATCH(F2003,Lists!$G$2:$G$25,0)),"Goal / fund not in list",IF(H2003="Income","Fund tag ignored on income","")))))))))))</f>
        <v/>
      </c>
    </row>
    <row r="2004">
      <c r="A2004" s="27" t="n"/>
      <c r="B2004" s="23" t="n"/>
      <c r="C2004" s="23" t="n"/>
      <c r="D2004" s="28" t="n"/>
      <c r="E2004" s="23" t="n"/>
      <c r="F2004" s="23" t="n"/>
      <c r="G2004" s="23" t="n"/>
      <c r="H2004" s="29">
        <f>IF(C2004="","",IFERROR(INDEX(Categories!$B$6:$B$65,MATCH(C2004,Categories!$A$6:$A$65,0))&amp;"",""))</f>
        <v/>
      </c>
      <c r="I2004" s="25">
        <f>IF(AND(A2004="",C2004="",D2004=""),"",IF(A2004="","Date missing",IF(NOT(ISNUMBER(A2004)),"Date not recognized",IF(YEAR(A2004)&lt;&gt;Settings!$C$4,"Not in "&amp;Settings!$C$4,IF(C2004="","Category missing",IF(H2004="",IF(COUNTIF(Categories!$A$6:$A$65,C2004)&gt;0,"Category has no type","Category not in list"),IF(D2004="","Amount missing",IF(NOT(ISNUMBER(D2004)),"Amount is not a number",IF(F2004="","",IF(ISNA(MATCH(F2004,Lists!$G$2:$G$25,0)),"Goal / fund not in list",IF(H2004="Income","Fund tag ignored on income","")))))))))))</f>
        <v/>
      </c>
    </row>
    <row r="2005">
      <c r="A2005" s="27" t="n"/>
      <c r="B2005" s="23" t="n"/>
      <c r="C2005" s="23" t="n"/>
      <c r="D2005" s="28" t="n"/>
      <c r="E2005" s="23" t="n"/>
      <c r="F2005" s="23" t="n"/>
      <c r="G2005" s="23" t="n"/>
      <c r="H2005" s="29">
        <f>IF(C2005="","",IFERROR(INDEX(Categories!$B$6:$B$65,MATCH(C2005,Categories!$A$6:$A$65,0))&amp;"",""))</f>
        <v/>
      </c>
      <c r="I2005" s="25">
        <f>IF(AND(A2005="",C2005="",D2005=""),"",IF(A2005="","Date missing",IF(NOT(ISNUMBER(A2005)),"Date not recognized",IF(YEAR(A2005)&lt;&gt;Settings!$C$4,"Not in "&amp;Settings!$C$4,IF(C2005="","Category missing",IF(H2005="",IF(COUNTIF(Categories!$A$6:$A$65,C2005)&gt;0,"Category has no type","Category not in list"),IF(D2005="","Amount missing",IF(NOT(ISNUMBER(D2005)),"Amount is not a number",IF(F2005="","",IF(ISNA(MATCH(F2005,Lists!$G$2:$G$25,0)),"Goal / fund not in list",IF(H2005="Income","Fund tag ignored on income","")))))))))))</f>
        <v/>
      </c>
    </row>
  </sheetData>
  <sheetProtection selectLockedCells="0" selectUnlockedCells="0" sheet="1" objects="0" insertRows="1" insertHyperlinks="1" autoFilter="0" scenarios="0" formatColumns="0" deleteColumns="1" insertColumns="1" pivotTables="1" deleteRows="1" formatCells="0" formatRows="0" sort="0"/>
  <autoFilter ref="A5:I2005"/>
  <conditionalFormatting sqref="I6:I2005">
    <cfRule type="expression" priority="1" dxfId="0">
      <formula>I6&lt;&gt;""</formula>
    </cfRule>
  </conditionalFormatting>
  <dataValidations count="5">
    <dataValidation sqref="A6:A2005" showDropDown="0" showInputMessage="0" showErrorMessage="1" allowBlank="1" errorTitle="Date not valid" error="Enter a date, for example 2026-03-15 (year-month-day)." type="date" operator="between">
      <formula1>36526</formula1>
      <formula2>73050</formula2>
    </dataValidation>
    <dataValidation sqref="C6:C2005" showDropDown="0" showInputMessage="0" showErrorMessage="1" allowBlank="1" errorTitle="Category not in list" error="Choose a category from the list. You can edit the list in the Categories sheet." type="list">
      <formula1>Categories!$A$6:$A$65</formula1>
    </dataValidation>
    <dataValidation sqref="D6:D2005" showDropDown="0" showInputMessage="0" showErrorMessage="1" allowBlank="1" errorTitle="Value not valid" error="Enter a number, for example 125.50." type="decimal" operator="between">
      <formula1>-100000000</formula1>
      <formula2>100000000</formula2>
    </dataValidation>
    <dataValidation sqref="E6:E2005" showDropDown="0" showInputMessage="0" showErrorMessage="1" allowBlank="1" errorTitle="Account" error="Choose an account. You can edit the list in Settings." type="list">
      <formula1>Settings!$B$18:$B$25</formula1>
    </dataValidation>
    <dataValidation sqref="F6:F2005" showDropDown="0" showInputMessage="0" showErrorMessage="1" allowBlank="1" errorTitle="Goal or fund not in list" error="Choose a goal or fund. Add them in Savings Goals or Sinking Funds." type="list">
      <formula1>Lists!$G$2:$G$25</formula1>
    </dataValidation>
  </dataValidations>
  <printOptions horizontalCentered="1"/>
  <pageMargins left="0.4" right="0.4" top="0.5" bottom="0.5" header="0.5" footer="0.5"/>
  <pageSetup orientation="landscape" paperSize="1" fitToHeight="0" fitToWidth="1"/>
</worksheet>
</file>

<file path=xl/worksheets/sheet5.xml><?xml version="1.0" encoding="utf-8"?>
<worksheet xmlns="http://schemas.openxmlformats.org/spreadsheetml/2006/main">
  <sheetPr>
    <tabColor rgb="00E3C766"/>
    <outlinePr summaryBelow="1" summaryRight="1"/>
    <pageSetUpPr fitToPage="1"/>
  </sheetPr>
  <dimension ref="A1:P75"/>
  <sheetViews>
    <sheetView tabSelected="0"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1" max="1"/>
    <col width="17"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3" customWidth="1" min="16" max="16"/>
  </cols>
  <sheetData>
    <row r="1" ht="30" customHeight="1">
      <c r="A1" s="12" t="inlineStr">
        <is>
          <t>Monthly Budget</t>
        </is>
      </c>
    </row>
    <row r="2">
      <c r="A2" s="13" t="inlineStr">
        <is>
          <t>Type a typical monthly amount in column C: the 12 months fill in by themselves. For a month that is different (annual bills, holidays), type over that month.</t>
        </is>
      </c>
    </row>
    <row r="3">
      <c r="A3" s="24" t="inlineStr">
        <is>
          <t>To go back to the typical amount, copy a month that you did not change. The summary rows at the top are calculated.</t>
        </is>
      </c>
    </row>
    <row r="4">
      <c r="D4" s="30">
        <f>"Planned by month"&amp;Settings!$C$14</f>
        <v/>
      </c>
    </row>
    <row r="5" ht="30" customHeight="1">
      <c r="A5" s="14" t="inlineStr">
        <is>
          <t>Category</t>
        </is>
      </c>
      <c r="B5" s="14" t="inlineStr">
        <is>
          <t>Type</t>
        </is>
      </c>
      <c r="C5" s="14">
        <f>"Typical month"&amp;Settings!$C$14</f>
        <v/>
      </c>
      <c r="D5" s="14" t="inlineStr">
        <is>
          <t>Jan</t>
        </is>
      </c>
      <c r="E5" s="14" t="inlineStr">
        <is>
          <t>Feb</t>
        </is>
      </c>
      <c r="F5" s="14" t="inlineStr">
        <is>
          <t>Mar</t>
        </is>
      </c>
      <c r="G5" s="14" t="inlineStr">
        <is>
          <t>Apr</t>
        </is>
      </c>
      <c r="H5" s="14" t="inlineStr">
        <is>
          <t>May</t>
        </is>
      </c>
      <c r="I5" s="14" t="inlineStr">
        <is>
          <t>Jun</t>
        </is>
      </c>
      <c r="J5" s="14" t="inlineStr">
        <is>
          <t>Jul</t>
        </is>
      </c>
      <c r="K5" s="14" t="inlineStr">
        <is>
          <t>Aug</t>
        </is>
      </c>
      <c r="L5" s="14" t="inlineStr">
        <is>
          <t>Sep</t>
        </is>
      </c>
      <c r="M5" s="14" t="inlineStr">
        <is>
          <t>Oct</t>
        </is>
      </c>
      <c r="N5" s="14" t="inlineStr">
        <is>
          <t>Nov</t>
        </is>
      </c>
      <c r="O5" s="14" t="inlineStr">
        <is>
          <t>Dec</t>
        </is>
      </c>
      <c r="P5" s="14">
        <f>"Year total"&amp;Settings!$C$14</f>
        <v/>
      </c>
    </row>
    <row r="6">
      <c r="A6" s="31" t="inlineStr">
        <is>
          <t>Income</t>
        </is>
      </c>
      <c r="B6" s="29" t="inlineStr">
        <is>
          <t>Income</t>
        </is>
      </c>
      <c r="C6" s="32">
        <f>SUMIFS(C$14:C$73,$B$14:$B$73,"Income")</f>
        <v/>
      </c>
      <c r="D6" s="32">
        <f>SUMIFS(D$14:D$73,$B$14:$B$73,"Income")</f>
        <v/>
      </c>
      <c r="E6" s="32">
        <f>SUMIFS(E$14:E$73,$B$14:$B$73,"Income")</f>
        <v/>
      </c>
      <c r="F6" s="32">
        <f>SUMIFS(F$14:F$73,$B$14:$B$73,"Income")</f>
        <v/>
      </c>
      <c r="G6" s="32">
        <f>SUMIFS(G$14:G$73,$B$14:$B$73,"Income")</f>
        <v/>
      </c>
      <c r="H6" s="32">
        <f>SUMIFS(H$14:H$73,$B$14:$B$73,"Income")</f>
        <v/>
      </c>
      <c r="I6" s="32">
        <f>SUMIFS(I$14:I$73,$B$14:$B$73,"Income")</f>
        <v/>
      </c>
      <c r="J6" s="32">
        <f>SUMIFS(J$14:J$73,$B$14:$B$73,"Income")</f>
        <v/>
      </c>
      <c r="K6" s="32">
        <f>SUMIFS(K$14:K$73,$B$14:$B$73,"Income")</f>
        <v/>
      </c>
      <c r="L6" s="32">
        <f>SUMIFS(L$14:L$73,$B$14:$B$73,"Income")</f>
        <v/>
      </c>
      <c r="M6" s="32">
        <f>SUMIFS(M$14:M$73,$B$14:$B$73,"Income")</f>
        <v/>
      </c>
      <c r="N6" s="32">
        <f>SUMIFS(N$14:N$73,$B$14:$B$73,"Income")</f>
        <v/>
      </c>
      <c r="O6" s="32">
        <f>SUMIFS(O$14:O$73,$B$14:$B$73,"Income")</f>
        <v/>
      </c>
      <c r="P6" s="32">
        <f>SUMIFS(P$14:P$73,$B$14:$B$73,"Income")</f>
        <v/>
      </c>
    </row>
    <row r="7">
      <c r="A7" s="31" t="inlineStr">
        <is>
          <t>Fixed bills</t>
        </is>
      </c>
      <c r="B7" s="29" t="inlineStr">
        <is>
          <t>Fixed bills</t>
        </is>
      </c>
      <c r="C7" s="32">
        <f>SUMIFS(C$14:C$73,$B$14:$B$73,"Fixed bills")</f>
        <v/>
      </c>
      <c r="D7" s="32">
        <f>SUMIFS(D$14:D$73,$B$14:$B$73,"Fixed bills")</f>
        <v/>
      </c>
      <c r="E7" s="32">
        <f>SUMIFS(E$14:E$73,$B$14:$B$73,"Fixed bills")</f>
        <v/>
      </c>
      <c r="F7" s="32">
        <f>SUMIFS(F$14:F$73,$B$14:$B$73,"Fixed bills")</f>
        <v/>
      </c>
      <c r="G7" s="32">
        <f>SUMIFS(G$14:G$73,$B$14:$B$73,"Fixed bills")</f>
        <v/>
      </c>
      <c r="H7" s="32">
        <f>SUMIFS(H$14:H$73,$B$14:$B$73,"Fixed bills")</f>
        <v/>
      </c>
      <c r="I7" s="32">
        <f>SUMIFS(I$14:I$73,$B$14:$B$73,"Fixed bills")</f>
        <v/>
      </c>
      <c r="J7" s="32">
        <f>SUMIFS(J$14:J$73,$B$14:$B$73,"Fixed bills")</f>
        <v/>
      </c>
      <c r="K7" s="32">
        <f>SUMIFS(K$14:K$73,$B$14:$B$73,"Fixed bills")</f>
        <v/>
      </c>
      <c r="L7" s="32">
        <f>SUMIFS(L$14:L$73,$B$14:$B$73,"Fixed bills")</f>
        <v/>
      </c>
      <c r="M7" s="32">
        <f>SUMIFS(M$14:M$73,$B$14:$B$73,"Fixed bills")</f>
        <v/>
      </c>
      <c r="N7" s="32">
        <f>SUMIFS(N$14:N$73,$B$14:$B$73,"Fixed bills")</f>
        <v/>
      </c>
      <c r="O7" s="32">
        <f>SUMIFS(O$14:O$73,$B$14:$B$73,"Fixed bills")</f>
        <v/>
      </c>
      <c r="P7" s="32">
        <f>SUMIFS(P$14:P$73,$B$14:$B$73,"Fixed bills")</f>
        <v/>
      </c>
    </row>
    <row r="8">
      <c r="A8" s="31" t="inlineStr">
        <is>
          <t>Variable expenses</t>
        </is>
      </c>
      <c r="B8" s="29" t="inlineStr">
        <is>
          <t>Variable expenses</t>
        </is>
      </c>
      <c r="C8" s="32">
        <f>SUMIFS(C$14:C$73,$B$14:$B$73,"Variable expenses")</f>
        <v/>
      </c>
      <c r="D8" s="32">
        <f>SUMIFS(D$14:D$73,$B$14:$B$73,"Variable expenses")</f>
        <v/>
      </c>
      <c r="E8" s="32">
        <f>SUMIFS(E$14:E$73,$B$14:$B$73,"Variable expenses")</f>
        <v/>
      </c>
      <c r="F8" s="32">
        <f>SUMIFS(F$14:F$73,$B$14:$B$73,"Variable expenses")</f>
        <v/>
      </c>
      <c r="G8" s="32">
        <f>SUMIFS(G$14:G$73,$B$14:$B$73,"Variable expenses")</f>
        <v/>
      </c>
      <c r="H8" s="32">
        <f>SUMIFS(H$14:H$73,$B$14:$B$73,"Variable expenses")</f>
        <v/>
      </c>
      <c r="I8" s="32">
        <f>SUMIFS(I$14:I$73,$B$14:$B$73,"Variable expenses")</f>
        <v/>
      </c>
      <c r="J8" s="32">
        <f>SUMIFS(J$14:J$73,$B$14:$B$73,"Variable expenses")</f>
        <v/>
      </c>
      <c r="K8" s="32">
        <f>SUMIFS(K$14:K$73,$B$14:$B$73,"Variable expenses")</f>
        <v/>
      </c>
      <c r="L8" s="32">
        <f>SUMIFS(L$14:L$73,$B$14:$B$73,"Variable expenses")</f>
        <v/>
      </c>
      <c r="M8" s="32">
        <f>SUMIFS(M$14:M$73,$B$14:$B$73,"Variable expenses")</f>
        <v/>
      </c>
      <c r="N8" s="32">
        <f>SUMIFS(N$14:N$73,$B$14:$B$73,"Variable expenses")</f>
        <v/>
      </c>
      <c r="O8" s="32">
        <f>SUMIFS(O$14:O$73,$B$14:$B$73,"Variable expenses")</f>
        <v/>
      </c>
      <c r="P8" s="32">
        <f>SUMIFS(P$14:P$73,$B$14:$B$73,"Variable expenses")</f>
        <v/>
      </c>
    </row>
    <row r="9">
      <c r="A9" s="33" t="inlineStr">
        <is>
          <t>Total expenses</t>
        </is>
      </c>
      <c r="B9" s="34" t="inlineStr">
        <is>
          <t>All expenses</t>
        </is>
      </c>
      <c r="C9" s="35">
        <f>C7+C8</f>
        <v/>
      </c>
      <c r="D9" s="35">
        <f>D7+D8</f>
        <v/>
      </c>
      <c r="E9" s="35">
        <f>E7+E8</f>
        <v/>
      </c>
      <c r="F9" s="35">
        <f>F7+F8</f>
        <v/>
      </c>
      <c r="G9" s="35">
        <f>G7+G8</f>
        <v/>
      </c>
      <c r="H9" s="35">
        <f>H7+H8</f>
        <v/>
      </c>
      <c r="I9" s="35">
        <f>I7+I8</f>
        <v/>
      </c>
      <c r="J9" s="35">
        <f>J7+J8</f>
        <v/>
      </c>
      <c r="K9" s="35">
        <f>K7+K8</f>
        <v/>
      </c>
      <c r="L9" s="35">
        <f>L7+L8</f>
        <v/>
      </c>
      <c r="M9" s="35">
        <f>M7+M8</f>
        <v/>
      </c>
      <c r="N9" s="35">
        <f>N7+N8</f>
        <v/>
      </c>
      <c r="O9" s="35">
        <f>O7+O8</f>
        <v/>
      </c>
      <c r="P9" s="35">
        <f>P7+P8</f>
        <v/>
      </c>
    </row>
    <row r="10">
      <c r="A10" s="31" t="inlineStr">
        <is>
          <t>Savings &amp; debt payments</t>
        </is>
      </c>
      <c r="B10" s="29" t="inlineStr">
        <is>
          <t>Savings &amp; debt</t>
        </is>
      </c>
      <c r="C10" s="32">
        <f>SUMIFS(C$14:C$73,$B$14:$B$73,"Savings &amp; debt")</f>
        <v/>
      </c>
      <c r="D10" s="32">
        <f>SUMIFS(D$14:D$73,$B$14:$B$73,"Savings &amp; debt")</f>
        <v/>
      </c>
      <c r="E10" s="32">
        <f>SUMIFS(E$14:E$73,$B$14:$B$73,"Savings &amp; debt")</f>
        <v/>
      </c>
      <c r="F10" s="32">
        <f>SUMIFS(F$14:F$73,$B$14:$B$73,"Savings &amp; debt")</f>
        <v/>
      </c>
      <c r="G10" s="32">
        <f>SUMIFS(G$14:G$73,$B$14:$B$73,"Savings &amp; debt")</f>
        <v/>
      </c>
      <c r="H10" s="32">
        <f>SUMIFS(H$14:H$73,$B$14:$B$73,"Savings &amp; debt")</f>
        <v/>
      </c>
      <c r="I10" s="32">
        <f>SUMIFS(I$14:I$73,$B$14:$B$73,"Savings &amp; debt")</f>
        <v/>
      </c>
      <c r="J10" s="32">
        <f>SUMIFS(J$14:J$73,$B$14:$B$73,"Savings &amp; debt")</f>
        <v/>
      </c>
      <c r="K10" s="32">
        <f>SUMIFS(K$14:K$73,$B$14:$B$73,"Savings &amp; debt")</f>
        <v/>
      </c>
      <c r="L10" s="32">
        <f>SUMIFS(L$14:L$73,$B$14:$B$73,"Savings &amp; debt")</f>
        <v/>
      </c>
      <c r="M10" s="32">
        <f>SUMIFS(M$14:M$73,$B$14:$B$73,"Savings &amp; debt")</f>
        <v/>
      </c>
      <c r="N10" s="32">
        <f>SUMIFS(N$14:N$73,$B$14:$B$73,"Savings &amp; debt")</f>
        <v/>
      </c>
      <c r="O10" s="32">
        <f>SUMIFS(O$14:O$73,$B$14:$B$73,"Savings &amp; debt")</f>
        <v/>
      </c>
      <c r="P10" s="32">
        <f>SUMIFS(P$14:P$73,$B$14:$B$73,"Savings &amp; debt")</f>
        <v/>
      </c>
    </row>
    <row r="11">
      <c r="A11" s="31" t="inlineStr">
        <is>
          <t>Paid from goals &amp; funds</t>
        </is>
      </c>
      <c r="B11" s="29" t="inlineStr">
        <is>
          <t>Funds</t>
        </is>
      </c>
      <c r="C11" s="36" t="n"/>
      <c r="D11" s="28" t="n"/>
      <c r="E11" s="28" t="n"/>
      <c r="F11" s="28" t="n"/>
      <c r="G11" s="28" t="n"/>
      <c r="H11" s="28" t="n"/>
      <c r="I11" s="28" t="n"/>
      <c r="J11" s="28" t="n">
        <v>1500</v>
      </c>
      <c r="K11" s="28" t="n"/>
      <c r="L11" s="28" t="n">
        <v>500</v>
      </c>
      <c r="M11" s="28" t="n"/>
      <c r="N11" s="28" t="n"/>
      <c r="O11" s="28" t="n">
        <v>600</v>
      </c>
      <c r="P11" s="32">
        <f>SUM(D11:O11)</f>
        <v/>
      </c>
    </row>
    <row r="12">
      <c r="A12" s="33" t="inlineStr">
        <is>
          <t>Left to budget</t>
        </is>
      </c>
      <c r="B12" s="34" t="inlineStr">
        <is>
          <t>Result</t>
        </is>
      </c>
      <c r="C12" s="35">
        <f>C6-C9-C10+N(C11)</f>
        <v/>
      </c>
      <c r="D12" s="35">
        <f>D6-D9-D10+N(D11)</f>
        <v/>
      </c>
      <c r="E12" s="35">
        <f>E6-E9-E10+N(E11)</f>
        <v/>
      </c>
      <c r="F12" s="35">
        <f>F6-F9-F10+N(F11)</f>
        <v/>
      </c>
      <c r="G12" s="35">
        <f>G6-G9-G10+N(G11)</f>
        <v/>
      </c>
      <c r="H12" s="35">
        <f>H6-H9-H10+N(H11)</f>
        <v/>
      </c>
      <c r="I12" s="35">
        <f>I6-I9-I10+N(I11)</f>
        <v/>
      </c>
      <c r="J12" s="35">
        <f>J6-J9-J10+N(J11)</f>
        <v/>
      </c>
      <c r="K12" s="35">
        <f>K6-K9-K10+N(K11)</f>
        <v/>
      </c>
      <c r="L12" s="35">
        <f>L6-L9-L10+N(L11)</f>
        <v/>
      </c>
      <c r="M12" s="35">
        <f>M6-M9-M10+N(M11)</f>
        <v/>
      </c>
      <c r="N12" s="35">
        <f>N6-N9-N10+N(N11)</f>
        <v/>
      </c>
      <c r="O12" s="35">
        <f>O6-O9-O10+N(O11)</f>
        <v/>
      </c>
      <c r="P12" s="35">
        <f>P6-P9-P10+N(P11)</f>
        <v/>
      </c>
    </row>
    <row r="13">
      <c r="A13" s="37" t="inlineStr">
        <is>
          <t>Categories</t>
        </is>
      </c>
      <c r="B13" s="4" t="n"/>
      <c r="C13" s="4" t="n"/>
      <c r="D13" s="4" t="n"/>
      <c r="E13" s="4" t="n"/>
      <c r="F13" s="4" t="n"/>
      <c r="G13" s="4" t="n"/>
      <c r="H13" s="4" t="n"/>
      <c r="I13" s="4" t="n"/>
      <c r="J13" s="4" t="n"/>
      <c r="K13" s="4" t="n"/>
      <c r="L13" s="4" t="n"/>
      <c r="M13" s="4" t="n"/>
      <c r="N13" s="4" t="n"/>
      <c r="O13" s="4" t="n"/>
      <c r="P13" s="4" t="n"/>
    </row>
    <row r="14">
      <c r="A14" s="38">
        <f>IF(Categories!$A6="","",Categories!$A6)</f>
        <v/>
      </c>
      <c r="B14" s="29">
        <f>IF(A14="","",Categories!$B6&amp;"")</f>
        <v/>
      </c>
      <c r="C14" s="28" t="n">
        <v>4200</v>
      </c>
      <c r="D14" s="39">
        <f>$C14</f>
        <v/>
      </c>
      <c r="E14" s="39">
        <f>$C14</f>
        <v/>
      </c>
      <c r="F14" s="39">
        <f>$C14</f>
        <v/>
      </c>
      <c r="G14" s="39">
        <f>$C14</f>
        <v/>
      </c>
      <c r="H14" s="39">
        <f>$C14</f>
        <v/>
      </c>
      <c r="I14" s="39">
        <f>$C14</f>
        <v/>
      </c>
      <c r="J14" s="39">
        <f>$C14</f>
        <v/>
      </c>
      <c r="K14" s="39">
        <f>$C14</f>
        <v/>
      </c>
      <c r="L14" s="39">
        <f>$C14</f>
        <v/>
      </c>
      <c r="M14" s="39">
        <f>$C14</f>
        <v/>
      </c>
      <c r="N14" s="39">
        <f>$C14</f>
        <v/>
      </c>
      <c r="O14" s="39">
        <f>$C14</f>
        <v/>
      </c>
      <c r="P14" s="40">
        <f>SUM(D14:O14)</f>
        <v/>
      </c>
    </row>
    <row r="15">
      <c r="A15" s="38">
        <f>IF(Categories!$A7="","",Categories!$A7)</f>
        <v/>
      </c>
      <c r="B15" s="29">
        <f>IF(A15="","",Categories!$B7&amp;"")</f>
        <v/>
      </c>
      <c r="C15" s="28" t="n">
        <v>2950</v>
      </c>
      <c r="D15" s="39">
        <f>$C15</f>
        <v/>
      </c>
      <c r="E15" s="39">
        <f>$C15</f>
        <v/>
      </c>
      <c r="F15" s="39">
        <f>$C15</f>
        <v/>
      </c>
      <c r="G15" s="39">
        <f>$C15</f>
        <v/>
      </c>
      <c r="H15" s="39">
        <f>$C15</f>
        <v/>
      </c>
      <c r="I15" s="39">
        <f>$C15</f>
        <v/>
      </c>
      <c r="J15" s="39">
        <f>$C15</f>
        <v/>
      </c>
      <c r="K15" s="39">
        <f>$C15</f>
        <v/>
      </c>
      <c r="L15" s="39">
        <f>$C15</f>
        <v/>
      </c>
      <c r="M15" s="39">
        <f>$C15</f>
        <v/>
      </c>
      <c r="N15" s="39">
        <f>$C15</f>
        <v/>
      </c>
      <c r="O15" s="39">
        <f>$C15</f>
        <v/>
      </c>
      <c r="P15" s="40">
        <f>SUM(D15:O15)</f>
        <v/>
      </c>
    </row>
    <row r="16">
      <c r="A16" s="38">
        <f>IF(Categories!$A8="","",Categories!$A8)</f>
        <v/>
      </c>
      <c r="B16" s="29">
        <f>IF(A16="","",Categories!$B8&amp;"")</f>
        <v/>
      </c>
      <c r="C16" s="28" t="n">
        <v>250</v>
      </c>
      <c r="D16" s="39">
        <f>$C16</f>
        <v/>
      </c>
      <c r="E16" s="39">
        <f>$C16</f>
        <v/>
      </c>
      <c r="F16" s="39">
        <f>$C16</f>
        <v/>
      </c>
      <c r="G16" s="39">
        <f>$C16</f>
        <v/>
      </c>
      <c r="H16" s="39">
        <f>$C16</f>
        <v/>
      </c>
      <c r="I16" s="39">
        <f>$C16</f>
        <v/>
      </c>
      <c r="J16" s="39">
        <f>$C16</f>
        <v/>
      </c>
      <c r="K16" s="39">
        <f>$C16</f>
        <v/>
      </c>
      <c r="L16" s="39">
        <f>$C16</f>
        <v/>
      </c>
      <c r="M16" s="39">
        <f>$C16</f>
        <v/>
      </c>
      <c r="N16" s="39">
        <f>$C16</f>
        <v/>
      </c>
      <c r="O16" s="39">
        <f>$C16</f>
        <v/>
      </c>
      <c r="P16" s="40">
        <f>SUM(D16:O16)</f>
        <v/>
      </c>
    </row>
    <row r="17">
      <c r="A17" s="38">
        <f>IF(Categories!$A9="","",Categories!$A9)</f>
        <v/>
      </c>
      <c r="B17" s="29">
        <f>IF(A17="","",Categories!$B9&amp;"")</f>
        <v/>
      </c>
      <c r="C17" s="28" t="n">
        <v>0</v>
      </c>
      <c r="D17" s="39">
        <f>$C17</f>
        <v/>
      </c>
      <c r="E17" s="39">
        <f>$C17</f>
        <v/>
      </c>
      <c r="F17" s="39">
        <f>$C17</f>
        <v/>
      </c>
      <c r="G17" s="39" t="n">
        <v>1200</v>
      </c>
      <c r="H17" s="39">
        <f>$C17</f>
        <v/>
      </c>
      <c r="I17" s="39">
        <f>$C17</f>
        <v/>
      </c>
      <c r="J17" s="39">
        <f>$C17</f>
        <v/>
      </c>
      <c r="K17" s="39">
        <f>$C17</f>
        <v/>
      </c>
      <c r="L17" s="39">
        <f>$C17</f>
        <v/>
      </c>
      <c r="M17" s="39">
        <f>$C17</f>
        <v/>
      </c>
      <c r="N17" s="39">
        <f>$C17</f>
        <v/>
      </c>
      <c r="O17" s="39" t="n">
        <v>300</v>
      </c>
      <c r="P17" s="40">
        <f>SUM(D17:O17)</f>
        <v/>
      </c>
    </row>
    <row r="18">
      <c r="A18" s="38">
        <f>IF(Categories!$A10="","",Categories!$A10)</f>
        <v/>
      </c>
      <c r="B18" s="29">
        <f>IF(A18="","",Categories!$B10&amp;"")</f>
        <v/>
      </c>
      <c r="C18" s="28" t="n">
        <v>1850</v>
      </c>
      <c r="D18" s="39">
        <f>$C18</f>
        <v/>
      </c>
      <c r="E18" s="39">
        <f>$C18</f>
        <v/>
      </c>
      <c r="F18" s="39">
        <f>$C18</f>
        <v/>
      </c>
      <c r="G18" s="39">
        <f>$C18</f>
        <v/>
      </c>
      <c r="H18" s="39">
        <f>$C18</f>
        <v/>
      </c>
      <c r="I18" s="39">
        <f>$C18</f>
        <v/>
      </c>
      <c r="J18" s="39">
        <f>$C18</f>
        <v/>
      </c>
      <c r="K18" s="39">
        <f>$C18</f>
        <v/>
      </c>
      <c r="L18" s="39">
        <f>$C18</f>
        <v/>
      </c>
      <c r="M18" s="39">
        <f>$C18</f>
        <v/>
      </c>
      <c r="N18" s="39">
        <f>$C18</f>
        <v/>
      </c>
      <c r="O18" s="39">
        <f>$C18</f>
        <v/>
      </c>
      <c r="P18" s="40">
        <f>SUM(D18:O18)</f>
        <v/>
      </c>
    </row>
    <row r="19">
      <c r="A19" s="38">
        <f>IF(Categories!$A11="","",Categories!$A11)</f>
        <v/>
      </c>
      <c r="B19" s="29">
        <f>IF(A19="","",Categories!$B11&amp;"")</f>
        <v/>
      </c>
      <c r="C19" s="28" t="n">
        <v>200</v>
      </c>
      <c r="D19" s="39" t="n">
        <v>260</v>
      </c>
      <c r="E19" s="39" t="n">
        <v>250</v>
      </c>
      <c r="F19" s="39">
        <f>$C19</f>
        <v/>
      </c>
      <c r="G19" s="39">
        <f>$C19</f>
        <v/>
      </c>
      <c r="H19" s="39">
        <f>$C19</f>
        <v/>
      </c>
      <c r="I19" s="39">
        <f>$C19</f>
        <v/>
      </c>
      <c r="J19" s="39" t="n">
        <v>240</v>
      </c>
      <c r="K19" s="39" t="n">
        <v>245</v>
      </c>
      <c r="L19" s="39">
        <f>$C19</f>
        <v/>
      </c>
      <c r="M19" s="39">
        <f>$C19</f>
        <v/>
      </c>
      <c r="N19" s="39">
        <f>$C19</f>
        <v/>
      </c>
      <c r="O19" s="39" t="n">
        <v>260</v>
      </c>
      <c r="P19" s="40">
        <f>SUM(D19:O19)</f>
        <v/>
      </c>
    </row>
    <row r="20">
      <c r="A20" s="38">
        <f>IF(Categories!$A12="","",Categories!$A12)</f>
        <v/>
      </c>
      <c r="B20" s="29">
        <f>IF(A20="","",Categories!$B12&amp;"")</f>
        <v/>
      </c>
      <c r="C20" s="28" t="n">
        <v>135</v>
      </c>
      <c r="D20" s="39">
        <f>$C20</f>
        <v/>
      </c>
      <c r="E20" s="39">
        <f>$C20</f>
        <v/>
      </c>
      <c r="F20" s="39">
        <f>$C20</f>
        <v/>
      </c>
      <c r="G20" s="39">
        <f>$C20</f>
        <v/>
      </c>
      <c r="H20" s="39">
        <f>$C20</f>
        <v/>
      </c>
      <c r="I20" s="39">
        <f>$C20</f>
        <v/>
      </c>
      <c r="J20" s="39">
        <f>$C20</f>
        <v/>
      </c>
      <c r="K20" s="39">
        <f>$C20</f>
        <v/>
      </c>
      <c r="L20" s="39">
        <f>$C20</f>
        <v/>
      </c>
      <c r="M20" s="39">
        <f>$C20</f>
        <v/>
      </c>
      <c r="N20" s="39">
        <f>$C20</f>
        <v/>
      </c>
      <c r="O20" s="39">
        <f>$C20</f>
        <v/>
      </c>
      <c r="P20" s="40">
        <f>SUM(D20:O20)</f>
        <v/>
      </c>
    </row>
    <row r="21">
      <c r="A21" s="38">
        <f>IF(Categories!$A13="","",Categories!$A13)</f>
        <v/>
      </c>
      <c r="B21" s="29">
        <f>IF(A21="","",Categories!$B13&amp;"")</f>
        <v/>
      </c>
      <c r="C21" s="28" t="n">
        <v>146</v>
      </c>
      <c r="D21" s="39">
        <f>$C21</f>
        <v/>
      </c>
      <c r="E21" s="39">
        <f>$C21</f>
        <v/>
      </c>
      <c r="F21" s="39">
        <f>$C21</f>
        <v/>
      </c>
      <c r="G21" s="39">
        <f>$C21</f>
        <v/>
      </c>
      <c r="H21" s="39">
        <f>$C21</f>
        <v/>
      </c>
      <c r="I21" s="39">
        <f>$C21</f>
        <v/>
      </c>
      <c r="J21" s="39">
        <f>$C21</f>
        <v/>
      </c>
      <c r="K21" s="39">
        <f>$C21</f>
        <v/>
      </c>
      <c r="L21" s="39">
        <f>$C21</f>
        <v/>
      </c>
      <c r="M21" s="39">
        <f>$C21</f>
        <v/>
      </c>
      <c r="N21" s="39">
        <f>$C21</f>
        <v/>
      </c>
      <c r="O21" s="39">
        <f>$C21</f>
        <v/>
      </c>
      <c r="P21" s="40">
        <f>SUM(D21:O21)</f>
        <v/>
      </c>
    </row>
    <row r="22">
      <c r="A22" s="38">
        <f>IF(Categories!$A14="","",Categories!$A14)</f>
        <v/>
      </c>
      <c r="B22" s="29">
        <f>IF(A22="","",Categories!$B14&amp;"")</f>
        <v/>
      </c>
      <c r="C22" s="28" t="n">
        <v>72</v>
      </c>
      <c r="D22" s="39">
        <f>$C22</f>
        <v/>
      </c>
      <c r="E22" s="39">
        <f>$C22</f>
        <v/>
      </c>
      <c r="F22" s="39" t="n">
        <v>102</v>
      </c>
      <c r="G22" s="39">
        <f>$C22</f>
        <v/>
      </c>
      <c r="H22" s="39">
        <f>$C22</f>
        <v/>
      </c>
      <c r="I22" s="39">
        <f>$C22</f>
        <v/>
      </c>
      <c r="J22" s="39">
        <f>$C22</f>
        <v/>
      </c>
      <c r="K22" s="39">
        <f>$C22</f>
        <v/>
      </c>
      <c r="L22" s="39">
        <f>$C22</f>
        <v/>
      </c>
      <c r="M22" s="39">
        <f>$C22</f>
        <v/>
      </c>
      <c r="N22" s="39">
        <f>$C22</f>
        <v/>
      </c>
      <c r="O22" s="39">
        <f>$C22</f>
        <v/>
      </c>
      <c r="P22" s="40">
        <f>SUM(D22:O22)</f>
        <v/>
      </c>
    </row>
    <row r="23">
      <c r="A23" s="38">
        <f>IF(Categories!$A15="","",Categories!$A15)</f>
        <v/>
      </c>
      <c r="B23" s="29">
        <f>IF(A23="","",Categories!$B15&amp;"")</f>
        <v/>
      </c>
      <c r="C23" s="28" t="n">
        <v>389</v>
      </c>
      <c r="D23" s="39">
        <f>$C23</f>
        <v/>
      </c>
      <c r="E23" s="39">
        <f>$C23</f>
        <v/>
      </c>
      <c r="F23" s="39">
        <f>$C23</f>
        <v/>
      </c>
      <c r="G23" s="39">
        <f>$C23</f>
        <v/>
      </c>
      <c r="H23" s="39">
        <f>$C23</f>
        <v/>
      </c>
      <c r="I23" s="39">
        <f>$C23</f>
        <v/>
      </c>
      <c r="J23" s="39">
        <f>$C23</f>
        <v/>
      </c>
      <c r="K23" s="39">
        <f>$C23</f>
        <v/>
      </c>
      <c r="L23" s="39">
        <f>$C23</f>
        <v/>
      </c>
      <c r="M23" s="39">
        <f>$C23</f>
        <v/>
      </c>
      <c r="N23" s="39">
        <f>$C23</f>
        <v/>
      </c>
      <c r="O23" s="39">
        <f>$C23</f>
        <v/>
      </c>
      <c r="P23" s="40">
        <f>SUM(D23:O23)</f>
        <v/>
      </c>
    </row>
    <row r="24">
      <c r="A24" s="38">
        <f>IF(Categories!$A16="","",Categories!$A16)</f>
        <v/>
      </c>
      <c r="B24" s="29">
        <f>IF(A24="","",Categories!$B16&amp;"")</f>
        <v/>
      </c>
      <c r="C24" s="28" t="n">
        <v>720</v>
      </c>
      <c r="D24" s="39">
        <f>$C24</f>
        <v/>
      </c>
      <c r="E24" s="39">
        <f>$C24</f>
        <v/>
      </c>
      <c r="F24" s="39">
        <f>$C24</f>
        <v/>
      </c>
      <c r="G24" s="39">
        <f>$C24</f>
        <v/>
      </c>
      <c r="H24" s="39">
        <f>$C24</f>
        <v/>
      </c>
      <c r="I24" s="39">
        <f>$C24</f>
        <v/>
      </c>
      <c r="J24" s="39">
        <f>$C24</f>
        <v/>
      </c>
      <c r="K24" s="39">
        <f>$C24</f>
        <v/>
      </c>
      <c r="L24" s="39">
        <f>$C24</f>
        <v/>
      </c>
      <c r="M24" s="39">
        <f>$C24</f>
        <v/>
      </c>
      <c r="N24" s="39" t="n">
        <v>760</v>
      </c>
      <c r="O24" s="39" t="n">
        <v>820</v>
      </c>
      <c r="P24" s="40">
        <f>SUM(D24:O24)</f>
        <v/>
      </c>
    </row>
    <row r="25">
      <c r="A25" s="38">
        <f>IF(Categories!$A17="","",Categories!$A17)</f>
        <v/>
      </c>
      <c r="B25" s="29">
        <f>IF(A25="","",Categories!$B17&amp;"")</f>
        <v/>
      </c>
      <c r="C25" s="28" t="n">
        <v>240</v>
      </c>
      <c r="D25" s="39">
        <f>$C25</f>
        <v/>
      </c>
      <c r="E25" s="39">
        <f>$C25</f>
        <v/>
      </c>
      <c r="F25" s="39">
        <f>$C25</f>
        <v/>
      </c>
      <c r="G25" s="39">
        <f>$C25</f>
        <v/>
      </c>
      <c r="H25" s="39">
        <f>$C25</f>
        <v/>
      </c>
      <c r="I25" s="39">
        <f>$C25</f>
        <v/>
      </c>
      <c r="J25" s="39">
        <f>$C25</f>
        <v/>
      </c>
      <c r="K25" s="39">
        <f>$C25</f>
        <v/>
      </c>
      <c r="L25" s="39">
        <f>$C25</f>
        <v/>
      </c>
      <c r="M25" s="39">
        <f>$C25</f>
        <v/>
      </c>
      <c r="N25" s="39">
        <f>$C25</f>
        <v/>
      </c>
      <c r="O25" s="39">
        <f>$C25</f>
        <v/>
      </c>
      <c r="P25" s="40">
        <f>SUM(D25:O25)</f>
        <v/>
      </c>
    </row>
    <row r="26">
      <c r="A26" s="38">
        <f>IF(Categories!$A18="","",Categories!$A18)</f>
        <v/>
      </c>
      <c r="B26" s="29">
        <f>IF(A26="","",Categories!$B18&amp;"")</f>
        <v/>
      </c>
      <c r="C26" s="28" t="n">
        <v>200</v>
      </c>
      <c r="D26" s="39">
        <f>$C26</f>
        <v/>
      </c>
      <c r="E26" s="39">
        <f>$C26</f>
        <v/>
      </c>
      <c r="F26" s="39">
        <f>$C26</f>
        <v/>
      </c>
      <c r="G26" s="39">
        <f>$C26</f>
        <v/>
      </c>
      <c r="H26" s="39">
        <f>$C26</f>
        <v/>
      </c>
      <c r="I26" s="39">
        <f>$C26</f>
        <v/>
      </c>
      <c r="J26" s="39">
        <f>$C26</f>
        <v/>
      </c>
      <c r="K26" s="39">
        <f>$C26</f>
        <v/>
      </c>
      <c r="L26" s="39" t="n">
        <v>750</v>
      </c>
      <c r="M26" s="39">
        <f>$C26</f>
        <v/>
      </c>
      <c r="N26" s="39">
        <f>$C26</f>
        <v/>
      </c>
      <c r="O26" s="39">
        <f>$C26</f>
        <v/>
      </c>
      <c r="P26" s="40">
        <f>SUM(D26:O26)</f>
        <v/>
      </c>
    </row>
    <row r="27">
      <c r="A27" s="38">
        <f>IF(Categories!$A19="","",Categories!$A19)</f>
        <v/>
      </c>
      <c r="B27" s="29">
        <f>IF(A27="","",Categories!$B19&amp;"")</f>
        <v/>
      </c>
      <c r="C27" s="28" t="n">
        <v>60</v>
      </c>
      <c r="D27" s="39">
        <f>$C27</f>
        <v/>
      </c>
      <c r="E27" s="39">
        <f>$C27</f>
        <v/>
      </c>
      <c r="F27" s="39">
        <f>$C27</f>
        <v/>
      </c>
      <c r="G27" s="39">
        <f>$C27</f>
        <v/>
      </c>
      <c r="H27" s="39">
        <f>$C27</f>
        <v/>
      </c>
      <c r="I27" s="39">
        <f>$C27</f>
        <v/>
      </c>
      <c r="J27" s="39">
        <f>$C27</f>
        <v/>
      </c>
      <c r="K27" s="39">
        <f>$C27</f>
        <v/>
      </c>
      <c r="L27" s="39">
        <f>$C27</f>
        <v/>
      </c>
      <c r="M27" s="39">
        <f>$C27</f>
        <v/>
      </c>
      <c r="N27" s="39">
        <f>$C27</f>
        <v/>
      </c>
      <c r="O27" s="39">
        <f>$C27</f>
        <v/>
      </c>
      <c r="P27" s="40">
        <f>SUM(D27:O27)</f>
        <v/>
      </c>
    </row>
    <row r="28">
      <c r="A28" s="38">
        <f>IF(Categories!$A20="","",Categories!$A20)</f>
        <v/>
      </c>
      <c r="B28" s="29">
        <f>IF(A28="","",Categories!$B20&amp;"")</f>
        <v/>
      </c>
      <c r="C28" s="28" t="n">
        <v>390</v>
      </c>
      <c r="D28" s="39">
        <f>$C28</f>
        <v/>
      </c>
      <c r="E28" s="39">
        <f>$C28</f>
        <v/>
      </c>
      <c r="F28" s="39">
        <f>$C28</f>
        <v/>
      </c>
      <c r="G28" s="39">
        <f>$C28</f>
        <v/>
      </c>
      <c r="H28" s="39">
        <f>$C28</f>
        <v/>
      </c>
      <c r="I28" s="39">
        <f>$C28</f>
        <v/>
      </c>
      <c r="J28" s="39" t="n">
        <v>500</v>
      </c>
      <c r="K28" s="39" t="n">
        <v>640</v>
      </c>
      <c r="L28" s="39">
        <f>$C28</f>
        <v/>
      </c>
      <c r="M28" s="39">
        <f>$C28</f>
        <v/>
      </c>
      <c r="N28" s="39">
        <f>$C28</f>
        <v/>
      </c>
      <c r="O28" s="39">
        <f>$C28</f>
        <v/>
      </c>
      <c r="P28" s="40">
        <f>SUM(D28:O28)</f>
        <v/>
      </c>
    </row>
    <row r="29">
      <c r="A29" s="38">
        <f>IF(Categories!$A21="","",Categories!$A21)</f>
        <v/>
      </c>
      <c r="B29" s="29">
        <f>IF(A29="","",Categories!$B21&amp;"")</f>
        <v/>
      </c>
      <c r="C29" s="28" t="n">
        <v>45</v>
      </c>
      <c r="D29" s="39">
        <f>$C29</f>
        <v/>
      </c>
      <c r="E29" s="39">
        <f>$C29</f>
        <v/>
      </c>
      <c r="F29" s="39">
        <f>$C29</f>
        <v/>
      </c>
      <c r="G29" s="39">
        <f>$C29</f>
        <v/>
      </c>
      <c r="H29" s="39">
        <f>$C29</f>
        <v/>
      </c>
      <c r="I29" s="39">
        <f>$C29</f>
        <v/>
      </c>
      <c r="J29" s="39">
        <f>$C29</f>
        <v/>
      </c>
      <c r="K29" s="39">
        <f>$C29</f>
        <v/>
      </c>
      <c r="L29" s="39">
        <f>$C29</f>
        <v/>
      </c>
      <c r="M29" s="39">
        <f>$C29</f>
        <v/>
      </c>
      <c r="N29" s="39">
        <f>$C29</f>
        <v/>
      </c>
      <c r="O29" s="39">
        <f>$C29</f>
        <v/>
      </c>
      <c r="P29" s="40">
        <f>SUM(D29:O29)</f>
        <v/>
      </c>
    </row>
    <row r="30">
      <c r="A30" s="38">
        <f>IF(Categories!$A22="","",Categories!$A22)</f>
        <v/>
      </c>
      <c r="B30" s="29">
        <f>IF(A30="","",Categories!$B22&amp;"")</f>
        <v/>
      </c>
      <c r="C30" s="28" t="n">
        <v>80</v>
      </c>
      <c r="D30" s="39">
        <f>$C30</f>
        <v/>
      </c>
      <c r="E30" s="39">
        <f>$C30</f>
        <v/>
      </c>
      <c r="F30" s="39">
        <f>$C30</f>
        <v/>
      </c>
      <c r="G30" s="39">
        <f>$C30</f>
        <v/>
      </c>
      <c r="H30" s="39">
        <f>$C30</f>
        <v/>
      </c>
      <c r="I30" s="39">
        <f>$C30</f>
        <v/>
      </c>
      <c r="J30" s="39">
        <f>$C30</f>
        <v/>
      </c>
      <c r="K30" s="39">
        <f>$C30</f>
        <v/>
      </c>
      <c r="L30" s="39">
        <f>$C30</f>
        <v/>
      </c>
      <c r="M30" s="39">
        <f>$C30</f>
        <v/>
      </c>
      <c r="N30" s="39">
        <f>$C30</f>
        <v/>
      </c>
      <c r="O30" s="39">
        <f>$C30</f>
        <v/>
      </c>
      <c r="P30" s="40">
        <f>SUM(D30:O30)</f>
        <v/>
      </c>
    </row>
    <row r="31">
      <c r="A31" s="38">
        <f>IF(Categories!$A23="","",Categories!$A23)</f>
        <v/>
      </c>
      <c r="B31" s="29">
        <f>IF(A31="","",Categories!$B23&amp;"")</f>
        <v/>
      </c>
      <c r="C31" s="28" t="n">
        <v>40</v>
      </c>
      <c r="D31" s="39">
        <f>$C31</f>
        <v/>
      </c>
      <c r="E31" s="39">
        <f>$C31</f>
        <v/>
      </c>
      <c r="F31" s="39">
        <f>$C31</f>
        <v/>
      </c>
      <c r="G31" s="39">
        <f>$C31</f>
        <v/>
      </c>
      <c r="H31" s="39">
        <f>$C31</f>
        <v/>
      </c>
      <c r="I31" s="39">
        <f>$C31</f>
        <v/>
      </c>
      <c r="J31" s="39">
        <f>$C31</f>
        <v/>
      </c>
      <c r="K31" s="39">
        <f>$C31</f>
        <v/>
      </c>
      <c r="L31" s="39">
        <f>$C31</f>
        <v/>
      </c>
      <c r="M31" s="39">
        <f>$C31</f>
        <v/>
      </c>
      <c r="N31" s="39">
        <f>$C31</f>
        <v/>
      </c>
      <c r="O31" s="39" t="n">
        <v>650</v>
      </c>
      <c r="P31" s="40">
        <f>SUM(D31:O31)</f>
        <v/>
      </c>
    </row>
    <row r="32">
      <c r="A32" s="38">
        <f>IF(Categories!$A24="","",Categories!$A24)</f>
        <v/>
      </c>
      <c r="B32" s="29">
        <f>IF(A32="","",Categories!$B24&amp;"")</f>
        <v/>
      </c>
      <c r="C32" s="28" t="n">
        <v>0</v>
      </c>
      <c r="D32" s="39">
        <f>$C32</f>
        <v/>
      </c>
      <c r="E32" s="39">
        <f>$C32</f>
        <v/>
      </c>
      <c r="F32" s="39">
        <f>$C32</f>
        <v/>
      </c>
      <c r="G32" s="39">
        <f>$C32</f>
        <v/>
      </c>
      <c r="H32" s="39" t="n">
        <v>200</v>
      </c>
      <c r="I32" s="39">
        <f>$C32</f>
        <v/>
      </c>
      <c r="J32" s="39" t="n">
        <v>1600</v>
      </c>
      <c r="K32" s="39">
        <f>$C32</f>
        <v/>
      </c>
      <c r="L32" s="39">
        <f>$C32</f>
        <v/>
      </c>
      <c r="M32" s="39">
        <f>$C32</f>
        <v/>
      </c>
      <c r="N32" s="39">
        <f>$C32</f>
        <v/>
      </c>
      <c r="O32" s="39">
        <f>$C32</f>
        <v/>
      </c>
      <c r="P32" s="40">
        <f>SUM(D32:O32)</f>
        <v/>
      </c>
    </row>
    <row r="33">
      <c r="A33" s="38">
        <f>IF(Categories!$A25="","",Categories!$A25)</f>
        <v/>
      </c>
      <c r="B33" s="29">
        <f>IF(A33="","",Categories!$B25&amp;"")</f>
        <v/>
      </c>
      <c r="C33" s="28" t="n">
        <v>60</v>
      </c>
      <c r="D33" s="39">
        <f>$C33</f>
        <v/>
      </c>
      <c r="E33" s="39">
        <f>$C33</f>
        <v/>
      </c>
      <c r="F33" s="39">
        <f>$C33</f>
        <v/>
      </c>
      <c r="G33" s="39">
        <f>$C33</f>
        <v/>
      </c>
      <c r="H33" s="39">
        <f>$C33</f>
        <v/>
      </c>
      <c r="I33" s="39">
        <f>$C33</f>
        <v/>
      </c>
      <c r="J33" s="39">
        <f>$C33</f>
        <v/>
      </c>
      <c r="K33" s="39">
        <f>$C33</f>
        <v/>
      </c>
      <c r="L33" s="39">
        <f>$C33</f>
        <v/>
      </c>
      <c r="M33" s="39">
        <f>$C33</f>
        <v/>
      </c>
      <c r="N33" s="39">
        <f>$C33</f>
        <v/>
      </c>
      <c r="O33" s="39">
        <f>$C33</f>
        <v/>
      </c>
      <c r="P33" s="40">
        <f>SUM(D33:O33)</f>
        <v/>
      </c>
    </row>
    <row r="34">
      <c r="A34" s="38">
        <f>IF(Categories!$A26="","",Categories!$A26)</f>
        <v/>
      </c>
      <c r="B34" s="29">
        <f>IF(A34="","",Categories!$B26&amp;"")</f>
        <v/>
      </c>
      <c r="C34" s="28" t="n">
        <v>60</v>
      </c>
      <c r="D34" s="39">
        <f>$C34</f>
        <v/>
      </c>
      <c r="E34" s="39">
        <f>$C34</f>
        <v/>
      </c>
      <c r="F34" s="39">
        <f>$C34</f>
        <v/>
      </c>
      <c r="G34" s="39">
        <f>$C34</f>
        <v/>
      </c>
      <c r="H34" s="39">
        <f>$C34</f>
        <v/>
      </c>
      <c r="I34" s="39">
        <f>$C34</f>
        <v/>
      </c>
      <c r="J34" s="39">
        <f>$C34</f>
        <v/>
      </c>
      <c r="K34" s="39">
        <f>$C34</f>
        <v/>
      </c>
      <c r="L34" s="39">
        <f>$C34</f>
        <v/>
      </c>
      <c r="M34" s="39">
        <f>$C34</f>
        <v/>
      </c>
      <c r="N34" s="39">
        <f>$C34</f>
        <v/>
      </c>
      <c r="O34" s="39">
        <f>$C34</f>
        <v/>
      </c>
      <c r="P34" s="40">
        <f>SUM(D34:O34)</f>
        <v/>
      </c>
    </row>
    <row r="35">
      <c r="A35" s="38">
        <f>IF(Categories!$A27="","",Categories!$A27)</f>
        <v/>
      </c>
      <c r="B35" s="29">
        <f>IF(A35="","",Categories!$B27&amp;"")</f>
        <v/>
      </c>
      <c r="C35" s="28" t="n">
        <v>50</v>
      </c>
      <c r="D35" s="39">
        <f>$C35</f>
        <v/>
      </c>
      <c r="E35" s="39">
        <f>$C35</f>
        <v/>
      </c>
      <c r="F35" s="39" t="n">
        <v>210</v>
      </c>
      <c r="G35" s="39">
        <f>$C35</f>
        <v/>
      </c>
      <c r="H35" s="39">
        <f>$C35</f>
        <v/>
      </c>
      <c r="I35" s="39">
        <f>$C35</f>
        <v/>
      </c>
      <c r="J35" s="39">
        <f>$C35</f>
        <v/>
      </c>
      <c r="K35" s="39">
        <f>$C35</f>
        <v/>
      </c>
      <c r="L35" s="39">
        <f>$C35</f>
        <v/>
      </c>
      <c r="M35" s="39">
        <f>$C35</f>
        <v/>
      </c>
      <c r="N35" s="39">
        <f>$C35</f>
        <v/>
      </c>
      <c r="O35" s="39">
        <f>$C35</f>
        <v/>
      </c>
      <c r="P35" s="40">
        <f>SUM(D35:O35)</f>
        <v/>
      </c>
    </row>
    <row r="36">
      <c r="A36" s="38">
        <f>IF(Categories!$A28="","",Categories!$A28)</f>
        <v/>
      </c>
      <c r="B36" s="29">
        <f>IF(A36="","",Categories!$B28&amp;"")</f>
        <v/>
      </c>
      <c r="C36" s="28" t="n">
        <v>40</v>
      </c>
      <c r="D36" s="39">
        <f>$C36</f>
        <v/>
      </c>
      <c r="E36" s="39">
        <f>$C36</f>
        <v/>
      </c>
      <c r="F36" s="39">
        <f>$C36</f>
        <v/>
      </c>
      <c r="G36" s="39">
        <f>$C36</f>
        <v/>
      </c>
      <c r="H36" s="39">
        <f>$C36</f>
        <v/>
      </c>
      <c r="I36" s="39">
        <f>$C36</f>
        <v/>
      </c>
      <c r="J36" s="39">
        <f>$C36</f>
        <v/>
      </c>
      <c r="K36" s="39">
        <f>$C36</f>
        <v/>
      </c>
      <c r="L36" s="39">
        <f>$C36</f>
        <v/>
      </c>
      <c r="M36" s="39">
        <f>$C36</f>
        <v/>
      </c>
      <c r="N36" s="39">
        <f>$C36</f>
        <v/>
      </c>
      <c r="O36" s="39">
        <f>$C36</f>
        <v/>
      </c>
      <c r="P36" s="40">
        <f>SUM(D36:O36)</f>
        <v/>
      </c>
    </row>
    <row r="37">
      <c r="A37" s="38">
        <f>IF(Categories!$A29="","",Categories!$A29)</f>
        <v/>
      </c>
      <c r="B37" s="29">
        <f>IF(A37="","",Categories!$B29&amp;"")</f>
        <v/>
      </c>
      <c r="C37" s="28" t="n">
        <v>300</v>
      </c>
      <c r="D37" s="39">
        <f>$C37</f>
        <v/>
      </c>
      <c r="E37" s="39">
        <f>$C37</f>
        <v/>
      </c>
      <c r="F37" s="39">
        <f>$C37</f>
        <v/>
      </c>
      <c r="G37" s="39">
        <f>$C37</f>
        <v/>
      </c>
      <c r="H37" s="39">
        <f>$C37</f>
        <v/>
      </c>
      <c r="I37" s="39">
        <f>$C37</f>
        <v/>
      </c>
      <c r="J37" s="39">
        <f>$C37</f>
        <v/>
      </c>
      <c r="K37" s="39">
        <f>$C37</f>
        <v/>
      </c>
      <c r="L37" s="39">
        <f>$C37</f>
        <v/>
      </c>
      <c r="M37" s="39">
        <f>$C37</f>
        <v/>
      </c>
      <c r="N37" s="39">
        <f>$C37</f>
        <v/>
      </c>
      <c r="O37" s="39">
        <f>$C37</f>
        <v/>
      </c>
      <c r="P37" s="40">
        <f>SUM(D37:O37)</f>
        <v/>
      </c>
    </row>
    <row r="38">
      <c r="A38" s="38">
        <f>IF(Categories!$A30="","",Categories!$A30)</f>
        <v/>
      </c>
      <c r="B38" s="29">
        <f>IF(A38="","",Categories!$B30&amp;"")</f>
        <v/>
      </c>
      <c r="C38" s="28" t="n">
        <v>400</v>
      </c>
      <c r="D38" s="39">
        <f>$C38</f>
        <v/>
      </c>
      <c r="E38" s="39">
        <f>$C38</f>
        <v/>
      </c>
      <c r="F38" s="39">
        <f>$C38</f>
        <v/>
      </c>
      <c r="G38" s="39">
        <f>$C38</f>
        <v/>
      </c>
      <c r="H38" s="39">
        <f>$C38</f>
        <v/>
      </c>
      <c r="I38" s="39">
        <f>$C38</f>
        <v/>
      </c>
      <c r="J38" s="39">
        <f>$C38</f>
        <v/>
      </c>
      <c r="K38" s="39">
        <f>$C38</f>
        <v/>
      </c>
      <c r="L38" s="39">
        <f>$C38</f>
        <v/>
      </c>
      <c r="M38" s="39">
        <f>$C38</f>
        <v/>
      </c>
      <c r="N38" s="39">
        <f>$C38</f>
        <v/>
      </c>
      <c r="O38" s="39">
        <f>$C38</f>
        <v/>
      </c>
      <c r="P38" s="40">
        <f>SUM(D38:O38)</f>
        <v/>
      </c>
    </row>
    <row r="39">
      <c r="A39" s="38">
        <f>IF(Categories!$A31="","",Categories!$A31)</f>
        <v/>
      </c>
      <c r="B39" s="29">
        <f>IF(A39="","",Categories!$B31&amp;"")</f>
        <v/>
      </c>
      <c r="C39" s="28" t="n">
        <v>300</v>
      </c>
      <c r="D39" s="39">
        <f>$C39</f>
        <v/>
      </c>
      <c r="E39" s="39">
        <f>$C39</f>
        <v/>
      </c>
      <c r="F39" s="39">
        <f>$C39</f>
        <v/>
      </c>
      <c r="G39" s="39">
        <f>$C39</f>
        <v/>
      </c>
      <c r="H39" s="39">
        <f>$C39</f>
        <v/>
      </c>
      <c r="I39" s="39">
        <f>$C39</f>
        <v/>
      </c>
      <c r="J39" s="39">
        <f>$C39</f>
        <v/>
      </c>
      <c r="K39" s="39">
        <f>$C39</f>
        <v/>
      </c>
      <c r="L39" s="39">
        <f>$C39</f>
        <v/>
      </c>
      <c r="M39" s="39">
        <f>$C39</f>
        <v/>
      </c>
      <c r="N39" s="39">
        <f>$C39</f>
        <v/>
      </c>
      <c r="O39" s="39">
        <f>$C39</f>
        <v/>
      </c>
      <c r="P39" s="40">
        <f>SUM(D39:O39)</f>
        <v/>
      </c>
    </row>
    <row r="40">
      <c r="A40" s="38">
        <f>IF(Categories!$A32="","",Categories!$A32)</f>
        <v/>
      </c>
      <c r="B40" s="29">
        <f>IF(A40="","",Categories!$B32&amp;"")</f>
        <v/>
      </c>
      <c r="C40" s="28" t="n">
        <v>600</v>
      </c>
      <c r="D40" s="39">
        <f>$C40</f>
        <v/>
      </c>
      <c r="E40" s="39">
        <f>$C40</f>
        <v/>
      </c>
      <c r="F40" s="39">
        <f>$C40</f>
        <v/>
      </c>
      <c r="G40" s="39">
        <f>$C40</f>
        <v/>
      </c>
      <c r="H40" s="39">
        <f>$C40</f>
        <v/>
      </c>
      <c r="I40" s="39">
        <f>$C40</f>
        <v/>
      </c>
      <c r="J40" s="39">
        <f>$C40</f>
        <v/>
      </c>
      <c r="K40" s="39">
        <f>$C40</f>
        <v/>
      </c>
      <c r="L40" s="39">
        <f>$C40</f>
        <v/>
      </c>
      <c r="M40" s="39">
        <f>$C40</f>
        <v/>
      </c>
      <c r="N40" s="39">
        <f>$C40</f>
        <v/>
      </c>
      <c r="O40" s="39">
        <f>$C40</f>
        <v/>
      </c>
      <c r="P40" s="40">
        <f>SUM(D40:O40)</f>
        <v/>
      </c>
    </row>
    <row r="41">
      <c r="A41" s="38">
        <f>IF(Categories!$A33="","",Categories!$A33)</f>
        <v/>
      </c>
      <c r="B41" s="29">
        <f>IF(A41="","",Categories!$B33&amp;"")</f>
        <v/>
      </c>
      <c r="C41" s="28" t="n">
        <v>675</v>
      </c>
      <c r="D41" s="39">
        <f>$C41</f>
        <v/>
      </c>
      <c r="E41" s="39">
        <f>$C41</f>
        <v/>
      </c>
      <c r="F41" s="39">
        <f>$C41</f>
        <v/>
      </c>
      <c r="G41" s="39">
        <f>$C41</f>
        <v/>
      </c>
      <c r="H41" s="39">
        <f>$C41</f>
        <v/>
      </c>
      <c r="I41" s="39">
        <f>$C41</f>
        <v/>
      </c>
      <c r="J41" s="39">
        <f>$C41</f>
        <v/>
      </c>
      <c r="K41" s="39">
        <f>$C41</f>
        <v/>
      </c>
      <c r="L41" s="39">
        <f>$C41</f>
        <v/>
      </c>
      <c r="M41" s="39">
        <f>$C41</f>
        <v/>
      </c>
      <c r="N41" s="39">
        <f>$C41</f>
        <v/>
      </c>
      <c r="O41" s="39">
        <f>$C41</f>
        <v/>
      </c>
      <c r="P41" s="40">
        <f>SUM(D41:O41)</f>
        <v/>
      </c>
    </row>
    <row r="42">
      <c r="A42" s="38">
        <f>IF(Categories!$A34="","",Categories!$A34)</f>
        <v/>
      </c>
      <c r="B42" s="29">
        <f>IF(A42="","",Categories!$B34&amp;"")</f>
        <v/>
      </c>
      <c r="C42" s="28" t="n"/>
      <c r="D42" s="39">
        <f>$C42</f>
        <v/>
      </c>
      <c r="E42" s="39">
        <f>$C42</f>
        <v/>
      </c>
      <c r="F42" s="39">
        <f>$C42</f>
        <v/>
      </c>
      <c r="G42" s="39">
        <f>$C42</f>
        <v/>
      </c>
      <c r="H42" s="39">
        <f>$C42</f>
        <v/>
      </c>
      <c r="I42" s="39">
        <f>$C42</f>
        <v/>
      </c>
      <c r="J42" s="39">
        <f>$C42</f>
        <v/>
      </c>
      <c r="K42" s="39">
        <f>$C42</f>
        <v/>
      </c>
      <c r="L42" s="39">
        <f>$C42</f>
        <v/>
      </c>
      <c r="M42" s="39">
        <f>$C42</f>
        <v/>
      </c>
      <c r="N42" s="39">
        <f>$C42</f>
        <v/>
      </c>
      <c r="O42" s="39">
        <f>$C42</f>
        <v/>
      </c>
      <c r="P42" s="40">
        <f>SUM(D42:O42)</f>
        <v/>
      </c>
    </row>
    <row r="43">
      <c r="A43" s="38">
        <f>IF(Categories!$A35="","",Categories!$A35)</f>
        <v/>
      </c>
      <c r="B43" s="29">
        <f>IF(A43="","",Categories!$B35&amp;"")</f>
        <v/>
      </c>
      <c r="C43" s="28" t="n"/>
      <c r="D43" s="39">
        <f>$C43</f>
        <v/>
      </c>
      <c r="E43" s="39">
        <f>$C43</f>
        <v/>
      </c>
      <c r="F43" s="39">
        <f>$C43</f>
        <v/>
      </c>
      <c r="G43" s="39">
        <f>$C43</f>
        <v/>
      </c>
      <c r="H43" s="39">
        <f>$C43</f>
        <v/>
      </c>
      <c r="I43" s="39">
        <f>$C43</f>
        <v/>
      </c>
      <c r="J43" s="39">
        <f>$C43</f>
        <v/>
      </c>
      <c r="K43" s="39">
        <f>$C43</f>
        <v/>
      </c>
      <c r="L43" s="39">
        <f>$C43</f>
        <v/>
      </c>
      <c r="M43" s="39">
        <f>$C43</f>
        <v/>
      </c>
      <c r="N43" s="39">
        <f>$C43</f>
        <v/>
      </c>
      <c r="O43" s="39">
        <f>$C43</f>
        <v/>
      </c>
      <c r="P43" s="40">
        <f>SUM(D43:O43)</f>
        <v/>
      </c>
    </row>
    <row r="44">
      <c r="A44" s="38">
        <f>IF(Categories!$A36="","",Categories!$A36)</f>
        <v/>
      </c>
      <c r="B44" s="29">
        <f>IF(A44="","",Categories!$B36&amp;"")</f>
        <v/>
      </c>
      <c r="C44" s="28" t="n"/>
      <c r="D44" s="39">
        <f>$C44</f>
        <v/>
      </c>
      <c r="E44" s="39">
        <f>$C44</f>
        <v/>
      </c>
      <c r="F44" s="39">
        <f>$C44</f>
        <v/>
      </c>
      <c r="G44" s="39">
        <f>$C44</f>
        <v/>
      </c>
      <c r="H44" s="39">
        <f>$C44</f>
        <v/>
      </c>
      <c r="I44" s="39">
        <f>$C44</f>
        <v/>
      </c>
      <c r="J44" s="39">
        <f>$C44</f>
        <v/>
      </c>
      <c r="K44" s="39">
        <f>$C44</f>
        <v/>
      </c>
      <c r="L44" s="39">
        <f>$C44</f>
        <v/>
      </c>
      <c r="M44" s="39">
        <f>$C44</f>
        <v/>
      </c>
      <c r="N44" s="39">
        <f>$C44</f>
        <v/>
      </c>
      <c r="O44" s="39">
        <f>$C44</f>
        <v/>
      </c>
      <c r="P44" s="40">
        <f>SUM(D44:O44)</f>
        <v/>
      </c>
    </row>
    <row r="45">
      <c r="A45" s="38">
        <f>IF(Categories!$A37="","",Categories!$A37)</f>
        <v/>
      </c>
      <c r="B45" s="29">
        <f>IF(A45="","",Categories!$B37&amp;"")</f>
        <v/>
      </c>
      <c r="C45" s="28" t="n"/>
      <c r="D45" s="39">
        <f>$C45</f>
        <v/>
      </c>
      <c r="E45" s="39">
        <f>$C45</f>
        <v/>
      </c>
      <c r="F45" s="39">
        <f>$C45</f>
        <v/>
      </c>
      <c r="G45" s="39">
        <f>$C45</f>
        <v/>
      </c>
      <c r="H45" s="39">
        <f>$C45</f>
        <v/>
      </c>
      <c r="I45" s="39">
        <f>$C45</f>
        <v/>
      </c>
      <c r="J45" s="39">
        <f>$C45</f>
        <v/>
      </c>
      <c r="K45" s="39">
        <f>$C45</f>
        <v/>
      </c>
      <c r="L45" s="39">
        <f>$C45</f>
        <v/>
      </c>
      <c r="M45" s="39">
        <f>$C45</f>
        <v/>
      </c>
      <c r="N45" s="39">
        <f>$C45</f>
        <v/>
      </c>
      <c r="O45" s="39">
        <f>$C45</f>
        <v/>
      </c>
      <c r="P45" s="40">
        <f>SUM(D45:O45)</f>
        <v/>
      </c>
    </row>
    <row r="46">
      <c r="A46" s="38">
        <f>IF(Categories!$A38="","",Categories!$A38)</f>
        <v/>
      </c>
      <c r="B46" s="29">
        <f>IF(A46="","",Categories!$B38&amp;"")</f>
        <v/>
      </c>
      <c r="C46" s="28" t="n"/>
      <c r="D46" s="39">
        <f>$C46</f>
        <v/>
      </c>
      <c r="E46" s="39">
        <f>$C46</f>
        <v/>
      </c>
      <c r="F46" s="39">
        <f>$C46</f>
        <v/>
      </c>
      <c r="G46" s="39">
        <f>$C46</f>
        <v/>
      </c>
      <c r="H46" s="39">
        <f>$C46</f>
        <v/>
      </c>
      <c r="I46" s="39">
        <f>$C46</f>
        <v/>
      </c>
      <c r="J46" s="39">
        <f>$C46</f>
        <v/>
      </c>
      <c r="K46" s="39">
        <f>$C46</f>
        <v/>
      </c>
      <c r="L46" s="39">
        <f>$C46</f>
        <v/>
      </c>
      <c r="M46" s="39">
        <f>$C46</f>
        <v/>
      </c>
      <c r="N46" s="39">
        <f>$C46</f>
        <v/>
      </c>
      <c r="O46" s="39">
        <f>$C46</f>
        <v/>
      </c>
      <c r="P46" s="40">
        <f>SUM(D46:O46)</f>
        <v/>
      </c>
    </row>
    <row r="47">
      <c r="A47" s="38">
        <f>IF(Categories!$A39="","",Categories!$A39)</f>
        <v/>
      </c>
      <c r="B47" s="29">
        <f>IF(A47="","",Categories!$B39&amp;"")</f>
        <v/>
      </c>
      <c r="C47" s="28" t="n"/>
      <c r="D47" s="39">
        <f>$C47</f>
        <v/>
      </c>
      <c r="E47" s="39">
        <f>$C47</f>
        <v/>
      </c>
      <c r="F47" s="39">
        <f>$C47</f>
        <v/>
      </c>
      <c r="G47" s="39">
        <f>$C47</f>
        <v/>
      </c>
      <c r="H47" s="39">
        <f>$C47</f>
        <v/>
      </c>
      <c r="I47" s="39">
        <f>$C47</f>
        <v/>
      </c>
      <c r="J47" s="39">
        <f>$C47</f>
        <v/>
      </c>
      <c r="K47" s="39">
        <f>$C47</f>
        <v/>
      </c>
      <c r="L47" s="39">
        <f>$C47</f>
        <v/>
      </c>
      <c r="M47" s="39">
        <f>$C47</f>
        <v/>
      </c>
      <c r="N47" s="39">
        <f>$C47</f>
        <v/>
      </c>
      <c r="O47" s="39">
        <f>$C47</f>
        <v/>
      </c>
      <c r="P47" s="40">
        <f>SUM(D47:O47)</f>
        <v/>
      </c>
    </row>
    <row r="48">
      <c r="A48" s="38">
        <f>IF(Categories!$A40="","",Categories!$A40)</f>
        <v/>
      </c>
      <c r="B48" s="29">
        <f>IF(A48="","",Categories!$B40&amp;"")</f>
        <v/>
      </c>
      <c r="C48" s="28" t="n"/>
      <c r="D48" s="39">
        <f>$C48</f>
        <v/>
      </c>
      <c r="E48" s="39">
        <f>$C48</f>
        <v/>
      </c>
      <c r="F48" s="39">
        <f>$C48</f>
        <v/>
      </c>
      <c r="G48" s="39">
        <f>$C48</f>
        <v/>
      </c>
      <c r="H48" s="39">
        <f>$C48</f>
        <v/>
      </c>
      <c r="I48" s="39">
        <f>$C48</f>
        <v/>
      </c>
      <c r="J48" s="39">
        <f>$C48</f>
        <v/>
      </c>
      <c r="K48" s="39">
        <f>$C48</f>
        <v/>
      </c>
      <c r="L48" s="39">
        <f>$C48</f>
        <v/>
      </c>
      <c r="M48" s="39">
        <f>$C48</f>
        <v/>
      </c>
      <c r="N48" s="39">
        <f>$C48</f>
        <v/>
      </c>
      <c r="O48" s="39">
        <f>$C48</f>
        <v/>
      </c>
      <c r="P48" s="40">
        <f>SUM(D48:O48)</f>
        <v/>
      </c>
    </row>
    <row r="49">
      <c r="A49" s="38">
        <f>IF(Categories!$A41="","",Categories!$A41)</f>
        <v/>
      </c>
      <c r="B49" s="29">
        <f>IF(A49="","",Categories!$B41&amp;"")</f>
        <v/>
      </c>
      <c r="C49" s="28" t="n"/>
      <c r="D49" s="39">
        <f>$C49</f>
        <v/>
      </c>
      <c r="E49" s="39">
        <f>$C49</f>
        <v/>
      </c>
      <c r="F49" s="39">
        <f>$C49</f>
        <v/>
      </c>
      <c r="G49" s="39">
        <f>$C49</f>
        <v/>
      </c>
      <c r="H49" s="39">
        <f>$C49</f>
        <v/>
      </c>
      <c r="I49" s="39">
        <f>$C49</f>
        <v/>
      </c>
      <c r="J49" s="39">
        <f>$C49</f>
        <v/>
      </c>
      <c r="K49" s="39">
        <f>$C49</f>
        <v/>
      </c>
      <c r="L49" s="39">
        <f>$C49</f>
        <v/>
      </c>
      <c r="M49" s="39">
        <f>$C49</f>
        <v/>
      </c>
      <c r="N49" s="39">
        <f>$C49</f>
        <v/>
      </c>
      <c r="O49" s="39">
        <f>$C49</f>
        <v/>
      </c>
      <c r="P49" s="40">
        <f>SUM(D49:O49)</f>
        <v/>
      </c>
    </row>
    <row r="50">
      <c r="A50" s="38">
        <f>IF(Categories!$A42="","",Categories!$A42)</f>
        <v/>
      </c>
      <c r="B50" s="29">
        <f>IF(A50="","",Categories!$B42&amp;"")</f>
        <v/>
      </c>
      <c r="C50" s="28" t="n"/>
      <c r="D50" s="39">
        <f>$C50</f>
        <v/>
      </c>
      <c r="E50" s="39">
        <f>$C50</f>
        <v/>
      </c>
      <c r="F50" s="39">
        <f>$C50</f>
        <v/>
      </c>
      <c r="G50" s="39">
        <f>$C50</f>
        <v/>
      </c>
      <c r="H50" s="39">
        <f>$C50</f>
        <v/>
      </c>
      <c r="I50" s="39">
        <f>$C50</f>
        <v/>
      </c>
      <c r="J50" s="39">
        <f>$C50</f>
        <v/>
      </c>
      <c r="K50" s="39">
        <f>$C50</f>
        <v/>
      </c>
      <c r="L50" s="39">
        <f>$C50</f>
        <v/>
      </c>
      <c r="M50" s="39">
        <f>$C50</f>
        <v/>
      </c>
      <c r="N50" s="39">
        <f>$C50</f>
        <v/>
      </c>
      <c r="O50" s="39">
        <f>$C50</f>
        <v/>
      </c>
      <c r="P50" s="40">
        <f>SUM(D50:O50)</f>
        <v/>
      </c>
    </row>
    <row r="51">
      <c r="A51" s="38">
        <f>IF(Categories!$A43="","",Categories!$A43)</f>
        <v/>
      </c>
      <c r="B51" s="29">
        <f>IF(A51="","",Categories!$B43&amp;"")</f>
        <v/>
      </c>
      <c r="C51" s="28" t="n"/>
      <c r="D51" s="39">
        <f>$C51</f>
        <v/>
      </c>
      <c r="E51" s="39">
        <f>$C51</f>
        <v/>
      </c>
      <c r="F51" s="39">
        <f>$C51</f>
        <v/>
      </c>
      <c r="G51" s="39">
        <f>$C51</f>
        <v/>
      </c>
      <c r="H51" s="39">
        <f>$C51</f>
        <v/>
      </c>
      <c r="I51" s="39">
        <f>$C51</f>
        <v/>
      </c>
      <c r="J51" s="39">
        <f>$C51</f>
        <v/>
      </c>
      <c r="K51" s="39">
        <f>$C51</f>
        <v/>
      </c>
      <c r="L51" s="39">
        <f>$C51</f>
        <v/>
      </c>
      <c r="M51" s="39">
        <f>$C51</f>
        <v/>
      </c>
      <c r="N51" s="39">
        <f>$C51</f>
        <v/>
      </c>
      <c r="O51" s="39">
        <f>$C51</f>
        <v/>
      </c>
      <c r="P51" s="40">
        <f>SUM(D51:O51)</f>
        <v/>
      </c>
    </row>
    <row r="52">
      <c r="A52" s="38">
        <f>IF(Categories!$A44="","",Categories!$A44)</f>
        <v/>
      </c>
      <c r="B52" s="29">
        <f>IF(A52="","",Categories!$B44&amp;"")</f>
        <v/>
      </c>
      <c r="C52" s="28" t="n"/>
      <c r="D52" s="39">
        <f>$C52</f>
        <v/>
      </c>
      <c r="E52" s="39">
        <f>$C52</f>
        <v/>
      </c>
      <c r="F52" s="39">
        <f>$C52</f>
        <v/>
      </c>
      <c r="G52" s="39">
        <f>$C52</f>
        <v/>
      </c>
      <c r="H52" s="39">
        <f>$C52</f>
        <v/>
      </c>
      <c r="I52" s="39">
        <f>$C52</f>
        <v/>
      </c>
      <c r="J52" s="39">
        <f>$C52</f>
        <v/>
      </c>
      <c r="K52" s="39">
        <f>$C52</f>
        <v/>
      </c>
      <c r="L52" s="39">
        <f>$C52</f>
        <v/>
      </c>
      <c r="M52" s="39">
        <f>$C52</f>
        <v/>
      </c>
      <c r="N52" s="39">
        <f>$C52</f>
        <v/>
      </c>
      <c r="O52" s="39">
        <f>$C52</f>
        <v/>
      </c>
      <c r="P52" s="40">
        <f>SUM(D52:O52)</f>
        <v/>
      </c>
    </row>
    <row r="53">
      <c r="A53" s="38">
        <f>IF(Categories!$A45="","",Categories!$A45)</f>
        <v/>
      </c>
      <c r="B53" s="29">
        <f>IF(A53="","",Categories!$B45&amp;"")</f>
        <v/>
      </c>
      <c r="C53" s="28" t="n"/>
      <c r="D53" s="39">
        <f>$C53</f>
        <v/>
      </c>
      <c r="E53" s="39">
        <f>$C53</f>
        <v/>
      </c>
      <c r="F53" s="39">
        <f>$C53</f>
        <v/>
      </c>
      <c r="G53" s="39">
        <f>$C53</f>
        <v/>
      </c>
      <c r="H53" s="39">
        <f>$C53</f>
        <v/>
      </c>
      <c r="I53" s="39">
        <f>$C53</f>
        <v/>
      </c>
      <c r="J53" s="39">
        <f>$C53</f>
        <v/>
      </c>
      <c r="K53" s="39">
        <f>$C53</f>
        <v/>
      </c>
      <c r="L53" s="39">
        <f>$C53</f>
        <v/>
      </c>
      <c r="M53" s="39">
        <f>$C53</f>
        <v/>
      </c>
      <c r="N53" s="39">
        <f>$C53</f>
        <v/>
      </c>
      <c r="O53" s="39">
        <f>$C53</f>
        <v/>
      </c>
      <c r="P53" s="40">
        <f>SUM(D53:O53)</f>
        <v/>
      </c>
    </row>
    <row r="54">
      <c r="A54" s="38">
        <f>IF(Categories!$A46="","",Categories!$A46)</f>
        <v/>
      </c>
      <c r="B54" s="29">
        <f>IF(A54="","",Categories!$B46&amp;"")</f>
        <v/>
      </c>
      <c r="C54" s="28" t="n"/>
      <c r="D54" s="39">
        <f>$C54</f>
        <v/>
      </c>
      <c r="E54" s="39">
        <f>$C54</f>
        <v/>
      </c>
      <c r="F54" s="39">
        <f>$C54</f>
        <v/>
      </c>
      <c r="G54" s="39">
        <f>$C54</f>
        <v/>
      </c>
      <c r="H54" s="39">
        <f>$C54</f>
        <v/>
      </c>
      <c r="I54" s="39">
        <f>$C54</f>
        <v/>
      </c>
      <c r="J54" s="39">
        <f>$C54</f>
        <v/>
      </c>
      <c r="K54" s="39">
        <f>$C54</f>
        <v/>
      </c>
      <c r="L54" s="39">
        <f>$C54</f>
        <v/>
      </c>
      <c r="M54" s="39">
        <f>$C54</f>
        <v/>
      </c>
      <c r="N54" s="39">
        <f>$C54</f>
        <v/>
      </c>
      <c r="O54" s="39">
        <f>$C54</f>
        <v/>
      </c>
      <c r="P54" s="40">
        <f>SUM(D54:O54)</f>
        <v/>
      </c>
    </row>
    <row r="55">
      <c r="A55" s="38">
        <f>IF(Categories!$A47="","",Categories!$A47)</f>
        <v/>
      </c>
      <c r="B55" s="29">
        <f>IF(A55="","",Categories!$B47&amp;"")</f>
        <v/>
      </c>
      <c r="C55" s="28" t="n"/>
      <c r="D55" s="39">
        <f>$C55</f>
        <v/>
      </c>
      <c r="E55" s="39">
        <f>$C55</f>
        <v/>
      </c>
      <c r="F55" s="39">
        <f>$C55</f>
        <v/>
      </c>
      <c r="G55" s="39">
        <f>$C55</f>
        <v/>
      </c>
      <c r="H55" s="39">
        <f>$C55</f>
        <v/>
      </c>
      <c r="I55" s="39">
        <f>$C55</f>
        <v/>
      </c>
      <c r="J55" s="39">
        <f>$C55</f>
        <v/>
      </c>
      <c r="K55" s="39">
        <f>$C55</f>
        <v/>
      </c>
      <c r="L55" s="39">
        <f>$C55</f>
        <v/>
      </c>
      <c r="M55" s="39">
        <f>$C55</f>
        <v/>
      </c>
      <c r="N55" s="39">
        <f>$C55</f>
        <v/>
      </c>
      <c r="O55" s="39">
        <f>$C55</f>
        <v/>
      </c>
      <c r="P55" s="40">
        <f>SUM(D55:O55)</f>
        <v/>
      </c>
    </row>
    <row r="56">
      <c r="A56" s="38">
        <f>IF(Categories!$A48="","",Categories!$A48)</f>
        <v/>
      </c>
      <c r="B56" s="29">
        <f>IF(A56="","",Categories!$B48&amp;"")</f>
        <v/>
      </c>
      <c r="C56" s="28" t="n"/>
      <c r="D56" s="39">
        <f>$C56</f>
        <v/>
      </c>
      <c r="E56" s="39">
        <f>$C56</f>
        <v/>
      </c>
      <c r="F56" s="39">
        <f>$C56</f>
        <v/>
      </c>
      <c r="G56" s="39">
        <f>$C56</f>
        <v/>
      </c>
      <c r="H56" s="39">
        <f>$C56</f>
        <v/>
      </c>
      <c r="I56" s="39">
        <f>$C56</f>
        <v/>
      </c>
      <c r="J56" s="39">
        <f>$C56</f>
        <v/>
      </c>
      <c r="K56" s="39">
        <f>$C56</f>
        <v/>
      </c>
      <c r="L56" s="39">
        <f>$C56</f>
        <v/>
      </c>
      <c r="M56" s="39">
        <f>$C56</f>
        <v/>
      </c>
      <c r="N56" s="39">
        <f>$C56</f>
        <v/>
      </c>
      <c r="O56" s="39">
        <f>$C56</f>
        <v/>
      </c>
      <c r="P56" s="40">
        <f>SUM(D56:O56)</f>
        <v/>
      </c>
    </row>
    <row r="57">
      <c r="A57" s="38">
        <f>IF(Categories!$A49="","",Categories!$A49)</f>
        <v/>
      </c>
      <c r="B57" s="29">
        <f>IF(A57="","",Categories!$B49&amp;"")</f>
        <v/>
      </c>
      <c r="C57" s="28" t="n"/>
      <c r="D57" s="39">
        <f>$C57</f>
        <v/>
      </c>
      <c r="E57" s="39">
        <f>$C57</f>
        <v/>
      </c>
      <c r="F57" s="39">
        <f>$C57</f>
        <v/>
      </c>
      <c r="G57" s="39">
        <f>$C57</f>
        <v/>
      </c>
      <c r="H57" s="39">
        <f>$C57</f>
        <v/>
      </c>
      <c r="I57" s="39">
        <f>$C57</f>
        <v/>
      </c>
      <c r="J57" s="39">
        <f>$C57</f>
        <v/>
      </c>
      <c r="K57" s="39">
        <f>$C57</f>
        <v/>
      </c>
      <c r="L57" s="39">
        <f>$C57</f>
        <v/>
      </c>
      <c r="M57" s="39">
        <f>$C57</f>
        <v/>
      </c>
      <c r="N57" s="39">
        <f>$C57</f>
        <v/>
      </c>
      <c r="O57" s="39">
        <f>$C57</f>
        <v/>
      </c>
      <c r="P57" s="40">
        <f>SUM(D57:O57)</f>
        <v/>
      </c>
    </row>
    <row r="58">
      <c r="A58" s="38">
        <f>IF(Categories!$A50="","",Categories!$A50)</f>
        <v/>
      </c>
      <c r="B58" s="29">
        <f>IF(A58="","",Categories!$B50&amp;"")</f>
        <v/>
      </c>
      <c r="C58" s="28" t="n"/>
      <c r="D58" s="39">
        <f>$C58</f>
        <v/>
      </c>
      <c r="E58" s="39">
        <f>$C58</f>
        <v/>
      </c>
      <c r="F58" s="39">
        <f>$C58</f>
        <v/>
      </c>
      <c r="G58" s="39">
        <f>$C58</f>
        <v/>
      </c>
      <c r="H58" s="39">
        <f>$C58</f>
        <v/>
      </c>
      <c r="I58" s="39">
        <f>$C58</f>
        <v/>
      </c>
      <c r="J58" s="39">
        <f>$C58</f>
        <v/>
      </c>
      <c r="K58" s="39">
        <f>$C58</f>
        <v/>
      </c>
      <c r="L58" s="39">
        <f>$C58</f>
        <v/>
      </c>
      <c r="M58" s="39">
        <f>$C58</f>
        <v/>
      </c>
      <c r="N58" s="39">
        <f>$C58</f>
        <v/>
      </c>
      <c r="O58" s="39">
        <f>$C58</f>
        <v/>
      </c>
      <c r="P58" s="40">
        <f>SUM(D58:O58)</f>
        <v/>
      </c>
    </row>
    <row r="59">
      <c r="A59" s="38">
        <f>IF(Categories!$A51="","",Categories!$A51)</f>
        <v/>
      </c>
      <c r="B59" s="29">
        <f>IF(A59="","",Categories!$B51&amp;"")</f>
        <v/>
      </c>
      <c r="C59" s="28" t="n"/>
      <c r="D59" s="39">
        <f>$C59</f>
        <v/>
      </c>
      <c r="E59" s="39">
        <f>$C59</f>
        <v/>
      </c>
      <c r="F59" s="39">
        <f>$C59</f>
        <v/>
      </c>
      <c r="G59" s="39">
        <f>$C59</f>
        <v/>
      </c>
      <c r="H59" s="39">
        <f>$C59</f>
        <v/>
      </c>
      <c r="I59" s="39">
        <f>$C59</f>
        <v/>
      </c>
      <c r="J59" s="39">
        <f>$C59</f>
        <v/>
      </c>
      <c r="K59" s="39">
        <f>$C59</f>
        <v/>
      </c>
      <c r="L59" s="39">
        <f>$C59</f>
        <v/>
      </c>
      <c r="M59" s="39">
        <f>$C59</f>
        <v/>
      </c>
      <c r="N59" s="39">
        <f>$C59</f>
        <v/>
      </c>
      <c r="O59" s="39">
        <f>$C59</f>
        <v/>
      </c>
      <c r="P59" s="40">
        <f>SUM(D59:O59)</f>
        <v/>
      </c>
    </row>
    <row r="60">
      <c r="A60" s="38">
        <f>IF(Categories!$A52="","",Categories!$A52)</f>
        <v/>
      </c>
      <c r="B60" s="29">
        <f>IF(A60="","",Categories!$B52&amp;"")</f>
        <v/>
      </c>
      <c r="C60" s="28" t="n"/>
      <c r="D60" s="39">
        <f>$C60</f>
        <v/>
      </c>
      <c r="E60" s="39">
        <f>$C60</f>
        <v/>
      </c>
      <c r="F60" s="39">
        <f>$C60</f>
        <v/>
      </c>
      <c r="G60" s="39">
        <f>$C60</f>
        <v/>
      </c>
      <c r="H60" s="39">
        <f>$C60</f>
        <v/>
      </c>
      <c r="I60" s="39">
        <f>$C60</f>
        <v/>
      </c>
      <c r="J60" s="39">
        <f>$C60</f>
        <v/>
      </c>
      <c r="K60" s="39">
        <f>$C60</f>
        <v/>
      </c>
      <c r="L60" s="39">
        <f>$C60</f>
        <v/>
      </c>
      <c r="M60" s="39">
        <f>$C60</f>
        <v/>
      </c>
      <c r="N60" s="39">
        <f>$C60</f>
        <v/>
      </c>
      <c r="O60" s="39">
        <f>$C60</f>
        <v/>
      </c>
      <c r="P60" s="40">
        <f>SUM(D60:O60)</f>
        <v/>
      </c>
    </row>
    <row r="61">
      <c r="A61" s="38">
        <f>IF(Categories!$A53="","",Categories!$A53)</f>
        <v/>
      </c>
      <c r="B61" s="29">
        <f>IF(A61="","",Categories!$B53&amp;"")</f>
        <v/>
      </c>
      <c r="C61" s="28" t="n"/>
      <c r="D61" s="39">
        <f>$C61</f>
        <v/>
      </c>
      <c r="E61" s="39">
        <f>$C61</f>
        <v/>
      </c>
      <c r="F61" s="39">
        <f>$C61</f>
        <v/>
      </c>
      <c r="G61" s="39">
        <f>$C61</f>
        <v/>
      </c>
      <c r="H61" s="39">
        <f>$C61</f>
        <v/>
      </c>
      <c r="I61" s="39">
        <f>$C61</f>
        <v/>
      </c>
      <c r="J61" s="39">
        <f>$C61</f>
        <v/>
      </c>
      <c r="K61" s="39">
        <f>$C61</f>
        <v/>
      </c>
      <c r="L61" s="39">
        <f>$C61</f>
        <v/>
      </c>
      <c r="M61" s="39">
        <f>$C61</f>
        <v/>
      </c>
      <c r="N61" s="39">
        <f>$C61</f>
        <v/>
      </c>
      <c r="O61" s="39">
        <f>$C61</f>
        <v/>
      </c>
      <c r="P61" s="40">
        <f>SUM(D61:O61)</f>
        <v/>
      </c>
    </row>
    <row r="62">
      <c r="A62" s="38">
        <f>IF(Categories!$A54="","",Categories!$A54)</f>
        <v/>
      </c>
      <c r="B62" s="29">
        <f>IF(A62="","",Categories!$B54&amp;"")</f>
        <v/>
      </c>
      <c r="C62" s="28" t="n"/>
      <c r="D62" s="39">
        <f>$C62</f>
        <v/>
      </c>
      <c r="E62" s="39">
        <f>$C62</f>
        <v/>
      </c>
      <c r="F62" s="39">
        <f>$C62</f>
        <v/>
      </c>
      <c r="G62" s="39">
        <f>$C62</f>
        <v/>
      </c>
      <c r="H62" s="39">
        <f>$C62</f>
        <v/>
      </c>
      <c r="I62" s="39">
        <f>$C62</f>
        <v/>
      </c>
      <c r="J62" s="39">
        <f>$C62</f>
        <v/>
      </c>
      <c r="K62" s="39">
        <f>$C62</f>
        <v/>
      </c>
      <c r="L62" s="39">
        <f>$C62</f>
        <v/>
      </c>
      <c r="M62" s="39">
        <f>$C62</f>
        <v/>
      </c>
      <c r="N62" s="39">
        <f>$C62</f>
        <v/>
      </c>
      <c r="O62" s="39">
        <f>$C62</f>
        <v/>
      </c>
      <c r="P62" s="40">
        <f>SUM(D62:O62)</f>
        <v/>
      </c>
    </row>
    <row r="63">
      <c r="A63" s="38">
        <f>IF(Categories!$A55="","",Categories!$A55)</f>
        <v/>
      </c>
      <c r="B63" s="29">
        <f>IF(A63="","",Categories!$B55&amp;"")</f>
        <v/>
      </c>
      <c r="C63" s="28" t="n"/>
      <c r="D63" s="39">
        <f>$C63</f>
        <v/>
      </c>
      <c r="E63" s="39">
        <f>$C63</f>
        <v/>
      </c>
      <c r="F63" s="39">
        <f>$C63</f>
        <v/>
      </c>
      <c r="G63" s="39">
        <f>$C63</f>
        <v/>
      </c>
      <c r="H63" s="39">
        <f>$C63</f>
        <v/>
      </c>
      <c r="I63" s="39">
        <f>$C63</f>
        <v/>
      </c>
      <c r="J63" s="39">
        <f>$C63</f>
        <v/>
      </c>
      <c r="K63" s="39">
        <f>$C63</f>
        <v/>
      </c>
      <c r="L63" s="39">
        <f>$C63</f>
        <v/>
      </c>
      <c r="M63" s="39">
        <f>$C63</f>
        <v/>
      </c>
      <c r="N63" s="39">
        <f>$C63</f>
        <v/>
      </c>
      <c r="O63" s="39">
        <f>$C63</f>
        <v/>
      </c>
      <c r="P63" s="40">
        <f>SUM(D63:O63)</f>
        <v/>
      </c>
    </row>
    <row r="64">
      <c r="A64" s="38">
        <f>IF(Categories!$A56="","",Categories!$A56)</f>
        <v/>
      </c>
      <c r="B64" s="29">
        <f>IF(A64="","",Categories!$B56&amp;"")</f>
        <v/>
      </c>
      <c r="C64" s="28" t="n"/>
      <c r="D64" s="39">
        <f>$C64</f>
        <v/>
      </c>
      <c r="E64" s="39">
        <f>$C64</f>
        <v/>
      </c>
      <c r="F64" s="39">
        <f>$C64</f>
        <v/>
      </c>
      <c r="G64" s="39">
        <f>$C64</f>
        <v/>
      </c>
      <c r="H64" s="39">
        <f>$C64</f>
        <v/>
      </c>
      <c r="I64" s="39">
        <f>$C64</f>
        <v/>
      </c>
      <c r="J64" s="39">
        <f>$C64</f>
        <v/>
      </c>
      <c r="K64" s="39">
        <f>$C64</f>
        <v/>
      </c>
      <c r="L64" s="39">
        <f>$C64</f>
        <v/>
      </c>
      <c r="M64" s="39">
        <f>$C64</f>
        <v/>
      </c>
      <c r="N64" s="39">
        <f>$C64</f>
        <v/>
      </c>
      <c r="O64" s="39">
        <f>$C64</f>
        <v/>
      </c>
      <c r="P64" s="40">
        <f>SUM(D64:O64)</f>
        <v/>
      </c>
    </row>
    <row r="65">
      <c r="A65" s="38">
        <f>IF(Categories!$A57="","",Categories!$A57)</f>
        <v/>
      </c>
      <c r="B65" s="29">
        <f>IF(A65="","",Categories!$B57&amp;"")</f>
        <v/>
      </c>
      <c r="C65" s="28" t="n"/>
      <c r="D65" s="39">
        <f>$C65</f>
        <v/>
      </c>
      <c r="E65" s="39">
        <f>$C65</f>
        <v/>
      </c>
      <c r="F65" s="39">
        <f>$C65</f>
        <v/>
      </c>
      <c r="G65" s="39">
        <f>$C65</f>
        <v/>
      </c>
      <c r="H65" s="39">
        <f>$C65</f>
        <v/>
      </c>
      <c r="I65" s="39">
        <f>$C65</f>
        <v/>
      </c>
      <c r="J65" s="39">
        <f>$C65</f>
        <v/>
      </c>
      <c r="K65" s="39">
        <f>$C65</f>
        <v/>
      </c>
      <c r="L65" s="39">
        <f>$C65</f>
        <v/>
      </c>
      <c r="M65" s="39">
        <f>$C65</f>
        <v/>
      </c>
      <c r="N65" s="39">
        <f>$C65</f>
        <v/>
      </c>
      <c r="O65" s="39">
        <f>$C65</f>
        <v/>
      </c>
      <c r="P65" s="40">
        <f>SUM(D65:O65)</f>
        <v/>
      </c>
    </row>
    <row r="66">
      <c r="A66" s="38">
        <f>IF(Categories!$A58="","",Categories!$A58)</f>
        <v/>
      </c>
      <c r="B66" s="29">
        <f>IF(A66="","",Categories!$B58&amp;"")</f>
        <v/>
      </c>
      <c r="C66" s="28" t="n"/>
      <c r="D66" s="39">
        <f>$C66</f>
        <v/>
      </c>
      <c r="E66" s="39">
        <f>$C66</f>
        <v/>
      </c>
      <c r="F66" s="39">
        <f>$C66</f>
        <v/>
      </c>
      <c r="G66" s="39">
        <f>$C66</f>
        <v/>
      </c>
      <c r="H66" s="39">
        <f>$C66</f>
        <v/>
      </c>
      <c r="I66" s="39">
        <f>$C66</f>
        <v/>
      </c>
      <c r="J66" s="39">
        <f>$C66</f>
        <v/>
      </c>
      <c r="K66" s="39">
        <f>$C66</f>
        <v/>
      </c>
      <c r="L66" s="39">
        <f>$C66</f>
        <v/>
      </c>
      <c r="M66" s="39">
        <f>$C66</f>
        <v/>
      </c>
      <c r="N66" s="39">
        <f>$C66</f>
        <v/>
      </c>
      <c r="O66" s="39">
        <f>$C66</f>
        <v/>
      </c>
      <c r="P66" s="40">
        <f>SUM(D66:O66)</f>
        <v/>
      </c>
    </row>
    <row r="67">
      <c r="A67" s="38">
        <f>IF(Categories!$A59="","",Categories!$A59)</f>
        <v/>
      </c>
      <c r="B67" s="29">
        <f>IF(A67="","",Categories!$B59&amp;"")</f>
        <v/>
      </c>
      <c r="C67" s="28" t="n"/>
      <c r="D67" s="39">
        <f>$C67</f>
        <v/>
      </c>
      <c r="E67" s="39">
        <f>$C67</f>
        <v/>
      </c>
      <c r="F67" s="39">
        <f>$C67</f>
        <v/>
      </c>
      <c r="G67" s="39">
        <f>$C67</f>
        <v/>
      </c>
      <c r="H67" s="39">
        <f>$C67</f>
        <v/>
      </c>
      <c r="I67" s="39">
        <f>$C67</f>
        <v/>
      </c>
      <c r="J67" s="39">
        <f>$C67</f>
        <v/>
      </c>
      <c r="K67" s="39">
        <f>$C67</f>
        <v/>
      </c>
      <c r="L67" s="39">
        <f>$C67</f>
        <v/>
      </c>
      <c r="M67" s="39">
        <f>$C67</f>
        <v/>
      </c>
      <c r="N67" s="39">
        <f>$C67</f>
        <v/>
      </c>
      <c r="O67" s="39">
        <f>$C67</f>
        <v/>
      </c>
      <c r="P67" s="40">
        <f>SUM(D67:O67)</f>
        <v/>
      </c>
    </row>
    <row r="68">
      <c r="A68" s="38">
        <f>IF(Categories!$A60="","",Categories!$A60)</f>
        <v/>
      </c>
      <c r="B68" s="29">
        <f>IF(A68="","",Categories!$B60&amp;"")</f>
        <v/>
      </c>
      <c r="C68" s="28" t="n"/>
      <c r="D68" s="39">
        <f>$C68</f>
        <v/>
      </c>
      <c r="E68" s="39">
        <f>$C68</f>
        <v/>
      </c>
      <c r="F68" s="39">
        <f>$C68</f>
        <v/>
      </c>
      <c r="G68" s="39">
        <f>$C68</f>
        <v/>
      </c>
      <c r="H68" s="39">
        <f>$C68</f>
        <v/>
      </c>
      <c r="I68" s="39">
        <f>$C68</f>
        <v/>
      </c>
      <c r="J68" s="39">
        <f>$C68</f>
        <v/>
      </c>
      <c r="K68" s="39">
        <f>$C68</f>
        <v/>
      </c>
      <c r="L68" s="39">
        <f>$C68</f>
        <v/>
      </c>
      <c r="M68" s="39">
        <f>$C68</f>
        <v/>
      </c>
      <c r="N68" s="39">
        <f>$C68</f>
        <v/>
      </c>
      <c r="O68" s="39">
        <f>$C68</f>
        <v/>
      </c>
      <c r="P68" s="40">
        <f>SUM(D68:O68)</f>
        <v/>
      </c>
    </row>
    <row r="69">
      <c r="A69" s="38">
        <f>IF(Categories!$A61="","",Categories!$A61)</f>
        <v/>
      </c>
      <c r="B69" s="29">
        <f>IF(A69="","",Categories!$B61&amp;"")</f>
        <v/>
      </c>
      <c r="C69" s="28" t="n"/>
      <c r="D69" s="39">
        <f>$C69</f>
        <v/>
      </c>
      <c r="E69" s="39">
        <f>$C69</f>
        <v/>
      </c>
      <c r="F69" s="39">
        <f>$C69</f>
        <v/>
      </c>
      <c r="G69" s="39">
        <f>$C69</f>
        <v/>
      </c>
      <c r="H69" s="39">
        <f>$C69</f>
        <v/>
      </c>
      <c r="I69" s="39">
        <f>$C69</f>
        <v/>
      </c>
      <c r="J69" s="39">
        <f>$C69</f>
        <v/>
      </c>
      <c r="K69" s="39">
        <f>$C69</f>
        <v/>
      </c>
      <c r="L69" s="39">
        <f>$C69</f>
        <v/>
      </c>
      <c r="M69" s="39">
        <f>$C69</f>
        <v/>
      </c>
      <c r="N69" s="39">
        <f>$C69</f>
        <v/>
      </c>
      <c r="O69" s="39">
        <f>$C69</f>
        <v/>
      </c>
      <c r="P69" s="40">
        <f>SUM(D69:O69)</f>
        <v/>
      </c>
    </row>
    <row r="70">
      <c r="A70" s="38">
        <f>IF(Categories!$A62="","",Categories!$A62)</f>
        <v/>
      </c>
      <c r="B70" s="29">
        <f>IF(A70="","",Categories!$B62&amp;"")</f>
        <v/>
      </c>
      <c r="C70" s="28" t="n"/>
      <c r="D70" s="39">
        <f>$C70</f>
        <v/>
      </c>
      <c r="E70" s="39">
        <f>$C70</f>
        <v/>
      </c>
      <c r="F70" s="39">
        <f>$C70</f>
        <v/>
      </c>
      <c r="G70" s="39">
        <f>$C70</f>
        <v/>
      </c>
      <c r="H70" s="39">
        <f>$C70</f>
        <v/>
      </c>
      <c r="I70" s="39">
        <f>$C70</f>
        <v/>
      </c>
      <c r="J70" s="39">
        <f>$C70</f>
        <v/>
      </c>
      <c r="K70" s="39">
        <f>$C70</f>
        <v/>
      </c>
      <c r="L70" s="39">
        <f>$C70</f>
        <v/>
      </c>
      <c r="M70" s="39">
        <f>$C70</f>
        <v/>
      </c>
      <c r="N70" s="39">
        <f>$C70</f>
        <v/>
      </c>
      <c r="O70" s="39">
        <f>$C70</f>
        <v/>
      </c>
      <c r="P70" s="40">
        <f>SUM(D70:O70)</f>
        <v/>
      </c>
    </row>
    <row r="71">
      <c r="A71" s="38">
        <f>IF(Categories!$A63="","",Categories!$A63)</f>
        <v/>
      </c>
      <c r="B71" s="29">
        <f>IF(A71="","",Categories!$B63&amp;"")</f>
        <v/>
      </c>
      <c r="C71" s="28" t="n"/>
      <c r="D71" s="39">
        <f>$C71</f>
        <v/>
      </c>
      <c r="E71" s="39">
        <f>$C71</f>
        <v/>
      </c>
      <c r="F71" s="39">
        <f>$C71</f>
        <v/>
      </c>
      <c r="G71" s="39">
        <f>$C71</f>
        <v/>
      </c>
      <c r="H71" s="39">
        <f>$C71</f>
        <v/>
      </c>
      <c r="I71" s="39">
        <f>$C71</f>
        <v/>
      </c>
      <c r="J71" s="39">
        <f>$C71</f>
        <v/>
      </c>
      <c r="K71" s="39">
        <f>$C71</f>
        <v/>
      </c>
      <c r="L71" s="39">
        <f>$C71</f>
        <v/>
      </c>
      <c r="M71" s="39">
        <f>$C71</f>
        <v/>
      </c>
      <c r="N71" s="39">
        <f>$C71</f>
        <v/>
      </c>
      <c r="O71" s="39">
        <f>$C71</f>
        <v/>
      </c>
      <c r="P71" s="40">
        <f>SUM(D71:O71)</f>
        <v/>
      </c>
    </row>
    <row r="72">
      <c r="A72" s="38">
        <f>IF(Categories!$A64="","",Categories!$A64)</f>
        <v/>
      </c>
      <c r="B72" s="29">
        <f>IF(A72="","",Categories!$B64&amp;"")</f>
        <v/>
      </c>
      <c r="C72" s="28" t="n"/>
      <c r="D72" s="39">
        <f>$C72</f>
        <v/>
      </c>
      <c r="E72" s="39">
        <f>$C72</f>
        <v/>
      </c>
      <c r="F72" s="39">
        <f>$C72</f>
        <v/>
      </c>
      <c r="G72" s="39">
        <f>$C72</f>
        <v/>
      </c>
      <c r="H72" s="39">
        <f>$C72</f>
        <v/>
      </c>
      <c r="I72" s="39">
        <f>$C72</f>
        <v/>
      </c>
      <c r="J72" s="39">
        <f>$C72</f>
        <v/>
      </c>
      <c r="K72" s="39">
        <f>$C72</f>
        <v/>
      </c>
      <c r="L72" s="39">
        <f>$C72</f>
        <v/>
      </c>
      <c r="M72" s="39">
        <f>$C72</f>
        <v/>
      </c>
      <c r="N72" s="39">
        <f>$C72</f>
        <v/>
      </c>
      <c r="O72" s="39">
        <f>$C72</f>
        <v/>
      </c>
      <c r="P72" s="40">
        <f>SUM(D72:O72)</f>
        <v/>
      </c>
    </row>
    <row r="73">
      <c r="A73" s="38">
        <f>IF(Categories!$A65="","",Categories!$A65)</f>
        <v/>
      </c>
      <c r="B73" s="29">
        <f>IF(A73="","",Categories!$B65&amp;"")</f>
        <v/>
      </c>
      <c r="C73" s="28" t="n"/>
      <c r="D73" s="39">
        <f>$C73</f>
        <v/>
      </c>
      <c r="E73" s="39">
        <f>$C73</f>
        <v/>
      </c>
      <c r="F73" s="39">
        <f>$C73</f>
        <v/>
      </c>
      <c r="G73" s="39">
        <f>$C73</f>
        <v/>
      </c>
      <c r="H73" s="39">
        <f>$C73</f>
        <v/>
      </c>
      <c r="I73" s="39">
        <f>$C73</f>
        <v/>
      </c>
      <c r="J73" s="39">
        <f>$C73</f>
        <v/>
      </c>
      <c r="K73" s="39">
        <f>$C73</f>
        <v/>
      </c>
      <c r="L73" s="39">
        <f>$C73</f>
        <v/>
      </c>
      <c r="M73" s="39">
        <f>$C73</f>
        <v/>
      </c>
      <c r="N73" s="39">
        <f>$C73</f>
        <v/>
      </c>
      <c r="O73" s="39">
        <f>$C73</f>
        <v/>
      </c>
      <c r="P73" s="40">
        <f>SUM(D73:O73)</f>
        <v/>
      </c>
    </row>
    <row r="75">
      <c r="A75" s="24" t="inlineStr">
        <is>
          <t>Left to budget = income − expenses − savings &amp; debt + paid from goals &amp; funds. Below zero means you planned to spend more than you earn.</t>
        </is>
      </c>
    </row>
  </sheetData>
  <sheetProtection selectLockedCells="0" selectUnlockedCells="0" sheet="1" objects="0" insertRows="1" insertHyperlinks="1" autoFilter="1" scenarios="0" formatColumns="0" deleteColumns="1" insertColumns="1" pivotTables="1" deleteRows="1" formatCells="0" formatRows="0" sort="1"/>
  <mergeCells count="1">
    <mergeCell ref="D4:O4"/>
  </mergeCells>
  <conditionalFormatting sqref="C12:P12">
    <cfRule type="expression" priority="1" dxfId="1">
      <formula>C12&lt;-0.004</formula>
    </cfRule>
  </conditionalFormatting>
  <dataValidations count="2">
    <dataValidation sqref="C14:O73" showDropDown="0" showInputMessage="0" showErrorMessage="1" allowBlank="1" errorTitle="Value not valid" error="Enter a number, for example 125.50." type="decimal" operator="between">
      <formula1>-100000000</formula1>
      <formula2>100000000</formula2>
    </dataValidation>
    <dataValidation sqref="D11:O11" showDropDown="0" showInputMessage="0" showErrorMessage="1" allowBlank="1" errorTitle="Value not valid" error="Enter a positive amount." type="decimal" operator="between">
      <formula1>0</formula1>
      <formula2>100000000</formula2>
    </dataValidation>
  </dataValidations>
  <printOptions horizontalCentered="1"/>
  <pageMargins left="0.4" right="0.4" top="0.5" bottom="0.5" header="0.5" footer="0.5"/>
  <pageSetup orientation="landscape" paperSize="1" fitToHeight="0" fitToWidth="1"/>
</worksheet>
</file>

<file path=xl/worksheets/sheet6.xml><?xml version="1.0" encoding="utf-8"?>
<worksheet xmlns="http://schemas.openxmlformats.org/spreadsheetml/2006/main">
  <sheetPr>
    <tabColor rgb="000F766E"/>
    <outlinePr summaryBelow="1" summaryRight="1"/>
    <pageSetUpPr fitToPage="1"/>
  </sheetPr>
  <dimension ref="A1:AA73"/>
  <sheetViews>
    <sheetView tabSelected="0"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1" max="1"/>
    <col width="17" customWidth="1" min="2" max="2"/>
    <col width="12" customWidth="1" min="3" max="3"/>
    <col width="12" customWidth="1" min="4" max="4"/>
    <col width="12" customWidth="1" min="5" max="5"/>
    <col width="9" customWidth="1" min="6" max="6"/>
    <col width="2" customWidth="1" min="7" max="7"/>
    <col width="12" customWidth="1" min="8" max="8"/>
    <col width="12" customWidth="1" min="9" max="9"/>
    <col width="12" customWidth="1" min="10" max="10"/>
    <col width="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2.5" customWidth="1" min="24" max="24"/>
    <col width="12.5" customWidth="1" min="25" max="25"/>
    <col width="12.5" customWidth="1" min="26" max="26"/>
    <col hidden="1" width="8" customWidth="1" min="27" max="27"/>
  </cols>
  <sheetData>
    <row r="1" ht="30" customHeight="1">
      <c r="A1" s="12" t="inlineStr">
        <is>
          <t>Monthly Summary</t>
        </is>
      </c>
    </row>
    <row r="2">
      <c r="A2" s="13" t="inlineStr">
        <is>
          <t>Actual amounts from Transactions compared with Monthly Budget. Difference = actual − planned: green is better than planned, red is worse.</t>
        </is>
      </c>
    </row>
    <row r="3" ht="22" customHeight="1">
      <c r="A3" s="41" t="inlineStr">
        <is>
          <t>Month to review  ▸</t>
        </is>
      </c>
      <c r="B3" s="42" t="inlineStr">
        <is>
          <t>Auto</t>
        </is>
      </c>
      <c r="C3" s="43">
        <f>"Showing "&amp;Settings!$C$13&amp;" "&amp;Settings!$C$4&amp;". Auto = the latest month (today, or the as-of date in Settings)."</f>
        <v/>
      </c>
    </row>
    <row r="4" ht="20" customHeight="1">
      <c r="C4" s="30">
        <f>Settings!$C$13&amp;" "&amp;Settings!$C$4&amp;Settings!$C$14</f>
        <v/>
      </c>
      <c r="H4" s="30">
        <f>"Year to date ("&amp;IF(Settings!$C$12=1,"Jan","Jan–"&amp;Settings!$C$15)&amp;")"&amp;Settings!$C$14</f>
        <v/>
      </c>
      <c r="L4" s="30">
        <f>"Actual by month"&amp;Settings!$C$14</f>
        <v/>
      </c>
      <c r="X4" s="30">
        <f>"Full year"&amp;Settings!$C$14</f>
        <v/>
      </c>
    </row>
    <row r="5" ht="30" customHeight="1">
      <c r="A5" s="14" t="inlineStr">
        <is>
          <t>Category</t>
        </is>
      </c>
      <c r="B5" s="14" t="inlineStr">
        <is>
          <t>Type</t>
        </is>
      </c>
      <c r="C5" s="14" t="inlineStr">
        <is>
          <t>Planned</t>
        </is>
      </c>
      <c r="D5" s="14" t="inlineStr">
        <is>
          <t>Actual</t>
        </is>
      </c>
      <c r="E5" s="14" t="inlineStr">
        <is>
          <t>Difference</t>
        </is>
      </c>
      <c r="F5" s="14" t="inlineStr">
        <is>
          <t>% of plan</t>
        </is>
      </c>
      <c r="H5" s="14" t="inlineStr">
        <is>
          <t>Planned</t>
        </is>
      </c>
      <c r="I5" s="14" t="inlineStr">
        <is>
          <t>Actual</t>
        </is>
      </c>
      <c r="J5" s="14" t="inlineStr">
        <is>
          <t>Difference</t>
        </is>
      </c>
      <c r="L5" s="14" t="inlineStr">
        <is>
          <t>Jan</t>
        </is>
      </c>
      <c r="M5" s="14" t="inlineStr">
        <is>
          <t>Feb</t>
        </is>
      </c>
      <c r="N5" s="14" t="inlineStr">
        <is>
          <t>Mar</t>
        </is>
      </c>
      <c r="O5" s="14" t="inlineStr">
        <is>
          <t>Apr</t>
        </is>
      </c>
      <c r="P5" s="14" t="inlineStr">
        <is>
          <t>May</t>
        </is>
      </c>
      <c r="Q5" s="14" t="inlineStr">
        <is>
          <t>Jun</t>
        </is>
      </c>
      <c r="R5" s="14" t="inlineStr">
        <is>
          <t>Jul</t>
        </is>
      </c>
      <c r="S5" s="14" t="inlineStr">
        <is>
          <t>Aug</t>
        </is>
      </c>
      <c r="T5" s="14" t="inlineStr">
        <is>
          <t>Sep</t>
        </is>
      </c>
      <c r="U5" s="14" t="inlineStr">
        <is>
          <t>Oct</t>
        </is>
      </c>
      <c r="V5" s="14" t="inlineStr">
        <is>
          <t>Nov</t>
        </is>
      </c>
      <c r="W5" s="14" t="inlineStr">
        <is>
          <t>Dec</t>
        </is>
      </c>
      <c r="X5" s="14" t="inlineStr">
        <is>
          <t>Actual</t>
        </is>
      </c>
      <c r="Y5" s="14" t="inlineStr">
        <is>
          <t>Planned</t>
        </is>
      </c>
      <c r="Z5" s="14" t="inlineStr">
        <is>
          <t>Difference</t>
        </is>
      </c>
      <c r="AA5" s="14" t="inlineStr">
        <is>
          <t>Rank key</t>
        </is>
      </c>
    </row>
    <row r="6">
      <c r="A6" s="31" t="inlineStr">
        <is>
          <t>Income</t>
        </is>
      </c>
      <c r="B6" s="29" t="inlineStr">
        <is>
          <t>Income</t>
        </is>
      </c>
      <c r="C6" s="32">
        <f>SUMIFS(C$14:C$73,$B$14:$B$73,"Income")</f>
        <v/>
      </c>
      <c r="D6" s="32">
        <f>SUMIFS(D$14:D$73,$B$14:$B$73,"Income")</f>
        <v/>
      </c>
      <c r="E6" s="32">
        <f>D6-C6</f>
        <v/>
      </c>
      <c r="F6" s="44">
        <f>IF(C6=0,"",D6/C6)</f>
        <v/>
      </c>
      <c r="H6" s="32">
        <f>SUMIFS(H$14:H$73,$B$14:$B$73,"Income")</f>
        <v/>
      </c>
      <c r="I6" s="32">
        <f>SUMIFS(I$14:I$73,$B$14:$B$73,"Income")</f>
        <v/>
      </c>
      <c r="J6" s="32">
        <f>I6-H6</f>
        <v/>
      </c>
      <c r="L6" s="32">
        <f>SUMIFS(L$14:L$73,$B$14:$B$73,"Income")</f>
        <v/>
      </c>
      <c r="M6" s="32">
        <f>SUMIFS(M$14:M$73,$B$14:$B$73,"Income")</f>
        <v/>
      </c>
      <c r="N6" s="32">
        <f>SUMIFS(N$14:N$73,$B$14:$B$73,"Income")</f>
        <v/>
      </c>
      <c r="O6" s="32">
        <f>SUMIFS(O$14:O$73,$B$14:$B$73,"Income")</f>
        <v/>
      </c>
      <c r="P6" s="32">
        <f>SUMIFS(P$14:P$73,$B$14:$B$73,"Income")</f>
        <v/>
      </c>
      <c r="Q6" s="32">
        <f>SUMIFS(Q$14:Q$73,$B$14:$B$73,"Income")</f>
        <v/>
      </c>
      <c r="R6" s="32">
        <f>SUMIFS(R$14:R$73,$B$14:$B$73,"Income")</f>
        <v/>
      </c>
      <c r="S6" s="32">
        <f>SUMIFS(S$14:S$73,$B$14:$B$73,"Income")</f>
        <v/>
      </c>
      <c r="T6" s="32">
        <f>SUMIFS(T$14:T$73,$B$14:$B$73,"Income")</f>
        <v/>
      </c>
      <c r="U6" s="32">
        <f>SUMIFS(U$14:U$73,$B$14:$B$73,"Income")</f>
        <v/>
      </c>
      <c r="V6" s="32">
        <f>SUMIFS(V$14:V$73,$B$14:$B$73,"Income")</f>
        <v/>
      </c>
      <c r="W6" s="32">
        <f>SUMIFS(W$14:W$73,$B$14:$B$73,"Income")</f>
        <v/>
      </c>
      <c r="X6" s="32">
        <f>SUMIFS(X$14:X$73,$B$14:$B$73,"Income")</f>
        <v/>
      </c>
      <c r="Y6" s="32">
        <f>SUMIFS(Y$14:Y$73,$B$14:$B$73,"Income")</f>
        <v/>
      </c>
      <c r="Z6" s="32">
        <f>X6-Y6</f>
        <v/>
      </c>
    </row>
    <row r="7">
      <c r="A7" s="31" t="inlineStr">
        <is>
          <t>Fixed bills</t>
        </is>
      </c>
      <c r="B7" s="29" t="inlineStr">
        <is>
          <t>Fixed bills</t>
        </is>
      </c>
      <c r="C7" s="32">
        <f>SUMIFS(C$14:C$73,$B$14:$B$73,"Fixed bills")</f>
        <v/>
      </c>
      <c r="D7" s="32">
        <f>SUMIFS(D$14:D$73,$B$14:$B$73,"Fixed bills")</f>
        <v/>
      </c>
      <c r="E7" s="32">
        <f>D7-C7</f>
        <v/>
      </c>
      <c r="F7" s="44">
        <f>IF(C7=0,"",D7/C7)</f>
        <v/>
      </c>
      <c r="H7" s="32">
        <f>SUMIFS(H$14:H$73,$B$14:$B$73,"Fixed bills")</f>
        <v/>
      </c>
      <c r="I7" s="32">
        <f>SUMIFS(I$14:I$73,$B$14:$B$73,"Fixed bills")</f>
        <v/>
      </c>
      <c r="J7" s="32">
        <f>I7-H7</f>
        <v/>
      </c>
      <c r="L7" s="32">
        <f>SUMIFS(L$14:L$73,$B$14:$B$73,"Fixed bills")</f>
        <v/>
      </c>
      <c r="M7" s="32">
        <f>SUMIFS(M$14:M$73,$B$14:$B$73,"Fixed bills")</f>
        <v/>
      </c>
      <c r="N7" s="32">
        <f>SUMIFS(N$14:N$73,$B$14:$B$73,"Fixed bills")</f>
        <v/>
      </c>
      <c r="O7" s="32">
        <f>SUMIFS(O$14:O$73,$B$14:$B$73,"Fixed bills")</f>
        <v/>
      </c>
      <c r="P7" s="32">
        <f>SUMIFS(P$14:P$73,$B$14:$B$73,"Fixed bills")</f>
        <v/>
      </c>
      <c r="Q7" s="32">
        <f>SUMIFS(Q$14:Q$73,$B$14:$B$73,"Fixed bills")</f>
        <v/>
      </c>
      <c r="R7" s="32">
        <f>SUMIFS(R$14:R$73,$B$14:$B$73,"Fixed bills")</f>
        <v/>
      </c>
      <c r="S7" s="32">
        <f>SUMIFS(S$14:S$73,$B$14:$B$73,"Fixed bills")</f>
        <v/>
      </c>
      <c r="T7" s="32">
        <f>SUMIFS(T$14:T$73,$B$14:$B$73,"Fixed bills")</f>
        <v/>
      </c>
      <c r="U7" s="32">
        <f>SUMIFS(U$14:U$73,$B$14:$B$73,"Fixed bills")</f>
        <v/>
      </c>
      <c r="V7" s="32">
        <f>SUMIFS(V$14:V$73,$B$14:$B$73,"Fixed bills")</f>
        <v/>
      </c>
      <c r="W7" s="32">
        <f>SUMIFS(W$14:W$73,$B$14:$B$73,"Fixed bills")</f>
        <v/>
      </c>
      <c r="X7" s="32">
        <f>SUMIFS(X$14:X$73,$B$14:$B$73,"Fixed bills")</f>
        <v/>
      </c>
      <c r="Y7" s="32">
        <f>SUMIFS(Y$14:Y$73,$B$14:$B$73,"Fixed bills")</f>
        <v/>
      </c>
      <c r="Z7" s="32">
        <f>X7-Y7</f>
        <v/>
      </c>
    </row>
    <row r="8">
      <c r="A8" s="31" t="inlineStr">
        <is>
          <t>Variable expenses</t>
        </is>
      </c>
      <c r="B8" s="29" t="inlineStr">
        <is>
          <t>Variable expenses</t>
        </is>
      </c>
      <c r="C8" s="32">
        <f>SUMIFS(C$14:C$73,$B$14:$B$73,"Variable expenses")</f>
        <v/>
      </c>
      <c r="D8" s="32">
        <f>SUMIFS(D$14:D$73,$B$14:$B$73,"Variable expenses")</f>
        <v/>
      </c>
      <c r="E8" s="32">
        <f>D8-C8</f>
        <v/>
      </c>
      <c r="F8" s="44">
        <f>IF(C8=0,"",D8/C8)</f>
        <v/>
      </c>
      <c r="H8" s="32">
        <f>SUMIFS(H$14:H$73,$B$14:$B$73,"Variable expenses")</f>
        <v/>
      </c>
      <c r="I8" s="32">
        <f>SUMIFS(I$14:I$73,$B$14:$B$73,"Variable expenses")</f>
        <v/>
      </c>
      <c r="J8" s="32">
        <f>I8-H8</f>
        <v/>
      </c>
      <c r="L8" s="32">
        <f>SUMIFS(L$14:L$73,$B$14:$B$73,"Variable expenses")</f>
        <v/>
      </c>
      <c r="M8" s="32">
        <f>SUMIFS(M$14:M$73,$B$14:$B$73,"Variable expenses")</f>
        <v/>
      </c>
      <c r="N8" s="32">
        <f>SUMIFS(N$14:N$73,$B$14:$B$73,"Variable expenses")</f>
        <v/>
      </c>
      <c r="O8" s="32">
        <f>SUMIFS(O$14:O$73,$B$14:$B$73,"Variable expenses")</f>
        <v/>
      </c>
      <c r="P8" s="32">
        <f>SUMIFS(P$14:P$73,$B$14:$B$73,"Variable expenses")</f>
        <v/>
      </c>
      <c r="Q8" s="32">
        <f>SUMIFS(Q$14:Q$73,$B$14:$B$73,"Variable expenses")</f>
        <v/>
      </c>
      <c r="R8" s="32">
        <f>SUMIFS(R$14:R$73,$B$14:$B$73,"Variable expenses")</f>
        <v/>
      </c>
      <c r="S8" s="32">
        <f>SUMIFS(S$14:S$73,$B$14:$B$73,"Variable expenses")</f>
        <v/>
      </c>
      <c r="T8" s="32">
        <f>SUMIFS(T$14:T$73,$B$14:$B$73,"Variable expenses")</f>
        <v/>
      </c>
      <c r="U8" s="32">
        <f>SUMIFS(U$14:U$73,$B$14:$B$73,"Variable expenses")</f>
        <v/>
      </c>
      <c r="V8" s="32">
        <f>SUMIFS(V$14:V$73,$B$14:$B$73,"Variable expenses")</f>
        <v/>
      </c>
      <c r="W8" s="32">
        <f>SUMIFS(W$14:W$73,$B$14:$B$73,"Variable expenses")</f>
        <v/>
      </c>
      <c r="X8" s="32">
        <f>SUMIFS(X$14:X$73,$B$14:$B$73,"Variable expenses")</f>
        <v/>
      </c>
      <c r="Y8" s="32">
        <f>SUMIFS(Y$14:Y$73,$B$14:$B$73,"Variable expenses")</f>
        <v/>
      </c>
      <c r="Z8" s="32">
        <f>X8-Y8</f>
        <v/>
      </c>
    </row>
    <row r="9">
      <c r="A9" s="33" t="inlineStr">
        <is>
          <t>Total expenses</t>
        </is>
      </c>
      <c r="B9" s="34" t="inlineStr">
        <is>
          <t>All expenses</t>
        </is>
      </c>
      <c r="C9" s="35">
        <f>C7+C8</f>
        <v/>
      </c>
      <c r="D9" s="35">
        <f>D7+D8</f>
        <v/>
      </c>
      <c r="E9" s="35">
        <f>D9-C9</f>
        <v/>
      </c>
      <c r="F9" s="45">
        <f>IF(C9=0,"",D9/C9)</f>
        <v/>
      </c>
      <c r="H9" s="35">
        <f>H7+H8</f>
        <v/>
      </c>
      <c r="I9" s="35">
        <f>I7+I8</f>
        <v/>
      </c>
      <c r="J9" s="35">
        <f>I9-H9</f>
        <v/>
      </c>
      <c r="L9" s="35">
        <f>L7+L8</f>
        <v/>
      </c>
      <c r="M9" s="35">
        <f>M7+M8</f>
        <v/>
      </c>
      <c r="N9" s="35">
        <f>N7+N8</f>
        <v/>
      </c>
      <c r="O9" s="35">
        <f>O7+O8</f>
        <v/>
      </c>
      <c r="P9" s="35">
        <f>P7+P8</f>
        <v/>
      </c>
      <c r="Q9" s="35">
        <f>Q7+Q8</f>
        <v/>
      </c>
      <c r="R9" s="35">
        <f>R7+R8</f>
        <v/>
      </c>
      <c r="S9" s="35">
        <f>S7+S8</f>
        <v/>
      </c>
      <c r="T9" s="35">
        <f>T7+T8</f>
        <v/>
      </c>
      <c r="U9" s="35">
        <f>U7+U8</f>
        <v/>
      </c>
      <c r="V9" s="35">
        <f>V7+V8</f>
        <v/>
      </c>
      <c r="W9" s="35">
        <f>W7+W8</f>
        <v/>
      </c>
      <c r="X9" s="35">
        <f>X7+X8</f>
        <v/>
      </c>
      <c r="Y9" s="35">
        <f>Y7+Y8</f>
        <v/>
      </c>
      <c r="Z9" s="35">
        <f>X9-Y9</f>
        <v/>
      </c>
    </row>
    <row r="10">
      <c r="A10" s="31" t="inlineStr">
        <is>
          <t>Savings &amp; debt payments</t>
        </is>
      </c>
      <c r="B10" s="29" t="inlineStr">
        <is>
          <t>Savings &amp; debt</t>
        </is>
      </c>
      <c r="C10" s="32">
        <f>SUMIFS(C$14:C$73,$B$14:$B$73,"Savings &amp; debt")</f>
        <v/>
      </c>
      <c r="D10" s="32">
        <f>SUMIFS(D$14:D$73,$B$14:$B$73,"Savings &amp; debt")</f>
        <v/>
      </c>
      <c r="E10" s="32">
        <f>D10-C10</f>
        <v/>
      </c>
      <c r="F10" s="44">
        <f>IF(C10=0,"",D10/C10)</f>
        <v/>
      </c>
      <c r="H10" s="32">
        <f>SUMIFS(H$14:H$73,$B$14:$B$73,"Savings &amp; debt")</f>
        <v/>
      </c>
      <c r="I10" s="32">
        <f>SUMIFS(I$14:I$73,$B$14:$B$73,"Savings &amp; debt")</f>
        <v/>
      </c>
      <c r="J10" s="32">
        <f>I10-H10</f>
        <v/>
      </c>
      <c r="L10" s="32">
        <f>SUMIFS(L$14:L$73,$B$14:$B$73,"Savings &amp; debt")</f>
        <v/>
      </c>
      <c r="M10" s="32">
        <f>SUMIFS(M$14:M$73,$B$14:$B$73,"Savings &amp; debt")</f>
        <v/>
      </c>
      <c r="N10" s="32">
        <f>SUMIFS(N$14:N$73,$B$14:$B$73,"Savings &amp; debt")</f>
        <v/>
      </c>
      <c r="O10" s="32">
        <f>SUMIFS(O$14:O$73,$B$14:$B$73,"Savings &amp; debt")</f>
        <v/>
      </c>
      <c r="P10" s="32">
        <f>SUMIFS(P$14:P$73,$B$14:$B$73,"Savings &amp; debt")</f>
        <v/>
      </c>
      <c r="Q10" s="32">
        <f>SUMIFS(Q$14:Q$73,$B$14:$B$73,"Savings &amp; debt")</f>
        <v/>
      </c>
      <c r="R10" s="32">
        <f>SUMIFS(R$14:R$73,$B$14:$B$73,"Savings &amp; debt")</f>
        <v/>
      </c>
      <c r="S10" s="32">
        <f>SUMIFS(S$14:S$73,$B$14:$B$73,"Savings &amp; debt")</f>
        <v/>
      </c>
      <c r="T10" s="32">
        <f>SUMIFS(T$14:T$73,$B$14:$B$73,"Savings &amp; debt")</f>
        <v/>
      </c>
      <c r="U10" s="32">
        <f>SUMIFS(U$14:U$73,$B$14:$B$73,"Savings &amp; debt")</f>
        <v/>
      </c>
      <c r="V10" s="32">
        <f>SUMIFS(V$14:V$73,$B$14:$B$73,"Savings &amp; debt")</f>
        <v/>
      </c>
      <c r="W10" s="32">
        <f>SUMIFS(W$14:W$73,$B$14:$B$73,"Savings &amp; debt")</f>
        <v/>
      </c>
      <c r="X10" s="32">
        <f>SUMIFS(X$14:X$73,$B$14:$B$73,"Savings &amp; debt")</f>
        <v/>
      </c>
      <c r="Y10" s="32">
        <f>SUMIFS(Y$14:Y$73,$B$14:$B$73,"Savings &amp; debt")</f>
        <v/>
      </c>
      <c r="Z10" s="32">
        <f>X10-Y10</f>
        <v/>
      </c>
    </row>
    <row r="11">
      <c r="A11" s="31" t="inlineStr">
        <is>
          <t>Paid from goals &amp; funds</t>
        </is>
      </c>
      <c r="B11" s="29" t="inlineStr">
        <is>
          <t>Funds</t>
        </is>
      </c>
      <c r="C11" s="32">
        <f>INDEX('Monthly Budget'!$D$11:$O$11,1,Settings!$C$12)</f>
        <v/>
      </c>
      <c r="D11" s="32">
        <f>INDEX($L$11:$W$11,1,Settings!$C$12)</f>
        <v/>
      </c>
      <c r="E11" s="32">
        <f>D11-C11</f>
        <v/>
      </c>
      <c r="F11" s="38" t="n"/>
      <c r="H11" s="32">
        <f>SUMIFS('Monthly Budget'!$D$11:$O$11,Lists!$I$2:$T$2,"&lt;="&amp;Settings!$C$12)</f>
        <v/>
      </c>
      <c r="I11" s="32">
        <f>SUMIFS($L$11:$W$11,Lists!$I$2:$T$2,"&lt;="&amp;Settings!$C$12)</f>
        <v/>
      </c>
      <c r="J11" s="32">
        <f>I11-H11</f>
        <v/>
      </c>
      <c r="L11" s="32">
        <f>SUMIFS(Transactions!$D$6:$D$2005,Transactions!$F$6:$F$2005,"&lt;&gt;",Transactions!$H$6:$H$2005,"Fixed bills",Transactions!$A$6:$A$2005,"&gt;="&amp;DATE(Settings!$C$4,1,1),Transactions!$A$6:$A$2005,"&lt;"&amp;DATE(Settings!$C$4,2,1))+SUMIFS(Transactions!$D$6:$D$2005,Transactions!$F$6:$F$2005,"&lt;&gt;",Transactions!$H$6:$H$2005,"Variable expenses",Transactions!$A$6:$A$2005,"&gt;="&amp;DATE(Settings!$C$4,1,1),Transactions!$A$6:$A$2005,"&lt;"&amp;DATE(Settings!$C$4,2,1))</f>
        <v/>
      </c>
      <c r="M11" s="32">
        <f>SUMIFS(Transactions!$D$6:$D$2005,Transactions!$F$6:$F$2005,"&lt;&gt;",Transactions!$H$6:$H$2005,"Fixed bills",Transactions!$A$6:$A$2005,"&gt;="&amp;DATE(Settings!$C$4,2,1),Transactions!$A$6:$A$2005,"&lt;"&amp;DATE(Settings!$C$4,3,1))+SUMIFS(Transactions!$D$6:$D$2005,Transactions!$F$6:$F$2005,"&lt;&gt;",Transactions!$H$6:$H$2005,"Variable expenses",Transactions!$A$6:$A$2005,"&gt;="&amp;DATE(Settings!$C$4,2,1),Transactions!$A$6:$A$2005,"&lt;"&amp;DATE(Settings!$C$4,3,1))</f>
        <v/>
      </c>
      <c r="N11" s="32">
        <f>SUMIFS(Transactions!$D$6:$D$2005,Transactions!$F$6:$F$2005,"&lt;&gt;",Transactions!$H$6:$H$2005,"Fixed bills",Transactions!$A$6:$A$2005,"&gt;="&amp;DATE(Settings!$C$4,3,1),Transactions!$A$6:$A$2005,"&lt;"&amp;DATE(Settings!$C$4,4,1))+SUMIFS(Transactions!$D$6:$D$2005,Transactions!$F$6:$F$2005,"&lt;&gt;",Transactions!$H$6:$H$2005,"Variable expenses",Transactions!$A$6:$A$2005,"&gt;="&amp;DATE(Settings!$C$4,3,1),Transactions!$A$6:$A$2005,"&lt;"&amp;DATE(Settings!$C$4,4,1))</f>
        <v/>
      </c>
      <c r="O11" s="32">
        <f>SUMIFS(Transactions!$D$6:$D$2005,Transactions!$F$6:$F$2005,"&lt;&gt;",Transactions!$H$6:$H$2005,"Fixed bills",Transactions!$A$6:$A$2005,"&gt;="&amp;DATE(Settings!$C$4,4,1),Transactions!$A$6:$A$2005,"&lt;"&amp;DATE(Settings!$C$4,5,1))+SUMIFS(Transactions!$D$6:$D$2005,Transactions!$F$6:$F$2005,"&lt;&gt;",Transactions!$H$6:$H$2005,"Variable expenses",Transactions!$A$6:$A$2005,"&gt;="&amp;DATE(Settings!$C$4,4,1),Transactions!$A$6:$A$2005,"&lt;"&amp;DATE(Settings!$C$4,5,1))</f>
        <v/>
      </c>
      <c r="P11" s="32">
        <f>SUMIFS(Transactions!$D$6:$D$2005,Transactions!$F$6:$F$2005,"&lt;&gt;",Transactions!$H$6:$H$2005,"Fixed bills",Transactions!$A$6:$A$2005,"&gt;="&amp;DATE(Settings!$C$4,5,1),Transactions!$A$6:$A$2005,"&lt;"&amp;DATE(Settings!$C$4,6,1))+SUMIFS(Transactions!$D$6:$D$2005,Transactions!$F$6:$F$2005,"&lt;&gt;",Transactions!$H$6:$H$2005,"Variable expenses",Transactions!$A$6:$A$2005,"&gt;="&amp;DATE(Settings!$C$4,5,1),Transactions!$A$6:$A$2005,"&lt;"&amp;DATE(Settings!$C$4,6,1))</f>
        <v/>
      </c>
      <c r="Q11" s="32">
        <f>SUMIFS(Transactions!$D$6:$D$2005,Transactions!$F$6:$F$2005,"&lt;&gt;",Transactions!$H$6:$H$2005,"Fixed bills",Transactions!$A$6:$A$2005,"&gt;="&amp;DATE(Settings!$C$4,6,1),Transactions!$A$6:$A$2005,"&lt;"&amp;DATE(Settings!$C$4,7,1))+SUMIFS(Transactions!$D$6:$D$2005,Transactions!$F$6:$F$2005,"&lt;&gt;",Transactions!$H$6:$H$2005,"Variable expenses",Transactions!$A$6:$A$2005,"&gt;="&amp;DATE(Settings!$C$4,6,1),Transactions!$A$6:$A$2005,"&lt;"&amp;DATE(Settings!$C$4,7,1))</f>
        <v/>
      </c>
      <c r="R11" s="32">
        <f>SUMIFS(Transactions!$D$6:$D$2005,Transactions!$F$6:$F$2005,"&lt;&gt;",Transactions!$H$6:$H$2005,"Fixed bills",Transactions!$A$6:$A$2005,"&gt;="&amp;DATE(Settings!$C$4,7,1),Transactions!$A$6:$A$2005,"&lt;"&amp;DATE(Settings!$C$4,8,1))+SUMIFS(Transactions!$D$6:$D$2005,Transactions!$F$6:$F$2005,"&lt;&gt;",Transactions!$H$6:$H$2005,"Variable expenses",Transactions!$A$6:$A$2005,"&gt;="&amp;DATE(Settings!$C$4,7,1),Transactions!$A$6:$A$2005,"&lt;"&amp;DATE(Settings!$C$4,8,1))</f>
        <v/>
      </c>
      <c r="S11" s="32">
        <f>SUMIFS(Transactions!$D$6:$D$2005,Transactions!$F$6:$F$2005,"&lt;&gt;",Transactions!$H$6:$H$2005,"Fixed bills",Transactions!$A$6:$A$2005,"&gt;="&amp;DATE(Settings!$C$4,8,1),Transactions!$A$6:$A$2005,"&lt;"&amp;DATE(Settings!$C$4,9,1))+SUMIFS(Transactions!$D$6:$D$2005,Transactions!$F$6:$F$2005,"&lt;&gt;",Transactions!$H$6:$H$2005,"Variable expenses",Transactions!$A$6:$A$2005,"&gt;="&amp;DATE(Settings!$C$4,8,1),Transactions!$A$6:$A$2005,"&lt;"&amp;DATE(Settings!$C$4,9,1))</f>
        <v/>
      </c>
      <c r="T11" s="32">
        <f>SUMIFS(Transactions!$D$6:$D$2005,Transactions!$F$6:$F$2005,"&lt;&gt;",Transactions!$H$6:$H$2005,"Fixed bills",Transactions!$A$6:$A$2005,"&gt;="&amp;DATE(Settings!$C$4,9,1),Transactions!$A$6:$A$2005,"&lt;"&amp;DATE(Settings!$C$4,10,1))+SUMIFS(Transactions!$D$6:$D$2005,Transactions!$F$6:$F$2005,"&lt;&gt;",Transactions!$H$6:$H$2005,"Variable expenses",Transactions!$A$6:$A$2005,"&gt;="&amp;DATE(Settings!$C$4,9,1),Transactions!$A$6:$A$2005,"&lt;"&amp;DATE(Settings!$C$4,10,1))</f>
        <v/>
      </c>
      <c r="U11" s="32">
        <f>SUMIFS(Transactions!$D$6:$D$2005,Transactions!$F$6:$F$2005,"&lt;&gt;",Transactions!$H$6:$H$2005,"Fixed bills",Transactions!$A$6:$A$2005,"&gt;="&amp;DATE(Settings!$C$4,10,1),Transactions!$A$6:$A$2005,"&lt;"&amp;DATE(Settings!$C$4,11,1))+SUMIFS(Transactions!$D$6:$D$2005,Transactions!$F$6:$F$2005,"&lt;&gt;",Transactions!$H$6:$H$2005,"Variable expenses",Transactions!$A$6:$A$2005,"&gt;="&amp;DATE(Settings!$C$4,10,1),Transactions!$A$6:$A$2005,"&lt;"&amp;DATE(Settings!$C$4,11,1))</f>
        <v/>
      </c>
      <c r="V11" s="32">
        <f>SUMIFS(Transactions!$D$6:$D$2005,Transactions!$F$6:$F$2005,"&lt;&gt;",Transactions!$H$6:$H$2005,"Fixed bills",Transactions!$A$6:$A$2005,"&gt;="&amp;DATE(Settings!$C$4,11,1),Transactions!$A$6:$A$2005,"&lt;"&amp;DATE(Settings!$C$4,12,1))+SUMIFS(Transactions!$D$6:$D$2005,Transactions!$F$6:$F$2005,"&lt;&gt;",Transactions!$H$6:$H$2005,"Variable expenses",Transactions!$A$6:$A$2005,"&gt;="&amp;DATE(Settings!$C$4,11,1),Transactions!$A$6:$A$2005,"&lt;"&amp;DATE(Settings!$C$4,12,1))</f>
        <v/>
      </c>
      <c r="W11" s="32">
        <f>SUMIFS(Transactions!$D$6:$D$2005,Transactions!$F$6:$F$2005,"&lt;&gt;",Transactions!$H$6:$H$2005,"Fixed bills",Transactions!$A$6:$A$2005,"&gt;="&amp;DATE(Settings!$C$4,12,1),Transactions!$A$6:$A$2005,"&lt;"&amp;DATE(Settings!$C$4,13,1))+SUMIFS(Transactions!$D$6:$D$2005,Transactions!$F$6:$F$2005,"&lt;&gt;",Transactions!$H$6:$H$2005,"Variable expenses",Transactions!$A$6:$A$2005,"&gt;="&amp;DATE(Settings!$C$4,12,1),Transactions!$A$6:$A$2005,"&lt;"&amp;DATE(Settings!$C$4,13,1))</f>
        <v/>
      </c>
      <c r="X11" s="32">
        <f>SUM(L11:W11)</f>
        <v/>
      </c>
      <c r="Y11" s="32">
        <f>'Monthly Budget'!$P$11</f>
        <v/>
      </c>
      <c r="Z11" s="32">
        <f>X11-Y11</f>
        <v/>
      </c>
    </row>
    <row r="12">
      <c r="A12" s="33" t="inlineStr">
        <is>
          <t>Left over</t>
        </is>
      </c>
      <c r="B12" s="34" t="inlineStr">
        <is>
          <t>Result</t>
        </is>
      </c>
      <c r="C12" s="35">
        <f>C6-C9-C10+C11</f>
        <v/>
      </c>
      <c r="D12" s="35">
        <f>D6-D9-D10+D11</f>
        <v/>
      </c>
      <c r="E12" s="35">
        <f>D12-C12</f>
        <v/>
      </c>
      <c r="F12" s="33" t="n"/>
      <c r="H12" s="35">
        <f>H6-H9-H10+H11</f>
        <v/>
      </c>
      <c r="I12" s="35">
        <f>I6-I9-I10+I11</f>
        <v/>
      </c>
      <c r="J12" s="35">
        <f>I12-H12</f>
        <v/>
      </c>
      <c r="L12" s="35">
        <f>L6-L9-L10+L11</f>
        <v/>
      </c>
      <c r="M12" s="35">
        <f>M6-M9-M10+M11</f>
        <v/>
      </c>
      <c r="N12" s="35">
        <f>N6-N9-N10+N11</f>
        <v/>
      </c>
      <c r="O12" s="35">
        <f>O6-O9-O10+O11</f>
        <v/>
      </c>
      <c r="P12" s="35">
        <f>P6-P9-P10+P11</f>
        <v/>
      </c>
      <c r="Q12" s="35">
        <f>Q6-Q9-Q10+Q11</f>
        <v/>
      </c>
      <c r="R12" s="35">
        <f>R6-R9-R10+R11</f>
        <v/>
      </c>
      <c r="S12" s="35">
        <f>S6-S9-S10+S11</f>
        <v/>
      </c>
      <c r="T12" s="35">
        <f>T6-T9-T10+T11</f>
        <v/>
      </c>
      <c r="U12" s="35">
        <f>U6-U9-U10+U11</f>
        <v/>
      </c>
      <c r="V12" s="35">
        <f>V6-V9-V10+V11</f>
        <v/>
      </c>
      <c r="W12" s="35">
        <f>W6-W9-W10+W11</f>
        <v/>
      </c>
      <c r="X12" s="35">
        <f>X6-X9-X10+X11</f>
        <v/>
      </c>
      <c r="Y12" s="35">
        <f>Y6-Y9-Y10+Y11</f>
        <v/>
      </c>
      <c r="Z12" s="35">
        <f>X12-Y12</f>
        <v/>
      </c>
    </row>
    <row r="13">
      <c r="A13" s="37" t="inlineStr">
        <is>
          <t>Categories</t>
        </is>
      </c>
      <c r="B13" s="4" t="n"/>
      <c r="C13" s="4" t="n"/>
      <c r="D13" s="4" t="n"/>
      <c r="E13" s="4" t="n"/>
      <c r="F13" s="4" t="n"/>
      <c r="H13" s="4" t="n"/>
      <c r="I13" s="4" t="n"/>
      <c r="J13" s="4" t="n"/>
      <c r="L13" s="4" t="n"/>
      <c r="M13" s="4" t="n"/>
      <c r="N13" s="4" t="n"/>
      <c r="O13" s="4" t="n"/>
      <c r="P13" s="4" t="n"/>
      <c r="Q13" s="4" t="n"/>
      <c r="R13" s="4" t="n"/>
      <c r="S13" s="4" t="n"/>
      <c r="T13" s="4" t="n"/>
      <c r="U13" s="4" t="n"/>
      <c r="V13" s="4" t="n"/>
      <c r="W13" s="4" t="n"/>
      <c r="X13" s="4" t="n"/>
      <c r="Y13" s="4" t="n"/>
      <c r="Z13" s="4" t="n"/>
    </row>
    <row r="14">
      <c r="A14" s="38">
        <f>IF(Categories!$A6="","",Categories!$A6)</f>
        <v/>
      </c>
      <c r="B14" s="29">
        <f>IF(A14="","",Categories!$B6&amp;"")</f>
        <v/>
      </c>
      <c r="C14" s="32">
        <f>IF($A14="",0,INDEX('Monthly Budget'!$D14:$O14,1,Settings!$C$12))</f>
        <v/>
      </c>
      <c r="D14" s="40">
        <f>INDEX($L14:$W14,1,Settings!$C$12)</f>
        <v/>
      </c>
      <c r="E14" s="32">
        <f>D14-C14</f>
        <v/>
      </c>
      <c r="F14" s="44">
        <f>IF(C14=0,"",D14/C14)</f>
        <v/>
      </c>
      <c r="H14" s="32">
        <f>IF($A14="",0,SUMIFS('Monthly Budget'!$D14:$O14,Lists!$I$2:$T$2,"&lt;="&amp;Settings!$C$12))</f>
        <v/>
      </c>
      <c r="I14" s="32">
        <f>SUMIFS($L14:$W14,Lists!$I$2:$T$2,"&lt;="&amp;Settings!$C$12)</f>
        <v/>
      </c>
      <c r="J14" s="32">
        <f>I14-H14</f>
        <v/>
      </c>
      <c r="L14" s="32">
        <f>IF($A14="",0,SUMIFS(Transactions!$D$6:$D$2005,Transactions!$C$6:$C$2005,$A14,Transactions!$A$6:$A$2005,"&gt;="&amp;DATE(Settings!$C$4,1,1),Transactions!$A$6:$A$2005,"&lt;"&amp;DATE(Settings!$C$4,2,1)))</f>
        <v/>
      </c>
      <c r="M14" s="32">
        <f>IF($A14="",0,SUMIFS(Transactions!$D$6:$D$2005,Transactions!$C$6:$C$2005,$A14,Transactions!$A$6:$A$2005,"&gt;="&amp;DATE(Settings!$C$4,2,1),Transactions!$A$6:$A$2005,"&lt;"&amp;DATE(Settings!$C$4,3,1)))</f>
        <v/>
      </c>
      <c r="N14" s="32">
        <f>IF($A14="",0,SUMIFS(Transactions!$D$6:$D$2005,Transactions!$C$6:$C$2005,$A14,Transactions!$A$6:$A$2005,"&gt;="&amp;DATE(Settings!$C$4,3,1),Transactions!$A$6:$A$2005,"&lt;"&amp;DATE(Settings!$C$4,4,1)))</f>
        <v/>
      </c>
      <c r="O14" s="32">
        <f>IF($A14="",0,SUMIFS(Transactions!$D$6:$D$2005,Transactions!$C$6:$C$2005,$A14,Transactions!$A$6:$A$2005,"&gt;="&amp;DATE(Settings!$C$4,4,1),Transactions!$A$6:$A$2005,"&lt;"&amp;DATE(Settings!$C$4,5,1)))</f>
        <v/>
      </c>
      <c r="P14" s="32">
        <f>IF($A14="",0,SUMIFS(Transactions!$D$6:$D$2005,Transactions!$C$6:$C$2005,$A14,Transactions!$A$6:$A$2005,"&gt;="&amp;DATE(Settings!$C$4,5,1),Transactions!$A$6:$A$2005,"&lt;"&amp;DATE(Settings!$C$4,6,1)))</f>
        <v/>
      </c>
      <c r="Q14" s="32">
        <f>IF($A14="",0,SUMIFS(Transactions!$D$6:$D$2005,Transactions!$C$6:$C$2005,$A14,Transactions!$A$6:$A$2005,"&gt;="&amp;DATE(Settings!$C$4,6,1),Transactions!$A$6:$A$2005,"&lt;"&amp;DATE(Settings!$C$4,7,1)))</f>
        <v/>
      </c>
      <c r="R14" s="32">
        <f>IF($A14="",0,SUMIFS(Transactions!$D$6:$D$2005,Transactions!$C$6:$C$2005,$A14,Transactions!$A$6:$A$2005,"&gt;="&amp;DATE(Settings!$C$4,7,1),Transactions!$A$6:$A$2005,"&lt;"&amp;DATE(Settings!$C$4,8,1)))</f>
        <v/>
      </c>
      <c r="S14" s="32">
        <f>IF($A14="",0,SUMIFS(Transactions!$D$6:$D$2005,Transactions!$C$6:$C$2005,$A14,Transactions!$A$6:$A$2005,"&gt;="&amp;DATE(Settings!$C$4,8,1),Transactions!$A$6:$A$2005,"&lt;"&amp;DATE(Settings!$C$4,9,1)))</f>
        <v/>
      </c>
      <c r="T14" s="32">
        <f>IF($A14="",0,SUMIFS(Transactions!$D$6:$D$2005,Transactions!$C$6:$C$2005,$A14,Transactions!$A$6:$A$2005,"&gt;="&amp;DATE(Settings!$C$4,9,1),Transactions!$A$6:$A$2005,"&lt;"&amp;DATE(Settings!$C$4,10,1)))</f>
        <v/>
      </c>
      <c r="U14" s="32">
        <f>IF($A14="",0,SUMIFS(Transactions!$D$6:$D$2005,Transactions!$C$6:$C$2005,$A14,Transactions!$A$6:$A$2005,"&gt;="&amp;DATE(Settings!$C$4,10,1),Transactions!$A$6:$A$2005,"&lt;"&amp;DATE(Settings!$C$4,11,1)))</f>
        <v/>
      </c>
      <c r="V14" s="32">
        <f>IF($A14="",0,SUMIFS(Transactions!$D$6:$D$2005,Transactions!$C$6:$C$2005,$A14,Transactions!$A$6:$A$2005,"&gt;="&amp;DATE(Settings!$C$4,11,1),Transactions!$A$6:$A$2005,"&lt;"&amp;DATE(Settings!$C$4,12,1)))</f>
        <v/>
      </c>
      <c r="W14" s="32">
        <f>IF($A14="",0,SUMIFS(Transactions!$D$6:$D$2005,Transactions!$C$6:$C$2005,$A14,Transactions!$A$6:$A$2005,"&gt;="&amp;DATE(Settings!$C$4,12,1),Transactions!$A$6:$A$2005,"&lt;"&amp;DATE(Settings!$C$4,13,1)))</f>
        <v/>
      </c>
      <c r="X14" s="40">
        <f>SUM(L14:W14)</f>
        <v/>
      </c>
      <c r="Y14" s="32">
        <f>IF($A14="",0,'Monthly Budget'!$P14)</f>
        <v/>
      </c>
      <c r="Z14" s="32">
        <f>X14-Y14</f>
        <v/>
      </c>
      <c r="AA14" s="46">
        <f>IF(AND(X14&gt;0,OR(B14="Fixed bills",B14="Variable expenses")),X14+ROW()/10000000,0)</f>
        <v/>
      </c>
    </row>
    <row r="15">
      <c r="A15" s="38">
        <f>IF(Categories!$A7="","",Categories!$A7)</f>
        <v/>
      </c>
      <c r="B15" s="29">
        <f>IF(A15="","",Categories!$B7&amp;"")</f>
        <v/>
      </c>
      <c r="C15" s="32">
        <f>IF($A15="",0,INDEX('Monthly Budget'!$D15:$O15,1,Settings!$C$12))</f>
        <v/>
      </c>
      <c r="D15" s="40">
        <f>INDEX($L15:$W15,1,Settings!$C$12)</f>
        <v/>
      </c>
      <c r="E15" s="32">
        <f>D15-C15</f>
        <v/>
      </c>
      <c r="F15" s="44">
        <f>IF(C15=0,"",D15/C15)</f>
        <v/>
      </c>
      <c r="H15" s="32">
        <f>IF($A15="",0,SUMIFS('Monthly Budget'!$D15:$O15,Lists!$I$2:$T$2,"&lt;="&amp;Settings!$C$12))</f>
        <v/>
      </c>
      <c r="I15" s="32">
        <f>SUMIFS($L15:$W15,Lists!$I$2:$T$2,"&lt;="&amp;Settings!$C$12)</f>
        <v/>
      </c>
      <c r="J15" s="32">
        <f>I15-H15</f>
        <v/>
      </c>
      <c r="L15" s="32">
        <f>IF($A15="",0,SUMIFS(Transactions!$D$6:$D$2005,Transactions!$C$6:$C$2005,$A15,Transactions!$A$6:$A$2005,"&gt;="&amp;DATE(Settings!$C$4,1,1),Transactions!$A$6:$A$2005,"&lt;"&amp;DATE(Settings!$C$4,2,1)))</f>
        <v/>
      </c>
      <c r="M15" s="32">
        <f>IF($A15="",0,SUMIFS(Transactions!$D$6:$D$2005,Transactions!$C$6:$C$2005,$A15,Transactions!$A$6:$A$2005,"&gt;="&amp;DATE(Settings!$C$4,2,1),Transactions!$A$6:$A$2005,"&lt;"&amp;DATE(Settings!$C$4,3,1)))</f>
        <v/>
      </c>
      <c r="N15" s="32">
        <f>IF($A15="",0,SUMIFS(Transactions!$D$6:$D$2005,Transactions!$C$6:$C$2005,$A15,Transactions!$A$6:$A$2005,"&gt;="&amp;DATE(Settings!$C$4,3,1),Transactions!$A$6:$A$2005,"&lt;"&amp;DATE(Settings!$C$4,4,1)))</f>
        <v/>
      </c>
      <c r="O15" s="32">
        <f>IF($A15="",0,SUMIFS(Transactions!$D$6:$D$2005,Transactions!$C$6:$C$2005,$A15,Transactions!$A$6:$A$2005,"&gt;="&amp;DATE(Settings!$C$4,4,1),Transactions!$A$6:$A$2005,"&lt;"&amp;DATE(Settings!$C$4,5,1)))</f>
        <v/>
      </c>
      <c r="P15" s="32">
        <f>IF($A15="",0,SUMIFS(Transactions!$D$6:$D$2005,Transactions!$C$6:$C$2005,$A15,Transactions!$A$6:$A$2005,"&gt;="&amp;DATE(Settings!$C$4,5,1),Transactions!$A$6:$A$2005,"&lt;"&amp;DATE(Settings!$C$4,6,1)))</f>
        <v/>
      </c>
      <c r="Q15" s="32">
        <f>IF($A15="",0,SUMIFS(Transactions!$D$6:$D$2005,Transactions!$C$6:$C$2005,$A15,Transactions!$A$6:$A$2005,"&gt;="&amp;DATE(Settings!$C$4,6,1),Transactions!$A$6:$A$2005,"&lt;"&amp;DATE(Settings!$C$4,7,1)))</f>
        <v/>
      </c>
      <c r="R15" s="32">
        <f>IF($A15="",0,SUMIFS(Transactions!$D$6:$D$2005,Transactions!$C$6:$C$2005,$A15,Transactions!$A$6:$A$2005,"&gt;="&amp;DATE(Settings!$C$4,7,1),Transactions!$A$6:$A$2005,"&lt;"&amp;DATE(Settings!$C$4,8,1)))</f>
        <v/>
      </c>
      <c r="S15" s="32">
        <f>IF($A15="",0,SUMIFS(Transactions!$D$6:$D$2005,Transactions!$C$6:$C$2005,$A15,Transactions!$A$6:$A$2005,"&gt;="&amp;DATE(Settings!$C$4,8,1),Transactions!$A$6:$A$2005,"&lt;"&amp;DATE(Settings!$C$4,9,1)))</f>
        <v/>
      </c>
      <c r="T15" s="32">
        <f>IF($A15="",0,SUMIFS(Transactions!$D$6:$D$2005,Transactions!$C$6:$C$2005,$A15,Transactions!$A$6:$A$2005,"&gt;="&amp;DATE(Settings!$C$4,9,1),Transactions!$A$6:$A$2005,"&lt;"&amp;DATE(Settings!$C$4,10,1)))</f>
        <v/>
      </c>
      <c r="U15" s="32">
        <f>IF($A15="",0,SUMIFS(Transactions!$D$6:$D$2005,Transactions!$C$6:$C$2005,$A15,Transactions!$A$6:$A$2005,"&gt;="&amp;DATE(Settings!$C$4,10,1),Transactions!$A$6:$A$2005,"&lt;"&amp;DATE(Settings!$C$4,11,1)))</f>
        <v/>
      </c>
      <c r="V15" s="32">
        <f>IF($A15="",0,SUMIFS(Transactions!$D$6:$D$2005,Transactions!$C$6:$C$2005,$A15,Transactions!$A$6:$A$2005,"&gt;="&amp;DATE(Settings!$C$4,11,1),Transactions!$A$6:$A$2005,"&lt;"&amp;DATE(Settings!$C$4,12,1)))</f>
        <v/>
      </c>
      <c r="W15" s="32">
        <f>IF($A15="",0,SUMIFS(Transactions!$D$6:$D$2005,Transactions!$C$6:$C$2005,$A15,Transactions!$A$6:$A$2005,"&gt;="&amp;DATE(Settings!$C$4,12,1),Transactions!$A$6:$A$2005,"&lt;"&amp;DATE(Settings!$C$4,13,1)))</f>
        <v/>
      </c>
      <c r="X15" s="40">
        <f>SUM(L15:W15)</f>
        <v/>
      </c>
      <c r="Y15" s="32">
        <f>IF($A15="",0,'Monthly Budget'!$P15)</f>
        <v/>
      </c>
      <c r="Z15" s="32">
        <f>X15-Y15</f>
        <v/>
      </c>
      <c r="AA15" s="46">
        <f>IF(AND(X15&gt;0,OR(B15="Fixed bills",B15="Variable expenses")),X15+ROW()/10000000,0)</f>
        <v/>
      </c>
    </row>
    <row r="16">
      <c r="A16" s="38">
        <f>IF(Categories!$A8="","",Categories!$A8)</f>
        <v/>
      </c>
      <c r="B16" s="29">
        <f>IF(A16="","",Categories!$B8&amp;"")</f>
        <v/>
      </c>
      <c r="C16" s="32">
        <f>IF($A16="",0,INDEX('Monthly Budget'!$D16:$O16,1,Settings!$C$12))</f>
        <v/>
      </c>
      <c r="D16" s="40">
        <f>INDEX($L16:$W16,1,Settings!$C$12)</f>
        <v/>
      </c>
      <c r="E16" s="32">
        <f>D16-C16</f>
        <v/>
      </c>
      <c r="F16" s="44">
        <f>IF(C16=0,"",D16/C16)</f>
        <v/>
      </c>
      <c r="H16" s="32">
        <f>IF($A16="",0,SUMIFS('Monthly Budget'!$D16:$O16,Lists!$I$2:$T$2,"&lt;="&amp;Settings!$C$12))</f>
        <v/>
      </c>
      <c r="I16" s="32">
        <f>SUMIFS($L16:$W16,Lists!$I$2:$T$2,"&lt;="&amp;Settings!$C$12)</f>
        <v/>
      </c>
      <c r="J16" s="32">
        <f>I16-H16</f>
        <v/>
      </c>
      <c r="L16" s="32">
        <f>IF($A16="",0,SUMIFS(Transactions!$D$6:$D$2005,Transactions!$C$6:$C$2005,$A16,Transactions!$A$6:$A$2005,"&gt;="&amp;DATE(Settings!$C$4,1,1),Transactions!$A$6:$A$2005,"&lt;"&amp;DATE(Settings!$C$4,2,1)))</f>
        <v/>
      </c>
      <c r="M16" s="32">
        <f>IF($A16="",0,SUMIFS(Transactions!$D$6:$D$2005,Transactions!$C$6:$C$2005,$A16,Transactions!$A$6:$A$2005,"&gt;="&amp;DATE(Settings!$C$4,2,1),Transactions!$A$6:$A$2005,"&lt;"&amp;DATE(Settings!$C$4,3,1)))</f>
        <v/>
      </c>
      <c r="N16" s="32">
        <f>IF($A16="",0,SUMIFS(Transactions!$D$6:$D$2005,Transactions!$C$6:$C$2005,$A16,Transactions!$A$6:$A$2005,"&gt;="&amp;DATE(Settings!$C$4,3,1),Transactions!$A$6:$A$2005,"&lt;"&amp;DATE(Settings!$C$4,4,1)))</f>
        <v/>
      </c>
      <c r="O16" s="32">
        <f>IF($A16="",0,SUMIFS(Transactions!$D$6:$D$2005,Transactions!$C$6:$C$2005,$A16,Transactions!$A$6:$A$2005,"&gt;="&amp;DATE(Settings!$C$4,4,1),Transactions!$A$6:$A$2005,"&lt;"&amp;DATE(Settings!$C$4,5,1)))</f>
        <v/>
      </c>
      <c r="P16" s="32">
        <f>IF($A16="",0,SUMIFS(Transactions!$D$6:$D$2005,Transactions!$C$6:$C$2005,$A16,Transactions!$A$6:$A$2005,"&gt;="&amp;DATE(Settings!$C$4,5,1),Transactions!$A$6:$A$2005,"&lt;"&amp;DATE(Settings!$C$4,6,1)))</f>
        <v/>
      </c>
      <c r="Q16" s="32">
        <f>IF($A16="",0,SUMIFS(Transactions!$D$6:$D$2005,Transactions!$C$6:$C$2005,$A16,Transactions!$A$6:$A$2005,"&gt;="&amp;DATE(Settings!$C$4,6,1),Transactions!$A$6:$A$2005,"&lt;"&amp;DATE(Settings!$C$4,7,1)))</f>
        <v/>
      </c>
      <c r="R16" s="32">
        <f>IF($A16="",0,SUMIFS(Transactions!$D$6:$D$2005,Transactions!$C$6:$C$2005,$A16,Transactions!$A$6:$A$2005,"&gt;="&amp;DATE(Settings!$C$4,7,1),Transactions!$A$6:$A$2005,"&lt;"&amp;DATE(Settings!$C$4,8,1)))</f>
        <v/>
      </c>
      <c r="S16" s="32">
        <f>IF($A16="",0,SUMIFS(Transactions!$D$6:$D$2005,Transactions!$C$6:$C$2005,$A16,Transactions!$A$6:$A$2005,"&gt;="&amp;DATE(Settings!$C$4,8,1),Transactions!$A$6:$A$2005,"&lt;"&amp;DATE(Settings!$C$4,9,1)))</f>
        <v/>
      </c>
      <c r="T16" s="32">
        <f>IF($A16="",0,SUMIFS(Transactions!$D$6:$D$2005,Transactions!$C$6:$C$2005,$A16,Transactions!$A$6:$A$2005,"&gt;="&amp;DATE(Settings!$C$4,9,1),Transactions!$A$6:$A$2005,"&lt;"&amp;DATE(Settings!$C$4,10,1)))</f>
        <v/>
      </c>
      <c r="U16" s="32">
        <f>IF($A16="",0,SUMIFS(Transactions!$D$6:$D$2005,Transactions!$C$6:$C$2005,$A16,Transactions!$A$6:$A$2005,"&gt;="&amp;DATE(Settings!$C$4,10,1),Transactions!$A$6:$A$2005,"&lt;"&amp;DATE(Settings!$C$4,11,1)))</f>
        <v/>
      </c>
      <c r="V16" s="32">
        <f>IF($A16="",0,SUMIFS(Transactions!$D$6:$D$2005,Transactions!$C$6:$C$2005,$A16,Transactions!$A$6:$A$2005,"&gt;="&amp;DATE(Settings!$C$4,11,1),Transactions!$A$6:$A$2005,"&lt;"&amp;DATE(Settings!$C$4,12,1)))</f>
        <v/>
      </c>
      <c r="W16" s="32">
        <f>IF($A16="",0,SUMIFS(Transactions!$D$6:$D$2005,Transactions!$C$6:$C$2005,$A16,Transactions!$A$6:$A$2005,"&gt;="&amp;DATE(Settings!$C$4,12,1),Transactions!$A$6:$A$2005,"&lt;"&amp;DATE(Settings!$C$4,13,1)))</f>
        <v/>
      </c>
      <c r="X16" s="40">
        <f>SUM(L16:W16)</f>
        <v/>
      </c>
      <c r="Y16" s="32">
        <f>IF($A16="",0,'Monthly Budget'!$P16)</f>
        <v/>
      </c>
      <c r="Z16" s="32">
        <f>X16-Y16</f>
        <v/>
      </c>
      <c r="AA16" s="46">
        <f>IF(AND(X16&gt;0,OR(B16="Fixed bills",B16="Variable expenses")),X16+ROW()/10000000,0)</f>
        <v/>
      </c>
    </row>
    <row r="17">
      <c r="A17" s="38">
        <f>IF(Categories!$A9="","",Categories!$A9)</f>
        <v/>
      </c>
      <c r="B17" s="29">
        <f>IF(A17="","",Categories!$B9&amp;"")</f>
        <v/>
      </c>
      <c r="C17" s="32">
        <f>IF($A17="",0,INDEX('Monthly Budget'!$D17:$O17,1,Settings!$C$12))</f>
        <v/>
      </c>
      <c r="D17" s="40">
        <f>INDEX($L17:$W17,1,Settings!$C$12)</f>
        <v/>
      </c>
      <c r="E17" s="32">
        <f>D17-C17</f>
        <v/>
      </c>
      <c r="F17" s="44">
        <f>IF(C17=0,"",D17/C17)</f>
        <v/>
      </c>
      <c r="H17" s="32">
        <f>IF($A17="",0,SUMIFS('Monthly Budget'!$D17:$O17,Lists!$I$2:$T$2,"&lt;="&amp;Settings!$C$12))</f>
        <v/>
      </c>
      <c r="I17" s="32">
        <f>SUMIFS($L17:$W17,Lists!$I$2:$T$2,"&lt;="&amp;Settings!$C$12)</f>
        <v/>
      </c>
      <c r="J17" s="32">
        <f>I17-H17</f>
        <v/>
      </c>
      <c r="L17" s="32">
        <f>IF($A17="",0,SUMIFS(Transactions!$D$6:$D$2005,Transactions!$C$6:$C$2005,$A17,Transactions!$A$6:$A$2005,"&gt;="&amp;DATE(Settings!$C$4,1,1),Transactions!$A$6:$A$2005,"&lt;"&amp;DATE(Settings!$C$4,2,1)))</f>
        <v/>
      </c>
      <c r="M17" s="32">
        <f>IF($A17="",0,SUMIFS(Transactions!$D$6:$D$2005,Transactions!$C$6:$C$2005,$A17,Transactions!$A$6:$A$2005,"&gt;="&amp;DATE(Settings!$C$4,2,1),Transactions!$A$6:$A$2005,"&lt;"&amp;DATE(Settings!$C$4,3,1)))</f>
        <v/>
      </c>
      <c r="N17" s="32">
        <f>IF($A17="",0,SUMIFS(Transactions!$D$6:$D$2005,Transactions!$C$6:$C$2005,$A17,Transactions!$A$6:$A$2005,"&gt;="&amp;DATE(Settings!$C$4,3,1),Transactions!$A$6:$A$2005,"&lt;"&amp;DATE(Settings!$C$4,4,1)))</f>
        <v/>
      </c>
      <c r="O17" s="32">
        <f>IF($A17="",0,SUMIFS(Transactions!$D$6:$D$2005,Transactions!$C$6:$C$2005,$A17,Transactions!$A$6:$A$2005,"&gt;="&amp;DATE(Settings!$C$4,4,1),Transactions!$A$6:$A$2005,"&lt;"&amp;DATE(Settings!$C$4,5,1)))</f>
        <v/>
      </c>
      <c r="P17" s="32">
        <f>IF($A17="",0,SUMIFS(Transactions!$D$6:$D$2005,Transactions!$C$6:$C$2005,$A17,Transactions!$A$6:$A$2005,"&gt;="&amp;DATE(Settings!$C$4,5,1),Transactions!$A$6:$A$2005,"&lt;"&amp;DATE(Settings!$C$4,6,1)))</f>
        <v/>
      </c>
      <c r="Q17" s="32">
        <f>IF($A17="",0,SUMIFS(Transactions!$D$6:$D$2005,Transactions!$C$6:$C$2005,$A17,Transactions!$A$6:$A$2005,"&gt;="&amp;DATE(Settings!$C$4,6,1),Transactions!$A$6:$A$2005,"&lt;"&amp;DATE(Settings!$C$4,7,1)))</f>
        <v/>
      </c>
      <c r="R17" s="32">
        <f>IF($A17="",0,SUMIFS(Transactions!$D$6:$D$2005,Transactions!$C$6:$C$2005,$A17,Transactions!$A$6:$A$2005,"&gt;="&amp;DATE(Settings!$C$4,7,1),Transactions!$A$6:$A$2005,"&lt;"&amp;DATE(Settings!$C$4,8,1)))</f>
        <v/>
      </c>
      <c r="S17" s="32">
        <f>IF($A17="",0,SUMIFS(Transactions!$D$6:$D$2005,Transactions!$C$6:$C$2005,$A17,Transactions!$A$6:$A$2005,"&gt;="&amp;DATE(Settings!$C$4,8,1),Transactions!$A$6:$A$2005,"&lt;"&amp;DATE(Settings!$C$4,9,1)))</f>
        <v/>
      </c>
      <c r="T17" s="32">
        <f>IF($A17="",0,SUMIFS(Transactions!$D$6:$D$2005,Transactions!$C$6:$C$2005,$A17,Transactions!$A$6:$A$2005,"&gt;="&amp;DATE(Settings!$C$4,9,1),Transactions!$A$6:$A$2005,"&lt;"&amp;DATE(Settings!$C$4,10,1)))</f>
        <v/>
      </c>
      <c r="U17" s="32">
        <f>IF($A17="",0,SUMIFS(Transactions!$D$6:$D$2005,Transactions!$C$6:$C$2005,$A17,Transactions!$A$6:$A$2005,"&gt;="&amp;DATE(Settings!$C$4,10,1),Transactions!$A$6:$A$2005,"&lt;"&amp;DATE(Settings!$C$4,11,1)))</f>
        <v/>
      </c>
      <c r="V17" s="32">
        <f>IF($A17="",0,SUMIFS(Transactions!$D$6:$D$2005,Transactions!$C$6:$C$2005,$A17,Transactions!$A$6:$A$2005,"&gt;="&amp;DATE(Settings!$C$4,11,1),Transactions!$A$6:$A$2005,"&lt;"&amp;DATE(Settings!$C$4,12,1)))</f>
        <v/>
      </c>
      <c r="W17" s="32">
        <f>IF($A17="",0,SUMIFS(Transactions!$D$6:$D$2005,Transactions!$C$6:$C$2005,$A17,Transactions!$A$6:$A$2005,"&gt;="&amp;DATE(Settings!$C$4,12,1),Transactions!$A$6:$A$2005,"&lt;"&amp;DATE(Settings!$C$4,13,1)))</f>
        <v/>
      </c>
      <c r="X17" s="40">
        <f>SUM(L17:W17)</f>
        <v/>
      </c>
      <c r="Y17" s="32">
        <f>IF($A17="",0,'Monthly Budget'!$P17)</f>
        <v/>
      </c>
      <c r="Z17" s="32">
        <f>X17-Y17</f>
        <v/>
      </c>
      <c r="AA17" s="46">
        <f>IF(AND(X17&gt;0,OR(B17="Fixed bills",B17="Variable expenses")),X17+ROW()/10000000,0)</f>
        <v/>
      </c>
    </row>
    <row r="18">
      <c r="A18" s="38">
        <f>IF(Categories!$A10="","",Categories!$A10)</f>
        <v/>
      </c>
      <c r="B18" s="29">
        <f>IF(A18="","",Categories!$B10&amp;"")</f>
        <v/>
      </c>
      <c r="C18" s="32">
        <f>IF($A18="",0,INDEX('Monthly Budget'!$D18:$O18,1,Settings!$C$12))</f>
        <v/>
      </c>
      <c r="D18" s="40">
        <f>INDEX($L18:$W18,1,Settings!$C$12)</f>
        <v/>
      </c>
      <c r="E18" s="32">
        <f>D18-C18</f>
        <v/>
      </c>
      <c r="F18" s="44">
        <f>IF(C18=0,"",D18/C18)</f>
        <v/>
      </c>
      <c r="H18" s="32">
        <f>IF($A18="",0,SUMIFS('Monthly Budget'!$D18:$O18,Lists!$I$2:$T$2,"&lt;="&amp;Settings!$C$12))</f>
        <v/>
      </c>
      <c r="I18" s="32">
        <f>SUMIFS($L18:$W18,Lists!$I$2:$T$2,"&lt;="&amp;Settings!$C$12)</f>
        <v/>
      </c>
      <c r="J18" s="32">
        <f>I18-H18</f>
        <v/>
      </c>
      <c r="L18" s="32">
        <f>IF($A18="",0,SUMIFS(Transactions!$D$6:$D$2005,Transactions!$C$6:$C$2005,$A18,Transactions!$A$6:$A$2005,"&gt;="&amp;DATE(Settings!$C$4,1,1),Transactions!$A$6:$A$2005,"&lt;"&amp;DATE(Settings!$C$4,2,1)))</f>
        <v/>
      </c>
      <c r="M18" s="32">
        <f>IF($A18="",0,SUMIFS(Transactions!$D$6:$D$2005,Transactions!$C$6:$C$2005,$A18,Transactions!$A$6:$A$2005,"&gt;="&amp;DATE(Settings!$C$4,2,1),Transactions!$A$6:$A$2005,"&lt;"&amp;DATE(Settings!$C$4,3,1)))</f>
        <v/>
      </c>
      <c r="N18" s="32">
        <f>IF($A18="",0,SUMIFS(Transactions!$D$6:$D$2005,Transactions!$C$6:$C$2005,$A18,Transactions!$A$6:$A$2005,"&gt;="&amp;DATE(Settings!$C$4,3,1),Transactions!$A$6:$A$2005,"&lt;"&amp;DATE(Settings!$C$4,4,1)))</f>
        <v/>
      </c>
      <c r="O18" s="32">
        <f>IF($A18="",0,SUMIFS(Transactions!$D$6:$D$2005,Transactions!$C$6:$C$2005,$A18,Transactions!$A$6:$A$2005,"&gt;="&amp;DATE(Settings!$C$4,4,1),Transactions!$A$6:$A$2005,"&lt;"&amp;DATE(Settings!$C$4,5,1)))</f>
        <v/>
      </c>
      <c r="P18" s="32">
        <f>IF($A18="",0,SUMIFS(Transactions!$D$6:$D$2005,Transactions!$C$6:$C$2005,$A18,Transactions!$A$6:$A$2005,"&gt;="&amp;DATE(Settings!$C$4,5,1),Transactions!$A$6:$A$2005,"&lt;"&amp;DATE(Settings!$C$4,6,1)))</f>
        <v/>
      </c>
      <c r="Q18" s="32">
        <f>IF($A18="",0,SUMIFS(Transactions!$D$6:$D$2005,Transactions!$C$6:$C$2005,$A18,Transactions!$A$6:$A$2005,"&gt;="&amp;DATE(Settings!$C$4,6,1),Transactions!$A$6:$A$2005,"&lt;"&amp;DATE(Settings!$C$4,7,1)))</f>
        <v/>
      </c>
      <c r="R18" s="32">
        <f>IF($A18="",0,SUMIFS(Transactions!$D$6:$D$2005,Transactions!$C$6:$C$2005,$A18,Transactions!$A$6:$A$2005,"&gt;="&amp;DATE(Settings!$C$4,7,1),Transactions!$A$6:$A$2005,"&lt;"&amp;DATE(Settings!$C$4,8,1)))</f>
        <v/>
      </c>
      <c r="S18" s="32">
        <f>IF($A18="",0,SUMIFS(Transactions!$D$6:$D$2005,Transactions!$C$6:$C$2005,$A18,Transactions!$A$6:$A$2005,"&gt;="&amp;DATE(Settings!$C$4,8,1),Transactions!$A$6:$A$2005,"&lt;"&amp;DATE(Settings!$C$4,9,1)))</f>
        <v/>
      </c>
      <c r="T18" s="32">
        <f>IF($A18="",0,SUMIFS(Transactions!$D$6:$D$2005,Transactions!$C$6:$C$2005,$A18,Transactions!$A$6:$A$2005,"&gt;="&amp;DATE(Settings!$C$4,9,1),Transactions!$A$6:$A$2005,"&lt;"&amp;DATE(Settings!$C$4,10,1)))</f>
        <v/>
      </c>
      <c r="U18" s="32">
        <f>IF($A18="",0,SUMIFS(Transactions!$D$6:$D$2005,Transactions!$C$6:$C$2005,$A18,Transactions!$A$6:$A$2005,"&gt;="&amp;DATE(Settings!$C$4,10,1),Transactions!$A$6:$A$2005,"&lt;"&amp;DATE(Settings!$C$4,11,1)))</f>
        <v/>
      </c>
      <c r="V18" s="32">
        <f>IF($A18="",0,SUMIFS(Transactions!$D$6:$D$2005,Transactions!$C$6:$C$2005,$A18,Transactions!$A$6:$A$2005,"&gt;="&amp;DATE(Settings!$C$4,11,1),Transactions!$A$6:$A$2005,"&lt;"&amp;DATE(Settings!$C$4,12,1)))</f>
        <v/>
      </c>
      <c r="W18" s="32">
        <f>IF($A18="",0,SUMIFS(Transactions!$D$6:$D$2005,Transactions!$C$6:$C$2005,$A18,Transactions!$A$6:$A$2005,"&gt;="&amp;DATE(Settings!$C$4,12,1),Transactions!$A$6:$A$2005,"&lt;"&amp;DATE(Settings!$C$4,13,1)))</f>
        <v/>
      </c>
      <c r="X18" s="40">
        <f>SUM(L18:W18)</f>
        <v/>
      </c>
      <c r="Y18" s="32">
        <f>IF($A18="",0,'Monthly Budget'!$P18)</f>
        <v/>
      </c>
      <c r="Z18" s="32">
        <f>X18-Y18</f>
        <v/>
      </c>
      <c r="AA18" s="46">
        <f>IF(AND(X18&gt;0,OR(B18="Fixed bills",B18="Variable expenses")),X18+ROW()/10000000,0)</f>
        <v/>
      </c>
    </row>
    <row r="19">
      <c r="A19" s="38">
        <f>IF(Categories!$A11="","",Categories!$A11)</f>
        <v/>
      </c>
      <c r="B19" s="29">
        <f>IF(A19="","",Categories!$B11&amp;"")</f>
        <v/>
      </c>
      <c r="C19" s="32">
        <f>IF($A19="",0,INDEX('Monthly Budget'!$D19:$O19,1,Settings!$C$12))</f>
        <v/>
      </c>
      <c r="D19" s="40">
        <f>INDEX($L19:$W19,1,Settings!$C$12)</f>
        <v/>
      </c>
      <c r="E19" s="32">
        <f>D19-C19</f>
        <v/>
      </c>
      <c r="F19" s="44">
        <f>IF(C19=0,"",D19/C19)</f>
        <v/>
      </c>
      <c r="H19" s="32">
        <f>IF($A19="",0,SUMIFS('Monthly Budget'!$D19:$O19,Lists!$I$2:$T$2,"&lt;="&amp;Settings!$C$12))</f>
        <v/>
      </c>
      <c r="I19" s="32">
        <f>SUMIFS($L19:$W19,Lists!$I$2:$T$2,"&lt;="&amp;Settings!$C$12)</f>
        <v/>
      </c>
      <c r="J19" s="32">
        <f>I19-H19</f>
        <v/>
      </c>
      <c r="L19" s="32">
        <f>IF($A19="",0,SUMIFS(Transactions!$D$6:$D$2005,Transactions!$C$6:$C$2005,$A19,Transactions!$A$6:$A$2005,"&gt;="&amp;DATE(Settings!$C$4,1,1),Transactions!$A$6:$A$2005,"&lt;"&amp;DATE(Settings!$C$4,2,1)))</f>
        <v/>
      </c>
      <c r="M19" s="32">
        <f>IF($A19="",0,SUMIFS(Transactions!$D$6:$D$2005,Transactions!$C$6:$C$2005,$A19,Transactions!$A$6:$A$2005,"&gt;="&amp;DATE(Settings!$C$4,2,1),Transactions!$A$6:$A$2005,"&lt;"&amp;DATE(Settings!$C$4,3,1)))</f>
        <v/>
      </c>
      <c r="N19" s="32">
        <f>IF($A19="",0,SUMIFS(Transactions!$D$6:$D$2005,Transactions!$C$6:$C$2005,$A19,Transactions!$A$6:$A$2005,"&gt;="&amp;DATE(Settings!$C$4,3,1),Transactions!$A$6:$A$2005,"&lt;"&amp;DATE(Settings!$C$4,4,1)))</f>
        <v/>
      </c>
      <c r="O19" s="32">
        <f>IF($A19="",0,SUMIFS(Transactions!$D$6:$D$2005,Transactions!$C$6:$C$2005,$A19,Transactions!$A$6:$A$2005,"&gt;="&amp;DATE(Settings!$C$4,4,1),Transactions!$A$6:$A$2005,"&lt;"&amp;DATE(Settings!$C$4,5,1)))</f>
        <v/>
      </c>
      <c r="P19" s="32">
        <f>IF($A19="",0,SUMIFS(Transactions!$D$6:$D$2005,Transactions!$C$6:$C$2005,$A19,Transactions!$A$6:$A$2005,"&gt;="&amp;DATE(Settings!$C$4,5,1),Transactions!$A$6:$A$2005,"&lt;"&amp;DATE(Settings!$C$4,6,1)))</f>
        <v/>
      </c>
      <c r="Q19" s="32">
        <f>IF($A19="",0,SUMIFS(Transactions!$D$6:$D$2005,Transactions!$C$6:$C$2005,$A19,Transactions!$A$6:$A$2005,"&gt;="&amp;DATE(Settings!$C$4,6,1),Transactions!$A$6:$A$2005,"&lt;"&amp;DATE(Settings!$C$4,7,1)))</f>
        <v/>
      </c>
      <c r="R19" s="32">
        <f>IF($A19="",0,SUMIFS(Transactions!$D$6:$D$2005,Transactions!$C$6:$C$2005,$A19,Transactions!$A$6:$A$2005,"&gt;="&amp;DATE(Settings!$C$4,7,1),Transactions!$A$6:$A$2005,"&lt;"&amp;DATE(Settings!$C$4,8,1)))</f>
        <v/>
      </c>
      <c r="S19" s="32">
        <f>IF($A19="",0,SUMIFS(Transactions!$D$6:$D$2005,Transactions!$C$6:$C$2005,$A19,Transactions!$A$6:$A$2005,"&gt;="&amp;DATE(Settings!$C$4,8,1),Transactions!$A$6:$A$2005,"&lt;"&amp;DATE(Settings!$C$4,9,1)))</f>
        <v/>
      </c>
      <c r="T19" s="32">
        <f>IF($A19="",0,SUMIFS(Transactions!$D$6:$D$2005,Transactions!$C$6:$C$2005,$A19,Transactions!$A$6:$A$2005,"&gt;="&amp;DATE(Settings!$C$4,9,1),Transactions!$A$6:$A$2005,"&lt;"&amp;DATE(Settings!$C$4,10,1)))</f>
        <v/>
      </c>
      <c r="U19" s="32">
        <f>IF($A19="",0,SUMIFS(Transactions!$D$6:$D$2005,Transactions!$C$6:$C$2005,$A19,Transactions!$A$6:$A$2005,"&gt;="&amp;DATE(Settings!$C$4,10,1),Transactions!$A$6:$A$2005,"&lt;"&amp;DATE(Settings!$C$4,11,1)))</f>
        <v/>
      </c>
      <c r="V19" s="32">
        <f>IF($A19="",0,SUMIFS(Transactions!$D$6:$D$2005,Transactions!$C$6:$C$2005,$A19,Transactions!$A$6:$A$2005,"&gt;="&amp;DATE(Settings!$C$4,11,1),Transactions!$A$6:$A$2005,"&lt;"&amp;DATE(Settings!$C$4,12,1)))</f>
        <v/>
      </c>
      <c r="W19" s="32">
        <f>IF($A19="",0,SUMIFS(Transactions!$D$6:$D$2005,Transactions!$C$6:$C$2005,$A19,Transactions!$A$6:$A$2005,"&gt;="&amp;DATE(Settings!$C$4,12,1),Transactions!$A$6:$A$2005,"&lt;"&amp;DATE(Settings!$C$4,13,1)))</f>
        <v/>
      </c>
      <c r="X19" s="40">
        <f>SUM(L19:W19)</f>
        <v/>
      </c>
      <c r="Y19" s="32">
        <f>IF($A19="",0,'Monthly Budget'!$P19)</f>
        <v/>
      </c>
      <c r="Z19" s="32">
        <f>X19-Y19</f>
        <v/>
      </c>
      <c r="AA19" s="46">
        <f>IF(AND(X19&gt;0,OR(B19="Fixed bills",B19="Variable expenses")),X19+ROW()/10000000,0)</f>
        <v/>
      </c>
    </row>
    <row r="20">
      <c r="A20" s="38">
        <f>IF(Categories!$A12="","",Categories!$A12)</f>
        <v/>
      </c>
      <c r="B20" s="29">
        <f>IF(A20="","",Categories!$B12&amp;"")</f>
        <v/>
      </c>
      <c r="C20" s="32">
        <f>IF($A20="",0,INDEX('Monthly Budget'!$D20:$O20,1,Settings!$C$12))</f>
        <v/>
      </c>
      <c r="D20" s="40">
        <f>INDEX($L20:$W20,1,Settings!$C$12)</f>
        <v/>
      </c>
      <c r="E20" s="32">
        <f>D20-C20</f>
        <v/>
      </c>
      <c r="F20" s="44">
        <f>IF(C20=0,"",D20/C20)</f>
        <v/>
      </c>
      <c r="H20" s="32">
        <f>IF($A20="",0,SUMIFS('Monthly Budget'!$D20:$O20,Lists!$I$2:$T$2,"&lt;="&amp;Settings!$C$12))</f>
        <v/>
      </c>
      <c r="I20" s="32">
        <f>SUMIFS($L20:$W20,Lists!$I$2:$T$2,"&lt;="&amp;Settings!$C$12)</f>
        <v/>
      </c>
      <c r="J20" s="32">
        <f>I20-H20</f>
        <v/>
      </c>
      <c r="L20" s="32">
        <f>IF($A20="",0,SUMIFS(Transactions!$D$6:$D$2005,Transactions!$C$6:$C$2005,$A20,Transactions!$A$6:$A$2005,"&gt;="&amp;DATE(Settings!$C$4,1,1),Transactions!$A$6:$A$2005,"&lt;"&amp;DATE(Settings!$C$4,2,1)))</f>
        <v/>
      </c>
      <c r="M20" s="32">
        <f>IF($A20="",0,SUMIFS(Transactions!$D$6:$D$2005,Transactions!$C$6:$C$2005,$A20,Transactions!$A$6:$A$2005,"&gt;="&amp;DATE(Settings!$C$4,2,1),Transactions!$A$6:$A$2005,"&lt;"&amp;DATE(Settings!$C$4,3,1)))</f>
        <v/>
      </c>
      <c r="N20" s="32">
        <f>IF($A20="",0,SUMIFS(Transactions!$D$6:$D$2005,Transactions!$C$6:$C$2005,$A20,Transactions!$A$6:$A$2005,"&gt;="&amp;DATE(Settings!$C$4,3,1),Transactions!$A$6:$A$2005,"&lt;"&amp;DATE(Settings!$C$4,4,1)))</f>
        <v/>
      </c>
      <c r="O20" s="32">
        <f>IF($A20="",0,SUMIFS(Transactions!$D$6:$D$2005,Transactions!$C$6:$C$2005,$A20,Transactions!$A$6:$A$2005,"&gt;="&amp;DATE(Settings!$C$4,4,1),Transactions!$A$6:$A$2005,"&lt;"&amp;DATE(Settings!$C$4,5,1)))</f>
        <v/>
      </c>
      <c r="P20" s="32">
        <f>IF($A20="",0,SUMIFS(Transactions!$D$6:$D$2005,Transactions!$C$6:$C$2005,$A20,Transactions!$A$6:$A$2005,"&gt;="&amp;DATE(Settings!$C$4,5,1),Transactions!$A$6:$A$2005,"&lt;"&amp;DATE(Settings!$C$4,6,1)))</f>
        <v/>
      </c>
      <c r="Q20" s="32">
        <f>IF($A20="",0,SUMIFS(Transactions!$D$6:$D$2005,Transactions!$C$6:$C$2005,$A20,Transactions!$A$6:$A$2005,"&gt;="&amp;DATE(Settings!$C$4,6,1),Transactions!$A$6:$A$2005,"&lt;"&amp;DATE(Settings!$C$4,7,1)))</f>
        <v/>
      </c>
      <c r="R20" s="32">
        <f>IF($A20="",0,SUMIFS(Transactions!$D$6:$D$2005,Transactions!$C$6:$C$2005,$A20,Transactions!$A$6:$A$2005,"&gt;="&amp;DATE(Settings!$C$4,7,1),Transactions!$A$6:$A$2005,"&lt;"&amp;DATE(Settings!$C$4,8,1)))</f>
        <v/>
      </c>
      <c r="S20" s="32">
        <f>IF($A20="",0,SUMIFS(Transactions!$D$6:$D$2005,Transactions!$C$6:$C$2005,$A20,Transactions!$A$6:$A$2005,"&gt;="&amp;DATE(Settings!$C$4,8,1),Transactions!$A$6:$A$2005,"&lt;"&amp;DATE(Settings!$C$4,9,1)))</f>
        <v/>
      </c>
      <c r="T20" s="32">
        <f>IF($A20="",0,SUMIFS(Transactions!$D$6:$D$2005,Transactions!$C$6:$C$2005,$A20,Transactions!$A$6:$A$2005,"&gt;="&amp;DATE(Settings!$C$4,9,1),Transactions!$A$6:$A$2005,"&lt;"&amp;DATE(Settings!$C$4,10,1)))</f>
        <v/>
      </c>
      <c r="U20" s="32">
        <f>IF($A20="",0,SUMIFS(Transactions!$D$6:$D$2005,Transactions!$C$6:$C$2005,$A20,Transactions!$A$6:$A$2005,"&gt;="&amp;DATE(Settings!$C$4,10,1),Transactions!$A$6:$A$2005,"&lt;"&amp;DATE(Settings!$C$4,11,1)))</f>
        <v/>
      </c>
      <c r="V20" s="32">
        <f>IF($A20="",0,SUMIFS(Transactions!$D$6:$D$2005,Transactions!$C$6:$C$2005,$A20,Transactions!$A$6:$A$2005,"&gt;="&amp;DATE(Settings!$C$4,11,1),Transactions!$A$6:$A$2005,"&lt;"&amp;DATE(Settings!$C$4,12,1)))</f>
        <v/>
      </c>
      <c r="W20" s="32">
        <f>IF($A20="",0,SUMIFS(Transactions!$D$6:$D$2005,Transactions!$C$6:$C$2005,$A20,Transactions!$A$6:$A$2005,"&gt;="&amp;DATE(Settings!$C$4,12,1),Transactions!$A$6:$A$2005,"&lt;"&amp;DATE(Settings!$C$4,13,1)))</f>
        <v/>
      </c>
      <c r="X20" s="40">
        <f>SUM(L20:W20)</f>
        <v/>
      </c>
      <c r="Y20" s="32">
        <f>IF($A20="",0,'Monthly Budget'!$P20)</f>
        <v/>
      </c>
      <c r="Z20" s="32">
        <f>X20-Y20</f>
        <v/>
      </c>
      <c r="AA20" s="46">
        <f>IF(AND(X20&gt;0,OR(B20="Fixed bills",B20="Variable expenses")),X20+ROW()/10000000,0)</f>
        <v/>
      </c>
    </row>
    <row r="21">
      <c r="A21" s="38">
        <f>IF(Categories!$A13="","",Categories!$A13)</f>
        <v/>
      </c>
      <c r="B21" s="29">
        <f>IF(A21="","",Categories!$B13&amp;"")</f>
        <v/>
      </c>
      <c r="C21" s="32">
        <f>IF($A21="",0,INDEX('Monthly Budget'!$D21:$O21,1,Settings!$C$12))</f>
        <v/>
      </c>
      <c r="D21" s="40">
        <f>INDEX($L21:$W21,1,Settings!$C$12)</f>
        <v/>
      </c>
      <c r="E21" s="32">
        <f>D21-C21</f>
        <v/>
      </c>
      <c r="F21" s="44">
        <f>IF(C21=0,"",D21/C21)</f>
        <v/>
      </c>
      <c r="H21" s="32">
        <f>IF($A21="",0,SUMIFS('Monthly Budget'!$D21:$O21,Lists!$I$2:$T$2,"&lt;="&amp;Settings!$C$12))</f>
        <v/>
      </c>
      <c r="I21" s="32">
        <f>SUMIFS($L21:$W21,Lists!$I$2:$T$2,"&lt;="&amp;Settings!$C$12)</f>
        <v/>
      </c>
      <c r="J21" s="32">
        <f>I21-H21</f>
        <v/>
      </c>
      <c r="L21" s="32">
        <f>IF($A21="",0,SUMIFS(Transactions!$D$6:$D$2005,Transactions!$C$6:$C$2005,$A21,Transactions!$A$6:$A$2005,"&gt;="&amp;DATE(Settings!$C$4,1,1),Transactions!$A$6:$A$2005,"&lt;"&amp;DATE(Settings!$C$4,2,1)))</f>
        <v/>
      </c>
      <c r="M21" s="32">
        <f>IF($A21="",0,SUMIFS(Transactions!$D$6:$D$2005,Transactions!$C$6:$C$2005,$A21,Transactions!$A$6:$A$2005,"&gt;="&amp;DATE(Settings!$C$4,2,1),Transactions!$A$6:$A$2005,"&lt;"&amp;DATE(Settings!$C$4,3,1)))</f>
        <v/>
      </c>
      <c r="N21" s="32">
        <f>IF($A21="",0,SUMIFS(Transactions!$D$6:$D$2005,Transactions!$C$6:$C$2005,$A21,Transactions!$A$6:$A$2005,"&gt;="&amp;DATE(Settings!$C$4,3,1),Transactions!$A$6:$A$2005,"&lt;"&amp;DATE(Settings!$C$4,4,1)))</f>
        <v/>
      </c>
      <c r="O21" s="32">
        <f>IF($A21="",0,SUMIFS(Transactions!$D$6:$D$2005,Transactions!$C$6:$C$2005,$A21,Transactions!$A$6:$A$2005,"&gt;="&amp;DATE(Settings!$C$4,4,1),Transactions!$A$6:$A$2005,"&lt;"&amp;DATE(Settings!$C$4,5,1)))</f>
        <v/>
      </c>
      <c r="P21" s="32">
        <f>IF($A21="",0,SUMIFS(Transactions!$D$6:$D$2005,Transactions!$C$6:$C$2005,$A21,Transactions!$A$6:$A$2005,"&gt;="&amp;DATE(Settings!$C$4,5,1),Transactions!$A$6:$A$2005,"&lt;"&amp;DATE(Settings!$C$4,6,1)))</f>
        <v/>
      </c>
      <c r="Q21" s="32">
        <f>IF($A21="",0,SUMIFS(Transactions!$D$6:$D$2005,Transactions!$C$6:$C$2005,$A21,Transactions!$A$6:$A$2005,"&gt;="&amp;DATE(Settings!$C$4,6,1),Transactions!$A$6:$A$2005,"&lt;"&amp;DATE(Settings!$C$4,7,1)))</f>
        <v/>
      </c>
      <c r="R21" s="32">
        <f>IF($A21="",0,SUMIFS(Transactions!$D$6:$D$2005,Transactions!$C$6:$C$2005,$A21,Transactions!$A$6:$A$2005,"&gt;="&amp;DATE(Settings!$C$4,7,1),Transactions!$A$6:$A$2005,"&lt;"&amp;DATE(Settings!$C$4,8,1)))</f>
        <v/>
      </c>
      <c r="S21" s="32">
        <f>IF($A21="",0,SUMIFS(Transactions!$D$6:$D$2005,Transactions!$C$6:$C$2005,$A21,Transactions!$A$6:$A$2005,"&gt;="&amp;DATE(Settings!$C$4,8,1),Transactions!$A$6:$A$2005,"&lt;"&amp;DATE(Settings!$C$4,9,1)))</f>
        <v/>
      </c>
      <c r="T21" s="32">
        <f>IF($A21="",0,SUMIFS(Transactions!$D$6:$D$2005,Transactions!$C$6:$C$2005,$A21,Transactions!$A$6:$A$2005,"&gt;="&amp;DATE(Settings!$C$4,9,1),Transactions!$A$6:$A$2005,"&lt;"&amp;DATE(Settings!$C$4,10,1)))</f>
        <v/>
      </c>
      <c r="U21" s="32">
        <f>IF($A21="",0,SUMIFS(Transactions!$D$6:$D$2005,Transactions!$C$6:$C$2005,$A21,Transactions!$A$6:$A$2005,"&gt;="&amp;DATE(Settings!$C$4,10,1),Transactions!$A$6:$A$2005,"&lt;"&amp;DATE(Settings!$C$4,11,1)))</f>
        <v/>
      </c>
      <c r="V21" s="32">
        <f>IF($A21="",0,SUMIFS(Transactions!$D$6:$D$2005,Transactions!$C$6:$C$2005,$A21,Transactions!$A$6:$A$2005,"&gt;="&amp;DATE(Settings!$C$4,11,1),Transactions!$A$6:$A$2005,"&lt;"&amp;DATE(Settings!$C$4,12,1)))</f>
        <v/>
      </c>
      <c r="W21" s="32">
        <f>IF($A21="",0,SUMIFS(Transactions!$D$6:$D$2005,Transactions!$C$6:$C$2005,$A21,Transactions!$A$6:$A$2005,"&gt;="&amp;DATE(Settings!$C$4,12,1),Transactions!$A$6:$A$2005,"&lt;"&amp;DATE(Settings!$C$4,13,1)))</f>
        <v/>
      </c>
      <c r="X21" s="40">
        <f>SUM(L21:W21)</f>
        <v/>
      </c>
      <c r="Y21" s="32">
        <f>IF($A21="",0,'Monthly Budget'!$P21)</f>
        <v/>
      </c>
      <c r="Z21" s="32">
        <f>X21-Y21</f>
        <v/>
      </c>
      <c r="AA21" s="46">
        <f>IF(AND(X21&gt;0,OR(B21="Fixed bills",B21="Variable expenses")),X21+ROW()/10000000,0)</f>
        <v/>
      </c>
    </row>
    <row r="22">
      <c r="A22" s="38">
        <f>IF(Categories!$A14="","",Categories!$A14)</f>
        <v/>
      </c>
      <c r="B22" s="29">
        <f>IF(A22="","",Categories!$B14&amp;"")</f>
        <v/>
      </c>
      <c r="C22" s="32">
        <f>IF($A22="",0,INDEX('Monthly Budget'!$D22:$O22,1,Settings!$C$12))</f>
        <v/>
      </c>
      <c r="D22" s="40">
        <f>INDEX($L22:$W22,1,Settings!$C$12)</f>
        <v/>
      </c>
      <c r="E22" s="32">
        <f>D22-C22</f>
        <v/>
      </c>
      <c r="F22" s="44">
        <f>IF(C22=0,"",D22/C22)</f>
        <v/>
      </c>
      <c r="H22" s="32">
        <f>IF($A22="",0,SUMIFS('Monthly Budget'!$D22:$O22,Lists!$I$2:$T$2,"&lt;="&amp;Settings!$C$12))</f>
        <v/>
      </c>
      <c r="I22" s="32">
        <f>SUMIFS($L22:$W22,Lists!$I$2:$T$2,"&lt;="&amp;Settings!$C$12)</f>
        <v/>
      </c>
      <c r="J22" s="32">
        <f>I22-H22</f>
        <v/>
      </c>
      <c r="L22" s="32">
        <f>IF($A22="",0,SUMIFS(Transactions!$D$6:$D$2005,Transactions!$C$6:$C$2005,$A22,Transactions!$A$6:$A$2005,"&gt;="&amp;DATE(Settings!$C$4,1,1),Transactions!$A$6:$A$2005,"&lt;"&amp;DATE(Settings!$C$4,2,1)))</f>
        <v/>
      </c>
      <c r="M22" s="32">
        <f>IF($A22="",0,SUMIFS(Transactions!$D$6:$D$2005,Transactions!$C$6:$C$2005,$A22,Transactions!$A$6:$A$2005,"&gt;="&amp;DATE(Settings!$C$4,2,1),Transactions!$A$6:$A$2005,"&lt;"&amp;DATE(Settings!$C$4,3,1)))</f>
        <v/>
      </c>
      <c r="N22" s="32">
        <f>IF($A22="",0,SUMIFS(Transactions!$D$6:$D$2005,Transactions!$C$6:$C$2005,$A22,Transactions!$A$6:$A$2005,"&gt;="&amp;DATE(Settings!$C$4,3,1),Transactions!$A$6:$A$2005,"&lt;"&amp;DATE(Settings!$C$4,4,1)))</f>
        <v/>
      </c>
      <c r="O22" s="32">
        <f>IF($A22="",0,SUMIFS(Transactions!$D$6:$D$2005,Transactions!$C$6:$C$2005,$A22,Transactions!$A$6:$A$2005,"&gt;="&amp;DATE(Settings!$C$4,4,1),Transactions!$A$6:$A$2005,"&lt;"&amp;DATE(Settings!$C$4,5,1)))</f>
        <v/>
      </c>
      <c r="P22" s="32">
        <f>IF($A22="",0,SUMIFS(Transactions!$D$6:$D$2005,Transactions!$C$6:$C$2005,$A22,Transactions!$A$6:$A$2005,"&gt;="&amp;DATE(Settings!$C$4,5,1),Transactions!$A$6:$A$2005,"&lt;"&amp;DATE(Settings!$C$4,6,1)))</f>
        <v/>
      </c>
      <c r="Q22" s="32">
        <f>IF($A22="",0,SUMIFS(Transactions!$D$6:$D$2005,Transactions!$C$6:$C$2005,$A22,Transactions!$A$6:$A$2005,"&gt;="&amp;DATE(Settings!$C$4,6,1),Transactions!$A$6:$A$2005,"&lt;"&amp;DATE(Settings!$C$4,7,1)))</f>
        <v/>
      </c>
      <c r="R22" s="32">
        <f>IF($A22="",0,SUMIFS(Transactions!$D$6:$D$2005,Transactions!$C$6:$C$2005,$A22,Transactions!$A$6:$A$2005,"&gt;="&amp;DATE(Settings!$C$4,7,1),Transactions!$A$6:$A$2005,"&lt;"&amp;DATE(Settings!$C$4,8,1)))</f>
        <v/>
      </c>
      <c r="S22" s="32">
        <f>IF($A22="",0,SUMIFS(Transactions!$D$6:$D$2005,Transactions!$C$6:$C$2005,$A22,Transactions!$A$6:$A$2005,"&gt;="&amp;DATE(Settings!$C$4,8,1),Transactions!$A$6:$A$2005,"&lt;"&amp;DATE(Settings!$C$4,9,1)))</f>
        <v/>
      </c>
      <c r="T22" s="32">
        <f>IF($A22="",0,SUMIFS(Transactions!$D$6:$D$2005,Transactions!$C$6:$C$2005,$A22,Transactions!$A$6:$A$2005,"&gt;="&amp;DATE(Settings!$C$4,9,1),Transactions!$A$6:$A$2005,"&lt;"&amp;DATE(Settings!$C$4,10,1)))</f>
        <v/>
      </c>
      <c r="U22" s="32">
        <f>IF($A22="",0,SUMIFS(Transactions!$D$6:$D$2005,Transactions!$C$6:$C$2005,$A22,Transactions!$A$6:$A$2005,"&gt;="&amp;DATE(Settings!$C$4,10,1),Transactions!$A$6:$A$2005,"&lt;"&amp;DATE(Settings!$C$4,11,1)))</f>
        <v/>
      </c>
      <c r="V22" s="32">
        <f>IF($A22="",0,SUMIFS(Transactions!$D$6:$D$2005,Transactions!$C$6:$C$2005,$A22,Transactions!$A$6:$A$2005,"&gt;="&amp;DATE(Settings!$C$4,11,1),Transactions!$A$6:$A$2005,"&lt;"&amp;DATE(Settings!$C$4,12,1)))</f>
        <v/>
      </c>
      <c r="W22" s="32">
        <f>IF($A22="",0,SUMIFS(Transactions!$D$6:$D$2005,Transactions!$C$6:$C$2005,$A22,Transactions!$A$6:$A$2005,"&gt;="&amp;DATE(Settings!$C$4,12,1),Transactions!$A$6:$A$2005,"&lt;"&amp;DATE(Settings!$C$4,13,1)))</f>
        <v/>
      </c>
      <c r="X22" s="40">
        <f>SUM(L22:W22)</f>
        <v/>
      </c>
      <c r="Y22" s="32">
        <f>IF($A22="",0,'Monthly Budget'!$P22)</f>
        <v/>
      </c>
      <c r="Z22" s="32">
        <f>X22-Y22</f>
        <v/>
      </c>
      <c r="AA22" s="46">
        <f>IF(AND(X22&gt;0,OR(B22="Fixed bills",B22="Variable expenses")),X22+ROW()/10000000,0)</f>
        <v/>
      </c>
    </row>
    <row r="23">
      <c r="A23" s="38">
        <f>IF(Categories!$A15="","",Categories!$A15)</f>
        <v/>
      </c>
      <c r="B23" s="29">
        <f>IF(A23="","",Categories!$B15&amp;"")</f>
        <v/>
      </c>
      <c r="C23" s="32">
        <f>IF($A23="",0,INDEX('Monthly Budget'!$D23:$O23,1,Settings!$C$12))</f>
        <v/>
      </c>
      <c r="D23" s="40">
        <f>INDEX($L23:$W23,1,Settings!$C$12)</f>
        <v/>
      </c>
      <c r="E23" s="32">
        <f>D23-C23</f>
        <v/>
      </c>
      <c r="F23" s="44">
        <f>IF(C23=0,"",D23/C23)</f>
        <v/>
      </c>
      <c r="H23" s="32">
        <f>IF($A23="",0,SUMIFS('Monthly Budget'!$D23:$O23,Lists!$I$2:$T$2,"&lt;="&amp;Settings!$C$12))</f>
        <v/>
      </c>
      <c r="I23" s="32">
        <f>SUMIFS($L23:$W23,Lists!$I$2:$T$2,"&lt;="&amp;Settings!$C$12)</f>
        <v/>
      </c>
      <c r="J23" s="32">
        <f>I23-H23</f>
        <v/>
      </c>
      <c r="L23" s="32">
        <f>IF($A23="",0,SUMIFS(Transactions!$D$6:$D$2005,Transactions!$C$6:$C$2005,$A23,Transactions!$A$6:$A$2005,"&gt;="&amp;DATE(Settings!$C$4,1,1),Transactions!$A$6:$A$2005,"&lt;"&amp;DATE(Settings!$C$4,2,1)))</f>
        <v/>
      </c>
      <c r="M23" s="32">
        <f>IF($A23="",0,SUMIFS(Transactions!$D$6:$D$2005,Transactions!$C$6:$C$2005,$A23,Transactions!$A$6:$A$2005,"&gt;="&amp;DATE(Settings!$C$4,2,1),Transactions!$A$6:$A$2005,"&lt;"&amp;DATE(Settings!$C$4,3,1)))</f>
        <v/>
      </c>
      <c r="N23" s="32">
        <f>IF($A23="",0,SUMIFS(Transactions!$D$6:$D$2005,Transactions!$C$6:$C$2005,$A23,Transactions!$A$6:$A$2005,"&gt;="&amp;DATE(Settings!$C$4,3,1),Transactions!$A$6:$A$2005,"&lt;"&amp;DATE(Settings!$C$4,4,1)))</f>
        <v/>
      </c>
      <c r="O23" s="32">
        <f>IF($A23="",0,SUMIFS(Transactions!$D$6:$D$2005,Transactions!$C$6:$C$2005,$A23,Transactions!$A$6:$A$2005,"&gt;="&amp;DATE(Settings!$C$4,4,1),Transactions!$A$6:$A$2005,"&lt;"&amp;DATE(Settings!$C$4,5,1)))</f>
        <v/>
      </c>
      <c r="P23" s="32">
        <f>IF($A23="",0,SUMIFS(Transactions!$D$6:$D$2005,Transactions!$C$6:$C$2005,$A23,Transactions!$A$6:$A$2005,"&gt;="&amp;DATE(Settings!$C$4,5,1),Transactions!$A$6:$A$2005,"&lt;"&amp;DATE(Settings!$C$4,6,1)))</f>
        <v/>
      </c>
      <c r="Q23" s="32">
        <f>IF($A23="",0,SUMIFS(Transactions!$D$6:$D$2005,Transactions!$C$6:$C$2005,$A23,Transactions!$A$6:$A$2005,"&gt;="&amp;DATE(Settings!$C$4,6,1),Transactions!$A$6:$A$2005,"&lt;"&amp;DATE(Settings!$C$4,7,1)))</f>
        <v/>
      </c>
      <c r="R23" s="32">
        <f>IF($A23="",0,SUMIFS(Transactions!$D$6:$D$2005,Transactions!$C$6:$C$2005,$A23,Transactions!$A$6:$A$2005,"&gt;="&amp;DATE(Settings!$C$4,7,1),Transactions!$A$6:$A$2005,"&lt;"&amp;DATE(Settings!$C$4,8,1)))</f>
        <v/>
      </c>
      <c r="S23" s="32">
        <f>IF($A23="",0,SUMIFS(Transactions!$D$6:$D$2005,Transactions!$C$6:$C$2005,$A23,Transactions!$A$6:$A$2005,"&gt;="&amp;DATE(Settings!$C$4,8,1),Transactions!$A$6:$A$2005,"&lt;"&amp;DATE(Settings!$C$4,9,1)))</f>
        <v/>
      </c>
      <c r="T23" s="32">
        <f>IF($A23="",0,SUMIFS(Transactions!$D$6:$D$2005,Transactions!$C$6:$C$2005,$A23,Transactions!$A$6:$A$2005,"&gt;="&amp;DATE(Settings!$C$4,9,1),Transactions!$A$6:$A$2005,"&lt;"&amp;DATE(Settings!$C$4,10,1)))</f>
        <v/>
      </c>
      <c r="U23" s="32">
        <f>IF($A23="",0,SUMIFS(Transactions!$D$6:$D$2005,Transactions!$C$6:$C$2005,$A23,Transactions!$A$6:$A$2005,"&gt;="&amp;DATE(Settings!$C$4,10,1),Transactions!$A$6:$A$2005,"&lt;"&amp;DATE(Settings!$C$4,11,1)))</f>
        <v/>
      </c>
      <c r="V23" s="32">
        <f>IF($A23="",0,SUMIFS(Transactions!$D$6:$D$2005,Transactions!$C$6:$C$2005,$A23,Transactions!$A$6:$A$2005,"&gt;="&amp;DATE(Settings!$C$4,11,1),Transactions!$A$6:$A$2005,"&lt;"&amp;DATE(Settings!$C$4,12,1)))</f>
        <v/>
      </c>
      <c r="W23" s="32">
        <f>IF($A23="",0,SUMIFS(Transactions!$D$6:$D$2005,Transactions!$C$6:$C$2005,$A23,Transactions!$A$6:$A$2005,"&gt;="&amp;DATE(Settings!$C$4,12,1),Transactions!$A$6:$A$2005,"&lt;"&amp;DATE(Settings!$C$4,13,1)))</f>
        <v/>
      </c>
      <c r="X23" s="40">
        <f>SUM(L23:W23)</f>
        <v/>
      </c>
      <c r="Y23" s="32">
        <f>IF($A23="",0,'Monthly Budget'!$P23)</f>
        <v/>
      </c>
      <c r="Z23" s="32">
        <f>X23-Y23</f>
        <v/>
      </c>
      <c r="AA23" s="46">
        <f>IF(AND(X23&gt;0,OR(B23="Fixed bills",B23="Variable expenses")),X23+ROW()/10000000,0)</f>
        <v/>
      </c>
    </row>
    <row r="24">
      <c r="A24" s="38">
        <f>IF(Categories!$A16="","",Categories!$A16)</f>
        <v/>
      </c>
      <c r="B24" s="29">
        <f>IF(A24="","",Categories!$B16&amp;"")</f>
        <v/>
      </c>
      <c r="C24" s="32">
        <f>IF($A24="",0,INDEX('Monthly Budget'!$D24:$O24,1,Settings!$C$12))</f>
        <v/>
      </c>
      <c r="D24" s="40">
        <f>INDEX($L24:$W24,1,Settings!$C$12)</f>
        <v/>
      </c>
      <c r="E24" s="32">
        <f>D24-C24</f>
        <v/>
      </c>
      <c r="F24" s="44">
        <f>IF(C24=0,"",D24/C24)</f>
        <v/>
      </c>
      <c r="H24" s="32">
        <f>IF($A24="",0,SUMIFS('Monthly Budget'!$D24:$O24,Lists!$I$2:$T$2,"&lt;="&amp;Settings!$C$12))</f>
        <v/>
      </c>
      <c r="I24" s="32">
        <f>SUMIFS($L24:$W24,Lists!$I$2:$T$2,"&lt;="&amp;Settings!$C$12)</f>
        <v/>
      </c>
      <c r="J24" s="32">
        <f>I24-H24</f>
        <v/>
      </c>
      <c r="L24" s="32">
        <f>IF($A24="",0,SUMIFS(Transactions!$D$6:$D$2005,Transactions!$C$6:$C$2005,$A24,Transactions!$A$6:$A$2005,"&gt;="&amp;DATE(Settings!$C$4,1,1),Transactions!$A$6:$A$2005,"&lt;"&amp;DATE(Settings!$C$4,2,1)))</f>
        <v/>
      </c>
      <c r="M24" s="32">
        <f>IF($A24="",0,SUMIFS(Transactions!$D$6:$D$2005,Transactions!$C$6:$C$2005,$A24,Transactions!$A$6:$A$2005,"&gt;="&amp;DATE(Settings!$C$4,2,1),Transactions!$A$6:$A$2005,"&lt;"&amp;DATE(Settings!$C$4,3,1)))</f>
        <v/>
      </c>
      <c r="N24" s="32">
        <f>IF($A24="",0,SUMIFS(Transactions!$D$6:$D$2005,Transactions!$C$6:$C$2005,$A24,Transactions!$A$6:$A$2005,"&gt;="&amp;DATE(Settings!$C$4,3,1),Transactions!$A$6:$A$2005,"&lt;"&amp;DATE(Settings!$C$4,4,1)))</f>
        <v/>
      </c>
      <c r="O24" s="32">
        <f>IF($A24="",0,SUMIFS(Transactions!$D$6:$D$2005,Transactions!$C$6:$C$2005,$A24,Transactions!$A$6:$A$2005,"&gt;="&amp;DATE(Settings!$C$4,4,1),Transactions!$A$6:$A$2005,"&lt;"&amp;DATE(Settings!$C$4,5,1)))</f>
        <v/>
      </c>
      <c r="P24" s="32">
        <f>IF($A24="",0,SUMIFS(Transactions!$D$6:$D$2005,Transactions!$C$6:$C$2005,$A24,Transactions!$A$6:$A$2005,"&gt;="&amp;DATE(Settings!$C$4,5,1),Transactions!$A$6:$A$2005,"&lt;"&amp;DATE(Settings!$C$4,6,1)))</f>
        <v/>
      </c>
      <c r="Q24" s="32">
        <f>IF($A24="",0,SUMIFS(Transactions!$D$6:$D$2005,Transactions!$C$6:$C$2005,$A24,Transactions!$A$6:$A$2005,"&gt;="&amp;DATE(Settings!$C$4,6,1),Transactions!$A$6:$A$2005,"&lt;"&amp;DATE(Settings!$C$4,7,1)))</f>
        <v/>
      </c>
      <c r="R24" s="32">
        <f>IF($A24="",0,SUMIFS(Transactions!$D$6:$D$2005,Transactions!$C$6:$C$2005,$A24,Transactions!$A$6:$A$2005,"&gt;="&amp;DATE(Settings!$C$4,7,1),Transactions!$A$6:$A$2005,"&lt;"&amp;DATE(Settings!$C$4,8,1)))</f>
        <v/>
      </c>
      <c r="S24" s="32">
        <f>IF($A24="",0,SUMIFS(Transactions!$D$6:$D$2005,Transactions!$C$6:$C$2005,$A24,Transactions!$A$6:$A$2005,"&gt;="&amp;DATE(Settings!$C$4,8,1),Transactions!$A$6:$A$2005,"&lt;"&amp;DATE(Settings!$C$4,9,1)))</f>
        <v/>
      </c>
      <c r="T24" s="32">
        <f>IF($A24="",0,SUMIFS(Transactions!$D$6:$D$2005,Transactions!$C$6:$C$2005,$A24,Transactions!$A$6:$A$2005,"&gt;="&amp;DATE(Settings!$C$4,9,1),Transactions!$A$6:$A$2005,"&lt;"&amp;DATE(Settings!$C$4,10,1)))</f>
        <v/>
      </c>
      <c r="U24" s="32">
        <f>IF($A24="",0,SUMIFS(Transactions!$D$6:$D$2005,Transactions!$C$6:$C$2005,$A24,Transactions!$A$6:$A$2005,"&gt;="&amp;DATE(Settings!$C$4,10,1),Transactions!$A$6:$A$2005,"&lt;"&amp;DATE(Settings!$C$4,11,1)))</f>
        <v/>
      </c>
      <c r="V24" s="32">
        <f>IF($A24="",0,SUMIFS(Transactions!$D$6:$D$2005,Transactions!$C$6:$C$2005,$A24,Transactions!$A$6:$A$2005,"&gt;="&amp;DATE(Settings!$C$4,11,1),Transactions!$A$6:$A$2005,"&lt;"&amp;DATE(Settings!$C$4,12,1)))</f>
        <v/>
      </c>
      <c r="W24" s="32">
        <f>IF($A24="",0,SUMIFS(Transactions!$D$6:$D$2005,Transactions!$C$6:$C$2005,$A24,Transactions!$A$6:$A$2005,"&gt;="&amp;DATE(Settings!$C$4,12,1),Transactions!$A$6:$A$2005,"&lt;"&amp;DATE(Settings!$C$4,13,1)))</f>
        <v/>
      </c>
      <c r="X24" s="40">
        <f>SUM(L24:W24)</f>
        <v/>
      </c>
      <c r="Y24" s="32">
        <f>IF($A24="",0,'Monthly Budget'!$P24)</f>
        <v/>
      </c>
      <c r="Z24" s="32">
        <f>X24-Y24</f>
        <v/>
      </c>
      <c r="AA24" s="46">
        <f>IF(AND(X24&gt;0,OR(B24="Fixed bills",B24="Variable expenses")),X24+ROW()/10000000,0)</f>
        <v/>
      </c>
    </row>
    <row r="25">
      <c r="A25" s="38">
        <f>IF(Categories!$A17="","",Categories!$A17)</f>
        <v/>
      </c>
      <c r="B25" s="29">
        <f>IF(A25="","",Categories!$B17&amp;"")</f>
        <v/>
      </c>
      <c r="C25" s="32">
        <f>IF($A25="",0,INDEX('Monthly Budget'!$D25:$O25,1,Settings!$C$12))</f>
        <v/>
      </c>
      <c r="D25" s="40">
        <f>INDEX($L25:$W25,1,Settings!$C$12)</f>
        <v/>
      </c>
      <c r="E25" s="32">
        <f>D25-C25</f>
        <v/>
      </c>
      <c r="F25" s="44">
        <f>IF(C25=0,"",D25/C25)</f>
        <v/>
      </c>
      <c r="H25" s="32">
        <f>IF($A25="",0,SUMIFS('Monthly Budget'!$D25:$O25,Lists!$I$2:$T$2,"&lt;="&amp;Settings!$C$12))</f>
        <v/>
      </c>
      <c r="I25" s="32">
        <f>SUMIFS($L25:$W25,Lists!$I$2:$T$2,"&lt;="&amp;Settings!$C$12)</f>
        <v/>
      </c>
      <c r="J25" s="32">
        <f>I25-H25</f>
        <v/>
      </c>
      <c r="L25" s="32">
        <f>IF($A25="",0,SUMIFS(Transactions!$D$6:$D$2005,Transactions!$C$6:$C$2005,$A25,Transactions!$A$6:$A$2005,"&gt;="&amp;DATE(Settings!$C$4,1,1),Transactions!$A$6:$A$2005,"&lt;"&amp;DATE(Settings!$C$4,2,1)))</f>
        <v/>
      </c>
      <c r="M25" s="32">
        <f>IF($A25="",0,SUMIFS(Transactions!$D$6:$D$2005,Transactions!$C$6:$C$2005,$A25,Transactions!$A$6:$A$2005,"&gt;="&amp;DATE(Settings!$C$4,2,1),Transactions!$A$6:$A$2005,"&lt;"&amp;DATE(Settings!$C$4,3,1)))</f>
        <v/>
      </c>
      <c r="N25" s="32">
        <f>IF($A25="",0,SUMIFS(Transactions!$D$6:$D$2005,Transactions!$C$6:$C$2005,$A25,Transactions!$A$6:$A$2005,"&gt;="&amp;DATE(Settings!$C$4,3,1),Transactions!$A$6:$A$2005,"&lt;"&amp;DATE(Settings!$C$4,4,1)))</f>
        <v/>
      </c>
      <c r="O25" s="32">
        <f>IF($A25="",0,SUMIFS(Transactions!$D$6:$D$2005,Transactions!$C$6:$C$2005,$A25,Transactions!$A$6:$A$2005,"&gt;="&amp;DATE(Settings!$C$4,4,1),Transactions!$A$6:$A$2005,"&lt;"&amp;DATE(Settings!$C$4,5,1)))</f>
        <v/>
      </c>
      <c r="P25" s="32">
        <f>IF($A25="",0,SUMIFS(Transactions!$D$6:$D$2005,Transactions!$C$6:$C$2005,$A25,Transactions!$A$6:$A$2005,"&gt;="&amp;DATE(Settings!$C$4,5,1),Transactions!$A$6:$A$2005,"&lt;"&amp;DATE(Settings!$C$4,6,1)))</f>
        <v/>
      </c>
      <c r="Q25" s="32">
        <f>IF($A25="",0,SUMIFS(Transactions!$D$6:$D$2005,Transactions!$C$6:$C$2005,$A25,Transactions!$A$6:$A$2005,"&gt;="&amp;DATE(Settings!$C$4,6,1),Transactions!$A$6:$A$2005,"&lt;"&amp;DATE(Settings!$C$4,7,1)))</f>
        <v/>
      </c>
      <c r="R25" s="32">
        <f>IF($A25="",0,SUMIFS(Transactions!$D$6:$D$2005,Transactions!$C$6:$C$2005,$A25,Transactions!$A$6:$A$2005,"&gt;="&amp;DATE(Settings!$C$4,7,1),Transactions!$A$6:$A$2005,"&lt;"&amp;DATE(Settings!$C$4,8,1)))</f>
        <v/>
      </c>
      <c r="S25" s="32">
        <f>IF($A25="",0,SUMIFS(Transactions!$D$6:$D$2005,Transactions!$C$6:$C$2005,$A25,Transactions!$A$6:$A$2005,"&gt;="&amp;DATE(Settings!$C$4,8,1),Transactions!$A$6:$A$2005,"&lt;"&amp;DATE(Settings!$C$4,9,1)))</f>
        <v/>
      </c>
      <c r="T25" s="32">
        <f>IF($A25="",0,SUMIFS(Transactions!$D$6:$D$2005,Transactions!$C$6:$C$2005,$A25,Transactions!$A$6:$A$2005,"&gt;="&amp;DATE(Settings!$C$4,9,1),Transactions!$A$6:$A$2005,"&lt;"&amp;DATE(Settings!$C$4,10,1)))</f>
        <v/>
      </c>
      <c r="U25" s="32">
        <f>IF($A25="",0,SUMIFS(Transactions!$D$6:$D$2005,Transactions!$C$6:$C$2005,$A25,Transactions!$A$6:$A$2005,"&gt;="&amp;DATE(Settings!$C$4,10,1),Transactions!$A$6:$A$2005,"&lt;"&amp;DATE(Settings!$C$4,11,1)))</f>
        <v/>
      </c>
      <c r="V25" s="32">
        <f>IF($A25="",0,SUMIFS(Transactions!$D$6:$D$2005,Transactions!$C$6:$C$2005,$A25,Transactions!$A$6:$A$2005,"&gt;="&amp;DATE(Settings!$C$4,11,1),Transactions!$A$6:$A$2005,"&lt;"&amp;DATE(Settings!$C$4,12,1)))</f>
        <v/>
      </c>
      <c r="W25" s="32">
        <f>IF($A25="",0,SUMIFS(Transactions!$D$6:$D$2005,Transactions!$C$6:$C$2005,$A25,Transactions!$A$6:$A$2005,"&gt;="&amp;DATE(Settings!$C$4,12,1),Transactions!$A$6:$A$2005,"&lt;"&amp;DATE(Settings!$C$4,13,1)))</f>
        <v/>
      </c>
      <c r="X25" s="40">
        <f>SUM(L25:W25)</f>
        <v/>
      </c>
      <c r="Y25" s="32">
        <f>IF($A25="",0,'Monthly Budget'!$P25)</f>
        <v/>
      </c>
      <c r="Z25" s="32">
        <f>X25-Y25</f>
        <v/>
      </c>
      <c r="AA25" s="46">
        <f>IF(AND(X25&gt;0,OR(B25="Fixed bills",B25="Variable expenses")),X25+ROW()/10000000,0)</f>
        <v/>
      </c>
    </row>
    <row r="26">
      <c r="A26" s="38">
        <f>IF(Categories!$A18="","",Categories!$A18)</f>
        <v/>
      </c>
      <c r="B26" s="29">
        <f>IF(A26="","",Categories!$B18&amp;"")</f>
        <v/>
      </c>
      <c r="C26" s="32">
        <f>IF($A26="",0,INDEX('Monthly Budget'!$D26:$O26,1,Settings!$C$12))</f>
        <v/>
      </c>
      <c r="D26" s="40">
        <f>INDEX($L26:$W26,1,Settings!$C$12)</f>
        <v/>
      </c>
      <c r="E26" s="32">
        <f>D26-C26</f>
        <v/>
      </c>
      <c r="F26" s="44">
        <f>IF(C26=0,"",D26/C26)</f>
        <v/>
      </c>
      <c r="H26" s="32">
        <f>IF($A26="",0,SUMIFS('Monthly Budget'!$D26:$O26,Lists!$I$2:$T$2,"&lt;="&amp;Settings!$C$12))</f>
        <v/>
      </c>
      <c r="I26" s="32">
        <f>SUMIFS($L26:$W26,Lists!$I$2:$T$2,"&lt;="&amp;Settings!$C$12)</f>
        <v/>
      </c>
      <c r="J26" s="32">
        <f>I26-H26</f>
        <v/>
      </c>
      <c r="L26" s="32">
        <f>IF($A26="",0,SUMIFS(Transactions!$D$6:$D$2005,Transactions!$C$6:$C$2005,$A26,Transactions!$A$6:$A$2005,"&gt;="&amp;DATE(Settings!$C$4,1,1),Transactions!$A$6:$A$2005,"&lt;"&amp;DATE(Settings!$C$4,2,1)))</f>
        <v/>
      </c>
      <c r="M26" s="32">
        <f>IF($A26="",0,SUMIFS(Transactions!$D$6:$D$2005,Transactions!$C$6:$C$2005,$A26,Transactions!$A$6:$A$2005,"&gt;="&amp;DATE(Settings!$C$4,2,1),Transactions!$A$6:$A$2005,"&lt;"&amp;DATE(Settings!$C$4,3,1)))</f>
        <v/>
      </c>
      <c r="N26" s="32">
        <f>IF($A26="",0,SUMIFS(Transactions!$D$6:$D$2005,Transactions!$C$6:$C$2005,$A26,Transactions!$A$6:$A$2005,"&gt;="&amp;DATE(Settings!$C$4,3,1),Transactions!$A$6:$A$2005,"&lt;"&amp;DATE(Settings!$C$4,4,1)))</f>
        <v/>
      </c>
      <c r="O26" s="32">
        <f>IF($A26="",0,SUMIFS(Transactions!$D$6:$D$2005,Transactions!$C$6:$C$2005,$A26,Transactions!$A$6:$A$2005,"&gt;="&amp;DATE(Settings!$C$4,4,1),Transactions!$A$6:$A$2005,"&lt;"&amp;DATE(Settings!$C$4,5,1)))</f>
        <v/>
      </c>
      <c r="P26" s="32">
        <f>IF($A26="",0,SUMIFS(Transactions!$D$6:$D$2005,Transactions!$C$6:$C$2005,$A26,Transactions!$A$6:$A$2005,"&gt;="&amp;DATE(Settings!$C$4,5,1),Transactions!$A$6:$A$2005,"&lt;"&amp;DATE(Settings!$C$4,6,1)))</f>
        <v/>
      </c>
      <c r="Q26" s="32">
        <f>IF($A26="",0,SUMIFS(Transactions!$D$6:$D$2005,Transactions!$C$6:$C$2005,$A26,Transactions!$A$6:$A$2005,"&gt;="&amp;DATE(Settings!$C$4,6,1),Transactions!$A$6:$A$2005,"&lt;"&amp;DATE(Settings!$C$4,7,1)))</f>
        <v/>
      </c>
      <c r="R26" s="32">
        <f>IF($A26="",0,SUMIFS(Transactions!$D$6:$D$2005,Transactions!$C$6:$C$2005,$A26,Transactions!$A$6:$A$2005,"&gt;="&amp;DATE(Settings!$C$4,7,1),Transactions!$A$6:$A$2005,"&lt;"&amp;DATE(Settings!$C$4,8,1)))</f>
        <v/>
      </c>
      <c r="S26" s="32">
        <f>IF($A26="",0,SUMIFS(Transactions!$D$6:$D$2005,Transactions!$C$6:$C$2005,$A26,Transactions!$A$6:$A$2005,"&gt;="&amp;DATE(Settings!$C$4,8,1),Transactions!$A$6:$A$2005,"&lt;"&amp;DATE(Settings!$C$4,9,1)))</f>
        <v/>
      </c>
      <c r="T26" s="32">
        <f>IF($A26="",0,SUMIFS(Transactions!$D$6:$D$2005,Transactions!$C$6:$C$2005,$A26,Transactions!$A$6:$A$2005,"&gt;="&amp;DATE(Settings!$C$4,9,1),Transactions!$A$6:$A$2005,"&lt;"&amp;DATE(Settings!$C$4,10,1)))</f>
        <v/>
      </c>
      <c r="U26" s="32">
        <f>IF($A26="",0,SUMIFS(Transactions!$D$6:$D$2005,Transactions!$C$6:$C$2005,$A26,Transactions!$A$6:$A$2005,"&gt;="&amp;DATE(Settings!$C$4,10,1),Transactions!$A$6:$A$2005,"&lt;"&amp;DATE(Settings!$C$4,11,1)))</f>
        <v/>
      </c>
      <c r="V26" s="32">
        <f>IF($A26="",0,SUMIFS(Transactions!$D$6:$D$2005,Transactions!$C$6:$C$2005,$A26,Transactions!$A$6:$A$2005,"&gt;="&amp;DATE(Settings!$C$4,11,1),Transactions!$A$6:$A$2005,"&lt;"&amp;DATE(Settings!$C$4,12,1)))</f>
        <v/>
      </c>
      <c r="W26" s="32">
        <f>IF($A26="",0,SUMIFS(Transactions!$D$6:$D$2005,Transactions!$C$6:$C$2005,$A26,Transactions!$A$6:$A$2005,"&gt;="&amp;DATE(Settings!$C$4,12,1),Transactions!$A$6:$A$2005,"&lt;"&amp;DATE(Settings!$C$4,13,1)))</f>
        <v/>
      </c>
      <c r="X26" s="40">
        <f>SUM(L26:W26)</f>
        <v/>
      </c>
      <c r="Y26" s="32">
        <f>IF($A26="",0,'Monthly Budget'!$P26)</f>
        <v/>
      </c>
      <c r="Z26" s="32">
        <f>X26-Y26</f>
        <v/>
      </c>
      <c r="AA26" s="46">
        <f>IF(AND(X26&gt;0,OR(B26="Fixed bills",B26="Variable expenses")),X26+ROW()/10000000,0)</f>
        <v/>
      </c>
    </row>
    <row r="27">
      <c r="A27" s="38">
        <f>IF(Categories!$A19="","",Categories!$A19)</f>
        <v/>
      </c>
      <c r="B27" s="29">
        <f>IF(A27="","",Categories!$B19&amp;"")</f>
        <v/>
      </c>
      <c r="C27" s="32">
        <f>IF($A27="",0,INDEX('Monthly Budget'!$D27:$O27,1,Settings!$C$12))</f>
        <v/>
      </c>
      <c r="D27" s="40">
        <f>INDEX($L27:$W27,1,Settings!$C$12)</f>
        <v/>
      </c>
      <c r="E27" s="32">
        <f>D27-C27</f>
        <v/>
      </c>
      <c r="F27" s="44">
        <f>IF(C27=0,"",D27/C27)</f>
        <v/>
      </c>
      <c r="H27" s="32">
        <f>IF($A27="",0,SUMIFS('Monthly Budget'!$D27:$O27,Lists!$I$2:$T$2,"&lt;="&amp;Settings!$C$12))</f>
        <v/>
      </c>
      <c r="I27" s="32">
        <f>SUMIFS($L27:$W27,Lists!$I$2:$T$2,"&lt;="&amp;Settings!$C$12)</f>
        <v/>
      </c>
      <c r="J27" s="32">
        <f>I27-H27</f>
        <v/>
      </c>
      <c r="L27" s="32">
        <f>IF($A27="",0,SUMIFS(Transactions!$D$6:$D$2005,Transactions!$C$6:$C$2005,$A27,Transactions!$A$6:$A$2005,"&gt;="&amp;DATE(Settings!$C$4,1,1),Transactions!$A$6:$A$2005,"&lt;"&amp;DATE(Settings!$C$4,2,1)))</f>
        <v/>
      </c>
      <c r="M27" s="32">
        <f>IF($A27="",0,SUMIFS(Transactions!$D$6:$D$2005,Transactions!$C$6:$C$2005,$A27,Transactions!$A$6:$A$2005,"&gt;="&amp;DATE(Settings!$C$4,2,1),Transactions!$A$6:$A$2005,"&lt;"&amp;DATE(Settings!$C$4,3,1)))</f>
        <v/>
      </c>
      <c r="N27" s="32">
        <f>IF($A27="",0,SUMIFS(Transactions!$D$6:$D$2005,Transactions!$C$6:$C$2005,$A27,Transactions!$A$6:$A$2005,"&gt;="&amp;DATE(Settings!$C$4,3,1),Transactions!$A$6:$A$2005,"&lt;"&amp;DATE(Settings!$C$4,4,1)))</f>
        <v/>
      </c>
      <c r="O27" s="32">
        <f>IF($A27="",0,SUMIFS(Transactions!$D$6:$D$2005,Transactions!$C$6:$C$2005,$A27,Transactions!$A$6:$A$2005,"&gt;="&amp;DATE(Settings!$C$4,4,1),Transactions!$A$6:$A$2005,"&lt;"&amp;DATE(Settings!$C$4,5,1)))</f>
        <v/>
      </c>
      <c r="P27" s="32">
        <f>IF($A27="",0,SUMIFS(Transactions!$D$6:$D$2005,Transactions!$C$6:$C$2005,$A27,Transactions!$A$6:$A$2005,"&gt;="&amp;DATE(Settings!$C$4,5,1),Transactions!$A$6:$A$2005,"&lt;"&amp;DATE(Settings!$C$4,6,1)))</f>
        <v/>
      </c>
      <c r="Q27" s="32">
        <f>IF($A27="",0,SUMIFS(Transactions!$D$6:$D$2005,Transactions!$C$6:$C$2005,$A27,Transactions!$A$6:$A$2005,"&gt;="&amp;DATE(Settings!$C$4,6,1),Transactions!$A$6:$A$2005,"&lt;"&amp;DATE(Settings!$C$4,7,1)))</f>
        <v/>
      </c>
      <c r="R27" s="32">
        <f>IF($A27="",0,SUMIFS(Transactions!$D$6:$D$2005,Transactions!$C$6:$C$2005,$A27,Transactions!$A$6:$A$2005,"&gt;="&amp;DATE(Settings!$C$4,7,1),Transactions!$A$6:$A$2005,"&lt;"&amp;DATE(Settings!$C$4,8,1)))</f>
        <v/>
      </c>
      <c r="S27" s="32">
        <f>IF($A27="",0,SUMIFS(Transactions!$D$6:$D$2005,Transactions!$C$6:$C$2005,$A27,Transactions!$A$6:$A$2005,"&gt;="&amp;DATE(Settings!$C$4,8,1),Transactions!$A$6:$A$2005,"&lt;"&amp;DATE(Settings!$C$4,9,1)))</f>
        <v/>
      </c>
      <c r="T27" s="32">
        <f>IF($A27="",0,SUMIFS(Transactions!$D$6:$D$2005,Transactions!$C$6:$C$2005,$A27,Transactions!$A$6:$A$2005,"&gt;="&amp;DATE(Settings!$C$4,9,1),Transactions!$A$6:$A$2005,"&lt;"&amp;DATE(Settings!$C$4,10,1)))</f>
        <v/>
      </c>
      <c r="U27" s="32">
        <f>IF($A27="",0,SUMIFS(Transactions!$D$6:$D$2005,Transactions!$C$6:$C$2005,$A27,Transactions!$A$6:$A$2005,"&gt;="&amp;DATE(Settings!$C$4,10,1),Transactions!$A$6:$A$2005,"&lt;"&amp;DATE(Settings!$C$4,11,1)))</f>
        <v/>
      </c>
      <c r="V27" s="32">
        <f>IF($A27="",0,SUMIFS(Transactions!$D$6:$D$2005,Transactions!$C$6:$C$2005,$A27,Transactions!$A$6:$A$2005,"&gt;="&amp;DATE(Settings!$C$4,11,1),Transactions!$A$6:$A$2005,"&lt;"&amp;DATE(Settings!$C$4,12,1)))</f>
        <v/>
      </c>
      <c r="W27" s="32">
        <f>IF($A27="",0,SUMIFS(Transactions!$D$6:$D$2005,Transactions!$C$6:$C$2005,$A27,Transactions!$A$6:$A$2005,"&gt;="&amp;DATE(Settings!$C$4,12,1),Transactions!$A$6:$A$2005,"&lt;"&amp;DATE(Settings!$C$4,13,1)))</f>
        <v/>
      </c>
      <c r="X27" s="40">
        <f>SUM(L27:W27)</f>
        <v/>
      </c>
      <c r="Y27" s="32">
        <f>IF($A27="",0,'Monthly Budget'!$P27)</f>
        <v/>
      </c>
      <c r="Z27" s="32">
        <f>X27-Y27</f>
        <v/>
      </c>
      <c r="AA27" s="46">
        <f>IF(AND(X27&gt;0,OR(B27="Fixed bills",B27="Variable expenses")),X27+ROW()/10000000,0)</f>
        <v/>
      </c>
    </row>
    <row r="28">
      <c r="A28" s="38">
        <f>IF(Categories!$A20="","",Categories!$A20)</f>
        <v/>
      </c>
      <c r="B28" s="29">
        <f>IF(A28="","",Categories!$B20&amp;"")</f>
        <v/>
      </c>
      <c r="C28" s="32">
        <f>IF($A28="",0,INDEX('Monthly Budget'!$D28:$O28,1,Settings!$C$12))</f>
        <v/>
      </c>
      <c r="D28" s="40">
        <f>INDEX($L28:$W28,1,Settings!$C$12)</f>
        <v/>
      </c>
      <c r="E28" s="32">
        <f>D28-C28</f>
        <v/>
      </c>
      <c r="F28" s="44">
        <f>IF(C28=0,"",D28/C28)</f>
        <v/>
      </c>
      <c r="H28" s="32">
        <f>IF($A28="",0,SUMIFS('Monthly Budget'!$D28:$O28,Lists!$I$2:$T$2,"&lt;="&amp;Settings!$C$12))</f>
        <v/>
      </c>
      <c r="I28" s="32">
        <f>SUMIFS($L28:$W28,Lists!$I$2:$T$2,"&lt;="&amp;Settings!$C$12)</f>
        <v/>
      </c>
      <c r="J28" s="32">
        <f>I28-H28</f>
        <v/>
      </c>
      <c r="L28" s="32">
        <f>IF($A28="",0,SUMIFS(Transactions!$D$6:$D$2005,Transactions!$C$6:$C$2005,$A28,Transactions!$A$6:$A$2005,"&gt;="&amp;DATE(Settings!$C$4,1,1),Transactions!$A$6:$A$2005,"&lt;"&amp;DATE(Settings!$C$4,2,1)))</f>
        <v/>
      </c>
      <c r="M28" s="32">
        <f>IF($A28="",0,SUMIFS(Transactions!$D$6:$D$2005,Transactions!$C$6:$C$2005,$A28,Transactions!$A$6:$A$2005,"&gt;="&amp;DATE(Settings!$C$4,2,1),Transactions!$A$6:$A$2005,"&lt;"&amp;DATE(Settings!$C$4,3,1)))</f>
        <v/>
      </c>
      <c r="N28" s="32">
        <f>IF($A28="",0,SUMIFS(Transactions!$D$6:$D$2005,Transactions!$C$6:$C$2005,$A28,Transactions!$A$6:$A$2005,"&gt;="&amp;DATE(Settings!$C$4,3,1),Transactions!$A$6:$A$2005,"&lt;"&amp;DATE(Settings!$C$4,4,1)))</f>
        <v/>
      </c>
      <c r="O28" s="32">
        <f>IF($A28="",0,SUMIFS(Transactions!$D$6:$D$2005,Transactions!$C$6:$C$2005,$A28,Transactions!$A$6:$A$2005,"&gt;="&amp;DATE(Settings!$C$4,4,1),Transactions!$A$6:$A$2005,"&lt;"&amp;DATE(Settings!$C$4,5,1)))</f>
        <v/>
      </c>
      <c r="P28" s="32">
        <f>IF($A28="",0,SUMIFS(Transactions!$D$6:$D$2005,Transactions!$C$6:$C$2005,$A28,Transactions!$A$6:$A$2005,"&gt;="&amp;DATE(Settings!$C$4,5,1),Transactions!$A$6:$A$2005,"&lt;"&amp;DATE(Settings!$C$4,6,1)))</f>
        <v/>
      </c>
      <c r="Q28" s="32">
        <f>IF($A28="",0,SUMIFS(Transactions!$D$6:$D$2005,Transactions!$C$6:$C$2005,$A28,Transactions!$A$6:$A$2005,"&gt;="&amp;DATE(Settings!$C$4,6,1),Transactions!$A$6:$A$2005,"&lt;"&amp;DATE(Settings!$C$4,7,1)))</f>
        <v/>
      </c>
      <c r="R28" s="32">
        <f>IF($A28="",0,SUMIFS(Transactions!$D$6:$D$2005,Transactions!$C$6:$C$2005,$A28,Transactions!$A$6:$A$2005,"&gt;="&amp;DATE(Settings!$C$4,7,1),Transactions!$A$6:$A$2005,"&lt;"&amp;DATE(Settings!$C$4,8,1)))</f>
        <v/>
      </c>
      <c r="S28" s="32">
        <f>IF($A28="",0,SUMIFS(Transactions!$D$6:$D$2005,Transactions!$C$6:$C$2005,$A28,Transactions!$A$6:$A$2005,"&gt;="&amp;DATE(Settings!$C$4,8,1),Transactions!$A$6:$A$2005,"&lt;"&amp;DATE(Settings!$C$4,9,1)))</f>
        <v/>
      </c>
      <c r="T28" s="32">
        <f>IF($A28="",0,SUMIFS(Transactions!$D$6:$D$2005,Transactions!$C$6:$C$2005,$A28,Transactions!$A$6:$A$2005,"&gt;="&amp;DATE(Settings!$C$4,9,1),Transactions!$A$6:$A$2005,"&lt;"&amp;DATE(Settings!$C$4,10,1)))</f>
        <v/>
      </c>
      <c r="U28" s="32">
        <f>IF($A28="",0,SUMIFS(Transactions!$D$6:$D$2005,Transactions!$C$6:$C$2005,$A28,Transactions!$A$6:$A$2005,"&gt;="&amp;DATE(Settings!$C$4,10,1),Transactions!$A$6:$A$2005,"&lt;"&amp;DATE(Settings!$C$4,11,1)))</f>
        <v/>
      </c>
      <c r="V28" s="32">
        <f>IF($A28="",0,SUMIFS(Transactions!$D$6:$D$2005,Transactions!$C$6:$C$2005,$A28,Transactions!$A$6:$A$2005,"&gt;="&amp;DATE(Settings!$C$4,11,1),Transactions!$A$6:$A$2005,"&lt;"&amp;DATE(Settings!$C$4,12,1)))</f>
        <v/>
      </c>
      <c r="W28" s="32">
        <f>IF($A28="",0,SUMIFS(Transactions!$D$6:$D$2005,Transactions!$C$6:$C$2005,$A28,Transactions!$A$6:$A$2005,"&gt;="&amp;DATE(Settings!$C$4,12,1),Transactions!$A$6:$A$2005,"&lt;"&amp;DATE(Settings!$C$4,13,1)))</f>
        <v/>
      </c>
      <c r="X28" s="40">
        <f>SUM(L28:W28)</f>
        <v/>
      </c>
      <c r="Y28" s="32">
        <f>IF($A28="",0,'Monthly Budget'!$P28)</f>
        <v/>
      </c>
      <c r="Z28" s="32">
        <f>X28-Y28</f>
        <v/>
      </c>
      <c r="AA28" s="46">
        <f>IF(AND(X28&gt;0,OR(B28="Fixed bills",B28="Variable expenses")),X28+ROW()/10000000,0)</f>
        <v/>
      </c>
    </row>
    <row r="29">
      <c r="A29" s="38">
        <f>IF(Categories!$A21="","",Categories!$A21)</f>
        <v/>
      </c>
      <c r="B29" s="29">
        <f>IF(A29="","",Categories!$B21&amp;"")</f>
        <v/>
      </c>
      <c r="C29" s="32">
        <f>IF($A29="",0,INDEX('Monthly Budget'!$D29:$O29,1,Settings!$C$12))</f>
        <v/>
      </c>
      <c r="D29" s="40">
        <f>INDEX($L29:$W29,1,Settings!$C$12)</f>
        <v/>
      </c>
      <c r="E29" s="32">
        <f>D29-C29</f>
        <v/>
      </c>
      <c r="F29" s="44">
        <f>IF(C29=0,"",D29/C29)</f>
        <v/>
      </c>
      <c r="H29" s="32">
        <f>IF($A29="",0,SUMIFS('Monthly Budget'!$D29:$O29,Lists!$I$2:$T$2,"&lt;="&amp;Settings!$C$12))</f>
        <v/>
      </c>
      <c r="I29" s="32">
        <f>SUMIFS($L29:$W29,Lists!$I$2:$T$2,"&lt;="&amp;Settings!$C$12)</f>
        <v/>
      </c>
      <c r="J29" s="32">
        <f>I29-H29</f>
        <v/>
      </c>
      <c r="L29" s="32">
        <f>IF($A29="",0,SUMIFS(Transactions!$D$6:$D$2005,Transactions!$C$6:$C$2005,$A29,Transactions!$A$6:$A$2005,"&gt;="&amp;DATE(Settings!$C$4,1,1),Transactions!$A$6:$A$2005,"&lt;"&amp;DATE(Settings!$C$4,2,1)))</f>
        <v/>
      </c>
      <c r="M29" s="32">
        <f>IF($A29="",0,SUMIFS(Transactions!$D$6:$D$2005,Transactions!$C$6:$C$2005,$A29,Transactions!$A$6:$A$2005,"&gt;="&amp;DATE(Settings!$C$4,2,1),Transactions!$A$6:$A$2005,"&lt;"&amp;DATE(Settings!$C$4,3,1)))</f>
        <v/>
      </c>
      <c r="N29" s="32">
        <f>IF($A29="",0,SUMIFS(Transactions!$D$6:$D$2005,Transactions!$C$6:$C$2005,$A29,Transactions!$A$6:$A$2005,"&gt;="&amp;DATE(Settings!$C$4,3,1),Transactions!$A$6:$A$2005,"&lt;"&amp;DATE(Settings!$C$4,4,1)))</f>
        <v/>
      </c>
      <c r="O29" s="32">
        <f>IF($A29="",0,SUMIFS(Transactions!$D$6:$D$2005,Transactions!$C$6:$C$2005,$A29,Transactions!$A$6:$A$2005,"&gt;="&amp;DATE(Settings!$C$4,4,1),Transactions!$A$6:$A$2005,"&lt;"&amp;DATE(Settings!$C$4,5,1)))</f>
        <v/>
      </c>
      <c r="P29" s="32">
        <f>IF($A29="",0,SUMIFS(Transactions!$D$6:$D$2005,Transactions!$C$6:$C$2005,$A29,Transactions!$A$6:$A$2005,"&gt;="&amp;DATE(Settings!$C$4,5,1),Transactions!$A$6:$A$2005,"&lt;"&amp;DATE(Settings!$C$4,6,1)))</f>
        <v/>
      </c>
      <c r="Q29" s="32">
        <f>IF($A29="",0,SUMIFS(Transactions!$D$6:$D$2005,Transactions!$C$6:$C$2005,$A29,Transactions!$A$6:$A$2005,"&gt;="&amp;DATE(Settings!$C$4,6,1),Transactions!$A$6:$A$2005,"&lt;"&amp;DATE(Settings!$C$4,7,1)))</f>
        <v/>
      </c>
      <c r="R29" s="32">
        <f>IF($A29="",0,SUMIFS(Transactions!$D$6:$D$2005,Transactions!$C$6:$C$2005,$A29,Transactions!$A$6:$A$2005,"&gt;="&amp;DATE(Settings!$C$4,7,1),Transactions!$A$6:$A$2005,"&lt;"&amp;DATE(Settings!$C$4,8,1)))</f>
        <v/>
      </c>
      <c r="S29" s="32">
        <f>IF($A29="",0,SUMIFS(Transactions!$D$6:$D$2005,Transactions!$C$6:$C$2005,$A29,Transactions!$A$6:$A$2005,"&gt;="&amp;DATE(Settings!$C$4,8,1),Transactions!$A$6:$A$2005,"&lt;"&amp;DATE(Settings!$C$4,9,1)))</f>
        <v/>
      </c>
      <c r="T29" s="32">
        <f>IF($A29="",0,SUMIFS(Transactions!$D$6:$D$2005,Transactions!$C$6:$C$2005,$A29,Transactions!$A$6:$A$2005,"&gt;="&amp;DATE(Settings!$C$4,9,1),Transactions!$A$6:$A$2005,"&lt;"&amp;DATE(Settings!$C$4,10,1)))</f>
        <v/>
      </c>
      <c r="U29" s="32">
        <f>IF($A29="",0,SUMIFS(Transactions!$D$6:$D$2005,Transactions!$C$6:$C$2005,$A29,Transactions!$A$6:$A$2005,"&gt;="&amp;DATE(Settings!$C$4,10,1),Transactions!$A$6:$A$2005,"&lt;"&amp;DATE(Settings!$C$4,11,1)))</f>
        <v/>
      </c>
      <c r="V29" s="32">
        <f>IF($A29="",0,SUMIFS(Transactions!$D$6:$D$2005,Transactions!$C$6:$C$2005,$A29,Transactions!$A$6:$A$2005,"&gt;="&amp;DATE(Settings!$C$4,11,1),Transactions!$A$6:$A$2005,"&lt;"&amp;DATE(Settings!$C$4,12,1)))</f>
        <v/>
      </c>
      <c r="W29" s="32">
        <f>IF($A29="",0,SUMIFS(Transactions!$D$6:$D$2005,Transactions!$C$6:$C$2005,$A29,Transactions!$A$6:$A$2005,"&gt;="&amp;DATE(Settings!$C$4,12,1),Transactions!$A$6:$A$2005,"&lt;"&amp;DATE(Settings!$C$4,13,1)))</f>
        <v/>
      </c>
      <c r="X29" s="40">
        <f>SUM(L29:W29)</f>
        <v/>
      </c>
      <c r="Y29" s="32">
        <f>IF($A29="",0,'Monthly Budget'!$P29)</f>
        <v/>
      </c>
      <c r="Z29" s="32">
        <f>X29-Y29</f>
        <v/>
      </c>
      <c r="AA29" s="46">
        <f>IF(AND(X29&gt;0,OR(B29="Fixed bills",B29="Variable expenses")),X29+ROW()/10000000,0)</f>
        <v/>
      </c>
    </row>
    <row r="30">
      <c r="A30" s="38">
        <f>IF(Categories!$A22="","",Categories!$A22)</f>
        <v/>
      </c>
      <c r="B30" s="29">
        <f>IF(A30="","",Categories!$B22&amp;"")</f>
        <v/>
      </c>
      <c r="C30" s="32">
        <f>IF($A30="",0,INDEX('Monthly Budget'!$D30:$O30,1,Settings!$C$12))</f>
        <v/>
      </c>
      <c r="D30" s="40">
        <f>INDEX($L30:$W30,1,Settings!$C$12)</f>
        <v/>
      </c>
      <c r="E30" s="32">
        <f>D30-C30</f>
        <v/>
      </c>
      <c r="F30" s="44">
        <f>IF(C30=0,"",D30/C30)</f>
        <v/>
      </c>
      <c r="H30" s="32">
        <f>IF($A30="",0,SUMIFS('Monthly Budget'!$D30:$O30,Lists!$I$2:$T$2,"&lt;="&amp;Settings!$C$12))</f>
        <v/>
      </c>
      <c r="I30" s="32">
        <f>SUMIFS($L30:$W30,Lists!$I$2:$T$2,"&lt;="&amp;Settings!$C$12)</f>
        <v/>
      </c>
      <c r="J30" s="32">
        <f>I30-H30</f>
        <v/>
      </c>
      <c r="L30" s="32">
        <f>IF($A30="",0,SUMIFS(Transactions!$D$6:$D$2005,Transactions!$C$6:$C$2005,$A30,Transactions!$A$6:$A$2005,"&gt;="&amp;DATE(Settings!$C$4,1,1),Transactions!$A$6:$A$2005,"&lt;"&amp;DATE(Settings!$C$4,2,1)))</f>
        <v/>
      </c>
      <c r="M30" s="32">
        <f>IF($A30="",0,SUMIFS(Transactions!$D$6:$D$2005,Transactions!$C$6:$C$2005,$A30,Transactions!$A$6:$A$2005,"&gt;="&amp;DATE(Settings!$C$4,2,1),Transactions!$A$6:$A$2005,"&lt;"&amp;DATE(Settings!$C$4,3,1)))</f>
        <v/>
      </c>
      <c r="N30" s="32">
        <f>IF($A30="",0,SUMIFS(Transactions!$D$6:$D$2005,Transactions!$C$6:$C$2005,$A30,Transactions!$A$6:$A$2005,"&gt;="&amp;DATE(Settings!$C$4,3,1),Transactions!$A$6:$A$2005,"&lt;"&amp;DATE(Settings!$C$4,4,1)))</f>
        <v/>
      </c>
      <c r="O30" s="32">
        <f>IF($A30="",0,SUMIFS(Transactions!$D$6:$D$2005,Transactions!$C$6:$C$2005,$A30,Transactions!$A$6:$A$2005,"&gt;="&amp;DATE(Settings!$C$4,4,1),Transactions!$A$6:$A$2005,"&lt;"&amp;DATE(Settings!$C$4,5,1)))</f>
        <v/>
      </c>
      <c r="P30" s="32">
        <f>IF($A30="",0,SUMIFS(Transactions!$D$6:$D$2005,Transactions!$C$6:$C$2005,$A30,Transactions!$A$6:$A$2005,"&gt;="&amp;DATE(Settings!$C$4,5,1),Transactions!$A$6:$A$2005,"&lt;"&amp;DATE(Settings!$C$4,6,1)))</f>
        <v/>
      </c>
      <c r="Q30" s="32">
        <f>IF($A30="",0,SUMIFS(Transactions!$D$6:$D$2005,Transactions!$C$6:$C$2005,$A30,Transactions!$A$6:$A$2005,"&gt;="&amp;DATE(Settings!$C$4,6,1),Transactions!$A$6:$A$2005,"&lt;"&amp;DATE(Settings!$C$4,7,1)))</f>
        <v/>
      </c>
      <c r="R30" s="32">
        <f>IF($A30="",0,SUMIFS(Transactions!$D$6:$D$2005,Transactions!$C$6:$C$2005,$A30,Transactions!$A$6:$A$2005,"&gt;="&amp;DATE(Settings!$C$4,7,1),Transactions!$A$6:$A$2005,"&lt;"&amp;DATE(Settings!$C$4,8,1)))</f>
        <v/>
      </c>
      <c r="S30" s="32">
        <f>IF($A30="",0,SUMIFS(Transactions!$D$6:$D$2005,Transactions!$C$6:$C$2005,$A30,Transactions!$A$6:$A$2005,"&gt;="&amp;DATE(Settings!$C$4,8,1),Transactions!$A$6:$A$2005,"&lt;"&amp;DATE(Settings!$C$4,9,1)))</f>
        <v/>
      </c>
      <c r="T30" s="32">
        <f>IF($A30="",0,SUMIFS(Transactions!$D$6:$D$2005,Transactions!$C$6:$C$2005,$A30,Transactions!$A$6:$A$2005,"&gt;="&amp;DATE(Settings!$C$4,9,1),Transactions!$A$6:$A$2005,"&lt;"&amp;DATE(Settings!$C$4,10,1)))</f>
        <v/>
      </c>
      <c r="U30" s="32">
        <f>IF($A30="",0,SUMIFS(Transactions!$D$6:$D$2005,Transactions!$C$6:$C$2005,$A30,Transactions!$A$6:$A$2005,"&gt;="&amp;DATE(Settings!$C$4,10,1),Transactions!$A$6:$A$2005,"&lt;"&amp;DATE(Settings!$C$4,11,1)))</f>
        <v/>
      </c>
      <c r="V30" s="32">
        <f>IF($A30="",0,SUMIFS(Transactions!$D$6:$D$2005,Transactions!$C$6:$C$2005,$A30,Transactions!$A$6:$A$2005,"&gt;="&amp;DATE(Settings!$C$4,11,1),Transactions!$A$6:$A$2005,"&lt;"&amp;DATE(Settings!$C$4,12,1)))</f>
        <v/>
      </c>
      <c r="W30" s="32">
        <f>IF($A30="",0,SUMIFS(Transactions!$D$6:$D$2005,Transactions!$C$6:$C$2005,$A30,Transactions!$A$6:$A$2005,"&gt;="&amp;DATE(Settings!$C$4,12,1),Transactions!$A$6:$A$2005,"&lt;"&amp;DATE(Settings!$C$4,13,1)))</f>
        <v/>
      </c>
      <c r="X30" s="40">
        <f>SUM(L30:W30)</f>
        <v/>
      </c>
      <c r="Y30" s="32">
        <f>IF($A30="",0,'Monthly Budget'!$P30)</f>
        <v/>
      </c>
      <c r="Z30" s="32">
        <f>X30-Y30</f>
        <v/>
      </c>
      <c r="AA30" s="46">
        <f>IF(AND(X30&gt;0,OR(B30="Fixed bills",B30="Variable expenses")),X30+ROW()/10000000,0)</f>
        <v/>
      </c>
    </row>
    <row r="31">
      <c r="A31" s="38">
        <f>IF(Categories!$A23="","",Categories!$A23)</f>
        <v/>
      </c>
      <c r="B31" s="29">
        <f>IF(A31="","",Categories!$B23&amp;"")</f>
        <v/>
      </c>
      <c r="C31" s="32">
        <f>IF($A31="",0,INDEX('Monthly Budget'!$D31:$O31,1,Settings!$C$12))</f>
        <v/>
      </c>
      <c r="D31" s="40">
        <f>INDEX($L31:$W31,1,Settings!$C$12)</f>
        <v/>
      </c>
      <c r="E31" s="32">
        <f>D31-C31</f>
        <v/>
      </c>
      <c r="F31" s="44">
        <f>IF(C31=0,"",D31/C31)</f>
        <v/>
      </c>
      <c r="H31" s="32">
        <f>IF($A31="",0,SUMIFS('Monthly Budget'!$D31:$O31,Lists!$I$2:$T$2,"&lt;="&amp;Settings!$C$12))</f>
        <v/>
      </c>
      <c r="I31" s="32">
        <f>SUMIFS($L31:$W31,Lists!$I$2:$T$2,"&lt;="&amp;Settings!$C$12)</f>
        <v/>
      </c>
      <c r="J31" s="32">
        <f>I31-H31</f>
        <v/>
      </c>
      <c r="L31" s="32">
        <f>IF($A31="",0,SUMIFS(Transactions!$D$6:$D$2005,Transactions!$C$6:$C$2005,$A31,Transactions!$A$6:$A$2005,"&gt;="&amp;DATE(Settings!$C$4,1,1),Transactions!$A$6:$A$2005,"&lt;"&amp;DATE(Settings!$C$4,2,1)))</f>
        <v/>
      </c>
      <c r="M31" s="32">
        <f>IF($A31="",0,SUMIFS(Transactions!$D$6:$D$2005,Transactions!$C$6:$C$2005,$A31,Transactions!$A$6:$A$2005,"&gt;="&amp;DATE(Settings!$C$4,2,1),Transactions!$A$6:$A$2005,"&lt;"&amp;DATE(Settings!$C$4,3,1)))</f>
        <v/>
      </c>
      <c r="N31" s="32">
        <f>IF($A31="",0,SUMIFS(Transactions!$D$6:$D$2005,Transactions!$C$6:$C$2005,$A31,Transactions!$A$6:$A$2005,"&gt;="&amp;DATE(Settings!$C$4,3,1),Transactions!$A$6:$A$2005,"&lt;"&amp;DATE(Settings!$C$4,4,1)))</f>
        <v/>
      </c>
      <c r="O31" s="32">
        <f>IF($A31="",0,SUMIFS(Transactions!$D$6:$D$2005,Transactions!$C$6:$C$2005,$A31,Transactions!$A$6:$A$2005,"&gt;="&amp;DATE(Settings!$C$4,4,1),Transactions!$A$6:$A$2005,"&lt;"&amp;DATE(Settings!$C$4,5,1)))</f>
        <v/>
      </c>
      <c r="P31" s="32">
        <f>IF($A31="",0,SUMIFS(Transactions!$D$6:$D$2005,Transactions!$C$6:$C$2005,$A31,Transactions!$A$6:$A$2005,"&gt;="&amp;DATE(Settings!$C$4,5,1),Transactions!$A$6:$A$2005,"&lt;"&amp;DATE(Settings!$C$4,6,1)))</f>
        <v/>
      </c>
      <c r="Q31" s="32">
        <f>IF($A31="",0,SUMIFS(Transactions!$D$6:$D$2005,Transactions!$C$6:$C$2005,$A31,Transactions!$A$6:$A$2005,"&gt;="&amp;DATE(Settings!$C$4,6,1),Transactions!$A$6:$A$2005,"&lt;"&amp;DATE(Settings!$C$4,7,1)))</f>
        <v/>
      </c>
      <c r="R31" s="32">
        <f>IF($A31="",0,SUMIFS(Transactions!$D$6:$D$2005,Transactions!$C$6:$C$2005,$A31,Transactions!$A$6:$A$2005,"&gt;="&amp;DATE(Settings!$C$4,7,1),Transactions!$A$6:$A$2005,"&lt;"&amp;DATE(Settings!$C$4,8,1)))</f>
        <v/>
      </c>
      <c r="S31" s="32">
        <f>IF($A31="",0,SUMIFS(Transactions!$D$6:$D$2005,Transactions!$C$6:$C$2005,$A31,Transactions!$A$6:$A$2005,"&gt;="&amp;DATE(Settings!$C$4,8,1),Transactions!$A$6:$A$2005,"&lt;"&amp;DATE(Settings!$C$4,9,1)))</f>
        <v/>
      </c>
      <c r="T31" s="32">
        <f>IF($A31="",0,SUMIFS(Transactions!$D$6:$D$2005,Transactions!$C$6:$C$2005,$A31,Transactions!$A$6:$A$2005,"&gt;="&amp;DATE(Settings!$C$4,9,1),Transactions!$A$6:$A$2005,"&lt;"&amp;DATE(Settings!$C$4,10,1)))</f>
        <v/>
      </c>
      <c r="U31" s="32">
        <f>IF($A31="",0,SUMIFS(Transactions!$D$6:$D$2005,Transactions!$C$6:$C$2005,$A31,Transactions!$A$6:$A$2005,"&gt;="&amp;DATE(Settings!$C$4,10,1),Transactions!$A$6:$A$2005,"&lt;"&amp;DATE(Settings!$C$4,11,1)))</f>
        <v/>
      </c>
      <c r="V31" s="32">
        <f>IF($A31="",0,SUMIFS(Transactions!$D$6:$D$2005,Transactions!$C$6:$C$2005,$A31,Transactions!$A$6:$A$2005,"&gt;="&amp;DATE(Settings!$C$4,11,1),Transactions!$A$6:$A$2005,"&lt;"&amp;DATE(Settings!$C$4,12,1)))</f>
        <v/>
      </c>
      <c r="W31" s="32">
        <f>IF($A31="",0,SUMIFS(Transactions!$D$6:$D$2005,Transactions!$C$6:$C$2005,$A31,Transactions!$A$6:$A$2005,"&gt;="&amp;DATE(Settings!$C$4,12,1),Transactions!$A$6:$A$2005,"&lt;"&amp;DATE(Settings!$C$4,13,1)))</f>
        <v/>
      </c>
      <c r="X31" s="40">
        <f>SUM(L31:W31)</f>
        <v/>
      </c>
      <c r="Y31" s="32">
        <f>IF($A31="",0,'Monthly Budget'!$P31)</f>
        <v/>
      </c>
      <c r="Z31" s="32">
        <f>X31-Y31</f>
        <v/>
      </c>
      <c r="AA31" s="46">
        <f>IF(AND(X31&gt;0,OR(B31="Fixed bills",B31="Variable expenses")),X31+ROW()/10000000,0)</f>
        <v/>
      </c>
    </row>
    <row r="32">
      <c r="A32" s="38">
        <f>IF(Categories!$A24="","",Categories!$A24)</f>
        <v/>
      </c>
      <c r="B32" s="29">
        <f>IF(A32="","",Categories!$B24&amp;"")</f>
        <v/>
      </c>
      <c r="C32" s="32">
        <f>IF($A32="",0,INDEX('Monthly Budget'!$D32:$O32,1,Settings!$C$12))</f>
        <v/>
      </c>
      <c r="D32" s="40">
        <f>INDEX($L32:$W32,1,Settings!$C$12)</f>
        <v/>
      </c>
      <c r="E32" s="32">
        <f>D32-C32</f>
        <v/>
      </c>
      <c r="F32" s="44">
        <f>IF(C32=0,"",D32/C32)</f>
        <v/>
      </c>
      <c r="H32" s="32">
        <f>IF($A32="",0,SUMIFS('Monthly Budget'!$D32:$O32,Lists!$I$2:$T$2,"&lt;="&amp;Settings!$C$12))</f>
        <v/>
      </c>
      <c r="I32" s="32">
        <f>SUMIFS($L32:$W32,Lists!$I$2:$T$2,"&lt;="&amp;Settings!$C$12)</f>
        <v/>
      </c>
      <c r="J32" s="32">
        <f>I32-H32</f>
        <v/>
      </c>
      <c r="L32" s="32">
        <f>IF($A32="",0,SUMIFS(Transactions!$D$6:$D$2005,Transactions!$C$6:$C$2005,$A32,Transactions!$A$6:$A$2005,"&gt;="&amp;DATE(Settings!$C$4,1,1),Transactions!$A$6:$A$2005,"&lt;"&amp;DATE(Settings!$C$4,2,1)))</f>
        <v/>
      </c>
      <c r="M32" s="32">
        <f>IF($A32="",0,SUMIFS(Transactions!$D$6:$D$2005,Transactions!$C$6:$C$2005,$A32,Transactions!$A$6:$A$2005,"&gt;="&amp;DATE(Settings!$C$4,2,1),Transactions!$A$6:$A$2005,"&lt;"&amp;DATE(Settings!$C$4,3,1)))</f>
        <v/>
      </c>
      <c r="N32" s="32">
        <f>IF($A32="",0,SUMIFS(Transactions!$D$6:$D$2005,Transactions!$C$6:$C$2005,$A32,Transactions!$A$6:$A$2005,"&gt;="&amp;DATE(Settings!$C$4,3,1),Transactions!$A$6:$A$2005,"&lt;"&amp;DATE(Settings!$C$4,4,1)))</f>
        <v/>
      </c>
      <c r="O32" s="32">
        <f>IF($A32="",0,SUMIFS(Transactions!$D$6:$D$2005,Transactions!$C$6:$C$2005,$A32,Transactions!$A$6:$A$2005,"&gt;="&amp;DATE(Settings!$C$4,4,1),Transactions!$A$6:$A$2005,"&lt;"&amp;DATE(Settings!$C$4,5,1)))</f>
        <v/>
      </c>
      <c r="P32" s="32">
        <f>IF($A32="",0,SUMIFS(Transactions!$D$6:$D$2005,Transactions!$C$6:$C$2005,$A32,Transactions!$A$6:$A$2005,"&gt;="&amp;DATE(Settings!$C$4,5,1),Transactions!$A$6:$A$2005,"&lt;"&amp;DATE(Settings!$C$4,6,1)))</f>
        <v/>
      </c>
      <c r="Q32" s="32">
        <f>IF($A32="",0,SUMIFS(Transactions!$D$6:$D$2005,Transactions!$C$6:$C$2005,$A32,Transactions!$A$6:$A$2005,"&gt;="&amp;DATE(Settings!$C$4,6,1),Transactions!$A$6:$A$2005,"&lt;"&amp;DATE(Settings!$C$4,7,1)))</f>
        <v/>
      </c>
      <c r="R32" s="32">
        <f>IF($A32="",0,SUMIFS(Transactions!$D$6:$D$2005,Transactions!$C$6:$C$2005,$A32,Transactions!$A$6:$A$2005,"&gt;="&amp;DATE(Settings!$C$4,7,1),Transactions!$A$6:$A$2005,"&lt;"&amp;DATE(Settings!$C$4,8,1)))</f>
        <v/>
      </c>
      <c r="S32" s="32">
        <f>IF($A32="",0,SUMIFS(Transactions!$D$6:$D$2005,Transactions!$C$6:$C$2005,$A32,Transactions!$A$6:$A$2005,"&gt;="&amp;DATE(Settings!$C$4,8,1),Transactions!$A$6:$A$2005,"&lt;"&amp;DATE(Settings!$C$4,9,1)))</f>
        <v/>
      </c>
      <c r="T32" s="32">
        <f>IF($A32="",0,SUMIFS(Transactions!$D$6:$D$2005,Transactions!$C$6:$C$2005,$A32,Transactions!$A$6:$A$2005,"&gt;="&amp;DATE(Settings!$C$4,9,1),Transactions!$A$6:$A$2005,"&lt;"&amp;DATE(Settings!$C$4,10,1)))</f>
        <v/>
      </c>
      <c r="U32" s="32">
        <f>IF($A32="",0,SUMIFS(Transactions!$D$6:$D$2005,Transactions!$C$6:$C$2005,$A32,Transactions!$A$6:$A$2005,"&gt;="&amp;DATE(Settings!$C$4,10,1),Transactions!$A$6:$A$2005,"&lt;"&amp;DATE(Settings!$C$4,11,1)))</f>
        <v/>
      </c>
      <c r="V32" s="32">
        <f>IF($A32="",0,SUMIFS(Transactions!$D$6:$D$2005,Transactions!$C$6:$C$2005,$A32,Transactions!$A$6:$A$2005,"&gt;="&amp;DATE(Settings!$C$4,11,1),Transactions!$A$6:$A$2005,"&lt;"&amp;DATE(Settings!$C$4,12,1)))</f>
        <v/>
      </c>
      <c r="W32" s="32">
        <f>IF($A32="",0,SUMIFS(Transactions!$D$6:$D$2005,Transactions!$C$6:$C$2005,$A32,Transactions!$A$6:$A$2005,"&gt;="&amp;DATE(Settings!$C$4,12,1),Transactions!$A$6:$A$2005,"&lt;"&amp;DATE(Settings!$C$4,13,1)))</f>
        <v/>
      </c>
      <c r="X32" s="40">
        <f>SUM(L32:W32)</f>
        <v/>
      </c>
      <c r="Y32" s="32">
        <f>IF($A32="",0,'Monthly Budget'!$P32)</f>
        <v/>
      </c>
      <c r="Z32" s="32">
        <f>X32-Y32</f>
        <v/>
      </c>
      <c r="AA32" s="46">
        <f>IF(AND(X32&gt;0,OR(B32="Fixed bills",B32="Variable expenses")),X32+ROW()/10000000,0)</f>
        <v/>
      </c>
    </row>
    <row r="33">
      <c r="A33" s="38">
        <f>IF(Categories!$A25="","",Categories!$A25)</f>
        <v/>
      </c>
      <c r="B33" s="29">
        <f>IF(A33="","",Categories!$B25&amp;"")</f>
        <v/>
      </c>
      <c r="C33" s="32">
        <f>IF($A33="",0,INDEX('Monthly Budget'!$D33:$O33,1,Settings!$C$12))</f>
        <v/>
      </c>
      <c r="D33" s="40">
        <f>INDEX($L33:$W33,1,Settings!$C$12)</f>
        <v/>
      </c>
      <c r="E33" s="32">
        <f>D33-C33</f>
        <v/>
      </c>
      <c r="F33" s="44">
        <f>IF(C33=0,"",D33/C33)</f>
        <v/>
      </c>
      <c r="H33" s="32">
        <f>IF($A33="",0,SUMIFS('Monthly Budget'!$D33:$O33,Lists!$I$2:$T$2,"&lt;="&amp;Settings!$C$12))</f>
        <v/>
      </c>
      <c r="I33" s="32">
        <f>SUMIFS($L33:$W33,Lists!$I$2:$T$2,"&lt;="&amp;Settings!$C$12)</f>
        <v/>
      </c>
      <c r="J33" s="32">
        <f>I33-H33</f>
        <v/>
      </c>
      <c r="L33" s="32">
        <f>IF($A33="",0,SUMIFS(Transactions!$D$6:$D$2005,Transactions!$C$6:$C$2005,$A33,Transactions!$A$6:$A$2005,"&gt;="&amp;DATE(Settings!$C$4,1,1),Transactions!$A$6:$A$2005,"&lt;"&amp;DATE(Settings!$C$4,2,1)))</f>
        <v/>
      </c>
      <c r="M33" s="32">
        <f>IF($A33="",0,SUMIFS(Transactions!$D$6:$D$2005,Transactions!$C$6:$C$2005,$A33,Transactions!$A$6:$A$2005,"&gt;="&amp;DATE(Settings!$C$4,2,1),Transactions!$A$6:$A$2005,"&lt;"&amp;DATE(Settings!$C$4,3,1)))</f>
        <v/>
      </c>
      <c r="N33" s="32">
        <f>IF($A33="",0,SUMIFS(Transactions!$D$6:$D$2005,Transactions!$C$6:$C$2005,$A33,Transactions!$A$6:$A$2005,"&gt;="&amp;DATE(Settings!$C$4,3,1),Transactions!$A$6:$A$2005,"&lt;"&amp;DATE(Settings!$C$4,4,1)))</f>
        <v/>
      </c>
      <c r="O33" s="32">
        <f>IF($A33="",0,SUMIFS(Transactions!$D$6:$D$2005,Transactions!$C$6:$C$2005,$A33,Transactions!$A$6:$A$2005,"&gt;="&amp;DATE(Settings!$C$4,4,1),Transactions!$A$6:$A$2005,"&lt;"&amp;DATE(Settings!$C$4,5,1)))</f>
        <v/>
      </c>
      <c r="P33" s="32">
        <f>IF($A33="",0,SUMIFS(Transactions!$D$6:$D$2005,Transactions!$C$6:$C$2005,$A33,Transactions!$A$6:$A$2005,"&gt;="&amp;DATE(Settings!$C$4,5,1),Transactions!$A$6:$A$2005,"&lt;"&amp;DATE(Settings!$C$4,6,1)))</f>
        <v/>
      </c>
      <c r="Q33" s="32">
        <f>IF($A33="",0,SUMIFS(Transactions!$D$6:$D$2005,Transactions!$C$6:$C$2005,$A33,Transactions!$A$6:$A$2005,"&gt;="&amp;DATE(Settings!$C$4,6,1),Transactions!$A$6:$A$2005,"&lt;"&amp;DATE(Settings!$C$4,7,1)))</f>
        <v/>
      </c>
      <c r="R33" s="32">
        <f>IF($A33="",0,SUMIFS(Transactions!$D$6:$D$2005,Transactions!$C$6:$C$2005,$A33,Transactions!$A$6:$A$2005,"&gt;="&amp;DATE(Settings!$C$4,7,1),Transactions!$A$6:$A$2005,"&lt;"&amp;DATE(Settings!$C$4,8,1)))</f>
        <v/>
      </c>
      <c r="S33" s="32">
        <f>IF($A33="",0,SUMIFS(Transactions!$D$6:$D$2005,Transactions!$C$6:$C$2005,$A33,Transactions!$A$6:$A$2005,"&gt;="&amp;DATE(Settings!$C$4,8,1),Transactions!$A$6:$A$2005,"&lt;"&amp;DATE(Settings!$C$4,9,1)))</f>
        <v/>
      </c>
      <c r="T33" s="32">
        <f>IF($A33="",0,SUMIFS(Transactions!$D$6:$D$2005,Transactions!$C$6:$C$2005,$A33,Transactions!$A$6:$A$2005,"&gt;="&amp;DATE(Settings!$C$4,9,1),Transactions!$A$6:$A$2005,"&lt;"&amp;DATE(Settings!$C$4,10,1)))</f>
        <v/>
      </c>
      <c r="U33" s="32">
        <f>IF($A33="",0,SUMIFS(Transactions!$D$6:$D$2005,Transactions!$C$6:$C$2005,$A33,Transactions!$A$6:$A$2005,"&gt;="&amp;DATE(Settings!$C$4,10,1),Transactions!$A$6:$A$2005,"&lt;"&amp;DATE(Settings!$C$4,11,1)))</f>
        <v/>
      </c>
      <c r="V33" s="32">
        <f>IF($A33="",0,SUMIFS(Transactions!$D$6:$D$2005,Transactions!$C$6:$C$2005,$A33,Transactions!$A$6:$A$2005,"&gt;="&amp;DATE(Settings!$C$4,11,1),Transactions!$A$6:$A$2005,"&lt;"&amp;DATE(Settings!$C$4,12,1)))</f>
        <v/>
      </c>
      <c r="W33" s="32">
        <f>IF($A33="",0,SUMIFS(Transactions!$D$6:$D$2005,Transactions!$C$6:$C$2005,$A33,Transactions!$A$6:$A$2005,"&gt;="&amp;DATE(Settings!$C$4,12,1),Transactions!$A$6:$A$2005,"&lt;"&amp;DATE(Settings!$C$4,13,1)))</f>
        <v/>
      </c>
      <c r="X33" s="40">
        <f>SUM(L33:W33)</f>
        <v/>
      </c>
      <c r="Y33" s="32">
        <f>IF($A33="",0,'Monthly Budget'!$P33)</f>
        <v/>
      </c>
      <c r="Z33" s="32">
        <f>X33-Y33</f>
        <v/>
      </c>
      <c r="AA33" s="46">
        <f>IF(AND(X33&gt;0,OR(B33="Fixed bills",B33="Variable expenses")),X33+ROW()/10000000,0)</f>
        <v/>
      </c>
    </row>
    <row r="34">
      <c r="A34" s="38">
        <f>IF(Categories!$A26="","",Categories!$A26)</f>
        <v/>
      </c>
      <c r="B34" s="29">
        <f>IF(A34="","",Categories!$B26&amp;"")</f>
        <v/>
      </c>
      <c r="C34" s="32">
        <f>IF($A34="",0,INDEX('Monthly Budget'!$D34:$O34,1,Settings!$C$12))</f>
        <v/>
      </c>
      <c r="D34" s="40">
        <f>INDEX($L34:$W34,1,Settings!$C$12)</f>
        <v/>
      </c>
      <c r="E34" s="32">
        <f>D34-C34</f>
        <v/>
      </c>
      <c r="F34" s="44">
        <f>IF(C34=0,"",D34/C34)</f>
        <v/>
      </c>
      <c r="H34" s="32">
        <f>IF($A34="",0,SUMIFS('Monthly Budget'!$D34:$O34,Lists!$I$2:$T$2,"&lt;="&amp;Settings!$C$12))</f>
        <v/>
      </c>
      <c r="I34" s="32">
        <f>SUMIFS($L34:$W34,Lists!$I$2:$T$2,"&lt;="&amp;Settings!$C$12)</f>
        <v/>
      </c>
      <c r="J34" s="32">
        <f>I34-H34</f>
        <v/>
      </c>
      <c r="L34" s="32">
        <f>IF($A34="",0,SUMIFS(Transactions!$D$6:$D$2005,Transactions!$C$6:$C$2005,$A34,Transactions!$A$6:$A$2005,"&gt;="&amp;DATE(Settings!$C$4,1,1),Transactions!$A$6:$A$2005,"&lt;"&amp;DATE(Settings!$C$4,2,1)))</f>
        <v/>
      </c>
      <c r="M34" s="32">
        <f>IF($A34="",0,SUMIFS(Transactions!$D$6:$D$2005,Transactions!$C$6:$C$2005,$A34,Transactions!$A$6:$A$2005,"&gt;="&amp;DATE(Settings!$C$4,2,1),Transactions!$A$6:$A$2005,"&lt;"&amp;DATE(Settings!$C$4,3,1)))</f>
        <v/>
      </c>
      <c r="N34" s="32">
        <f>IF($A34="",0,SUMIFS(Transactions!$D$6:$D$2005,Transactions!$C$6:$C$2005,$A34,Transactions!$A$6:$A$2005,"&gt;="&amp;DATE(Settings!$C$4,3,1),Transactions!$A$6:$A$2005,"&lt;"&amp;DATE(Settings!$C$4,4,1)))</f>
        <v/>
      </c>
      <c r="O34" s="32">
        <f>IF($A34="",0,SUMIFS(Transactions!$D$6:$D$2005,Transactions!$C$6:$C$2005,$A34,Transactions!$A$6:$A$2005,"&gt;="&amp;DATE(Settings!$C$4,4,1),Transactions!$A$6:$A$2005,"&lt;"&amp;DATE(Settings!$C$4,5,1)))</f>
        <v/>
      </c>
      <c r="P34" s="32">
        <f>IF($A34="",0,SUMIFS(Transactions!$D$6:$D$2005,Transactions!$C$6:$C$2005,$A34,Transactions!$A$6:$A$2005,"&gt;="&amp;DATE(Settings!$C$4,5,1),Transactions!$A$6:$A$2005,"&lt;"&amp;DATE(Settings!$C$4,6,1)))</f>
        <v/>
      </c>
      <c r="Q34" s="32">
        <f>IF($A34="",0,SUMIFS(Transactions!$D$6:$D$2005,Transactions!$C$6:$C$2005,$A34,Transactions!$A$6:$A$2005,"&gt;="&amp;DATE(Settings!$C$4,6,1),Transactions!$A$6:$A$2005,"&lt;"&amp;DATE(Settings!$C$4,7,1)))</f>
        <v/>
      </c>
      <c r="R34" s="32">
        <f>IF($A34="",0,SUMIFS(Transactions!$D$6:$D$2005,Transactions!$C$6:$C$2005,$A34,Transactions!$A$6:$A$2005,"&gt;="&amp;DATE(Settings!$C$4,7,1),Transactions!$A$6:$A$2005,"&lt;"&amp;DATE(Settings!$C$4,8,1)))</f>
        <v/>
      </c>
      <c r="S34" s="32">
        <f>IF($A34="",0,SUMIFS(Transactions!$D$6:$D$2005,Transactions!$C$6:$C$2005,$A34,Transactions!$A$6:$A$2005,"&gt;="&amp;DATE(Settings!$C$4,8,1),Transactions!$A$6:$A$2005,"&lt;"&amp;DATE(Settings!$C$4,9,1)))</f>
        <v/>
      </c>
      <c r="T34" s="32">
        <f>IF($A34="",0,SUMIFS(Transactions!$D$6:$D$2005,Transactions!$C$6:$C$2005,$A34,Transactions!$A$6:$A$2005,"&gt;="&amp;DATE(Settings!$C$4,9,1),Transactions!$A$6:$A$2005,"&lt;"&amp;DATE(Settings!$C$4,10,1)))</f>
        <v/>
      </c>
      <c r="U34" s="32">
        <f>IF($A34="",0,SUMIFS(Transactions!$D$6:$D$2005,Transactions!$C$6:$C$2005,$A34,Transactions!$A$6:$A$2005,"&gt;="&amp;DATE(Settings!$C$4,10,1),Transactions!$A$6:$A$2005,"&lt;"&amp;DATE(Settings!$C$4,11,1)))</f>
        <v/>
      </c>
      <c r="V34" s="32">
        <f>IF($A34="",0,SUMIFS(Transactions!$D$6:$D$2005,Transactions!$C$6:$C$2005,$A34,Transactions!$A$6:$A$2005,"&gt;="&amp;DATE(Settings!$C$4,11,1),Transactions!$A$6:$A$2005,"&lt;"&amp;DATE(Settings!$C$4,12,1)))</f>
        <v/>
      </c>
      <c r="W34" s="32">
        <f>IF($A34="",0,SUMIFS(Transactions!$D$6:$D$2005,Transactions!$C$6:$C$2005,$A34,Transactions!$A$6:$A$2005,"&gt;="&amp;DATE(Settings!$C$4,12,1),Transactions!$A$6:$A$2005,"&lt;"&amp;DATE(Settings!$C$4,13,1)))</f>
        <v/>
      </c>
      <c r="X34" s="40">
        <f>SUM(L34:W34)</f>
        <v/>
      </c>
      <c r="Y34" s="32">
        <f>IF($A34="",0,'Monthly Budget'!$P34)</f>
        <v/>
      </c>
      <c r="Z34" s="32">
        <f>X34-Y34</f>
        <v/>
      </c>
      <c r="AA34" s="46">
        <f>IF(AND(X34&gt;0,OR(B34="Fixed bills",B34="Variable expenses")),X34+ROW()/10000000,0)</f>
        <v/>
      </c>
    </row>
    <row r="35">
      <c r="A35" s="38">
        <f>IF(Categories!$A27="","",Categories!$A27)</f>
        <v/>
      </c>
      <c r="B35" s="29">
        <f>IF(A35="","",Categories!$B27&amp;"")</f>
        <v/>
      </c>
      <c r="C35" s="32">
        <f>IF($A35="",0,INDEX('Monthly Budget'!$D35:$O35,1,Settings!$C$12))</f>
        <v/>
      </c>
      <c r="D35" s="40">
        <f>INDEX($L35:$W35,1,Settings!$C$12)</f>
        <v/>
      </c>
      <c r="E35" s="32">
        <f>D35-C35</f>
        <v/>
      </c>
      <c r="F35" s="44">
        <f>IF(C35=0,"",D35/C35)</f>
        <v/>
      </c>
      <c r="H35" s="32">
        <f>IF($A35="",0,SUMIFS('Monthly Budget'!$D35:$O35,Lists!$I$2:$T$2,"&lt;="&amp;Settings!$C$12))</f>
        <v/>
      </c>
      <c r="I35" s="32">
        <f>SUMIFS($L35:$W35,Lists!$I$2:$T$2,"&lt;="&amp;Settings!$C$12)</f>
        <v/>
      </c>
      <c r="J35" s="32">
        <f>I35-H35</f>
        <v/>
      </c>
      <c r="L35" s="32">
        <f>IF($A35="",0,SUMIFS(Transactions!$D$6:$D$2005,Transactions!$C$6:$C$2005,$A35,Transactions!$A$6:$A$2005,"&gt;="&amp;DATE(Settings!$C$4,1,1),Transactions!$A$6:$A$2005,"&lt;"&amp;DATE(Settings!$C$4,2,1)))</f>
        <v/>
      </c>
      <c r="M35" s="32">
        <f>IF($A35="",0,SUMIFS(Transactions!$D$6:$D$2005,Transactions!$C$6:$C$2005,$A35,Transactions!$A$6:$A$2005,"&gt;="&amp;DATE(Settings!$C$4,2,1),Transactions!$A$6:$A$2005,"&lt;"&amp;DATE(Settings!$C$4,3,1)))</f>
        <v/>
      </c>
      <c r="N35" s="32">
        <f>IF($A35="",0,SUMIFS(Transactions!$D$6:$D$2005,Transactions!$C$6:$C$2005,$A35,Transactions!$A$6:$A$2005,"&gt;="&amp;DATE(Settings!$C$4,3,1),Transactions!$A$6:$A$2005,"&lt;"&amp;DATE(Settings!$C$4,4,1)))</f>
        <v/>
      </c>
      <c r="O35" s="32">
        <f>IF($A35="",0,SUMIFS(Transactions!$D$6:$D$2005,Transactions!$C$6:$C$2005,$A35,Transactions!$A$6:$A$2005,"&gt;="&amp;DATE(Settings!$C$4,4,1),Transactions!$A$6:$A$2005,"&lt;"&amp;DATE(Settings!$C$4,5,1)))</f>
        <v/>
      </c>
      <c r="P35" s="32">
        <f>IF($A35="",0,SUMIFS(Transactions!$D$6:$D$2005,Transactions!$C$6:$C$2005,$A35,Transactions!$A$6:$A$2005,"&gt;="&amp;DATE(Settings!$C$4,5,1),Transactions!$A$6:$A$2005,"&lt;"&amp;DATE(Settings!$C$4,6,1)))</f>
        <v/>
      </c>
      <c r="Q35" s="32">
        <f>IF($A35="",0,SUMIFS(Transactions!$D$6:$D$2005,Transactions!$C$6:$C$2005,$A35,Transactions!$A$6:$A$2005,"&gt;="&amp;DATE(Settings!$C$4,6,1),Transactions!$A$6:$A$2005,"&lt;"&amp;DATE(Settings!$C$4,7,1)))</f>
        <v/>
      </c>
      <c r="R35" s="32">
        <f>IF($A35="",0,SUMIFS(Transactions!$D$6:$D$2005,Transactions!$C$6:$C$2005,$A35,Transactions!$A$6:$A$2005,"&gt;="&amp;DATE(Settings!$C$4,7,1),Transactions!$A$6:$A$2005,"&lt;"&amp;DATE(Settings!$C$4,8,1)))</f>
        <v/>
      </c>
      <c r="S35" s="32">
        <f>IF($A35="",0,SUMIFS(Transactions!$D$6:$D$2005,Transactions!$C$6:$C$2005,$A35,Transactions!$A$6:$A$2005,"&gt;="&amp;DATE(Settings!$C$4,8,1),Transactions!$A$6:$A$2005,"&lt;"&amp;DATE(Settings!$C$4,9,1)))</f>
        <v/>
      </c>
      <c r="T35" s="32">
        <f>IF($A35="",0,SUMIFS(Transactions!$D$6:$D$2005,Transactions!$C$6:$C$2005,$A35,Transactions!$A$6:$A$2005,"&gt;="&amp;DATE(Settings!$C$4,9,1),Transactions!$A$6:$A$2005,"&lt;"&amp;DATE(Settings!$C$4,10,1)))</f>
        <v/>
      </c>
      <c r="U35" s="32">
        <f>IF($A35="",0,SUMIFS(Transactions!$D$6:$D$2005,Transactions!$C$6:$C$2005,$A35,Transactions!$A$6:$A$2005,"&gt;="&amp;DATE(Settings!$C$4,10,1),Transactions!$A$6:$A$2005,"&lt;"&amp;DATE(Settings!$C$4,11,1)))</f>
        <v/>
      </c>
      <c r="V35" s="32">
        <f>IF($A35="",0,SUMIFS(Transactions!$D$6:$D$2005,Transactions!$C$6:$C$2005,$A35,Transactions!$A$6:$A$2005,"&gt;="&amp;DATE(Settings!$C$4,11,1),Transactions!$A$6:$A$2005,"&lt;"&amp;DATE(Settings!$C$4,12,1)))</f>
        <v/>
      </c>
      <c r="W35" s="32">
        <f>IF($A35="",0,SUMIFS(Transactions!$D$6:$D$2005,Transactions!$C$6:$C$2005,$A35,Transactions!$A$6:$A$2005,"&gt;="&amp;DATE(Settings!$C$4,12,1),Transactions!$A$6:$A$2005,"&lt;"&amp;DATE(Settings!$C$4,13,1)))</f>
        <v/>
      </c>
      <c r="X35" s="40">
        <f>SUM(L35:W35)</f>
        <v/>
      </c>
      <c r="Y35" s="32">
        <f>IF($A35="",0,'Monthly Budget'!$P35)</f>
        <v/>
      </c>
      <c r="Z35" s="32">
        <f>X35-Y35</f>
        <v/>
      </c>
      <c r="AA35" s="46">
        <f>IF(AND(X35&gt;0,OR(B35="Fixed bills",B35="Variable expenses")),X35+ROW()/10000000,0)</f>
        <v/>
      </c>
    </row>
    <row r="36">
      <c r="A36" s="38">
        <f>IF(Categories!$A28="","",Categories!$A28)</f>
        <v/>
      </c>
      <c r="B36" s="29">
        <f>IF(A36="","",Categories!$B28&amp;"")</f>
        <v/>
      </c>
      <c r="C36" s="32">
        <f>IF($A36="",0,INDEX('Monthly Budget'!$D36:$O36,1,Settings!$C$12))</f>
        <v/>
      </c>
      <c r="D36" s="40">
        <f>INDEX($L36:$W36,1,Settings!$C$12)</f>
        <v/>
      </c>
      <c r="E36" s="32">
        <f>D36-C36</f>
        <v/>
      </c>
      <c r="F36" s="44">
        <f>IF(C36=0,"",D36/C36)</f>
        <v/>
      </c>
      <c r="H36" s="32">
        <f>IF($A36="",0,SUMIFS('Monthly Budget'!$D36:$O36,Lists!$I$2:$T$2,"&lt;="&amp;Settings!$C$12))</f>
        <v/>
      </c>
      <c r="I36" s="32">
        <f>SUMIFS($L36:$W36,Lists!$I$2:$T$2,"&lt;="&amp;Settings!$C$12)</f>
        <v/>
      </c>
      <c r="J36" s="32">
        <f>I36-H36</f>
        <v/>
      </c>
      <c r="L36" s="32">
        <f>IF($A36="",0,SUMIFS(Transactions!$D$6:$D$2005,Transactions!$C$6:$C$2005,$A36,Transactions!$A$6:$A$2005,"&gt;="&amp;DATE(Settings!$C$4,1,1),Transactions!$A$6:$A$2005,"&lt;"&amp;DATE(Settings!$C$4,2,1)))</f>
        <v/>
      </c>
      <c r="M36" s="32">
        <f>IF($A36="",0,SUMIFS(Transactions!$D$6:$D$2005,Transactions!$C$6:$C$2005,$A36,Transactions!$A$6:$A$2005,"&gt;="&amp;DATE(Settings!$C$4,2,1),Transactions!$A$6:$A$2005,"&lt;"&amp;DATE(Settings!$C$4,3,1)))</f>
        <v/>
      </c>
      <c r="N36" s="32">
        <f>IF($A36="",0,SUMIFS(Transactions!$D$6:$D$2005,Transactions!$C$6:$C$2005,$A36,Transactions!$A$6:$A$2005,"&gt;="&amp;DATE(Settings!$C$4,3,1),Transactions!$A$6:$A$2005,"&lt;"&amp;DATE(Settings!$C$4,4,1)))</f>
        <v/>
      </c>
      <c r="O36" s="32">
        <f>IF($A36="",0,SUMIFS(Transactions!$D$6:$D$2005,Transactions!$C$6:$C$2005,$A36,Transactions!$A$6:$A$2005,"&gt;="&amp;DATE(Settings!$C$4,4,1),Transactions!$A$6:$A$2005,"&lt;"&amp;DATE(Settings!$C$4,5,1)))</f>
        <v/>
      </c>
      <c r="P36" s="32">
        <f>IF($A36="",0,SUMIFS(Transactions!$D$6:$D$2005,Transactions!$C$6:$C$2005,$A36,Transactions!$A$6:$A$2005,"&gt;="&amp;DATE(Settings!$C$4,5,1),Transactions!$A$6:$A$2005,"&lt;"&amp;DATE(Settings!$C$4,6,1)))</f>
        <v/>
      </c>
      <c r="Q36" s="32">
        <f>IF($A36="",0,SUMIFS(Transactions!$D$6:$D$2005,Transactions!$C$6:$C$2005,$A36,Transactions!$A$6:$A$2005,"&gt;="&amp;DATE(Settings!$C$4,6,1),Transactions!$A$6:$A$2005,"&lt;"&amp;DATE(Settings!$C$4,7,1)))</f>
        <v/>
      </c>
      <c r="R36" s="32">
        <f>IF($A36="",0,SUMIFS(Transactions!$D$6:$D$2005,Transactions!$C$6:$C$2005,$A36,Transactions!$A$6:$A$2005,"&gt;="&amp;DATE(Settings!$C$4,7,1),Transactions!$A$6:$A$2005,"&lt;"&amp;DATE(Settings!$C$4,8,1)))</f>
        <v/>
      </c>
      <c r="S36" s="32">
        <f>IF($A36="",0,SUMIFS(Transactions!$D$6:$D$2005,Transactions!$C$6:$C$2005,$A36,Transactions!$A$6:$A$2005,"&gt;="&amp;DATE(Settings!$C$4,8,1),Transactions!$A$6:$A$2005,"&lt;"&amp;DATE(Settings!$C$4,9,1)))</f>
        <v/>
      </c>
      <c r="T36" s="32">
        <f>IF($A36="",0,SUMIFS(Transactions!$D$6:$D$2005,Transactions!$C$6:$C$2005,$A36,Transactions!$A$6:$A$2005,"&gt;="&amp;DATE(Settings!$C$4,9,1),Transactions!$A$6:$A$2005,"&lt;"&amp;DATE(Settings!$C$4,10,1)))</f>
        <v/>
      </c>
      <c r="U36" s="32">
        <f>IF($A36="",0,SUMIFS(Transactions!$D$6:$D$2005,Transactions!$C$6:$C$2005,$A36,Transactions!$A$6:$A$2005,"&gt;="&amp;DATE(Settings!$C$4,10,1),Transactions!$A$6:$A$2005,"&lt;"&amp;DATE(Settings!$C$4,11,1)))</f>
        <v/>
      </c>
      <c r="V36" s="32">
        <f>IF($A36="",0,SUMIFS(Transactions!$D$6:$D$2005,Transactions!$C$6:$C$2005,$A36,Transactions!$A$6:$A$2005,"&gt;="&amp;DATE(Settings!$C$4,11,1),Transactions!$A$6:$A$2005,"&lt;"&amp;DATE(Settings!$C$4,12,1)))</f>
        <v/>
      </c>
      <c r="W36" s="32">
        <f>IF($A36="",0,SUMIFS(Transactions!$D$6:$D$2005,Transactions!$C$6:$C$2005,$A36,Transactions!$A$6:$A$2005,"&gt;="&amp;DATE(Settings!$C$4,12,1),Transactions!$A$6:$A$2005,"&lt;"&amp;DATE(Settings!$C$4,13,1)))</f>
        <v/>
      </c>
      <c r="X36" s="40">
        <f>SUM(L36:W36)</f>
        <v/>
      </c>
      <c r="Y36" s="32">
        <f>IF($A36="",0,'Monthly Budget'!$P36)</f>
        <v/>
      </c>
      <c r="Z36" s="32">
        <f>X36-Y36</f>
        <v/>
      </c>
      <c r="AA36" s="46">
        <f>IF(AND(X36&gt;0,OR(B36="Fixed bills",B36="Variable expenses")),X36+ROW()/10000000,0)</f>
        <v/>
      </c>
    </row>
    <row r="37">
      <c r="A37" s="38">
        <f>IF(Categories!$A29="","",Categories!$A29)</f>
        <v/>
      </c>
      <c r="B37" s="29">
        <f>IF(A37="","",Categories!$B29&amp;"")</f>
        <v/>
      </c>
      <c r="C37" s="32">
        <f>IF($A37="",0,INDEX('Monthly Budget'!$D37:$O37,1,Settings!$C$12))</f>
        <v/>
      </c>
      <c r="D37" s="40">
        <f>INDEX($L37:$W37,1,Settings!$C$12)</f>
        <v/>
      </c>
      <c r="E37" s="32">
        <f>D37-C37</f>
        <v/>
      </c>
      <c r="F37" s="44">
        <f>IF(C37=0,"",D37/C37)</f>
        <v/>
      </c>
      <c r="H37" s="32">
        <f>IF($A37="",0,SUMIFS('Monthly Budget'!$D37:$O37,Lists!$I$2:$T$2,"&lt;="&amp;Settings!$C$12))</f>
        <v/>
      </c>
      <c r="I37" s="32">
        <f>SUMIFS($L37:$W37,Lists!$I$2:$T$2,"&lt;="&amp;Settings!$C$12)</f>
        <v/>
      </c>
      <c r="J37" s="32">
        <f>I37-H37</f>
        <v/>
      </c>
      <c r="L37" s="32">
        <f>IF($A37="",0,SUMIFS(Transactions!$D$6:$D$2005,Transactions!$C$6:$C$2005,$A37,Transactions!$A$6:$A$2005,"&gt;="&amp;DATE(Settings!$C$4,1,1),Transactions!$A$6:$A$2005,"&lt;"&amp;DATE(Settings!$C$4,2,1)))</f>
        <v/>
      </c>
      <c r="M37" s="32">
        <f>IF($A37="",0,SUMIFS(Transactions!$D$6:$D$2005,Transactions!$C$6:$C$2005,$A37,Transactions!$A$6:$A$2005,"&gt;="&amp;DATE(Settings!$C$4,2,1),Transactions!$A$6:$A$2005,"&lt;"&amp;DATE(Settings!$C$4,3,1)))</f>
        <v/>
      </c>
      <c r="N37" s="32">
        <f>IF($A37="",0,SUMIFS(Transactions!$D$6:$D$2005,Transactions!$C$6:$C$2005,$A37,Transactions!$A$6:$A$2005,"&gt;="&amp;DATE(Settings!$C$4,3,1),Transactions!$A$6:$A$2005,"&lt;"&amp;DATE(Settings!$C$4,4,1)))</f>
        <v/>
      </c>
      <c r="O37" s="32">
        <f>IF($A37="",0,SUMIFS(Transactions!$D$6:$D$2005,Transactions!$C$6:$C$2005,$A37,Transactions!$A$6:$A$2005,"&gt;="&amp;DATE(Settings!$C$4,4,1),Transactions!$A$6:$A$2005,"&lt;"&amp;DATE(Settings!$C$4,5,1)))</f>
        <v/>
      </c>
      <c r="P37" s="32">
        <f>IF($A37="",0,SUMIFS(Transactions!$D$6:$D$2005,Transactions!$C$6:$C$2005,$A37,Transactions!$A$6:$A$2005,"&gt;="&amp;DATE(Settings!$C$4,5,1),Transactions!$A$6:$A$2005,"&lt;"&amp;DATE(Settings!$C$4,6,1)))</f>
        <v/>
      </c>
      <c r="Q37" s="32">
        <f>IF($A37="",0,SUMIFS(Transactions!$D$6:$D$2005,Transactions!$C$6:$C$2005,$A37,Transactions!$A$6:$A$2005,"&gt;="&amp;DATE(Settings!$C$4,6,1),Transactions!$A$6:$A$2005,"&lt;"&amp;DATE(Settings!$C$4,7,1)))</f>
        <v/>
      </c>
      <c r="R37" s="32">
        <f>IF($A37="",0,SUMIFS(Transactions!$D$6:$D$2005,Transactions!$C$6:$C$2005,$A37,Transactions!$A$6:$A$2005,"&gt;="&amp;DATE(Settings!$C$4,7,1),Transactions!$A$6:$A$2005,"&lt;"&amp;DATE(Settings!$C$4,8,1)))</f>
        <v/>
      </c>
      <c r="S37" s="32">
        <f>IF($A37="",0,SUMIFS(Transactions!$D$6:$D$2005,Transactions!$C$6:$C$2005,$A37,Transactions!$A$6:$A$2005,"&gt;="&amp;DATE(Settings!$C$4,8,1),Transactions!$A$6:$A$2005,"&lt;"&amp;DATE(Settings!$C$4,9,1)))</f>
        <v/>
      </c>
      <c r="T37" s="32">
        <f>IF($A37="",0,SUMIFS(Transactions!$D$6:$D$2005,Transactions!$C$6:$C$2005,$A37,Transactions!$A$6:$A$2005,"&gt;="&amp;DATE(Settings!$C$4,9,1),Transactions!$A$6:$A$2005,"&lt;"&amp;DATE(Settings!$C$4,10,1)))</f>
        <v/>
      </c>
      <c r="U37" s="32">
        <f>IF($A37="",0,SUMIFS(Transactions!$D$6:$D$2005,Transactions!$C$6:$C$2005,$A37,Transactions!$A$6:$A$2005,"&gt;="&amp;DATE(Settings!$C$4,10,1),Transactions!$A$6:$A$2005,"&lt;"&amp;DATE(Settings!$C$4,11,1)))</f>
        <v/>
      </c>
      <c r="V37" s="32">
        <f>IF($A37="",0,SUMIFS(Transactions!$D$6:$D$2005,Transactions!$C$6:$C$2005,$A37,Transactions!$A$6:$A$2005,"&gt;="&amp;DATE(Settings!$C$4,11,1),Transactions!$A$6:$A$2005,"&lt;"&amp;DATE(Settings!$C$4,12,1)))</f>
        <v/>
      </c>
      <c r="W37" s="32">
        <f>IF($A37="",0,SUMIFS(Transactions!$D$6:$D$2005,Transactions!$C$6:$C$2005,$A37,Transactions!$A$6:$A$2005,"&gt;="&amp;DATE(Settings!$C$4,12,1),Transactions!$A$6:$A$2005,"&lt;"&amp;DATE(Settings!$C$4,13,1)))</f>
        <v/>
      </c>
      <c r="X37" s="40">
        <f>SUM(L37:W37)</f>
        <v/>
      </c>
      <c r="Y37" s="32">
        <f>IF($A37="",0,'Monthly Budget'!$P37)</f>
        <v/>
      </c>
      <c r="Z37" s="32">
        <f>X37-Y37</f>
        <v/>
      </c>
      <c r="AA37" s="46">
        <f>IF(AND(X37&gt;0,OR(B37="Fixed bills",B37="Variable expenses")),X37+ROW()/10000000,0)</f>
        <v/>
      </c>
    </row>
    <row r="38">
      <c r="A38" s="38">
        <f>IF(Categories!$A30="","",Categories!$A30)</f>
        <v/>
      </c>
      <c r="B38" s="29">
        <f>IF(A38="","",Categories!$B30&amp;"")</f>
        <v/>
      </c>
      <c r="C38" s="32">
        <f>IF($A38="",0,INDEX('Monthly Budget'!$D38:$O38,1,Settings!$C$12))</f>
        <v/>
      </c>
      <c r="D38" s="40">
        <f>INDEX($L38:$W38,1,Settings!$C$12)</f>
        <v/>
      </c>
      <c r="E38" s="32">
        <f>D38-C38</f>
        <v/>
      </c>
      <c r="F38" s="44">
        <f>IF(C38=0,"",D38/C38)</f>
        <v/>
      </c>
      <c r="H38" s="32">
        <f>IF($A38="",0,SUMIFS('Monthly Budget'!$D38:$O38,Lists!$I$2:$T$2,"&lt;="&amp;Settings!$C$12))</f>
        <v/>
      </c>
      <c r="I38" s="32">
        <f>SUMIFS($L38:$W38,Lists!$I$2:$T$2,"&lt;="&amp;Settings!$C$12)</f>
        <v/>
      </c>
      <c r="J38" s="32">
        <f>I38-H38</f>
        <v/>
      </c>
      <c r="L38" s="32">
        <f>IF($A38="",0,SUMIFS(Transactions!$D$6:$D$2005,Transactions!$C$6:$C$2005,$A38,Transactions!$A$6:$A$2005,"&gt;="&amp;DATE(Settings!$C$4,1,1),Transactions!$A$6:$A$2005,"&lt;"&amp;DATE(Settings!$C$4,2,1)))</f>
        <v/>
      </c>
      <c r="M38" s="32">
        <f>IF($A38="",0,SUMIFS(Transactions!$D$6:$D$2005,Transactions!$C$6:$C$2005,$A38,Transactions!$A$6:$A$2005,"&gt;="&amp;DATE(Settings!$C$4,2,1),Transactions!$A$6:$A$2005,"&lt;"&amp;DATE(Settings!$C$4,3,1)))</f>
        <v/>
      </c>
      <c r="N38" s="32">
        <f>IF($A38="",0,SUMIFS(Transactions!$D$6:$D$2005,Transactions!$C$6:$C$2005,$A38,Transactions!$A$6:$A$2005,"&gt;="&amp;DATE(Settings!$C$4,3,1),Transactions!$A$6:$A$2005,"&lt;"&amp;DATE(Settings!$C$4,4,1)))</f>
        <v/>
      </c>
      <c r="O38" s="32">
        <f>IF($A38="",0,SUMIFS(Transactions!$D$6:$D$2005,Transactions!$C$6:$C$2005,$A38,Transactions!$A$6:$A$2005,"&gt;="&amp;DATE(Settings!$C$4,4,1),Transactions!$A$6:$A$2005,"&lt;"&amp;DATE(Settings!$C$4,5,1)))</f>
        <v/>
      </c>
      <c r="P38" s="32">
        <f>IF($A38="",0,SUMIFS(Transactions!$D$6:$D$2005,Transactions!$C$6:$C$2005,$A38,Transactions!$A$6:$A$2005,"&gt;="&amp;DATE(Settings!$C$4,5,1),Transactions!$A$6:$A$2005,"&lt;"&amp;DATE(Settings!$C$4,6,1)))</f>
        <v/>
      </c>
      <c r="Q38" s="32">
        <f>IF($A38="",0,SUMIFS(Transactions!$D$6:$D$2005,Transactions!$C$6:$C$2005,$A38,Transactions!$A$6:$A$2005,"&gt;="&amp;DATE(Settings!$C$4,6,1),Transactions!$A$6:$A$2005,"&lt;"&amp;DATE(Settings!$C$4,7,1)))</f>
        <v/>
      </c>
      <c r="R38" s="32">
        <f>IF($A38="",0,SUMIFS(Transactions!$D$6:$D$2005,Transactions!$C$6:$C$2005,$A38,Transactions!$A$6:$A$2005,"&gt;="&amp;DATE(Settings!$C$4,7,1),Transactions!$A$6:$A$2005,"&lt;"&amp;DATE(Settings!$C$4,8,1)))</f>
        <v/>
      </c>
      <c r="S38" s="32">
        <f>IF($A38="",0,SUMIFS(Transactions!$D$6:$D$2005,Transactions!$C$6:$C$2005,$A38,Transactions!$A$6:$A$2005,"&gt;="&amp;DATE(Settings!$C$4,8,1),Transactions!$A$6:$A$2005,"&lt;"&amp;DATE(Settings!$C$4,9,1)))</f>
        <v/>
      </c>
      <c r="T38" s="32">
        <f>IF($A38="",0,SUMIFS(Transactions!$D$6:$D$2005,Transactions!$C$6:$C$2005,$A38,Transactions!$A$6:$A$2005,"&gt;="&amp;DATE(Settings!$C$4,9,1),Transactions!$A$6:$A$2005,"&lt;"&amp;DATE(Settings!$C$4,10,1)))</f>
        <v/>
      </c>
      <c r="U38" s="32">
        <f>IF($A38="",0,SUMIFS(Transactions!$D$6:$D$2005,Transactions!$C$6:$C$2005,$A38,Transactions!$A$6:$A$2005,"&gt;="&amp;DATE(Settings!$C$4,10,1),Transactions!$A$6:$A$2005,"&lt;"&amp;DATE(Settings!$C$4,11,1)))</f>
        <v/>
      </c>
      <c r="V38" s="32">
        <f>IF($A38="",0,SUMIFS(Transactions!$D$6:$D$2005,Transactions!$C$6:$C$2005,$A38,Transactions!$A$6:$A$2005,"&gt;="&amp;DATE(Settings!$C$4,11,1),Transactions!$A$6:$A$2005,"&lt;"&amp;DATE(Settings!$C$4,12,1)))</f>
        <v/>
      </c>
      <c r="W38" s="32">
        <f>IF($A38="",0,SUMIFS(Transactions!$D$6:$D$2005,Transactions!$C$6:$C$2005,$A38,Transactions!$A$6:$A$2005,"&gt;="&amp;DATE(Settings!$C$4,12,1),Transactions!$A$6:$A$2005,"&lt;"&amp;DATE(Settings!$C$4,13,1)))</f>
        <v/>
      </c>
      <c r="X38" s="40">
        <f>SUM(L38:W38)</f>
        <v/>
      </c>
      <c r="Y38" s="32">
        <f>IF($A38="",0,'Monthly Budget'!$P38)</f>
        <v/>
      </c>
      <c r="Z38" s="32">
        <f>X38-Y38</f>
        <v/>
      </c>
      <c r="AA38" s="46">
        <f>IF(AND(X38&gt;0,OR(B38="Fixed bills",B38="Variable expenses")),X38+ROW()/10000000,0)</f>
        <v/>
      </c>
    </row>
    <row r="39">
      <c r="A39" s="38">
        <f>IF(Categories!$A31="","",Categories!$A31)</f>
        <v/>
      </c>
      <c r="B39" s="29">
        <f>IF(A39="","",Categories!$B31&amp;"")</f>
        <v/>
      </c>
      <c r="C39" s="32">
        <f>IF($A39="",0,INDEX('Monthly Budget'!$D39:$O39,1,Settings!$C$12))</f>
        <v/>
      </c>
      <c r="D39" s="40">
        <f>INDEX($L39:$W39,1,Settings!$C$12)</f>
        <v/>
      </c>
      <c r="E39" s="32">
        <f>D39-C39</f>
        <v/>
      </c>
      <c r="F39" s="44">
        <f>IF(C39=0,"",D39/C39)</f>
        <v/>
      </c>
      <c r="H39" s="32">
        <f>IF($A39="",0,SUMIFS('Monthly Budget'!$D39:$O39,Lists!$I$2:$T$2,"&lt;="&amp;Settings!$C$12))</f>
        <v/>
      </c>
      <c r="I39" s="32">
        <f>SUMIFS($L39:$W39,Lists!$I$2:$T$2,"&lt;="&amp;Settings!$C$12)</f>
        <v/>
      </c>
      <c r="J39" s="32">
        <f>I39-H39</f>
        <v/>
      </c>
      <c r="L39" s="32">
        <f>IF($A39="",0,SUMIFS(Transactions!$D$6:$D$2005,Transactions!$C$6:$C$2005,$A39,Transactions!$A$6:$A$2005,"&gt;="&amp;DATE(Settings!$C$4,1,1),Transactions!$A$6:$A$2005,"&lt;"&amp;DATE(Settings!$C$4,2,1)))</f>
        <v/>
      </c>
      <c r="M39" s="32">
        <f>IF($A39="",0,SUMIFS(Transactions!$D$6:$D$2005,Transactions!$C$6:$C$2005,$A39,Transactions!$A$6:$A$2005,"&gt;="&amp;DATE(Settings!$C$4,2,1),Transactions!$A$6:$A$2005,"&lt;"&amp;DATE(Settings!$C$4,3,1)))</f>
        <v/>
      </c>
      <c r="N39" s="32">
        <f>IF($A39="",0,SUMIFS(Transactions!$D$6:$D$2005,Transactions!$C$6:$C$2005,$A39,Transactions!$A$6:$A$2005,"&gt;="&amp;DATE(Settings!$C$4,3,1),Transactions!$A$6:$A$2005,"&lt;"&amp;DATE(Settings!$C$4,4,1)))</f>
        <v/>
      </c>
      <c r="O39" s="32">
        <f>IF($A39="",0,SUMIFS(Transactions!$D$6:$D$2005,Transactions!$C$6:$C$2005,$A39,Transactions!$A$6:$A$2005,"&gt;="&amp;DATE(Settings!$C$4,4,1),Transactions!$A$6:$A$2005,"&lt;"&amp;DATE(Settings!$C$4,5,1)))</f>
        <v/>
      </c>
      <c r="P39" s="32">
        <f>IF($A39="",0,SUMIFS(Transactions!$D$6:$D$2005,Transactions!$C$6:$C$2005,$A39,Transactions!$A$6:$A$2005,"&gt;="&amp;DATE(Settings!$C$4,5,1),Transactions!$A$6:$A$2005,"&lt;"&amp;DATE(Settings!$C$4,6,1)))</f>
        <v/>
      </c>
      <c r="Q39" s="32">
        <f>IF($A39="",0,SUMIFS(Transactions!$D$6:$D$2005,Transactions!$C$6:$C$2005,$A39,Transactions!$A$6:$A$2005,"&gt;="&amp;DATE(Settings!$C$4,6,1),Transactions!$A$6:$A$2005,"&lt;"&amp;DATE(Settings!$C$4,7,1)))</f>
        <v/>
      </c>
      <c r="R39" s="32">
        <f>IF($A39="",0,SUMIFS(Transactions!$D$6:$D$2005,Transactions!$C$6:$C$2005,$A39,Transactions!$A$6:$A$2005,"&gt;="&amp;DATE(Settings!$C$4,7,1),Transactions!$A$6:$A$2005,"&lt;"&amp;DATE(Settings!$C$4,8,1)))</f>
        <v/>
      </c>
      <c r="S39" s="32">
        <f>IF($A39="",0,SUMIFS(Transactions!$D$6:$D$2005,Transactions!$C$6:$C$2005,$A39,Transactions!$A$6:$A$2005,"&gt;="&amp;DATE(Settings!$C$4,8,1),Transactions!$A$6:$A$2005,"&lt;"&amp;DATE(Settings!$C$4,9,1)))</f>
        <v/>
      </c>
      <c r="T39" s="32">
        <f>IF($A39="",0,SUMIFS(Transactions!$D$6:$D$2005,Transactions!$C$6:$C$2005,$A39,Transactions!$A$6:$A$2005,"&gt;="&amp;DATE(Settings!$C$4,9,1),Transactions!$A$6:$A$2005,"&lt;"&amp;DATE(Settings!$C$4,10,1)))</f>
        <v/>
      </c>
      <c r="U39" s="32">
        <f>IF($A39="",0,SUMIFS(Transactions!$D$6:$D$2005,Transactions!$C$6:$C$2005,$A39,Transactions!$A$6:$A$2005,"&gt;="&amp;DATE(Settings!$C$4,10,1),Transactions!$A$6:$A$2005,"&lt;"&amp;DATE(Settings!$C$4,11,1)))</f>
        <v/>
      </c>
      <c r="V39" s="32">
        <f>IF($A39="",0,SUMIFS(Transactions!$D$6:$D$2005,Transactions!$C$6:$C$2005,$A39,Transactions!$A$6:$A$2005,"&gt;="&amp;DATE(Settings!$C$4,11,1),Transactions!$A$6:$A$2005,"&lt;"&amp;DATE(Settings!$C$4,12,1)))</f>
        <v/>
      </c>
      <c r="W39" s="32">
        <f>IF($A39="",0,SUMIFS(Transactions!$D$6:$D$2005,Transactions!$C$6:$C$2005,$A39,Transactions!$A$6:$A$2005,"&gt;="&amp;DATE(Settings!$C$4,12,1),Transactions!$A$6:$A$2005,"&lt;"&amp;DATE(Settings!$C$4,13,1)))</f>
        <v/>
      </c>
      <c r="X39" s="40">
        <f>SUM(L39:W39)</f>
        <v/>
      </c>
      <c r="Y39" s="32">
        <f>IF($A39="",0,'Monthly Budget'!$P39)</f>
        <v/>
      </c>
      <c r="Z39" s="32">
        <f>X39-Y39</f>
        <v/>
      </c>
      <c r="AA39" s="46">
        <f>IF(AND(X39&gt;0,OR(B39="Fixed bills",B39="Variable expenses")),X39+ROW()/10000000,0)</f>
        <v/>
      </c>
    </row>
    <row r="40">
      <c r="A40" s="38">
        <f>IF(Categories!$A32="","",Categories!$A32)</f>
        <v/>
      </c>
      <c r="B40" s="29">
        <f>IF(A40="","",Categories!$B32&amp;"")</f>
        <v/>
      </c>
      <c r="C40" s="32">
        <f>IF($A40="",0,INDEX('Monthly Budget'!$D40:$O40,1,Settings!$C$12))</f>
        <v/>
      </c>
      <c r="D40" s="40">
        <f>INDEX($L40:$W40,1,Settings!$C$12)</f>
        <v/>
      </c>
      <c r="E40" s="32">
        <f>D40-C40</f>
        <v/>
      </c>
      <c r="F40" s="44">
        <f>IF(C40=0,"",D40/C40)</f>
        <v/>
      </c>
      <c r="H40" s="32">
        <f>IF($A40="",0,SUMIFS('Monthly Budget'!$D40:$O40,Lists!$I$2:$T$2,"&lt;="&amp;Settings!$C$12))</f>
        <v/>
      </c>
      <c r="I40" s="32">
        <f>SUMIFS($L40:$W40,Lists!$I$2:$T$2,"&lt;="&amp;Settings!$C$12)</f>
        <v/>
      </c>
      <c r="J40" s="32">
        <f>I40-H40</f>
        <v/>
      </c>
      <c r="L40" s="32">
        <f>IF($A40="",0,SUMIFS(Transactions!$D$6:$D$2005,Transactions!$C$6:$C$2005,$A40,Transactions!$A$6:$A$2005,"&gt;="&amp;DATE(Settings!$C$4,1,1),Transactions!$A$6:$A$2005,"&lt;"&amp;DATE(Settings!$C$4,2,1)))</f>
        <v/>
      </c>
      <c r="M40" s="32">
        <f>IF($A40="",0,SUMIFS(Transactions!$D$6:$D$2005,Transactions!$C$6:$C$2005,$A40,Transactions!$A$6:$A$2005,"&gt;="&amp;DATE(Settings!$C$4,2,1),Transactions!$A$6:$A$2005,"&lt;"&amp;DATE(Settings!$C$4,3,1)))</f>
        <v/>
      </c>
      <c r="N40" s="32">
        <f>IF($A40="",0,SUMIFS(Transactions!$D$6:$D$2005,Transactions!$C$6:$C$2005,$A40,Transactions!$A$6:$A$2005,"&gt;="&amp;DATE(Settings!$C$4,3,1),Transactions!$A$6:$A$2005,"&lt;"&amp;DATE(Settings!$C$4,4,1)))</f>
        <v/>
      </c>
      <c r="O40" s="32">
        <f>IF($A40="",0,SUMIFS(Transactions!$D$6:$D$2005,Transactions!$C$6:$C$2005,$A40,Transactions!$A$6:$A$2005,"&gt;="&amp;DATE(Settings!$C$4,4,1),Transactions!$A$6:$A$2005,"&lt;"&amp;DATE(Settings!$C$4,5,1)))</f>
        <v/>
      </c>
      <c r="P40" s="32">
        <f>IF($A40="",0,SUMIFS(Transactions!$D$6:$D$2005,Transactions!$C$6:$C$2005,$A40,Transactions!$A$6:$A$2005,"&gt;="&amp;DATE(Settings!$C$4,5,1),Transactions!$A$6:$A$2005,"&lt;"&amp;DATE(Settings!$C$4,6,1)))</f>
        <v/>
      </c>
      <c r="Q40" s="32">
        <f>IF($A40="",0,SUMIFS(Transactions!$D$6:$D$2005,Transactions!$C$6:$C$2005,$A40,Transactions!$A$6:$A$2005,"&gt;="&amp;DATE(Settings!$C$4,6,1),Transactions!$A$6:$A$2005,"&lt;"&amp;DATE(Settings!$C$4,7,1)))</f>
        <v/>
      </c>
      <c r="R40" s="32">
        <f>IF($A40="",0,SUMIFS(Transactions!$D$6:$D$2005,Transactions!$C$6:$C$2005,$A40,Transactions!$A$6:$A$2005,"&gt;="&amp;DATE(Settings!$C$4,7,1),Transactions!$A$6:$A$2005,"&lt;"&amp;DATE(Settings!$C$4,8,1)))</f>
        <v/>
      </c>
      <c r="S40" s="32">
        <f>IF($A40="",0,SUMIFS(Transactions!$D$6:$D$2005,Transactions!$C$6:$C$2005,$A40,Transactions!$A$6:$A$2005,"&gt;="&amp;DATE(Settings!$C$4,8,1),Transactions!$A$6:$A$2005,"&lt;"&amp;DATE(Settings!$C$4,9,1)))</f>
        <v/>
      </c>
      <c r="T40" s="32">
        <f>IF($A40="",0,SUMIFS(Transactions!$D$6:$D$2005,Transactions!$C$6:$C$2005,$A40,Transactions!$A$6:$A$2005,"&gt;="&amp;DATE(Settings!$C$4,9,1),Transactions!$A$6:$A$2005,"&lt;"&amp;DATE(Settings!$C$4,10,1)))</f>
        <v/>
      </c>
      <c r="U40" s="32">
        <f>IF($A40="",0,SUMIFS(Transactions!$D$6:$D$2005,Transactions!$C$6:$C$2005,$A40,Transactions!$A$6:$A$2005,"&gt;="&amp;DATE(Settings!$C$4,10,1),Transactions!$A$6:$A$2005,"&lt;"&amp;DATE(Settings!$C$4,11,1)))</f>
        <v/>
      </c>
      <c r="V40" s="32">
        <f>IF($A40="",0,SUMIFS(Transactions!$D$6:$D$2005,Transactions!$C$6:$C$2005,$A40,Transactions!$A$6:$A$2005,"&gt;="&amp;DATE(Settings!$C$4,11,1),Transactions!$A$6:$A$2005,"&lt;"&amp;DATE(Settings!$C$4,12,1)))</f>
        <v/>
      </c>
      <c r="W40" s="32">
        <f>IF($A40="",0,SUMIFS(Transactions!$D$6:$D$2005,Transactions!$C$6:$C$2005,$A40,Transactions!$A$6:$A$2005,"&gt;="&amp;DATE(Settings!$C$4,12,1),Transactions!$A$6:$A$2005,"&lt;"&amp;DATE(Settings!$C$4,13,1)))</f>
        <v/>
      </c>
      <c r="X40" s="40">
        <f>SUM(L40:W40)</f>
        <v/>
      </c>
      <c r="Y40" s="32">
        <f>IF($A40="",0,'Monthly Budget'!$P40)</f>
        <v/>
      </c>
      <c r="Z40" s="32">
        <f>X40-Y40</f>
        <v/>
      </c>
      <c r="AA40" s="46">
        <f>IF(AND(X40&gt;0,OR(B40="Fixed bills",B40="Variable expenses")),X40+ROW()/10000000,0)</f>
        <v/>
      </c>
    </row>
    <row r="41">
      <c r="A41" s="38">
        <f>IF(Categories!$A33="","",Categories!$A33)</f>
        <v/>
      </c>
      <c r="B41" s="29">
        <f>IF(A41="","",Categories!$B33&amp;"")</f>
        <v/>
      </c>
      <c r="C41" s="32">
        <f>IF($A41="",0,INDEX('Monthly Budget'!$D41:$O41,1,Settings!$C$12))</f>
        <v/>
      </c>
      <c r="D41" s="40">
        <f>INDEX($L41:$W41,1,Settings!$C$12)</f>
        <v/>
      </c>
      <c r="E41" s="32">
        <f>D41-C41</f>
        <v/>
      </c>
      <c r="F41" s="44">
        <f>IF(C41=0,"",D41/C41)</f>
        <v/>
      </c>
      <c r="H41" s="32">
        <f>IF($A41="",0,SUMIFS('Monthly Budget'!$D41:$O41,Lists!$I$2:$T$2,"&lt;="&amp;Settings!$C$12))</f>
        <v/>
      </c>
      <c r="I41" s="32">
        <f>SUMIFS($L41:$W41,Lists!$I$2:$T$2,"&lt;="&amp;Settings!$C$12)</f>
        <v/>
      </c>
      <c r="J41" s="32">
        <f>I41-H41</f>
        <v/>
      </c>
      <c r="L41" s="32">
        <f>IF($A41="",0,SUMIFS(Transactions!$D$6:$D$2005,Transactions!$C$6:$C$2005,$A41,Transactions!$A$6:$A$2005,"&gt;="&amp;DATE(Settings!$C$4,1,1),Transactions!$A$6:$A$2005,"&lt;"&amp;DATE(Settings!$C$4,2,1)))</f>
        <v/>
      </c>
      <c r="M41" s="32">
        <f>IF($A41="",0,SUMIFS(Transactions!$D$6:$D$2005,Transactions!$C$6:$C$2005,$A41,Transactions!$A$6:$A$2005,"&gt;="&amp;DATE(Settings!$C$4,2,1),Transactions!$A$6:$A$2005,"&lt;"&amp;DATE(Settings!$C$4,3,1)))</f>
        <v/>
      </c>
      <c r="N41" s="32">
        <f>IF($A41="",0,SUMIFS(Transactions!$D$6:$D$2005,Transactions!$C$6:$C$2005,$A41,Transactions!$A$6:$A$2005,"&gt;="&amp;DATE(Settings!$C$4,3,1),Transactions!$A$6:$A$2005,"&lt;"&amp;DATE(Settings!$C$4,4,1)))</f>
        <v/>
      </c>
      <c r="O41" s="32">
        <f>IF($A41="",0,SUMIFS(Transactions!$D$6:$D$2005,Transactions!$C$6:$C$2005,$A41,Transactions!$A$6:$A$2005,"&gt;="&amp;DATE(Settings!$C$4,4,1),Transactions!$A$6:$A$2005,"&lt;"&amp;DATE(Settings!$C$4,5,1)))</f>
        <v/>
      </c>
      <c r="P41" s="32">
        <f>IF($A41="",0,SUMIFS(Transactions!$D$6:$D$2005,Transactions!$C$6:$C$2005,$A41,Transactions!$A$6:$A$2005,"&gt;="&amp;DATE(Settings!$C$4,5,1),Transactions!$A$6:$A$2005,"&lt;"&amp;DATE(Settings!$C$4,6,1)))</f>
        <v/>
      </c>
      <c r="Q41" s="32">
        <f>IF($A41="",0,SUMIFS(Transactions!$D$6:$D$2005,Transactions!$C$6:$C$2005,$A41,Transactions!$A$6:$A$2005,"&gt;="&amp;DATE(Settings!$C$4,6,1),Transactions!$A$6:$A$2005,"&lt;"&amp;DATE(Settings!$C$4,7,1)))</f>
        <v/>
      </c>
      <c r="R41" s="32">
        <f>IF($A41="",0,SUMIFS(Transactions!$D$6:$D$2005,Transactions!$C$6:$C$2005,$A41,Transactions!$A$6:$A$2005,"&gt;="&amp;DATE(Settings!$C$4,7,1),Transactions!$A$6:$A$2005,"&lt;"&amp;DATE(Settings!$C$4,8,1)))</f>
        <v/>
      </c>
      <c r="S41" s="32">
        <f>IF($A41="",0,SUMIFS(Transactions!$D$6:$D$2005,Transactions!$C$6:$C$2005,$A41,Transactions!$A$6:$A$2005,"&gt;="&amp;DATE(Settings!$C$4,8,1),Transactions!$A$6:$A$2005,"&lt;"&amp;DATE(Settings!$C$4,9,1)))</f>
        <v/>
      </c>
      <c r="T41" s="32">
        <f>IF($A41="",0,SUMIFS(Transactions!$D$6:$D$2005,Transactions!$C$6:$C$2005,$A41,Transactions!$A$6:$A$2005,"&gt;="&amp;DATE(Settings!$C$4,9,1),Transactions!$A$6:$A$2005,"&lt;"&amp;DATE(Settings!$C$4,10,1)))</f>
        <v/>
      </c>
      <c r="U41" s="32">
        <f>IF($A41="",0,SUMIFS(Transactions!$D$6:$D$2005,Transactions!$C$6:$C$2005,$A41,Transactions!$A$6:$A$2005,"&gt;="&amp;DATE(Settings!$C$4,10,1),Transactions!$A$6:$A$2005,"&lt;"&amp;DATE(Settings!$C$4,11,1)))</f>
        <v/>
      </c>
      <c r="V41" s="32">
        <f>IF($A41="",0,SUMIFS(Transactions!$D$6:$D$2005,Transactions!$C$6:$C$2005,$A41,Transactions!$A$6:$A$2005,"&gt;="&amp;DATE(Settings!$C$4,11,1),Transactions!$A$6:$A$2005,"&lt;"&amp;DATE(Settings!$C$4,12,1)))</f>
        <v/>
      </c>
      <c r="W41" s="32">
        <f>IF($A41="",0,SUMIFS(Transactions!$D$6:$D$2005,Transactions!$C$6:$C$2005,$A41,Transactions!$A$6:$A$2005,"&gt;="&amp;DATE(Settings!$C$4,12,1),Transactions!$A$6:$A$2005,"&lt;"&amp;DATE(Settings!$C$4,13,1)))</f>
        <v/>
      </c>
      <c r="X41" s="40">
        <f>SUM(L41:W41)</f>
        <v/>
      </c>
      <c r="Y41" s="32">
        <f>IF($A41="",0,'Monthly Budget'!$P41)</f>
        <v/>
      </c>
      <c r="Z41" s="32">
        <f>X41-Y41</f>
        <v/>
      </c>
      <c r="AA41" s="46">
        <f>IF(AND(X41&gt;0,OR(B41="Fixed bills",B41="Variable expenses")),X41+ROW()/10000000,0)</f>
        <v/>
      </c>
    </row>
    <row r="42">
      <c r="A42" s="38">
        <f>IF(Categories!$A34="","",Categories!$A34)</f>
        <v/>
      </c>
      <c r="B42" s="29">
        <f>IF(A42="","",Categories!$B34&amp;"")</f>
        <v/>
      </c>
      <c r="C42" s="32">
        <f>IF($A42="",0,INDEX('Monthly Budget'!$D42:$O42,1,Settings!$C$12))</f>
        <v/>
      </c>
      <c r="D42" s="40">
        <f>INDEX($L42:$W42,1,Settings!$C$12)</f>
        <v/>
      </c>
      <c r="E42" s="32">
        <f>D42-C42</f>
        <v/>
      </c>
      <c r="F42" s="44">
        <f>IF(C42=0,"",D42/C42)</f>
        <v/>
      </c>
      <c r="H42" s="32">
        <f>IF($A42="",0,SUMIFS('Monthly Budget'!$D42:$O42,Lists!$I$2:$T$2,"&lt;="&amp;Settings!$C$12))</f>
        <v/>
      </c>
      <c r="I42" s="32">
        <f>SUMIFS($L42:$W42,Lists!$I$2:$T$2,"&lt;="&amp;Settings!$C$12)</f>
        <v/>
      </c>
      <c r="J42" s="32">
        <f>I42-H42</f>
        <v/>
      </c>
      <c r="L42" s="32">
        <f>IF($A42="",0,SUMIFS(Transactions!$D$6:$D$2005,Transactions!$C$6:$C$2005,$A42,Transactions!$A$6:$A$2005,"&gt;="&amp;DATE(Settings!$C$4,1,1),Transactions!$A$6:$A$2005,"&lt;"&amp;DATE(Settings!$C$4,2,1)))</f>
        <v/>
      </c>
      <c r="M42" s="32">
        <f>IF($A42="",0,SUMIFS(Transactions!$D$6:$D$2005,Transactions!$C$6:$C$2005,$A42,Transactions!$A$6:$A$2005,"&gt;="&amp;DATE(Settings!$C$4,2,1),Transactions!$A$6:$A$2005,"&lt;"&amp;DATE(Settings!$C$4,3,1)))</f>
        <v/>
      </c>
      <c r="N42" s="32">
        <f>IF($A42="",0,SUMIFS(Transactions!$D$6:$D$2005,Transactions!$C$6:$C$2005,$A42,Transactions!$A$6:$A$2005,"&gt;="&amp;DATE(Settings!$C$4,3,1),Transactions!$A$6:$A$2005,"&lt;"&amp;DATE(Settings!$C$4,4,1)))</f>
        <v/>
      </c>
      <c r="O42" s="32">
        <f>IF($A42="",0,SUMIFS(Transactions!$D$6:$D$2005,Transactions!$C$6:$C$2005,$A42,Transactions!$A$6:$A$2005,"&gt;="&amp;DATE(Settings!$C$4,4,1),Transactions!$A$6:$A$2005,"&lt;"&amp;DATE(Settings!$C$4,5,1)))</f>
        <v/>
      </c>
      <c r="P42" s="32">
        <f>IF($A42="",0,SUMIFS(Transactions!$D$6:$D$2005,Transactions!$C$6:$C$2005,$A42,Transactions!$A$6:$A$2005,"&gt;="&amp;DATE(Settings!$C$4,5,1),Transactions!$A$6:$A$2005,"&lt;"&amp;DATE(Settings!$C$4,6,1)))</f>
        <v/>
      </c>
      <c r="Q42" s="32">
        <f>IF($A42="",0,SUMIFS(Transactions!$D$6:$D$2005,Transactions!$C$6:$C$2005,$A42,Transactions!$A$6:$A$2005,"&gt;="&amp;DATE(Settings!$C$4,6,1),Transactions!$A$6:$A$2005,"&lt;"&amp;DATE(Settings!$C$4,7,1)))</f>
        <v/>
      </c>
      <c r="R42" s="32">
        <f>IF($A42="",0,SUMIFS(Transactions!$D$6:$D$2005,Transactions!$C$6:$C$2005,$A42,Transactions!$A$6:$A$2005,"&gt;="&amp;DATE(Settings!$C$4,7,1),Transactions!$A$6:$A$2005,"&lt;"&amp;DATE(Settings!$C$4,8,1)))</f>
        <v/>
      </c>
      <c r="S42" s="32">
        <f>IF($A42="",0,SUMIFS(Transactions!$D$6:$D$2005,Transactions!$C$6:$C$2005,$A42,Transactions!$A$6:$A$2005,"&gt;="&amp;DATE(Settings!$C$4,8,1),Transactions!$A$6:$A$2005,"&lt;"&amp;DATE(Settings!$C$4,9,1)))</f>
        <v/>
      </c>
      <c r="T42" s="32">
        <f>IF($A42="",0,SUMIFS(Transactions!$D$6:$D$2005,Transactions!$C$6:$C$2005,$A42,Transactions!$A$6:$A$2005,"&gt;="&amp;DATE(Settings!$C$4,9,1),Transactions!$A$6:$A$2005,"&lt;"&amp;DATE(Settings!$C$4,10,1)))</f>
        <v/>
      </c>
      <c r="U42" s="32">
        <f>IF($A42="",0,SUMIFS(Transactions!$D$6:$D$2005,Transactions!$C$6:$C$2005,$A42,Transactions!$A$6:$A$2005,"&gt;="&amp;DATE(Settings!$C$4,10,1),Transactions!$A$6:$A$2005,"&lt;"&amp;DATE(Settings!$C$4,11,1)))</f>
        <v/>
      </c>
      <c r="V42" s="32">
        <f>IF($A42="",0,SUMIFS(Transactions!$D$6:$D$2005,Transactions!$C$6:$C$2005,$A42,Transactions!$A$6:$A$2005,"&gt;="&amp;DATE(Settings!$C$4,11,1),Transactions!$A$6:$A$2005,"&lt;"&amp;DATE(Settings!$C$4,12,1)))</f>
        <v/>
      </c>
      <c r="W42" s="32">
        <f>IF($A42="",0,SUMIFS(Transactions!$D$6:$D$2005,Transactions!$C$6:$C$2005,$A42,Transactions!$A$6:$A$2005,"&gt;="&amp;DATE(Settings!$C$4,12,1),Transactions!$A$6:$A$2005,"&lt;"&amp;DATE(Settings!$C$4,13,1)))</f>
        <v/>
      </c>
      <c r="X42" s="40">
        <f>SUM(L42:W42)</f>
        <v/>
      </c>
      <c r="Y42" s="32">
        <f>IF($A42="",0,'Monthly Budget'!$P42)</f>
        <v/>
      </c>
      <c r="Z42" s="32">
        <f>X42-Y42</f>
        <v/>
      </c>
      <c r="AA42" s="46">
        <f>IF(AND(X42&gt;0,OR(B42="Fixed bills",B42="Variable expenses")),X42+ROW()/10000000,0)</f>
        <v/>
      </c>
    </row>
    <row r="43">
      <c r="A43" s="38">
        <f>IF(Categories!$A35="","",Categories!$A35)</f>
        <v/>
      </c>
      <c r="B43" s="29">
        <f>IF(A43="","",Categories!$B35&amp;"")</f>
        <v/>
      </c>
      <c r="C43" s="32">
        <f>IF($A43="",0,INDEX('Monthly Budget'!$D43:$O43,1,Settings!$C$12))</f>
        <v/>
      </c>
      <c r="D43" s="40">
        <f>INDEX($L43:$W43,1,Settings!$C$12)</f>
        <v/>
      </c>
      <c r="E43" s="32">
        <f>D43-C43</f>
        <v/>
      </c>
      <c r="F43" s="44">
        <f>IF(C43=0,"",D43/C43)</f>
        <v/>
      </c>
      <c r="H43" s="32">
        <f>IF($A43="",0,SUMIFS('Monthly Budget'!$D43:$O43,Lists!$I$2:$T$2,"&lt;="&amp;Settings!$C$12))</f>
        <v/>
      </c>
      <c r="I43" s="32">
        <f>SUMIFS($L43:$W43,Lists!$I$2:$T$2,"&lt;="&amp;Settings!$C$12)</f>
        <v/>
      </c>
      <c r="J43" s="32">
        <f>I43-H43</f>
        <v/>
      </c>
      <c r="L43" s="32">
        <f>IF($A43="",0,SUMIFS(Transactions!$D$6:$D$2005,Transactions!$C$6:$C$2005,$A43,Transactions!$A$6:$A$2005,"&gt;="&amp;DATE(Settings!$C$4,1,1),Transactions!$A$6:$A$2005,"&lt;"&amp;DATE(Settings!$C$4,2,1)))</f>
        <v/>
      </c>
      <c r="M43" s="32">
        <f>IF($A43="",0,SUMIFS(Transactions!$D$6:$D$2005,Transactions!$C$6:$C$2005,$A43,Transactions!$A$6:$A$2005,"&gt;="&amp;DATE(Settings!$C$4,2,1),Transactions!$A$6:$A$2005,"&lt;"&amp;DATE(Settings!$C$4,3,1)))</f>
        <v/>
      </c>
      <c r="N43" s="32">
        <f>IF($A43="",0,SUMIFS(Transactions!$D$6:$D$2005,Transactions!$C$6:$C$2005,$A43,Transactions!$A$6:$A$2005,"&gt;="&amp;DATE(Settings!$C$4,3,1),Transactions!$A$6:$A$2005,"&lt;"&amp;DATE(Settings!$C$4,4,1)))</f>
        <v/>
      </c>
      <c r="O43" s="32">
        <f>IF($A43="",0,SUMIFS(Transactions!$D$6:$D$2005,Transactions!$C$6:$C$2005,$A43,Transactions!$A$6:$A$2005,"&gt;="&amp;DATE(Settings!$C$4,4,1),Transactions!$A$6:$A$2005,"&lt;"&amp;DATE(Settings!$C$4,5,1)))</f>
        <v/>
      </c>
      <c r="P43" s="32">
        <f>IF($A43="",0,SUMIFS(Transactions!$D$6:$D$2005,Transactions!$C$6:$C$2005,$A43,Transactions!$A$6:$A$2005,"&gt;="&amp;DATE(Settings!$C$4,5,1),Transactions!$A$6:$A$2005,"&lt;"&amp;DATE(Settings!$C$4,6,1)))</f>
        <v/>
      </c>
      <c r="Q43" s="32">
        <f>IF($A43="",0,SUMIFS(Transactions!$D$6:$D$2005,Transactions!$C$6:$C$2005,$A43,Transactions!$A$6:$A$2005,"&gt;="&amp;DATE(Settings!$C$4,6,1),Transactions!$A$6:$A$2005,"&lt;"&amp;DATE(Settings!$C$4,7,1)))</f>
        <v/>
      </c>
      <c r="R43" s="32">
        <f>IF($A43="",0,SUMIFS(Transactions!$D$6:$D$2005,Transactions!$C$6:$C$2005,$A43,Transactions!$A$6:$A$2005,"&gt;="&amp;DATE(Settings!$C$4,7,1),Transactions!$A$6:$A$2005,"&lt;"&amp;DATE(Settings!$C$4,8,1)))</f>
        <v/>
      </c>
      <c r="S43" s="32">
        <f>IF($A43="",0,SUMIFS(Transactions!$D$6:$D$2005,Transactions!$C$6:$C$2005,$A43,Transactions!$A$6:$A$2005,"&gt;="&amp;DATE(Settings!$C$4,8,1),Transactions!$A$6:$A$2005,"&lt;"&amp;DATE(Settings!$C$4,9,1)))</f>
        <v/>
      </c>
      <c r="T43" s="32">
        <f>IF($A43="",0,SUMIFS(Transactions!$D$6:$D$2005,Transactions!$C$6:$C$2005,$A43,Transactions!$A$6:$A$2005,"&gt;="&amp;DATE(Settings!$C$4,9,1),Transactions!$A$6:$A$2005,"&lt;"&amp;DATE(Settings!$C$4,10,1)))</f>
        <v/>
      </c>
      <c r="U43" s="32">
        <f>IF($A43="",0,SUMIFS(Transactions!$D$6:$D$2005,Transactions!$C$6:$C$2005,$A43,Transactions!$A$6:$A$2005,"&gt;="&amp;DATE(Settings!$C$4,10,1),Transactions!$A$6:$A$2005,"&lt;"&amp;DATE(Settings!$C$4,11,1)))</f>
        <v/>
      </c>
      <c r="V43" s="32">
        <f>IF($A43="",0,SUMIFS(Transactions!$D$6:$D$2005,Transactions!$C$6:$C$2005,$A43,Transactions!$A$6:$A$2005,"&gt;="&amp;DATE(Settings!$C$4,11,1),Transactions!$A$6:$A$2005,"&lt;"&amp;DATE(Settings!$C$4,12,1)))</f>
        <v/>
      </c>
      <c r="W43" s="32">
        <f>IF($A43="",0,SUMIFS(Transactions!$D$6:$D$2005,Transactions!$C$6:$C$2005,$A43,Transactions!$A$6:$A$2005,"&gt;="&amp;DATE(Settings!$C$4,12,1),Transactions!$A$6:$A$2005,"&lt;"&amp;DATE(Settings!$C$4,13,1)))</f>
        <v/>
      </c>
      <c r="X43" s="40">
        <f>SUM(L43:W43)</f>
        <v/>
      </c>
      <c r="Y43" s="32">
        <f>IF($A43="",0,'Monthly Budget'!$P43)</f>
        <v/>
      </c>
      <c r="Z43" s="32">
        <f>X43-Y43</f>
        <v/>
      </c>
      <c r="AA43" s="46">
        <f>IF(AND(X43&gt;0,OR(B43="Fixed bills",B43="Variable expenses")),X43+ROW()/10000000,0)</f>
        <v/>
      </c>
    </row>
    <row r="44">
      <c r="A44" s="38">
        <f>IF(Categories!$A36="","",Categories!$A36)</f>
        <v/>
      </c>
      <c r="B44" s="29">
        <f>IF(A44="","",Categories!$B36&amp;"")</f>
        <v/>
      </c>
      <c r="C44" s="32">
        <f>IF($A44="",0,INDEX('Monthly Budget'!$D44:$O44,1,Settings!$C$12))</f>
        <v/>
      </c>
      <c r="D44" s="40">
        <f>INDEX($L44:$W44,1,Settings!$C$12)</f>
        <v/>
      </c>
      <c r="E44" s="32">
        <f>D44-C44</f>
        <v/>
      </c>
      <c r="F44" s="44">
        <f>IF(C44=0,"",D44/C44)</f>
        <v/>
      </c>
      <c r="H44" s="32">
        <f>IF($A44="",0,SUMIFS('Monthly Budget'!$D44:$O44,Lists!$I$2:$T$2,"&lt;="&amp;Settings!$C$12))</f>
        <v/>
      </c>
      <c r="I44" s="32">
        <f>SUMIFS($L44:$W44,Lists!$I$2:$T$2,"&lt;="&amp;Settings!$C$12)</f>
        <v/>
      </c>
      <c r="J44" s="32">
        <f>I44-H44</f>
        <v/>
      </c>
      <c r="L44" s="32">
        <f>IF($A44="",0,SUMIFS(Transactions!$D$6:$D$2005,Transactions!$C$6:$C$2005,$A44,Transactions!$A$6:$A$2005,"&gt;="&amp;DATE(Settings!$C$4,1,1),Transactions!$A$6:$A$2005,"&lt;"&amp;DATE(Settings!$C$4,2,1)))</f>
        <v/>
      </c>
      <c r="M44" s="32">
        <f>IF($A44="",0,SUMIFS(Transactions!$D$6:$D$2005,Transactions!$C$6:$C$2005,$A44,Transactions!$A$6:$A$2005,"&gt;="&amp;DATE(Settings!$C$4,2,1),Transactions!$A$6:$A$2005,"&lt;"&amp;DATE(Settings!$C$4,3,1)))</f>
        <v/>
      </c>
      <c r="N44" s="32">
        <f>IF($A44="",0,SUMIFS(Transactions!$D$6:$D$2005,Transactions!$C$6:$C$2005,$A44,Transactions!$A$6:$A$2005,"&gt;="&amp;DATE(Settings!$C$4,3,1),Transactions!$A$6:$A$2005,"&lt;"&amp;DATE(Settings!$C$4,4,1)))</f>
        <v/>
      </c>
      <c r="O44" s="32">
        <f>IF($A44="",0,SUMIFS(Transactions!$D$6:$D$2005,Transactions!$C$6:$C$2005,$A44,Transactions!$A$6:$A$2005,"&gt;="&amp;DATE(Settings!$C$4,4,1),Transactions!$A$6:$A$2005,"&lt;"&amp;DATE(Settings!$C$4,5,1)))</f>
        <v/>
      </c>
      <c r="P44" s="32">
        <f>IF($A44="",0,SUMIFS(Transactions!$D$6:$D$2005,Transactions!$C$6:$C$2005,$A44,Transactions!$A$6:$A$2005,"&gt;="&amp;DATE(Settings!$C$4,5,1),Transactions!$A$6:$A$2005,"&lt;"&amp;DATE(Settings!$C$4,6,1)))</f>
        <v/>
      </c>
      <c r="Q44" s="32">
        <f>IF($A44="",0,SUMIFS(Transactions!$D$6:$D$2005,Transactions!$C$6:$C$2005,$A44,Transactions!$A$6:$A$2005,"&gt;="&amp;DATE(Settings!$C$4,6,1),Transactions!$A$6:$A$2005,"&lt;"&amp;DATE(Settings!$C$4,7,1)))</f>
        <v/>
      </c>
      <c r="R44" s="32">
        <f>IF($A44="",0,SUMIFS(Transactions!$D$6:$D$2005,Transactions!$C$6:$C$2005,$A44,Transactions!$A$6:$A$2005,"&gt;="&amp;DATE(Settings!$C$4,7,1),Transactions!$A$6:$A$2005,"&lt;"&amp;DATE(Settings!$C$4,8,1)))</f>
        <v/>
      </c>
      <c r="S44" s="32">
        <f>IF($A44="",0,SUMIFS(Transactions!$D$6:$D$2005,Transactions!$C$6:$C$2005,$A44,Transactions!$A$6:$A$2005,"&gt;="&amp;DATE(Settings!$C$4,8,1),Transactions!$A$6:$A$2005,"&lt;"&amp;DATE(Settings!$C$4,9,1)))</f>
        <v/>
      </c>
      <c r="T44" s="32">
        <f>IF($A44="",0,SUMIFS(Transactions!$D$6:$D$2005,Transactions!$C$6:$C$2005,$A44,Transactions!$A$6:$A$2005,"&gt;="&amp;DATE(Settings!$C$4,9,1),Transactions!$A$6:$A$2005,"&lt;"&amp;DATE(Settings!$C$4,10,1)))</f>
        <v/>
      </c>
      <c r="U44" s="32">
        <f>IF($A44="",0,SUMIFS(Transactions!$D$6:$D$2005,Transactions!$C$6:$C$2005,$A44,Transactions!$A$6:$A$2005,"&gt;="&amp;DATE(Settings!$C$4,10,1),Transactions!$A$6:$A$2005,"&lt;"&amp;DATE(Settings!$C$4,11,1)))</f>
        <v/>
      </c>
      <c r="V44" s="32">
        <f>IF($A44="",0,SUMIFS(Transactions!$D$6:$D$2005,Transactions!$C$6:$C$2005,$A44,Transactions!$A$6:$A$2005,"&gt;="&amp;DATE(Settings!$C$4,11,1),Transactions!$A$6:$A$2005,"&lt;"&amp;DATE(Settings!$C$4,12,1)))</f>
        <v/>
      </c>
      <c r="W44" s="32">
        <f>IF($A44="",0,SUMIFS(Transactions!$D$6:$D$2005,Transactions!$C$6:$C$2005,$A44,Transactions!$A$6:$A$2005,"&gt;="&amp;DATE(Settings!$C$4,12,1),Transactions!$A$6:$A$2005,"&lt;"&amp;DATE(Settings!$C$4,13,1)))</f>
        <v/>
      </c>
      <c r="X44" s="40">
        <f>SUM(L44:W44)</f>
        <v/>
      </c>
      <c r="Y44" s="32">
        <f>IF($A44="",0,'Monthly Budget'!$P44)</f>
        <v/>
      </c>
      <c r="Z44" s="32">
        <f>X44-Y44</f>
        <v/>
      </c>
      <c r="AA44" s="46">
        <f>IF(AND(X44&gt;0,OR(B44="Fixed bills",B44="Variable expenses")),X44+ROW()/10000000,0)</f>
        <v/>
      </c>
    </row>
    <row r="45">
      <c r="A45" s="38">
        <f>IF(Categories!$A37="","",Categories!$A37)</f>
        <v/>
      </c>
      <c r="B45" s="29">
        <f>IF(A45="","",Categories!$B37&amp;"")</f>
        <v/>
      </c>
      <c r="C45" s="32">
        <f>IF($A45="",0,INDEX('Monthly Budget'!$D45:$O45,1,Settings!$C$12))</f>
        <v/>
      </c>
      <c r="D45" s="40">
        <f>INDEX($L45:$W45,1,Settings!$C$12)</f>
        <v/>
      </c>
      <c r="E45" s="32">
        <f>D45-C45</f>
        <v/>
      </c>
      <c r="F45" s="44">
        <f>IF(C45=0,"",D45/C45)</f>
        <v/>
      </c>
      <c r="H45" s="32">
        <f>IF($A45="",0,SUMIFS('Monthly Budget'!$D45:$O45,Lists!$I$2:$T$2,"&lt;="&amp;Settings!$C$12))</f>
        <v/>
      </c>
      <c r="I45" s="32">
        <f>SUMIFS($L45:$W45,Lists!$I$2:$T$2,"&lt;="&amp;Settings!$C$12)</f>
        <v/>
      </c>
      <c r="J45" s="32">
        <f>I45-H45</f>
        <v/>
      </c>
      <c r="L45" s="32">
        <f>IF($A45="",0,SUMIFS(Transactions!$D$6:$D$2005,Transactions!$C$6:$C$2005,$A45,Transactions!$A$6:$A$2005,"&gt;="&amp;DATE(Settings!$C$4,1,1),Transactions!$A$6:$A$2005,"&lt;"&amp;DATE(Settings!$C$4,2,1)))</f>
        <v/>
      </c>
      <c r="M45" s="32">
        <f>IF($A45="",0,SUMIFS(Transactions!$D$6:$D$2005,Transactions!$C$6:$C$2005,$A45,Transactions!$A$6:$A$2005,"&gt;="&amp;DATE(Settings!$C$4,2,1),Transactions!$A$6:$A$2005,"&lt;"&amp;DATE(Settings!$C$4,3,1)))</f>
        <v/>
      </c>
      <c r="N45" s="32">
        <f>IF($A45="",0,SUMIFS(Transactions!$D$6:$D$2005,Transactions!$C$6:$C$2005,$A45,Transactions!$A$6:$A$2005,"&gt;="&amp;DATE(Settings!$C$4,3,1),Transactions!$A$6:$A$2005,"&lt;"&amp;DATE(Settings!$C$4,4,1)))</f>
        <v/>
      </c>
      <c r="O45" s="32">
        <f>IF($A45="",0,SUMIFS(Transactions!$D$6:$D$2005,Transactions!$C$6:$C$2005,$A45,Transactions!$A$6:$A$2005,"&gt;="&amp;DATE(Settings!$C$4,4,1),Transactions!$A$6:$A$2005,"&lt;"&amp;DATE(Settings!$C$4,5,1)))</f>
        <v/>
      </c>
      <c r="P45" s="32">
        <f>IF($A45="",0,SUMIFS(Transactions!$D$6:$D$2005,Transactions!$C$6:$C$2005,$A45,Transactions!$A$6:$A$2005,"&gt;="&amp;DATE(Settings!$C$4,5,1),Transactions!$A$6:$A$2005,"&lt;"&amp;DATE(Settings!$C$4,6,1)))</f>
        <v/>
      </c>
      <c r="Q45" s="32">
        <f>IF($A45="",0,SUMIFS(Transactions!$D$6:$D$2005,Transactions!$C$6:$C$2005,$A45,Transactions!$A$6:$A$2005,"&gt;="&amp;DATE(Settings!$C$4,6,1),Transactions!$A$6:$A$2005,"&lt;"&amp;DATE(Settings!$C$4,7,1)))</f>
        <v/>
      </c>
      <c r="R45" s="32">
        <f>IF($A45="",0,SUMIFS(Transactions!$D$6:$D$2005,Transactions!$C$6:$C$2005,$A45,Transactions!$A$6:$A$2005,"&gt;="&amp;DATE(Settings!$C$4,7,1),Transactions!$A$6:$A$2005,"&lt;"&amp;DATE(Settings!$C$4,8,1)))</f>
        <v/>
      </c>
      <c r="S45" s="32">
        <f>IF($A45="",0,SUMIFS(Transactions!$D$6:$D$2005,Transactions!$C$6:$C$2005,$A45,Transactions!$A$6:$A$2005,"&gt;="&amp;DATE(Settings!$C$4,8,1),Transactions!$A$6:$A$2005,"&lt;"&amp;DATE(Settings!$C$4,9,1)))</f>
        <v/>
      </c>
      <c r="T45" s="32">
        <f>IF($A45="",0,SUMIFS(Transactions!$D$6:$D$2005,Transactions!$C$6:$C$2005,$A45,Transactions!$A$6:$A$2005,"&gt;="&amp;DATE(Settings!$C$4,9,1),Transactions!$A$6:$A$2005,"&lt;"&amp;DATE(Settings!$C$4,10,1)))</f>
        <v/>
      </c>
      <c r="U45" s="32">
        <f>IF($A45="",0,SUMIFS(Transactions!$D$6:$D$2005,Transactions!$C$6:$C$2005,$A45,Transactions!$A$6:$A$2005,"&gt;="&amp;DATE(Settings!$C$4,10,1),Transactions!$A$6:$A$2005,"&lt;"&amp;DATE(Settings!$C$4,11,1)))</f>
        <v/>
      </c>
      <c r="V45" s="32">
        <f>IF($A45="",0,SUMIFS(Transactions!$D$6:$D$2005,Transactions!$C$6:$C$2005,$A45,Transactions!$A$6:$A$2005,"&gt;="&amp;DATE(Settings!$C$4,11,1),Transactions!$A$6:$A$2005,"&lt;"&amp;DATE(Settings!$C$4,12,1)))</f>
        <v/>
      </c>
      <c r="W45" s="32">
        <f>IF($A45="",0,SUMIFS(Transactions!$D$6:$D$2005,Transactions!$C$6:$C$2005,$A45,Transactions!$A$6:$A$2005,"&gt;="&amp;DATE(Settings!$C$4,12,1),Transactions!$A$6:$A$2005,"&lt;"&amp;DATE(Settings!$C$4,13,1)))</f>
        <v/>
      </c>
      <c r="X45" s="40">
        <f>SUM(L45:W45)</f>
        <v/>
      </c>
      <c r="Y45" s="32">
        <f>IF($A45="",0,'Monthly Budget'!$P45)</f>
        <v/>
      </c>
      <c r="Z45" s="32">
        <f>X45-Y45</f>
        <v/>
      </c>
      <c r="AA45" s="46">
        <f>IF(AND(X45&gt;0,OR(B45="Fixed bills",B45="Variable expenses")),X45+ROW()/10000000,0)</f>
        <v/>
      </c>
    </row>
    <row r="46">
      <c r="A46" s="38">
        <f>IF(Categories!$A38="","",Categories!$A38)</f>
        <v/>
      </c>
      <c r="B46" s="29">
        <f>IF(A46="","",Categories!$B38&amp;"")</f>
        <v/>
      </c>
      <c r="C46" s="32">
        <f>IF($A46="",0,INDEX('Monthly Budget'!$D46:$O46,1,Settings!$C$12))</f>
        <v/>
      </c>
      <c r="D46" s="40">
        <f>INDEX($L46:$W46,1,Settings!$C$12)</f>
        <v/>
      </c>
      <c r="E46" s="32">
        <f>D46-C46</f>
        <v/>
      </c>
      <c r="F46" s="44">
        <f>IF(C46=0,"",D46/C46)</f>
        <v/>
      </c>
      <c r="H46" s="32">
        <f>IF($A46="",0,SUMIFS('Monthly Budget'!$D46:$O46,Lists!$I$2:$T$2,"&lt;="&amp;Settings!$C$12))</f>
        <v/>
      </c>
      <c r="I46" s="32">
        <f>SUMIFS($L46:$W46,Lists!$I$2:$T$2,"&lt;="&amp;Settings!$C$12)</f>
        <v/>
      </c>
      <c r="J46" s="32">
        <f>I46-H46</f>
        <v/>
      </c>
      <c r="L46" s="32">
        <f>IF($A46="",0,SUMIFS(Transactions!$D$6:$D$2005,Transactions!$C$6:$C$2005,$A46,Transactions!$A$6:$A$2005,"&gt;="&amp;DATE(Settings!$C$4,1,1),Transactions!$A$6:$A$2005,"&lt;"&amp;DATE(Settings!$C$4,2,1)))</f>
        <v/>
      </c>
      <c r="M46" s="32">
        <f>IF($A46="",0,SUMIFS(Transactions!$D$6:$D$2005,Transactions!$C$6:$C$2005,$A46,Transactions!$A$6:$A$2005,"&gt;="&amp;DATE(Settings!$C$4,2,1),Transactions!$A$6:$A$2005,"&lt;"&amp;DATE(Settings!$C$4,3,1)))</f>
        <v/>
      </c>
      <c r="N46" s="32">
        <f>IF($A46="",0,SUMIFS(Transactions!$D$6:$D$2005,Transactions!$C$6:$C$2005,$A46,Transactions!$A$6:$A$2005,"&gt;="&amp;DATE(Settings!$C$4,3,1),Transactions!$A$6:$A$2005,"&lt;"&amp;DATE(Settings!$C$4,4,1)))</f>
        <v/>
      </c>
      <c r="O46" s="32">
        <f>IF($A46="",0,SUMIFS(Transactions!$D$6:$D$2005,Transactions!$C$6:$C$2005,$A46,Transactions!$A$6:$A$2005,"&gt;="&amp;DATE(Settings!$C$4,4,1),Transactions!$A$6:$A$2005,"&lt;"&amp;DATE(Settings!$C$4,5,1)))</f>
        <v/>
      </c>
      <c r="P46" s="32">
        <f>IF($A46="",0,SUMIFS(Transactions!$D$6:$D$2005,Transactions!$C$6:$C$2005,$A46,Transactions!$A$6:$A$2005,"&gt;="&amp;DATE(Settings!$C$4,5,1),Transactions!$A$6:$A$2005,"&lt;"&amp;DATE(Settings!$C$4,6,1)))</f>
        <v/>
      </c>
      <c r="Q46" s="32">
        <f>IF($A46="",0,SUMIFS(Transactions!$D$6:$D$2005,Transactions!$C$6:$C$2005,$A46,Transactions!$A$6:$A$2005,"&gt;="&amp;DATE(Settings!$C$4,6,1),Transactions!$A$6:$A$2005,"&lt;"&amp;DATE(Settings!$C$4,7,1)))</f>
        <v/>
      </c>
      <c r="R46" s="32">
        <f>IF($A46="",0,SUMIFS(Transactions!$D$6:$D$2005,Transactions!$C$6:$C$2005,$A46,Transactions!$A$6:$A$2005,"&gt;="&amp;DATE(Settings!$C$4,7,1),Transactions!$A$6:$A$2005,"&lt;"&amp;DATE(Settings!$C$4,8,1)))</f>
        <v/>
      </c>
      <c r="S46" s="32">
        <f>IF($A46="",0,SUMIFS(Transactions!$D$6:$D$2005,Transactions!$C$6:$C$2005,$A46,Transactions!$A$6:$A$2005,"&gt;="&amp;DATE(Settings!$C$4,8,1),Transactions!$A$6:$A$2005,"&lt;"&amp;DATE(Settings!$C$4,9,1)))</f>
        <v/>
      </c>
      <c r="T46" s="32">
        <f>IF($A46="",0,SUMIFS(Transactions!$D$6:$D$2005,Transactions!$C$6:$C$2005,$A46,Transactions!$A$6:$A$2005,"&gt;="&amp;DATE(Settings!$C$4,9,1),Transactions!$A$6:$A$2005,"&lt;"&amp;DATE(Settings!$C$4,10,1)))</f>
        <v/>
      </c>
      <c r="U46" s="32">
        <f>IF($A46="",0,SUMIFS(Transactions!$D$6:$D$2005,Transactions!$C$6:$C$2005,$A46,Transactions!$A$6:$A$2005,"&gt;="&amp;DATE(Settings!$C$4,10,1),Transactions!$A$6:$A$2005,"&lt;"&amp;DATE(Settings!$C$4,11,1)))</f>
        <v/>
      </c>
      <c r="V46" s="32">
        <f>IF($A46="",0,SUMIFS(Transactions!$D$6:$D$2005,Transactions!$C$6:$C$2005,$A46,Transactions!$A$6:$A$2005,"&gt;="&amp;DATE(Settings!$C$4,11,1),Transactions!$A$6:$A$2005,"&lt;"&amp;DATE(Settings!$C$4,12,1)))</f>
        <v/>
      </c>
      <c r="W46" s="32">
        <f>IF($A46="",0,SUMIFS(Transactions!$D$6:$D$2005,Transactions!$C$6:$C$2005,$A46,Transactions!$A$6:$A$2005,"&gt;="&amp;DATE(Settings!$C$4,12,1),Transactions!$A$6:$A$2005,"&lt;"&amp;DATE(Settings!$C$4,13,1)))</f>
        <v/>
      </c>
      <c r="X46" s="40">
        <f>SUM(L46:W46)</f>
        <v/>
      </c>
      <c r="Y46" s="32">
        <f>IF($A46="",0,'Monthly Budget'!$P46)</f>
        <v/>
      </c>
      <c r="Z46" s="32">
        <f>X46-Y46</f>
        <v/>
      </c>
      <c r="AA46" s="46">
        <f>IF(AND(X46&gt;0,OR(B46="Fixed bills",B46="Variable expenses")),X46+ROW()/10000000,0)</f>
        <v/>
      </c>
    </row>
    <row r="47">
      <c r="A47" s="38">
        <f>IF(Categories!$A39="","",Categories!$A39)</f>
        <v/>
      </c>
      <c r="B47" s="29">
        <f>IF(A47="","",Categories!$B39&amp;"")</f>
        <v/>
      </c>
      <c r="C47" s="32">
        <f>IF($A47="",0,INDEX('Monthly Budget'!$D47:$O47,1,Settings!$C$12))</f>
        <v/>
      </c>
      <c r="D47" s="40">
        <f>INDEX($L47:$W47,1,Settings!$C$12)</f>
        <v/>
      </c>
      <c r="E47" s="32">
        <f>D47-C47</f>
        <v/>
      </c>
      <c r="F47" s="44">
        <f>IF(C47=0,"",D47/C47)</f>
        <v/>
      </c>
      <c r="H47" s="32">
        <f>IF($A47="",0,SUMIFS('Monthly Budget'!$D47:$O47,Lists!$I$2:$T$2,"&lt;="&amp;Settings!$C$12))</f>
        <v/>
      </c>
      <c r="I47" s="32">
        <f>SUMIFS($L47:$W47,Lists!$I$2:$T$2,"&lt;="&amp;Settings!$C$12)</f>
        <v/>
      </c>
      <c r="J47" s="32">
        <f>I47-H47</f>
        <v/>
      </c>
      <c r="L47" s="32">
        <f>IF($A47="",0,SUMIFS(Transactions!$D$6:$D$2005,Transactions!$C$6:$C$2005,$A47,Transactions!$A$6:$A$2005,"&gt;="&amp;DATE(Settings!$C$4,1,1),Transactions!$A$6:$A$2005,"&lt;"&amp;DATE(Settings!$C$4,2,1)))</f>
        <v/>
      </c>
      <c r="M47" s="32">
        <f>IF($A47="",0,SUMIFS(Transactions!$D$6:$D$2005,Transactions!$C$6:$C$2005,$A47,Transactions!$A$6:$A$2005,"&gt;="&amp;DATE(Settings!$C$4,2,1),Transactions!$A$6:$A$2005,"&lt;"&amp;DATE(Settings!$C$4,3,1)))</f>
        <v/>
      </c>
      <c r="N47" s="32">
        <f>IF($A47="",0,SUMIFS(Transactions!$D$6:$D$2005,Transactions!$C$6:$C$2005,$A47,Transactions!$A$6:$A$2005,"&gt;="&amp;DATE(Settings!$C$4,3,1),Transactions!$A$6:$A$2005,"&lt;"&amp;DATE(Settings!$C$4,4,1)))</f>
        <v/>
      </c>
      <c r="O47" s="32">
        <f>IF($A47="",0,SUMIFS(Transactions!$D$6:$D$2005,Transactions!$C$6:$C$2005,$A47,Transactions!$A$6:$A$2005,"&gt;="&amp;DATE(Settings!$C$4,4,1),Transactions!$A$6:$A$2005,"&lt;"&amp;DATE(Settings!$C$4,5,1)))</f>
        <v/>
      </c>
      <c r="P47" s="32">
        <f>IF($A47="",0,SUMIFS(Transactions!$D$6:$D$2005,Transactions!$C$6:$C$2005,$A47,Transactions!$A$6:$A$2005,"&gt;="&amp;DATE(Settings!$C$4,5,1),Transactions!$A$6:$A$2005,"&lt;"&amp;DATE(Settings!$C$4,6,1)))</f>
        <v/>
      </c>
      <c r="Q47" s="32">
        <f>IF($A47="",0,SUMIFS(Transactions!$D$6:$D$2005,Transactions!$C$6:$C$2005,$A47,Transactions!$A$6:$A$2005,"&gt;="&amp;DATE(Settings!$C$4,6,1),Transactions!$A$6:$A$2005,"&lt;"&amp;DATE(Settings!$C$4,7,1)))</f>
        <v/>
      </c>
      <c r="R47" s="32">
        <f>IF($A47="",0,SUMIFS(Transactions!$D$6:$D$2005,Transactions!$C$6:$C$2005,$A47,Transactions!$A$6:$A$2005,"&gt;="&amp;DATE(Settings!$C$4,7,1),Transactions!$A$6:$A$2005,"&lt;"&amp;DATE(Settings!$C$4,8,1)))</f>
        <v/>
      </c>
      <c r="S47" s="32">
        <f>IF($A47="",0,SUMIFS(Transactions!$D$6:$D$2005,Transactions!$C$6:$C$2005,$A47,Transactions!$A$6:$A$2005,"&gt;="&amp;DATE(Settings!$C$4,8,1),Transactions!$A$6:$A$2005,"&lt;"&amp;DATE(Settings!$C$4,9,1)))</f>
        <v/>
      </c>
      <c r="T47" s="32">
        <f>IF($A47="",0,SUMIFS(Transactions!$D$6:$D$2005,Transactions!$C$6:$C$2005,$A47,Transactions!$A$6:$A$2005,"&gt;="&amp;DATE(Settings!$C$4,9,1),Transactions!$A$6:$A$2005,"&lt;"&amp;DATE(Settings!$C$4,10,1)))</f>
        <v/>
      </c>
      <c r="U47" s="32">
        <f>IF($A47="",0,SUMIFS(Transactions!$D$6:$D$2005,Transactions!$C$6:$C$2005,$A47,Transactions!$A$6:$A$2005,"&gt;="&amp;DATE(Settings!$C$4,10,1),Transactions!$A$6:$A$2005,"&lt;"&amp;DATE(Settings!$C$4,11,1)))</f>
        <v/>
      </c>
      <c r="V47" s="32">
        <f>IF($A47="",0,SUMIFS(Transactions!$D$6:$D$2005,Transactions!$C$6:$C$2005,$A47,Transactions!$A$6:$A$2005,"&gt;="&amp;DATE(Settings!$C$4,11,1),Transactions!$A$6:$A$2005,"&lt;"&amp;DATE(Settings!$C$4,12,1)))</f>
        <v/>
      </c>
      <c r="W47" s="32">
        <f>IF($A47="",0,SUMIFS(Transactions!$D$6:$D$2005,Transactions!$C$6:$C$2005,$A47,Transactions!$A$6:$A$2005,"&gt;="&amp;DATE(Settings!$C$4,12,1),Transactions!$A$6:$A$2005,"&lt;"&amp;DATE(Settings!$C$4,13,1)))</f>
        <v/>
      </c>
      <c r="X47" s="40">
        <f>SUM(L47:W47)</f>
        <v/>
      </c>
      <c r="Y47" s="32">
        <f>IF($A47="",0,'Monthly Budget'!$P47)</f>
        <v/>
      </c>
      <c r="Z47" s="32">
        <f>X47-Y47</f>
        <v/>
      </c>
      <c r="AA47" s="46">
        <f>IF(AND(X47&gt;0,OR(B47="Fixed bills",B47="Variable expenses")),X47+ROW()/10000000,0)</f>
        <v/>
      </c>
    </row>
    <row r="48">
      <c r="A48" s="38">
        <f>IF(Categories!$A40="","",Categories!$A40)</f>
        <v/>
      </c>
      <c r="B48" s="29">
        <f>IF(A48="","",Categories!$B40&amp;"")</f>
        <v/>
      </c>
      <c r="C48" s="32">
        <f>IF($A48="",0,INDEX('Monthly Budget'!$D48:$O48,1,Settings!$C$12))</f>
        <v/>
      </c>
      <c r="D48" s="40">
        <f>INDEX($L48:$W48,1,Settings!$C$12)</f>
        <v/>
      </c>
      <c r="E48" s="32">
        <f>D48-C48</f>
        <v/>
      </c>
      <c r="F48" s="44">
        <f>IF(C48=0,"",D48/C48)</f>
        <v/>
      </c>
      <c r="H48" s="32">
        <f>IF($A48="",0,SUMIFS('Monthly Budget'!$D48:$O48,Lists!$I$2:$T$2,"&lt;="&amp;Settings!$C$12))</f>
        <v/>
      </c>
      <c r="I48" s="32">
        <f>SUMIFS($L48:$W48,Lists!$I$2:$T$2,"&lt;="&amp;Settings!$C$12)</f>
        <v/>
      </c>
      <c r="J48" s="32">
        <f>I48-H48</f>
        <v/>
      </c>
      <c r="L48" s="32">
        <f>IF($A48="",0,SUMIFS(Transactions!$D$6:$D$2005,Transactions!$C$6:$C$2005,$A48,Transactions!$A$6:$A$2005,"&gt;="&amp;DATE(Settings!$C$4,1,1),Transactions!$A$6:$A$2005,"&lt;"&amp;DATE(Settings!$C$4,2,1)))</f>
        <v/>
      </c>
      <c r="M48" s="32">
        <f>IF($A48="",0,SUMIFS(Transactions!$D$6:$D$2005,Transactions!$C$6:$C$2005,$A48,Transactions!$A$6:$A$2005,"&gt;="&amp;DATE(Settings!$C$4,2,1),Transactions!$A$6:$A$2005,"&lt;"&amp;DATE(Settings!$C$4,3,1)))</f>
        <v/>
      </c>
      <c r="N48" s="32">
        <f>IF($A48="",0,SUMIFS(Transactions!$D$6:$D$2005,Transactions!$C$6:$C$2005,$A48,Transactions!$A$6:$A$2005,"&gt;="&amp;DATE(Settings!$C$4,3,1),Transactions!$A$6:$A$2005,"&lt;"&amp;DATE(Settings!$C$4,4,1)))</f>
        <v/>
      </c>
      <c r="O48" s="32">
        <f>IF($A48="",0,SUMIFS(Transactions!$D$6:$D$2005,Transactions!$C$6:$C$2005,$A48,Transactions!$A$6:$A$2005,"&gt;="&amp;DATE(Settings!$C$4,4,1),Transactions!$A$6:$A$2005,"&lt;"&amp;DATE(Settings!$C$4,5,1)))</f>
        <v/>
      </c>
      <c r="P48" s="32">
        <f>IF($A48="",0,SUMIFS(Transactions!$D$6:$D$2005,Transactions!$C$6:$C$2005,$A48,Transactions!$A$6:$A$2005,"&gt;="&amp;DATE(Settings!$C$4,5,1),Transactions!$A$6:$A$2005,"&lt;"&amp;DATE(Settings!$C$4,6,1)))</f>
        <v/>
      </c>
      <c r="Q48" s="32">
        <f>IF($A48="",0,SUMIFS(Transactions!$D$6:$D$2005,Transactions!$C$6:$C$2005,$A48,Transactions!$A$6:$A$2005,"&gt;="&amp;DATE(Settings!$C$4,6,1),Transactions!$A$6:$A$2005,"&lt;"&amp;DATE(Settings!$C$4,7,1)))</f>
        <v/>
      </c>
      <c r="R48" s="32">
        <f>IF($A48="",0,SUMIFS(Transactions!$D$6:$D$2005,Transactions!$C$6:$C$2005,$A48,Transactions!$A$6:$A$2005,"&gt;="&amp;DATE(Settings!$C$4,7,1),Transactions!$A$6:$A$2005,"&lt;"&amp;DATE(Settings!$C$4,8,1)))</f>
        <v/>
      </c>
      <c r="S48" s="32">
        <f>IF($A48="",0,SUMIFS(Transactions!$D$6:$D$2005,Transactions!$C$6:$C$2005,$A48,Transactions!$A$6:$A$2005,"&gt;="&amp;DATE(Settings!$C$4,8,1),Transactions!$A$6:$A$2005,"&lt;"&amp;DATE(Settings!$C$4,9,1)))</f>
        <v/>
      </c>
      <c r="T48" s="32">
        <f>IF($A48="",0,SUMIFS(Transactions!$D$6:$D$2005,Transactions!$C$6:$C$2005,$A48,Transactions!$A$6:$A$2005,"&gt;="&amp;DATE(Settings!$C$4,9,1),Transactions!$A$6:$A$2005,"&lt;"&amp;DATE(Settings!$C$4,10,1)))</f>
        <v/>
      </c>
      <c r="U48" s="32">
        <f>IF($A48="",0,SUMIFS(Transactions!$D$6:$D$2005,Transactions!$C$6:$C$2005,$A48,Transactions!$A$6:$A$2005,"&gt;="&amp;DATE(Settings!$C$4,10,1),Transactions!$A$6:$A$2005,"&lt;"&amp;DATE(Settings!$C$4,11,1)))</f>
        <v/>
      </c>
      <c r="V48" s="32">
        <f>IF($A48="",0,SUMIFS(Transactions!$D$6:$D$2005,Transactions!$C$6:$C$2005,$A48,Transactions!$A$6:$A$2005,"&gt;="&amp;DATE(Settings!$C$4,11,1),Transactions!$A$6:$A$2005,"&lt;"&amp;DATE(Settings!$C$4,12,1)))</f>
        <v/>
      </c>
      <c r="W48" s="32">
        <f>IF($A48="",0,SUMIFS(Transactions!$D$6:$D$2005,Transactions!$C$6:$C$2005,$A48,Transactions!$A$6:$A$2005,"&gt;="&amp;DATE(Settings!$C$4,12,1),Transactions!$A$6:$A$2005,"&lt;"&amp;DATE(Settings!$C$4,13,1)))</f>
        <v/>
      </c>
      <c r="X48" s="40">
        <f>SUM(L48:W48)</f>
        <v/>
      </c>
      <c r="Y48" s="32">
        <f>IF($A48="",0,'Monthly Budget'!$P48)</f>
        <v/>
      </c>
      <c r="Z48" s="32">
        <f>X48-Y48</f>
        <v/>
      </c>
      <c r="AA48" s="46">
        <f>IF(AND(X48&gt;0,OR(B48="Fixed bills",B48="Variable expenses")),X48+ROW()/10000000,0)</f>
        <v/>
      </c>
    </row>
    <row r="49">
      <c r="A49" s="38">
        <f>IF(Categories!$A41="","",Categories!$A41)</f>
        <v/>
      </c>
      <c r="B49" s="29">
        <f>IF(A49="","",Categories!$B41&amp;"")</f>
        <v/>
      </c>
      <c r="C49" s="32">
        <f>IF($A49="",0,INDEX('Monthly Budget'!$D49:$O49,1,Settings!$C$12))</f>
        <v/>
      </c>
      <c r="D49" s="40">
        <f>INDEX($L49:$W49,1,Settings!$C$12)</f>
        <v/>
      </c>
      <c r="E49" s="32">
        <f>D49-C49</f>
        <v/>
      </c>
      <c r="F49" s="44">
        <f>IF(C49=0,"",D49/C49)</f>
        <v/>
      </c>
      <c r="H49" s="32">
        <f>IF($A49="",0,SUMIFS('Monthly Budget'!$D49:$O49,Lists!$I$2:$T$2,"&lt;="&amp;Settings!$C$12))</f>
        <v/>
      </c>
      <c r="I49" s="32">
        <f>SUMIFS($L49:$W49,Lists!$I$2:$T$2,"&lt;="&amp;Settings!$C$12)</f>
        <v/>
      </c>
      <c r="J49" s="32">
        <f>I49-H49</f>
        <v/>
      </c>
      <c r="L49" s="32">
        <f>IF($A49="",0,SUMIFS(Transactions!$D$6:$D$2005,Transactions!$C$6:$C$2005,$A49,Transactions!$A$6:$A$2005,"&gt;="&amp;DATE(Settings!$C$4,1,1),Transactions!$A$6:$A$2005,"&lt;"&amp;DATE(Settings!$C$4,2,1)))</f>
        <v/>
      </c>
      <c r="M49" s="32">
        <f>IF($A49="",0,SUMIFS(Transactions!$D$6:$D$2005,Transactions!$C$6:$C$2005,$A49,Transactions!$A$6:$A$2005,"&gt;="&amp;DATE(Settings!$C$4,2,1),Transactions!$A$6:$A$2005,"&lt;"&amp;DATE(Settings!$C$4,3,1)))</f>
        <v/>
      </c>
      <c r="N49" s="32">
        <f>IF($A49="",0,SUMIFS(Transactions!$D$6:$D$2005,Transactions!$C$6:$C$2005,$A49,Transactions!$A$6:$A$2005,"&gt;="&amp;DATE(Settings!$C$4,3,1),Transactions!$A$6:$A$2005,"&lt;"&amp;DATE(Settings!$C$4,4,1)))</f>
        <v/>
      </c>
      <c r="O49" s="32">
        <f>IF($A49="",0,SUMIFS(Transactions!$D$6:$D$2005,Transactions!$C$6:$C$2005,$A49,Transactions!$A$6:$A$2005,"&gt;="&amp;DATE(Settings!$C$4,4,1),Transactions!$A$6:$A$2005,"&lt;"&amp;DATE(Settings!$C$4,5,1)))</f>
        <v/>
      </c>
      <c r="P49" s="32">
        <f>IF($A49="",0,SUMIFS(Transactions!$D$6:$D$2005,Transactions!$C$6:$C$2005,$A49,Transactions!$A$6:$A$2005,"&gt;="&amp;DATE(Settings!$C$4,5,1),Transactions!$A$6:$A$2005,"&lt;"&amp;DATE(Settings!$C$4,6,1)))</f>
        <v/>
      </c>
      <c r="Q49" s="32">
        <f>IF($A49="",0,SUMIFS(Transactions!$D$6:$D$2005,Transactions!$C$6:$C$2005,$A49,Transactions!$A$6:$A$2005,"&gt;="&amp;DATE(Settings!$C$4,6,1),Transactions!$A$6:$A$2005,"&lt;"&amp;DATE(Settings!$C$4,7,1)))</f>
        <v/>
      </c>
      <c r="R49" s="32">
        <f>IF($A49="",0,SUMIFS(Transactions!$D$6:$D$2005,Transactions!$C$6:$C$2005,$A49,Transactions!$A$6:$A$2005,"&gt;="&amp;DATE(Settings!$C$4,7,1),Transactions!$A$6:$A$2005,"&lt;"&amp;DATE(Settings!$C$4,8,1)))</f>
        <v/>
      </c>
      <c r="S49" s="32">
        <f>IF($A49="",0,SUMIFS(Transactions!$D$6:$D$2005,Transactions!$C$6:$C$2005,$A49,Transactions!$A$6:$A$2005,"&gt;="&amp;DATE(Settings!$C$4,8,1),Transactions!$A$6:$A$2005,"&lt;"&amp;DATE(Settings!$C$4,9,1)))</f>
        <v/>
      </c>
      <c r="T49" s="32">
        <f>IF($A49="",0,SUMIFS(Transactions!$D$6:$D$2005,Transactions!$C$6:$C$2005,$A49,Transactions!$A$6:$A$2005,"&gt;="&amp;DATE(Settings!$C$4,9,1),Transactions!$A$6:$A$2005,"&lt;"&amp;DATE(Settings!$C$4,10,1)))</f>
        <v/>
      </c>
      <c r="U49" s="32">
        <f>IF($A49="",0,SUMIFS(Transactions!$D$6:$D$2005,Transactions!$C$6:$C$2005,$A49,Transactions!$A$6:$A$2005,"&gt;="&amp;DATE(Settings!$C$4,10,1),Transactions!$A$6:$A$2005,"&lt;"&amp;DATE(Settings!$C$4,11,1)))</f>
        <v/>
      </c>
      <c r="V49" s="32">
        <f>IF($A49="",0,SUMIFS(Transactions!$D$6:$D$2005,Transactions!$C$6:$C$2005,$A49,Transactions!$A$6:$A$2005,"&gt;="&amp;DATE(Settings!$C$4,11,1),Transactions!$A$6:$A$2005,"&lt;"&amp;DATE(Settings!$C$4,12,1)))</f>
        <v/>
      </c>
      <c r="W49" s="32">
        <f>IF($A49="",0,SUMIFS(Transactions!$D$6:$D$2005,Transactions!$C$6:$C$2005,$A49,Transactions!$A$6:$A$2005,"&gt;="&amp;DATE(Settings!$C$4,12,1),Transactions!$A$6:$A$2005,"&lt;"&amp;DATE(Settings!$C$4,13,1)))</f>
        <v/>
      </c>
      <c r="X49" s="40">
        <f>SUM(L49:W49)</f>
        <v/>
      </c>
      <c r="Y49" s="32">
        <f>IF($A49="",0,'Monthly Budget'!$P49)</f>
        <v/>
      </c>
      <c r="Z49" s="32">
        <f>X49-Y49</f>
        <v/>
      </c>
      <c r="AA49" s="46">
        <f>IF(AND(X49&gt;0,OR(B49="Fixed bills",B49="Variable expenses")),X49+ROW()/10000000,0)</f>
        <v/>
      </c>
    </row>
    <row r="50">
      <c r="A50" s="38">
        <f>IF(Categories!$A42="","",Categories!$A42)</f>
        <v/>
      </c>
      <c r="B50" s="29">
        <f>IF(A50="","",Categories!$B42&amp;"")</f>
        <v/>
      </c>
      <c r="C50" s="32">
        <f>IF($A50="",0,INDEX('Monthly Budget'!$D50:$O50,1,Settings!$C$12))</f>
        <v/>
      </c>
      <c r="D50" s="40">
        <f>INDEX($L50:$W50,1,Settings!$C$12)</f>
        <v/>
      </c>
      <c r="E50" s="32">
        <f>D50-C50</f>
        <v/>
      </c>
      <c r="F50" s="44">
        <f>IF(C50=0,"",D50/C50)</f>
        <v/>
      </c>
      <c r="H50" s="32">
        <f>IF($A50="",0,SUMIFS('Monthly Budget'!$D50:$O50,Lists!$I$2:$T$2,"&lt;="&amp;Settings!$C$12))</f>
        <v/>
      </c>
      <c r="I50" s="32">
        <f>SUMIFS($L50:$W50,Lists!$I$2:$T$2,"&lt;="&amp;Settings!$C$12)</f>
        <v/>
      </c>
      <c r="J50" s="32">
        <f>I50-H50</f>
        <v/>
      </c>
      <c r="L50" s="32">
        <f>IF($A50="",0,SUMIFS(Transactions!$D$6:$D$2005,Transactions!$C$6:$C$2005,$A50,Transactions!$A$6:$A$2005,"&gt;="&amp;DATE(Settings!$C$4,1,1),Transactions!$A$6:$A$2005,"&lt;"&amp;DATE(Settings!$C$4,2,1)))</f>
        <v/>
      </c>
      <c r="M50" s="32">
        <f>IF($A50="",0,SUMIFS(Transactions!$D$6:$D$2005,Transactions!$C$6:$C$2005,$A50,Transactions!$A$6:$A$2005,"&gt;="&amp;DATE(Settings!$C$4,2,1),Transactions!$A$6:$A$2005,"&lt;"&amp;DATE(Settings!$C$4,3,1)))</f>
        <v/>
      </c>
      <c r="N50" s="32">
        <f>IF($A50="",0,SUMIFS(Transactions!$D$6:$D$2005,Transactions!$C$6:$C$2005,$A50,Transactions!$A$6:$A$2005,"&gt;="&amp;DATE(Settings!$C$4,3,1),Transactions!$A$6:$A$2005,"&lt;"&amp;DATE(Settings!$C$4,4,1)))</f>
        <v/>
      </c>
      <c r="O50" s="32">
        <f>IF($A50="",0,SUMIFS(Transactions!$D$6:$D$2005,Transactions!$C$6:$C$2005,$A50,Transactions!$A$6:$A$2005,"&gt;="&amp;DATE(Settings!$C$4,4,1),Transactions!$A$6:$A$2005,"&lt;"&amp;DATE(Settings!$C$4,5,1)))</f>
        <v/>
      </c>
      <c r="P50" s="32">
        <f>IF($A50="",0,SUMIFS(Transactions!$D$6:$D$2005,Transactions!$C$6:$C$2005,$A50,Transactions!$A$6:$A$2005,"&gt;="&amp;DATE(Settings!$C$4,5,1),Transactions!$A$6:$A$2005,"&lt;"&amp;DATE(Settings!$C$4,6,1)))</f>
        <v/>
      </c>
      <c r="Q50" s="32">
        <f>IF($A50="",0,SUMIFS(Transactions!$D$6:$D$2005,Transactions!$C$6:$C$2005,$A50,Transactions!$A$6:$A$2005,"&gt;="&amp;DATE(Settings!$C$4,6,1),Transactions!$A$6:$A$2005,"&lt;"&amp;DATE(Settings!$C$4,7,1)))</f>
        <v/>
      </c>
      <c r="R50" s="32">
        <f>IF($A50="",0,SUMIFS(Transactions!$D$6:$D$2005,Transactions!$C$6:$C$2005,$A50,Transactions!$A$6:$A$2005,"&gt;="&amp;DATE(Settings!$C$4,7,1),Transactions!$A$6:$A$2005,"&lt;"&amp;DATE(Settings!$C$4,8,1)))</f>
        <v/>
      </c>
      <c r="S50" s="32">
        <f>IF($A50="",0,SUMIFS(Transactions!$D$6:$D$2005,Transactions!$C$6:$C$2005,$A50,Transactions!$A$6:$A$2005,"&gt;="&amp;DATE(Settings!$C$4,8,1),Transactions!$A$6:$A$2005,"&lt;"&amp;DATE(Settings!$C$4,9,1)))</f>
        <v/>
      </c>
      <c r="T50" s="32">
        <f>IF($A50="",0,SUMIFS(Transactions!$D$6:$D$2005,Transactions!$C$6:$C$2005,$A50,Transactions!$A$6:$A$2005,"&gt;="&amp;DATE(Settings!$C$4,9,1),Transactions!$A$6:$A$2005,"&lt;"&amp;DATE(Settings!$C$4,10,1)))</f>
        <v/>
      </c>
      <c r="U50" s="32">
        <f>IF($A50="",0,SUMIFS(Transactions!$D$6:$D$2005,Transactions!$C$6:$C$2005,$A50,Transactions!$A$6:$A$2005,"&gt;="&amp;DATE(Settings!$C$4,10,1),Transactions!$A$6:$A$2005,"&lt;"&amp;DATE(Settings!$C$4,11,1)))</f>
        <v/>
      </c>
      <c r="V50" s="32">
        <f>IF($A50="",0,SUMIFS(Transactions!$D$6:$D$2005,Transactions!$C$6:$C$2005,$A50,Transactions!$A$6:$A$2005,"&gt;="&amp;DATE(Settings!$C$4,11,1),Transactions!$A$6:$A$2005,"&lt;"&amp;DATE(Settings!$C$4,12,1)))</f>
        <v/>
      </c>
      <c r="W50" s="32">
        <f>IF($A50="",0,SUMIFS(Transactions!$D$6:$D$2005,Transactions!$C$6:$C$2005,$A50,Transactions!$A$6:$A$2005,"&gt;="&amp;DATE(Settings!$C$4,12,1),Transactions!$A$6:$A$2005,"&lt;"&amp;DATE(Settings!$C$4,13,1)))</f>
        <v/>
      </c>
      <c r="X50" s="40">
        <f>SUM(L50:W50)</f>
        <v/>
      </c>
      <c r="Y50" s="32">
        <f>IF($A50="",0,'Monthly Budget'!$P50)</f>
        <v/>
      </c>
      <c r="Z50" s="32">
        <f>X50-Y50</f>
        <v/>
      </c>
      <c r="AA50" s="46">
        <f>IF(AND(X50&gt;0,OR(B50="Fixed bills",B50="Variable expenses")),X50+ROW()/10000000,0)</f>
        <v/>
      </c>
    </row>
    <row r="51">
      <c r="A51" s="38">
        <f>IF(Categories!$A43="","",Categories!$A43)</f>
        <v/>
      </c>
      <c r="B51" s="29">
        <f>IF(A51="","",Categories!$B43&amp;"")</f>
        <v/>
      </c>
      <c r="C51" s="32">
        <f>IF($A51="",0,INDEX('Monthly Budget'!$D51:$O51,1,Settings!$C$12))</f>
        <v/>
      </c>
      <c r="D51" s="40">
        <f>INDEX($L51:$W51,1,Settings!$C$12)</f>
        <v/>
      </c>
      <c r="E51" s="32">
        <f>D51-C51</f>
        <v/>
      </c>
      <c r="F51" s="44">
        <f>IF(C51=0,"",D51/C51)</f>
        <v/>
      </c>
      <c r="H51" s="32">
        <f>IF($A51="",0,SUMIFS('Monthly Budget'!$D51:$O51,Lists!$I$2:$T$2,"&lt;="&amp;Settings!$C$12))</f>
        <v/>
      </c>
      <c r="I51" s="32">
        <f>SUMIFS($L51:$W51,Lists!$I$2:$T$2,"&lt;="&amp;Settings!$C$12)</f>
        <v/>
      </c>
      <c r="J51" s="32">
        <f>I51-H51</f>
        <v/>
      </c>
      <c r="L51" s="32">
        <f>IF($A51="",0,SUMIFS(Transactions!$D$6:$D$2005,Transactions!$C$6:$C$2005,$A51,Transactions!$A$6:$A$2005,"&gt;="&amp;DATE(Settings!$C$4,1,1),Transactions!$A$6:$A$2005,"&lt;"&amp;DATE(Settings!$C$4,2,1)))</f>
        <v/>
      </c>
      <c r="M51" s="32">
        <f>IF($A51="",0,SUMIFS(Transactions!$D$6:$D$2005,Transactions!$C$6:$C$2005,$A51,Transactions!$A$6:$A$2005,"&gt;="&amp;DATE(Settings!$C$4,2,1),Transactions!$A$6:$A$2005,"&lt;"&amp;DATE(Settings!$C$4,3,1)))</f>
        <v/>
      </c>
      <c r="N51" s="32">
        <f>IF($A51="",0,SUMIFS(Transactions!$D$6:$D$2005,Transactions!$C$6:$C$2005,$A51,Transactions!$A$6:$A$2005,"&gt;="&amp;DATE(Settings!$C$4,3,1),Transactions!$A$6:$A$2005,"&lt;"&amp;DATE(Settings!$C$4,4,1)))</f>
        <v/>
      </c>
      <c r="O51" s="32">
        <f>IF($A51="",0,SUMIFS(Transactions!$D$6:$D$2005,Transactions!$C$6:$C$2005,$A51,Transactions!$A$6:$A$2005,"&gt;="&amp;DATE(Settings!$C$4,4,1),Transactions!$A$6:$A$2005,"&lt;"&amp;DATE(Settings!$C$4,5,1)))</f>
        <v/>
      </c>
      <c r="P51" s="32">
        <f>IF($A51="",0,SUMIFS(Transactions!$D$6:$D$2005,Transactions!$C$6:$C$2005,$A51,Transactions!$A$6:$A$2005,"&gt;="&amp;DATE(Settings!$C$4,5,1),Transactions!$A$6:$A$2005,"&lt;"&amp;DATE(Settings!$C$4,6,1)))</f>
        <v/>
      </c>
      <c r="Q51" s="32">
        <f>IF($A51="",0,SUMIFS(Transactions!$D$6:$D$2005,Transactions!$C$6:$C$2005,$A51,Transactions!$A$6:$A$2005,"&gt;="&amp;DATE(Settings!$C$4,6,1),Transactions!$A$6:$A$2005,"&lt;"&amp;DATE(Settings!$C$4,7,1)))</f>
        <v/>
      </c>
      <c r="R51" s="32">
        <f>IF($A51="",0,SUMIFS(Transactions!$D$6:$D$2005,Transactions!$C$6:$C$2005,$A51,Transactions!$A$6:$A$2005,"&gt;="&amp;DATE(Settings!$C$4,7,1),Transactions!$A$6:$A$2005,"&lt;"&amp;DATE(Settings!$C$4,8,1)))</f>
        <v/>
      </c>
      <c r="S51" s="32">
        <f>IF($A51="",0,SUMIFS(Transactions!$D$6:$D$2005,Transactions!$C$6:$C$2005,$A51,Transactions!$A$6:$A$2005,"&gt;="&amp;DATE(Settings!$C$4,8,1),Transactions!$A$6:$A$2005,"&lt;"&amp;DATE(Settings!$C$4,9,1)))</f>
        <v/>
      </c>
      <c r="T51" s="32">
        <f>IF($A51="",0,SUMIFS(Transactions!$D$6:$D$2005,Transactions!$C$6:$C$2005,$A51,Transactions!$A$6:$A$2005,"&gt;="&amp;DATE(Settings!$C$4,9,1),Transactions!$A$6:$A$2005,"&lt;"&amp;DATE(Settings!$C$4,10,1)))</f>
        <v/>
      </c>
      <c r="U51" s="32">
        <f>IF($A51="",0,SUMIFS(Transactions!$D$6:$D$2005,Transactions!$C$6:$C$2005,$A51,Transactions!$A$6:$A$2005,"&gt;="&amp;DATE(Settings!$C$4,10,1),Transactions!$A$6:$A$2005,"&lt;"&amp;DATE(Settings!$C$4,11,1)))</f>
        <v/>
      </c>
      <c r="V51" s="32">
        <f>IF($A51="",0,SUMIFS(Transactions!$D$6:$D$2005,Transactions!$C$6:$C$2005,$A51,Transactions!$A$6:$A$2005,"&gt;="&amp;DATE(Settings!$C$4,11,1),Transactions!$A$6:$A$2005,"&lt;"&amp;DATE(Settings!$C$4,12,1)))</f>
        <v/>
      </c>
      <c r="W51" s="32">
        <f>IF($A51="",0,SUMIFS(Transactions!$D$6:$D$2005,Transactions!$C$6:$C$2005,$A51,Transactions!$A$6:$A$2005,"&gt;="&amp;DATE(Settings!$C$4,12,1),Transactions!$A$6:$A$2005,"&lt;"&amp;DATE(Settings!$C$4,13,1)))</f>
        <v/>
      </c>
      <c r="X51" s="40">
        <f>SUM(L51:W51)</f>
        <v/>
      </c>
      <c r="Y51" s="32">
        <f>IF($A51="",0,'Monthly Budget'!$P51)</f>
        <v/>
      </c>
      <c r="Z51" s="32">
        <f>X51-Y51</f>
        <v/>
      </c>
      <c r="AA51" s="46">
        <f>IF(AND(X51&gt;0,OR(B51="Fixed bills",B51="Variable expenses")),X51+ROW()/10000000,0)</f>
        <v/>
      </c>
    </row>
    <row r="52">
      <c r="A52" s="38">
        <f>IF(Categories!$A44="","",Categories!$A44)</f>
        <v/>
      </c>
      <c r="B52" s="29">
        <f>IF(A52="","",Categories!$B44&amp;"")</f>
        <v/>
      </c>
      <c r="C52" s="32">
        <f>IF($A52="",0,INDEX('Monthly Budget'!$D52:$O52,1,Settings!$C$12))</f>
        <v/>
      </c>
      <c r="D52" s="40">
        <f>INDEX($L52:$W52,1,Settings!$C$12)</f>
        <v/>
      </c>
      <c r="E52" s="32">
        <f>D52-C52</f>
        <v/>
      </c>
      <c r="F52" s="44">
        <f>IF(C52=0,"",D52/C52)</f>
        <v/>
      </c>
      <c r="H52" s="32">
        <f>IF($A52="",0,SUMIFS('Monthly Budget'!$D52:$O52,Lists!$I$2:$T$2,"&lt;="&amp;Settings!$C$12))</f>
        <v/>
      </c>
      <c r="I52" s="32">
        <f>SUMIFS($L52:$W52,Lists!$I$2:$T$2,"&lt;="&amp;Settings!$C$12)</f>
        <v/>
      </c>
      <c r="J52" s="32">
        <f>I52-H52</f>
        <v/>
      </c>
      <c r="L52" s="32">
        <f>IF($A52="",0,SUMIFS(Transactions!$D$6:$D$2005,Transactions!$C$6:$C$2005,$A52,Transactions!$A$6:$A$2005,"&gt;="&amp;DATE(Settings!$C$4,1,1),Transactions!$A$6:$A$2005,"&lt;"&amp;DATE(Settings!$C$4,2,1)))</f>
        <v/>
      </c>
      <c r="M52" s="32">
        <f>IF($A52="",0,SUMIFS(Transactions!$D$6:$D$2005,Transactions!$C$6:$C$2005,$A52,Transactions!$A$6:$A$2005,"&gt;="&amp;DATE(Settings!$C$4,2,1),Transactions!$A$6:$A$2005,"&lt;"&amp;DATE(Settings!$C$4,3,1)))</f>
        <v/>
      </c>
      <c r="N52" s="32">
        <f>IF($A52="",0,SUMIFS(Transactions!$D$6:$D$2005,Transactions!$C$6:$C$2005,$A52,Transactions!$A$6:$A$2005,"&gt;="&amp;DATE(Settings!$C$4,3,1),Transactions!$A$6:$A$2005,"&lt;"&amp;DATE(Settings!$C$4,4,1)))</f>
        <v/>
      </c>
      <c r="O52" s="32">
        <f>IF($A52="",0,SUMIFS(Transactions!$D$6:$D$2005,Transactions!$C$6:$C$2005,$A52,Transactions!$A$6:$A$2005,"&gt;="&amp;DATE(Settings!$C$4,4,1),Transactions!$A$6:$A$2005,"&lt;"&amp;DATE(Settings!$C$4,5,1)))</f>
        <v/>
      </c>
      <c r="P52" s="32">
        <f>IF($A52="",0,SUMIFS(Transactions!$D$6:$D$2005,Transactions!$C$6:$C$2005,$A52,Transactions!$A$6:$A$2005,"&gt;="&amp;DATE(Settings!$C$4,5,1),Transactions!$A$6:$A$2005,"&lt;"&amp;DATE(Settings!$C$4,6,1)))</f>
        <v/>
      </c>
      <c r="Q52" s="32">
        <f>IF($A52="",0,SUMIFS(Transactions!$D$6:$D$2005,Transactions!$C$6:$C$2005,$A52,Transactions!$A$6:$A$2005,"&gt;="&amp;DATE(Settings!$C$4,6,1),Transactions!$A$6:$A$2005,"&lt;"&amp;DATE(Settings!$C$4,7,1)))</f>
        <v/>
      </c>
      <c r="R52" s="32">
        <f>IF($A52="",0,SUMIFS(Transactions!$D$6:$D$2005,Transactions!$C$6:$C$2005,$A52,Transactions!$A$6:$A$2005,"&gt;="&amp;DATE(Settings!$C$4,7,1),Transactions!$A$6:$A$2005,"&lt;"&amp;DATE(Settings!$C$4,8,1)))</f>
        <v/>
      </c>
      <c r="S52" s="32">
        <f>IF($A52="",0,SUMIFS(Transactions!$D$6:$D$2005,Transactions!$C$6:$C$2005,$A52,Transactions!$A$6:$A$2005,"&gt;="&amp;DATE(Settings!$C$4,8,1),Transactions!$A$6:$A$2005,"&lt;"&amp;DATE(Settings!$C$4,9,1)))</f>
        <v/>
      </c>
      <c r="T52" s="32">
        <f>IF($A52="",0,SUMIFS(Transactions!$D$6:$D$2005,Transactions!$C$6:$C$2005,$A52,Transactions!$A$6:$A$2005,"&gt;="&amp;DATE(Settings!$C$4,9,1),Transactions!$A$6:$A$2005,"&lt;"&amp;DATE(Settings!$C$4,10,1)))</f>
        <v/>
      </c>
      <c r="U52" s="32">
        <f>IF($A52="",0,SUMIFS(Transactions!$D$6:$D$2005,Transactions!$C$6:$C$2005,$A52,Transactions!$A$6:$A$2005,"&gt;="&amp;DATE(Settings!$C$4,10,1),Transactions!$A$6:$A$2005,"&lt;"&amp;DATE(Settings!$C$4,11,1)))</f>
        <v/>
      </c>
      <c r="V52" s="32">
        <f>IF($A52="",0,SUMIFS(Transactions!$D$6:$D$2005,Transactions!$C$6:$C$2005,$A52,Transactions!$A$6:$A$2005,"&gt;="&amp;DATE(Settings!$C$4,11,1),Transactions!$A$6:$A$2005,"&lt;"&amp;DATE(Settings!$C$4,12,1)))</f>
        <v/>
      </c>
      <c r="W52" s="32">
        <f>IF($A52="",0,SUMIFS(Transactions!$D$6:$D$2005,Transactions!$C$6:$C$2005,$A52,Transactions!$A$6:$A$2005,"&gt;="&amp;DATE(Settings!$C$4,12,1),Transactions!$A$6:$A$2005,"&lt;"&amp;DATE(Settings!$C$4,13,1)))</f>
        <v/>
      </c>
      <c r="X52" s="40">
        <f>SUM(L52:W52)</f>
        <v/>
      </c>
      <c r="Y52" s="32">
        <f>IF($A52="",0,'Monthly Budget'!$P52)</f>
        <v/>
      </c>
      <c r="Z52" s="32">
        <f>X52-Y52</f>
        <v/>
      </c>
      <c r="AA52" s="46">
        <f>IF(AND(X52&gt;0,OR(B52="Fixed bills",B52="Variable expenses")),X52+ROW()/10000000,0)</f>
        <v/>
      </c>
    </row>
    <row r="53">
      <c r="A53" s="38">
        <f>IF(Categories!$A45="","",Categories!$A45)</f>
        <v/>
      </c>
      <c r="B53" s="29">
        <f>IF(A53="","",Categories!$B45&amp;"")</f>
        <v/>
      </c>
      <c r="C53" s="32">
        <f>IF($A53="",0,INDEX('Monthly Budget'!$D53:$O53,1,Settings!$C$12))</f>
        <v/>
      </c>
      <c r="D53" s="40">
        <f>INDEX($L53:$W53,1,Settings!$C$12)</f>
        <v/>
      </c>
      <c r="E53" s="32">
        <f>D53-C53</f>
        <v/>
      </c>
      <c r="F53" s="44">
        <f>IF(C53=0,"",D53/C53)</f>
        <v/>
      </c>
      <c r="H53" s="32">
        <f>IF($A53="",0,SUMIFS('Monthly Budget'!$D53:$O53,Lists!$I$2:$T$2,"&lt;="&amp;Settings!$C$12))</f>
        <v/>
      </c>
      <c r="I53" s="32">
        <f>SUMIFS($L53:$W53,Lists!$I$2:$T$2,"&lt;="&amp;Settings!$C$12)</f>
        <v/>
      </c>
      <c r="J53" s="32">
        <f>I53-H53</f>
        <v/>
      </c>
      <c r="L53" s="32">
        <f>IF($A53="",0,SUMIFS(Transactions!$D$6:$D$2005,Transactions!$C$6:$C$2005,$A53,Transactions!$A$6:$A$2005,"&gt;="&amp;DATE(Settings!$C$4,1,1),Transactions!$A$6:$A$2005,"&lt;"&amp;DATE(Settings!$C$4,2,1)))</f>
        <v/>
      </c>
      <c r="M53" s="32">
        <f>IF($A53="",0,SUMIFS(Transactions!$D$6:$D$2005,Transactions!$C$6:$C$2005,$A53,Transactions!$A$6:$A$2005,"&gt;="&amp;DATE(Settings!$C$4,2,1),Transactions!$A$6:$A$2005,"&lt;"&amp;DATE(Settings!$C$4,3,1)))</f>
        <v/>
      </c>
      <c r="N53" s="32">
        <f>IF($A53="",0,SUMIFS(Transactions!$D$6:$D$2005,Transactions!$C$6:$C$2005,$A53,Transactions!$A$6:$A$2005,"&gt;="&amp;DATE(Settings!$C$4,3,1),Transactions!$A$6:$A$2005,"&lt;"&amp;DATE(Settings!$C$4,4,1)))</f>
        <v/>
      </c>
      <c r="O53" s="32">
        <f>IF($A53="",0,SUMIFS(Transactions!$D$6:$D$2005,Transactions!$C$6:$C$2005,$A53,Transactions!$A$6:$A$2005,"&gt;="&amp;DATE(Settings!$C$4,4,1),Transactions!$A$6:$A$2005,"&lt;"&amp;DATE(Settings!$C$4,5,1)))</f>
        <v/>
      </c>
      <c r="P53" s="32">
        <f>IF($A53="",0,SUMIFS(Transactions!$D$6:$D$2005,Transactions!$C$6:$C$2005,$A53,Transactions!$A$6:$A$2005,"&gt;="&amp;DATE(Settings!$C$4,5,1),Transactions!$A$6:$A$2005,"&lt;"&amp;DATE(Settings!$C$4,6,1)))</f>
        <v/>
      </c>
      <c r="Q53" s="32">
        <f>IF($A53="",0,SUMIFS(Transactions!$D$6:$D$2005,Transactions!$C$6:$C$2005,$A53,Transactions!$A$6:$A$2005,"&gt;="&amp;DATE(Settings!$C$4,6,1),Transactions!$A$6:$A$2005,"&lt;"&amp;DATE(Settings!$C$4,7,1)))</f>
        <v/>
      </c>
      <c r="R53" s="32">
        <f>IF($A53="",0,SUMIFS(Transactions!$D$6:$D$2005,Transactions!$C$6:$C$2005,$A53,Transactions!$A$6:$A$2005,"&gt;="&amp;DATE(Settings!$C$4,7,1),Transactions!$A$6:$A$2005,"&lt;"&amp;DATE(Settings!$C$4,8,1)))</f>
        <v/>
      </c>
      <c r="S53" s="32">
        <f>IF($A53="",0,SUMIFS(Transactions!$D$6:$D$2005,Transactions!$C$6:$C$2005,$A53,Transactions!$A$6:$A$2005,"&gt;="&amp;DATE(Settings!$C$4,8,1),Transactions!$A$6:$A$2005,"&lt;"&amp;DATE(Settings!$C$4,9,1)))</f>
        <v/>
      </c>
      <c r="T53" s="32">
        <f>IF($A53="",0,SUMIFS(Transactions!$D$6:$D$2005,Transactions!$C$6:$C$2005,$A53,Transactions!$A$6:$A$2005,"&gt;="&amp;DATE(Settings!$C$4,9,1),Transactions!$A$6:$A$2005,"&lt;"&amp;DATE(Settings!$C$4,10,1)))</f>
        <v/>
      </c>
      <c r="U53" s="32">
        <f>IF($A53="",0,SUMIFS(Transactions!$D$6:$D$2005,Transactions!$C$6:$C$2005,$A53,Transactions!$A$6:$A$2005,"&gt;="&amp;DATE(Settings!$C$4,10,1),Transactions!$A$6:$A$2005,"&lt;"&amp;DATE(Settings!$C$4,11,1)))</f>
        <v/>
      </c>
      <c r="V53" s="32">
        <f>IF($A53="",0,SUMIFS(Transactions!$D$6:$D$2005,Transactions!$C$6:$C$2005,$A53,Transactions!$A$6:$A$2005,"&gt;="&amp;DATE(Settings!$C$4,11,1),Transactions!$A$6:$A$2005,"&lt;"&amp;DATE(Settings!$C$4,12,1)))</f>
        <v/>
      </c>
      <c r="W53" s="32">
        <f>IF($A53="",0,SUMIFS(Transactions!$D$6:$D$2005,Transactions!$C$6:$C$2005,$A53,Transactions!$A$6:$A$2005,"&gt;="&amp;DATE(Settings!$C$4,12,1),Transactions!$A$6:$A$2005,"&lt;"&amp;DATE(Settings!$C$4,13,1)))</f>
        <v/>
      </c>
      <c r="X53" s="40">
        <f>SUM(L53:W53)</f>
        <v/>
      </c>
      <c r="Y53" s="32">
        <f>IF($A53="",0,'Monthly Budget'!$P53)</f>
        <v/>
      </c>
      <c r="Z53" s="32">
        <f>X53-Y53</f>
        <v/>
      </c>
      <c r="AA53" s="46">
        <f>IF(AND(X53&gt;0,OR(B53="Fixed bills",B53="Variable expenses")),X53+ROW()/10000000,0)</f>
        <v/>
      </c>
    </row>
    <row r="54">
      <c r="A54" s="38">
        <f>IF(Categories!$A46="","",Categories!$A46)</f>
        <v/>
      </c>
      <c r="B54" s="29">
        <f>IF(A54="","",Categories!$B46&amp;"")</f>
        <v/>
      </c>
      <c r="C54" s="32">
        <f>IF($A54="",0,INDEX('Monthly Budget'!$D54:$O54,1,Settings!$C$12))</f>
        <v/>
      </c>
      <c r="D54" s="40">
        <f>INDEX($L54:$W54,1,Settings!$C$12)</f>
        <v/>
      </c>
      <c r="E54" s="32">
        <f>D54-C54</f>
        <v/>
      </c>
      <c r="F54" s="44">
        <f>IF(C54=0,"",D54/C54)</f>
        <v/>
      </c>
      <c r="H54" s="32">
        <f>IF($A54="",0,SUMIFS('Monthly Budget'!$D54:$O54,Lists!$I$2:$T$2,"&lt;="&amp;Settings!$C$12))</f>
        <v/>
      </c>
      <c r="I54" s="32">
        <f>SUMIFS($L54:$W54,Lists!$I$2:$T$2,"&lt;="&amp;Settings!$C$12)</f>
        <v/>
      </c>
      <c r="J54" s="32">
        <f>I54-H54</f>
        <v/>
      </c>
      <c r="L54" s="32">
        <f>IF($A54="",0,SUMIFS(Transactions!$D$6:$D$2005,Transactions!$C$6:$C$2005,$A54,Transactions!$A$6:$A$2005,"&gt;="&amp;DATE(Settings!$C$4,1,1),Transactions!$A$6:$A$2005,"&lt;"&amp;DATE(Settings!$C$4,2,1)))</f>
        <v/>
      </c>
      <c r="M54" s="32">
        <f>IF($A54="",0,SUMIFS(Transactions!$D$6:$D$2005,Transactions!$C$6:$C$2005,$A54,Transactions!$A$6:$A$2005,"&gt;="&amp;DATE(Settings!$C$4,2,1),Transactions!$A$6:$A$2005,"&lt;"&amp;DATE(Settings!$C$4,3,1)))</f>
        <v/>
      </c>
      <c r="N54" s="32">
        <f>IF($A54="",0,SUMIFS(Transactions!$D$6:$D$2005,Transactions!$C$6:$C$2005,$A54,Transactions!$A$6:$A$2005,"&gt;="&amp;DATE(Settings!$C$4,3,1),Transactions!$A$6:$A$2005,"&lt;"&amp;DATE(Settings!$C$4,4,1)))</f>
        <v/>
      </c>
      <c r="O54" s="32">
        <f>IF($A54="",0,SUMIFS(Transactions!$D$6:$D$2005,Transactions!$C$6:$C$2005,$A54,Transactions!$A$6:$A$2005,"&gt;="&amp;DATE(Settings!$C$4,4,1),Transactions!$A$6:$A$2005,"&lt;"&amp;DATE(Settings!$C$4,5,1)))</f>
        <v/>
      </c>
      <c r="P54" s="32">
        <f>IF($A54="",0,SUMIFS(Transactions!$D$6:$D$2005,Transactions!$C$6:$C$2005,$A54,Transactions!$A$6:$A$2005,"&gt;="&amp;DATE(Settings!$C$4,5,1),Transactions!$A$6:$A$2005,"&lt;"&amp;DATE(Settings!$C$4,6,1)))</f>
        <v/>
      </c>
      <c r="Q54" s="32">
        <f>IF($A54="",0,SUMIFS(Transactions!$D$6:$D$2005,Transactions!$C$6:$C$2005,$A54,Transactions!$A$6:$A$2005,"&gt;="&amp;DATE(Settings!$C$4,6,1),Transactions!$A$6:$A$2005,"&lt;"&amp;DATE(Settings!$C$4,7,1)))</f>
        <v/>
      </c>
      <c r="R54" s="32">
        <f>IF($A54="",0,SUMIFS(Transactions!$D$6:$D$2005,Transactions!$C$6:$C$2005,$A54,Transactions!$A$6:$A$2005,"&gt;="&amp;DATE(Settings!$C$4,7,1),Transactions!$A$6:$A$2005,"&lt;"&amp;DATE(Settings!$C$4,8,1)))</f>
        <v/>
      </c>
      <c r="S54" s="32">
        <f>IF($A54="",0,SUMIFS(Transactions!$D$6:$D$2005,Transactions!$C$6:$C$2005,$A54,Transactions!$A$6:$A$2005,"&gt;="&amp;DATE(Settings!$C$4,8,1),Transactions!$A$6:$A$2005,"&lt;"&amp;DATE(Settings!$C$4,9,1)))</f>
        <v/>
      </c>
      <c r="T54" s="32">
        <f>IF($A54="",0,SUMIFS(Transactions!$D$6:$D$2005,Transactions!$C$6:$C$2005,$A54,Transactions!$A$6:$A$2005,"&gt;="&amp;DATE(Settings!$C$4,9,1),Transactions!$A$6:$A$2005,"&lt;"&amp;DATE(Settings!$C$4,10,1)))</f>
        <v/>
      </c>
      <c r="U54" s="32">
        <f>IF($A54="",0,SUMIFS(Transactions!$D$6:$D$2005,Transactions!$C$6:$C$2005,$A54,Transactions!$A$6:$A$2005,"&gt;="&amp;DATE(Settings!$C$4,10,1),Transactions!$A$6:$A$2005,"&lt;"&amp;DATE(Settings!$C$4,11,1)))</f>
        <v/>
      </c>
      <c r="V54" s="32">
        <f>IF($A54="",0,SUMIFS(Transactions!$D$6:$D$2005,Transactions!$C$6:$C$2005,$A54,Transactions!$A$6:$A$2005,"&gt;="&amp;DATE(Settings!$C$4,11,1),Transactions!$A$6:$A$2005,"&lt;"&amp;DATE(Settings!$C$4,12,1)))</f>
        <v/>
      </c>
      <c r="W54" s="32">
        <f>IF($A54="",0,SUMIFS(Transactions!$D$6:$D$2005,Transactions!$C$6:$C$2005,$A54,Transactions!$A$6:$A$2005,"&gt;="&amp;DATE(Settings!$C$4,12,1),Transactions!$A$6:$A$2005,"&lt;"&amp;DATE(Settings!$C$4,13,1)))</f>
        <v/>
      </c>
      <c r="X54" s="40">
        <f>SUM(L54:W54)</f>
        <v/>
      </c>
      <c r="Y54" s="32">
        <f>IF($A54="",0,'Monthly Budget'!$P54)</f>
        <v/>
      </c>
      <c r="Z54" s="32">
        <f>X54-Y54</f>
        <v/>
      </c>
      <c r="AA54" s="46">
        <f>IF(AND(X54&gt;0,OR(B54="Fixed bills",B54="Variable expenses")),X54+ROW()/10000000,0)</f>
        <v/>
      </c>
    </row>
    <row r="55">
      <c r="A55" s="38">
        <f>IF(Categories!$A47="","",Categories!$A47)</f>
        <v/>
      </c>
      <c r="B55" s="29">
        <f>IF(A55="","",Categories!$B47&amp;"")</f>
        <v/>
      </c>
      <c r="C55" s="32">
        <f>IF($A55="",0,INDEX('Monthly Budget'!$D55:$O55,1,Settings!$C$12))</f>
        <v/>
      </c>
      <c r="D55" s="40">
        <f>INDEX($L55:$W55,1,Settings!$C$12)</f>
        <v/>
      </c>
      <c r="E55" s="32">
        <f>D55-C55</f>
        <v/>
      </c>
      <c r="F55" s="44">
        <f>IF(C55=0,"",D55/C55)</f>
        <v/>
      </c>
      <c r="H55" s="32">
        <f>IF($A55="",0,SUMIFS('Monthly Budget'!$D55:$O55,Lists!$I$2:$T$2,"&lt;="&amp;Settings!$C$12))</f>
        <v/>
      </c>
      <c r="I55" s="32">
        <f>SUMIFS($L55:$W55,Lists!$I$2:$T$2,"&lt;="&amp;Settings!$C$12)</f>
        <v/>
      </c>
      <c r="J55" s="32">
        <f>I55-H55</f>
        <v/>
      </c>
      <c r="L55" s="32">
        <f>IF($A55="",0,SUMIFS(Transactions!$D$6:$D$2005,Transactions!$C$6:$C$2005,$A55,Transactions!$A$6:$A$2005,"&gt;="&amp;DATE(Settings!$C$4,1,1),Transactions!$A$6:$A$2005,"&lt;"&amp;DATE(Settings!$C$4,2,1)))</f>
        <v/>
      </c>
      <c r="M55" s="32">
        <f>IF($A55="",0,SUMIFS(Transactions!$D$6:$D$2005,Transactions!$C$6:$C$2005,$A55,Transactions!$A$6:$A$2005,"&gt;="&amp;DATE(Settings!$C$4,2,1),Transactions!$A$6:$A$2005,"&lt;"&amp;DATE(Settings!$C$4,3,1)))</f>
        <v/>
      </c>
      <c r="N55" s="32">
        <f>IF($A55="",0,SUMIFS(Transactions!$D$6:$D$2005,Transactions!$C$6:$C$2005,$A55,Transactions!$A$6:$A$2005,"&gt;="&amp;DATE(Settings!$C$4,3,1),Transactions!$A$6:$A$2005,"&lt;"&amp;DATE(Settings!$C$4,4,1)))</f>
        <v/>
      </c>
      <c r="O55" s="32">
        <f>IF($A55="",0,SUMIFS(Transactions!$D$6:$D$2005,Transactions!$C$6:$C$2005,$A55,Transactions!$A$6:$A$2005,"&gt;="&amp;DATE(Settings!$C$4,4,1),Transactions!$A$6:$A$2005,"&lt;"&amp;DATE(Settings!$C$4,5,1)))</f>
        <v/>
      </c>
      <c r="P55" s="32">
        <f>IF($A55="",0,SUMIFS(Transactions!$D$6:$D$2005,Transactions!$C$6:$C$2005,$A55,Transactions!$A$6:$A$2005,"&gt;="&amp;DATE(Settings!$C$4,5,1),Transactions!$A$6:$A$2005,"&lt;"&amp;DATE(Settings!$C$4,6,1)))</f>
        <v/>
      </c>
      <c r="Q55" s="32">
        <f>IF($A55="",0,SUMIFS(Transactions!$D$6:$D$2005,Transactions!$C$6:$C$2005,$A55,Transactions!$A$6:$A$2005,"&gt;="&amp;DATE(Settings!$C$4,6,1),Transactions!$A$6:$A$2005,"&lt;"&amp;DATE(Settings!$C$4,7,1)))</f>
        <v/>
      </c>
      <c r="R55" s="32">
        <f>IF($A55="",0,SUMIFS(Transactions!$D$6:$D$2005,Transactions!$C$6:$C$2005,$A55,Transactions!$A$6:$A$2005,"&gt;="&amp;DATE(Settings!$C$4,7,1),Transactions!$A$6:$A$2005,"&lt;"&amp;DATE(Settings!$C$4,8,1)))</f>
        <v/>
      </c>
      <c r="S55" s="32">
        <f>IF($A55="",0,SUMIFS(Transactions!$D$6:$D$2005,Transactions!$C$6:$C$2005,$A55,Transactions!$A$6:$A$2005,"&gt;="&amp;DATE(Settings!$C$4,8,1),Transactions!$A$6:$A$2005,"&lt;"&amp;DATE(Settings!$C$4,9,1)))</f>
        <v/>
      </c>
      <c r="T55" s="32">
        <f>IF($A55="",0,SUMIFS(Transactions!$D$6:$D$2005,Transactions!$C$6:$C$2005,$A55,Transactions!$A$6:$A$2005,"&gt;="&amp;DATE(Settings!$C$4,9,1),Transactions!$A$6:$A$2005,"&lt;"&amp;DATE(Settings!$C$4,10,1)))</f>
        <v/>
      </c>
      <c r="U55" s="32">
        <f>IF($A55="",0,SUMIFS(Transactions!$D$6:$D$2005,Transactions!$C$6:$C$2005,$A55,Transactions!$A$6:$A$2005,"&gt;="&amp;DATE(Settings!$C$4,10,1),Transactions!$A$6:$A$2005,"&lt;"&amp;DATE(Settings!$C$4,11,1)))</f>
        <v/>
      </c>
      <c r="V55" s="32">
        <f>IF($A55="",0,SUMIFS(Transactions!$D$6:$D$2005,Transactions!$C$6:$C$2005,$A55,Transactions!$A$6:$A$2005,"&gt;="&amp;DATE(Settings!$C$4,11,1),Transactions!$A$6:$A$2005,"&lt;"&amp;DATE(Settings!$C$4,12,1)))</f>
        <v/>
      </c>
      <c r="W55" s="32">
        <f>IF($A55="",0,SUMIFS(Transactions!$D$6:$D$2005,Transactions!$C$6:$C$2005,$A55,Transactions!$A$6:$A$2005,"&gt;="&amp;DATE(Settings!$C$4,12,1),Transactions!$A$6:$A$2005,"&lt;"&amp;DATE(Settings!$C$4,13,1)))</f>
        <v/>
      </c>
      <c r="X55" s="40">
        <f>SUM(L55:W55)</f>
        <v/>
      </c>
      <c r="Y55" s="32">
        <f>IF($A55="",0,'Monthly Budget'!$P55)</f>
        <v/>
      </c>
      <c r="Z55" s="32">
        <f>X55-Y55</f>
        <v/>
      </c>
      <c r="AA55" s="46">
        <f>IF(AND(X55&gt;0,OR(B55="Fixed bills",B55="Variable expenses")),X55+ROW()/10000000,0)</f>
        <v/>
      </c>
    </row>
    <row r="56">
      <c r="A56" s="38">
        <f>IF(Categories!$A48="","",Categories!$A48)</f>
        <v/>
      </c>
      <c r="B56" s="29">
        <f>IF(A56="","",Categories!$B48&amp;"")</f>
        <v/>
      </c>
      <c r="C56" s="32">
        <f>IF($A56="",0,INDEX('Monthly Budget'!$D56:$O56,1,Settings!$C$12))</f>
        <v/>
      </c>
      <c r="D56" s="40">
        <f>INDEX($L56:$W56,1,Settings!$C$12)</f>
        <v/>
      </c>
      <c r="E56" s="32">
        <f>D56-C56</f>
        <v/>
      </c>
      <c r="F56" s="44">
        <f>IF(C56=0,"",D56/C56)</f>
        <v/>
      </c>
      <c r="H56" s="32">
        <f>IF($A56="",0,SUMIFS('Monthly Budget'!$D56:$O56,Lists!$I$2:$T$2,"&lt;="&amp;Settings!$C$12))</f>
        <v/>
      </c>
      <c r="I56" s="32">
        <f>SUMIFS($L56:$W56,Lists!$I$2:$T$2,"&lt;="&amp;Settings!$C$12)</f>
        <v/>
      </c>
      <c r="J56" s="32">
        <f>I56-H56</f>
        <v/>
      </c>
      <c r="L56" s="32">
        <f>IF($A56="",0,SUMIFS(Transactions!$D$6:$D$2005,Transactions!$C$6:$C$2005,$A56,Transactions!$A$6:$A$2005,"&gt;="&amp;DATE(Settings!$C$4,1,1),Transactions!$A$6:$A$2005,"&lt;"&amp;DATE(Settings!$C$4,2,1)))</f>
        <v/>
      </c>
      <c r="M56" s="32">
        <f>IF($A56="",0,SUMIFS(Transactions!$D$6:$D$2005,Transactions!$C$6:$C$2005,$A56,Transactions!$A$6:$A$2005,"&gt;="&amp;DATE(Settings!$C$4,2,1),Transactions!$A$6:$A$2005,"&lt;"&amp;DATE(Settings!$C$4,3,1)))</f>
        <v/>
      </c>
      <c r="N56" s="32">
        <f>IF($A56="",0,SUMIFS(Transactions!$D$6:$D$2005,Transactions!$C$6:$C$2005,$A56,Transactions!$A$6:$A$2005,"&gt;="&amp;DATE(Settings!$C$4,3,1),Transactions!$A$6:$A$2005,"&lt;"&amp;DATE(Settings!$C$4,4,1)))</f>
        <v/>
      </c>
      <c r="O56" s="32">
        <f>IF($A56="",0,SUMIFS(Transactions!$D$6:$D$2005,Transactions!$C$6:$C$2005,$A56,Transactions!$A$6:$A$2005,"&gt;="&amp;DATE(Settings!$C$4,4,1),Transactions!$A$6:$A$2005,"&lt;"&amp;DATE(Settings!$C$4,5,1)))</f>
        <v/>
      </c>
      <c r="P56" s="32">
        <f>IF($A56="",0,SUMIFS(Transactions!$D$6:$D$2005,Transactions!$C$6:$C$2005,$A56,Transactions!$A$6:$A$2005,"&gt;="&amp;DATE(Settings!$C$4,5,1),Transactions!$A$6:$A$2005,"&lt;"&amp;DATE(Settings!$C$4,6,1)))</f>
        <v/>
      </c>
      <c r="Q56" s="32">
        <f>IF($A56="",0,SUMIFS(Transactions!$D$6:$D$2005,Transactions!$C$6:$C$2005,$A56,Transactions!$A$6:$A$2005,"&gt;="&amp;DATE(Settings!$C$4,6,1),Transactions!$A$6:$A$2005,"&lt;"&amp;DATE(Settings!$C$4,7,1)))</f>
        <v/>
      </c>
      <c r="R56" s="32">
        <f>IF($A56="",0,SUMIFS(Transactions!$D$6:$D$2005,Transactions!$C$6:$C$2005,$A56,Transactions!$A$6:$A$2005,"&gt;="&amp;DATE(Settings!$C$4,7,1),Transactions!$A$6:$A$2005,"&lt;"&amp;DATE(Settings!$C$4,8,1)))</f>
        <v/>
      </c>
      <c r="S56" s="32">
        <f>IF($A56="",0,SUMIFS(Transactions!$D$6:$D$2005,Transactions!$C$6:$C$2005,$A56,Transactions!$A$6:$A$2005,"&gt;="&amp;DATE(Settings!$C$4,8,1),Transactions!$A$6:$A$2005,"&lt;"&amp;DATE(Settings!$C$4,9,1)))</f>
        <v/>
      </c>
      <c r="T56" s="32">
        <f>IF($A56="",0,SUMIFS(Transactions!$D$6:$D$2005,Transactions!$C$6:$C$2005,$A56,Transactions!$A$6:$A$2005,"&gt;="&amp;DATE(Settings!$C$4,9,1),Transactions!$A$6:$A$2005,"&lt;"&amp;DATE(Settings!$C$4,10,1)))</f>
        <v/>
      </c>
      <c r="U56" s="32">
        <f>IF($A56="",0,SUMIFS(Transactions!$D$6:$D$2005,Transactions!$C$6:$C$2005,$A56,Transactions!$A$6:$A$2005,"&gt;="&amp;DATE(Settings!$C$4,10,1),Transactions!$A$6:$A$2005,"&lt;"&amp;DATE(Settings!$C$4,11,1)))</f>
        <v/>
      </c>
      <c r="V56" s="32">
        <f>IF($A56="",0,SUMIFS(Transactions!$D$6:$D$2005,Transactions!$C$6:$C$2005,$A56,Transactions!$A$6:$A$2005,"&gt;="&amp;DATE(Settings!$C$4,11,1),Transactions!$A$6:$A$2005,"&lt;"&amp;DATE(Settings!$C$4,12,1)))</f>
        <v/>
      </c>
      <c r="W56" s="32">
        <f>IF($A56="",0,SUMIFS(Transactions!$D$6:$D$2005,Transactions!$C$6:$C$2005,$A56,Transactions!$A$6:$A$2005,"&gt;="&amp;DATE(Settings!$C$4,12,1),Transactions!$A$6:$A$2005,"&lt;"&amp;DATE(Settings!$C$4,13,1)))</f>
        <v/>
      </c>
      <c r="X56" s="40">
        <f>SUM(L56:W56)</f>
        <v/>
      </c>
      <c r="Y56" s="32">
        <f>IF($A56="",0,'Monthly Budget'!$P56)</f>
        <v/>
      </c>
      <c r="Z56" s="32">
        <f>X56-Y56</f>
        <v/>
      </c>
      <c r="AA56" s="46">
        <f>IF(AND(X56&gt;0,OR(B56="Fixed bills",B56="Variable expenses")),X56+ROW()/10000000,0)</f>
        <v/>
      </c>
    </row>
    <row r="57">
      <c r="A57" s="38">
        <f>IF(Categories!$A49="","",Categories!$A49)</f>
        <v/>
      </c>
      <c r="B57" s="29">
        <f>IF(A57="","",Categories!$B49&amp;"")</f>
        <v/>
      </c>
      <c r="C57" s="32">
        <f>IF($A57="",0,INDEX('Monthly Budget'!$D57:$O57,1,Settings!$C$12))</f>
        <v/>
      </c>
      <c r="D57" s="40">
        <f>INDEX($L57:$W57,1,Settings!$C$12)</f>
        <v/>
      </c>
      <c r="E57" s="32">
        <f>D57-C57</f>
        <v/>
      </c>
      <c r="F57" s="44">
        <f>IF(C57=0,"",D57/C57)</f>
        <v/>
      </c>
      <c r="H57" s="32">
        <f>IF($A57="",0,SUMIFS('Monthly Budget'!$D57:$O57,Lists!$I$2:$T$2,"&lt;="&amp;Settings!$C$12))</f>
        <v/>
      </c>
      <c r="I57" s="32">
        <f>SUMIFS($L57:$W57,Lists!$I$2:$T$2,"&lt;="&amp;Settings!$C$12)</f>
        <v/>
      </c>
      <c r="J57" s="32">
        <f>I57-H57</f>
        <v/>
      </c>
      <c r="L57" s="32">
        <f>IF($A57="",0,SUMIFS(Transactions!$D$6:$D$2005,Transactions!$C$6:$C$2005,$A57,Transactions!$A$6:$A$2005,"&gt;="&amp;DATE(Settings!$C$4,1,1),Transactions!$A$6:$A$2005,"&lt;"&amp;DATE(Settings!$C$4,2,1)))</f>
        <v/>
      </c>
      <c r="M57" s="32">
        <f>IF($A57="",0,SUMIFS(Transactions!$D$6:$D$2005,Transactions!$C$6:$C$2005,$A57,Transactions!$A$6:$A$2005,"&gt;="&amp;DATE(Settings!$C$4,2,1),Transactions!$A$6:$A$2005,"&lt;"&amp;DATE(Settings!$C$4,3,1)))</f>
        <v/>
      </c>
      <c r="N57" s="32">
        <f>IF($A57="",0,SUMIFS(Transactions!$D$6:$D$2005,Transactions!$C$6:$C$2005,$A57,Transactions!$A$6:$A$2005,"&gt;="&amp;DATE(Settings!$C$4,3,1),Transactions!$A$6:$A$2005,"&lt;"&amp;DATE(Settings!$C$4,4,1)))</f>
        <v/>
      </c>
      <c r="O57" s="32">
        <f>IF($A57="",0,SUMIFS(Transactions!$D$6:$D$2005,Transactions!$C$6:$C$2005,$A57,Transactions!$A$6:$A$2005,"&gt;="&amp;DATE(Settings!$C$4,4,1),Transactions!$A$6:$A$2005,"&lt;"&amp;DATE(Settings!$C$4,5,1)))</f>
        <v/>
      </c>
      <c r="P57" s="32">
        <f>IF($A57="",0,SUMIFS(Transactions!$D$6:$D$2005,Transactions!$C$6:$C$2005,$A57,Transactions!$A$6:$A$2005,"&gt;="&amp;DATE(Settings!$C$4,5,1),Transactions!$A$6:$A$2005,"&lt;"&amp;DATE(Settings!$C$4,6,1)))</f>
        <v/>
      </c>
      <c r="Q57" s="32">
        <f>IF($A57="",0,SUMIFS(Transactions!$D$6:$D$2005,Transactions!$C$6:$C$2005,$A57,Transactions!$A$6:$A$2005,"&gt;="&amp;DATE(Settings!$C$4,6,1),Transactions!$A$6:$A$2005,"&lt;"&amp;DATE(Settings!$C$4,7,1)))</f>
        <v/>
      </c>
      <c r="R57" s="32">
        <f>IF($A57="",0,SUMIFS(Transactions!$D$6:$D$2005,Transactions!$C$6:$C$2005,$A57,Transactions!$A$6:$A$2005,"&gt;="&amp;DATE(Settings!$C$4,7,1),Transactions!$A$6:$A$2005,"&lt;"&amp;DATE(Settings!$C$4,8,1)))</f>
        <v/>
      </c>
      <c r="S57" s="32">
        <f>IF($A57="",0,SUMIFS(Transactions!$D$6:$D$2005,Transactions!$C$6:$C$2005,$A57,Transactions!$A$6:$A$2005,"&gt;="&amp;DATE(Settings!$C$4,8,1),Transactions!$A$6:$A$2005,"&lt;"&amp;DATE(Settings!$C$4,9,1)))</f>
        <v/>
      </c>
      <c r="T57" s="32">
        <f>IF($A57="",0,SUMIFS(Transactions!$D$6:$D$2005,Transactions!$C$6:$C$2005,$A57,Transactions!$A$6:$A$2005,"&gt;="&amp;DATE(Settings!$C$4,9,1),Transactions!$A$6:$A$2005,"&lt;"&amp;DATE(Settings!$C$4,10,1)))</f>
        <v/>
      </c>
      <c r="U57" s="32">
        <f>IF($A57="",0,SUMIFS(Transactions!$D$6:$D$2005,Transactions!$C$6:$C$2005,$A57,Transactions!$A$6:$A$2005,"&gt;="&amp;DATE(Settings!$C$4,10,1),Transactions!$A$6:$A$2005,"&lt;"&amp;DATE(Settings!$C$4,11,1)))</f>
        <v/>
      </c>
      <c r="V57" s="32">
        <f>IF($A57="",0,SUMIFS(Transactions!$D$6:$D$2005,Transactions!$C$6:$C$2005,$A57,Transactions!$A$6:$A$2005,"&gt;="&amp;DATE(Settings!$C$4,11,1),Transactions!$A$6:$A$2005,"&lt;"&amp;DATE(Settings!$C$4,12,1)))</f>
        <v/>
      </c>
      <c r="W57" s="32">
        <f>IF($A57="",0,SUMIFS(Transactions!$D$6:$D$2005,Transactions!$C$6:$C$2005,$A57,Transactions!$A$6:$A$2005,"&gt;="&amp;DATE(Settings!$C$4,12,1),Transactions!$A$6:$A$2005,"&lt;"&amp;DATE(Settings!$C$4,13,1)))</f>
        <v/>
      </c>
      <c r="X57" s="40">
        <f>SUM(L57:W57)</f>
        <v/>
      </c>
      <c r="Y57" s="32">
        <f>IF($A57="",0,'Monthly Budget'!$P57)</f>
        <v/>
      </c>
      <c r="Z57" s="32">
        <f>X57-Y57</f>
        <v/>
      </c>
      <c r="AA57" s="46">
        <f>IF(AND(X57&gt;0,OR(B57="Fixed bills",B57="Variable expenses")),X57+ROW()/10000000,0)</f>
        <v/>
      </c>
    </row>
    <row r="58">
      <c r="A58" s="38">
        <f>IF(Categories!$A50="","",Categories!$A50)</f>
        <v/>
      </c>
      <c r="B58" s="29">
        <f>IF(A58="","",Categories!$B50&amp;"")</f>
        <v/>
      </c>
      <c r="C58" s="32">
        <f>IF($A58="",0,INDEX('Monthly Budget'!$D58:$O58,1,Settings!$C$12))</f>
        <v/>
      </c>
      <c r="D58" s="40">
        <f>INDEX($L58:$W58,1,Settings!$C$12)</f>
        <v/>
      </c>
      <c r="E58" s="32">
        <f>D58-C58</f>
        <v/>
      </c>
      <c r="F58" s="44">
        <f>IF(C58=0,"",D58/C58)</f>
        <v/>
      </c>
      <c r="H58" s="32">
        <f>IF($A58="",0,SUMIFS('Monthly Budget'!$D58:$O58,Lists!$I$2:$T$2,"&lt;="&amp;Settings!$C$12))</f>
        <v/>
      </c>
      <c r="I58" s="32">
        <f>SUMIFS($L58:$W58,Lists!$I$2:$T$2,"&lt;="&amp;Settings!$C$12)</f>
        <v/>
      </c>
      <c r="J58" s="32">
        <f>I58-H58</f>
        <v/>
      </c>
      <c r="L58" s="32">
        <f>IF($A58="",0,SUMIFS(Transactions!$D$6:$D$2005,Transactions!$C$6:$C$2005,$A58,Transactions!$A$6:$A$2005,"&gt;="&amp;DATE(Settings!$C$4,1,1),Transactions!$A$6:$A$2005,"&lt;"&amp;DATE(Settings!$C$4,2,1)))</f>
        <v/>
      </c>
      <c r="M58" s="32">
        <f>IF($A58="",0,SUMIFS(Transactions!$D$6:$D$2005,Transactions!$C$6:$C$2005,$A58,Transactions!$A$6:$A$2005,"&gt;="&amp;DATE(Settings!$C$4,2,1),Transactions!$A$6:$A$2005,"&lt;"&amp;DATE(Settings!$C$4,3,1)))</f>
        <v/>
      </c>
      <c r="N58" s="32">
        <f>IF($A58="",0,SUMIFS(Transactions!$D$6:$D$2005,Transactions!$C$6:$C$2005,$A58,Transactions!$A$6:$A$2005,"&gt;="&amp;DATE(Settings!$C$4,3,1),Transactions!$A$6:$A$2005,"&lt;"&amp;DATE(Settings!$C$4,4,1)))</f>
        <v/>
      </c>
      <c r="O58" s="32">
        <f>IF($A58="",0,SUMIFS(Transactions!$D$6:$D$2005,Transactions!$C$6:$C$2005,$A58,Transactions!$A$6:$A$2005,"&gt;="&amp;DATE(Settings!$C$4,4,1),Transactions!$A$6:$A$2005,"&lt;"&amp;DATE(Settings!$C$4,5,1)))</f>
        <v/>
      </c>
      <c r="P58" s="32">
        <f>IF($A58="",0,SUMIFS(Transactions!$D$6:$D$2005,Transactions!$C$6:$C$2005,$A58,Transactions!$A$6:$A$2005,"&gt;="&amp;DATE(Settings!$C$4,5,1),Transactions!$A$6:$A$2005,"&lt;"&amp;DATE(Settings!$C$4,6,1)))</f>
        <v/>
      </c>
      <c r="Q58" s="32">
        <f>IF($A58="",0,SUMIFS(Transactions!$D$6:$D$2005,Transactions!$C$6:$C$2005,$A58,Transactions!$A$6:$A$2005,"&gt;="&amp;DATE(Settings!$C$4,6,1),Transactions!$A$6:$A$2005,"&lt;"&amp;DATE(Settings!$C$4,7,1)))</f>
        <v/>
      </c>
      <c r="R58" s="32">
        <f>IF($A58="",0,SUMIFS(Transactions!$D$6:$D$2005,Transactions!$C$6:$C$2005,$A58,Transactions!$A$6:$A$2005,"&gt;="&amp;DATE(Settings!$C$4,7,1),Transactions!$A$6:$A$2005,"&lt;"&amp;DATE(Settings!$C$4,8,1)))</f>
        <v/>
      </c>
      <c r="S58" s="32">
        <f>IF($A58="",0,SUMIFS(Transactions!$D$6:$D$2005,Transactions!$C$6:$C$2005,$A58,Transactions!$A$6:$A$2005,"&gt;="&amp;DATE(Settings!$C$4,8,1),Transactions!$A$6:$A$2005,"&lt;"&amp;DATE(Settings!$C$4,9,1)))</f>
        <v/>
      </c>
      <c r="T58" s="32">
        <f>IF($A58="",0,SUMIFS(Transactions!$D$6:$D$2005,Transactions!$C$6:$C$2005,$A58,Transactions!$A$6:$A$2005,"&gt;="&amp;DATE(Settings!$C$4,9,1),Transactions!$A$6:$A$2005,"&lt;"&amp;DATE(Settings!$C$4,10,1)))</f>
        <v/>
      </c>
      <c r="U58" s="32">
        <f>IF($A58="",0,SUMIFS(Transactions!$D$6:$D$2005,Transactions!$C$6:$C$2005,$A58,Transactions!$A$6:$A$2005,"&gt;="&amp;DATE(Settings!$C$4,10,1),Transactions!$A$6:$A$2005,"&lt;"&amp;DATE(Settings!$C$4,11,1)))</f>
        <v/>
      </c>
      <c r="V58" s="32">
        <f>IF($A58="",0,SUMIFS(Transactions!$D$6:$D$2005,Transactions!$C$6:$C$2005,$A58,Transactions!$A$6:$A$2005,"&gt;="&amp;DATE(Settings!$C$4,11,1),Transactions!$A$6:$A$2005,"&lt;"&amp;DATE(Settings!$C$4,12,1)))</f>
        <v/>
      </c>
      <c r="W58" s="32">
        <f>IF($A58="",0,SUMIFS(Transactions!$D$6:$D$2005,Transactions!$C$6:$C$2005,$A58,Transactions!$A$6:$A$2005,"&gt;="&amp;DATE(Settings!$C$4,12,1),Transactions!$A$6:$A$2005,"&lt;"&amp;DATE(Settings!$C$4,13,1)))</f>
        <v/>
      </c>
      <c r="X58" s="40">
        <f>SUM(L58:W58)</f>
        <v/>
      </c>
      <c r="Y58" s="32">
        <f>IF($A58="",0,'Monthly Budget'!$P58)</f>
        <v/>
      </c>
      <c r="Z58" s="32">
        <f>X58-Y58</f>
        <v/>
      </c>
      <c r="AA58" s="46">
        <f>IF(AND(X58&gt;0,OR(B58="Fixed bills",B58="Variable expenses")),X58+ROW()/10000000,0)</f>
        <v/>
      </c>
    </row>
    <row r="59">
      <c r="A59" s="38">
        <f>IF(Categories!$A51="","",Categories!$A51)</f>
        <v/>
      </c>
      <c r="B59" s="29">
        <f>IF(A59="","",Categories!$B51&amp;"")</f>
        <v/>
      </c>
      <c r="C59" s="32">
        <f>IF($A59="",0,INDEX('Monthly Budget'!$D59:$O59,1,Settings!$C$12))</f>
        <v/>
      </c>
      <c r="D59" s="40">
        <f>INDEX($L59:$W59,1,Settings!$C$12)</f>
        <v/>
      </c>
      <c r="E59" s="32">
        <f>D59-C59</f>
        <v/>
      </c>
      <c r="F59" s="44">
        <f>IF(C59=0,"",D59/C59)</f>
        <v/>
      </c>
      <c r="H59" s="32">
        <f>IF($A59="",0,SUMIFS('Monthly Budget'!$D59:$O59,Lists!$I$2:$T$2,"&lt;="&amp;Settings!$C$12))</f>
        <v/>
      </c>
      <c r="I59" s="32">
        <f>SUMIFS($L59:$W59,Lists!$I$2:$T$2,"&lt;="&amp;Settings!$C$12)</f>
        <v/>
      </c>
      <c r="J59" s="32">
        <f>I59-H59</f>
        <v/>
      </c>
      <c r="L59" s="32">
        <f>IF($A59="",0,SUMIFS(Transactions!$D$6:$D$2005,Transactions!$C$6:$C$2005,$A59,Transactions!$A$6:$A$2005,"&gt;="&amp;DATE(Settings!$C$4,1,1),Transactions!$A$6:$A$2005,"&lt;"&amp;DATE(Settings!$C$4,2,1)))</f>
        <v/>
      </c>
      <c r="M59" s="32">
        <f>IF($A59="",0,SUMIFS(Transactions!$D$6:$D$2005,Transactions!$C$6:$C$2005,$A59,Transactions!$A$6:$A$2005,"&gt;="&amp;DATE(Settings!$C$4,2,1),Transactions!$A$6:$A$2005,"&lt;"&amp;DATE(Settings!$C$4,3,1)))</f>
        <v/>
      </c>
      <c r="N59" s="32">
        <f>IF($A59="",0,SUMIFS(Transactions!$D$6:$D$2005,Transactions!$C$6:$C$2005,$A59,Transactions!$A$6:$A$2005,"&gt;="&amp;DATE(Settings!$C$4,3,1),Transactions!$A$6:$A$2005,"&lt;"&amp;DATE(Settings!$C$4,4,1)))</f>
        <v/>
      </c>
      <c r="O59" s="32">
        <f>IF($A59="",0,SUMIFS(Transactions!$D$6:$D$2005,Transactions!$C$6:$C$2005,$A59,Transactions!$A$6:$A$2005,"&gt;="&amp;DATE(Settings!$C$4,4,1),Transactions!$A$6:$A$2005,"&lt;"&amp;DATE(Settings!$C$4,5,1)))</f>
        <v/>
      </c>
      <c r="P59" s="32">
        <f>IF($A59="",0,SUMIFS(Transactions!$D$6:$D$2005,Transactions!$C$6:$C$2005,$A59,Transactions!$A$6:$A$2005,"&gt;="&amp;DATE(Settings!$C$4,5,1),Transactions!$A$6:$A$2005,"&lt;"&amp;DATE(Settings!$C$4,6,1)))</f>
        <v/>
      </c>
      <c r="Q59" s="32">
        <f>IF($A59="",0,SUMIFS(Transactions!$D$6:$D$2005,Transactions!$C$6:$C$2005,$A59,Transactions!$A$6:$A$2005,"&gt;="&amp;DATE(Settings!$C$4,6,1),Transactions!$A$6:$A$2005,"&lt;"&amp;DATE(Settings!$C$4,7,1)))</f>
        <v/>
      </c>
      <c r="R59" s="32">
        <f>IF($A59="",0,SUMIFS(Transactions!$D$6:$D$2005,Transactions!$C$6:$C$2005,$A59,Transactions!$A$6:$A$2005,"&gt;="&amp;DATE(Settings!$C$4,7,1),Transactions!$A$6:$A$2005,"&lt;"&amp;DATE(Settings!$C$4,8,1)))</f>
        <v/>
      </c>
      <c r="S59" s="32">
        <f>IF($A59="",0,SUMIFS(Transactions!$D$6:$D$2005,Transactions!$C$6:$C$2005,$A59,Transactions!$A$6:$A$2005,"&gt;="&amp;DATE(Settings!$C$4,8,1),Transactions!$A$6:$A$2005,"&lt;"&amp;DATE(Settings!$C$4,9,1)))</f>
        <v/>
      </c>
      <c r="T59" s="32">
        <f>IF($A59="",0,SUMIFS(Transactions!$D$6:$D$2005,Transactions!$C$6:$C$2005,$A59,Transactions!$A$6:$A$2005,"&gt;="&amp;DATE(Settings!$C$4,9,1),Transactions!$A$6:$A$2005,"&lt;"&amp;DATE(Settings!$C$4,10,1)))</f>
        <v/>
      </c>
      <c r="U59" s="32">
        <f>IF($A59="",0,SUMIFS(Transactions!$D$6:$D$2005,Transactions!$C$6:$C$2005,$A59,Transactions!$A$6:$A$2005,"&gt;="&amp;DATE(Settings!$C$4,10,1),Transactions!$A$6:$A$2005,"&lt;"&amp;DATE(Settings!$C$4,11,1)))</f>
        <v/>
      </c>
      <c r="V59" s="32">
        <f>IF($A59="",0,SUMIFS(Transactions!$D$6:$D$2005,Transactions!$C$6:$C$2005,$A59,Transactions!$A$6:$A$2005,"&gt;="&amp;DATE(Settings!$C$4,11,1),Transactions!$A$6:$A$2005,"&lt;"&amp;DATE(Settings!$C$4,12,1)))</f>
        <v/>
      </c>
      <c r="W59" s="32">
        <f>IF($A59="",0,SUMIFS(Transactions!$D$6:$D$2005,Transactions!$C$6:$C$2005,$A59,Transactions!$A$6:$A$2005,"&gt;="&amp;DATE(Settings!$C$4,12,1),Transactions!$A$6:$A$2005,"&lt;"&amp;DATE(Settings!$C$4,13,1)))</f>
        <v/>
      </c>
      <c r="X59" s="40">
        <f>SUM(L59:W59)</f>
        <v/>
      </c>
      <c r="Y59" s="32">
        <f>IF($A59="",0,'Monthly Budget'!$P59)</f>
        <v/>
      </c>
      <c r="Z59" s="32">
        <f>X59-Y59</f>
        <v/>
      </c>
      <c r="AA59" s="46">
        <f>IF(AND(X59&gt;0,OR(B59="Fixed bills",B59="Variable expenses")),X59+ROW()/10000000,0)</f>
        <v/>
      </c>
    </row>
    <row r="60">
      <c r="A60" s="38">
        <f>IF(Categories!$A52="","",Categories!$A52)</f>
        <v/>
      </c>
      <c r="B60" s="29">
        <f>IF(A60="","",Categories!$B52&amp;"")</f>
        <v/>
      </c>
      <c r="C60" s="32">
        <f>IF($A60="",0,INDEX('Monthly Budget'!$D60:$O60,1,Settings!$C$12))</f>
        <v/>
      </c>
      <c r="D60" s="40">
        <f>INDEX($L60:$W60,1,Settings!$C$12)</f>
        <v/>
      </c>
      <c r="E60" s="32">
        <f>D60-C60</f>
        <v/>
      </c>
      <c r="F60" s="44">
        <f>IF(C60=0,"",D60/C60)</f>
        <v/>
      </c>
      <c r="H60" s="32">
        <f>IF($A60="",0,SUMIFS('Monthly Budget'!$D60:$O60,Lists!$I$2:$T$2,"&lt;="&amp;Settings!$C$12))</f>
        <v/>
      </c>
      <c r="I60" s="32">
        <f>SUMIFS($L60:$W60,Lists!$I$2:$T$2,"&lt;="&amp;Settings!$C$12)</f>
        <v/>
      </c>
      <c r="J60" s="32">
        <f>I60-H60</f>
        <v/>
      </c>
      <c r="L60" s="32">
        <f>IF($A60="",0,SUMIFS(Transactions!$D$6:$D$2005,Transactions!$C$6:$C$2005,$A60,Transactions!$A$6:$A$2005,"&gt;="&amp;DATE(Settings!$C$4,1,1),Transactions!$A$6:$A$2005,"&lt;"&amp;DATE(Settings!$C$4,2,1)))</f>
        <v/>
      </c>
      <c r="M60" s="32">
        <f>IF($A60="",0,SUMIFS(Transactions!$D$6:$D$2005,Transactions!$C$6:$C$2005,$A60,Transactions!$A$6:$A$2005,"&gt;="&amp;DATE(Settings!$C$4,2,1),Transactions!$A$6:$A$2005,"&lt;"&amp;DATE(Settings!$C$4,3,1)))</f>
        <v/>
      </c>
      <c r="N60" s="32">
        <f>IF($A60="",0,SUMIFS(Transactions!$D$6:$D$2005,Transactions!$C$6:$C$2005,$A60,Transactions!$A$6:$A$2005,"&gt;="&amp;DATE(Settings!$C$4,3,1),Transactions!$A$6:$A$2005,"&lt;"&amp;DATE(Settings!$C$4,4,1)))</f>
        <v/>
      </c>
      <c r="O60" s="32">
        <f>IF($A60="",0,SUMIFS(Transactions!$D$6:$D$2005,Transactions!$C$6:$C$2005,$A60,Transactions!$A$6:$A$2005,"&gt;="&amp;DATE(Settings!$C$4,4,1),Transactions!$A$6:$A$2005,"&lt;"&amp;DATE(Settings!$C$4,5,1)))</f>
        <v/>
      </c>
      <c r="P60" s="32">
        <f>IF($A60="",0,SUMIFS(Transactions!$D$6:$D$2005,Transactions!$C$6:$C$2005,$A60,Transactions!$A$6:$A$2005,"&gt;="&amp;DATE(Settings!$C$4,5,1),Transactions!$A$6:$A$2005,"&lt;"&amp;DATE(Settings!$C$4,6,1)))</f>
        <v/>
      </c>
      <c r="Q60" s="32">
        <f>IF($A60="",0,SUMIFS(Transactions!$D$6:$D$2005,Transactions!$C$6:$C$2005,$A60,Transactions!$A$6:$A$2005,"&gt;="&amp;DATE(Settings!$C$4,6,1),Transactions!$A$6:$A$2005,"&lt;"&amp;DATE(Settings!$C$4,7,1)))</f>
        <v/>
      </c>
      <c r="R60" s="32">
        <f>IF($A60="",0,SUMIFS(Transactions!$D$6:$D$2005,Transactions!$C$6:$C$2005,$A60,Transactions!$A$6:$A$2005,"&gt;="&amp;DATE(Settings!$C$4,7,1),Transactions!$A$6:$A$2005,"&lt;"&amp;DATE(Settings!$C$4,8,1)))</f>
        <v/>
      </c>
      <c r="S60" s="32">
        <f>IF($A60="",0,SUMIFS(Transactions!$D$6:$D$2005,Transactions!$C$6:$C$2005,$A60,Transactions!$A$6:$A$2005,"&gt;="&amp;DATE(Settings!$C$4,8,1),Transactions!$A$6:$A$2005,"&lt;"&amp;DATE(Settings!$C$4,9,1)))</f>
        <v/>
      </c>
      <c r="T60" s="32">
        <f>IF($A60="",0,SUMIFS(Transactions!$D$6:$D$2005,Transactions!$C$6:$C$2005,$A60,Transactions!$A$6:$A$2005,"&gt;="&amp;DATE(Settings!$C$4,9,1),Transactions!$A$6:$A$2005,"&lt;"&amp;DATE(Settings!$C$4,10,1)))</f>
        <v/>
      </c>
      <c r="U60" s="32">
        <f>IF($A60="",0,SUMIFS(Transactions!$D$6:$D$2005,Transactions!$C$6:$C$2005,$A60,Transactions!$A$6:$A$2005,"&gt;="&amp;DATE(Settings!$C$4,10,1),Transactions!$A$6:$A$2005,"&lt;"&amp;DATE(Settings!$C$4,11,1)))</f>
        <v/>
      </c>
      <c r="V60" s="32">
        <f>IF($A60="",0,SUMIFS(Transactions!$D$6:$D$2005,Transactions!$C$6:$C$2005,$A60,Transactions!$A$6:$A$2005,"&gt;="&amp;DATE(Settings!$C$4,11,1),Transactions!$A$6:$A$2005,"&lt;"&amp;DATE(Settings!$C$4,12,1)))</f>
        <v/>
      </c>
      <c r="W60" s="32">
        <f>IF($A60="",0,SUMIFS(Transactions!$D$6:$D$2005,Transactions!$C$6:$C$2005,$A60,Transactions!$A$6:$A$2005,"&gt;="&amp;DATE(Settings!$C$4,12,1),Transactions!$A$6:$A$2005,"&lt;"&amp;DATE(Settings!$C$4,13,1)))</f>
        <v/>
      </c>
      <c r="X60" s="40">
        <f>SUM(L60:W60)</f>
        <v/>
      </c>
      <c r="Y60" s="32">
        <f>IF($A60="",0,'Monthly Budget'!$P60)</f>
        <v/>
      </c>
      <c r="Z60" s="32">
        <f>X60-Y60</f>
        <v/>
      </c>
      <c r="AA60" s="46">
        <f>IF(AND(X60&gt;0,OR(B60="Fixed bills",B60="Variable expenses")),X60+ROW()/10000000,0)</f>
        <v/>
      </c>
    </row>
    <row r="61">
      <c r="A61" s="38">
        <f>IF(Categories!$A53="","",Categories!$A53)</f>
        <v/>
      </c>
      <c r="B61" s="29">
        <f>IF(A61="","",Categories!$B53&amp;"")</f>
        <v/>
      </c>
      <c r="C61" s="32">
        <f>IF($A61="",0,INDEX('Monthly Budget'!$D61:$O61,1,Settings!$C$12))</f>
        <v/>
      </c>
      <c r="D61" s="40">
        <f>INDEX($L61:$W61,1,Settings!$C$12)</f>
        <v/>
      </c>
      <c r="E61" s="32">
        <f>D61-C61</f>
        <v/>
      </c>
      <c r="F61" s="44">
        <f>IF(C61=0,"",D61/C61)</f>
        <v/>
      </c>
      <c r="H61" s="32">
        <f>IF($A61="",0,SUMIFS('Monthly Budget'!$D61:$O61,Lists!$I$2:$T$2,"&lt;="&amp;Settings!$C$12))</f>
        <v/>
      </c>
      <c r="I61" s="32">
        <f>SUMIFS($L61:$W61,Lists!$I$2:$T$2,"&lt;="&amp;Settings!$C$12)</f>
        <v/>
      </c>
      <c r="J61" s="32">
        <f>I61-H61</f>
        <v/>
      </c>
      <c r="L61" s="32">
        <f>IF($A61="",0,SUMIFS(Transactions!$D$6:$D$2005,Transactions!$C$6:$C$2005,$A61,Transactions!$A$6:$A$2005,"&gt;="&amp;DATE(Settings!$C$4,1,1),Transactions!$A$6:$A$2005,"&lt;"&amp;DATE(Settings!$C$4,2,1)))</f>
        <v/>
      </c>
      <c r="M61" s="32">
        <f>IF($A61="",0,SUMIFS(Transactions!$D$6:$D$2005,Transactions!$C$6:$C$2005,$A61,Transactions!$A$6:$A$2005,"&gt;="&amp;DATE(Settings!$C$4,2,1),Transactions!$A$6:$A$2005,"&lt;"&amp;DATE(Settings!$C$4,3,1)))</f>
        <v/>
      </c>
      <c r="N61" s="32">
        <f>IF($A61="",0,SUMIFS(Transactions!$D$6:$D$2005,Transactions!$C$6:$C$2005,$A61,Transactions!$A$6:$A$2005,"&gt;="&amp;DATE(Settings!$C$4,3,1),Transactions!$A$6:$A$2005,"&lt;"&amp;DATE(Settings!$C$4,4,1)))</f>
        <v/>
      </c>
      <c r="O61" s="32">
        <f>IF($A61="",0,SUMIFS(Transactions!$D$6:$D$2005,Transactions!$C$6:$C$2005,$A61,Transactions!$A$6:$A$2005,"&gt;="&amp;DATE(Settings!$C$4,4,1),Transactions!$A$6:$A$2005,"&lt;"&amp;DATE(Settings!$C$4,5,1)))</f>
        <v/>
      </c>
      <c r="P61" s="32">
        <f>IF($A61="",0,SUMIFS(Transactions!$D$6:$D$2005,Transactions!$C$6:$C$2005,$A61,Transactions!$A$6:$A$2005,"&gt;="&amp;DATE(Settings!$C$4,5,1),Transactions!$A$6:$A$2005,"&lt;"&amp;DATE(Settings!$C$4,6,1)))</f>
        <v/>
      </c>
      <c r="Q61" s="32">
        <f>IF($A61="",0,SUMIFS(Transactions!$D$6:$D$2005,Transactions!$C$6:$C$2005,$A61,Transactions!$A$6:$A$2005,"&gt;="&amp;DATE(Settings!$C$4,6,1),Transactions!$A$6:$A$2005,"&lt;"&amp;DATE(Settings!$C$4,7,1)))</f>
        <v/>
      </c>
      <c r="R61" s="32">
        <f>IF($A61="",0,SUMIFS(Transactions!$D$6:$D$2005,Transactions!$C$6:$C$2005,$A61,Transactions!$A$6:$A$2005,"&gt;="&amp;DATE(Settings!$C$4,7,1),Transactions!$A$6:$A$2005,"&lt;"&amp;DATE(Settings!$C$4,8,1)))</f>
        <v/>
      </c>
      <c r="S61" s="32">
        <f>IF($A61="",0,SUMIFS(Transactions!$D$6:$D$2005,Transactions!$C$6:$C$2005,$A61,Transactions!$A$6:$A$2005,"&gt;="&amp;DATE(Settings!$C$4,8,1),Transactions!$A$6:$A$2005,"&lt;"&amp;DATE(Settings!$C$4,9,1)))</f>
        <v/>
      </c>
      <c r="T61" s="32">
        <f>IF($A61="",0,SUMIFS(Transactions!$D$6:$D$2005,Transactions!$C$6:$C$2005,$A61,Transactions!$A$6:$A$2005,"&gt;="&amp;DATE(Settings!$C$4,9,1),Transactions!$A$6:$A$2005,"&lt;"&amp;DATE(Settings!$C$4,10,1)))</f>
        <v/>
      </c>
      <c r="U61" s="32">
        <f>IF($A61="",0,SUMIFS(Transactions!$D$6:$D$2005,Transactions!$C$6:$C$2005,$A61,Transactions!$A$6:$A$2005,"&gt;="&amp;DATE(Settings!$C$4,10,1),Transactions!$A$6:$A$2005,"&lt;"&amp;DATE(Settings!$C$4,11,1)))</f>
        <v/>
      </c>
      <c r="V61" s="32">
        <f>IF($A61="",0,SUMIFS(Transactions!$D$6:$D$2005,Transactions!$C$6:$C$2005,$A61,Transactions!$A$6:$A$2005,"&gt;="&amp;DATE(Settings!$C$4,11,1),Transactions!$A$6:$A$2005,"&lt;"&amp;DATE(Settings!$C$4,12,1)))</f>
        <v/>
      </c>
      <c r="W61" s="32">
        <f>IF($A61="",0,SUMIFS(Transactions!$D$6:$D$2005,Transactions!$C$6:$C$2005,$A61,Transactions!$A$6:$A$2005,"&gt;="&amp;DATE(Settings!$C$4,12,1),Transactions!$A$6:$A$2005,"&lt;"&amp;DATE(Settings!$C$4,13,1)))</f>
        <v/>
      </c>
      <c r="X61" s="40">
        <f>SUM(L61:W61)</f>
        <v/>
      </c>
      <c r="Y61" s="32">
        <f>IF($A61="",0,'Monthly Budget'!$P61)</f>
        <v/>
      </c>
      <c r="Z61" s="32">
        <f>X61-Y61</f>
        <v/>
      </c>
      <c r="AA61" s="46">
        <f>IF(AND(X61&gt;0,OR(B61="Fixed bills",B61="Variable expenses")),X61+ROW()/10000000,0)</f>
        <v/>
      </c>
    </row>
    <row r="62">
      <c r="A62" s="38">
        <f>IF(Categories!$A54="","",Categories!$A54)</f>
        <v/>
      </c>
      <c r="B62" s="29">
        <f>IF(A62="","",Categories!$B54&amp;"")</f>
        <v/>
      </c>
      <c r="C62" s="32">
        <f>IF($A62="",0,INDEX('Monthly Budget'!$D62:$O62,1,Settings!$C$12))</f>
        <v/>
      </c>
      <c r="D62" s="40">
        <f>INDEX($L62:$W62,1,Settings!$C$12)</f>
        <v/>
      </c>
      <c r="E62" s="32">
        <f>D62-C62</f>
        <v/>
      </c>
      <c r="F62" s="44">
        <f>IF(C62=0,"",D62/C62)</f>
        <v/>
      </c>
      <c r="H62" s="32">
        <f>IF($A62="",0,SUMIFS('Monthly Budget'!$D62:$O62,Lists!$I$2:$T$2,"&lt;="&amp;Settings!$C$12))</f>
        <v/>
      </c>
      <c r="I62" s="32">
        <f>SUMIFS($L62:$W62,Lists!$I$2:$T$2,"&lt;="&amp;Settings!$C$12)</f>
        <v/>
      </c>
      <c r="J62" s="32">
        <f>I62-H62</f>
        <v/>
      </c>
      <c r="L62" s="32">
        <f>IF($A62="",0,SUMIFS(Transactions!$D$6:$D$2005,Transactions!$C$6:$C$2005,$A62,Transactions!$A$6:$A$2005,"&gt;="&amp;DATE(Settings!$C$4,1,1),Transactions!$A$6:$A$2005,"&lt;"&amp;DATE(Settings!$C$4,2,1)))</f>
        <v/>
      </c>
      <c r="M62" s="32">
        <f>IF($A62="",0,SUMIFS(Transactions!$D$6:$D$2005,Transactions!$C$6:$C$2005,$A62,Transactions!$A$6:$A$2005,"&gt;="&amp;DATE(Settings!$C$4,2,1),Transactions!$A$6:$A$2005,"&lt;"&amp;DATE(Settings!$C$4,3,1)))</f>
        <v/>
      </c>
      <c r="N62" s="32">
        <f>IF($A62="",0,SUMIFS(Transactions!$D$6:$D$2005,Transactions!$C$6:$C$2005,$A62,Transactions!$A$6:$A$2005,"&gt;="&amp;DATE(Settings!$C$4,3,1),Transactions!$A$6:$A$2005,"&lt;"&amp;DATE(Settings!$C$4,4,1)))</f>
        <v/>
      </c>
      <c r="O62" s="32">
        <f>IF($A62="",0,SUMIFS(Transactions!$D$6:$D$2005,Transactions!$C$6:$C$2005,$A62,Transactions!$A$6:$A$2005,"&gt;="&amp;DATE(Settings!$C$4,4,1),Transactions!$A$6:$A$2005,"&lt;"&amp;DATE(Settings!$C$4,5,1)))</f>
        <v/>
      </c>
      <c r="P62" s="32">
        <f>IF($A62="",0,SUMIFS(Transactions!$D$6:$D$2005,Transactions!$C$6:$C$2005,$A62,Transactions!$A$6:$A$2005,"&gt;="&amp;DATE(Settings!$C$4,5,1),Transactions!$A$6:$A$2005,"&lt;"&amp;DATE(Settings!$C$4,6,1)))</f>
        <v/>
      </c>
      <c r="Q62" s="32">
        <f>IF($A62="",0,SUMIFS(Transactions!$D$6:$D$2005,Transactions!$C$6:$C$2005,$A62,Transactions!$A$6:$A$2005,"&gt;="&amp;DATE(Settings!$C$4,6,1),Transactions!$A$6:$A$2005,"&lt;"&amp;DATE(Settings!$C$4,7,1)))</f>
        <v/>
      </c>
      <c r="R62" s="32">
        <f>IF($A62="",0,SUMIFS(Transactions!$D$6:$D$2005,Transactions!$C$6:$C$2005,$A62,Transactions!$A$6:$A$2005,"&gt;="&amp;DATE(Settings!$C$4,7,1),Transactions!$A$6:$A$2005,"&lt;"&amp;DATE(Settings!$C$4,8,1)))</f>
        <v/>
      </c>
      <c r="S62" s="32">
        <f>IF($A62="",0,SUMIFS(Transactions!$D$6:$D$2005,Transactions!$C$6:$C$2005,$A62,Transactions!$A$6:$A$2005,"&gt;="&amp;DATE(Settings!$C$4,8,1),Transactions!$A$6:$A$2005,"&lt;"&amp;DATE(Settings!$C$4,9,1)))</f>
        <v/>
      </c>
      <c r="T62" s="32">
        <f>IF($A62="",0,SUMIFS(Transactions!$D$6:$D$2005,Transactions!$C$6:$C$2005,$A62,Transactions!$A$6:$A$2005,"&gt;="&amp;DATE(Settings!$C$4,9,1),Transactions!$A$6:$A$2005,"&lt;"&amp;DATE(Settings!$C$4,10,1)))</f>
        <v/>
      </c>
      <c r="U62" s="32">
        <f>IF($A62="",0,SUMIFS(Transactions!$D$6:$D$2005,Transactions!$C$6:$C$2005,$A62,Transactions!$A$6:$A$2005,"&gt;="&amp;DATE(Settings!$C$4,10,1),Transactions!$A$6:$A$2005,"&lt;"&amp;DATE(Settings!$C$4,11,1)))</f>
        <v/>
      </c>
      <c r="V62" s="32">
        <f>IF($A62="",0,SUMIFS(Transactions!$D$6:$D$2005,Transactions!$C$6:$C$2005,$A62,Transactions!$A$6:$A$2005,"&gt;="&amp;DATE(Settings!$C$4,11,1),Transactions!$A$6:$A$2005,"&lt;"&amp;DATE(Settings!$C$4,12,1)))</f>
        <v/>
      </c>
      <c r="W62" s="32">
        <f>IF($A62="",0,SUMIFS(Transactions!$D$6:$D$2005,Transactions!$C$6:$C$2005,$A62,Transactions!$A$6:$A$2005,"&gt;="&amp;DATE(Settings!$C$4,12,1),Transactions!$A$6:$A$2005,"&lt;"&amp;DATE(Settings!$C$4,13,1)))</f>
        <v/>
      </c>
      <c r="X62" s="40">
        <f>SUM(L62:W62)</f>
        <v/>
      </c>
      <c r="Y62" s="32">
        <f>IF($A62="",0,'Monthly Budget'!$P62)</f>
        <v/>
      </c>
      <c r="Z62" s="32">
        <f>X62-Y62</f>
        <v/>
      </c>
      <c r="AA62" s="46">
        <f>IF(AND(X62&gt;0,OR(B62="Fixed bills",B62="Variable expenses")),X62+ROW()/10000000,0)</f>
        <v/>
      </c>
    </row>
    <row r="63">
      <c r="A63" s="38">
        <f>IF(Categories!$A55="","",Categories!$A55)</f>
        <v/>
      </c>
      <c r="B63" s="29">
        <f>IF(A63="","",Categories!$B55&amp;"")</f>
        <v/>
      </c>
      <c r="C63" s="32">
        <f>IF($A63="",0,INDEX('Monthly Budget'!$D63:$O63,1,Settings!$C$12))</f>
        <v/>
      </c>
      <c r="D63" s="40">
        <f>INDEX($L63:$W63,1,Settings!$C$12)</f>
        <v/>
      </c>
      <c r="E63" s="32">
        <f>D63-C63</f>
        <v/>
      </c>
      <c r="F63" s="44">
        <f>IF(C63=0,"",D63/C63)</f>
        <v/>
      </c>
      <c r="H63" s="32">
        <f>IF($A63="",0,SUMIFS('Monthly Budget'!$D63:$O63,Lists!$I$2:$T$2,"&lt;="&amp;Settings!$C$12))</f>
        <v/>
      </c>
      <c r="I63" s="32">
        <f>SUMIFS($L63:$W63,Lists!$I$2:$T$2,"&lt;="&amp;Settings!$C$12)</f>
        <v/>
      </c>
      <c r="J63" s="32">
        <f>I63-H63</f>
        <v/>
      </c>
      <c r="L63" s="32">
        <f>IF($A63="",0,SUMIFS(Transactions!$D$6:$D$2005,Transactions!$C$6:$C$2005,$A63,Transactions!$A$6:$A$2005,"&gt;="&amp;DATE(Settings!$C$4,1,1),Transactions!$A$6:$A$2005,"&lt;"&amp;DATE(Settings!$C$4,2,1)))</f>
        <v/>
      </c>
      <c r="M63" s="32">
        <f>IF($A63="",0,SUMIFS(Transactions!$D$6:$D$2005,Transactions!$C$6:$C$2005,$A63,Transactions!$A$6:$A$2005,"&gt;="&amp;DATE(Settings!$C$4,2,1),Transactions!$A$6:$A$2005,"&lt;"&amp;DATE(Settings!$C$4,3,1)))</f>
        <v/>
      </c>
      <c r="N63" s="32">
        <f>IF($A63="",0,SUMIFS(Transactions!$D$6:$D$2005,Transactions!$C$6:$C$2005,$A63,Transactions!$A$6:$A$2005,"&gt;="&amp;DATE(Settings!$C$4,3,1),Transactions!$A$6:$A$2005,"&lt;"&amp;DATE(Settings!$C$4,4,1)))</f>
        <v/>
      </c>
      <c r="O63" s="32">
        <f>IF($A63="",0,SUMIFS(Transactions!$D$6:$D$2005,Transactions!$C$6:$C$2005,$A63,Transactions!$A$6:$A$2005,"&gt;="&amp;DATE(Settings!$C$4,4,1),Transactions!$A$6:$A$2005,"&lt;"&amp;DATE(Settings!$C$4,5,1)))</f>
        <v/>
      </c>
      <c r="P63" s="32">
        <f>IF($A63="",0,SUMIFS(Transactions!$D$6:$D$2005,Transactions!$C$6:$C$2005,$A63,Transactions!$A$6:$A$2005,"&gt;="&amp;DATE(Settings!$C$4,5,1),Transactions!$A$6:$A$2005,"&lt;"&amp;DATE(Settings!$C$4,6,1)))</f>
        <v/>
      </c>
      <c r="Q63" s="32">
        <f>IF($A63="",0,SUMIFS(Transactions!$D$6:$D$2005,Transactions!$C$6:$C$2005,$A63,Transactions!$A$6:$A$2005,"&gt;="&amp;DATE(Settings!$C$4,6,1),Transactions!$A$6:$A$2005,"&lt;"&amp;DATE(Settings!$C$4,7,1)))</f>
        <v/>
      </c>
      <c r="R63" s="32">
        <f>IF($A63="",0,SUMIFS(Transactions!$D$6:$D$2005,Transactions!$C$6:$C$2005,$A63,Transactions!$A$6:$A$2005,"&gt;="&amp;DATE(Settings!$C$4,7,1),Transactions!$A$6:$A$2005,"&lt;"&amp;DATE(Settings!$C$4,8,1)))</f>
        <v/>
      </c>
      <c r="S63" s="32">
        <f>IF($A63="",0,SUMIFS(Transactions!$D$6:$D$2005,Transactions!$C$6:$C$2005,$A63,Transactions!$A$6:$A$2005,"&gt;="&amp;DATE(Settings!$C$4,8,1),Transactions!$A$6:$A$2005,"&lt;"&amp;DATE(Settings!$C$4,9,1)))</f>
        <v/>
      </c>
      <c r="T63" s="32">
        <f>IF($A63="",0,SUMIFS(Transactions!$D$6:$D$2005,Transactions!$C$6:$C$2005,$A63,Transactions!$A$6:$A$2005,"&gt;="&amp;DATE(Settings!$C$4,9,1),Transactions!$A$6:$A$2005,"&lt;"&amp;DATE(Settings!$C$4,10,1)))</f>
        <v/>
      </c>
      <c r="U63" s="32">
        <f>IF($A63="",0,SUMIFS(Transactions!$D$6:$D$2005,Transactions!$C$6:$C$2005,$A63,Transactions!$A$6:$A$2005,"&gt;="&amp;DATE(Settings!$C$4,10,1),Transactions!$A$6:$A$2005,"&lt;"&amp;DATE(Settings!$C$4,11,1)))</f>
        <v/>
      </c>
      <c r="V63" s="32">
        <f>IF($A63="",0,SUMIFS(Transactions!$D$6:$D$2005,Transactions!$C$6:$C$2005,$A63,Transactions!$A$6:$A$2005,"&gt;="&amp;DATE(Settings!$C$4,11,1),Transactions!$A$6:$A$2005,"&lt;"&amp;DATE(Settings!$C$4,12,1)))</f>
        <v/>
      </c>
      <c r="W63" s="32">
        <f>IF($A63="",0,SUMIFS(Transactions!$D$6:$D$2005,Transactions!$C$6:$C$2005,$A63,Transactions!$A$6:$A$2005,"&gt;="&amp;DATE(Settings!$C$4,12,1),Transactions!$A$6:$A$2005,"&lt;"&amp;DATE(Settings!$C$4,13,1)))</f>
        <v/>
      </c>
      <c r="X63" s="40">
        <f>SUM(L63:W63)</f>
        <v/>
      </c>
      <c r="Y63" s="32">
        <f>IF($A63="",0,'Monthly Budget'!$P63)</f>
        <v/>
      </c>
      <c r="Z63" s="32">
        <f>X63-Y63</f>
        <v/>
      </c>
      <c r="AA63" s="46">
        <f>IF(AND(X63&gt;0,OR(B63="Fixed bills",B63="Variable expenses")),X63+ROW()/10000000,0)</f>
        <v/>
      </c>
    </row>
    <row r="64">
      <c r="A64" s="38">
        <f>IF(Categories!$A56="","",Categories!$A56)</f>
        <v/>
      </c>
      <c r="B64" s="29">
        <f>IF(A64="","",Categories!$B56&amp;"")</f>
        <v/>
      </c>
      <c r="C64" s="32">
        <f>IF($A64="",0,INDEX('Monthly Budget'!$D64:$O64,1,Settings!$C$12))</f>
        <v/>
      </c>
      <c r="D64" s="40">
        <f>INDEX($L64:$W64,1,Settings!$C$12)</f>
        <v/>
      </c>
      <c r="E64" s="32">
        <f>D64-C64</f>
        <v/>
      </c>
      <c r="F64" s="44">
        <f>IF(C64=0,"",D64/C64)</f>
        <v/>
      </c>
      <c r="H64" s="32">
        <f>IF($A64="",0,SUMIFS('Monthly Budget'!$D64:$O64,Lists!$I$2:$T$2,"&lt;="&amp;Settings!$C$12))</f>
        <v/>
      </c>
      <c r="I64" s="32">
        <f>SUMIFS($L64:$W64,Lists!$I$2:$T$2,"&lt;="&amp;Settings!$C$12)</f>
        <v/>
      </c>
      <c r="J64" s="32">
        <f>I64-H64</f>
        <v/>
      </c>
      <c r="L64" s="32">
        <f>IF($A64="",0,SUMIFS(Transactions!$D$6:$D$2005,Transactions!$C$6:$C$2005,$A64,Transactions!$A$6:$A$2005,"&gt;="&amp;DATE(Settings!$C$4,1,1),Transactions!$A$6:$A$2005,"&lt;"&amp;DATE(Settings!$C$4,2,1)))</f>
        <v/>
      </c>
      <c r="M64" s="32">
        <f>IF($A64="",0,SUMIFS(Transactions!$D$6:$D$2005,Transactions!$C$6:$C$2005,$A64,Transactions!$A$6:$A$2005,"&gt;="&amp;DATE(Settings!$C$4,2,1),Transactions!$A$6:$A$2005,"&lt;"&amp;DATE(Settings!$C$4,3,1)))</f>
        <v/>
      </c>
      <c r="N64" s="32">
        <f>IF($A64="",0,SUMIFS(Transactions!$D$6:$D$2005,Transactions!$C$6:$C$2005,$A64,Transactions!$A$6:$A$2005,"&gt;="&amp;DATE(Settings!$C$4,3,1),Transactions!$A$6:$A$2005,"&lt;"&amp;DATE(Settings!$C$4,4,1)))</f>
        <v/>
      </c>
      <c r="O64" s="32">
        <f>IF($A64="",0,SUMIFS(Transactions!$D$6:$D$2005,Transactions!$C$6:$C$2005,$A64,Transactions!$A$6:$A$2005,"&gt;="&amp;DATE(Settings!$C$4,4,1),Transactions!$A$6:$A$2005,"&lt;"&amp;DATE(Settings!$C$4,5,1)))</f>
        <v/>
      </c>
      <c r="P64" s="32">
        <f>IF($A64="",0,SUMIFS(Transactions!$D$6:$D$2005,Transactions!$C$6:$C$2005,$A64,Transactions!$A$6:$A$2005,"&gt;="&amp;DATE(Settings!$C$4,5,1),Transactions!$A$6:$A$2005,"&lt;"&amp;DATE(Settings!$C$4,6,1)))</f>
        <v/>
      </c>
      <c r="Q64" s="32">
        <f>IF($A64="",0,SUMIFS(Transactions!$D$6:$D$2005,Transactions!$C$6:$C$2005,$A64,Transactions!$A$6:$A$2005,"&gt;="&amp;DATE(Settings!$C$4,6,1),Transactions!$A$6:$A$2005,"&lt;"&amp;DATE(Settings!$C$4,7,1)))</f>
        <v/>
      </c>
      <c r="R64" s="32">
        <f>IF($A64="",0,SUMIFS(Transactions!$D$6:$D$2005,Transactions!$C$6:$C$2005,$A64,Transactions!$A$6:$A$2005,"&gt;="&amp;DATE(Settings!$C$4,7,1),Transactions!$A$6:$A$2005,"&lt;"&amp;DATE(Settings!$C$4,8,1)))</f>
        <v/>
      </c>
      <c r="S64" s="32">
        <f>IF($A64="",0,SUMIFS(Transactions!$D$6:$D$2005,Transactions!$C$6:$C$2005,$A64,Transactions!$A$6:$A$2005,"&gt;="&amp;DATE(Settings!$C$4,8,1),Transactions!$A$6:$A$2005,"&lt;"&amp;DATE(Settings!$C$4,9,1)))</f>
        <v/>
      </c>
      <c r="T64" s="32">
        <f>IF($A64="",0,SUMIFS(Transactions!$D$6:$D$2005,Transactions!$C$6:$C$2005,$A64,Transactions!$A$6:$A$2005,"&gt;="&amp;DATE(Settings!$C$4,9,1),Transactions!$A$6:$A$2005,"&lt;"&amp;DATE(Settings!$C$4,10,1)))</f>
        <v/>
      </c>
      <c r="U64" s="32">
        <f>IF($A64="",0,SUMIFS(Transactions!$D$6:$D$2005,Transactions!$C$6:$C$2005,$A64,Transactions!$A$6:$A$2005,"&gt;="&amp;DATE(Settings!$C$4,10,1),Transactions!$A$6:$A$2005,"&lt;"&amp;DATE(Settings!$C$4,11,1)))</f>
        <v/>
      </c>
      <c r="V64" s="32">
        <f>IF($A64="",0,SUMIFS(Transactions!$D$6:$D$2005,Transactions!$C$6:$C$2005,$A64,Transactions!$A$6:$A$2005,"&gt;="&amp;DATE(Settings!$C$4,11,1),Transactions!$A$6:$A$2005,"&lt;"&amp;DATE(Settings!$C$4,12,1)))</f>
        <v/>
      </c>
      <c r="W64" s="32">
        <f>IF($A64="",0,SUMIFS(Transactions!$D$6:$D$2005,Transactions!$C$6:$C$2005,$A64,Transactions!$A$6:$A$2005,"&gt;="&amp;DATE(Settings!$C$4,12,1),Transactions!$A$6:$A$2005,"&lt;"&amp;DATE(Settings!$C$4,13,1)))</f>
        <v/>
      </c>
      <c r="X64" s="40">
        <f>SUM(L64:W64)</f>
        <v/>
      </c>
      <c r="Y64" s="32">
        <f>IF($A64="",0,'Monthly Budget'!$P64)</f>
        <v/>
      </c>
      <c r="Z64" s="32">
        <f>X64-Y64</f>
        <v/>
      </c>
      <c r="AA64" s="46">
        <f>IF(AND(X64&gt;0,OR(B64="Fixed bills",B64="Variable expenses")),X64+ROW()/10000000,0)</f>
        <v/>
      </c>
    </row>
    <row r="65">
      <c r="A65" s="38">
        <f>IF(Categories!$A57="","",Categories!$A57)</f>
        <v/>
      </c>
      <c r="B65" s="29">
        <f>IF(A65="","",Categories!$B57&amp;"")</f>
        <v/>
      </c>
      <c r="C65" s="32">
        <f>IF($A65="",0,INDEX('Monthly Budget'!$D65:$O65,1,Settings!$C$12))</f>
        <v/>
      </c>
      <c r="D65" s="40">
        <f>INDEX($L65:$W65,1,Settings!$C$12)</f>
        <v/>
      </c>
      <c r="E65" s="32">
        <f>D65-C65</f>
        <v/>
      </c>
      <c r="F65" s="44">
        <f>IF(C65=0,"",D65/C65)</f>
        <v/>
      </c>
      <c r="H65" s="32">
        <f>IF($A65="",0,SUMIFS('Monthly Budget'!$D65:$O65,Lists!$I$2:$T$2,"&lt;="&amp;Settings!$C$12))</f>
        <v/>
      </c>
      <c r="I65" s="32">
        <f>SUMIFS($L65:$W65,Lists!$I$2:$T$2,"&lt;="&amp;Settings!$C$12)</f>
        <v/>
      </c>
      <c r="J65" s="32">
        <f>I65-H65</f>
        <v/>
      </c>
      <c r="L65" s="32">
        <f>IF($A65="",0,SUMIFS(Transactions!$D$6:$D$2005,Transactions!$C$6:$C$2005,$A65,Transactions!$A$6:$A$2005,"&gt;="&amp;DATE(Settings!$C$4,1,1),Transactions!$A$6:$A$2005,"&lt;"&amp;DATE(Settings!$C$4,2,1)))</f>
        <v/>
      </c>
      <c r="M65" s="32">
        <f>IF($A65="",0,SUMIFS(Transactions!$D$6:$D$2005,Transactions!$C$6:$C$2005,$A65,Transactions!$A$6:$A$2005,"&gt;="&amp;DATE(Settings!$C$4,2,1),Transactions!$A$6:$A$2005,"&lt;"&amp;DATE(Settings!$C$4,3,1)))</f>
        <v/>
      </c>
      <c r="N65" s="32">
        <f>IF($A65="",0,SUMIFS(Transactions!$D$6:$D$2005,Transactions!$C$6:$C$2005,$A65,Transactions!$A$6:$A$2005,"&gt;="&amp;DATE(Settings!$C$4,3,1),Transactions!$A$6:$A$2005,"&lt;"&amp;DATE(Settings!$C$4,4,1)))</f>
        <v/>
      </c>
      <c r="O65" s="32">
        <f>IF($A65="",0,SUMIFS(Transactions!$D$6:$D$2005,Transactions!$C$6:$C$2005,$A65,Transactions!$A$6:$A$2005,"&gt;="&amp;DATE(Settings!$C$4,4,1),Transactions!$A$6:$A$2005,"&lt;"&amp;DATE(Settings!$C$4,5,1)))</f>
        <v/>
      </c>
      <c r="P65" s="32">
        <f>IF($A65="",0,SUMIFS(Transactions!$D$6:$D$2005,Transactions!$C$6:$C$2005,$A65,Transactions!$A$6:$A$2005,"&gt;="&amp;DATE(Settings!$C$4,5,1),Transactions!$A$6:$A$2005,"&lt;"&amp;DATE(Settings!$C$4,6,1)))</f>
        <v/>
      </c>
      <c r="Q65" s="32">
        <f>IF($A65="",0,SUMIFS(Transactions!$D$6:$D$2005,Transactions!$C$6:$C$2005,$A65,Transactions!$A$6:$A$2005,"&gt;="&amp;DATE(Settings!$C$4,6,1),Transactions!$A$6:$A$2005,"&lt;"&amp;DATE(Settings!$C$4,7,1)))</f>
        <v/>
      </c>
      <c r="R65" s="32">
        <f>IF($A65="",0,SUMIFS(Transactions!$D$6:$D$2005,Transactions!$C$6:$C$2005,$A65,Transactions!$A$6:$A$2005,"&gt;="&amp;DATE(Settings!$C$4,7,1),Transactions!$A$6:$A$2005,"&lt;"&amp;DATE(Settings!$C$4,8,1)))</f>
        <v/>
      </c>
      <c r="S65" s="32">
        <f>IF($A65="",0,SUMIFS(Transactions!$D$6:$D$2005,Transactions!$C$6:$C$2005,$A65,Transactions!$A$6:$A$2005,"&gt;="&amp;DATE(Settings!$C$4,8,1),Transactions!$A$6:$A$2005,"&lt;"&amp;DATE(Settings!$C$4,9,1)))</f>
        <v/>
      </c>
      <c r="T65" s="32">
        <f>IF($A65="",0,SUMIFS(Transactions!$D$6:$D$2005,Transactions!$C$6:$C$2005,$A65,Transactions!$A$6:$A$2005,"&gt;="&amp;DATE(Settings!$C$4,9,1),Transactions!$A$6:$A$2005,"&lt;"&amp;DATE(Settings!$C$4,10,1)))</f>
        <v/>
      </c>
      <c r="U65" s="32">
        <f>IF($A65="",0,SUMIFS(Transactions!$D$6:$D$2005,Transactions!$C$6:$C$2005,$A65,Transactions!$A$6:$A$2005,"&gt;="&amp;DATE(Settings!$C$4,10,1),Transactions!$A$6:$A$2005,"&lt;"&amp;DATE(Settings!$C$4,11,1)))</f>
        <v/>
      </c>
      <c r="V65" s="32">
        <f>IF($A65="",0,SUMIFS(Transactions!$D$6:$D$2005,Transactions!$C$6:$C$2005,$A65,Transactions!$A$6:$A$2005,"&gt;="&amp;DATE(Settings!$C$4,11,1),Transactions!$A$6:$A$2005,"&lt;"&amp;DATE(Settings!$C$4,12,1)))</f>
        <v/>
      </c>
      <c r="W65" s="32">
        <f>IF($A65="",0,SUMIFS(Transactions!$D$6:$D$2005,Transactions!$C$6:$C$2005,$A65,Transactions!$A$6:$A$2005,"&gt;="&amp;DATE(Settings!$C$4,12,1),Transactions!$A$6:$A$2005,"&lt;"&amp;DATE(Settings!$C$4,13,1)))</f>
        <v/>
      </c>
      <c r="X65" s="40">
        <f>SUM(L65:W65)</f>
        <v/>
      </c>
      <c r="Y65" s="32">
        <f>IF($A65="",0,'Monthly Budget'!$P65)</f>
        <v/>
      </c>
      <c r="Z65" s="32">
        <f>X65-Y65</f>
        <v/>
      </c>
      <c r="AA65" s="46">
        <f>IF(AND(X65&gt;0,OR(B65="Fixed bills",B65="Variable expenses")),X65+ROW()/10000000,0)</f>
        <v/>
      </c>
    </row>
    <row r="66">
      <c r="A66" s="38">
        <f>IF(Categories!$A58="","",Categories!$A58)</f>
        <v/>
      </c>
      <c r="B66" s="29">
        <f>IF(A66="","",Categories!$B58&amp;"")</f>
        <v/>
      </c>
      <c r="C66" s="32">
        <f>IF($A66="",0,INDEX('Monthly Budget'!$D66:$O66,1,Settings!$C$12))</f>
        <v/>
      </c>
      <c r="D66" s="40">
        <f>INDEX($L66:$W66,1,Settings!$C$12)</f>
        <v/>
      </c>
      <c r="E66" s="32">
        <f>D66-C66</f>
        <v/>
      </c>
      <c r="F66" s="44">
        <f>IF(C66=0,"",D66/C66)</f>
        <v/>
      </c>
      <c r="H66" s="32">
        <f>IF($A66="",0,SUMIFS('Monthly Budget'!$D66:$O66,Lists!$I$2:$T$2,"&lt;="&amp;Settings!$C$12))</f>
        <v/>
      </c>
      <c r="I66" s="32">
        <f>SUMIFS($L66:$W66,Lists!$I$2:$T$2,"&lt;="&amp;Settings!$C$12)</f>
        <v/>
      </c>
      <c r="J66" s="32">
        <f>I66-H66</f>
        <v/>
      </c>
      <c r="L66" s="32">
        <f>IF($A66="",0,SUMIFS(Transactions!$D$6:$D$2005,Transactions!$C$6:$C$2005,$A66,Transactions!$A$6:$A$2005,"&gt;="&amp;DATE(Settings!$C$4,1,1),Transactions!$A$6:$A$2005,"&lt;"&amp;DATE(Settings!$C$4,2,1)))</f>
        <v/>
      </c>
      <c r="M66" s="32">
        <f>IF($A66="",0,SUMIFS(Transactions!$D$6:$D$2005,Transactions!$C$6:$C$2005,$A66,Transactions!$A$6:$A$2005,"&gt;="&amp;DATE(Settings!$C$4,2,1),Transactions!$A$6:$A$2005,"&lt;"&amp;DATE(Settings!$C$4,3,1)))</f>
        <v/>
      </c>
      <c r="N66" s="32">
        <f>IF($A66="",0,SUMIFS(Transactions!$D$6:$D$2005,Transactions!$C$6:$C$2005,$A66,Transactions!$A$6:$A$2005,"&gt;="&amp;DATE(Settings!$C$4,3,1),Transactions!$A$6:$A$2005,"&lt;"&amp;DATE(Settings!$C$4,4,1)))</f>
        <v/>
      </c>
      <c r="O66" s="32">
        <f>IF($A66="",0,SUMIFS(Transactions!$D$6:$D$2005,Transactions!$C$6:$C$2005,$A66,Transactions!$A$6:$A$2005,"&gt;="&amp;DATE(Settings!$C$4,4,1),Transactions!$A$6:$A$2005,"&lt;"&amp;DATE(Settings!$C$4,5,1)))</f>
        <v/>
      </c>
      <c r="P66" s="32">
        <f>IF($A66="",0,SUMIFS(Transactions!$D$6:$D$2005,Transactions!$C$6:$C$2005,$A66,Transactions!$A$6:$A$2005,"&gt;="&amp;DATE(Settings!$C$4,5,1),Transactions!$A$6:$A$2005,"&lt;"&amp;DATE(Settings!$C$4,6,1)))</f>
        <v/>
      </c>
      <c r="Q66" s="32">
        <f>IF($A66="",0,SUMIFS(Transactions!$D$6:$D$2005,Transactions!$C$6:$C$2005,$A66,Transactions!$A$6:$A$2005,"&gt;="&amp;DATE(Settings!$C$4,6,1),Transactions!$A$6:$A$2005,"&lt;"&amp;DATE(Settings!$C$4,7,1)))</f>
        <v/>
      </c>
      <c r="R66" s="32">
        <f>IF($A66="",0,SUMIFS(Transactions!$D$6:$D$2005,Transactions!$C$6:$C$2005,$A66,Transactions!$A$6:$A$2005,"&gt;="&amp;DATE(Settings!$C$4,7,1),Transactions!$A$6:$A$2005,"&lt;"&amp;DATE(Settings!$C$4,8,1)))</f>
        <v/>
      </c>
      <c r="S66" s="32">
        <f>IF($A66="",0,SUMIFS(Transactions!$D$6:$D$2005,Transactions!$C$6:$C$2005,$A66,Transactions!$A$6:$A$2005,"&gt;="&amp;DATE(Settings!$C$4,8,1),Transactions!$A$6:$A$2005,"&lt;"&amp;DATE(Settings!$C$4,9,1)))</f>
        <v/>
      </c>
      <c r="T66" s="32">
        <f>IF($A66="",0,SUMIFS(Transactions!$D$6:$D$2005,Transactions!$C$6:$C$2005,$A66,Transactions!$A$6:$A$2005,"&gt;="&amp;DATE(Settings!$C$4,9,1),Transactions!$A$6:$A$2005,"&lt;"&amp;DATE(Settings!$C$4,10,1)))</f>
        <v/>
      </c>
      <c r="U66" s="32">
        <f>IF($A66="",0,SUMIFS(Transactions!$D$6:$D$2005,Transactions!$C$6:$C$2005,$A66,Transactions!$A$6:$A$2005,"&gt;="&amp;DATE(Settings!$C$4,10,1),Transactions!$A$6:$A$2005,"&lt;"&amp;DATE(Settings!$C$4,11,1)))</f>
        <v/>
      </c>
      <c r="V66" s="32">
        <f>IF($A66="",0,SUMIFS(Transactions!$D$6:$D$2005,Transactions!$C$6:$C$2005,$A66,Transactions!$A$6:$A$2005,"&gt;="&amp;DATE(Settings!$C$4,11,1),Transactions!$A$6:$A$2005,"&lt;"&amp;DATE(Settings!$C$4,12,1)))</f>
        <v/>
      </c>
      <c r="W66" s="32">
        <f>IF($A66="",0,SUMIFS(Transactions!$D$6:$D$2005,Transactions!$C$6:$C$2005,$A66,Transactions!$A$6:$A$2005,"&gt;="&amp;DATE(Settings!$C$4,12,1),Transactions!$A$6:$A$2005,"&lt;"&amp;DATE(Settings!$C$4,13,1)))</f>
        <v/>
      </c>
      <c r="X66" s="40">
        <f>SUM(L66:W66)</f>
        <v/>
      </c>
      <c r="Y66" s="32">
        <f>IF($A66="",0,'Monthly Budget'!$P66)</f>
        <v/>
      </c>
      <c r="Z66" s="32">
        <f>X66-Y66</f>
        <v/>
      </c>
      <c r="AA66" s="46">
        <f>IF(AND(X66&gt;0,OR(B66="Fixed bills",B66="Variable expenses")),X66+ROW()/10000000,0)</f>
        <v/>
      </c>
    </row>
    <row r="67">
      <c r="A67" s="38">
        <f>IF(Categories!$A59="","",Categories!$A59)</f>
        <v/>
      </c>
      <c r="B67" s="29">
        <f>IF(A67="","",Categories!$B59&amp;"")</f>
        <v/>
      </c>
      <c r="C67" s="32">
        <f>IF($A67="",0,INDEX('Monthly Budget'!$D67:$O67,1,Settings!$C$12))</f>
        <v/>
      </c>
      <c r="D67" s="40">
        <f>INDEX($L67:$W67,1,Settings!$C$12)</f>
        <v/>
      </c>
      <c r="E67" s="32">
        <f>D67-C67</f>
        <v/>
      </c>
      <c r="F67" s="44">
        <f>IF(C67=0,"",D67/C67)</f>
        <v/>
      </c>
      <c r="H67" s="32">
        <f>IF($A67="",0,SUMIFS('Monthly Budget'!$D67:$O67,Lists!$I$2:$T$2,"&lt;="&amp;Settings!$C$12))</f>
        <v/>
      </c>
      <c r="I67" s="32">
        <f>SUMIFS($L67:$W67,Lists!$I$2:$T$2,"&lt;="&amp;Settings!$C$12)</f>
        <v/>
      </c>
      <c r="J67" s="32">
        <f>I67-H67</f>
        <v/>
      </c>
      <c r="L67" s="32">
        <f>IF($A67="",0,SUMIFS(Transactions!$D$6:$D$2005,Transactions!$C$6:$C$2005,$A67,Transactions!$A$6:$A$2005,"&gt;="&amp;DATE(Settings!$C$4,1,1),Transactions!$A$6:$A$2005,"&lt;"&amp;DATE(Settings!$C$4,2,1)))</f>
        <v/>
      </c>
      <c r="M67" s="32">
        <f>IF($A67="",0,SUMIFS(Transactions!$D$6:$D$2005,Transactions!$C$6:$C$2005,$A67,Transactions!$A$6:$A$2005,"&gt;="&amp;DATE(Settings!$C$4,2,1),Transactions!$A$6:$A$2005,"&lt;"&amp;DATE(Settings!$C$4,3,1)))</f>
        <v/>
      </c>
      <c r="N67" s="32">
        <f>IF($A67="",0,SUMIFS(Transactions!$D$6:$D$2005,Transactions!$C$6:$C$2005,$A67,Transactions!$A$6:$A$2005,"&gt;="&amp;DATE(Settings!$C$4,3,1),Transactions!$A$6:$A$2005,"&lt;"&amp;DATE(Settings!$C$4,4,1)))</f>
        <v/>
      </c>
      <c r="O67" s="32">
        <f>IF($A67="",0,SUMIFS(Transactions!$D$6:$D$2005,Transactions!$C$6:$C$2005,$A67,Transactions!$A$6:$A$2005,"&gt;="&amp;DATE(Settings!$C$4,4,1),Transactions!$A$6:$A$2005,"&lt;"&amp;DATE(Settings!$C$4,5,1)))</f>
        <v/>
      </c>
      <c r="P67" s="32">
        <f>IF($A67="",0,SUMIFS(Transactions!$D$6:$D$2005,Transactions!$C$6:$C$2005,$A67,Transactions!$A$6:$A$2005,"&gt;="&amp;DATE(Settings!$C$4,5,1),Transactions!$A$6:$A$2005,"&lt;"&amp;DATE(Settings!$C$4,6,1)))</f>
        <v/>
      </c>
      <c r="Q67" s="32">
        <f>IF($A67="",0,SUMIFS(Transactions!$D$6:$D$2005,Transactions!$C$6:$C$2005,$A67,Transactions!$A$6:$A$2005,"&gt;="&amp;DATE(Settings!$C$4,6,1),Transactions!$A$6:$A$2005,"&lt;"&amp;DATE(Settings!$C$4,7,1)))</f>
        <v/>
      </c>
      <c r="R67" s="32">
        <f>IF($A67="",0,SUMIFS(Transactions!$D$6:$D$2005,Transactions!$C$6:$C$2005,$A67,Transactions!$A$6:$A$2005,"&gt;="&amp;DATE(Settings!$C$4,7,1),Transactions!$A$6:$A$2005,"&lt;"&amp;DATE(Settings!$C$4,8,1)))</f>
        <v/>
      </c>
      <c r="S67" s="32">
        <f>IF($A67="",0,SUMIFS(Transactions!$D$6:$D$2005,Transactions!$C$6:$C$2005,$A67,Transactions!$A$6:$A$2005,"&gt;="&amp;DATE(Settings!$C$4,8,1),Transactions!$A$6:$A$2005,"&lt;"&amp;DATE(Settings!$C$4,9,1)))</f>
        <v/>
      </c>
      <c r="T67" s="32">
        <f>IF($A67="",0,SUMIFS(Transactions!$D$6:$D$2005,Transactions!$C$6:$C$2005,$A67,Transactions!$A$6:$A$2005,"&gt;="&amp;DATE(Settings!$C$4,9,1),Transactions!$A$6:$A$2005,"&lt;"&amp;DATE(Settings!$C$4,10,1)))</f>
        <v/>
      </c>
      <c r="U67" s="32">
        <f>IF($A67="",0,SUMIFS(Transactions!$D$6:$D$2005,Transactions!$C$6:$C$2005,$A67,Transactions!$A$6:$A$2005,"&gt;="&amp;DATE(Settings!$C$4,10,1),Transactions!$A$6:$A$2005,"&lt;"&amp;DATE(Settings!$C$4,11,1)))</f>
        <v/>
      </c>
      <c r="V67" s="32">
        <f>IF($A67="",0,SUMIFS(Transactions!$D$6:$D$2005,Transactions!$C$6:$C$2005,$A67,Transactions!$A$6:$A$2005,"&gt;="&amp;DATE(Settings!$C$4,11,1),Transactions!$A$6:$A$2005,"&lt;"&amp;DATE(Settings!$C$4,12,1)))</f>
        <v/>
      </c>
      <c r="W67" s="32">
        <f>IF($A67="",0,SUMIFS(Transactions!$D$6:$D$2005,Transactions!$C$6:$C$2005,$A67,Transactions!$A$6:$A$2005,"&gt;="&amp;DATE(Settings!$C$4,12,1),Transactions!$A$6:$A$2005,"&lt;"&amp;DATE(Settings!$C$4,13,1)))</f>
        <v/>
      </c>
      <c r="X67" s="40">
        <f>SUM(L67:W67)</f>
        <v/>
      </c>
      <c r="Y67" s="32">
        <f>IF($A67="",0,'Monthly Budget'!$P67)</f>
        <v/>
      </c>
      <c r="Z67" s="32">
        <f>X67-Y67</f>
        <v/>
      </c>
      <c r="AA67" s="46">
        <f>IF(AND(X67&gt;0,OR(B67="Fixed bills",B67="Variable expenses")),X67+ROW()/10000000,0)</f>
        <v/>
      </c>
    </row>
    <row r="68">
      <c r="A68" s="38">
        <f>IF(Categories!$A60="","",Categories!$A60)</f>
        <v/>
      </c>
      <c r="B68" s="29">
        <f>IF(A68="","",Categories!$B60&amp;"")</f>
        <v/>
      </c>
      <c r="C68" s="32">
        <f>IF($A68="",0,INDEX('Monthly Budget'!$D68:$O68,1,Settings!$C$12))</f>
        <v/>
      </c>
      <c r="D68" s="40">
        <f>INDEX($L68:$W68,1,Settings!$C$12)</f>
        <v/>
      </c>
      <c r="E68" s="32">
        <f>D68-C68</f>
        <v/>
      </c>
      <c r="F68" s="44">
        <f>IF(C68=0,"",D68/C68)</f>
        <v/>
      </c>
      <c r="H68" s="32">
        <f>IF($A68="",0,SUMIFS('Monthly Budget'!$D68:$O68,Lists!$I$2:$T$2,"&lt;="&amp;Settings!$C$12))</f>
        <v/>
      </c>
      <c r="I68" s="32">
        <f>SUMIFS($L68:$W68,Lists!$I$2:$T$2,"&lt;="&amp;Settings!$C$12)</f>
        <v/>
      </c>
      <c r="J68" s="32">
        <f>I68-H68</f>
        <v/>
      </c>
      <c r="L68" s="32">
        <f>IF($A68="",0,SUMIFS(Transactions!$D$6:$D$2005,Transactions!$C$6:$C$2005,$A68,Transactions!$A$6:$A$2005,"&gt;="&amp;DATE(Settings!$C$4,1,1),Transactions!$A$6:$A$2005,"&lt;"&amp;DATE(Settings!$C$4,2,1)))</f>
        <v/>
      </c>
      <c r="M68" s="32">
        <f>IF($A68="",0,SUMIFS(Transactions!$D$6:$D$2005,Transactions!$C$6:$C$2005,$A68,Transactions!$A$6:$A$2005,"&gt;="&amp;DATE(Settings!$C$4,2,1),Transactions!$A$6:$A$2005,"&lt;"&amp;DATE(Settings!$C$4,3,1)))</f>
        <v/>
      </c>
      <c r="N68" s="32">
        <f>IF($A68="",0,SUMIFS(Transactions!$D$6:$D$2005,Transactions!$C$6:$C$2005,$A68,Transactions!$A$6:$A$2005,"&gt;="&amp;DATE(Settings!$C$4,3,1),Transactions!$A$6:$A$2005,"&lt;"&amp;DATE(Settings!$C$4,4,1)))</f>
        <v/>
      </c>
      <c r="O68" s="32">
        <f>IF($A68="",0,SUMIFS(Transactions!$D$6:$D$2005,Transactions!$C$6:$C$2005,$A68,Transactions!$A$6:$A$2005,"&gt;="&amp;DATE(Settings!$C$4,4,1),Transactions!$A$6:$A$2005,"&lt;"&amp;DATE(Settings!$C$4,5,1)))</f>
        <v/>
      </c>
      <c r="P68" s="32">
        <f>IF($A68="",0,SUMIFS(Transactions!$D$6:$D$2005,Transactions!$C$6:$C$2005,$A68,Transactions!$A$6:$A$2005,"&gt;="&amp;DATE(Settings!$C$4,5,1),Transactions!$A$6:$A$2005,"&lt;"&amp;DATE(Settings!$C$4,6,1)))</f>
        <v/>
      </c>
      <c r="Q68" s="32">
        <f>IF($A68="",0,SUMIFS(Transactions!$D$6:$D$2005,Transactions!$C$6:$C$2005,$A68,Transactions!$A$6:$A$2005,"&gt;="&amp;DATE(Settings!$C$4,6,1),Transactions!$A$6:$A$2005,"&lt;"&amp;DATE(Settings!$C$4,7,1)))</f>
        <v/>
      </c>
      <c r="R68" s="32">
        <f>IF($A68="",0,SUMIFS(Transactions!$D$6:$D$2005,Transactions!$C$6:$C$2005,$A68,Transactions!$A$6:$A$2005,"&gt;="&amp;DATE(Settings!$C$4,7,1),Transactions!$A$6:$A$2005,"&lt;"&amp;DATE(Settings!$C$4,8,1)))</f>
        <v/>
      </c>
      <c r="S68" s="32">
        <f>IF($A68="",0,SUMIFS(Transactions!$D$6:$D$2005,Transactions!$C$6:$C$2005,$A68,Transactions!$A$6:$A$2005,"&gt;="&amp;DATE(Settings!$C$4,8,1),Transactions!$A$6:$A$2005,"&lt;"&amp;DATE(Settings!$C$4,9,1)))</f>
        <v/>
      </c>
      <c r="T68" s="32">
        <f>IF($A68="",0,SUMIFS(Transactions!$D$6:$D$2005,Transactions!$C$6:$C$2005,$A68,Transactions!$A$6:$A$2005,"&gt;="&amp;DATE(Settings!$C$4,9,1),Transactions!$A$6:$A$2005,"&lt;"&amp;DATE(Settings!$C$4,10,1)))</f>
        <v/>
      </c>
      <c r="U68" s="32">
        <f>IF($A68="",0,SUMIFS(Transactions!$D$6:$D$2005,Transactions!$C$6:$C$2005,$A68,Transactions!$A$6:$A$2005,"&gt;="&amp;DATE(Settings!$C$4,10,1),Transactions!$A$6:$A$2005,"&lt;"&amp;DATE(Settings!$C$4,11,1)))</f>
        <v/>
      </c>
      <c r="V68" s="32">
        <f>IF($A68="",0,SUMIFS(Transactions!$D$6:$D$2005,Transactions!$C$6:$C$2005,$A68,Transactions!$A$6:$A$2005,"&gt;="&amp;DATE(Settings!$C$4,11,1),Transactions!$A$6:$A$2005,"&lt;"&amp;DATE(Settings!$C$4,12,1)))</f>
        <v/>
      </c>
      <c r="W68" s="32">
        <f>IF($A68="",0,SUMIFS(Transactions!$D$6:$D$2005,Transactions!$C$6:$C$2005,$A68,Transactions!$A$6:$A$2005,"&gt;="&amp;DATE(Settings!$C$4,12,1),Transactions!$A$6:$A$2005,"&lt;"&amp;DATE(Settings!$C$4,13,1)))</f>
        <v/>
      </c>
      <c r="X68" s="40">
        <f>SUM(L68:W68)</f>
        <v/>
      </c>
      <c r="Y68" s="32">
        <f>IF($A68="",0,'Monthly Budget'!$P68)</f>
        <v/>
      </c>
      <c r="Z68" s="32">
        <f>X68-Y68</f>
        <v/>
      </c>
      <c r="AA68" s="46">
        <f>IF(AND(X68&gt;0,OR(B68="Fixed bills",B68="Variable expenses")),X68+ROW()/10000000,0)</f>
        <v/>
      </c>
    </row>
    <row r="69">
      <c r="A69" s="38">
        <f>IF(Categories!$A61="","",Categories!$A61)</f>
        <v/>
      </c>
      <c r="B69" s="29">
        <f>IF(A69="","",Categories!$B61&amp;"")</f>
        <v/>
      </c>
      <c r="C69" s="32">
        <f>IF($A69="",0,INDEX('Monthly Budget'!$D69:$O69,1,Settings!$C$12))</f>
        <v/>
      </c>
      <c r="D69" s="40">
        <f>INDEX($L69:$W69,1,Settings!$C$12)</f>
        <v/>
      </c>
      <c r="E69" s="32">
        <f>D69-C69</f>
        <v/>
      </c>
      <c r="F69" s="44">
        <f>IF(C69=0,"",D69/C69)</f>
        <v/>
      </c>
      <c r="H69" s="32">
        <f>IF($A69="",0,SUMIFS('Monthly Budget'!$D69:$O69,Lists!$I$2:$T$2,"&lt;="&amp;Settings!$C$12))</f>
        <v/>
      </c>
      <c r="I69" s="32">
        <f>SUMIFS($L69:$W69,Lists!$I$2:$T$2,"&lt;="&amp;Settings!$C$12)</f>
        <v/>
      </c>
      <c r="J69" s="32">
        <f>I69-H69</f>
        <v/>
      </c>
      <c r="L69" s="32">
        <f>IF($A69="",0,SUMIFS(Transactions!$D$6:$D$2005,Transactions!$C$6:$C$2005,$A69,Transactions!$A$6:$A$2005,"&gt;="&amp;DATE(Settings!$C$4,1,1),Transactions!$A$6:$A$2005,"&lt;"&amp;DATE(Settings!$C$4,2,1)))</f>
        <v/>
      </c>
      <c r="M69" s="32">
        <f>IF($A69="",0,SUMIFS(Transactions!$D$6:$D$2005,Transactions!$C$6:$C$2005,$A69,Transactions!$A$6:$A$2005,"&gt;="&amp;DATE(Settings!$C$4,2,1),Transactions!$A$6:$A$2005,"&lt;"&amp;DATE(Settings!$C$4,3,1)))</f>
        <v/>
      </c>
      <c r="N69" s="32">
        <f>IF($A69="",0,SUMIFS(Transactions!$D$6:$D$2005,Transactions!$C$6:$C$2005,$A69,Transactions!$A$6:$A$2005,"&gt;="&amp;DATE(Settings!$C$4,3,1),Transactions!$A$6:$A$2005,"&lt;"&amp;DATE(Settings!$C$4,4,1)))</f>
        <v/>
      </c>
      <c r="O69" s="32">
        <f>IF($A69="",0,SUMIFS(Transactions!$D$6:$D$2005,Transactions!$C$6:$C$2005,$A69,Transactions!$A$6:$A$2005,"&gt;="&amp;DATE(Settings!$C$4,4,1),Transactions!$A$6:$A$2005,"&lt;"&amp;DATE(Settings!$C$4,5,1)))</f>
        <v/>
      </c>
      <c r="P69" s="32">
        <f>IF($A69="",0,SUMIFS(Transactions!$D$6:$D$2005,Transactions!$C$6:$C$2005,$A69,Transactions!$A$6:$A$2005,"&gt;="&amp;DATE(Settings!$C$4,5,1),Transactions!$A$6:$A$2005,"&lt;"&amp;DATE(Settings!$C$4,6,1)))</f>
        <v/>
      </c>
      <c r="Q69" s="32">
        <f>IF($A69="",0,SUMIFS(Transactions!$D$6:$D$2005,Transactions!$C$6:$C$2005,$A69,Transactions!$A$6:$A$2005,"&gt;="&amp;DATE(Settings!$C$4,6,1),Transactions!$A$6:$A$2005,"&lt;"&amp;DATE(Settings!$C$4,7,1)))</f>
        <v/>
      </c>
      <c r="R69" s="32">
        <f>IF($A69="",0,SUMIFS(Transactions!$D$6:$D$2005,Transactions!$C$6:$C$2005,$A69,Transactions!$A$6:$A$2005,"&gt;="&amp;DATE(Settings!$C$4,7,1),Transactions!$A$6:$A$2005,"&lt;"&amp;DATE(Settings!$C$4,8,1)))</f>
        <v/>
      </c>
      <c r="S69" s="32">
        <f>IF($A69="",0,SUMIFS(Transactions!$D$6:$D$2005,Transactions!$C$6:$C$2005,$A69,Transactions!$A$6:$A$2005,"&gt;="&amp;DATE(Settings!$C$4,8,1),Transactions!$A$6:$A$2005,"&lt;"&amp;DATE(Settings!$C$4,9,1)))</f>
        <v/>
      </c>
      <c r="T69" s="32">
        <f>IF($A69="",0,SUMIFS(Transactions!$D$6:$D$2005,Transactions!$C$6:$C$2005,$A69,Transactions!$A$6:$A$2005,"&gt;="&amp;DATE(Settings!$C$4,9,1),Transactions!$A$6:$A$2005,"&lt;"&amp;DATE(Settings!$C$4,10,1)))</f>
        <v/>
      </c>
      <c r="U69" s="32">
        <f>IF($A69="",0,SUMIFS(Transactions!$D$6:$D$2005,Transactions!$C$6:$C$2005,$A69,Transactions!$A$6:$A$2005,"&gt;="&amp;DATE(Settings!$C$4,10,1),Transactions!$A$6:$A$2005,"&lt;"&amp;DATE(Settings!$C$4,11,1)))</f>
        <v/>
      </c>
      <c r="V69" s="32">
        <f>IF($A69="",0,SUMIFS(Transactions!$D$6:$D$2005,Transactions!$C$6:$C$2005,$A69,Transactions!$A$6:$A$2005,"&gt;="&amp;DATE(Settings!$C$4,11,1),Transactions!$A$6:$A$2005,"&lt;"&amp;DATE(Settings!$C$4,12,1)))</f>
        <v/>
      </c>
      <c r="W69" s="32">
        <f>IF($A69="",0,SUMIFS(Transactions!$D$6:$D$2005,Transactions!$C$6:$C$2005,$A69,Transactions!$A$6:$A$2005,"&gt;="&amp;DATE(Settings!$C$4,12,1),Transactions!$A$6:$A$2005,"&lt;"&amp;DATE(Settings!$C$4,13,1)))</f>
        <v/>
      </c>
      <c r="X69" s="40">
        <f>SUM(L69:W69)</f>
        <v/>
      </c>
      <c r="Y69" s="32">
        <f>IF($A69="",0,'Monthly Budget'!$P69)</f>
        <v/>
      </c>
      <c r="Z69" s="32">
        <f>X69-Y69</f>
        <v/>
      </c>
      <c r="AA69" s="46">
        <f>IF(AND(X69&gt;0,OR(B69="Fixed bills",B69="Variable expenses")),X69+ROW()/10000000,0)</f>
        <v/>
      </c>
    </row>
    <row r="70">
      <c r="A70" s="38">
        <f>IF(Categories!$A62="","",Categories!$A62)</f>
        <v/>
      </c>
      <c r="B70" s="29">
        <f>IF(A70="","",Categories!$B62&amp;"")</f>
        <v/>
      </c>
      <c r="C70" s="32">
        <f>IF($A70="",0,INDEX('Monthly Budget'!$D70:$O70,1,Settings!$C$12))</f>
        <v/>
      </c>
      <c r="D70" s="40">
        <f>INDEX($L70:$W70,1,Settings!$C$12)</f>
        <v/>
      </c>
      <c r="E70" s="32">
        <f>D70-C70</f>
        <v/>
      </c>
      <c r="F70" s="44">
        <f>IF(C70=0,"",D70/C70)</f>
        <v/>
      </c>
      <c r="H70" s="32">
        <f>IF($A70="",0,SUMIFS('Monthly Budget'!$D70:$O70,Lists!$I$2:$T$2,"&lt;="&amp;Settings!$C$12))</f>
        <v/>
      </c>
      <c r="I70" s="32">
        <f>SUMIFS($L70:$W70,Lists!$I$2:$T$2,"&lt;="&amp;Settings!$C$12)</f>
        <v/>
      </c>
      <c r="J70" s="32">
        <f>I70-H70</f>
        <v/>
      </c>
      <c r="L70" s="32">
        <f>IF($A70="",0,SUMIFS(Transactions!$D$6:$D$2005,Transactions!$C$6:$C$2005,$A70,Transactions!$A$6:$A$2005,"&gt;="&amp;DATE(Settings!$C$4,1,1),Transactions!$A$6:$A$2005,"&lt;"&amp;DATE(Settings!$C$4,2,1)))</f>
        <v/>
      </c>
      <c r="M70" s="32">
        <f>IF($A70="",0,SUMIFS(Transactions!$D$6:$D$2005,Transactions!$C$6:$C$2005,$A70,Transactions!$A$6:$A$2005,"&gt;="&amp;DATE(Settings!$C$4,2,1),Transactions!$A$6:$A$2005,"&lt;"&amp;DATE(Settings!$C$4,3,1)))</f>
        <v/>
      </c>
      <c r="N70" s="32">
        <f>IF($A70="",0,SUMIFS(Transactions!$D$6:$D$2005,Transactions!$C$6:$C$2005,$A70,Transactions!$A$6:$A$2005,"&gt;="&amp;DATE(Settings!$C$4,3,1),Transactions!$A$6:$A$2005,"&lt;"&amp;DATE(Settings!$C$4,4,1)))</f>
        <v/>
      </c>
      <c r="O70" s="32">
        <f>IF($A70="",0,SUMIFS(Transactions!$D$6:$D$2005,Transactions!$C$6:$C$2005,$A70,Transactions!$A$6:$A$2005,"&gt;="&amp;DATE(Settings!$C$4,4,1),Transactions!$A$6:$A$2005,"&lt;"&amp;DATE(Settings!$C$4,5,1)))</f>
        <v/>
      </c>
      <c r="P70" s="32">
        <f>IF($A70="",0,SUMIFS(Transactions!$D$6:$D$2005,Transactions!$C$6:$C$2005,$A70,Transactions!$A$6:$A$2005,"&gt;="&amp;DATE(Settings!$C$4,5,1),Transactions!$A$6:$A$2005,"&lt;"&amp;DATE(Settings!$C$4,6,1)))</f>
        <v/>
      </c>
      <c r="Q70" s="32">
        <f>IF($A70="",0,SUMIFS(Transactions!$D$6:$D$2005,Transactions!$C$6:$C$2005,$A70,Transactions!$A$6:$A$2005,"&gt;="&amp;DATE(Settings!$C$4,6,1),Transactions!$A$6:$A$2005,"&lt;"&amp;DATE(Settings!$C$4,7,1)))</f>
        <v/>
      </c>
      <c r="R70" s="32">
        <f>IF($A70="",0,SUMIFS(Transactions!$D$6:$D$2005,Transactions!$C$6:$C$2005,$A70,Transactions!$A$6:$A$2005,"&gt;="&amp;DATE(Settings!$C$4,7,1),Transactions!$A$6:$A$2005,"&lt;"&amp;DATE(Settings!$C$4,8,1)))</f>
        <v/>
      </c>
      <c r="S70" s="32">
        <f>IF($A70="",0,SUMIFS(Transactions!$D$6:$D$2005,Transactions!$C$6:$C$2005,$A70,Transactions!$A$6:$A$2005,"&gt;="&amp;DATE(Settings!$C$4,8,1),Transactions!$A$6:$A$2005,"&lt;"&amp;DATE(Settings!$C$4,9,1)))</f>
        <v/>
      </c>
      <c r="T70" s="32">
        <f>IF($A70="",0,SUMIFS(Transactions!$D$6:$D$2005,Transactions!$C$6:$C$2005,$A70,Transactions!$A$6:$A$2005,"&gt;="&amp;DATE(Settings!$C$4,9,1),Transactions!$A$6:$A$2005,"&lt;"&amp;DATE(Settings!$C$4,10,1)))</f>
        <v/>
      </c>
      <c r="U70" s="32">
        <f>IF($A70="",0,SUMIFS(Transactions!$D$6:$D$2005,Transactions!$C$6:$C$2005,$A70,Transactions!$A$6:$A$2005,"&gt;="&amp;DATE(Settings!$C$4,10,1),Transactions!$A$6:$A$2005,"&lt;"&amp;DATE(Settings!$C$4,11,1)))</f>
        <v/>
      </c>
      <c r="V70" s="32">
        <f>IF($A70="",0,SUMIFS(Transactions!$D$6:$D$2005,Transactions!$C$6:$C$2005,$A70,Transactions!$A$6:$A$2005,"&gt;="&amp;DATE(Settings!$C$4,11,1),Transactions!$A$6:$A$2005,"&lt;"&amp;DATE(Settings!$C$4,12,1)))</f>
        <v/>
      </c>
      <c r="W70" s="32">
        <f>IF($A70="",0,SUMIFS(Transactions!$D$6:$D$2005,Transactions!$C$6:$C$2005,$A70,Transactions!$A$6:$A$2005,"&gt;="&amp;DATE(Settings!$C$4,12,1),Transactions!$A$6:$A$2005,"&lt;"&amp;DATE(Settings!$C$4,13,1)))</f>
        <v/>
      </c>
      <c r="X70" s="40">
        <f>SUM(L70:W70)</f>
        <v/>
      </c>
      <c r="Y70" s="32">
        <f>IF($A70="",0,'Monthly Budget'!$P70)</f>
        <v/>
      </c>
      <c r="Z70" s="32">
        <f>X70-Y70</f>
        <v/>
      </c>
      <c r="AA70" s="46">
        <f>IF(AND(X70&gt;0,OR(B70="Fixed bills",B70="Variable expenses")),X70+ROW()/10000000,0)</f>
        <v/>
      </c>
    </row>
    <row r="71">
      <c r="A71" s="38">
        <f>IF(Categories!$A63="","",Categories!$A63)</f>
        <v/>
      </c>
      <c r="B71" s="29">
        <f>IF(A71="","",Categories!$B63&amp;"")</f>
        <v/>
      </c>
      <c r="C71" s="32">
        <f>IF($A71="",0,INDEX('Monthly Budget'!$D71:$O71,1,Settings!$C$12))</f>
        <v/>
      </c>
      <c r="D71" s="40">
        <f>INDEX($L71:$W71,1,Settings!$C$12)</f>
        <v/>
      </c>
      <c r="E71" s="32">
        <f>D71-C71</f>
        <v/>
      </c>
      <c r="F71" s="44">
        <f>IF(C71=0,"",D71/C71)</f>
        <v/>
      </c>
      <c r="H71" s="32">
        <f>IF($A71="",0,SUMIFS('Monthly Budget'!$D71:$O71,Lists!$I$2:$T$2,"&lt;="&amp;Settings!$C$12))</f>
        <v/>
      </c>
      <c r="I71" s="32">
        <f>SUMIFS($L71:$W71,Lists!$I$2:$T$2,"&lt;="&amp;Settings!$C$12)</f>
        <v/>
      </c>
      <c r="J71" s="32">
        <f>I71-H71</f>
        <v/>
      </c>
      <c r="L71" s="32">
        <f>IF($A71="",0,SUMIFS(Transactions!$D$6:$D$2005,Transactions!$C$6:$C$2005,$A71,Transactions!$A$6:$A$2005,"&gt;="&amp;DATE(Settings!$C$4,1,1),Transactions!$A$6:$A$2005,"&lt;"&amp;DATE(Settings!$C$4,2,1)))</f>
        <v/>
      </c>
      <c r="M71" s="32">
        <f>IF($A71="",0,SUMIFS(Transactions!$D$6:$D$2005,Transactions!$C$6:$C$2005,$A71,Transactions!$A$6:$A$2005,"&gt;="&amp;DATE(Settings!$C$4,2,1),Transactions!$A$6:$A$2005,"&lt;"&amp;DATE(Settings!$C$4,3,1)))</f>
        <v/>
      </c>
      <c r="N71" s="32">
        <f>IF($A71="",0,SUMIFS(Transactions!$D$6:$D$2005,Transactions!$C$6:$C$2005,$A71,Transactions!$A$6:$A$2005,"&gt;="&amp;DATE(Settings!$C$4,3,1),Transactions!$A$6:$A$2005,"&lt;"&amp;DATE(Settings!$C$4,4,1)))</f>
        <v/>
      </c>
      <c r="O71" s="32">
        <f>IF($A71="",0,SUMIFS(Transactions!$D$6:$D$2005,Transactions!$C$6:$C$2005,$A71,Transactions!$A$6:$A$2005,"&gt;="&amp;DATE(Settings!$C$4,4,1),Transactions!$A$6:$A$2005,"&lt;"&amp;DATE(Settings!$C$4,5,1)))</f>
        <v/>
      </c>
      <c r="P71" s="32">
        <f>IF($A71="",0,SUMIFS(Transactions!$D$6:$D$2005,Transactions!$C$6:$C$2005,$A71,Transactions!$A$6:$A$2005,"&gt;="&amp;DATE(Settings!$C$4,5,1),Transactions!$A$6:$A$2005,"&lt;"&amp;DATE(Settings!$C$4,6,1)))</f>
        <v/>
      </c>
      <c r="Q71" s="32">
        <f>IF($A71="",0,SUMIFS(Transactions!$D$6:$D$2005,Transactions!$C$6:$C$2005,$A71,Transactions!$A$6:$A$2005,"&gt;="&amp;DATE(Settings!$C$4,6,1),Transactions!$A$6:$A$2005,"&lt;"&amp;DATE(Settings!$C$4,7,1)))</f>
        <v/>
      </c>
      <c r="R71" s="32">
        <f>IF($A71="",0,SUMIFS(Transactions!$D$6:$D$2005,Transactions!$C$6:$C$2005,$A71,Transactions!$A$6:$A$2005,"&gt;="&amp;DATE(Settings!$C$4,7,1),Transactions!$A$6:$A$2005,"&lt;"&amp;DATE(Settings!$C$4,8,1)))</f>
        <v/>
      </c>
      <c r="S71" s="32">
        <f>IF($A71="",0,SUMIFS(Transactions!$D$6:$D$2005,Transactions!$C$6:$C$2005,$A71,Transactions!$A$6:$A$2005,"&gt;="&amp;DATE(Settings!$C$4,8,1),Transactions!$A$6:$A$2005,"&lt;"&amp;DATE(Settings!$C$4,9,1)))</f>
        <v/>
      </c>
      <c r="T71" s="32">
        <f>IF($A71="",0,SUMIFS(Transactions!$D$6:$D$2005,Transactions!$C$6:$C$2005,$A71,Transactions!$A$6:$A$2005,"&gt;="&amp;DATE(Settings!$C$4,9,1),Transactions!$A$6:$A$2005,"&lt;"&amp;DATE(Settings!$C$4,10,1)))</f>
        <v/>
      </c>
      <c r="U71" s="32">
        <f>IF($A71="",0,SUMIFS(Transactions!$D$6:$D$2005,Transactions!$C$6:$C$2005,$A71,Transactions!$A$6:$A$2005,"&gt;="&amp;DATE(Settings!$C$4,10,1),Transactions!$A$6:$A$2005,"&lt;"&amp;DATE(Settings!$C$4,11,1)))</f>
        <v/>
      </c>
      <c r="V71" s="32">
        <f>IF($A71="",0,SUMIFS(Transactions!$D$6:$D$2005,Transactions!$C$6:$C$2005,$A71,Transactions!$A$6:$A$2005,"&gt;="&amp;DATE(Settings!$C$4,11,1),Transactions!$A$6:$A$2005,"&lt;"&amp;DATE(Settings!$C$4,12,1)))</f>
        <v/>
      </c>
      <c r="W71" s="32">
        <f>IF($A71="",0,SUMIFS(Transactions!$D$6:$D$2005,Transactions!$C$6:$C$2005,$A71,Transactions!$A$6:$A$2005,"&gt;="&amp;DATE(Settings!$C$4,12,1),Transactions!$A$6:$A$2005,"&lt;"&amp;DATE(Settings!$C$4,13,1)))</f>
        <v/>
      </c>
      <c r="X71" s="40">
        <f>SUM(L71:W71)</f>
        <v/>
      </c>
      <c r="Y71" s="32">
        <f>IF($A71="",0,'Monthly Budget'!$P71)</f>
        <v/>
      </c>
      <c r="Z71" s="32">
        <f>X71-Y71</f>
        <v/>
      </c>
      <c r="AA71" s="46">
        <f>IF(AND(X71&gt;0,OR(B71="Fixed bills",B71="Variable expenses")),X71+ROW()/10000000,0)</f>
        <v/>
      </c>
    </row>
    <row r="72">
      <c r="A72" s="38">
        <f>IF(Categories!$A64="","",Categories!$A64)</f>
        <v/>
      </c>
      <c r="B72" s="29">
        <f>IF(A72="","",Categories!$B64&amp;"")</f>
        <v/>
      </c>
      <c r="C72" s="32">
        <f>IF($A72="",0,INDEX('Monthly Budget'!$D72:$O72,1,Settings!$C$12))</f>
        <v/>
      </c>
      <c r="D72" s="40">
        <f>INDEX($L72:$W72,1,Settings!$C$12)</f>
        <v/>
      </c>
      <c r="E72" s="32">
        <f>D72-C72</f>
        <v/>
      </c>
      <c r="F72" s="44">
        <f>IF(C72=0,"",D72/C72)</f>
        <v/>
      </c>
      <c r="H72" s="32">
        <f>IF($A72="",0,SUMIFS('Monthly Budget'!$D72:$O72,Lists!$I$2:$T$2,"&lt;="&amp;Settings!$C$12))</f>
        <v/>
      </c>
      <c r="I72" s="32">
        <f>SUMIFS($L72:$W72,Lists!$I$2:$T$2,"&lt;="&amp;Settings!$C$12)</f>
        <v/>
      </c>
      <c r="J72" s="32">
        <f>I72-H72</f>
        <v/>
      </c>
      <c r="L72" s="32">
        <f>IF($A72="",0,SUMIFS(Transactions!$D$6:$D$2005,Transactions!$C$6:$C$2005,$A72,Transactions!$A$6:$A$2005,"&gt;="&amp;DATE(Settings!$C$4,1,1),Transactions!$A$6:$A$2005,"&lt;"&amp;DATE(Settings!$C$4,2,1)))</f>
        <v/>
      </c>
      <c r="M72" s="32">
        <f>IF($A72="",0,SUMIFS(Transactions!$D$6:$D$2005,Transactions!$C$6:$C$2005,$A72,Transactions!$A$6:$A$2005,"&gt;="&amp;DATE(Settings!$C$4,2,1),Transactions!$A$6:$A$2005,"&lt;"&amp;DATE(Settings!$C$4,3,1)))</f>
        <v/>
      </c>
      <c r="N72" s="32">
        <f>IF($A72="",0,SUMIFS(Transactions!$D$6:$D$2005,Transactions!$C$6:$C$2005,$A72,Transactions!$A$6:$A$2005,"&gt;="&amp;DATE(Settings!$C$4,3,1),Transactions!$A$6:$A$2005,"&lt;"&amp;DATE(Settings!$C$4,4,1)))</f>
        <v/>
      </c>
      <c r="O72" s="32">
        <f>IF($A72="",0,SUMIFS(Transactions!$D$6:$D$2005,Transactions!$C$6:$C$2005,$A72,Transactions!$A$6:$A$2005,"&gt;="&amp;DATE(Settings!$C$4,4,1),Transactions!$A$6:$A$2005,"&lt;"&amp;DATE(Settings!$C$4,5,1)))</f>
        <v/>
      </c>
      <c r="P72" s="32">
        <f>IF($A72="",0,SUMIFS(Transactions!$D$6:$D$2005,Transactions!$C$6:$C$2005,$A72,Transactions!$A$6:$A$2005,"&gt;="&amp;DATE(Settings!$C$4,5,1),Transactions!$A$6:$A$2005,"&lt;"&amp;DATE(Settings!$C$4,6,1)))</f>
        <v/>
      </c>
      <c r="Q72" s="32">
        <f>IF($A72="",0,SUMIFS(Transactions!$D$6:$D$2005,Transactions!$C$6:$C$2005,$A72,Transactions!$A$6:$A$2005,"&gt;="&amp;DATE(Settings!$C$4,6,1),Transactions!$A$6:$A$2005,"&lt;"&amp;DATE(Settings!$C$4,7,1)))</f>
        <v/>
      </c>
      <c r="R72" s="32">
        <f>IF($A72="",0,SUMIFS(Transactions!$D$6:$D$2005,Transactions!$C$6:$C$2005,$A72,Transactions!$A$6:$A$2005,"&gt;="&amp;DATE(Settings!$C$4,7,1),Transactions!$A$6:$A$2005,"&lt;"&amp;DATE(Settings!$C$4,8,1)))</f>
        <v/>
      </c>
      <c r="S72" s="32">
        <f>IF($A72="",0,SUMIFS(Transactions!$D$6:$D$2005,Transactions!$C$6:$C$2005,$A72,Transactions!$A$6:$A$2005,"&gt;="&amp;DATE(Settings!$C$4,8,1),Transactions!$A$6:$A$2005,"&lt;"&amp;DATE(Settings!$C$4,9,1)))</f>
        <v/>
      </c>
      <c r="T72" s="32">
        <f>IF($A72="",0,SUMIFS(Transactions!$D$6:$D$2005,Transactions!$C$6:$C$2005,$A72,Transactions!$A$6:$A$2005,"&gt;="&amp;DATE(Settings!$C$4,9,1),Transactions!$A$6:$A$2005,"&lt;"&amp;DATE(Settings!$C$4,10,1)))</f>
        <v/>
      </c>
      <c r="U72" s="32">
        <f>IF($A72="",0,SUMIFS(Transactions!$D$6:$D$2005,Transactions!$C$6:$C$2005,$A72,Transactions!$A$6:$A$2005,"&gt;="&amp;DATE(Settings!$C$4,10,1),Transactions!$A$6:$A$2005,"&lt;"&amp;DATE(Settings!$C$4,11,1)))</f>
        <v/>
      </c>
      <c r="V72" s="32">
        <f>IF($A72="",0,SUMIFS(Transactions!$D$6:$D$2005,Transactions!$C$6:$C$2005,$A72,Transactions!$A$6:$A$2005,"&gt;="&amp;DATE(Settings!$C$4,11,1),Transactions!$A$6:$A$2005,"&lt;"&amp;DATE(Settings!$C$4,12,1)))</f>
        <v/>
      </c>
      <c r="W72" s="32">
        <f>IF($A72="",0,SUMIFS(Transactions!$D$6:$D$2005,Transactions!$C$6:$C$2005,$A72,Transactions!$A$6:$A$2005,"&gt;="&amp;DATE(Settings!$C$4,12,1),Transactions!$A$6:$A$2005,"&lt;"&amp;DATE(Settings!$C$4,13,1)))</f>
        <v/>
      </c>
      <c r="X72" s="40">
        <f>SUM(L72:W72)</f>
        <v/>
      </c>
      <c r="Y72" s="32">
        <f>IF($A72="",0,'Monthly Budget'!$P72)</f>
        <v/>
      </c>
      <c r="Z72" s="32">
        <f>X72-Y72</f>
        <v/>
      </c>
      <c r="AA72" s="46">
        <f>IF(AND(X72&gt;0,OR(B72="Fixed bills",B72="Variable expenses")),X72+ROW()/10000000,0)</f>
        <v/>
      </c>
    </row>
    <row r="73">
      <c r="A73" s="38">
        <f>IF(Categories!$A65="","",Categories!$A65)</f>
        <v/>
      </c>
      <c r="B73" s="29">
        <f>IF(A73="","",Categories!$B65&amp;"")</f>
        <v/>
      </c>
      <c r="C73" s="32">
        <f>IF($A73="",0,INDEX('Monthly Budget'!$D73:$O73,1,Settings!$C$12))</f>
        <v/>
      </c>
      <c r="D73" s="40">
        <f>INDEX($L73:$W73,1,Settings!$C$12)</f>
        <v/>
      </c>
      <c r="E73" s="32">
        <f>D73-C73</f>
        <v/>
      </c>
      <c r="F73" s="44">
        <f>IF(C73=0,"",D73/C73)</f>
        <v/>
      </c>
      <c r="H73" s="32">
        <f>IF($A73="",0,SUMIFS('Monthly Budget'!$D73:$O73,Lists!$I$2:$T$2,"&lt;="&amp;Settings!$C$12))</f>
        <v/>
      </c>
      <c r="I73" s="32">
        <f>SUMIFS($L73:$W73,Lists!$I$2:$T$2,"&lt;="&amp;Settings!$C$12)</f>
        <v/>
      </c>
      <c r="J73" s="32">
        <f>I73-H73</f>
        <v/>
      </c>
      <c r="L73" s="32">
        <f>IF($A73="",0,SUMIFS(Transactions!$D$6:$D$2005,Transactions!$C$6:$C$2005,$A73,Transactions!$A$6:$A$2005,"&gt;="&amp;DATE(Settings!$C$4,1,1),Transactions!$A$6:$A$2005,"&lt;"&amp;DATE(Settings!$C$4,2,1)))</f>
        <v/>
      </c>
      <c r="M73" s="32">
        <f>IF($A73="",0,SUMIFS(Transactions!$D$6:$D$2005,Transactions!$C$6:$C$2005,$A73,Transactions!$A$6:$A$2005,"&gt;="&amp;DATE(Settings!$C$4,2,1),Transactions!$A$6:$A$2005,"&lt;"&amp;DATE(Settings!$C$4,3,1)))</f>
        <v/>
      </c>
      <c r="N73" s="32">
        <f>IF($A73="",0,SUMIFS(Transactions!$D$6:$D$2005,Transactions!$C$6:$C$2005,$A73,Transactions!$A$6:$A$2005,"&gt;="&amp;DATE(Settings!$C$4,3,1),Transactions!$A$6:$A$2005,"&lt;"&amp;DATE(Settings!$C$4,4,1)))</f>
        <v/>
      </c>
      <c r="O73" s="32">
        <f>IF($A73="",0,SUMIFS(Transactions!$D$6:$D$2005,Transactions!$C$6:$C$2005,$A73,Transactions!$A$6:$A$2005,"&gt;="&amp;DATE(Settings!$C$4,4,1),Transactions!$A$6:$A$2005,"&lt;"&amp;DATE(Settings!$C$4,5,1)))</f>
        <v/>
      </c>
      <c r="P73" s="32">
        <f>IF($A73="",0,SUMIFS(Transactions!$D$6:$D$2005,Transactions!$C$6:$C$2005,$A73,Transactions!$A$6:$A$2005,"&gt;="&amp;DATE(Settings!$C$4,5,1),Transactions!$A$6:$A$2005,"&lt;"&amp;DATE(Settings!$C$4,6,1)))</f>
        <v/>
      </c>
      <c r="Q73" s="32">
        <f>IF($A73="",0,SUMIFS(Transactions!$D$6:$D$2005,Transactions!$C$6:$C$2005,$A73,Transactions!$A$6:$A$2005,"&gt;="&amp;DATE(Settings!$C$4,6,1),Transactions!$A$6:$A$2005,"&lt;"&amp;DATE(Settings!$C$4,7,1)))</f>
        <v/>
      </c>
      <c r="R73" s="32">
        <f>IF($A73="",0,SUMIFS(Transactions!$D$6:$D$2005,Transactions!$C$6:$C$2005,$A73,Transactions!$A$6:$A$2005,"&gt;="&amp;DATE(Settings!$C$4,7,1),Transactions!$A$6:$A$2005,"&lt;"&amp;DATE(Settings!$C$4,8,1)))</f>
        <v/>
      </c>
      <c r="S73" s="32">
        <f>IF($A73="",0,SUMIFS(Transactions!$D$6:$D$2005,Transactions!$C$6:$C$2005,$A73,Transactions!$A$6:$A$2005,"&gt;="&amp;DATE(Settings!$C$4,8,1),Transactions!$A$6:$A$2005,"&lt;"&amp;DATE(Settings!$C$4,9,1)))</f>
        <v/>
      </c>
      <c r="T73" s="32">
        <f>IF($A73="",0,SUMIFS(Transactions!$D$6:$D$2005,Transactions!$C$6:$C$2005,$A73,Transactions!$A$6:$A$2005,"&gt;="&amp;DATE(Settings!$C$4,9,1),Transactions!$A$6:$A$2005,"&lt;"&amp;DATE(Settings!$C$4,10,1)))</f>
        <v/>
      </c>
      <c r="U73" s="32">
        <f>IF($A73="",0,SUMIFS(Transactions!$D$6:$D$2005,Transactions!$C$6:$C$2005,$A73,Transactions!$A$6:$A$2005,"&gt;="&amp;DATE(Settings!$C$4,10,1),Transactions!$A$6:$A$2005,"&lt;"&amp;DATE(Settings!$C$4,11,1)))</f>
        <v/>
      </c>
      <c r="V73" s="32">
        <f>IF($A73="",0,SUMIFS(Transactions!$D$6:$D$2005,Transactions!$C$6:$C$2005,$A73,Transactions!$A$6:$A$2005,"&gt;="&amp;DATE(Settings!$C$4,11,1),Transactions!$A$6:$A$2005,"&lt;"&amp;DATE(Settings!$C$4,12,1)))</f>
        <v/>
      </c>
      <c r="W73" s="32">
        <f>IF($A73="",0,SUMIFS(Transactions!$D$6:$D$2005,Transactions!$C$6:$C$2005,$A73,Transactions!$A$6:$A$2005,"&gt;="&amp;DATE(Settings!$C$4,12,1),Transactions!$A$6:$A$2005,"&lt;"&amp;DATE(Settings!$C$4,13,1)))</f>
        <v/>
      </c>
      <c r="X73" s="40">
        <f>SUM(L73:W73)</f>
        <v/>
      </c>
      <c r="Y73" s="32">
        <f>IF($A73="",0,'Monthly Budget'!$P73)</f>
        <v/>
      </c>
      <c r="Z73" s="32">
        <f>X73-Y73</f>
        <v/>
      </c>
      <c r="AA73" s="46">
        <f>IF(AND(X73&gt;0,OR(B73="Fixed bills",B73="Variable expenses")),X73+ROW()/10000000,0)</f>
        <v/>
      </c>
    </row>
  </sheetData>
  <sheetProtection selectLockedCells="0" selectUnlockedCells="0" sheet="1" objects="0" insertRows="1" insertHyperlinks="1" autoFilter="1" scenarios="0" formatColumns="0" deleteColumns="1" insertColumns="1" pivotTables="1" deleteRows="1" formatCells="0" formatRows="0" sort="1"/>
  <mergeCells count="5">
    <mergeCell ref="C3:J3"/>
    <mergeCell ref="C4:F4"/>
    <mergeCell ref="H4:J4"/>
    <mergeCell ref="X4:Z4"/>
    <mergeCell ref="L4:W4"/>
  </mergeCells>
  <conditionalFormatting sqref="E6:E73">
    <cfRule type="expression" priority="1" dxfId="1">
      <formula>AND(ISNUMBER(E6),OR(AND(OR($B6="Fixed bills",$B6="Variable expenses",$B6="All expenses"),E6&gt;0.004),AND(OR($B6="Income",$B6="Savings &amp; debt",$B6="Result"),E6&lt;-0.004)))</formula>
    </cfRule>
    <cfRule type="expression" priority="2" dxfId="2">
      <formula>AND(ISNUMBER(E6),OR(AND(OR($B6="Fixed bills",$B6="Variable expenses",$B6="All expenses"),E6&lt;-0.004),AND(OR($B6="Income",$B6="Savings &amp; debt",$B6="Result"),E6&gt;0.004)))</formula>
    </cfRule>
  </conditionalFormatting>
  <conditionalFormatting sqref="J6:J73">
    <cfRule type="expression" priority="3" dxfId="1">
      <formula>AND(ISNUMBER(J6),OR(AND(OR($B6="Fixed bills",$B6="Variable expenses",$B6="All expenses"),J6&gt;0.004),AND(OR($B6="Income",$B6="Savings &amp; debt",$B6="Result"),J6&lt;-0.004)))</formula>
    </cfRule>
    <cfRule type="expression" priority="4" dxfId="2">
      <formula>AND(ISNUMBER(J6),OR(AND(OR($B6="Fixed bills",$B6="Variable expenses",$B6="All expenses"),J6&lt;-0.004),AND(OR($B6="Income",$B6="Savings &amp; debt",$B6="Result"),J6&gt;0.004)))</formula>
    </cfRule>
  </conditionalFormatting>
  <conditionalFormatting sqref="Z6:Z73">
    <cfRule type="expression" priority="5" dxfId="1">
      <formula>AND(ISNUMBER(Z6),OR(AND(OR($B6="Fixed bills",$B6="Variable expenses",$B6="All expenses"),Z6&gt;0.004),AND(OR($B6="Income",$B6="Savings &amp; debt",$B6="Result"),Z6&lt;-0.004)))</formula>
    </cfRule>
    <cfRule type="expression" priority="6" dxfId="2">
      <formula>AND(ISNUMBER(Z6),OR(AND(OR($B6="Fixed bills",$B6="Variable expenses",$B6="All expenses"),Z6&lt;-0.004),AND(OR($B6="Income",$B6="Savings &amp; debt",$B6="Result"),Z6&gt;0.004)))</formula>
    </cfRule>
  </conditionalFormatting>
  <conditionalFormatting sqref="F6:F73">
    <cfRule type="expression" priority="7" dxfId="3">
      <formula>AND(OR($B6="Fixed bills",$B6="Variable expenses",$B6="All expenses"),ISNUMBER(F6),F6&gt;1.00001)</formula>
    </cfRule>
  </conditionalFormatting>
  <dataValidations count="1">
    <dataValidation sqref="B3" showDropDown="0" showInputMessage="0" showErrorMessage="1" allowBlank="1" errorTitle="Month" error="Choose Auto or a month." type="list">
      <formula1>Lists!$C$2:$C$14</formula1>
    </dataValidation>
  </dataValidations>
  <printOptions horizontalCentered="1"/>
  <pageMargins left="0.4" right="0.4" top="0.5" bottom="0.5" header="0.5" footer="0.5"/>
  <pageSetup orientation="landscape" paperSize="1" fitToHeight="0" fitToWidth="1"/>
</worksheet>
</file>

<file path=xl/worksheets/sheet7.xml><?xml version="1.0" encoding="utf-8"?>
<worksheet xmlns="http://schemas.openxmlformats.org/spreadsheetml/2006/main">
  <sheetPr>
    <tabColor rgb="000F766E"/>
    <outlinePr summaryBelow="1" summaryRight="1"/>
    <pageSetUpPr fitToPage="1"/>
  </sheetPr>
  <dimension ref="B1:N50"/>
  <sheetViews>
    <sheetView showGridLines="0" tabSelected="1" workbookViewId="0">
      <selection activeCell="A1" sqref="A1"/>
    </sheetView>
  </sheetViews>
  <sheetFormatPr baseColWidth="8" defaultRowHeight="15"/>
  <cols>
    <col width="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 customWidth="1" min="14" max="14"/>
  </cols>
  <sheetData>
    <row r="1" ht="34" customHeight="1">
      <c r="B1" s="47">
        <f>"Budget Planner "&amp;Settings!$C$4&amp;IF(Settings!$C$6="",""," · "&amp;Settings!$C$6)</f>
        <v/>
      </c>
    </row>
    <row r="2">
      <c r="B2" s="13">
        <f>"Actual totals for "&amp;Settings!$C$4&amp;" from Transactions. Year-to-date comparisons through "&amp;Settings!$C$13&amp;"."&amp;IF(Settings!$C$14="",""," Amounts in "&amp;TRIM(Settings!$C$5)&amp;".")</f>
        <v/>
      </c>
    </row>
    <row r="4" ht="22" customHeight="1">
      <c r="B4" s="48" t="inlineStr">
        <is>
          <t>Income</t>
        </is>
      </c>
      <c r="C4" s="49" t="n"/>
      <c r="D4" s="48" t="inlineStr">
        <is>
          <t>Expenses</t>
        </is>
      </c>
      <c r="E4" s="49" t="n"/>
      <c r="F4" s="48" t="inlineStr">
        <is>
          <t>Savings &amp; debt</t>
        </is>
      </c>
      <c r="G4" s="49" t="n"/>
      <c r="H4" s="48" t="inlineStr">
        <is>
          <t>Savings rate</t>
        </is>
      </c>
      <c r="I4" s="49" t="n"/>
      <c r="J4" s="48" t="inlineStr">
        <is>
          <t>Left over</t>
        </is>
      </c>
      <c r="K4" s="49" t="n"/>
      <c r="L4" s="48" t="inlineStr">
        <is>
          <t>Total debt</t>
        </is>
      </c>
      <c r="M4" s="49" t="n"/>
    </row>
    <row r="5" ht="32" customHeight="1">
      <c r="B5" s="50">
        <f>'Monthly Summary'!$X$6</f>
        <v/>
      </c>
      <c r="C5" s="4" t="n"/>
      <c r="D5" s="50">
        <f>'Monthly Summary'!$X$9</f>
        <v/>
      </c>
      <c r="E5" s="4" t="n"/>
      <c r="F5" s="50">
        <f>'Monthly Summary'!$X$10</f>
        <v/>
      </c>
      <c r="G5" s="4" t="n"/>
      <c r="H5" s="51">
        <f>IF('Monthly Summary'!$X$6=0,0,('Monthly Summary'!$X$6-'Monthly Summary'!$X$9)/'Monthly Summary'!$X$6)</f>
        <v/>
      </c>
      <c r="I5" s="4" t="n"/>
      <c r="J5" s="50">
        <f>'Monthly Summary'!$X$12</f>
        <v/>
      </c>
      <c r="K5" s="4" t="n"/>
      <c r="L5" s="50">
        <f>'Debt Payoff'!$C$18</f>
        <v/>
      </c>
      <c r="M5" s="4" t="n"/>
    </row>
    <row r="6" ht="18" customHeight="1">
      <c r="B6" s="52">
        <f>IF('Monthly Summary'!$Y$6=0,"No plan yet",ROUND('Monthly Summary'!$X$6/'Monthly Summary'!$Y$6*100,0)&amp;"% of the yearly plan")</f>
        <v/>
      </c>
      <c r="C6" s="4" t="n"/>
      <c r="D6" s="52">
        <f>IF('Monthly Summary'!$Y$9=0,"No plan yet",ROUND('Monthly Summary'!$X$9/'Monthly Summary'!$Y$9*100,0)&amp;"% of the yearly plan")</f>
        <v/>
      </c>
      <c r="E6" s="4" t="n"/>
      <c r="F6" s="52">
        <f>IF('Monthly Summary'!$Y$10=0,"No plan yet",ROUND('Monthly Summary'!$X$10/'Monthly Summary'!$Y$10*100,0)&amp;"% of the yearly plan")</f>
        <v/>
      </c>
      <c r="G6" s="4" t="n"/>
      <c r="H6" s="52">
        <f>"Planned: "&amp;IF('Monthly Summary'!$Y$6=0,"–",ROUND(('Monthly Summary'!$Y$6-'Monthly Summary'!$Y$9)/'Monthly Summary'!$Y$6*100,1)&amp;"%")</f>
        <v/>
      </c>
      <c r="I6" s="4" t="n"/>
      <c r="J6" s="52">
        <f>"Planned: "&amp;FIXED('Monthly Summary'!$Y$12,2)</f>
        <v/>
      </c>
      <c r="K6" s="4" t="n"/>
      <c r="L6" s="52">
        <f>"Minimums: "&amp;FIXED('Debt Payoff'!$E$18,2)&amp;" a month"</f>
        <v/>
      </c>
      <c r="M6" s="4" t="n"/>
    </row>
    <row r="8" ht="22" customHeight="1">
      <c r="B8" s="48" t="inlineStr">
        <is>
          <t>Savings goals: saved so far</t>
        </is>
      </c>
      <c r="C8" s="49" t="n"/>
      <c r="D8" s="49" t="n"/>
      <c r="E8" s="49" t="n"/>
      <c r="F8" s="48" t="inlineStr">
        <is>
          <t>Sinking funds: balance</t>
        </is>
      </c>
      <c r="G8" s="49" t="n"/>
      <c r="H8" s="49" t="n"/>
      <c r="I8" s="49" t="n"/>
      <c r="J8" s="48" t="inlineStr">
        <is>
          <t>Debt-free (your plan)</t>
        </is>
      </c>
      <c r="K8" s="49" t="n"/>
      <c r="L8" s="49" t="n"/>
      <c r="M8" s="49" t="n"/>
    </row>
    <row r="9" ht="28" customHeight="1">
      <c r="B9" s="53">
        <f>'Savings Goals'!$G$18</f>
        <v/>
      </c>
      <c r="C9" s="4" t="n"/>
      <c r="D9" s="4" t="n"/>
      <c r="E9" s="4" t="n"/>
      <c r="F9" s="53">
        <f>'Sinking Funds'!$H$18</f>
        <v/>
      </c>
      <c r="G9" s="4" t="n"/>
      <c r="H9" s="4" t="n"/>
      <c r="I9" s="4" t="n"/>
      <c r="J9" s="54">
        <f>'Debt Payoff'!$K$18</f>
        <v/>
      </c>
      <c r="K9" s="4" t="n"/>
      <c r="L9" s="4" t="n"/>
      <c r="M9" s="4" t="n"/>
    </row>
    <row r="10" ht="18" customHeight="1">
      <c r="B10" s="52">
        <f>IF('Savings Goals'!$C$18=0,"No goals yet","of "&amp;FIXED('Savings Goals'!$C$18,2)&amp;" in targets ("&amp;ROUND('Savings Goals'!$I$18*100,0)&amp;"%)")</f>
        <v/>
      </c>
      <c r="C10" s="4" t="n"/>
      <c r="D10" s="4" t="n"/>
      <c r="E10" s="4" t="n"/>
      <c r="F10" s="52">
        <f>IF('Sinking Funds'!$C$18=0,"No funds yet","Set aside "&amp;FIXED('Sinking Funds'!$M$18,2)&amp;" a month to be ready on time")</f>
        <v/>
      </c>
      <c r="G10" s="4" t="n"/>
      <c r="H10" s="4" t="n"/>
      <c r="I10" s="4" t="n"/>
      <c r="J10" s="52">
        <f>IF('Debt Payoff'!$C$18=0,"No debts entered",'Debt Payoff'!$C$4&amp;" · interest saved: "&amp;IF(ISNUMBER('Debt Payoff'!$M$28),FIXED('Debt Payoff'!$M$28,2),"–"))</f>
        <v/>
      </c>
      <c r="K10" s="4" t="n"/>
      <c r="L10" s="4" t="n"/>
      <c r="M10" s="4" t="n"/>
    </row>
    <row r="12" ht="20" customHeight="1">
      <c r="B12" s="3" t="inlineStr">
        <is>
          <t>Month by month</t>
        </is>
      </c>
      <c r="C12" s="4" t="n"/>
      <c r="D12" s="4" t="n"/>
      <c r="E12" s="4" t="n"/>
      <c r="F12" s="4" t="n"/>
      <c r="G12" s="4" t="n"/>
    </row>
    <row r="13" ht="30" customHeight="1">
      <c r="B13" s="14" t="inlineStr">
        <is>
          <t>Month</t>
        </is>
      </c>
      <c r="C13" s="14">
        <f>"Income"&amp;Settings!$C$14</f>
        <v/>
      </c>
      <c r="D13" s="14">
        <f>"Expenses"&amp;Settings!$C$14</f>
        <v/>
      </c>
      <c r="E13" s="14">
        <f>"Savings &amp; debt"&amp;Settings!$C$14</f>
        <v/>
      </c>
      <c r="F13" s="14">
        <f>"Left over"&amp;Settings!$C$14</f>
        <v/>
      </c>
      <c r="G13" s="14" t="inlineStr">
        <is>
          <t>Savings rate</t>
        </is>
      </c>
    </row>
    <row r="14">
      <c r="B14" s="38" t="inlineStr">
        <is>
          <t>Jan</t>
        </is>
      </c>
      <c r="C14" s="32">
        <f>'Monthly Summary'!L$6</f>
        <v/>
      </c>
      <c r="D14" s="32">
        <f>'Monthly Summary'!L$9</f>
        <v/>
      </c>
      <c r="E14" s="32">
        <f>'Monthly Summary'!L$10</f>
        <v/>
      </c>
      <c r="F14" s="32">
        <f>'Monthly Summary'!L$12</f>
        <v/>
      </c>
      <c r="G14" s="55">
        <f>IF(C14=0,"",(C14-D14)/C14)</f>
        <v/>
      </c>
    </row>
    <row r="15">
      <c r="B15" s="38" t="inlineStr">
        <is>
          <t>Feb</t>
        </is>
      </c>
      <c r="C15" s="32">
        <f>'Monthly Summary'!M$6</f>
        <v/>
      </c>
      <c r="D15" s="32">
        <f>'Monthly Summary'!M$9</f>
        <v/>
      </c>
      <c r="E15" s="32">
        <f>'Monthly Summary'!M$10</f>
        <v/>
      </c>
      <c r="F15" s="32">
        <f>'Monthly Summary'!M$12</f>
        <v/>
      </c>
      <c r="G15" s="55">
        <f>IF(C15=0,"",(C15-D15)/C15)</f>
        <v/>
      </c>
    </row>
    <row r="16">
      <c r="B16" s="38" t="inlineStr">
        <is>
          <t>Mar</t>
        </is>
      </c>
      <c r="C16" s="32">
        <f>'Monthly Summary'!N$6</f>
        <v/>
      </c>
      <c r="D16" s="32">
        <f>'Monthly Summary'!N$9</f>
        <v/>
      </c>
      <c r="E16" s="32">
        <f>'Monthly Summary'!N$10</f>
        <v/>
      </c>
      <c r="F16" s="32">
        <f>'Monthly Summary'!N$12</f>
        <v/>
      </c>
      <c r="G16" s="55">
        <f>IF(C16=0,"",(C16-D16)/C16)</f>
        <v/>
      </c>
    </row>
    <row r="17">
      <c r="B17" s="38" t="inlineStr">
        <is>
          <t>Apr</t>
        </is>
      </c>
      <c r="C17" s="32">
        <f>'Monthly Summary'!O$6</f>
        <v/>
      </c>
      <c r="D17" s="32">
        <f>'Monthly Summary'!O$9</f>
        <v/>
      </c>
      <c r="E17" s="32">
        <f>'Monthly Summary'!O$10</f>
        <v/>
      </c>
      <c r="F17" s="32">
        <f>'Monthly Summary'!O$12</f>
        <v/>
      </c>
      <c r="G17" s="55">
        <f>IF(C17=0,"",(C17-D17)/C17)</f>
        <v/>
      </c>
    </row>
    <row r="18">
      <c r="B18" s="38" t="inlineStr">
        <is>
          <t>May</t>
        </is>
      </c>
      <c r="C18" s="32">
        <f>'Monthly Summary'!P$6</f>
        <v/>
      </c>
      <c r="D18" s="32">
        <f>'Monthly Summary'!P$9</f>
        <v/>
      </c>
      <c r="E18" s="32">
        <f>'Monthly Summary'!P$10</f>
        <v/>
      </c>
      <c r="F18" s="32">
        <f>'Monthly Summary'!P$12</f>
        <v/>
      </c>
      <c r="G18" s="55">
        <f>IF(C18=0,"",(C18-D18)/C18)</f>
        <v/>
      </c>
    </row>
    <row r="19">
      <c r="B19" s="38" t="inlineStr">
        <is>
          <t>Jun</t>
        </is>
      </c>
      <c r="C19" s="32">
        <f>'Monthly Summary'!Q$6</f>
        <v/>
      </c>
      <c r="D19" s="32">
        <f>'Monthly Summary'!Q$9</f>
        <v/>
      </c>
      <c r="E19" s="32">
        <f>'Monthly Summary'!Q$10</f>
        <v/>
      </c>
      <c r="F19" s="32">
        <f>'Monthly Summary'!Q$12</f>
        <v/>
      </c>
      <c r="G19" s="55">
        <f>IF(C19=0,"",(C19-D19)/C19)</f>
        <v/>
      </c>
    </row>
    <row r="20">
      <c r="B20" s="38" t="inlineStr">
        <is>
          <t>Jul</t>
        </is>
      </c>
      <c r="C20" s="32">
        <f>'Monthly Summary'!R$6</f>
        <v/>
      </c>
      <c r="D20" s="32">
        <f>'Monthly Summary'!R$9</f>
        <v/>
      </c>
      <c r="E20" s="32">
        <f>'Monthly Summary'!R$10</f>
        <v/>
      </c>
      <c r="F20" s="32">
        <f>'Monthly Summary'!R$12</f>
        <v/>
      </c>
      <c r="G20" s="55">
        <f>IF(C20=0,"",(C20-D20)/C20)</f>
        <v/>
      </c>
    </row>
    <row r="21">
      <c r="B21" s="38" t="inlineStr">
        <is>
          <t>Aug</t>
        </is>
      </c>
      <c r="C21" s="32">
        <f>'Monthly Summary'!S$6</f>
        <v/>
      </c>
      <c r="D21" s="32">
        <f>'Monthly Summary'!S$9</f>
        <v/>
      </c>
      <c r="E21" s="32">
        <f>'Monthly Summary'!S$10</f>
        <v/>
      </c>
      <c r="F21" s="32">
        <f>'Monthly Summary'!S$12</f>
        <v/>
      </c>
      <c r="G21" s="55">
        <f>IF(C21=0,"",(C21-D21)/C21)</f>
        <v/>
      </c>
    </row>
    <row r="22">
      <c r="B22" s="38" t="inlineStr">
        <is>
          <t>Sep</t>
        </is>
      </c>
      <c r="C22" s="32">
        <f>'Monthly Summary'!T$6</f>
        <v/>
      </c>
      <c r="D22" s="32">
        <f>'Monthly Summary'!T$9</f>
        <v/>
      </c>
      <c r="E22" s="32">
        <f>'Monthly Summary'!T$10</f>
        <v/>
      </c>
      <c r="F22" s="32">
        <f>'Monthly Summary'!T$12</f>
        <v/>
      </c>
      <c r="G22" s="55">
        <f>IF(C22=0,"",(C22-D22)/C22)</f>
        <v/>
      </c>
    </row>
    <row r="23">
      <c r="B23" s="38" t="inlineStr">
        <is>
          <t>Oct</t>
        </is>
      </c>
      <c r="C23" s="32">
        <f>'Monthly Summary'!U$6</f>
        <v/>
      </c>
      <c r="D23" s="32">
        <f>'Monthly Summary'!U$9</f>
        <v/>
      </c>
      <c r="E23" s="32">
        <f>'Monthly Summary'!U$10</f>
        <v/>
      </c>
      <c r="F23" s="32">
        <f>'Monthly Summary'!U$12</f>
        <v/>
      </c>
      <c r="G23" s="55">
        <f>IF(C23=0,"",(C23-D23)/C23)</f>
        <v/>
      </c>
    </row>
    <row r="24">
      <c r="B24" s="38" t="inlineStr">
        <is>
          <t>Nov</t>
        </is>
      </c>
      <c r="C24" s="32">
        <f>'Monthly Summary'!V$6</f>
        <v/>
      </c>
      <c r="D24" s="32">
        <f>'Monthly Summary'!V$9</f>
        <v/>
      </c>
      <c r="E24" s="32">
        <f>'Monthly Summary'!V$10</f>
        <v/>
      </c>
      <c r="F24" s="32">
        <f>'Monthly Summary'!V$12</f>
        <v/>
      </c>
      <c r="G24" s="55">
        <f>IF(C24=0,"",(C24-D24)/C24)</f>
        <v/>
      </c>
    </row>
    <row r="25">
      <c r="B25" s="38" t="inlineStr">
        <is>
          <t>Dec</t>
        </is>
      </c>
      <c r="C25" s="32">
        <f>'Monthly Summary'!W$6</f>
        <v/>
      </c>
      <c r="D25" s="32">
        <f>'Monthly Summary'!W$9</f>
        <v/>
      </c>
      <c r="E25" s="32">
        <f>'Monthly Summary'!W$10</f>
        <v/>
      </c>
      <c r="F25" s="32">
        <f>'Monthly Summary'!W$12</f>
        <v/>
      </c>
      <c r="G25" s="55">
        <f>IF(C25=0,"",(C25-D25)/C25)</f>
        <v/>
      </c>
    </row>
    <row r="26">
      <c r="B26" s="33" t="inlineStr">
        <is>
          <t>Year</t>
        </is>
      </c>
      <c r="C26" s="35">
        <f>SUM(C14:C25)</f>
        <v/>
      </c>
      <c r="D26" s="35">
        <f>SUM(D14:D25)</f>
        <v/>
      </c>
      <c r="E26" s="35">
        <f>SUM(E14:E25)</f>
        <v/>
      </c>
      <c r="F26" s="35">
        <f>SUM(F14:F25)</f>
        <v/>
      </c>
      <c r="G26" s="56">
        <f>IF(C26=0,"",(C26-D26)/C26)</f>
        <v/>
      </c>
    </row>
    <row r="28" ht="20" customHeight="1">
      <c r="B28" s="3">
        <f>"Year to date: planned vs actual ("&amp;IF(Settings!$C$12=1,"Jan","Jan–"&amp;Settings!$C$15)&amp;")"</f>
        <v/>
      </c>
      <c r="C28" s="4" t="n"/>
      <c r="D28" s="4" t="n"/>
      <c r="E28" s="4" t="n"/>
      <c r="F28" s="4" t="n"/>
      <c r="G28" s="4" t="n"/>
      <c r="I28" s="3" t="inlineStr">
        <is>
          <t>Checks</t>
        </is>
      </c>
      <c r="J28" s="4" t="n"/>
      <c r="K28" s="4" t="n"/>
      <c r="L28" s="4" t="n"/>
      <c r="M28" s="4" t="n"/>
    </row>
    <row r="29" ht="22" customHeight="1">
      <c r="B29" s="14" t="inlineStr">
        <is>
          <t>Line</t>
        </is>
      </c>
      <c r="D29" s="14" t="inlineStr">
        <is>
          <t>Planned</t>
        </is>
      </c>
      <c r="E29" s="14" t="inlineStr">
        <is>
          <t>Actual</t>
        </is>
      </c>
      <c r="F29" s="14" t="inlineStr">
        <is>
          <t>Difference</t>
        </is>
      </c>
      <c r="G29" s="14" t="inlineStr">
        <is>
          <t>% of plan</t>
        </is>
      </c>
      <c r="I29" s="38" t="inlineStr">
        <is>
          <t>Transactions logged</t>
        </is>
      </c>
      <c r="J29" s="57" t="n"/>
      <c r="K29" s="57" t="n"/>
      <c r="L29" s="57" t="n"/>
      <c r="M29" s="58">
        <f>COUNT(Transactions!$D$6:$D$2005)</f>
        <v/>
      </c>
    </row>
    <row r="30">
      <c r="B30" s="38" t="inlineStr">
        <is>
          <t>Income</t>
        </is>
      </c>
      <c r="C30" s="57" t="n"/>
      <c r="D30" s="32">
        <f>'Monthly Summary'!$H$6</f>
        <v/>
      </c>
      <c r="E30" s="32">
        <f>'Monthly Summary'!$I$6</f>
        <v/>
      </c>
      <c r="F30" s="32">
        <f>E30-D30</f>
        <v/>
      </c>
      <c r="G30" s="44">
        <f>IF(OR(D30=0,6&gt;10),"",E30/D30)</f>
        <v/>
      </c>
      <c r="I30" s="38" t="inlineStr">
        <is>
          <t>Transaction rows to check</t>
        </is>
      </c>
      <c r="J30" s="57" t="n"/>
      <c r="K30" s="57" t="n"/>
      <c r="L30" s="57" t="n"/>
      <c r="M30" s="58">
        <f>COUNTIF(Transactions!$I$6:$I$2005,"?*")</f>
        <v/>
      </c>
      <c r="N30" s="59" t="inlineStr">
        <is>
          <t>Income</t>
        </is>
      </c>
    </row>
    <row r="31">
      <c r="B31" s="38" t="inlineStr">
        <is>
          <t>Fixed bills</t>
        </is>
      </c>
      <c r="C31" s="57" t="n"/>
      <c r="D31" s="32">
        <f>'Monthly Summary'!$H$7</f>
        <v/>
      </c>
      <c r="E31" s="32">
        <f>'Monthly Summary'!$I$7</f>
        <v/>
      </c>
      <c r="F31" s="32">
        <f>E31-D31</f>
        <v/>
      </c>
      <c r="G31" s="44">
        <f>IF(OR(D31=0,7&gt;10),"",E31/D31)</f>
        <v/>
      </c>
      <c r="I31" s="38" t="inlineStr">
        <is>
          <t>Categories to check</t>
        </is>
      </c>
      <c r="J31" s="57" t="n"/>
      <c r="K31" s="57" t="n"/>
      <c r="L31" s="57" t="n"/>
      <c r="M31" s="58">
        <f>COUNTIF(Categories!$D$6:$D$65,"?*")</f>
        <v/>
      </c>
      <c r="N31" s="59" t="inlineStr">
        <is>
          <t>Fixed bills</t>
        </is>
      </c>
    </row>
    <row r="32">
      <c r="B32" s="38" t="inlineStr">
        <is>
          <t>Variable expenses</t>
        </is>
      </c>
      <c r="C32" s="57" t="n"/>
      <c r="D32" s="32">
        <f>'Monthly Summary'!$H$8</f>
        <v/>
      </c>
      <c r="E32" s="32">
        <f>'Monthly Summary'!$I$8</f>
        <v/>
      </c>
      <c r="F32" s="32">
        <f>E32-D32</f>
        <v/>
      </c>
      <c r="G32" s="44">
        <f>IF(OR(D32=0,8&gt;10),"",E32/D32)</f>
        <v/>
      </c>
      <c r="I32" s="38" t="inlineStr">
        <is>
          <t>Goals and funds to check</t>
        </is>
      </c>
      <c r="J32" s="57" t="n"/>
      <c r="K32" s="57" t="n"/>
      <c r="L32" s="57" t="n"/>
      <c r="M32" s="58">
        <f>COUNTIF('Savings Goals'!$O$6:$O$17,"Name*")+COUNTIF('Sinking Funds'!$N$6:$N$17,"Name*")</f>
        <v/>
      </c>
      <c r="N32" s="59" t="inlineStr">
        <is>
          <t>Variable expenses</t>
        </is>
      </c>
    </row>
    <row r="33">
      <c r="B33" s="60" t="inlineStr">
        <is>
          <t>Total expenses</t>
        </is>
      </c>
      <c r="C33" s="57" t="n"/>
      <c r="D33" s="61">
        <f>'Monthly Summary'!$H$9</f>
        <v/>
      </c>
      <c r="E33" s="61">
        <f>'Monthly Summary'!$I$9</f>
        <v/>
      </c>
      <c r="F33" s="61">
        <f>E33-D33</f>
        <v/>
      </c>
      <c r="G33" s="62">
        <f>IF(OR(D33=0,9&gt;10),"",E33/D33)</f>
        <v/>
      </c>
      <c r="I33" s="38" t="inlineStr">
        <is>
          <t>Debts to check</t>
        </is>
      </c>
      <c r="J33" s="57" t="n"/>
      <c r="K33" s="57" t="n"/>
      <c r="L33" s="57" t="n"/>
      <c r="M33" s="58">
        <f>COUNTIF('Debt Payoff'!$L$8:$L$17,"?*")</f>
        <v/>
      </c>
      <c r="N33" s="59" t="inlineStr">
        <is>
          <t>All expenses</t>
        </is>
      </c>
    </row>
    <row r="34">
      <c r="B34" s="38" t="inlineStr">
        <is>
          <t>Savings &amp; debt</t>
        </is>
      </c>
      <c r="C34" s="57" t="n"/>
      <c r="D34" s="32">
        <f>'Monthly Summary'!$H$10</f>
        <v/>
      </c>
      <c r="E34" s="32">
        <f>'Monthly Summary'!$I$10</f>
        <v/>
      </c>
      <c r="F34" s="32">
        <f>E34-D34</f>
        <v/>
      </c>
      <c r="G34" s="44">
        <f>IF(OR(D34=0,10&gt;10),"",E34/D34)</f>
        <v/>
      </c>
      <c r="I34" s="11">
        <f>IF(SUM(M30:M33)=0,"No problems found.","Some rows need a look: see the Check column in Transactions, Categories, Savings Goals, Sinking Funds or Debt Payoff.")</f>
        <v/>
      </c>
      <c r="N34" s="59" t="inlineStr">
        <is>
          <t>Savings &amp; debt</t>
        </is>
      </c>
    </row>
    <row r="35">
      <c r="B35" s="38" t="inlineStr">
        <is>
          <t>Paid from funds</t>
        </is>
      </c>
      <c r="C35" s="57" t="n"/>
      <c r="D35" s="32">
        <f>'Monthly Summary'!$H$11</f>
        <v/>
      </c>
      <c r="E35" s="32">
        <f>'Monthly Summary'!$I$11</f>
        <v/>
      </c>
      <c r="F35" s="32">
        <f>E35-D35</f>
        <v/>
      </c>
      <c r="G35" s="44">
        <f>IF(OR(D35=0,11&gt;10),"",E35/D35)</f>
        <v/>
      </c>
      <c r="N35" s="59" t="inlineStr">
        <is>
          <t>Funds</t>
        </is>
      </c>
    </row>
    <row r="36">
      <c r="B36" s="60" t="inlineStr">
        <is>
          <t>Left over</t>
        </is>
      </c>
      <c r="C36" s="57" t="n"/>
      <c r="D36" s="61">
        <f>'Monthly Summary'!$H$12</f>
        <v/>
      </c>
      <c r="E36" s="61">
        <f>'Monthly Summary'!$I$12</f>
        <v/>
      </c>
      <c r="F36" s="61">
        <f>E36-D36</f>
        <v/>
      </c>
      <c r="G36" s="62">
        <f>IF(OR(D36=0,12&gt;10),"",E36/D36)</f>
        <v/>
      </c>
      <c r="N36" s="59" t="inlineStr">
        <is>
          <t>Result</t>
        </is>
      </c>
    </row>
    <row r="37">
      <c r="B37" s="24" t="inlineStr">
        <is>
          <t>Difference = actual − planned. Green is better than planned, red is worse.</t>
        </is>
      </c>
    </row>
    <row r="39" ht="20" customHeight="1">
      <c r="B39" s="3" t="inlineStr">
        <is>
          <t>Top 10 spending categories (year)</t>
        </is>
      </c>
      <c r="C39" s="4" t="n"/>
      <c r="D39" s="4" t="n"/>
      <c r="E39" s="4" t="n"/>
      <c r="F39" s="4" t="n"/>
      <c r="G39" s="4" t="n"/>
    </row>
    <row r="40" ht="30" customHeight="1">
      <c r="B40" s="14" t="inlineStr">
        <is>
          <t>#</t>
        </is>
      </c>
      <c r="C40" s="14" t="inlineStr">
        <is>
          <t>Category</t>
        </is>
      </c>
      <c r="F40" s="14">
        <f>"Actual"&amp;Settings!$C$14</f>
        <v/>
      </c>
      <c r="G40" s="14" t="inlineStr">
        <is>
          <t>% of expenses</t>
        </is>
      </c>
    </row>
    <row r="41">
      <c r="B41" s="63" t="n">
        <v>1</v>
      </c>
      <c r="C41" s="38">
        <f>IF(LARGE('Monthly Summary'!$AA$14:$AA$73,B41)&lt;=0,"",INDEX('Monthly Summary'!$A$14:$A$73,MATCH(LARGE('Monthly Summary'!$AA$14:$AA$73,B41),'Monthly Summary'!$AA$14:$AA$73,0)))</f>
        <v/>
      </c>
      <c r="D41" s="57" t="n"/>
      <c r="E41" s="57" t="n"/>
      <c r="F41" s="32">
        <f>IF(C41="",0,INDEX('Monthly Summary'!$X$14:$X$73,MATCH(LARGE('Monthly Summary'!$AA$14:$AA$73,B41),'Monthly Summary'!$AA$14:$AA$73,0)))</f>
        <v/>
      </c>
      <c r="G41" s="55">
        <f>IF(OR(F41=0,'Monthly Summary'!$X$9=0),"",F41/'Monthly Summary'!$X$9)</f>
        <v/>
      </c>
    </row>
    <row r="42">
      <c r="B42" s="63" t="n">
        <v>2</v>
      </c>
      <c r="C42" s="38">
        <f>IF(LARGE('Monthly Summary'!$AA$14:$AA$73,B42)&lt;=0,"",INDEX('Monthly Summary'!$A$14:$A$73,MATCH(LARGE('Monthly Summary'!$AA$14:$AA$73,B42),'Monthly Summary'!$AA$14:$AA$73,0)))</f>
        <v/>
      </c>
      <c r="D42" s="57" t="n"/>
      <c r="E42" s="57" t="n"/>
      <c r="F42" s="32">
        <f>IF(C42="",0,INDEX('Monthly Summary'!$X$14:$X$73,MATCH(LARGE('Monthly Summary'!$AA$14:$AA$73,B42),'Monthly Summary'!$AA$14:$AA$73,0)))</f>
        <v/>
      </c>
      <c r="G42" s="55">
        <f>IF(OR(F42=0,'Monthly Summary'!$X$9=0),"",F42/'Monthly Summary'!$X$9)</f>
        <v/>
      </c>
    </row>
    <row r="43">
      <c r="B43" s="63" t="n">
        <v>3</v>
      </c>
      <c r="C43" s="38">
        <f>IF(LARGE('Monthly Summary'!$AA$14:$AA$73,B43)&lt;=0,"",INDEX('Monthly Summary'!$A$14:$A$73,MATCH(LARGE('Monthly Summary'!$AA$14:$AA$73,B43),'Monthly Summary'!$AA$14:$AA$73,0)))</f>
        <v/>
      </c>
      <c r="D43" s="57" t="n"/>
      <c r="E43" s="57" t="n"/>
      <c r="F43" s="32">
        <f>IF(C43="",0,INDEX('Monthly Summary'!$X$14:$X$73,MATCH(LARGE('Monthly Summary'!$AA$14:$AA$73,B43),'Monthly Summary'!$AA$14:$AA$73,0)))</f>
        <v/>
      </c>
      <c r="G43" s="55">
        <f>IF(OR(F43=0,'Monthly Summary'!$X$9=0),"",F43/'Monthly Summary'!$X$9)</f>
        <v/>
      </c>
    </row>
    <row r="44">
      <c r="B44" s="63" t="n">
        <v>4</v>
      </c>
      <c r="C44" s="38">
        <f>IF(LARGE('Monthly Summary'!$AA$14:$AA$73,B44)&lt;=0,"",INDEX('Monthly Summary'!$A$14:$A$73,MATCH(LARGE('Monthly Summary'!$AA$14:$AA$73,B44),'Monthly Summary'!$AA$14:$AA$73,0)))</f>
        <v/>
      </c>
      <c r="D44" s="57" t="n"/>
      <c r="E44" s="57" t="n"/>
      <c r="F44" s="32">
        <f>IF(C44="",0,INDEX('Monthly Summary'!$X$14:$X$73,MATCH(LARGE('Monthly Summary'!$AA$14:$AA$73,B44),'Monthly Summary'!$AA$14:$AA$73,0)))</f>
        <v/>
      </c>
      <c r="G44" s="55">
        <f>IF(OR(F44=0,'Monthly Summary'!$X$9=0),"",F44/'Monthly Summary'!$X$9)</f>
        <v/>
      </c>
    </row>
    <row r="45">
      <c r="B45" s="63" t="n">
        <v>5</v>
      </c>
      <c r="C45" s="38">
        <f>IF(LARGE('Monthly Summary'!$AA$14:$AA$73,B45)&lt;=0,"",INDEX('Monthly Summary'!$A$14:$A$73,MATCH(LARGE('Monthly Summary'!$AA$14:$AA$73,B45),'Monthly Summary'!$AA$14:$AA$73,0)))</f>
        <v/>
      </c>
      <c r="D45" s="57" t="n"/>
      <c r="E45" s="57" t="n"/>
      <c r="F45" s="32">
        <f>IF(C45="",0,INDEX('Monthly Summary'!$X$14:$X$73,MATCH(LARGE('Monthly Summary'!$AA$14:$AA$73,B45),'Monthly Summary'!$AA$14:$AA$73,0)))</f>
        <v/>
      </c>
      <c r="G45" s="55">
        <f>IF(OR(F45=0,'Monthly Summary'!$X$9=0),"",F45/'Monthly Summary'!$X$9)</f>
        <v/>
      </c>
    </row>
    <row r="46">
      <c r="B46" s="63" t="n">
        <v>6</v>
      </c>
      <c r="C46" s="38">
        <f>IF(LARGE('Monthly Summary'!$AA$14:$AA$73,B46)&lt;=0,"",INDEX('Monthly Summary'!$A$14:$A$73,MATCH(LARGE('Monthly Summary'!$AA$14:$AA$73,B46),'Monthly Summary'!$AA$14:$AA$73,0)))</f>
        <v/>
      </c>
      <c r="D46" s="57" t="n"/>
      <c r="E46" s="57" t="n"/>
      <c r="F46" s="32">
        <f>IF(C46="",0,INDEX('Monthly Summary'!$X$14:$X$73,MATCH(LARGE('Monthly Summary'!$AA$14:$AA$73,B46),'Monthly Summary'!$AA$14:$AA$73,0)))</f>
        <v/>
      </c>
      <c r="G46" s="55">
        <f>IF(OR(F46=0,'Monthly Summary'!$X$9=0),"",F46/'Monthly Summary'!$X$9)</f>
        <v/>
      </c>
    </row>
    <row r="47">
      <c r="B47" s="63" t="n">
        <v>7</v>
      </c>
      <c r="C47" s="38">
        <f>IF(LARGE('Monthly Summary'!$AA$14:$AA$73,B47)&lt;=0,"",INDEX('Monthly Summary'!$A$14:$A$73,MATCH(LARGE('Monthly Summary'!$AA$14:$AA$73,B47),'Monthly Summary'!$AA$14:$AA$73,0)))</f>
        <v/>
      </c>
      <c r="D47" s="57" t="n"/>
      <c r="E47" s="57" t="n"/>
      <c r="F47" s="32">
        <f>IF(C47="",0,INDEX('Monthly Summary'!$X$14:$X$73,MATCH(LARGE('Monthly Summary'!$AA$14:$AA$73,B47),'Monthly Summary'!$AA$14:$AA$73,0)))</f>
        <v/>
      </c>
      <c r="G47" s="55">
        <f>IF(OR(F47=0,'Monthly Summary'!$X$9=0),"",F47/'Monthly Summary'!$X$9)</f>
        <v/>
      </c>
    </row>
    <row r="48">
      <c r="B48" s="63" t="n">
        <v>8</v>
      </c>
      <c r="C48" s="38">
        <f>IF(LARGE('Monthly Summary'!$AA$14:$AA$73,B48)&lt;=0,"",INDEX('Monthly Summary'!$A$14:$A$73,MATCH(LARGE('Monthly Summary'!$AA$14:$AA$73,B48),'Monthly Summary'!$AA$14:$AA$73,0)))</f>
        <v/>
      </c>
      <c r="D48" s="57" t="n"/>
      <c r="E48" s="57" t="n"/>
      <c r="F48" s="32">
        <f>IF(C48="",0,INDEX('Monthly Summary'!$X$14:$X$73,MATCH(LARGE('Monthly Summary'!$AA$14:$AA$73,B48),'Monthly Summary'!$AA$14:$AA$73,0)))</f>
        <v/>
      </c>
      <c r="G48" s="55">
        <f>IF(OR(F48=0,'Monthly Summary'!$X$9=0),"",F48/'Monthly Summary'!$X$9)</f>
        <v/>
      </c>
    </row>
    <row r="49">
      <c r="B49" s="63" t="n">
        <v>9</v>
      </c>
      <c r="C49" s="38">
        <f>IF(LARGE('Monthly Summary'!$AA$14:$AA$73,B49)&lt;=0,"",INDEX('Monthly Summary'!$A$14:$A$73,MATCH(LARGE('Monthly Summary'!$AA$14:$AA$73,B49),'Monthly Summary'!$AA$14:$AA$73,0)))</f>
        <v/>
      </c>
      <c r="D49" s="57" t="n"/>
      <c r="E49" s="57" t="n"/>
      <c r="F49" s="32">
        <f>IF(C49="",0,INDEX('Monthly Summary'!$X$14:$X$73,MATCH(LARGE('Monthly Summary'!$AA$14:$AA$73,B49),'Monthly Summary'!$AA$14:$AA$73,0)))</f>
        <v/>
      </c>
      <c r="G49" s="55">
        <f>IF(OR(F49=0,'Monthly Summary'!$X$9=0),"",F49/'Monthly Summary'!$X$9)</f>
        <v/>
      </c>
    </row>
    <row r="50">
      <c r="B50" s="63" t="n">
        <v>10</v>
      </c>
      <c r="C50" s="38">
        <f>IF(LARGE('Monthly Summary'!$AA$14:$AA$73,B50)&lt;=0,"",INDEX('Monthly Summary'!$A$14:$A$73,MATCH(LARGE('Monthly Summary'!$AA$14:$AA$73,B50),'Monthly Summary'!$AA$14:$AA$73,0)))</f>
        <v/>
      </c>
      <c r="D50" s="57" t="n"/>
      <c r="E50" s="57" t="n"/>
      <c r="F50" s="32">
        <f>IF(C50="",0,INDEX('Monthly Summary'!$X$14:$X$73,MATCH(LARGE('Monthly Summary'!$AA$14:$AA$73,B50),'Monthly Summary'!$AA$14:$AA$73,0)))</f>
        <v/>
      </c>
      <c r="G50" s="55">
        <f>IF(OR(F50=0,'Monthly Summary'!$X$9=0),"",F50/'Monthly Summary'!$X$9)</f>
        <v/>
      </c>
    </row>
  </sheetData>
  <sheetProtection selectLockedCells="0" selectUnlockedCells="0" sheet="1" objects="0" insertRows="1" insertHyperlinks="1" autoFilter="1" scenarios="0" formatColumns="0" deleteColumns="1" insertColumns="1" pivotTables="1" deleteRows="1" formatCells="0" formatRows="0" sort="1"/>
  <mergeCells count="52">
    <mergeCell ref="F4:G4"/>
    <mergeCell ref="B9:E9"/>
    <mergeCell ref="C50:E50"/>
    <mergeCell ref="C44:E44"/>
    <mergeCell ref="C41:E41"/>
    <mergeCell ref="J5:K5"/>
    <mergeCell ref="F9:I9"/>
    <mergeCell ref="C40:E40"/>
    <mergeCell ref="F6:G6"/>
    <mergeCell ref="I29:L29"/>
    <mergeCell ref="H4:I4"/>
    <mergeCell ref="B31:C31"/>
    <mergeCell ref="C43:E43"/>
    <mergeCell ref="C46:E46"/>
    <mergeCell ref="D6:E6"/>
    <mergeCell ref="H6:I6"/>
    <mergeCell ref="J6:K6"/>
    <mergeCell ref="I31:L31"/>
    <mergeCell ref="J8:M8"/>
    <mergeCell ref="F5:G5"/>
    <mergeCell ref="I34:M35"/>
    <mergeCell ref="I30:L30"/>
    <mergeCell ref="C48:E48"/>
    <mergeCell ref="L5:M5"/>
    <mergeCell ref="F10:I10"/>
    <mergeCell ref="J10:M10"/>
    <mergeCell ref="J4:K4"/>
    <mergeCell ref="L4:M4"/>
    <mergeCell ref="B29:C29"/>
    <mergeCell ref="J9:M9"/>
    <mergeCell ref="B34:C34"/>
    <mergeCell ref="C49:E49"/>
    <mergeCell ref="D4:E4"/>
    <mergeCell ref="I32:L32"/>
    <mergeCell ref="C42:E42"/>
    <mergeCell ref="B6:C6"/>
    <mergeCell ref="B30:C30"/>
    <mergeCell ref="B8:E8"/>
    <mergeCell ref="B33:C33"/>
    <mergeCell ref="L6:M6"/>
    <mergeCell ref="F8:I8"/>
    <mergeCell ref="B5:C5"/>
    <mergeCell ref="C45:E45"/>
    <mergeCell ref="D5:E5"/>
    <mergeCell ref="B36:C36"/>
    <mergeCell ref="H5:I5"/>
    <mergeCell ref="B32:C32"/>
    <mergeCell ref="B10:E10"/>
    <mergeCell ref="I33:L33"/>
    <mergeCell ref="B35:C35"/>
    <mergeCell ref="B4:C4"/>
    <mergeCell ref="C47:E47"/>
  </mergeCells>
  <conditionalFormatting sqref="F14:F26">
    <cfRule type="expression" priority="1" dxfId="3">
      <formula>F14&lt;-0.004</formula>
    </cfRule>
  </conditionalFormatting>
  <conditionalFormatting sqref="F30:F36">
    <cfRule type="expression" priority="2" dxfId="3">
      <formula>OR(AND(OR($N30="Fixed bills",$N30="Variable expenses",$N30="All expenses"),F30&gt;0.004),AND(OR($N30="Income",$N30="Savings &amp; debt",$N30="Result"),F30&lt;-0.004))</formula>
    </cfRule>
    <cfRule type="expression" priority="3" dxfId="2">
      <formula>OR(AND(OR($N30="Fixed bills",$N30="Variable expenses",$N30="All expenses"),F30&lt;-0.004),AND(OR($N30="Income",$N30="Savings &amp; debt",$N30="Result"),F30&gt;0.004))</formula>
    </cfRule>
  </conditionalFormatting>
  <conditionalFormatting sqref="M30:M33">
    <cfRule type="expression" priority="4" dxfId="0">
      <formula>M30&gt;0</formula>
    </cfRule>
  </conditionalFormatting>
  <printOptions horizontalCentered="1"/>
  <pageMargins left="0.4" right="0.4" top="0.5" bottom="0.5" header="0.5" footer="0.5"/>
  <pageSetup orientation="landscape" paperSize="1" fitToHeight="1" fitToWidth="1"/>
  <drawing xmlns:r="http://schemas.openxmlformats.org/officeDocument/2006/relationships" r:id="rId1"/>
</worksheet>
</file>

<file path=xl/worksheets/sheet8.xml><?xml version="1.0" encoding="utf-8"?>
<worksheet xmlns="http://schemas.openxmlformats.org/spreadsheetml/2006/main">
  <sheetPr>
    <tabColor rgb="00E3C766"/>
    <outlinePr summaryBelow="1" summaryRight="1"/>
    <pageSetUpPr fitToPage="1"/>
  </sheetPr>
  <dimension ref="B1:O21"/>
  <sheetViews>
    <sheetView showGridLines="0" tabSelected="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3" customWidth="1" min="3" max="3"/>
    <col width="12" customWidth="1" min="4" max="4"/>
    <col width="13" customWidth="1" min="5" max="5"/>
    <col width="14" customWidth="1" min="6" max="6"/>
    <col width="13" customWidth="1" min="7" max="7"/>
    <col width="13" customWidth="1" min="8" max="8"/>
    <col width="9" customWidth="1" min="9" max="9"/>
    <col width="14" customWidth="1" min="10" max="10"/>
    <col width="8" customWidth="1" min="11" max="11"/>
    <col width="13" customWidth="1" min="12" max="12"/>
    <col width="13" customWidth="1" min="13" max="13"/>
    <col width="12" customWidth="1" min="14" max="14"/>
    <col width="20" customWidth="1" min="15" max="15"/>
  </cols>
  <sheetData>
    <row r="1" ht="30" customHeight="1">
      <c r="B1" s="12" t="inlineStr">
        <is>
          <t>Savings Goals</t>
        </is>
      </c>
    </row>
    <row r="2">
      <c r="B2" s="13" t="inlineStr">
        <is>
          <t>Long-term goals: emergency fund, a home, a car. To add money, log a Savings &amp; debt transaction and pick the goal in the "Goal / fund" column of Transactions.</t>
        </is>
      </c>
    </row>
    <row r="3">
      <c r="B3" s="24">
        <f>"Months left are counted from "&amp;YEAR(Settings!$C$11)&amp;"-"&amp;RIGHT("0"&amp;MONTH(Settings!$C$11),2)&amp;" (as-of date in Settings)."</f>
        <v/>
      </c>
    </row>
    <row r="5" ht="44" customHeight="1">
      <c r="B5" s="14" t="inlineStr">
        <is>
          <t>Goal</t>
        </is>
      </c>
      <c r="C5" s="14">
        <f>"Target"&amp;Settings!$C$14</f>
        <v/>
      </c>
      <c r="D5" s="14" t="inlineStr">
        <is>
          <t>Target date</t>
        </is>
      </c>
      <c r="E5" s="14">
        <f>"Starting amount"&amp;Settings!$C$14</f>
        <v/>
      </c>
      <c r="F5" s="14">
        <f>"Added in Transactions"&amp;Settings!$C$14</f>
        <v/>
      </c>
      <c r="G5" s="14">
        <f>"Saved so far"&amp;Settings!$C$14</f>
        <v/>
      </c>
      <c r="H5" s="14">
        <f>"Still needed"&amp;Settings!$C$14</f>
        <v/>
      </c>
      <c r="I5" s="14" t="inlineStr">
        <is>
          <t>Progress</t>
        </is>
      </c>
      <c r="K5" s="14" t="inlineStr">
        <is>
          <t>Months left</t>
        </is>
      </c>
      <c r="L5" s="14">
        <f>"Needed per month"&amp;Settings!$C$14</f>
        <v/>
      </c>
      <c r="M5" s="14">
        <f>"Your monthly plan"&amp;Settings!$C$14</f>
        <v/>
      </c>
      <c r="N5" s="14" t="inlineStr">
        <is>
          <t>Reached by (your plan)</t>
        </is>
      </c>
      <c r="O5" s="14" t="inlineStr">
        <is>
          <t>Status</t>
        </is>
      </c>
    </row>
    <row r="6">
      <c r="B6" s="23" t="inlineStr">
        <is>
          <t>Emergency fund</t>
        </is>
      </c>
      <c r="C6" s="28" t="n">
        <v>12000</v>
      </c>
      <c r="D6" s="27" t="n">
        <v>46752</v>
      </c>
      <c r="E6" s="28" t="n">
        <v>6500</v>
      </c>
      <c r="F6" s="32">
        <f>IF(B6="",0,SUMIFS(Transactions!$D$6:$D$2005,Transactions!$F$6:$F$2005,B6,Transactions!$H$6:$H$2005,"Savings &amp; debt")-SUMIFS(Transactions!$D$6:$D$2005,Transactions!$F$6:$F$2005,B6,Transactions!$H$6:$H$2005,"Fixed bills")-SUMIFS(Transactions!$D$6:$D$2005,Transactions!$F$6:$F$2005,B6,Transactions!$H$6:$H$2005,"Variable expenses"))</f>
        <v/>
      </c>
      <c r="G6" s="40">
        <f>IF(B6="",0,N(E6)+F6)</f>
        <v/>
      </c>
      <c r="H6" s="32">
        <f>IF(B6="",0,MAX(0,N(C6)-G6))</f>
        <v/>
      </c>
      <c r="I6" s="64">
        <f>IF(N(C6)&lt;=0,"",MIN(1,MAX(0,G6/C6)))</f>
        <v/>
      </c>
      <c r="J6" s="65">
        <f>IF(I6="","",REPT("■",ROUND(MIN(1,MAX(0,N(I6)))*10,0))&amp;REPT("□",10-ROUND(MIN(1,MAX(0,N(I6)))*10,0)))</f>
        <v/>
      </c>
      <c r="K6" s="66">
        <f>IF(OR(B6="",NOT(ISNUMBER(D6))),"",MAX(0,(YEAR(D6)-YEAR(Settings!$C$11))*12+MONTH(D6)-MONTH(Settings!$C$11)))</f>
        <v/>
      </c>
      <c r="L6" s="32">
        <f>IF(OR(B6="",K6=""),"",IF(H6&lt;=0,0,H6/MAX(1,K6)))</f>
        <v/>
      </c>
      <c r="M6" s="28" t="n">
        <v>300</v>
      </c>
      <c r="N6" s="67">
        <f>IF(OR(B6="",N(C6)&lt;=0),"",IF(H6&lt;=0,"Reached",IF(N(M6)&lt;=0,"",DATE(YEAR(Settings!$C$11),MONTH(Settings!$C$11)+ROUNDUP(H6/M6,0),1))))</f>
        <v/>
      </c>
      <c r="O6" s="31">
        <f>IF(B6="",IF(OR(N(C6)&lt;&gt;0,N(E6)&lt;&gt;0),"Name missing",""),IF(COUNTIF(Lists!$G$2:$G$25,B6)&gt;1,"Name used twice",IF(N(C6)&lt;=0,"Enter a target",IF(H6&lt;=0,"Reached",IF(K6="","Enter a target date",IF(K6=0,"Target date reached",IF(N(M6)&lt;=0,"Enter a monthly plan",IF(M6&gt;=L6-0.005,"On track","Behind"))))))))</f>
        <v/>
      </c>
    </row>
    <row r="7">
      <c r="B7" s="23" t="inlineStr">
        <is>
          <t>House down payment</t>
        </is>
      </c>
      <c r="C7" s="28" t="n">
        <v>30000</v>
      </c>
      <c r="D7" s="27" t="n">
        <v>47483</v>
      </c>
      <c r="E7" s="28" t="n">
        <v>12000</v>
      </c>
      <c r="F7" s="32">
        <f>IF(B7="",0,SUMIFS(Transactions!$D$6:$D$2005,Transactions!$F$6:$F$2005,B7,Transactions!$H$6:$H$2005,"Savings &amp; debt")-SUMIFS(Transactions!$D$6:$D$2005,Transactions!$F$6:$F$2005,B7,Transactions!$H$6:$H$2005,"Fixed bills")-SUMIFS(Transactions!$D$6:$D$2005,Transactions!$F$6:$F$2005,B7,Transactions!$H$6:$H$2005,"Variable expenses"))</f>
        <v/>
      </c>
      <c r="G7" s="40">
        <f>IF(B7="",0,N(E7)+F7)</f>
        <v/>
      </c>
      <c r="H7" s="32">
        <f>IF(B7="",0,MAX(0,N(C7)-G7))</f>
        <v/>
      </c>
      <c r="I7" s="64">
        <f>IF(N(C7)&lt;=0,"",MIN(1,MAX(0,G7/C7)))</f>
        <v/>
      </c>
      <c r="J7" s="65">
        <f>IF(I7="","",REPT("■",ROUND(MIN(1,MAX(0,N(I7)))*10,0))&amp;REPT("□",10-ROUND(MIN(1,MAX(0,N(I7)))*10,0)))</f>
        <v/>
      </c>
      <c r="K7" s="66">
        <f>IF(OR(B7="",NOT(ISNUMBER(D7))),"",MAX(0,(YEAR(D7)-YEAR(Settings!$C$11))*12+MONTH(D7)-MONTH(Settings!$C$11)))</f>
        <v/>
      </c>
      <c r="L7" s="32">
        <f>IF(OR(B7="",K7=""),"",IF(H7&lt;=0,0,H7/MAX(1,K7)))</f>
        <v/>
      </c>
      <c r="M7" s="28" t="n">
        <v>300</v>
      </c>
      <c r="N7" s="67">
        <f>IF(OR(B7="",N(C7)&lt;=0),"",IF(H7&lt;=0,"Reached",IF(N(M7)&lt;=0,"",DATE(YEAR(Settings!$C$11),MONTH(Settings!$C$11)+ROUNDUP(H7/M7,0),1))))</f>
        <v/>
      </c>
      <c r="O7" s="31">
        <f>IF(B7="",IF(OR(N(C7)&lt;&gt;0,N(E7)&lt;&gt;0),"Name missing",""),IF(COUNTIF(Lists!$G$2:$G$25,B7)&gt;1,"Name used twice",IF(N(C7)&lt;=0,"Enter a target",IF(H7&lt;=0,"Reached",IF(K7="","Enter a target date",IF(K7=0,"Target date reached",IF(N(M7)&lt;=0,"Enter a monthly plan",IF(M7&gt;=L7-0.005,"On track","Behind"))))))))</f>
        <v/>
      </c>
    </row>
    <row r="8">
      <c r="B8" s="23" t="inlineStr">
        <is>
          <t>New laptop</t>
        </is>
      </c>
      <c r="C8" s="28" t="n">
        <v>1500</v>
      </c>
      <c r="D8" s="27" t="n">
        <v>46477</v>
      </c>
      <c r="E8" s="28" t="n">
        <v>200</v>
      </c>
      <c r="F8" s="32">
        <f>IF(B8="",0,SUMIFS(Transactions!$D$6:$D$2005,Transactions!$F$6:$F$2005,B8,Transactions!$H$6:$H$2005,"Savings &amp; debt")-SUMIFS(Transactions!$D$6:$D$2005,Transactions!$F$6:$F$2005,B8,Transactions!$H$6:$H$2005,"Fixed bills")-SUMIFS(Transactions!$D$6:$D$2005,Transactions!$F$6:$F$2005,B8,Transactions!$H$6:$H$2005,"Variable expenses"))</f>
        <v/>
      </c>
      <c r="G8" s="40">
        <f>IF(B8="",0,N(E8)+F8)</f>
        <v/>
      </c>
      <c r="H8" s="32">
        <f>IF(B8="",0,MAX(0,N(C8)-G8))</f>
        <v/>
      </c>
      <c r="I8" s="64">
        <f>IF(N(C8)&lt;=0,"",MIN(1,MAX(0,G8/C8)))</f>
        <v/>
      </c>
      <c r="J8" s="65">
        <f>IF(I8="","",REPT("■",ROUND(MIN(1,MAX(0,N(I8)))*10,0))&amp;REPT("□",10-ROUND(MIN(1,MAX(0,N(I8)))*10,0)))</f>
        <v/>
      </c>
      <c r="K8" s="66">
        <f>IF(OR(B8="",NOT(ISNUMBER(D8))),"",MAX(0,(YEAR(D8)-YEAR(Settings!$C$11))*12+MONTH(D8)-MONTH(Settings!$C$11)))</f>
        <v/>
      </c>
      <c r="L8" s="32">
        <f>IF(OR(B8="",K8=""),"",IF(H8&lt;=0,0,H8/MAX(1,K8)))</f>
        <v/>
      </c>
      <c r="M8" s="28" t="n">
        <v>100</v>
      </c>
      <c r="N8" s="67">
        <f>IF(OR(B8="",N(C8)&lt;=0),"",IF(H8&lt;=0,"Reached",IF(N(M8)&lt;=0,"",DATE(YEAR(Settings!$C$11),MONTH(Settings!$C$11)+ROUNDUP(H8/M8,0),1))))</f>
        <v/>
      </c>
      <c r="O8" s="31">
        <f>IF(B8="",IF(OR(N(C8)&lt;&gt;0,N(E8)&lt;&gt;0),"Name missing",""),IF(COUNTIF(Lists!$G$2:$G$25,B8)&gt;1,"Name used twice",IF(N(C8)&lt;=0,"Enter a target",IF(H8&lt;=0,"Reached",IF(K8="","Enter a target date",IF(K8=0,"Target date reached",IF(N(M8)&lt;=0,"Enter a monthly plan",IF(M8&gt;=L8-0.005,"On track","Behind"))))))))</f>
        <v/>
      </c>
    </row>
    <row r="9">
      <c r="B9" s="23" t="inlineStr">
        <is>
          <t>Anniversary trip</t>
        </is>
      </c>
      <c r="C9" s="28" t="n">
        <v>2500</v>
      </c>
      <c r="D9" s="27" t="n">
        <v>46691</v>
      </c>
      <c r="E9" s="28" t="n">
        <v>0</v>
      </c>
      <c r="F9" s="32">
        <f>IF(B9="",0,SUMIFS(Transactions!$D$6:$D$2005,Transactions!$F$6:$F$2005,B9,Transactions!$H$6:$H$2005,"Savings &amp; debt")-SUMIFS(Transactions!$D$6:$D$2005,Transactions!$F$6:$F$2005,B9,Transactions!$H$6:$H$2005,"Fixed bills")-SUMIFS(Transactions!$D$6:$D$2005,Transactions!$F$6:$F$2005,B9,Transactions!$H$6:$H$2005,"Variable expenses"))</f>
        <v/>
      </c>
      <c r="G9" s="40">
        <f>IF(B9="",0,N(E9)+F9)</f>
        <v/>
      </c>
      <c r="H9" s="32">
        <f>IF(B9="",0,MAX(0,N(C9)-G9))</f>
        <v/>
      </c>
      <c r="I9" s="64">
        <f>IF(N(C9)&lt;=0,"",MIN(1,MAX(0,G9/C9)))</f>
        <v/>
      </c>
      <c r="J9" s="65">
        <f>IF(I9="","",REPT("■",ROUND(MIN(1,MAX(0,N(I9)))*10,0))&amp;REPT("□",10-ROUND(MIN(1,MAX(0,N(I9)))*10,0)))</f>
        <v/>
      </c>
      <c r="K9" s="66">
        <f>IF(OR(B9="",NOT(ISNUMBER(D9))),"",MAX(0,(YEAR(D9)-YEAR(Settings!$C$11))*12+MONTH(D9)-MONTH(Settings!$C$11)))</f>
        <v/>
      </c>
      <c r="L9" s="32">
        <f>IF(OR(B9="",K9=""),"",IF(H9&lt;=0,0,H9/MAX(1,K9)))</f>
        <v/>
      </c>
      <c r="M9" s="28" t="n">
        <v>250</v>
      </c>
      <c r="N9" s="67">
        <f>IF(OR(B9="",N(C9)&lt;=0),"",IF(H9&lt;=0,"Reached",IF(N(M9)&lt;=0,"",DATE(YEAR(Settings!$C$11),MONTH(Settings!$C$11)+ROUNDUP(H9/M9,0),1))))</f>
        <v/>
      </c>
      <c r="O9" s="31">
        <f>IF(B9="",IF(OR(N(C9)&lt;&gt;0,N(E9)&lt;&gt;0),"Name missing",""),IF(COUNTIF(Lists!$G$2:$G$25,B9)&gt;1,"Name used twice",IF(N(C9)&lt;=0,"Enter a target",IF(H9&lt;=0,"Reached",IF(K9="","Enter a target date",IF(K9=0,"Target date reached",IF(N(M9)&lt;=0,"Enter a monthly plan",IF(M9&gt;=L9-0.005,"On track","Behind"))))))))</f>
        <v/>
      </c>
    </row>
    <row r="10">
      <c r="B10" s="23" t="n"/>
      <c r="C10" s="28" t="n"/>
      <c r="D10" s="27" t="n"/>
      <c r="E10" s="28" t="n"/>
      <c r="F10" s="32">
        <f>IF(B10="",0,SUMIFS(Transactions!$D$6:$D$2005,Transactions!$F$6:$F$2005,B10,Transactions!$H$6:$H$2005,"Savings &amp; debt")-SUMIFS(Transactions!$D$6:$D$2005,Transactions!$F$6:$F$2005,B10,Transactions!$H$6:$H$2005,"Fixed bills")-SUMIFS(Transactions!$D$6:$D$2005,Transactions!$F$6:$F$2005,B10,Transactions!$H$6:$H$2005,"Variable expenses"))</f>
        <v/>
      </c>
      <c r="G10" s="40">
        <f>IF(B10="",0,N(E10)+F10)</f>
        <v/>
      </c>
      <c r="H10" s="32">
        <f>IF(B10="",0,MAX(0,N(C10)-G10))</f>
        <v/>
      </c>
      <c r="I10" s="64">
        <f>IF(N(C10)&lt;=0,"",MIN(1,MAX(0,G10/C10)))</f>
        <v/>
      </c>
      <c r="J10" s="65">
        <f>IF(I10="","",REPT("■",ROUND(MIN(1,MAX(0,N(I10)))*10,0))&amp;REPT("□",10-ROUND(MIN(1,MAX(0,N(I10)))*10,0)))</f>
        <v/>
      </c>
      <c r="K10" s="66">
        <f>IF(OR(B10="",NOT(ISNUMBER(D10))),"",MAX(0,(YEAR(D10)-YEAR(Settings!$C$11))*12+MONTH(D10)-MONTH(Settings!$C$11)))</f>
        <v/>
      </c>
      <c r="L10" s="32">
        <f>IF(OR(B10="",K10=""),"",IF(H10&lt;=0,0,H10/MAX(1,K10)))</f>
        <v/>
      </c>
      <c r="M10" s="28" t="n"/>
      <c r="N10" s="67">
        <f>IF(OR(B10="",N(C10)&lt;=0),"",IF(H10&lt;=0,"Reached",IF(N(M10)&lt;=0,"",DATE(YEAR(Settings!$C$11),MONTH(Settings!$C$11)+ROUNDUP(H10/M10,0),1))))</f>
        <v/>
      </c>
      <c r="O10" s="31">
        <f>IF(B10="",IF(OR(N(C10)&lt;&gt;0,N(E10)&lt;&gt;0),"Name missing",""),IF(COUNTIF(Lists!$G$2:$G$25,B10)&gt;1,"Name used twice",IF(N(C10)&lt;=0,"Enter a target",IF(H10&lt;=0,"Reached",IF(K10="","Enter a target date",IF(K10=0,"Target date reached",IF(N(M10)&lt;=0,"Enter a monthly plan",IF(M10&gt;=L10-0.005,"On track","Behind"))))))))</f>
        <v/>
      </c>
    </row>
    <row r="11">
      <c r="B11" s="23" t="n"/>
      <c r="C11" s="28" t="n"/>
      <c r="D11" s="27" t="n"/>
      <c r="E11" s="28" t="n"/>
      <c r="F11" s="32">
        <f>IF(B11="",0,SUMIFS(Transactions!$D$6:$D$2005,Transactions!$F$6:$F$2005,B11,Transactions!$H$6:$H$2005,"Savings &amp; debt")-SUMIFS(Transactions!$D$6:$D$2005,Transactions!$F$6:$F$2005,B11,Transactions!$H$6:$H$2005,"Fixed bills")-SUMIFS(Transactions!$D$6:$D$2005,Transactions!$F$6:$F$2005,B11,Transactions!$H$6:$H$2005,"Variable expenses"))</f>
        <v/>
      </c>
      <c r="G11" s="40">
        <f>IF(B11="",0,N(E11)+F11)</f>
        <v/>
      </c>
      <c r="H11" s="32">
        <f>IF(B11="",0,MAX(0,N(C11)-G11))</f>
        <v/>
      </c>
      <c r="I11" s="64">
        <f>IF(N(C11)&lt;=0,"",MIN(1,MAX(0,G11/C11)))</f>
        <v/>
      </c>
      <c r="J11" s="65">
        <f>IF(I11="","",REPT("■",ROUND(MIN(1,MAX(0,N(I11)))*10,0))&amp;REPT("□",10-ROUND(MIN(1,MAX(0,N(I11)))*10,0)))</f>
        <v/>
      </c>
      <c r="K11" s="66">
        <f>IF(OR(B11="",NOT(ISNUMBER(D11))),"",MAX(0,(YEAR(D11)-YEAR(Settings!$C$11))*12+MONTH(D11)-MONTH(Settings!$C$11)))</f>
        <v/>
      </c>
      <c r="L11" s="32">
        <f>IF(OR(B11="",K11=""),"",IF(H11&lt;=0,0,H11/MAX(1,K11)))</f>
        <v/>
      </c>
      <c r="M11" s="28" t="n"/>
      <c r="N11" s="67">
        <f>IF(OR(B11="",N(C11)&lt;=0),"",IF(H11&lt;=0,"Reached",IF(N(M11)&lt;=0,"",DATE(YEAR(Settings!$C$11),MONTH(Settings!$C$11)+ROUNDUP(H11/M11,0),1))))</f>
        <v/>
      </c>
      <c r="O11" s="31">
        <f>IF(B11="",IF(OR(N(C11)&lt;&gt;0,N(E11)&lt;&gt;0),"Name missing",""),IF(COUNTIF(Lists!$G$2:$G$25,B11)&gt;1,"Name used twice",IF(N(C11)&lt;=0,"Enter a target",IF(H11&lt;=0,"Reached",IF(K11="","Enter a target date",IF(K11=0,"Target date reached",IF(N(M11)&lt;=0,"Enter a monthly plan",IF(M11&gt;=L11-0.005,"On track","Behind"))))))))</f>
        <v/>
      </c>
    </row>
    <row r="12">
      <c r="B12" s="23" t="n"/>
      <c r="C12" s="28" t="n"/>
      <c r="D12" s="27" t="n"/>
      <c r="E12" s="28" t="n"/>
      <c r="F12" s="32">
        <f>IF(B12="",0,SUMIFS(Transactions!$D$6:$D$2005,Transactions!$F$6:$F$2005,B12,Transactions!$H$6:$H$2005,"Savings &amp; debt")-SUMIFS(Transactions!$D$6:$D$2005,Transactions!$F$6:$F$2005,B12,Transactions!$H$6:$H$2005,"Fixed bills")-SUMIFS(Transactions!$D$6:$D$2005,Transactions!$F$6:$F$2005,B12,Transactions!$H$6:$H$2005,"Variable expenses"))</f>
        <v/>
      </c>
      <c r="G12" s="40">
        <f>IF(B12="",0,N(E12)+F12)</f>
        <v/>
      </c>
      <c r="H12" s="32">
        <f>IF(B12="",0,MAX(0,N(C12)-G12))</f>
        <v/>
      </c>
      <c r="I12" s="64">
        <f>IF(N(C12)&lt;=0,"",MIN(1,MAX(0,G12/C12)))</f>
        <v/>
      </c>
      <c r="J12" s="65">
        <f>IF(I12="","",REPT("■",ROUND(MIN(1,MAX(0,N(I12)))*10,0))&amp;REPT("□",10-ROUND(MIN(1,MAX(0,N(I12)))*10,0)))</f>
        <v/>
      </c>
      <c r="K12" s="66">
        <f>IF(OR(B12="",NOT(ISNUMBER(D12))),"",MAX(0,(YEAR(D12)-YEAR(Settings!$C$11))*12+MONTH(D12)-MONTH(Settings!$C$11)))</f>
        <v/>
      </c>
      <c r="L12" s="32">
        <f>IF(OR(B12="",K12=""),"",IF(H12&lt;=0,0,H12/MAX(1,K12)))</f>
        <v/>
      </c>
      <c r="M12" s="28" t="n"/>
      <c r="N12" s="67">
        <f>IF(OR(B12="",N(C12)&lt;=0),"",IF(H12&lt;=0,"Reached",IF(N(M12)&lt;=0,"",DATE(YEAR(Settings!$C$11),MONTH(Settings!$C$11)+ROUNDUP(H12/M12,0),1))))</f>
        <v/>
      </c>
      <c r="O12" s="31">
        <f>IF(B12="",IF(OR(N(C12)&lt;&gt;0,N(E12)&lt;&gt;0),"Name missing",""),IF(COUNTIF(Lists!$G$2:$G$25,B12)&gt;1,"Name used twice",IF(N(C12)&lt;=0,"Enter a target",IF(H12&lt;=0,"Reached",IF(K12="","Enter a target date",IF(K12=0,"Target date reached",IF(N(M12)&lt;=0,"Enter a monthly plan",IF(M12&gt;=L12-0.005,"On track","Behind"))))))))</f>
        <v/>
      </c>
    </row>
    <row r="13">
      <c r="B13" s="23" t="n"/>
      <c r="C13" s="28" t="n"/>
      <c r="D13" s="27" t="n"/>
      <c r="E13" s="28" t="n"/>
      <c r="F13" s="32">
        <f>IF(B13="",0,SUMIFS(Transactions!$D$6:$D$2005,Transactions!$F$6:$F$2005,B13,Transactions!$H$6:$H$2005,"Savings &amp; debt")-SUMIFS(Transactions!$D$6:$D$2005,Transactions!$F$6:$F$2005,B13,Transactions!$H$6:$H$2005,"Fixed bills")-SUMIFS(Transactions!$D$6:$D$2005,Transactions!$F$6:$F$2005,B13,Transactions!$H$6:$H$2005,"Variable expenses"))</f>
        <v/>
      </c>
      <c r="G13" s="40">
        <f>IF(B13="",0,N(E13)+F13)</f>
        <v/>
      </c>
      <c r="H13" s="32">
        <f>IF(B13="",0,MAX(0,N(C13)-G13))</f>
        <v/>
      </c>
      <c r="I13" s="64">
        <f>IF(N(C13)&lt;=0,"",MIN(1,MAX(0,G13/C13)))</f>
        <v/>
      </c>
      <c r="J13" s="65">
        <f>IF(I13="","",REPT("■",ROUND(MIN(1,MAX(0,N(I13)))*10,0))&amp;REPT("□",10-ROUND(MIN(1,MAX(0,N(I13)))*10,0)))</f>
        <v/>
      </c>
      <c r="K13" s="66">
        <f>IF(OR(B13="",NOT(ISNUMBER(D13))),"",MAX(0,(YEAR(D13)-YEAR(Settings!$C$11))*12+MONTH(D13)-MONTH(Settings!$C$11)))</f>
        <v/>
      </c>
      <c r="L13" s="32">
        <f>IF(OR(B13="",K13=""),"",IF(H13&lt;=0,0,H13/MAX(1,K13)))</f>
        <v/>
      </c>
      <c r="M13" s="28" t="n"/>
      <c r="N13" s="67">
        <f>IF(OR(B13="",N(C13)&lt;=0),"",IF(H13&lt;=0,"Reached",IF(N(M13)&lt;=0,"",DATE(YEAR(Settings!$C$11),MONTH(Settings!$C$11)+ROUNDUP(H13/M13,0),1))))</f>
        <v/>
      </c>
      <c r="O13" s="31">
        <f>IF(B13="",IF(OR(N(C13)&lt;&gt;0,N(E13)&lt;&gt;0),"Name missing",""),IF(COUNTIF(Lists!$G$2:$G$25,B13)&gt;1,"Name used twice",IF(N(C13)&lt;=0,"Enter a target",IF(H13&lt;=0,"Reached",IF(K13="","Enter a target date",IF(K13=0,"Target date reached",IF(N(M13)&lt;=0,"Enter a monthly plan",IF(M13&gt;=L13-0.005,"On track","Behind"))))))))</f>
        <v/>
      </c>
    </row>
    <row r="14">
      <c r="B14" s="23" t="n"/>
      <c r="C14" s="28" t="n"/>
      <c r="D14" s="27" t="n"/>
      <c r="E14" s="28" t="n"/>
      <c r="F14" s="32">
        <f>IF(B14="",0,SUMIFS(Transactions!$D$6:$D$2005,Transactions!$F$6:$F$2005,B14,Transactions!$H$6:$H$2005,"Savings &amp; debt")-SUMIFS(Transactions!$D$6:$D$2005,Transactions!$F$6:$F$2005,B14,Transactions!$H$6:$H$2005,"Fixed bills")-SUMIFS(Transactions!$D$6:$D$2005,Transactions!$F$6:$F$2005,B14,Transactions!$H$6:$H$2005,"Variable expenses"))</f>
        <v/>
      </c>
      <c r="G14" s="40">
        <f>IF(B14="",0,N(E14)+F14)</f>
        <v/>
      </c>
      <c r="H14" s="32">
        <f>IF(B14="",0,MAX(0,N(C14)-G14))</f>
        <v/>
      </c>
      <c r="I14" s="64">
        <f>IF(N(C14)&lt;=0,"",MIN(1,MAX(0,G14/C14)))</f>
        <v/>
      </c>
      <c r="J14" s="65">
        <f>IF(I14="","",REPT("■",ROUND(MIN(1,MAX(0,N(I14)))*10,0))&amp;REPT("□",10-ROUND(MIN(1,MAX(0,N(I14)))*10,0)))</f>
        <v/>
      </c>
      <c r="K14" s="66">
        <f>IF(OR(B14="",NOT(ISNUMBER(D14))),"",MAX(0,(YEAR(D14)-YEAR(Settings!$C$11))*12+MONTH(D14)-MONTH(Settings!$C$11)))</f>
        <v/>
      </c>
      <c r="L14" s="32">
        <f>IF(OR(B14="",K14=""),"",IF(H14&lt;=0,0,H14/MAX(1,K14)))</f>
        <v/>
      </c>
      <c r="M14" s="28" t="n"/>
      <c r="N14" s="67">
        <f>IF(OR(B14="",N(C14)&lt;=0),"",IF(H14&lt;=0,"Reached",IF(N(M14)&lt;=0,"",DATE(YEAR(Settings!$C$11),MONTH(Settings!$C$11)+ROUNDUP(H14/M14,0),1))))</f>
        <v/>
      </c>
      <c r="O14" s="31">
        <f>IF(B14="",IF(OR(N(C14)&lt;&gt;0,N(E14)&lt;&gt;0),"Name missing",""),IF(COUNTIF(Lists!$G$2:$G$25,B14)&gt;1,"Name used twice",IF(N(C14)&lt;=0,"Enter a target",IF(H14&lt;=0,"Reached",IF(K14="","Enter a target date",IF(K14=0,"Target date reached",IF(N(M14)&lt;=0,"Enter a monthly plan",IF(M14&gt;=L14-0.005,"On track","Behind"))))))))</f>
        <v/>
      </c>
    </row>
    <row r="15">
      <c r="B15" s="23" t="n"/>
      <c r="C15" s="28" t="n"/>
      <c r="D15" s="27" t="n"/>
      <c r="E15" s="28" t="n"/>
      <c r="F15" s="32">
        <f>IF(B15="",0,SUMIFS(Transactions!$D$6:$D$2005,Transactions!$F$6:$F$2005,B15,Transactions!$H$6:$H$2005,"Savings &amp; debt")-SUMIFS(Transactions!$D$6:$D$2005,Transactions!$F$6:$F$2005,B15,Transactions!$H$6:$H$2005,"Fixed bills")-SUMIFS(Transactions!$D$6:$D$2005,Transactions!$F$6:$F$2005,B15,Transactions!$H$6:$H$2005,"Variable expenses"))</f>
        <v/>
      </c>
      <c r="G15" s="40">
        <f>IF(B15="",0,N(E15)+F15)</f>
        <v/>
      </c>
      <c r="H15" s="32">
        <f>IF(B15="",0,MAX(0,N(C15)-G15))</f>
        <v/>
      </c>
      <c r="I15" s="64">
        <f>IF(N(C15)&lt;=0,"",MIN(1,MAX(0,G15/C15)))</f>
        <v/>
      </c>
      <c r="J15" s="65">
        <f>IF(I15="","",REPT("■",ROUND(MIN(1,MAX(0,N(I15)))*10,0))&amp;REPT("□",10-ROUND(MIN(1,MAX(0,N(I15)))*10,0)))</f>
        <v/>
      </c>
      <c r="K15" s="66">
        <f>IF(OR(B15="",NOT(ISNUMBER(D15))),"",MAX(0,(YEAR(D15)-YEAR(Settings!$C$11))*12+MONTH(D15)-MONTH(Settings!$C$11)))</f>
        <v/>
      </c>
      <c r="L15" s="32">
        <f>IF(OR(B15="",K15=""),"",IF(H15&lt;=0,0,H15/MAX(1,K15)))</f>
        <v/>
      </c>
      <c r="M15" s="28" t="n"/>
      <c r="N15" s="67">
        <f>IF(OR(B15="",N(C15)&lt;=0),"",IF(H15&lt;=0,"Reached",IF(N(M15)&lt;=0,"",DATE(YEAR(Settings!$C$11),MONTH(Settings!$C$11)+ROUNDUP(H15/M15,0),1))))</f>
        <v/>
      </c>
      <c r="O15" s="31">
        <f>IF(B15="",IF(OR(N(C15)&lt;&gt;0,N(E15)&lt;&gt;0),"Name missing",""),IF(COUNTIF(Lists!$G$2:$G$25,B15)&gt;1,"Name used twice",IF(N(C15)&lt;=0,"Enter a target",IF(H15&lt;=0,"Reached",IF(K15="","Enter a target date",IF(K15=0,"Target date reached",IF(N(M15)&lt;=0,"Enter a monthly plan",IF(M15&gt;=L15-0.005,"On track","Behind"))))))))</f>
        <v/>
      </c>
    </row>
    <row r="16">
      <c r="B16" s="23" t="n"/>
      <c r="C16" s="28" t="n"/>
      <c r="D16" s="27" t="n"/>
      <c r="E16" s="28" t="n"/>
      <c r="F16" s="32">
        <f>IF(B16="",0,SUMIFS(Transactions!$D$6:$D$2005,Transactions!$F$6:$F$2005,B16,Transactions!$H$6:$H$2005,"Savings &amp; debt")-SUMIFS(Transactions!$D$6:$D$2005,Transactions!$F$6:$F$2005,B16,Transactions!$H$6:$H$2005,"Fixed bills")-SUMIFS(Transactions!$D$6:$D$2005,Transactions!$F$6:$F$2005,B16,Transactions!$H$6:$H$2005,"Variable expenses"))</f>
        <v/>
      </c>
      <c r="G16" s="40">
        <f>IF(B16="",0,N(E16)+F16)</f>
        <v/>
      </c>
      <c r="H16" s="32">
        <f>IF(B16="",0,MAX(0,N(C16)-G16))</f>
        <v/>
      </c>
      <c r="I16" s="64">
        <f>IF(N(C16)&lt;=0,"",MIN(1,MAX(0,G16/C16)))</f>
        <v/>
      </c>
      <c r="J16" s="65">
        <f>IF(I16="","",REPT("■",ROUND(MIN(1,MAX(0,N(I16)))*10,0))&amp;REPT("□",10-ROUND(MIN(1,MAX(0,N(I16)))*10,0)))</f>
        <v/>
      </c>
      <c r="K16" s="66">
        <f>IF(OR(B16="",NOT(ISNUMBER(D16))),"",MAX(0,(YEAR(D16)-YEAR(Settings!$C$11))*12+MONTH(D16)-MONTH(Settings!$C$11)))</f>
        <v/>
      </c>
      <c r="L16" s="32">
        <f>IF(OR(B16="",K16=""),"",IF(H16&lt;=0,0,H16/MAX(1,K16)))</f>
        <v/>
      </c>
      <c r="M16" s="28" t="n"/>
      <c r="N16" s="67">
        <f>IF(OR(B16="",N(C16)&lt;=0),"",IF(H16&lt;=0,"Reached",IF(N(M16)&lt;=0,"",DATE(YEAR(Settings!$C$11),MONTH(Settings!$C$11)+ROUNDUP(H16/M16,0),1))))</f>
        <v/>
      </c>
      <c r="O16" s="31">
        <f>IF(B16="",IF(OR(N(C16)&lt;&gt;0,N(E16)&lt;&gt;0),"Name missing",""),IF(COUNTIF(Lists!$G$2:$G$25,B16)&gt;1,"Name used twice",IF(N(C16)&lt;=0,"Enter a target",IF(H16&lt;=0,"Reached",IF(K16="","Enter a target date",IF(K16=0,"Target date reached",IF(N(M16)&lt;=0,"Enter a monthly plan",IF(M16&gt;=L16-0.005,"On track","Behind"))))))))</f>
        <v/>
      </c>
    </row>
    <row r="17">
      <c r="B17" s="23" t="n"/>
      <c r="C17" s="28" t="n"/>
      <c r="D17" s="27" t="n"/>
      <c r="E17" s="28" t="n"/>
      <c r="F17" s="32">
        <f>IF(B17="",0,SUMIFS(Transactions!$D$6:$D$2005,Transactions!$F$6:$F$2005,B17,Transactions!$H$6:$H$2005,"Savings &amp; debt")-SUMIFS(Transactions!$D$6:$D$2005,Transactions!$F$6:$F$2005,B17,Transactions!$H$6:$H$2005,"Fixed bills")-SUMIFS(Transactions!$D$6:$D$2005,Transactions!$F$6:$F$2005,B17,Transactions!$H$6:$H$2005,"Variable expenses"))</f>
        <v/>
      </c>
      <c r="G17" s="40">
        <f>IF(B17="",0,N(E17)+F17)</f>
        <v/>
      </c>
      <c r="H17" s="32">
        <f>IF(B17="",0,MAX(0,N(C17)-G17))</f>
        <v/>
      </c>
      <c r="I17" s="64">
        <f>IF(N(C17)&lt;=0,"",MIN(1,MAX(0,G17/C17)))</f>
        <v/>
      </c>
      <c r="J17" s="65">
        <f>IF(I17="","",REPT("■",ROUND(MIN(1,MAX(0,N(I17)))*10,0))&amp;REPT("□",10-ROUND(MIN(1,MAX(0,N(I17)))*10,0)))</f>
        <v/>
      </c>
      <c r="K17" s="66">
        <f>IF(OR(B17="",NOT(ISNUMBER(D17))),"",MAX(0,(YEAR(D17)-YEAR(Settings!$C$11))*12+MONTH(D17)-MONTH(Settings!$C$11)))</f>
        <v/>
      </c>
      <c r="L17" s="32">
        <f>IF(OR(B17="",K17=""),"",IF(H17&lt;=0,0,H17/MAX(1,K17)))</f>
        <v/>
      </c>
      <c r="M17" s="28" t="n"/>
      <c r="N17" s="67">
        <f>IF(OR(B17="",N(C17)&lt;=0),"",IF(H17&lt;=0,"Reached",IF(N(M17)&lt;=0,"",DATE(YEAR(Settings!$C$11),MONTH(Settings!$C$11)+ROUNDUP(H17/M17,0),1))))</f>
        <v/>
      </c>
      <c r="O17" s="31">
        <f>IF(B17="",IF(OR(N(C17)&lt;&gt;0,N(E17)&lt;&gt;0),"Name missing",""),IF(COUNTIF(Lists!$G$2:$G$25,B17)&gt;1,"Name used twice",IF(N(C17)&lt;=0,"Enter a target",IF(H17&lt;=0,"Reached",IF(K17="","Enter a target date",IF(K17=0,"Target date reached",IF(N(M17)&lt;=0,"Enter a monthly plan",IF(M17&gt;=L17-0.005,"On track","Behind"))))))))</f>
        <v/>
      </c>
    </row>
    <row r="18">
      <c r="B18" s="33" t="inlineStr">
        <is>
          <t>Total</t>
        </is>
      </c>
      <c r="C18" s="35">
        <f>SUM(C6:C17)</f>
        <v/>
      </c>
      <c r="D18" s="33" t="n"/>
      <c r="E18" s="35">
        <f>SUM(E6:E17)</f>
        <v/>
      </c>
      <c r="F18" s="35">
        <f>SUM(F6:F17)</f>
        <v/>
      </c>
      <c r="G18" s="35">
        <f>SUM(G6:G17)</f>
        <v/>
      </c>
      <c r="H18" s="35">
        <f>SUM(H6:H17)</f>
        <v/>
      </c>
      <c r="I18" s="45">
        <f>IF(C18=0,0,MIN(1,G18/C18))</f>
        <v/>
      </c>
      <c r="J18" s="68">
        <f>IF(C18=0,"",REPT("■",ROUND(MIN(1,MAX(0,N(I18)))*10,0))&amp;REPT("□",10-ROUND(MIN(1,MAX(0,N(I18)))*10,0)))</f>
        <v/>
      </c>
      <c r="K18" s="33" t="n"/>
      <c r="L18" s="35">
        <f>SUM(L6:L17)</f>
        <v/>
      </c>
      <c r="M18" s="35">
        <f>SUM(M6:M17)</f>
        <v/>
      </c>
      <c r="N18" s="33" t="n"/>
      <c r="O18" s="33" t="n"/>
    </row>
    <row r="20">
      <c r="B20" s="24" t="inlineStr">
        <is>
          <t>Saved so far = starting amount + Savings &amp; debt transactions tagged with the goal − expenses tagged with it. Needed per month = still needed ÷ months left.</t>
        </is>
      </c>
    </row>
    <row r="21">
      <c r="B21" s="24" t="inlineStr">
        <is>
          <t>Starting amount: what the goal already had before you started logging it here. Type the goal name exactly as in Transactions (the drop-down list uses these names).</t>
        </is>
      </c>
    </row>
  </sheetData>
  <sheetProtection selectLockedCells="0" selectUnlockedCells="0" sheet="1" objects="0" insertRows="1" insertHyperlinks="1" autoFilter="1" scenarios="0" formatColumns="0" deleteColumns="1" insertColumns="1" pivotTables="1" deleteRows="1" formatCells="0" formatRows="0" sort="1"/>
  <mergeCells count="1">
    <mergeCell ref="I5:J5"/>
  </mergeCells>
  <conditionalFormatting sqref="O6:O17">
    <cfRule type="expression" priority="1" dxfId="2">
      <formula>OR(O6="Reached",O6="On track")</formula>
    </cfRule>
    <cfRule type="expression" priority="2" dxfId="1">
      <formula>O6="Behind"</formula>
    </cfRule>
    <cfRule type="expression" priority="3" dxfId="4">
      <formula>OR(LEFT(O6,4)="Name",LEFT(O6,5)="Enter",LEFT(O6,6)="Target")</formula>
    </cfRule>
  </conditionalFormatting>
  <dataValidations count="4">
    <dataValidation sqref="C6:C17" showDropDown="0" showInputMessage="0" showErrorMessage="1" allowBlank="1" errorTitle="Value not valid" error="Enter a positive amount." type="decimal" operator="between">
      <formula1>0</formula1>
      <formula2>100000000</formula2>
    </dataValidation>
    <dataValidation sqref="D6:D17" showDropDown="0" showInputMessage="0" showErrorMessage="1" allowBlank="1" errorTitle="Date not valid" error="Enter a date, for example 2026-03-15 (year-month-day)." type="date" operator="between">
      <formula1>36526</formula1>
      <formula2>73050</formula2>
    </dataValidation>
    <dataValidation sqref="E6:E17" showDropDown="0" showInputMessage="0" showErrorMessage="1" allowBlank="1" errorTitle="Value not valid" error="Enter a number, for example 125.50." type="decimal" operator="between">
      <formula1>-100000000</formula1>
      <formula2>100000000</formula2>
    </dataValidation>
    <dataValidation sqref="M6:M17" showDropDown="0" showInputMessage="0" showErrorMessage="1" allowBlank="1" errorTitle="Value not valid" error="Enter a positive amount." type="decimal" operator="between">
      <formula1>0</formula1>
      <formula2>100000000</formula2>
    </dataValidation>
  </dataValidations>
  <printOptions horizontalCentered="1"/>
  <pageMargins left="0.4" right="0.4" top="0.5" bottom="0.5" header="0.5" footer="0.5"/>
  <pageSetup orientation="landscape" paperSize="1" fitToHeight="0" fitToWidth="1"/>
</worksheet>
</file>

<file path=xl/worksheets/sheet9.xml><?xml version="1.0" encoding="utf-8"?>
<worksheet xmlns="http://schemas.openxmlformats.org/spreadsheetml/2006/main">
  <sheetPr>
    <tabColor rgb="00E3C766"/>
    <outlinePr summaryBelow="1" summaryRight="1"/>
    <pageSetUpPr fitToPage="1"/>
  </sheetPr>
  <dimension ref="B1:N23"/>
  <sheetViews>
    <sheetView showGridLines="0" tabSelected="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3" customWidth="1" min="3" max="3"/>
    <col width="12" customWidth="1" min="4" max="4"/>
    <col width="13" customWidth="1" min="5" max="5"/>
    <col width="13" customWidth="1" min="6" max="6"/>
    <col width="13" customWidth="1" min="7" max="7"/>
    <col width="13" customWidth="1" min="8" max="8"/>
    <col width="13" customWidth="1" min="9" max="9"/>
    <col width="9" customWidth="1" min="10" max="10"/>
    <col width="14" customWidth="1" min="11" max="11"/>
    <col width="8" customWidth="1" min="12" max="12"/>
    <col width="14" customWidth="1" min="13" max="13"/>
    <col width="18" customWidth="1" min="14" max="14"/>
  </cols>
  <sheetData>
    <row r="1" ht="30" customHeight="1">
      <c r="B1" s="12" t="inlineStr">
        <is>
          <t>Sinking Funds</t>
        </is>
      </c>
    </row>
    <row r="2">
      <c r="B2" s="13" t="inlineStr">
        <is>
          <t>Money you set aside every month for costs you know are coming: car repairs, gifts, vacations, annual bills.</t>
        </is>
      </c>
    </row>
    <row r="3">
      <c r="B3" s="24" t="inlineStr">
        <is>
          <t>Put money in: a Sinking funds transaction tagged with the fund. Spend it: log the expense in its own category and tag the same fund.</t>
        </is>
      </c>
    </row>
    <row r="5" ht="44" customHeight="1">
      <c r="B5" s="14" t="inlineStr">
        <is>
          <t>Fund</t>
        </is>
      </c>
      <c r="C5" s="14">
        <f>"Amount needed"&amp;Settings!$C$14</f>
        <v/>
      </c>
      <c r="D5" s="14" t="inlineStr">
        <is>
          <t>Due date</t>
        </is>
      </c>
      <c r="E5" s="14">
        <f>"Starting balance"&amp;Settings!$C$14</f>
        <v/>
      </c>
      <c r="F5" s="14">
        <f>"Added"&amp;Settings!$C$14</f>
        <v/>
      </c>
      <c r="G5" s="14">
        <f>"Spent"&amp;Settings!$C$14</f>
        <v/>
      </c>
      <c r="H5" s="14">
        <f>"Balance"&amp;Settings!$C$14</f>
        <v/>
      </c>
      <c r="I5" s="14">
        <f>"Still needed"&amp;Settings!$C$14</f>
        <v/>
      </c>
      <c r="J5" s="14" t="inlineStr">
        <is>
          <t>Progress</t>
        </is>
      </c>
      <c r="L5" s="14" t="inlineStr">
        <is>
          <t>Months left</t>
        </is>
      </c>
      <c r="M5" s="14">
        <f>"Set aside per month"&amp;Settings!$C$14</f>
        <v/>
      </c>
      <c r="N5" s="14" t="inlineStr">
        <is>
          <t>Status</t>
        </is>
      </c>
    </row>
    <row r="6">
      <c r="B6" s="23" t="inlineStr">
        <is>
          <t>Car maintenance</t>
        </is>
      </c>
      <c r="C6" s="28" t="n">
        <v>900</v>
      </c>
      <c r="D6" s="27" t="n">
        <v>46660</v>
      </c>
      <c r="E6" s="28" t="n">
        <v>350</v>
      </c>
      <c r="F6" s="32">
        <f>IF(B6="",0,SUMIFS(Transactions!$D$6:$D$2005,Transactions!$F$6:$F$2005,B6,Transactions!$H$6:$H$2005,"Savings &amp; debt"))</f>
        <v/>
      </c>
      <c r="G6" s="32">
        <f>IF(B6="",0,SUMIFS(Transactions!$D$6:$D$2005,Transactions!$F$6:$F$2005,B6,Transactions!$H$6:$H$2005,"Fixed bills")+SUMIFS(Transactions!$D$6:$D$2005,Transactions!$F$6:$F$2005,B6,Transactions!$H$6:$H$2005,"Variable expenses"))</f>
        <v/>
      </c>
      <c r="H6" s="40">
        <f>IF(B6="",0,N(E6)+F6-G6)</f>
        <v/>
      </c>
      <c r="I6" s="32">
        <f>IF(B6="",0,MAX(0,N(C6)-H6))</f>
        <v/>
      </c>
      <c r="J6" s="64">
        <f>IF(N(C6)&lt;=0,"",MIN(1,MAX(0,H6/C6)))</f>
        <v/>
      </c>
      <c r="K6" s="65">
        <f>IF(J6="","",REPT("■",ROUND(MIN(1,MAX(0,N(J6)))*10,0))&amp;REPT("□",10-ROUND(MIN(1,MAX(0,N(J6)))*10,0)))</f>
        <v/>
      </c>
      <c r="L6" s="66">
        <f>IF(OR(B6="",NOT(ISNUMBER(D6))),"",MAX(0,(YEAR(D6)-YEAR(Settings!$C$11))*12+MONTH(D6)-MONTH(Settings!$C$11)))</f>
        <v/>
      </c>
      <c r="M6" s="40">
        <f>IF(OR(B6="",L6=""),"",IF(I6&lt;=0,0,I6/MAX(1,L6)))</f>
        <v/>
      </c>
      <c r="N6" s="31">
        <f>IF(B6="",IF(OR(N(C6)&lt;&gt;0,N(E6)&lt;&gt;0),"Name missing",""),IF(COUNTIF(Lists!$G$2:$G$25,B6)&gt;1,"Name used twice",IF(N(C6)&lt;=0,"Enter an amount",IF(H6&lt;-0.004,"Overspent",IF(I6&lt;=0.004,"Ready",IF(L6="","Enter a due date",IF(L6=0,"Due now","Saving")))))))</f>
        <v/>
      </c>
    </row>
    <row r="7">
      <c r="B7" s="23" t="inlineStr">
        <is>
          <t>Holiday gifts</t>
        </is>
      </c>
      <c r="C7" s="28" t="n">
        <v>700</v>
      </c>
      <c r="D7" s="27" t="n">
        <v>46722</v>
      </c>
      <c r="E7" s="28" t="n">
        <v>80</v>
      </c>
      <c r="F7" s="32">
        <f>IF(B7="",0,SUMIFS(Transactions!$D$6:$D$2005,Transactions!$F$6:$F$2005,B7,Transactions!$H$6:$H$2005,"Savings &amp; debt"))</f>
        <v/>
      </c>
      <c r="G7" s="32">
        <f>IF(B7="",0,SUMIFS(Transactions!$D$6:$D$2005,Transactions!$F$6:$F$2005,B7,Transactions!$H$6:$H$2005,"Fixed bills")+SUMIFS(Transactions!$D$6:$D$2005,Transactions!$F$6:$F$2005,B7,Transactions!$H$6:$H$2005,"Variable expenses"))</f>
        <v/>
      </c>
      <c r="H7" s="40">
        <f>IF(B7="",0,N(E7)+F7-G7)</f>
        <v/>
      </c>
      <c r="I7" s="32">
        <f>IF(B7="",0,MAX(0,N(C7)-H7))</f>
        <v/>
      </c>
      <c r="J7" s="64">
        <f>IF(N(C7)&lt;=0,"",MIN(1,MAX(0,H7/C7)))</f>
        <v/>
      </c>
      <c r="K7" s="65">
        <f>IF(J7="","",REPT("■",ROUND(MIN(1,MAX(0,N(J7)))*10,0))&amp;REPT("□",10-ROUND(MIN(1,MAX(0,N(J7)))*10,0)))</f>
        <v/>
      </c>
      <c r="L7" s="66">
        <f>IF(OR(B7="",NOT(ISNUMBER(D7))),"",MAX(0,(YEAR(D7)-YEAR(Settings!$C$11))*12+MONTH(D7)-MONTH(Settings!$C$11)))</f>
        <v/>
      </c>
      <c r="M7" s="40">
        <f>IF(OR(B7="",L7=""),"",IF(I7&lt;=0,0,I7/MAX(1,L7)))</f>
        <v/>
      </c>
      <c r="N7" s="31">
        <f>IF(B7="",IF(OR(N(C7)&lt;&gt;0,N(E7)&lt;&gt;0),"Name missing",""),IF(COUNTIF(Lists!$G$2:$G$25,B7)&gt;1,"Name used twice",IF(N(C7)&lt;=0,"Enter an amount",IF(H7&lt;-0.004,"Overspent",IF(I7&lt;=0.004,"Ready",IF(L7="","Enter a due date",IF(L7=0,"Due now","Saving")))))))</f>
        <v/>
      </c>
    </row>
    <row r="8">
      <c r="B8" s="23" t="inlineStr">
        <is>
          <t>Summer vacation</t>
        </is>
      </c>
      <c r="C8" s="28" t="n">
        <v>1800</v>
      </c>
      <c r="D8" s="27" t="n">
        <v>46569</v>
      </c>
      <c r="E8" s="28" t="n">
        <v>400</v>
      </c>
      <c r="F8" s="32">
        <f>IF(B8="",0,SUMIFS(Transactions!$D$6:$D$2005,Transactions!$F$6:$F$2005,B8,Transactions!$H$6:$H$2005,"Savings &amp; debt"))</f>
        <v/>
      </c>
      <c r="G8" s="32">
        <f>IF(B8="",0,SUMIFS(Transactions!$D$6:$D$2005,Transactions!$F$6:$F$2005,B8,Transactions!$H$6:$H$2005,"Fixed bills")+SUMIFS(Transactions!$D$6:$D$2005,Transactions!$F$6:$F$2005,B8,Transactions!$H$6:$H$2005,"Variable expenses"))</f>
        <v/>
      </c>
      <c r="H8" s="40">
        <f>IF(B8="",0,N(E8)+F8-G8)</f>
        <v/>
      </c>
      <c r="I8" s="32">
        <f>IF(B8="",0,MAX(0,N(C8)-H8))</f>
        <v/>
      </c>
      <c r="J8" s="64">
        <f>IF(N(C8)&lt;=0,"",MIN(1,MAX(0,H8/C8)))</f>
        <v/>
      </c>
      <c r="K8" s="65">
        <f>IF(J8="","",REPT("■",ROUND(MIN(1,MAX(0,N(J8)))*10,0))&amp;REPT("□",10-ROUND(MIN(1,MAX(0,N(J8)))*10,0)))</f>
        <v/>
      </c>
      <c r="L8" s="66">
        <f>IF(OR(B8="",NOT(ISNUMBER(D8))),"",MAX(0,(YEAR(D8)-YEAR(Settings!$C$11))*12+MONTH(D8)-MONTH(Settings!$C$11)))</f>
        <v/>
      </c>
      <c r="M8" s="40">
        <f>IF(OR(B8="",L8=""),"",IF(I8&lt;=0,0,I8/MAX(1,L8)))</f>
        <v/>
      </c>
      <c r="N8" s="31">
        <f>IF(B8="",IF(OR(N(C8)&lt;&gt;0,N(E8)&lt;&gt;0),"Name missing",""),IF(COUNTIF(Lists!$G$2:$G$25,B8)&gt;1,"Name used twice",IF(N(C8)&lt;=0,"Enter an amount",IF(H8&lt;-0.004,"Overspent",IF(I8&lt;=0.004,"Ready",IF(L8="","Enter a due date",IF(L8=0,"Due now","Saving")))))))</f>
        <v/>
      </c>
    </row>
    <row r="9">
      <c r="B9" s="23" t="inlineStr">
        <is>
          <t>Home repairs</t>
        </is>
      </c>
      <c r="C9" s="28" t="n">
        <v>600</v>
      </c>
      <c r="D9" s="27" t="n">
        <v>46752</v>
      </c>
      <c r="E9" s="28" t="n">
        <v>150</v>
      </c>
      <c r="F9" s="32">
        <f>IF(B9="",0,SUMIFS(Transactions!$D$6:$D$2005,Transactions!$F$6:$F$2005,B9,Transactions!$H$6:$H$2005,"Savings &amp; debt"))</f>
        <v/>
      </c>
      <c r="G9" s="32">
        <f>IF(B9="",0,SUMIFS(Transactions!$D$6:$D$2005,Transactions!$F$6:$F$2005,B9,Transactions!$H$6:$H$2005,"Fixed bills")+SUMIFS(Transactions!$D$6:$D$2005,Transactions!$F$6:$F$2005,B9,Transactions!$H$6:$H$2005,"Variable expenses"))</f>
        <v/>
      </c>
      <c r="H9" s="40">
        <f>IF(B9="",0,N(E9)+F9-G9)</f>
        <v/>
      </c>
      <c r="I9" s="32">
        <f>IF(B9="",0,MAX(0,N(C9)-H9))</f>
        <v/>
      </c>
      <c r="J9" s="64">
        <f>IF(N(C9)&lt;=0,"",MIN(1,MAX(0,H9/C9)))</f>
        <v/>
      </c>
      <c r="K9" s="65">
        <f>IF(J9="","",REPT("■",ROUND(MIN(1,MAX(0,N(J9)))*10,0))&amp;REPT("□",10-ROUND(MIN(1,MAX(0,N(J9)))*10,0)))</f>
        <v/>
      </c>
      <c r="L9" s="66">
        <f>IF(OR(B9="",NOT(ISNUMBER(D9))),"",MAX(0,(YEAR(D9)-YEAR(Settings!$C$11))*12+MONTH(D9)-MONTH(Settings!$C$11)))</f>
        <v/>
      </c>
      <c r="M9" s="40">
        <f>IF(OR(B9="",L9=""),"",IF(I9&lt;=0,0,I9/MAX(1,L9)))</f>
        <v/>
      </c>
      <c r="N9" s="31">
        <f>IF(B9="",IF(OR(N(C9)&lt;&gt;0,N(E9)&lt;&gt;0),"Name missing",""),IF(COUNTIF(Lists!$G$2:$G$25,B9)&gt;1,"Name used twice",IF(N(C9)&lt;=0,"Enter an amount",IF(H9&lt;-0.004,"Overspent",IF(I9&lt;=0.004,"Ready",IF(L9="","Enter a due date",IF(L9=0,"Due now","Saving")))))))</f>
        <v/>
      </c>
    </row>
    <row r="10">
      <c r="B10" s="23" t="n"/>
      <c r="C10" s="28" t="n"/>
      <c r="D10" s="27" t="n"/>
      <c r="E10" s="28" t="n"/>
      <c r="F10" s="32">
        <f>IF(B10="",0,SUMIFS(Transactions!$D$6:$D$2005,Transactions!$F$6:$F$2005,B10,Transactions!$H$6:$H$2005,"Savings &amp; debt"))</f>
        <v/>
      </c>
      <c r="G10" s="32">
        <f>IF(B10="",0,SUMIFS(Transactions!$D$6:$D$2005,Transactions!$F$6:$F$2005,B10,Transactions!$H$6:$H$2005,"Fixed bills")+SUMIFS(Transactions!$D$6:$D$2005,Transactions!$F$6:$F$2005,B10,Transactions!$H$6:$H$2005,"Variable expenses"))</f>
        <v/>
      </c>
      <c r="H10" s="40">
        <f>IF(B10="",0,N(E10)+F10-G10)</f>
        <v/>
      </c>
      <c r="I10" s="32">
        <f>IF(B10="",0,MAX(0,N(C10)-H10))</f>
        <v/>
      </c>
      <c r="J10" s="64">
        <f>IF(N(C10)&lt;=0,"",MIN(1,MAX(0,H10/C10)))</f>
        <v/>
      </c>
      <c r="K10" s="65">
        <f>IF(J10="","",REPT("■",ROUND(MIN(1,MAX(0,N(J10)))*10,0))&amp;REPT("□",10-ROUND(MIN(1,MAX(0,N(J10)))*10,0)))</f>
        <v/>
      </c>
      <c r="L10" s="66">
        <f>IF(OR(B10="",NOT(ISNUMBER(D10))),"",MAX(0,(YEAR(D10)-YEAR(Settings!$C$11))*12+MONTH(D10)-MONTH(Settings!$C$11)))</f>
        <v/>
      </c>
      <c r="M10" s="40">
        <f>IF(OR(B10="",L10=""),"",IF(I10&lt;=0,0,I10/MAX(1,L10)))</f>
        <v/>
      </c>
      <c r="N10" s="31">
        <f>IF(B10="",IF(OR(N(C10)&lt;&gt;0,N(E10)&lt;&gt;0),"Name missing",""),IF(COUNTIF(Lists!$G$2:$G$25,B10)&gt;1,"Name used twice",IF(N(C10)&lt;=0,"Enter an amount",IF(H10&lt;-0.004,"Overspent",IF(I10&lt;=0.004,"Ready",IF(L10="","Enter a due date",IF(L10=0,"Due now","Saving")))))))</f>
        <v/>
      </c>
    </row>
    <row r="11">
      <c r="B11" s="23" t="n"/>
      <c r="C11" s="28" t="n"/>
      <c r="D11" s="27" t="n"/>
      <c r="E11" s="28" t="n"/>
      <c r="F11" s="32">
        <f>IF(B11="",0,SUMIFS(Transactions!$D$6:$D$2005,Transactions!$F$6:$F$2005,B11,Transactions!$H$6:$H$2005,"Savings &amp; debt"))</f>
        <v/>
      </c>
      <c r="G11" s="32">
        <f>IF(B11="",0,SUMIFS(Transactions!$D$6:$D$2005,Transactions!$F$6:$F$2005,B11,Transactions!$H$6:$H$2005,"Fixed bills")+SUMIFS(Transactions!$D$6:$D$2005,Transactions!$F$6:$F$2005,B11,Transactions!$H$6:$H$2005,"Variable expenses"))</f>
        <v/>
      </c>
      <c r="H11" s="40">
        <f>IF(B11="",0,N(E11)+F11-G11)</f>
        <v/>
      </c>
      <c r="I11" s="32">
        <f>IF(B11="",0,MAX(0,N(C11)-H11))</f>
        <v/>
      </c>
      <c r="J11" s="64">
        <f>IF(N(C11)&lt;=0,"",MIN(1,MAX(0,H11/C11)))</f>
        <v/>
      </c>
      <c r="K11" s="65">
        <f>IF(J11="","",REPT("■",ROUND(MIN(1,MAX(0,N(J11)))*10,0))&amp;REPT("□",10-ROUND(MIN(1,MAX(0,N(J11)))*10,0)))</f>
        <v/>
      </c>
      <c r="L11" s="66">
        <f>IF(OR(B11="",NOT(ISNUMBER(D11))),"",MAX(0,(YEAR(D11)-YEAR(Settings!$C$11))*12+MONTH(D11)-MONTH(Settings!$C$11)))</f>
        <v/>
      </c>
      <c r="M11" s="40">
        <f>IF(OR(B11="",L11=""),"",IF(I11&lt;=0,0,I11/MAX(1,L11)))</f>
        <v/>
      </c>
      <c r="N11" s="31">
        <f>IF(B11="",IF(OR(N(C11)&lt;&gt;0,N(E11)&lt;&gt;0),"Name missing",""),IF(COUNTIF(Lists!$G$2:$G$25,B11)&gt;1,"Name used twice",IF(N(C11)&lt;=0,"Enter an amount",IF(H11&lt;-0.004,"Overspent",IF(I11&lt;=0.004,"Ready",IF(L11="","Enter a due date",IF(L11=0,"Due now","Saving")))))))</f>
        <v/>
      </c>
    </row>
    <row r="12">
      <c r="B12" s="23" t="n"/>
      <c r="C12" s="28" t="n"/>
      <c r="D12" s="27" t="n"/>
      <c r="E12" s="28" t="n"/>
      <c r="F12" s="32">
        <f>IF(B12="",0,SUMIFS(Transactions!$D$6:$D$2005,Transactions!$F$6:$F$2005,B12,Transactions!$H$6:$H$2005,"Savings &amp; debt"))</f>
        <v/>
      </c>
      <c r="G12" s="32">
        <f>IF(B12="",0,SUMIFS(Transactions!$D$6:$D$2005,Transactions!$F$6:$F$2005,B12,Transactions!$H$6:$H$2005,"Fixed bills")+SUMIFS(Transactions!$D$6:$D$2005,Transactions!$F$6:$F$2005,B12,Transactions!$H$6:$H$2005,"Variable expenses"))</f>
        <v/>
      </c>
      <c r="H12" s="40">
        <f>IF(B12="",0,N(E12)+F12-G12)</f>
        <v/>
      </c>
      <c r="I12" s="32">
        <f>IF(B12="",0,MAX(0,N(C12)-H12))</f>
        <v/>
      </c>
      <c r="J12" s="64">
        <f>IF(N(C12)&lt;=0,"",MIN(1,MAX(0,H12/C12)))</f>
        <v/>
      </c>
      <c r="K12" s="65">
        <f>IF(J12="","",REPT("■",ROUND(MIN(1,MAX(0,N(J12)))*10,0))&amp;REPT("□",10-ROUND(MIN(1,MAX(0,N(J12)))*10,0)))</f>
        <v/>
      </c>
      <c r="L12" s="66">
        <f>IF(OR(B12="",NOT(ISNUMBER(D12))),"",MAX(0,(YEAR(D12)-YEAR(Settings!$C$11))*12+MONTH(D12)-MONTH(Settings!$C$11)))</f>
        <v/>
      </c>
      <c r="M12" s="40">
        <f>IF(OR(B12="",L12=""),"",IF(I12&lt;=0,0,I12/MAX(1,L12)))</f>
        <v/>
      </c>
      <c r="N12" s="31">
        <f>IF(B12="",IF(OR(N(C12)&lt;&gt;0,N(E12)&lt;&gt;0),"Name missing",""),IF(COUNTIF(Lists!$G$2:$G$25,B12)&gt;1,"Name used twice",IF(N(C12)&lt;=0,"Enter an amount",IF(H12&lt;-0.004,"Overspent",IF(I12&lt;=0.004,"Ready",IF(L12="","Enter a due date",IF(L12=0,"Due now","Saving")))))))</f>
        <v/>
      </c>
    </row>
    <row r="13">
      <c r="B13" s="23" t="n"/>
      <c r="C13" s="28" t="n"/>
      <c r="D13" s="27" t="n"/>
      <c r="E13" s="28" t="n"/>
      <c r="F13" s="32">
        <f>IF(B13="",0,SUMIFS(Transactions!$D$6:$D$2005,Transactions!$F$6:$F$2005,B13,Transactions!$H$6:$H$2005,"Savings &amp; debt"))</f>
        <v/>
      </c>
      <c r="G13" s="32">
        <f>IF(B13="",0,SUMIFS(Transactions!$D$6:$D$2005,Transactions!$F$6:$F$2005,B13,Transactions!$H$6:$H$2005,"Fixed bills")+SUMIFS(Transactions!$D$6:$D$2005,Transactions!$F$6:$F$2005,B13,Transactions!$H$6:$H$2005,"Variable expenses"))</f>
        <v/>
      </c>
      <c r="H13" s="40">
        <f>IF(B13="",0,N(E13)+F13-G13)</f>
        <v/>
      </c>
      <c r="I13" s="32">
        <f>IF(B13="",0,MAX(0,N(C13)-H13))</f>
        <v/>
      </c>
      <c r="J13" s="64">
        <f>IF(N(C13)&lt;=0,"",MIN(1,MAX(0,H13/C13)))</f>
        <v/>
      </c>
      <c r="K13" s="65">
        <f>IF(J13="","",REPT("■",ROUND(MIN(1,MAX(0,N(J13)))*10,0))&amp;REPT("□",10-ROUND(MIN(1,MAX(0,N(J13)))*10,0)))</f>
        <v/>
      </c>
      <c r="L13" s="66">
        <f>IF(OR(B13="",NOT(ISNUMBER(D13))),"",MAX(0,(YEAR(D13)-YEAR(Settings!$C$11))*12+MONTH(D13)-MONTH(Settings!$C$11)))</f>
        <v/>
      </c>
      <c r="M13" s="40">
        <f>IF(OR(B13="",L13=""),"",IF(I13&lt;=0,0,I13/MAX(1,L13)))</f>
        <v/>
      </c>
      <c r="N13" s="31">
        <f>IF(B13="",IF(OR(N(C13)&lt;&gt;0,N(E13)&lt;&gt;0),"Name missing",""),IF(COUNTIF(Lists!$G$2:$G$25,B13)&gt;1,"Name used twice",IF(N(C13)&lt;=0,"Enter an amount",IF(H13&lt;-0.004,"Overspent",IF(I13&lt;=0.004,"Ready",IF(L13="","Enter a due date",IF(L13=0,"Due now","Saving")))))))</f>
        <v/>
      </c>
    </row>
    <row r="14">
      <c r="B14" s="23" t="n"/>
      <c r="C14" s="28" t="n"/>
      <c r="D14" s="27" t="n"/>
      <c r="E14" s="28" t="n"/>
      <c r="F14" s="32">
        <f>IF(B14="",0,SUMIFS(Transactions!$D$6:$D$2005,Transactions!$F$6:$F$2005,B14,Transactions!$H$6:$H$2005,"Savings &amp; debt"))</f>
        <v/>
      </c>
      <c r="G14" s="32">
        <f>IF(B14="",0,SUMIFS(Transactions!$D$6:$D$2005,Transactions!$F$6:$F$2005,B14,Transactions!$H$6:$H$2005,"Fixed bills")+SUMIFS(Transactions!$D$6:$D$2005,Transactions!$F$6:$F$2005,B14,Transactions!$H$6:$H$2005,"Variable expenses"))</f>
        <v/>
      </c>
      <c r="H14" s="40">
        <f>IF(B14="",0,N(E14)+F14-G14)</f>
        <v/>
      </c>
      <c r="I14" s="32">
        <f>IF(B14="",0,MAX(0,N(C14)-H14))</f>
        <v/>
      </c>
      <c r="J14" s="64">
        <f>IF(N(C14)&lt;=0,"",MIN(1,MAX(0,H14/C14)))</f>
        <v/>
      </c>
      <c r="K14" s="65">
        <f>IF(J14="","",REPT("■",ROUND(MIN(1,MAX(0,N(J14)))*10,0))&amp;REPT("□",10-ROUND(MIN(1,MAX(0,N(J14)))*10,0)))</f>
        <v/>
      </c>
      <c r="L14" s="66">
        <f>IF(OR(B14="",NOT(ISNUMBER(D14))),"",MAX(0,(YEAR(D14)-YEAR(Settings!$C$11))*12+MONTH(D14)-MONTH(Settings!$C$11)))</f>
        <v/>
      </c>
      <c r="M14" s="40">
        <f>IF(OR(B14="",L14=""),"",IF(I14&lt;=0,0,I14/MAX(1,L14)))</f>
        <v/>
      </c>
      <c r="N14" s="31">
        <f>IF(B14="",IF(OR(N(C14)&lt;&gt;0,N(E14)&lt;&gt;0),"Name missing",""),IF(COUNTIF(Lists!$G$2:$G$25,B14)&gt;1,"Name used twice",IF(N(C14)&lt;=0,"Enter an amount",IF(H14&lt;-0.004,"Overspent",IF(I14&lt;=0.004,"Ready",IF(L14="","Enter a due date",IF(L14=0,"Due now","Saving")))))))</f>
        <v/>
      </c>
    </row>
    <row r="15">
      <c r="B15" s="23" t="n"/>
      <c r="C15" s="28" t="n"/>
      <c r="D15" s="27" t="n"/>
      <c r="E15" s="28" t="n"/>
      <c r="F15" s="32">
        <f>IF(B15="",0,SUMIFS(Transactions!$D$6:$D$2005,Transactions!$F$6:$F$2005,B15,Transactions!$H$6:$H$2005,"Savings &amp; debt"))</f>
        <v/>
      </c>
      <c r="G15" s="32">
        <f>IF(B15="",0,SUMIFS(Transactions!$D$6:$D$2005,Transactions!$F$6:$F$2005,B15,Transactions!$H$6:$H$2005,"Fixed bills")+SUMIFS(Transactions!$D$6:$D$2005,Transactions!$F$6:$F$2005,B15,Transactions!$H$6:$H$2005,"Variable expenses"))</f>
        <v/>
      </c>
      <c r="H15" s="40">
        <f>IF(B15="",0,N(E15)+F15-G15)</f>
        <v/>
      </c>
      <c r="I15" s="32">
        <f>IF(B15="",0,MAX(0,N(C15)-H15))</f>
        <v/>
      </c>
      <c r="J15" s="64">
        <f>IF(N(C15)&lt;=0,"",MIN(1,MAX(0,H15/C15)))</f>
        <v/>
      </c>
      <c r="K15" s="65">
        <f>IF(J15="","",REPT("■",ROUND(MIN(1,MAX(0,N(J15)))*10,0))&amp;REPT("□",10-ROUND(MIN(1,MAX(0,N(J15)))*10,0)))</f>
        <v/>
      </c>
      <c r="L15" s="66">
        <f>IF(OR(B15="",NOT(ISNUMBER(D15))),"",MAX(0,(YEAR(D15)-YEAR(Settings!$C$11))*12+MONTH(D15)-MONTH(Settings!$C$11)))</f>
        <v/>
      </c>
      <c r="M15" s="40">
        <f>IF(OR(B15="",L15=""),"",IF(I15&lt;=0,0,I15/MAX(1,L15)))</f>
        <v/>
      </c>
      <c r="N15" s="31">
        <f>IF(B15="",IF(OR(N(C15)&lt;&gt;0,N(E15)&lt;&gt;0),"Name missing",""),IF(COUNTIF(Lists!$G$2:$G$25,B15)&gt;1,"Name used twice",IF(N(C15)&lt;=0,"Enter an amount",IF(H15&lt;-0.004,"Overspent",IF(I15&lt;=0.004,"Ready",IF(L15="","Enter a due date",IF(L15=0,"Due now","Saving")))))))</f>
        <v/>
      </c>
    </row>
    <row r="16">
      <c r="B16" s="23" t="n"/>
      <c r="C16" s="28" t="n"/>
      <c r="D16" s="27" t="n"/>
      <c r="E16" s="28" t="n"/>
      <c r="F16" s="32">
        <f>IF(B16="",0,SUMIFS(Transactions!$D$6:$D$2005,Transactions!$F$6:$F$2005,B16,Transactions!$H$6:$H$2005,"Savings &amp; debt"))</f>
        <v/>
      </c>
      <c r="G16" s="32">
        <f>IF(B16="",0,SUMIFS(Transactions!$D$6:$D$2005,Transactions!$F$6:$F$2005,B16,Transactions!$H$6:$H$2005,"Fixed bills")+SUMIFS(Transactions!$D$6:$D$2005,Transactions!$F$6:$F$2005,B16,Transactions!$H$6:$H$2005,"Variable expenses"))</f>
        <v/>
      </c>
      <c r="H16" s="40">
        <f>IF(B16="",0,N(E16)+F16-G16)</f>
        <v/>
      </c>
      <c r="I16" s="32">
        <f>IF(B16="",0,MAX(0,N(C16)-H16))</f>
        <v/>
      </c>
      <c r="J16" s="64">
        <f>IF(N(C16)&lt;=0,"",MIN(1,MAX(0,H16/C16)))</f>
        <v/>
      </c>
      <c r="K16" s="65">
        <f>IF(J16="","",REPT("■",ROUND(MIN(1,MAX(0,N(J16)))*10,0))&amp;REPT("□",10-ROUND(MIN(1,MAX(0,N(J16)))*10,0)))</f>
        <v/>
      </c>
      <c r="L16" s="66">
        <f>IF(OR(B16="",NOT(ISNUMBER(D16))),"",MAX(0,(YEAR(D16)-YEAR(Settings!$C$11))*12+MONTH(D16)-MONTH(Settings!$C$11)))</f>
        <v/>
      </c>
      <c r="M16" s="40">
        <f>IF(OR(B16="",L16=""),"",IF(I16&lt;=0,0,I16/MAX(1,L16)))</f>
        <v/>
      </c>
      <c r="N16" s="31">
        <f>IF(B16="",IF(OR(N(C16)&lt;&gt;0,N(E16)&lt;&gt;0),"Name missing",""),IF(COUNTIF(Lists!$G$2:$G$25,B16)&gt;1,"Name used twice",IF(N(C16)&lt;=0,"Enter an amount",IF(H16&lt;-0.004,"Overspent",IF(I16&lt;=0.004,"Ready",IF(L16="","Enter a due date",IF(L16=0,"Due now","Saving")))))))</f>
        <v/>
      </c>
    </row>
    <row r="17">
      <c r="B17" s="23" t="n"/>
      <c r="C17" s="28" t="n"/>
      <c r="D17" s="27" t="n"/>
      <c r="E17" s="28" t="n"/>
      <c r="F17" s="32">
        <f>IF(B17="",0,SUMIFS(Transactions!$D$6:$D$2005,Transactions!$F$6:$F$2005,B17,Transactions!$H$6:$H$2005,"Savings &amp; debt"))</f>
        <v/>
      </c>
      <c r="G17" s="32">
        <f>IF(B17="",0,SUMIFS(Transactions!$D$6:$D$2005,Transactions!$F$6:$F$2005,B17,Transactions!$H$6:$H$2005,"Fixed bills")+SUMIFS(Transactions!$D$6:$D$2005,Transactions!$F$6:$F$2005,B17,Transactions!$H$6:$H$2005,"Variable expenses"))</f>
        <v/>
      </c>
      <c r="H17" s="40">
        <f>IF(B17="",0,N(E17)+F17-G17)</f>
        <v/>
      </c>
      <c r="I17" s="32">
        <f>IF(B17="",0,MAX(0,N(C17)-H17))</f>
        <v/>
      </c>
      <c r="J17" s="64">
        <f>IF(N(C17)&lt;=0,"",MIN(1,MAX(0,H17/C17)))</f>
        <v/>
      </c>
      <c r="K17" s="65">
        <f>IF(J17="","",REPT("■",ROUND(MIN(1,MAX(0,N(J17)))*10,0))&amp;REPT("□",10-ROUND(MIN(1,MAX(0,N(J17)))*10,0)))</f>
        <v/>
      </c>
      <c r="L17" s="66">
        <f>IF(OR(B17="",NOT(ISNUMBER(D17))),"",MAX(0,(YEAR(D17)-YEAR(Settings!$C$11))*12+MONTH(D17)-MONTH(Settings!$C$11)))</f>
        <v/>
      </c>
      <c r="M17" s="40">
        <f>IF(OR(B17="",L17=""),"",IF(I17&lt;=0,0,I17/MAX(1,L17)))</f>
        <v/>
      </c>
      <c r="N17" s="31">
        <f>IF(B17="",IF(OR(N(C17)&lt;&gt;0,N(E17)&lt;&gt;0),"Name missing",""),IF(COUNTIF(Lists!$G$2:$G$25,B17)&gt;1,"Name used twice",IF(N(C17)&lt;=0,"Enter an amount",IF(H17&lt;-0.004,"Overspent",IF(I17&lt;=0.004,"Ready",IF(L17="","Enter a due date",IF(L17=0,"Due now","Saving")))))))</f>
        <v/>
      </c>
    </row>
    <row r="18">
      <c r="B18" s="33" t="inlineStr">
        <is>
          <t>Total</t>
        </is>
      </c>
      <c r="C18" s="35">
        <f>SUM(C6:C17)</f>
        <v/>
      </c>
      <c r="D18" s="33" t="n"/>
      <c r="E18" s="35">
        <f>SUM(E6:E17)</f>
        <v/>
      </c>
      <c r="F18" s="35">
        <f>SUM(F6:F17)</f>
        <v/>
      </c>
      <c r="G18" s="35">
        <f>SUM(G6:G17)</f>
        <v/>
      </c>
      <c r="H18" s="35">
        <f>SUM(H6:H17)</f>
        <v/>
      </c>
      <c r="I18" s="35">
        <f>SUM(I6:I17)</f>
        <v/>
      </c>
      <c r="J18" s="45">
        <f>IF(C18=0,0,MIN(1,MAX(0,H18/C18)))</f>
        <v/>
      </c>
      <c r="K18" s="68">
        <f>IF(C18=0,"",REPT("■",ROUND(MIN(1,MAX(0,N(J18)))*10,0))&amp;REPT("□",10-ROUND(MIN(1,MAX(0,N(J18)))*10,0)))</f>
        <v/>
      </c>
      <c r="L18" s="33" t="n"/>
      <c r="M18" s="35">
        <f>SUM(M6:M17)</f>
        <v/>
      </c>
      <c r="N18" s="33" t="n"/>
    </row>
    <row r="20">
      <c r="B20" s="38">
        <f>"Planned in Monthly Budget for the Sinking funds category in "&amp;Settings!$C$13&amp;":"</f>
        <v/>
      </c>
      <c r="C20" s="57" t="n"/>
      <c r="D20" s="57" t="n"/>
      <c r="E20" s="57" t="n"/>
      <c r="F20" s="57" t="n"/>
      <c r="G20" s="57" t="n"/>
      <c r="H20" s="57" t="n"/>
      <c r="I20" s="57" t="n"/>
      <c r="J20" s="57" t="n"/>
      <c r="K20" s="57" t="n"/>
      <c r="L20" s="57" t="n"/>
      <c r="M20" s="40">
        <f>IFERROR(INDEX('Monthly Budget'!$D$14:$O$73,MATCH("Sinking funds",'Monthly Budget'!$A$14:$A$73,0),Settings!$C$12),"")</f>
        <v/>
      </c>
      <c r="N20" s="31">
        <f>IF(OR(M18&lt;=0,M20=""),"",IF(M20&gt;=M18-0.005,"Enough","Plan more"))</f>
        <v/>
      </c>
    </row>
    <row r="22">
      <c r="B22" s="24" t="inlineStr">
        <is>
          <t>Balance = starting balance + money added − money spent (transactions tagged with the fund). Set aside per month = still needed ÷ months left.</t>
        </is>
      </c>
    </row>
    <row r="23">
      <c r="B23" s="24" t="inlineStr">
        <is>
          <t>After the due date, change it to the next one (for example next year): the fund starts filling up again.</t>
        </is>
      </c>
    </row>
  </sheetData>
  <sheetProtection selectLockedCells="0" selectUnlockedCells="0" sheet="1" objects="0" insertRows="1" insertHyperlinks="1" autoFilter="1" scenarios="0" formatColumns="0" deleteColumns="1" insertColumns="1" pivotTables="1" deleteRows="1" formatCells="0" formatRows="0" sort="1"/>
  <mergeCells count="1">
    <mergeCell ref="J5:K5"/>
  </mergeCells>
  <conditionalFormatting sqref="N6:N17">
    <cfRule type="expression" priority="1" dxfId="2">
      <formula>OR(N6="Ready",N6="Saving")</formula>
    </cfRule>
    <cfRule type="expression" priority="2" dxfId="1">
      <formula>OR(N6="Overspent",N6="Due now")</formula>
    </cfRule>
    <cfRule type="expression" priority="3" dxfId="4">
      <formula>OR(LEFT(N6,4)="Name",LEFT(N6,5)="Enter")</formula>
    </cfRule>
  </conditionalFormatting>
  <conditionalFormatting sqref="N20">
    <cfRule type="expression" priority="4" dxfId="3">
      <formula>N20="Plan more"</formula>
    </cfRule>
    <cfRule type="expression" priority="5" dxfId="2">
      <formula>N20="Enough"</formula>
    </cfRule>
  </conditionalFormatting>
  <dataValidations count="3">
    <dataValidation sqref="C6:C17" showDropDown="0" showInputMessage="0" showErrorMessage="1" allowBlank="1" errorTitle="Value not valid" error="Enter a positive amount." type="decimal" operator="between">
      <formula1>0</formula1>
      <formula2>100000000</formula2>
    </dataValidation>
    <dataValidation sqref="D6:D17" showDropDown="0" showInputMessage="0" showErrorMessage="1" allowBlank="1" errorTitle="Date not valid" error="Enter a date, for example 2026-03-15 (year-month-day)." type="date" operator="between">
      <formula1>36526</formula1>
      <formula2>73050</formula2>
    </dataValidation>
    <dataValidation sqref="E6:E17" showDropDown="0" showInputMessage="0" showErrorMessage="1" allowBlank="1" errorTitle="Value not valid" error="Enter a number, for example 125.50." type="decimal" operator="between">
      <formula1>-100000000</formula1>
      <formula2>100000000</formula2>
    </dataValidation>
  </dataValidations>
  <printOptions horizontalCentered="1"/>
  <pageMargins left="0.4" right="0.4" top="0.5" bottom="0.5" header="0.5" footer="0.5"/>
  <pageSetup orientation="landscape" paperSize="1" fitToHeight="0" fitToWidth="1"/>
</worksheet>
</file>

<file path=xl/worksheets/sheet10.xml><?xml version="1.0" encoding="utf-8"?>
<worksheet xmlns="http://schemas.openxmlformats.org/spreadsheetml/2006/main">
  <sheetPr>
    <tabColor rgb="00E3C766"/>
    <outlinePr summaryBelow="1" summaryRight="1"/>
    <pageSetUpPr fitToPage="1"/>
  </sheetPr>
  <dimension ref="A1:M84"/>
  <sheetViews>
    <sheetView showGridLines="0" tabSelected="0"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4" customWidth="1" min="3" max="3"/>
    <col width="14" customWidth="1" min="4" max="4"/>
    <col width="14" customWidth="1" min="5" max="5"/>
    <col width="13" customWidth="1" min="6" max="6"/>
    <col width="11" customWidth="1" min="7" max="7"/>
    <col width="12" customWidth="1" min="8" max="8"/>
    <col width="11" customWidth="1" min="9" max="9"/>
    <col width="11" customWidth="1" min="10" max="10"/>
    <col width="13" customWidth="1" min="11" max="11"/>
    <col width="30" customWidth="1" min="12" max="12"/>
    <col hidden="1" width="8" customWidth="1" min="13" max="13"/>
  </cols>
  <sheetData>
    <row r="1" ht="30" customHeight="1">
      <c r="B1" s="12" t="inlineStr">
        <is>
          <t>Debt Payoff</t>
        </is>
      </c>
    </row>
    <row r="2">
      <c r="B2" s="13" t="inlineStr">
        <is>
          <t>List your debts. Pay the minimum on every debt and put anything extra on the first one in the order. When a debt is paid off, its payment rolls over to the next.</t>
        </is>
      </c>
    </row>
    <row r="4" ht="20" customHeight="1">
      <c r="B4" s="15" t="inlineStr">
        <is>
          <t>Payoff method</t>
        </is>
      </c>
      <c r="C4" s="42" t="inlineStr">
        <is>
          <t>Avalanche</t>
        </is>
      </c>
      <c r="D4" s="43" t="inlineStr">
        <is>
          <t>Avalanche: highest APR first (usually the least interest). Snowball: smallest balance first (quick wins).</t>
        </is>
      </c>
    </row>
    <row r="5" ht="20" customHeight="1">
      <c r="B5" s="15">
        <f>"Extra payment each month"&amp;Settings!$C$14</f>
        <v/>
      </c>
      <c r="C5" s="69" t="n">
        <v>150</v>
      </c>
      <c r="D5" s="43" t="inlineStr">
        <is>
          <t>On top of all the minimum payments. The total you pay each month stays the same until you are debt-free.</t>
        </is>
      </c>
    </row>
    <row r="7" ht="44" customHeight="1">
      <c r="B7" s="14" t="inlineStr">
        <is>
          <t>Debt</t>
        </is>
      </c>
      <c r="C7" s="14">
        <f>"Balance"&amp;Settings!$C$14</f>
        <v/>
      </c>
      <c r="D7" s="14" t="inlineStr">
        <is>
          <t>APR (yearly rate)</t>
        </is>
      </c>
      <c r="E7" s="14">
        <f>"Minimum payment"&amp;Settings!$C$14</f>
        <v/>
      </c>
      <c r="F7" s="14">
        <f>"Interest this month"&amp;Settings!$C$14</f>
        <v/>
      </c>
      <c r="G7" s="14" t="inlineStr">
        <is>
          <t>Months (minimums only)</t>
        </is>
      </c>
      <c r="H7" s="14" t="inlineStr">
        <is>
          <t>Paid off (minimums only)</t>
        </is>
      </c>
      <c r="I7" s="14" t="inlineStr">
        <is>
          <t>Avalanche order</t>
        </is>
      </c>
      <c r="J7" s="14" t="inlineStr">
        <is>
          <t>Snowball order</t>
        </is>
      </c>
      <c r="K7" s="14" t="inlineStr">
        <is>
          <t>Paid off (your plan)</t>
        </is>
      </c>
      <c r="L7" s="14" t="inlineStr">
        <is>
          <t>Check</t>
        </is>
      </c>
      <c r="M7" s="14" t="inlineStr">
        <is>
          <t>Months (your plan)</t>
        </is>
      </c>
    </row>
    <row r="8">
      <c r="B8" s="23" t="inlineStr">
        <is>
          <t>Credit card</t>
        </is>
      </c>
      <c r="C8" s="28" t="n">
        <v>4200</v>
      </c>
      <c r="D8" s="70" t="n">
        <v>0.2499</v>
      </c>
      <c r="E8" s="28" t="n">
        <v>110</v>
      </c>
      <c r="F8" s="32">
        <f>IF(OR(B8="",N(C8)&lt;=0,NOT(ISNUMBER(D8))),"",C8*D8/12)</f>
        <v/>
      </c>
      <c r="G8" s="66">
        <f>IF(I8="","",'Debt Schedule'!C$8)</f>
        <v/>
      </c>
      <c r="H8" s="67">
        <f>IF(G8="","",IF(ISNUMBER(G8),DATE(YEAR(Settings!$C$11),MONTH(Settings!$C$11)+G8,1),G8))</f>
        <v/>
      </c>
      <c r="I8" s="63">
        <f>IF(OR(B8="",N(C8)&lt;=0,NOT(ISNUMBER(D8))),"",1+COUNTIFS($B$8:$B$17,"&lt;&gt;",$C$8:$C$17,"&gt;0",$D$8:$D$17,"&gt;=0",$D$8:$D$17,"&gt;"&amp;D8)+COUNTIFS($B$8:$B$17,"&lt;&gt;",$C$8:$C$17,"&gt;0",$D$8:$D$17,"&gt;=0",$D$8:$D$17,D8,$C$8:$C$17,"&lt;"&amp;C8)+COUNTIFS($B$7:B7,"&lt;&gt;",$C$7:C7,C8,$D$7:D7,D8))</f>
        <v/>
      </c>
      <c r="J8" s="63">
        <f>IF(OR(B8="",N(C8)&lt;=0,NOT(ISNUMBER(D8))),"",1+COUNTIFS($B$8:$B$17,"&lt;&gt;",$C$8:$C$17,"&gt;0",$D$8:$D$17,"&gt;=0",$C$8:$C$17,"&lt;"&amp;C8)+COUNTIFS($B$8:$B$17,"&lt;&gt;",$C$8:$C$17,"&gt;0",$D$8:$D$17,"&gt;=0",$C$8:$C$17,C8,$D$8:$D$17,"&gt;"&amp;D8)+COUNTIFS($B$7:B7,"&lt;&gt;",$C$7:C7,C8,$D$7:D7,D8))</f>
        <v/>
      </c>
      <c r="K8" s="71">
        <f>IF(M8="","",IF(ISNUMBER(M8),DATE(YEAR(Settings!$C$11),MONTH(Settings!$C$11)+M8,1),M8))</f>
        <v/>
      </c>
      <c r="L8" s="25">
        <f>IF(B8="",IF(OR(C8&lt;&gt;"",D8&lt;&gt;"",E8&lt;&gt;""),"Enter a name",""),IF(N(C8)&lt;=0,"Enter the balance",IF(NOT(ISNUMBER(D8)),"Enter the APR (0% if none)",IF(N(E8)&lt;=0,"Enter the minimum payment",IF(E8&lt;=C8*D8/12,"Minimum does not cover interest","")))))</f>
        <v/>
      </c>
      <c r="M8" s="29">
        <f>IF(OR(I8="",J8=""),"",IF($C$4="Snowball",INDEX('Debt Schedule'!$Z$8:$AI$8,1,J8),INDEX('Debt Schedule'!$AY$8:$BH$8,1,I8)))</f>
        <v/>
      </c>
    </row>
    <row r="9">
      <c r="B9" s="23" t="inlineStr">
        <is>
          <t>Medical bill</t>
        </is>
      </c>
      <c r="C9" s="28" t="n">
        <v>480</v>
      </c>
      <c r="D9" s="70" t="n">
        <v>0</v>
      </c>
      <c r="E9" s="28" t="n">
        <v>40</v>
      </c>
      <c r="F9" s="32">
        <f>IF(OR(B9="",N(C9)&lt;=0,NOT(ISNUMBER(D9))),"",C9*D9/12)</f>
        <v/>
      </c>
      <c r="G9" s="66">
        <f>IF(I9="","",'Debt Schedule'!D$8)</f>
        <v/>
      </c>
      <c r="H9" s="67">
        <f>IF(G9="","",IF(ISNUMBER(G9),DATE(YEAR(Settings!$C$11),MONTH(Settings!$C$11)+G9,1),G9))</f>
        <v/>
      </c>
      <c r="I9" s="63">
        <f>IF(OR(B9="",N(C9)&lt;=0,NOT(ISNUMBER(D9))),"",1+COUNTIFS($B$8:$B$17,"&lt;&gt;",$C$8:$C$17,"&gt;0",$D$8:$D$17,"&gt;=0",$D$8:$D$17,"&gt;"&amp;D9)+COUNTIFS($B$8:$B$17,"&lt;&gt;",$C$8:$C$17,"&gt;0",$D$8:$D$17,"&gt;=0",$D$8:$D$17,D9,$C$8:$C$17,"&lt;"&amp;C9)+COUNTIFS($B$7:B8,"&lt;&gt;",$C$7:C8,C9,$D$7:D8,D9))</f>
        <v/>
      </c>
      <c r="J9" s="63">
        <f>IF(OR(B9="",N(C9)&lt;=0,NOT(ISNUMBER(D9))),"",1+COUNTIFS($B$8:$B$17,"&lt;&gt;",$C$8:$C$17,"&gt;0",$D$8:$D$17,"&gt;=0",$C$8:$C$17,"&lt;"&amp;C9)+COUNTIFS($B$8:$B$17,"&lt;&gt;",$C$8:$C$17,"&gt;0",$D$8:$D$17,"&gt;=0",$C$8:$C$17,C9,$D$8:$D$17,"&gt;"&amp;D9)+COUNTIFS($B$7:B8,"&lt;&gt;",$C$7:C8,C9,$D$7:D8,D9))</f>
        <v/>
      </c>
      <c r="K9" s="71">
        <f>IF(M9="","",IF(ISNUMBER(M9),DATE(YEAR(Settings!$C$11),MONTH(Settings!$C$11)+M9,1),M9))</f>
        <v/>
      </c>
      <c r="L9" s="25">
        <f>IF(B9="",IF(OR(C9&lt;&gt;"",D9&lt;&gt;"",E9&lt;&gt;""),"Enter a name",""),IF(N(C9)&lt;=0,"Enter the balance",IF(NOT(ISNUMBER(D9)),"Enter the APR (0% if none)",IF(N(E9)&lt;=0,"Enter the minimum payment",IF(E9&lt;=C9*D9/12,"Minimum does not cover interest","")))))</f>
        <v/>
      </c>
      <c r="M9" s="29">
        <f>IF(OR(I9="",J9=""),"",IF($C$4="Snowball",INDEX('Debt Schedule'!$Z$8:$AI$8,1,J9),INDEX('Debt Schedule'!$AY$8:$BH$8,1,I9)))</f>
        <v/>
      </c>
    </row>
    <row r="10">
      <c r="B10" s="23" t="inlineStr">
        <is>
          <t>Personal loan</t>
        </is>
      </c>
      <c r="C10" s="28" t="n">
        <v>6200</v>
      </c>
      <c r="D10" s="70" t="n">
        <v>0.119</v>
      </c>
      <c r="E10" s="28" t="n">
        <v>210</v>
      </c>
      <c r="F10" s="32">
        <f>IF(OR(B10="",N(C10)&lt;=0,NOT(ISNUMBER(D10))),"",C10*D10/12)</f>
        <v/>
      </c>
      <c r="G10" s="66">
        <f>IF(I10="","",'Debt Schedule'!E$8)</f>
        <v/>
      </c>
      <c r="H10" s="67">
        <f>IF(G10="","",IF(ISNUMBER(G10),DATE(YEAR(Settings!$C$11),MONTH(Settings!$C$11)+G10,1),G10))</f>
        <v/>
      </c>
      <c r="I10" s="63">
        <f>IF(OR(B10="",N(C10)&lt;=0,NOT(ISNUMBER(D10))),"",1+COUNTIFS($B$8:$B$17,"&lt;&gt;",$C$8:$C$17,"&gt;0",$D$8:$D$17,"&gt;=0",$D$8:$D$17,"&gt;"&amp;D10)+COUNTIFS($B$8:$B$17,"&lt;&gt;",$C$8:$C$17,"&gt;0",$D$8:$D$17,"&gt;=0",$D$8:$D$17,D10,$C$8:$C$17,"&lt;"&amp;C10)+COUNTIFS($B$7:B9,"&lt;&gt;",$C$7:C9,C10,$D$7:D9,D10))</f>
        <v/>
      </c>
      <c r="J10" s="63">
        <f>IF(OR(B10="",N(C10)&lt;=0,NOT(ISNUMBER(D10))),"",1+COUNTIFS($B$8:$B$17,"&lt;&gt;",$C$8:$C$17,"&gt;0",$D$8:$D$17,"&gt;=0",$C$8:$C$17,"&lt;"&amp;C10)+COUNTIFS($B$8:$B$17,"&lt;&gt;",$C$8:$C$17,"&gt;0",$D$8:$D$17,"&gt;=0",$C$8:$C$17,C10,$D$8:$D$17,"&gt;"&amp;D10)+COUNTIFS($B$7:B9,"&lt;&gt;",$C$7:C9,C10,$D$7:D9,D10))</f>
        <v/>
      </c>
      <c r="K10" s="71">
        <f>IF(M10="","",IF(ISNUMBER(M10),DATE(YEAR(Settings!$C$11),MONTH(Settings!$C$11)+M10,1),M10))</f>
        <v/>
      </c>
      <c r="L10" s="25">
        <f>IF(B10="",IF(OR(C10&lt;&gt;"",D10&lt;&gt;"",E10&lt;&gt;""),"Enter a name",""),IF(N(C10)&lt;=0,"Enter the balance",IF(NOT(ISNUMBER(D10)),"Enter the APR (0% if none)",IF(N(E10)&lt;=0,"Enter the minimum payment",IF(E10&lt;=C10*D10/12,"Minimum does not cover interest","")))))</f>
        <v/>
      </c>
      <c r="M10" s="29">
        <f>IF(OR(I10="",J10=""),"",IF($C$4="Snowball",INDEX('Debt Schedule'!$Z$8:$AI$8,1,J10),INDEX('Debt Schedule'!$AY$8:$BH$8,1,I10)))</f>
        <v/>
      </c>
    </row>
    <row r="11">
      <c r="B11" s="23" t="inlineStr">
        <is>
          <t>Student loan</t>
        </is>
      </c>
      <c r="C11" s="28" t="n">
        <v>14500</v>
      </c>
      <c r="D11" s="70" t="n">
        <v>0.055</v>
      </c>
      <c r="E11" s="28" t="n">
        <v>165</v>
      </c>
      <c r="F11" s="32">
        <f>IF(OR(B11="",N(C11)&lt;=0,NOT(ISNUMBER(D11))),"",C11*D11/12)</f>
        <v/>
      </c>
      <c r="G11" s="66">
        <f>IF(I11="","",'Debt Schedule'!F$8)</f>
        <v/>
      </c>
      <c r="H11" s="67">
        <f>IF(G11="","",IF(ISNUMBER(G11),DATE(YEAR(Settings!$C$11),MONTH(Settings!$C$11)+G11,1),G11))</f>
        <v/>
      </c>
      <c r="I11" s="63">
        <f>IF(OR(B11="",N(C11)&lt;=0,NOT(ISNUMBER(D11))),"",1+COUNTIFS($B$8:$B$17,"&lt;&gt;",$C$8:$C$17,"&gt;0",$D$8:$D$17,"&gt;=0",$D$8:$D$17,"&gt;"&amp;D11)+COUNTIFS($B$8:$B$17,"&lt;&gt;",$C$8:$C$17,"&gt;0",$D$8:$D$17,"&gt;=0",$D$8:$D$17,D11,$C$8:$C$17,"&lt;"&amp;C11)+COUNTIFS($B$7:B10,"&lt;&gt;",$C$7:C10,C11,$D$7:D10,D11))</f>
        <v/>
      </c>
      <c r="J11" s="63">
        <f>IF(OR(B11="",N(C11)&lt;=0,NOT(ISNUMBER(D11))),"",1+COUNTIFS($B$8:$B$17,"&lt;&gt;",$C$8:$C$17,"&gt;0",$D$8:$D$17,"&gt;=0",$C$8:$C$17,"&lt;"&amp;C11)+COUNTIFS($B$8:$B$17,"&lt;&gt;",$C$8:$C$17,"&gt;0",$D$8:$D$17,"&gt;=0",$C$8:$C$17,C11,$D$8:$D$17,"&gt;"&amp;D11)+COUNTIFS($B$7:B10,"&lt;&gt;",$C$7:C10,C11,$D$7:D10,D11))</f>
        <v/>
      </c>
      <c r="K11" s="71">
        <f>IF(M11="","",IF(ISNUMBER(M11),DATE(YEAR(Settings!$C$11),MONTH(Settings!$C$11)+M11,1),M11))</f>
        <v/>
      </c>
      <c r="L11" s="25">
        <f>IF(B11="",IF(OR(C11&lt;&gt;"",D11&lt;&gt;"",E11&lt;&gt;""),"Enter a name",""),IF(N(C11)&lt;=0,"Enter the balance",IF(NOT(ISNUMBER(D11)),"Enter the APR (0% if none)",IF(N(E11)&lt;=0,"Enter the minimum payment",IF(E11&lt;=C11*D11/12,"Minimum does not cover interest","")))))</f>
        <v/>
      </c>
      <c r="M11" s="29">
        <f>IF(OR(I11="",J11=""),"",IF($C$4="Snowball",INDEX('Debt Schedule'!$Z$8:$AI$8,1,J11),INDEX('Debt Schedule'!$AY$8:$BH$8,1,I11)))</f>
        <v/>
      </c>
    </row>
    <row r="12">
      <c r="B12" s="23" t="inlineStr">
        <is>
          <t>Car loan</t>
        </is>
      </c>
      <c r="C12" s="28" t="n">
        <v>11800</v>
      </c>
      <c r="D12" s="70" t="n">
        <v>0.06900000000000001</v>
      </c>
      <c r="E12" s="28" t="n">
        <v>389</v>
      </c>
      <c r="F12" s="32">
        <f>IF(OR(B12="",N(C12)&lt;=0,NOT(ISNUMBER(D12))),"",C12*D12/12)</f>
        <v/>
      </c>
      <c r="G12" s="66">
        <f>IF(I12="","",'Debt Schedule'!G$8)</f>
        <v/>
      </c>
      <c r="H12" s="67">
        <f>IF(G12="","",IF(ISNUMBER(G12),DATE(YEAR(Settings!$C$11),MONTH(Settings!$C$11)+G12,1),G12))</f>
        <v/>
      </c>
      <c r="I12" s="63">
        <f>IF(OR(B12="",N(C12)&lt;=0,NOT(ISNUMBER(D12))),"",1+COUNTIFS($B$8:$B$17,"&lt;&gt;",$C$8:$C$17,"&gt;0",$D$8:$D$17,"&gt;=0",$D$8:$D$17,"&gt;"&amp;D12)+COUNTIFS($B$8:$B$17,"&lt;&gt;",$C$8:$C$17,"&gt;0",$D$8:$D$17,"&gt;=0",$D$8:$D$17,D12,$C$8:$C$17,"&lt;"&amp;C12)+COUNTIFS($B$7:B11,"&lt;&gt;",$C$7:C11,C12,$D$7:D11,D12))</f>
        <v/>
      </c>
      <c r="J12" s="63">
        <f>IF(OR(B12="",N(C12)&lt;=0,NOT(ISNUMBER(D12))),"",1+COUNTIFS($B$8:$B$17,"&lt;&gt;",$C$8:$C$17,"&gt;0",$D$8:$D$17,"&gt;=0",$C$8:$C$17,"&lt;"&amp;C12)+COUNTIFS($B$8:$B$17,"&lt;&gt;",$C$8:$C$17,"&gt;0",$D$8:$D$17,"&gt;=0",$C$8:$C$17,C12,$D$8:$D$17,"&gt;"&amp;D12)+COUNTIFS($B$7:B11,"&lt;&gt;",$C$7:C11,C12,$D$7:D11,D12))</f>
        <v/>
      </c>
      <c r="K12" s="71">
        <f>IF(M12="","",IF(ISNUMBER(M12),DATE(YEAR(Settings!$C$11),MONTH(Settings!$C$11)+M12,1),M12))</f>
        <v/>
      </c>
      <c r="L12" s="25">
        <f>IF(B12="",IF(OR(C12&lt;&gt;"",D12&lt;&gt;"",E12&lt;&gt;""),"Enter a name",""),IF(N(C12)&lt;=0,"Enter the balance",IF(NOT(ISNUMBER(D12)),"Enter the APR (0% if none)",IF(N(E12)&lt;=0,"Enter the minimum payment",IF(E12&lt;=C12*D12/12,"Minimum does not cover interest","")))))</f>
        <v/>
      </c>
      <c r="M12" s="29">
        <f>IF(OR(I12="",J12=""),"",IF($C$4="Snowball",INDEX('Debt Schedule'!$Z$8:$AI$8,1,J12),INDEX('Debt Schedule'!$AY$8:$BH$8,1,I12)))</f>
        <v/>
      </c>
    </row>
    <row r="13">
      <c r="B13" s="23" t="n"/>
      <c r="C13" s="28" t="n"/>
      <c r="D13" s="70" t="n"/>
      <c r="E13" s="28" t="n"/>
      <c r="F13" s="32">
        <f>IF(OR(B13="",N(C13)&lt;=0,NOT(ISNUMBER(D13))),"",C13*D13/12)</f>
        <v/>
      </c>
      <c r="G13" s="66">
        <f>IF(I13="","",'Debt Schedule'!H$8)</f>
        <v/>
      </c>
      <c r="H13" s="67">
        <f>IF(G13="","",IF(ISNUMBER(G13),DATE(YEAR(Settings!$C$11),MONTH(Settings!$C$11)+G13,1),G13))</f>
        <v/>
      </c>
      <c r="I13" s="63">
        <f>IF(OR(B13="",N(C13)&lt;=0,NOT(ISNUMBER(D13))),"",1+COUNTIFS($B$8:$B$17,"&lt;&gt;",$C$8:$C$17,"&gt;0",$D$8:$D$17,"&gt;=0",$D$8:$D$17,"&gt;"&amp;D13)+COUNTIFS($B$8:$B$17,"&lt;&gt;",$C$8:$C$17,"&gt;0",$D$8:$D$17,"&gt;=0",$D$8:$D$17,D13,$C$8:$C$17,"&lt;"&amp;C13)+COUNTIFS($B$7:B12,"&lt;&gt;",$C$7:C12,C13,$D$7:D12,D13))</f>
        <v/>
      </c>
      <c r="J13" s="63">
        <f>IF(OR(B13="",N(C13)&lt;=0,NOT(ISNUMBER(D13))),"",1+COUNTIFS($B$8:$B$17,"&lt;&gt;",$C$8:$C$17,"&gt;0",$D$8:$D$17,"&gt;=0",$C$8:$C$17,"&lt;"&amp;C13)+COUNTIFS($B$8:$B$17,"&lt;&gt;",$C$8:$C$17,"&gt;0",$D$8:$D$17,"&gt;=0",$C$8:$C$17,C13,$D$8:$D$17,"&gt;"&amp;D13)+COUNTIFS($B$7:B12,"&lt;&gt;",$C$7:C12,C13,$D$7:D12,D13))</f>
        <v/>
      </c>
      <c r="K13" s="71">
        <f>IF(M13="","",IF(ISNUMBER(M13),DATE(YEAR(Settings!$C$11),MONTH(Settings!$C$11)+M13,1),M13))</f>
        <v/>
      </c>
      <c r="L13" s="25">
        <f>IF(B13="",IF(OR(C13&lt;&gt;"",D13&lt;&gt;"",E13&lt;&gt;""),"Enter a name",""),IF(N(C13)&lt;=0,"Enter the balance",IF(NOT(ISNUMBER(D13)),"Enter the APR (0% if none)",IF(N(E13)&lt;=0,"Enter the minimum payment",IF(E13&lt;=C13*D13/12,"Minimum does not cover interest","")))))</f>
        <v/>
      </c>
      <c r="M13" s="29">
        <f>IF(OR(I13="",J13=""),"",IF($C$4="Snowball",INDEX('Debt Schedule'!$Z$8:$AI$8,1,J13),INDEX('Debt Schedule'!$AY$8:$BH$8,1,I13)))</f>
        <v/>
      </c>
    </row>
    <row r="14">
      <c r="B14" s="23" t="n"/>
      <c r="C14" s="28" t="n"/>
      <c r="D14" s="70" t="n"/>
      <c r="E14" s="28" t="n"/>
      <c r="F14" s="32">
        <f>IF(OR(B14="",N(C14)&lt;=0,NOT(ISNUMBER(D14))),"",C14*D14/12)</f>
        <v/>
      </c>
      <c r="G14" s="66">
        <f>IF(I14="","",'Debt Schedule'!I$8)</f>
        <v/>
      </c>
      <c r="H14" s="67">
        <f>IF(G14="","",IF(ISNUMBER(G14),DATE(YEAR(Settings!$C$11),MONTH(Settings!$C$11)+G14,1),G14))</f>
        <v/>
      </c>
      <c r="I14" s="63">
        <f>IF(OR(B14="",N(C14)&lt;=0,NOT(ISNUMBER(D14))),"",1+COUNTIFS($B$8:$B$17,"&lt;&gt;",$C$8:$C$17,"&gt;0",$D$8:$D$17,"&gt;=0",$D$8:$D$17,"&gt;"&amp;D14)+COUNTIFS($B$8:$B$17,"&lt;&gt;",$C$8:$C$17,"&gt;0",$D$8:$D$17,"&gt;=0",$D$8:$D$17,D14,$C$8:$C$17,"&lt;"&amp;C14)+COUNTIFS($B$7:B13,"&lt;&gt;",$C$7:C13,C14,$D$7:D13,D14))</f>
        <v/>
      </c>
      <c r="J14" s="63">
        <f>IF(OR(B14="",N(C14)&lt;=0,NOT(ISNUMBER(D14))),"",1+COUNTIFS($B$8:$B$17,"&lt;&gt;",$C$8:$C$17,"&gt;0",$D$8:$D$17,"&gt;=0",$C$8:$C$17,"&lt;"&amp;C14)+COUNTIFS($B$8:$B$17,"&lt;&gt;",$C$8:$C$17,"&gt;0",$D$8:$D$17,"&gt;=0",$C$8:$C$17,C14,$D$8:$D$17,"&gt;"&amp;D14)+COUNTIFS($B$7:B13,"&lt;&gt;",$C$7:C13,C14,$D$7:D13,D14))</f>
        <v/>
      </c>
      <c r="K14" s="71">
        <f>IF(M14="","",IF(ISNUMBER(M14),DATE(YEAR(Settings!$C$11),MONTH(Settings!$C$11)+M14,1),M14))</f>
        <v/>
      </c>
      <c r="L14" s="25">
        <f>IF(B14="",IF(OR(C14&lt;&gt;"",D14&lt;&gt;"",E14&lt;&gt;""),"Enter a name",""),IF(N(C14)&lt;=0,"Enter the balance",IF(NOT(ISNUMBER(D14)),"Enter the APR (0% if none)",IF(N(E14)&lt;=0,"Enter the minimum payment",IF(E14&lt;=C14*D14/12,"Minimum does not cover interest","")))))</f>
        <v/>
      </c>
      <c r="M14" s="29">
        <f>IF(OR(I14="",J14=""),"",IF($C$4="Snowball",INDEX('Debt Schedule'!$Z$8:$AI$8,1,J14),INDEX('Debt Schedule'!$AY$8:$BH$8,1,I14)))</f>
        <v/>
      </c>
    </row>
    <row r="15">
      <c r="B15" s="23" t="n"/>
      <c r="C15" s="28" t="n"/>
      <c r="D15" s="70" t="n"/>
      <c r="E15" s="28" t="n"/>
      <c r="F15" s="32">
        <f>IF(OR(B15="",N(C15)&lt;=0,NOT(ISNUMBER(D15))),"",C15*D15/12)</f>
        <v/>
      </c>
      <c r="G15" s="66">
        <f>IF(I15="","",'Debt Schedule'!J$8)</f>
        <v/>
      </c>
      <c r="H15" s="67">
        <f>IF(G15="","",IF(ISNUMBER(G15),DATE(YEAR(Settings!$C$11),MONTH(Settings!$C$11)+G15,1),G15))</f>
        <v/>
      </c>
      <c r="I15" s="63">
        <f>IF(OR(B15="",N(C15)&lt;=0,NOT(ISNUMBER(D15))),"",1+COUNTIFS($B$8:$B$17,"&lt;&gt;",$C$8:$C$17,"&gt;0",$D$8:$D$17,"&gt;=0",$D$8:$D$17,"&gt;"&amp;D15)+COUNTIFS($B$8:$B$17,"&lt;&gt;",$C$8:$C$17,"&gt;0",$D$8:$D$17,"&gt;=0",$D$8:$D$17,D15,$C$8:$C$17,"&lt;"&amp;C15)+COUNTIFS($B$7:B14,"&lt;&gt;",$C$7:C14,C15,$D$7:D14,D15))</f>
        <v/>
      </c>
      <c r="J15" s="63">
        <f>IF(OR(B15="",N(C15)&lt;=0,NOT(ISNUMBER(D15))),"",1+COUNTIFS($B$8:$B$17,"&lt;&gt;",$C$8:$C$17,"&gt;0",$D$8:$D$17,"&gt;=0",$C$8:$C$17,"&lt;"&amp;C15)+COUNTIFS($B$8:$B$17,"&lt;&gt;",$C$8:$C$17,"&gt;0",$D$8:$D$17,"&gt;=0",$C$8:$C$17,C15,$D$8:$D$17,"&gt;"&amp;D15)+COUNTIFS($B$7:B14,"&lt;&gt;",$C$7:C14,C15,$D$7:D14,D15))</f>
        <v/>
      </c>
      <c r="K15" s="71">
        <f>IF(M15="","",IF(ISNUMBER(M15),DATE(YEAR(Settings!$C$11),MONTH(Settings!$C$11)+M15,1),M15))</f>
        <v/>
      </c>
      <c r="L15" s="25">
        <f>IF(B15="",IF(OR(C15&lt;&gt;"",D15&lt;&gt;"",E15&lt;&gt;""),"Enter a name",""),IF(N(C15)&lt;=0,"Enter the balance",IF(NOT(ISNUMBER(D15)),"Enter the APR (0% if none)",IF(N(E15)&lt;=0,"Enter the minimum payment",IF(E15&lt;=C15*D15/12,"Minimum does not cover interest","")))))</f>
        <v/>
      </c>
      <c r="M15" s="29">
        <f>IF(OR(I15="",J15=""),"",IF($C$4="Snowball",INDEX('Debt Schedule'!$Z$8:$AI$8,1,J15),INDEX('Debt Schedule'!$AY$8:$BH$8,1,I15)))</f>
        <v/>
      </c>
    </row>
    <row r="16">
      <c r="B16" s="23" t="n"/>
      <c r="C16" s="28" t="n"/>
      <c r="D16" s="70" t="n"/>
      <c r="E16" s="28" t="n"/>
      <c r="F16" s="32">
        <f>IF(OR(B16="",N(C16)&lt;=0,NOT(ISNUMBER(D16))),"",C16*D16/12)</f>
        <v/>
      </c>
      <c r="G16" s="66">
        <f>IF(I16="","",'Debt Schedule'!K$8)</f>
        <v/>
      </c>
      <c r="H16" s="67">
        <f>IF(G16="","",IF(ISNUMBER(G16),DATE(YEAR(Settings!$C$11),MONTH(Settings!$C$11)+G16,1),G16))</f>
        <v/>
      </c>
      <c r="I16" s="63">
        <f>IF(OR(B16="",N(C16)&lt;=0,NOT(ISNUMBER(D16))),"",1+COUNTIFS($B$8:$B$17,"&lt;&gt;",$C$8:$C$17,"&gt;0",$D$8:$D$17,"&gt;=0",$D$8:$D$17,"&gt;"&amp;D16)+COUNTIFS($B$8:$B$17,"&lt;&gt;",$C$8:$C$17,"&gt;0",$D$8:$D$17,"&gt;=0",$D$8:$D$17,D16,$C$8:$C$17,"&lt;"&amp;C16)+COUNTIFS($B$7:B15,"&lt;&gt;",$C$7:C15,C16,$D$7:D15,D16))</f>
        <v/>
      </c>
      <c r="J16" s="63">
        <f>IF(OR(B16="",N(C16)&lt;=0,NOT(ISNUMBER(D16))),"",1+COUNTIFS($B$8:$B$17,"&lt;&gt;",$C$8:$C$17,"&gt;0",$D$8:$D$17,"&gt;=0",$C$8:$C$17,"&lt;"&amp;C16)+COUNTIFS($B$8:$B$17,"&lt;&gt;",$C$8:$C$17,"&gt;0",$D$8:$D$17,"&gt;=0",$C$8:$C$17,C16,$D$8:$D$17,"&gt;"&amp;D16)+COUNTIFS($B$7:B15,"&lt;&gt;",$C$7:C15,C16,$D$7:D15,D16))</f>
        <v/>
      </c>
      <c r="K16" s="71">
        <f>IF(M16="","",IF(ISNUMBER(M16),DATE(YEAR(Settings!$C$11),MONTH(Settings!$C$11)+M16,1),M16))</f>
        <v/>
      </c>
      <c r="L16" s="25">
        <f>IF(B16="",IF(OR(C16&lt;&gt;"",D16&lt;&gt;"",E16&lt;&gt;""),"Enter a name",""),IF(N(C16)&lt;=0,"Enter the balance",IF(NOT(ISNUMBER(D16)),"Enter the APR (0% if none)",IF(N(E16)&lt;=0,"Enter the minimum payment",IF(E16&lt;=C16*D16/12,"Minimum does not cover interest","")))))</f>
        <v/>
      </c>
      <c r="M16" s="29">
        <f>IF(OR(I16="",J16=""),"",IF($C$4="Snowball",INDEX('Debt Schedule'!$Z$8:$AI$8,1,J16),INDEX('Debt Schedule'!$AY$8:$BH$8,1,I16)))</f>
        <v/>
      </c>
    </row>
    <row r="17">
      <c r="B17" s="23" t="n"/>
      <c r="C17" s="28" t="n"/>
      <c r="D17" s="70" t="n"/>
      <c r="E17" s="28" t="n"/>
      <c r="F17" s="32">
        <f>IF(OR(B17="",N(C17)&lt;=0,NOT(ISNUMBER(D17))),"",C17*D17/12)</f>
        <v/>
      </c>
      <c r="G17" s="66">
        <f>IF(I17="","",'Debt Schedule'!L$8)</f>
        <v/>
      </c>
      <c r="H17" s="67">
        <f>IF(G17="","",IF(ISNUMBER(G17),DATE(YEAR(Settings!$C$11),MONTH(Settings!$C$11)+G17,1),G17))</f>
        <v/>
      </c>
      <c r="I17" s="63">
        <f>IF(OR(B17="",N(C17)&lt;=0,NOT(ISNUMBER(D17))),"",1+COUNTIFS($B$8:$B$17,"&lt;&gt;",$C$8:$C$17,"&gt;0",$D$8:$D$17,"&gt;=0",$D$8:$D$17,"&gt;"&amp;D17)+COUNTIFS($B$8:$B$17,"&lt;&gt;",$C$8:$C$17,"&gt;0",$D$8:$D$17,"&gt;=0",$D$8:$D$17,D17,$C$8:$C$17,"&lt;"&amp;C17)+COUNTIFS($B$7:B16,"&lt;&gt;",$C$7:C16,C17,$D$7:D16,D17))</f>
        <v/>
      </c>
      <c r="J17" s="63">
        <f>IF(OR(B17="",N(C17)&lt;=0,NOT(ISNUMBER(D17))),"",1+COUNTIFS($B$8:$B$17,"&lt;&gt;",$C$8:$C$17,"&gt;0",$D$8:$D$17,"&gt;=0",$C$8:$C$17,"&lt;"&amp;C17)+COUNTIFS($B$8:$B$17,"&lt;&gt;",$C$8:$C$17,"&gt;0",$D$8:$D$17,"&gt;=0",$C$8:$C$17,C17,$D$8:$D$17,"&gt;"&amp;D17)+COUNTIFS($B$7:B16,"&lt;&gt;",$C$7:C16,C17,$D$7:D16,D17))</f>
        <v/>
      </c>
      <c r="K17" s="71">
        <f>IF(M17="","",IF(ISNUMBER(M17),DATE(YEAR(Settings!$C$11),MONTH(Settings!$C$11)+M17,1),M17))</f>
        <v/>
      </c>
      <c r="L17" s="25">
        <f>IF(B17="",IF(OR(C17&lt;&gt;"",D17&lt;&gt;"",E17&lt;&gt;""),"Enter a name",""),IF(N(C17)&lt;=0,"Enter the balance",IF(NOT(ISNUMBER(D17)),"Enter the APR (0% if none)",IF(N(E17)&lt;=0,"Enter the minimum payment",IF(E17&lt;=C17*D17/12,"Minimum does not cover interest","")))))</f>
        <v/>
      </c>
      <c r="M17" s="29">
        <f>IF(OR(I17="",J17=""),"",IF($C$4="Snowball",INDEX('Debt Schedule'!$Z$8:$AI$8,1,J17),INDEX('Debt Schedule'!$AY$8:$BH$8,1,I17)))</f>
        <v/>
      </c>
    </row>
    <row r="18">
      <c r="B18" s="33" t="inlineStr">
        <is>
          <t>Total</t>
        </is>
      </c>
      <c r="C18" s="35">
        <f>SUM(C8:C17)</f>
        <v/>
      </c>
      <c r="D18" s="72">
        <f>IF(C18=0,"",SUMPRODUCT(C8:C17,D8:D17)/C18)</f>
        <v/>
      </c>
      <c r="E18" s="35">
        <f>SUM(E8:E17)</f>
        <v/>
      </c>
      <c r="F18" s="35">
        <f>SUM(F8:F17)</f>
        <v/>
      </c>
      <c r="G18" s="73">
        <f>IF(C18=0,"",C24)</f>
        <v/>
      </c>
      <c r="H18" s="74">
        <f>IF(C18=0,"",C25)</f>
        <v/>
      </c>
      <c r="I18" s="33" t="n"/>
      <c r="J18" s="33" t="n"/>
      <c r="K18" s="74">
        <f>IF(C18=0,"",IF($C$4="Snowball",D25,E25))</f>
        <v/>
      </c>
      <c r="L18" s="33" t="n"/>
      <c r="M18" s="33" t="n"/>
    </row>
    <row r="19">
      <c r="B19" s="24" t="inlineStr">
        <is>
          <t>APR = the yearly interest rate on your statement (type 0% for an interest-free loan). The APR in the total row is the average weighted by balance.</t>
        </is>
      </c>
    </row>
    <row r="21" ht="20" customHeight="1">
      <c r="B21" s="3" t="inlineStr">
        <is>
          <t>Compare the methods</t>
        </is>
      </c>
      <c r="C21" s="4" t="n"/>
      <c r="D21" s="4" t="n"/>
      <c r="E21" s="4" t="n"/>
    </row>
    <row r="22" ht="22" customHeight="1">
      <c r="B22" s="14" t="inlineStr"/>
      <c r="C22" s="14" t="inlineStr">
        <is>
          <t>Minimums only</t>
        </is>
      </c>
      <c r="D22" s="14" t="inlineStr">
        <is>
          <t>Snowball</t>
        </is>
      </c>
      <c r="E22" s="14" t="inlineStr">
        <is>
          <t>Avalanche</t>
        </is>
      </c>
    </row>
    <row r="23">
      <c r="B23" s="38">
        <f>"Paid each month"&amp;Settings!$C$14</f>
        <v/>
      </c>
      <c r="C23" s="32">
        <f>$E$18</f>
        <v/>
      </c>
      <c r="D23" s="32">
        <f>'Debt Schedule'!$AK$7</f>
        <v/>
      </c>
      <c r="E23" s="32">
        <f>'Debt Schedule'!$BJ$7</f>
        <v/>
      </c>
    </row>
    <row r="24">
      <c r="B24" s="38" t="inlineStr">
        <is>
          <t>Months until debt-free</t>
        </is>
      </c>
      <c r="C24" s="75">
        <f>'Debt Schedule'!N$8</f>
        <v/>
      </c>
      <c r="D24" s="75">
        <f>'Debt Schedule'!AM$8</f>
        <v/>
      </c>
      <c r="E24" s="75">
        <f>'Debt Schedule'!BL$8</f>
        <v/>
      </c>
    </row>
    <row r="25">
      <c r="B25" s="38" t="inlineStr">
        <is>
          <t>Debt-free date</t>
        </is>
      </c>
      <c r="C25" s="76">
        <f>IF($C$18=0,"–",IF(ISNUMBER(C24),DATE(YEAR(Settings!$C$11),MONTH(Settings!$C$11)+C24,1),C24))</f>
        <v/>
      </c>
      <c r="D25" s="76">
        <f>IF($C$18=0,"–",IF(ISNUMBER(D24),DATE(YEAR(Settings!$C$11),MONTH(Settings!$C$11)+D24,1),D24))</f>
        <v/>
      </c>
      <c r="E25" s="76">
        <f>IF($C$18=0,"–",IF(ISNUMBER(E24),DATE(YEAR(Settings!$C$11),MONTH(Settings!$C$11)+E24,1),E24))</f>
        <v/>
      </c>
    </row>
    <row r="26">
      <c r="B26" s="38">
        <f>"Total interest"&amp;Settings!$C$14</f>
        <v/>
      </c>
      <c r="C26" s="77">
        <f>IF(ISNUMBER(C24),'Debt Schedule'!M$8,"–")</f>
        <v/>
      </c>
      <c r="D26" s="77">
        <f>IF(ISNUMBER(D24),'Debt Schedule'!AL$8,"–")</f>
        <v/>
      </c>
      <c r="E26" s="77">
        <f>IF(ISNUMBER(E24),'Debt Schedule'!BK$8,"–")</f>
        <v/>
      </c>
    </row>
    <row r="27">
      <c r="B27" s="38">
        <f>"Interest saved vs minimums"&amp;Settings!$C$14</f>
        <v/>
      </c>
      <c r="C27" s="77">
        <f>"–"</f>
        <v/>
      </c>
      <c r="D27" s="77">
        <f>IF(AND(ISNUMBER($C$26),ISNUMBER(D26)),$C$26-D26,"–")</f>
        <v/>
      </c>
      <c r="E27" s="77">
        <f>IF(AND(ISNUMBER($C$26),ISNUMBER(E26)),$C$26-E26,"–")</f>
        <v/>
      </c>
    </row>
    <row r="28">
      <c r="B28" s="26">
        <f>IF($C$18=0,"Your plan: enter your debts above.","Your plan: "&amp;$C$4&amp;IF(ISNUMBER(M28),", saving "&amp;FIXED(M28,2)&amp;" in interest compared with minimums only.",""))</f>
        <v/>
      </c>
      <c r="M28" s="78">
        <f>IF($C$4="Snowball",D27,E27)</f>
        <v/>
      </c>
    </row>
    <row r="29">
      <c r="B29" s="24" t="inlineStr">
        <is>
          <t>If the minimum payments do not cover the interest, a debt is never paid off with minimums only ("Over 30 years").</t>
        </is>
      </c>
    </row>
    <row r="31" ht="20" customHeight="1">
      <c r="B31" s="3" t="inlineStr">
        <is>
          <t>Avalanche order: highest APR first</t>
        </is>
      </c>
      <c r="C31" s="4" t="n"/>
      <c r="D31" s="4" t="n"/>
      <c r="E31" s="4" t="n"/>
      <c r="F31" s="4" t="n"/>
    </row>
    <row r="32" ht="22" customHeight="1">
      <c r="B32" s="14" t="inlineStr">
        <is>
          <t>Debt</t>
        </is>
      </c>
      <c r="C32" s="14">
        <f>"Balance"&amp;Settings!$C$14</f>
        <v/>
      </c>
      <c r="D32" s="14" t="inlineStr">
        <is>
          <t>APR</t>
        </is>
      </c>
      <c r="E32" s="14">
        <f>"Minimum"&amp;Settings!$C$14</f>
        <v/>
      </c>
      <c r="F32" s="14" t="inlineStr">
        <is>
          <t>Paid off</t>
        </is>
      </c>
    </row>
    <row r="33">
      <c r="A33" s="79" t="n">
        <v>1</v>
      </c>
      <c r="B33" s="38">
        <f>IFERROR(INDEX($B$8:$B$17,MATCH(1,$I$8:$I$17,0)),"")</f>
        <v/>
      </c>
      <c r="C33" s="32">
        <f>IFERROR(INDEX($C$8:$C$17,MATCH(1,$I$8:$I$17,0)),"")</f>
        <v/>
      </c>
      <c r="D33" s="80">
        <f>IFERROR(INDEX($D$8:$D$17,MATCH(1,$I$8:$I$17,0)),"")</f>
        <v/>
      </c>
      <c r="E33" s="32">
        <f>IFERROR(INDEX($E$8:$E$17,MATCH(1,$I$8:$I$17,0)),"")</f>
        <v/>
      </c>
      <c r="F33" s="67">
        <f>IF(B33="","",IF(ISNUMBER(INDEX('Debt Schedule'!$AY$8:$BH$8,1,1)),DATE(YEAR(Settings!$C$11),MONTH(Settings!$C$11)+INDEX('Debt Schedule'!$AY$8:$BH$8,1,1),1),INDEX('Debt Schedule'!$AY$8:$BH$8,1,1)))</f>
        <v/>
      </c>
    </row>
    <row r="34">
      <c r="A34" s="79" t="n">
        <v>2</v>
      </c>
      <c r="B34" s="38">
        <f>IFERROR(INDEX($B$8:$B$17,MATCH(2,$I$8:$I$17,0)),"")</f>
        <v/>
      </c>
      <c r="C34" s="32">
        <f>IFERROR(INDEX($C$8:$C$17,MATCH(2,$I$8:$I$17,0)),"")</f>
        <v/>
      </c>
      <c r="D34" s="80">
        <f>IFERROR(INDEX($D$8:$D$17,MATCH(2,$I$8:$I$17,0)),"")</f>
        <v/>
      </c>
      <c r="E34" s="32">
        <f>IFERROR(INDEX($E$8:$E$17,MATCH(2,$I$8:$I$17,0)),"")</f>
        <v/>
      </c>
      <c r="F34" s="67">
        <f>IF(B34="","",IF(ISNUMBER(INDEX('Debt Schedule'!$AY$8:$BH$8,1,2)),DATE(YEAR(Settings!$C$11),MONTH(Settings!$C$11)+INDEX('Debt Schedule'!$AY$8:$BH$8,1,2),1),INDEX('Debt Schedule'!$AY$8:$BH$8,1,2)))</f>
        <v/>
      </c>
    </row>
    <row r="35">
      <c r="A35" s="79" t="n">
        <v>3</v>
      </c>
      <c r="B35" s="38">
        <f>IFERROR(INDEX($B$8:$B$17,MATCH(3,$I$8:$I$17,0)),"")</f>
        <v/>
      </c>
      <c r="C35" s="32">
        <f>IFERROR(INDEX($C$8:$C$17,MATCH(3,$I$8:$I$17,0)),"")</f>
        <v/>
      </c>
      <c r="D35" s="80">
        <f>IFERROR(INDEX($D$8:$D$17,MATCH(3,$I$8:$I$17,0)),"")</f>
        <v/>
      </c>
      <c r="E35" s="32">
        <f>IFERROR(INDEX($E$8:$E$17,MATCH(3,$I$8:$I$17,0)),"")</f>
        <v/>
      </c>
      <c r="F35" s="67">
        <f>IF(B35="","",IF(ISNUMBER(INDEX('Debt Schedule'!$AY$8:$BH$8,1,3)),DATE(YEAR(Settings!$C$11),MONTH(Settings!$C$11)+INDEX('Debt Schedule'!$AY$8:$BH$8,1,3),1),INDEX('Debt Schedule'!$AY$8:$BH$8,1,3)))</f>
        <v/>
      </c>
    </row>
    <row r="36">
      <c r="A36" s="79" t="n">
        <v>4</v>
      </c>
      <c r="B36" s="38">
        <f>IFERROR(INDEX($B$8:$B$17,MATCH(4,$I$8:$I$17,0)),"")</f>
        <v/>
      </c>
      <c r="C36" s="32">
        <f>IFERROR(INDEX($C$8:$C$17,MATCH(4,$I$8:$I$17,0)),"")</f>
        <v/>
      </c>
      <c r="D36" s="80">
        <f>IFERROR(INDEX($D$8:$D$17,MATCH(4,$I$8:$I$17,0)),"")</f>
        <v/>
      </c>
      <c r="E36" s="32">
        <f>IFERROR(INDEX($E$8:$E$17,MATCH(4,$I$8:$I$17,0)),"")</f>
        <v/>
      </c>
      <c r="F36" s="67">
        <f>IF(B36="","",IF(ISNUMBER(INDEX('Debt Schedule'!$AY$8:$BH$8,1,4)),DATE(YEAR(Settings!$C$11),MONTH(Settings!$C$11)+INDEX('Debt Schedule'!$AY$8:$BH$8,1,4),1),INDEX('Debt Schedule'!$AY$8:$BH$8,1,4)))</f>
        <v/>
      </c>
    </row>
    <row r="37">
      <c r="A37" s="79" t="n">
        <v>5</v>
      </c>
      <c r="B37" s="38">
        <f>IFERROR(INDEX($B$8:$B$17,MATCH(5,$I$8:$I$17,0)),"")</f>
        <v/>
      </c>
      <c r="C37" s="32">
        <f>IFERROR(INDEX($C$8:$C$17,MATCH(5,$I$8:$I$17,0)),"")</f>
        <v/>
      </c>
      <c r="D37" s="80">
        <f>IFERROR(INDEX($D$8:$D$17,MATCH(5,$I$8:$I$17,0)),"")</f>
        <v/>
      </c>
      <c r="E37" s="32">
        <f>IFERROR(INDEX($E$8:$E$17,MATCH(5,$I$8:$I$17,0)),"")</f>
        <v/>
      </c>
      <c r="F37" s="67">
        <f>IF(B37="","",IF(ISNUMBER(INDEX('Debt Schedule'!$AY$8:$BH$8,1,5)),DATE(YEAR(Settings!$C$11),MONTH(Settings!$C$11)+INDEX('Debt Schedule'!$AY$8:$BH$8,1,5),1),INDEX('Debt Schedule'!$AY$8:$BH$8,1,5)))</f>
        <v/>
      </c>
    </row>
    <row r="38">
      <c r="A38" s="79" t="n">
        <v>6</v>
      </c>
      <c r="B38" s="38">
        <f>IFERROR(INDEX($B$8:$B$17,MATCH(6,$I$8:$I$17,0)),"")</f>
        <v/>
      </c>
      <c r="C38" s="32">
        <f>IFERROR(INDEX($C$8:$C$17,MATCH(6,$I$8:$I$17,0)),"")</f>
        <v/>
      </c>
      <c r="D38" s="80">
        <f>IFERROR(INDEX($D$8:$D$17,MATCH(6,$I$8:$I$17,0)),"")</f>
        <v/>
      </c>
      <c r="E38" s="32">
        <f>IFERROR(INDEX($E$8:$E$17,MATCH(6,$I$8:$I$17,0)),"")</f>
        <v/>
      </c>
      <c r="F38" s="67">
        <f>IF(B38="","",IF(ISNUMBER(INDEX('Debt Schedule'!$AY$8:$BH$8,1,6)),DATE(YEAR(Settings!$C$11),MONTH(Settings!$C$11)+INDEX('Debt Schedule'!$AY$8:$BH$8,1,6),1),INDEX('Debt Schedule'!$AY$8:$BH$8,1,6)))</f>
        <v/>
      </c>
    </row>
    <row r="39">
      <c r="A39" s="79" t="n">
        <v>7</v>
      </c>
      <c r="B39" s="38">
        <f>IFERROR(INDEX($B$8:$B$17,MATCH(7,$I$8:$I$17,0)),"")</f>
        <v/>
      </c>
      <c r="C39" s="32">
        <f>IFERROR(INDEX($C$8:$C$17,MATCH(7,$I$8:$I$17,0)),"")</f>
        <v/>
      </c>
      <c r="D39" s="80">
        <f>IFERROR(INDEX($D$8:$D$17,MATCH(7,$I$8:$I$17,0)),"")</f>
        <v/>
      </c>
      <c r="E39" s="32">
        <f>IFERROR(INDEX($E$8:$E$17,MATCH(7,$I$8:$I$17,0)),"")</f>
        <v/>
      </c>
      <c r="F39" s="67">
        <f>IF(B39="","",IF(ISNUMBER(INDEX('Debt Schedule'!$AY$8:$BH$8,1,7)),DATE(YEAR(Settings!$C$11),MONTH(Settings!$C$11)+INDEX('Debt Schedule'!$AY$8:$BH$8,1,7),1),INDEX('Debt Schedule'!$AY$8:$BH$8,1,7)))</f>
        <v/>
      </c>
    </row>
    <row r="40">
      <c r="A40" s="79" t="n">
        <v>8</v>
      </c>
      <c r="B40" s="38">
        <f>IFERROR(INDEX($B$8:$B$17,MATCH(8,$I$8:$I$17,0)),"")</f>
        <v/>
      </c>
      <c r="C40" s="32">
        <f>IFERROR(INDEX($C$8:$C$17,MATCH(8,$I$8:$I$17,0)),"")</f>
        <v/>
      </c>
      <c r="D40" s="80">
        <f>IFERROR(INDEX($D$8:$D$17,MATCH(8,$I$8:$I$17,0)),"")</f>
        <v/>
      </c>
      <c r="E40" s="32">
        <f>IFERROR(INDEX($E$8:$E$17,MATCH(8,$I$8:$I$17,0)),"")</f>
        <v/>
      </c>
      <c r="F40" s="67">
        <f>IF(B40="","",IF(ISNUMBER(INDEX('Debt Schedule'!$AY$8:$BH$8,1,8)),DATE(YEAR(Settings!$C$11),MONTH(Settings!$C$11)+INDEX('Debt Schedule'!$AY$8:$BH$8,1,8),1),INDEX('Debt Schedule'!$AY$8:$BH$8,1,8)))</f>
        <v/>
      </c>
    </row>
    <row r="41">
      <c r="A41" s="79" t="n">
        <v>9</v>
      </c>
      <c r="B41" s="38">
        <f>IFERROR(INDEX($B$8:$B$17,MATCH(9,$I$8:$I$17,0)),"")</f>
        <v/>
      </c>
      <c r="C41" s="32">
        <f>IFERROR(INDEX($C$8:$C$17,MATCH(9,$I$8:$I$17,0)),"")</f>
        <v/>
      </c>
      <c r="D41" s="80">
        <f>IFERROR(INDEX($D$8:$D$17,MATCH(9,$I$8:$I$17,0)),"")</f>
        <v/>
      </c>
      <c r="E41" s="32">
        <f>IFERROR(INDEX($E$8:$E$17,MATCH(9,$I$8:$I$17,0)),"")</f>
        <v/>
      </c>
      <c r="F41" s="67">
        <f>IF(B41="","",IF(ISNUMBER(INDEX('Debt Schedule'!$AY$8:$BH$8,1,9)),DATE(YEAR(Settings!$C$11),MONTH(Settings!$C$11)+INDEX('Debt Schedule'!$AY$8:$BH$8,1,9),1),INDEX('Debt Schedule'!$AY$8:$BH$8,1,9)))</f>
        <v/>
      </c>
    </row>
    <row r="42">
      <c r="A42" s="79" t="n">
        <v>10</v>
      </c>
      <c r="B42" s="38">
        <f>IFERROR(INDEX($B$8:$B$17,MATCH(10,$I$8:$I$17,0)),"")</f>
        <v/>
      </c>
      <c r="C42" s="32">
        <f>IFERROR(INDEX($C$8:$C$17,MATCH(10,$I$8:$I$17,0)),"")</f>
        <v/>
      </c>
      <c r="D42" s="80">
        <f>IFERROR(INDEX($D$8:$D$17,MATCH(10,$I$8:$I$17,0)),"")</f>
        <v/>
      </c>
      <c r="E42" s="32">
        <f>IFERROR(INDEX($E$8:$E$17,MATCH(10,$I$8:$I$17,0)),"")</f>
        <v/>
      </c>
      <c r="F42" s="67">
        <f>IF(B42="","",IF(ISNUMBER(INDEX('Debt Schedule'!$AY$8:$BH$8,1,10)),DATE(YEAR(Settings!$C$11),MONTH(Settings!$C$11)+INDEX('Debt Schedule'!$AY$8:$BH$8,1,10),1),INDEX('Debt Schedule'!$AY$8:$BH$8,1,10)))</f>
        <v/>
      </c>
    </row>
    <row r="44" ht="20" customHeight="1">
      <c r="B44" s="3" t="inlineStr">
        <is>
          <t>Snowball order: smallest balance first</t>
        </is>
      </c>
      <c r="C44" s="4" t="n"/>
      <c r="D44" s="4" t="n"/>
      <c r="E44" s="4" t="n"/>
      <c r="F44" s="4" t="n"/>
    </row>
    <row r="45" ht="22" customHeight="1">
      <c r="B45" s="14" t="inlineStr">
        <is>
          <t>Debt</t>
        </is>
      </c>
      <c r="C45" s="14">
        <f>"Balance"&amp;Settings!$C$14</f>
        <v/>
      </c>
      <c r="D45" s="14" t="inlineStr">
        <is>
          <t>APR</t>
        </is>
      </c>
      <c r="E45" s="14">
        <f>"Minimum"&amp;Settings!$C$14</f>
        <v/>
      </c>
      <c r="F45" s="14" t="inlineStr">
        <is>
          <t>Paid off</t>
        </is>
      </c>
    </row>
    <row r="46">
      <c r="A46" s="79" t="n">
        <v>1</v>
      </c>
      <c r="B46" s="38">
        <f>IFERROR(INDEX($B$8:$B$17,MATCH(1,$J$8:$J$17,0)),"")</f>
        <v/>
      </c>
      <c r="C46" s="32">
        <f>IFERROR(INDEX($C$8:$C$17,MATCH(1,$J$8:$J$17,0)),"")</f>
        <v/>
      </c>
      <c r="D46" s="80">
        <f>IFERROR(INDEX($D$8:$D$17,MATCH(1,$J$8:$J$17,0)),"")</f>
        <v/>
      </c>
      <c r="E46" s="32">
        <f>IFERROR(INDEX($E$8:$E$17,MATCH(1,$J$8:$J$17,0)),"")</f>
        <v/>
      </c>
      <c r="F46" s="67">
        <f>IF(B46="","",IF(ISNUMBER(INDEX('Debt Schedule'!$Z$8:$AI$8,1,1)),DATE(YEAR(Settings!$C$11),MONTH(Settings!$C$11)+INDEX('Debt Schedule'!$Z$8:$AI$8,1,1),1),INDEX('Debt Schedule'!$Z$8:$AI$8,1,1)))</f>
        <v/>
      </c>
    </row>
    <row r="47">
      <c r="A47" s="79" t="n">
        <v>2</v>
      </c>
      <c r="B47" s="38">
        <f>IFERROR(INDEX($B$8:$B$17,MATCH(2,$J$8:$J$17,0)),"")</f>
        <v/>
      </c>
      <c r="C47" s="32">
        <f>IFERROR(INDEX($C$8:$C$17,MATCH(2,$J$8:$J$17,0)),"")</f>
        <v/>
      </c>
      <c r="D47" s="80">
        <f>IFERROR(INDEX($D$8:$D$17,MATCH(2,$J$8:$J$17,0)),"")</f>
        <v/>
      </c>
      <c r="E47" s="32">
        <f>IFERROR(INDEX($E$8:$E$17,MATCH(2,$J$8:$J$17,0)),"")</f>
        <v/>
      </c>
      <c r="F47" s="67">
        <f>IF(B47="","",IF(ISNUMBER(INDEX('Debt Schedule'!$Z$8:$AI$8,1,2)),DATE(YEAR(Settings!$C$11),MONTH(Settings!$C$11)+INDEX('Debt Schedule'!$Z$8:$AI$8,1,2),1),INDEX('Debt Schedule'!$Z$8:$AI$8,1,2)))</f>
        <v/>
      </c>
    </row>
    <row r="48">
      <c r="A48" s="79" t="n">
        <v>3</v>
      </c>
      <c r="B48" s="38">
        <f>IFERROR(INDEX($B$8:$B$17,MATCH(3,$J$8:$J$17,0)),"")</f>
        <v/>
      </c>
      <c r="C48" s="32">
        <f>IFERROR(INDEX($C$8:$C$17,MATCH(3,$J$8:$J$17,0)),"")</f>
        <v/>
      </c>
      <c r="D48" s="80">
        <f>IFERROR(INDEX($D$8:$D$17,MATCH(3,$J$8:$J$17,0)),"")</f>
        <v/>
      </c>
      <c r="E48" s="32">
        <f>IFERROR(INDEX($E$8:$E$17,MATCH(3,$J$8:$J$17,0)),"")</f>
        <v/>
      </c>
      <c r="F48" s="67">
        <f>IF(B48="","",IF(ISNUMBER(INDEX('Debt Schedule'!$Z$8:$AI$8,1,3)),DATE(YEAR(Settings!$C$11),MONTH(Settings!$C$11)+INDEX('Debt Schedule'!$Z$8:$AI$8,1,3),1),INDEX('Debt Schedule'!$Z$8:$AI$8,1,3)))</f>
        <v/>
      </c>
    </row>
    <row r="49">
      <c r="A49" s="79" t="n">
        <v>4</v>
      </c>
      <c r="B49" s="38">
        <f>IFERROR(INDEX($B$8:$B$17,MATCH(4,$J$8:$J$17,0)),"")</f>
        <v/>
      </c>
      <c r="C49" s="32">
        <f>IFERROR(INDEX($C$8:$C$17,MATCH(4,$J$8:$J$17,0)),"")</f>
        <v/>
      </c>
      <c r="D49" s="80">
        <f>IFERROR(INDEX($D$8:$D$17,MATCH(4,$J$8:$J$17,0)),"")</f>
        <v/>
      </c>
      <c r="E49" s="32">
        <f>IFERROR(INDEX($E$8:$E$17,MATCH(4,$J$8:$J$17,0)),"")</f>
        <v/>
      </c>
      <c r="F49" s="67">
        <f>IF(B49="","",IF(ISNUMBER(INDEX('Debt Schedule'!$Z$8:$AI$8,1,4)),DATE(YEAR(Settings!$C$11),MONTH(Settings!$C$11)+INDEX('Debt Schedule'!$Z$8:$AI$8,1,4),1),INDEX('Debt Schedule'!$Z$8:$AI$8,1,4)))</f>
        <v/>
      </c>
    </row>
    <row r="50">
      <c r="A50" s="79" t="n">
        <v>5</v>
      </c>
      <c r="B50" s="38">
        <f>IFERROR(INDEX($B$8:$B$17,MATCH(5,$J$8:$J$17,0)),"")</f>
        <v/>
      </c>
      <c r="C50" s="32">
        <f>IFERROR(INDEX($C$8:$C$17,MATCH(5,$J$8:$J$17,0)),"")</f>
        <v/>
      </c>
      <c r="D50" s="80">
        <f>IFERROR(INDEX($D$8:$D$17,MATCH(5,$J$8:$J$17,0)),"")</f>
        <v/>
      </c>
      <c r="E50" s="32">
        <f>IFERROR(INDEX($E$8:$E$17,MATCH(5,$J$8:$J$17,0)),"")</f>
        <v/>
      </c>
      <c r="F50" s="67">
        <f>IF(B50="","",IF(ISNUMBER(INDEX('Debt Schedule'!$Z$8:$AI$8,1,5)),DATE(YEAR(Settings!$C$11),MONTH(Settings!$C$11)+INDEX('Debt Schedule'!$Z$8:$AI$8,1,5),1),INDEX('Debt Schedule'!$Z$8:$AI$8,1,5)))</f>
        <v/>
      </c>
    </row>
    <row r="51">
      <c r="A51" s="79" t="n">
        <v>6</v>
      </c>
      <c r="B51" s="38">
        <f>IFERROR(INDEX($B$8:$B$17,MATCH(6,$J$8:$J$17,0)),"")</f>
        <v/>
      </c>
      <c r="C51" s="32">
        <f>IFERROR(INDEX($C$8:$C$17,MATCH(6,$J$8:$J$17,0)),"")</f>
        <v/>
      </c>
      <c r="D51" s="80">
        <f>IFERROR(INDEX($D$8:$D$17,MATCH(6,$J$8:$J$17,0)),"")</f>
        <v/>
      </c>
      <c r="E51" s="32">
        <f>IFERROR(INDEX($E$8:$E$17,MATCH(6,$J$8:$J$17,0)),"")</f>
        <v/>
      </c>
      <c r="F51" s="67">
        <f>IF(B51="","",IF(ISNUMBER(INDEX('Debt Schedule'!$Z$8:$AI$8,1,6)),DATE(YEAR(Settings!$C$11),MONTH(Settings!$C$11)+INDEX('Debt Schedule'!$Z$8:$AI$8,1,6),1),INDEX('Debt Schedule'!$Z$8:$AI$8,1,6)))</f>
        <v/>
      </c>
    </row>
    <row r="52">
      <c r="A52" s="79" t="n">
        <v>7</v>
      </c>
      <c r="B52" s="38">
        <f>IFERROR(INDEX($B$8:$B$17,MATCH(7,$J$8:$J$17,0)),"")</f>
        <v/>
      </c>
      <c r="C52" s="32">
        <f>IFERROR(INDEX($C$8:$C$17,MATCH(7,$J$8:$J$17,0)),"")</f>
        <v/>
      </c>
      <c r="D52" s="80">
        <f>IFERROR(INDEX($D$8:$D$17,MATCH(7,$J$8:$J$17,0)),"")</f>
        <v/>
      </c>
      <c r="E52" s="32">
        <f>IFERROR(INDEX($E$8:$E$17,MATCH(7,$J$8:$J$17,0)),"")</f>
        <v/>
      </c>
      <c r="F52" s="67">
        <f>IF(B52="","",IF(ISNUMBER(INDEX('Debt Schedule'!$Z$8:$AI$8,1,7)),DATE(YEAR(Settings!$C$11),MONTH(Settings!$C$11)+INDEX('Debt Schedule'!$Z$8:$AI$8,1,7),1),INDEX('Debt Schedule'!$Z$8:$AI$8,1,7)))</f>
        <v/>
      </c>
    </row>
    <row r="53">
      <c r="A53" s="79" t="n">
        <v>8</v>
      </c>
      <c r="B53" s="38">
        <f>IFERROR(INDEX($B$8:$B$17,MATCH(8,$J$8:$J$17,0)),"")</f>
        <v/>
      </c>
      <c r="C53" s="32">
        <f>IFERROR(INDEX($C$8:$C$17,MATCH(8,$J$8:$J$17,0)),"")</f>
        <v/>
      </c>
      <c r="D53" s="80">
        <f>IFERROR(INDEX($D$8:$D$17,MATCH(8,$J$8:$J$17,0)),"")</f>
        <v/>
      </c>
      <c r="E53" s="32">
        <f>IFERROR(INDEX($E$8:$E$17,MATCH(8,$J$8:$J$17,0)),"")</f>
        <v/>
      </c>
      <c r="F53" s="67">
        <f>IF(B53="","",IF(ISNUMBER(INDEX('Debt Schedule'!$Z$8:$AI$8,1,8)),DATE(YEAR(Settings!$C$11),MONTH(Settings!$C$11)+INDEX('Debt Schedule'!$Z$8:$AI$8,1,8),1),INDEX('Debt Schedule'!$Z$8:$AI$8,1,8)))</f>
        <v/>
      </c>
    </row>
    <row r="54">
      <c r="A54" s="79" t="n">
        <v>9</v>
      </c>
      <c r="B54" s="38">
        <f>IFERROR(INDEX($B$8:$B$17,MATCH(9,$J$8:$J$17,0)),"")</f>
        <v/>
      </c>
      <c r="C54" s="32">
        <f>IFERROR(INDEX($C$8:$C$17,MATCH(9,$J$8:$J$17,0)),"")</f>
        <v/>
      </c>
      <c r="D54" s="80">
        <f>IFERROR(INDEX($D$8:$D$17,MATCH(9,$J$8:$J$17,0)),"")</f>
        <v/>
      </c>
      <c r="E54" s="32">
        <f>IFERROR(INDEX($E$8:$E$17,MATCH(9,$J$8:$J$17,0)),"")</f>
        <v/>
      </c>
      <c r="F54" s="67">
        <f>IF(B54="","",IF(ISNUMBER(INDEX('Debt Schedule'!$Z$8:$AI$8,1,9)),DATE(YEAR(Settings!$C$11),MONTH(Settings!$C$11)+INDEX('Debt Schedule'!$Z$8:$AI$8,1,9),1),INDEX('Debt Schedule'!$Z$8:$AI$8,1,9)))</f>
        <v/>
      </c>
    </row>
    <row r="55">
      <c r="A55" s="79" t="n">
        <v>10</v>
      </c>
      <c r="B55" s="38">
        <f>IFERROR(INDEX($B$8:$B$17,MATCH(10,$J$8:$J$17,0)),"")</f>
        <v/>
      </c>
      <c r="C55" s="32">
        <f>IFERROR(INDEX($C$8:$C$17,MATCH(10,$J$8:$J$17,0)),"")</f>
        <v/>
      </c>
      <c r="D55" s="80">
        <f>IFERROR(INDEX($D$8:$D$17,MATCH(10,$J$8:$J$17,0)),"")</f>
        <v/>
      </c>
      <c r="E55" s="32">
        <f>IFERROR(INDEX($E$8:$E$17,MATCH(10,$J$8:$J$17,0)),"")</f>
        <v/>
      </c>
      <c r="F55" s="67">
        <f>IF(B55="","",IF(ISNUMBER(INDEX('Debt Schedule'!$Z$8:$AI$8,1,10)),DATE(YEAR(Settings!$C$11),MONTH(Settings!$C$11)+INDEX('Debt Schedule'!$Z$8:$AI$8,1,10),1),INDEX('Debt Schedule'!$Z$8:$AI$8,1,10)))</f>
        <v/>
      </c>
    </row>
    <row r="58" ht="20" customHeight="1">
      <c r="B58" s="3" t="inlineStr">
        <is>
          <t>Chart data: total balance over time</t>
        </is>
      </c>
      <c r="C58" s="4" t="n"/>
      <c r="D58" s="4" t="n"/>
      <c r="E58" s="4" t="n"/>
      <c r="F58" s="4" t="n"/>
    </row>
    <row r="59" ht="22" customHeight="1">
      <c r="B59" s="14" t="inlineStr">
        <is>
          <t>Month</t>
        </is>
      </c>
      <c r="C59" s="14" t="inlineStr">
        <is>
          <t>Minimums only</t>
        </is>
      </c>
      <c r="D59" s="14" t="inlineStr">
        <is>
          <t>Snowball</t>
        </is>
      </c>
      <c r="E59" s="14" t="inlineStr">
        <is>
          <t>Avalanche</t>
        </is>
      </c>
      <c r="F59" s="14" t="inlineStr">
        <is>
          <t>Month #</t>
        </is>
      </c>
      <c r="H59" s="81" t="inlineStr">
        <is>
          <t>Months per point</t>
        </is>
      </c>
      <c r="I59" s="82">
        <f>MAX(1,ROUNDUP(MAX(IF(ISNUMBER(D24),D24,360),IF(ISNUMBER(E24),E24,360))/24,0))</f>
        <v/>
      </c>
    </row>
    <row r="60">
      <c r="B60" s="38">
        <f>YEAR(DATE(YEAR(Settings!$C$11),MONTH(Settings!$C$11)+F60,1))&amp;"-"&amp;RIGHT("0"&amp;MONTH(DATE(YEAR(Settings!$C$11),MONTH(Settings!$C$11)+F60,1)),2)</f>
        <v/>
      </c>
      <c r="C60" s="32">
        <f>INDEX('Debt Schedule'!$N$10:$N$370,F60+1)</f>
        <v/>
      </c>
      <c r="D60" s="32">
        <f>INDEX('Debt Schedule'!$AM$10:$AM$370,F60+1)</f>
        <v/>
      </c>
      <c r="E60" s="32">
        <f>INDEX('Debt Schedule'!$BL$10:$BL$370,F60+1)</f>
        <v/>
      </c>
      <c r="F60" s="83">
        <f>MIN(360,0*$I$59)</f>
        <v/>
      </c>
    </row>
    <row r="61">
      <c r="B61" s="38">
        <f>YEAR(DATE(YEAR(Settings!$C$11),MONTH(Settings!$C$11)+F61,1))&amp;"-"&amp;RIGHT("0"&amp;MONTH(DATE(YEAR(Settings!$C$11),MONTH(Settings!$C$11)+F61,1)),2)</f>
        <v/>
      </c>
      <c r="C61" s="32">
        <f>INDEX('Debt Schedule'!$N$10:$N$370,F61+1)</f>
        <v/>
      </c>
      <c r="D61" s="32">
        <f>INDEX('Debt Schedule'!$AM$10:$AM$370,F61+1)</f>
        <v/>
      </c>
      <c r="E61" s="32">
        <f>INDEX('Debt Schedule'!$BL$10:$BL$370,F61+1)</f>
        <v/>
      </c>
      <c r="F61" s="83">
        <f>MIN(360,1*$I$59)</f>
        <v/>
      </c>
    </row>
    <row r="62">
      <c r="B62" s="38">
        <f>YEAR(DATE(YEAR(Settings!$C$11),MONTH(Settings!$C$11)+F62,1))&amp;"-"&amp;RIGHT("0"&amp;MONTH(DATE(YEAR(Settings!$C$11),MONTH(Settings!$C$11)+F62,1)),2)</f>
        <v/>
      </c>
      <c r="C62" s="32">
        <f>INDEX('Debt Schedule'!$N$10:$N$370,F62+1)</f>
        <v/>
      </c>
      <c r="D62" s="32">
        <f>INDEX('Debt Schedule'!$AM$10:$AM$370,F62+1)</f>
        <v/>
      </c>
      <c r="E62" s="32">
        <f>INDEX('Debt Schedule'!$BL$10:$BL$370,F62+1)</f>
        <v/>
      </c>
      <c r="F62" s="83">
        <f>MIN(360,2*$I$59)</f>
        <v/>
      </c>
    </row>
    <row r="63">
      <c r="B63" s="38">
        <f>YEAR(DATE(YEAR(Settings!$C$11),MONTH(Settings!$C$11)+F63,1))&amp;"-"&amp;RIGHT("0"&amp;MONTH(DATE(YEAR(Settings!$C$11),MONTH(Settings!$C$11)+F63,1)),2)</f>
        <v/>
      </c>
      <c r="C63" s="32">
        <f>INDEX('Debt Schedule'!$N$10:$N$370,F63+1)</f>
        <v/>
      </c>
      <c r="D63" s="32">
        <f>INDEX('Debt Schedule'!$AM$10:$AM$370,F63+1)</f>
        <v/>
      </c>
      <c r="E63" s="32">
        <f>INDEX('Debt Schedule'!$BL$10:$BL$370,F63+1)</f>
        <v/>
      </c>
      <c r="F63" s="83">
        <f>MIN(360,3*$I$59)</f>
        <v/>
      </c>
    </row>
    <row r="64">
      <c r="B64" s="38">
        <f>YEAR(DATE(YEAR(Settings!$C$11),MONTH(Settings!$C$11)+F64,1))&amp;"-"&amp;RIGHT("0"&amp;MONTH(DATE(YEAR(Settings!$C$11),MONTH(Settings!$C$11)+F64,1)),2)</f>
        <v/>
      </c>
      <c r="C64" s="32">
        <f>INDEX('Debt Schedule'!$N$10:$N$370,F64+1)</f>
        <v/>
      </c>
      <c r="D64" s="32">
        <f>INDEX('Debt Schedule'!$AM$10:$AM$370,F64+1)</f>
        <v/>
      </c>
      <c r="E64" s="32">
        <f>INDEX('Debt Schedule'!$BL$10:$BL$370,F64+1)</f>
        <v/>
      </c>
      <c r="F64" s="83">
        <f>MIN(360,4*$I$59)</f>
        <v/>
      </c>
    </row>
    <row r="65">
      <c r="B65" s="38">
        <f>YEAR(DATE(YEAR(Settings!$C$11),MONTH(Settings!$C$11)+F65,1))&amp;"-"&amp;RIGHT("0"&amp;MONTH(DATE(YEAR(Settings!$C$11),MONTH(Settings!$C$11)+F65,1)),2)</f>
        <v/>
      </c>
      <c r="C65" s="32">
        <f>INDEX('Debt Schedule'!$N$10:$N$370,F65+1)</f>
        <v/>
      </c>
      <c r="D65" s="32">
        <f>INDEX('Debt Schedule'!$AM$10:$AM$370,F65+1)</f>
        <v/>
      </c>
      <c r="E65" s="32">
        <f>INDEX('Debt Schedule'!$BL$10:$BL$370,F65+1)</f>
        <v/>
      </c>
      <c r="F65" s="83">
        <f>MIN(360,5*$I$59)</f>
        <v/>
      </c>
    </row>
    <row r="66">
      <c r="B66" s="38">
        <f>YEAR(DATE(YEAR(Settings!$C$11),MONTH(Settings!$C$11)+F66,1))&amp;"-"&amp;RIGHT("0"&amp;MONTH(DATE(YEAR(Settings!$C$11),MONTH(Settings!$C$11)+F66,1)),2)</f>
        <v/>
      </c>
      <c r="C66" s="32">
        <f>INDEX('Debt Schedule'!$N$10:$N$370,F66+1)</f>
        <v/>
      </c>
      <c r="D66" s="32">
        <f>INDEX('Debt Schedule'!$AM$10:$AM$370,F66+1)</f>
        <v/>
      </c>
      <c r="E66" s="32">
        <f>INDEX('Debt Schedule'!$BL$10:$BL$370,F66+1)</f>
        <v/>
      </c>
      <c r="F66" s="83">
        <f>MIN(360,6*$I$59)</f>
        <v/>
      </c>
    </row>
    <row r="67">
      <c r="B67" s="38">
        <f>YEAR(DATE(YEAR(Settings!$C$11),MONTH(Settings!$C$11)+F67,1))&amp;"-"&amp;RIGHT("0"&amp;MONTH(DATE(YEAR(Settings!$C$11),MONTH(Settings!$C$11)+F67,1)),2)</f>
        <v/>
      </c>
      <c r="C67" s="32">
        <f>INDEX('Debt Schedule'!$N$10:$N$370,F67+1)</f>
        <v/>
      </c>
      <c r="D67" s="32">
        <f>INDEX('Debt Schedule'!$AM$10:$AM$370,F67+1)</f>
        <v/>
      </c>
      <c r="E67" s="32">
        <f>INDEX('Debt Schedule'!$BL$10:$BL$370,F67+1)</f>
        <v/>
      </c>
      <c r="F67" s="83">
        <f>MIN(360,7*$I$59)</f>
        <v/>
      </c>
    </row>
    <row r="68">
      <c r="B68" s="38">
        <f>YEAR(DATE(YEAR(Settings!$C$11),MONTH(Settings!$C$11)+F68,1))&amp;"-"&amp;RIGHT("0"&amp;MONTH(DATE(YEAR(Settings!$C$11),MONTH(Settings!$C$11)+F68,1)),2)</f>
        <v/>
      </c>
      <c r="C68" s="32">
        <f>INDEX('Debt Schedule'!$N$10:$N$370,F68+1)</f>
        <v/>
      </c>
      <c r="D68" s="32">
        <f>INDEX('Debt Schedule'!$AM$10:$AM$370,F68+1)</f>
        <v/>
      </c>
      <c r="E68" s="32">
        <f>INDEX('Debt Schedule'!$BL$10:$BL$370,F68+1)</f>
        <v/>
      </c>
      <c r="F68" s="83">
        <f>MIN(360,8*$I$59)</f>
        <v/>
      </c>
    </row>
    <row r="69">
      <c r="B69" s="38">
        <f>YEAR(DATE(YEAR(Settings!$C$11),MONTH(Settings!$C$11)+F69,1))&amp;"-"&amp;RIGHT("0"&amp;MONTH(DATE(YEAR(Settings!$C$11),MONTH(Settings!$C$11)+F69,1)),2)</f>
        <v/>
      </c>
      <c r="C69" s="32">
        <f>INDEX('Debt Schedule'!$N$10:$N$370,F69+1)</f>
        <v/>
      </c>
      <c r="D69" s="32">
        <f>INDEX('Debt Schedule'!$AM$10:$AM$370,F69+1)</f>
        <v/>
      </c>
      <c r="E69" s="32">
        <f>INDEX('Debt Schedule'!$BL$10:$BL$370,F69+1)</f>
        <v/>
      </c>
      <c r="F69" s="83">
        <f>MIN(360,9*$I$59)</f>
        <v/>
      </c>
    </row>
    <row r="70">
      <c r="B70" s="38">
        <f>YEAR(DATE(YEAR(Settings!$C$11),MONTH(Settings!$C$11)+F70,1))&amp;"-"&amp;RIGHT("0"&amp;MONTH(DATE(YEAR(Settings!$C$11),MONTH(Settings!$C$11)+F70,1)),2)</f>
        <v/>
      </c>
      <c r="C70" s="32">
        <f>INDEX('Debt Schedule'!$N$10:$N$370,F70+1)</f>
        <v/>
      </c>
      <c r="D70" s="32">
        <f>INDEX('Debt Schedule'!$AM$10:$AM$370,F70+1)</f>
        <v/>
      </c>
      <c r="E70" s="32">
        <f>INDEX('Debt Schedule'!$BL$10:$BL$370,F70+1)</f>
        <v/>
      </c>
      <c r="F70" s="83">
        <f>MIN(360,10*$I$59)</f>
        <v/>
      </c>
    </row>
    <row r="71">
      <c r="B71" s="38">
        <f>YEAR(DATE(YEAR(Settings!$C$11),MONTH(Settings!$C$11)+F71,1))&amp;"-"&amp;RIGHT("0"&amp;MONTH(DATE(YEAR(Settings!$C$11),MONTH(Settings!$C$11)+F71,1)),2)</f>
        <v/>
      </c>
      <c r="C71" s="32">
        <f>INDEX('Debt Schedule'!$N$10:$N$370,F71+1)</f>
        <v/>
      </c>
      <c r="D71" s="32">
        <f>INDEX('Debt Schedule'!$AM$10:$AM$370,F71+1)</f>
        <v/>
      </c>
      <c r="E71" s="32">
        <f>INDEX('Debt Schedule'!$BL$10:$BL$370,F71+1)</f>
        <v/>
      </c>
      <c r="F71" s="83">
        <f>MIN(360,11*$I$59)</f>
        <v/>
      </c>
    </row>
    <row r="72">
      <c r="B72" s="38">
        <f>YEAR(DATE(YEAR(Settings!$C$11),MONTH(Settings!$C$11)+F72,1))&amp;"-"&amp;RIGHT("0"&amp;MONTH(DATE(YEAR(Settings!$C$11),MONTH(Settings!$C$11)+F72,1)),2)</f>
        <v/>
      </c>
      <c r="C72" s="32">
        <f>INDEX('Debt Schedule'!$N$10:$N$370,F72+1)</f>
        <v/>
      </c>
      <c r="D72" s="32">
        <f>INDEX('Debt Schedule'!$AM$10:$AM$370,F72+1)</f>
        <v/>
      </c>
      <c r="E72" s="32">
        <f>INDEX('Debt Schedule'!$BL$10:$BL$370,F72+1)</f>
        <v/>
      </c>
      <c r="F72" s="83">
        <f>MIN(360,12*$I$59)</f>
        <v/>
      </c>
    </row>
    <row r="73">
      <c r="B73" s="38">
        <f>YEAR(DATE(YEAR(Settings!$C$11),MONTH(Settings!$C$11)+F73,1))&amp;"-"&amp;RIGHT("0"&amp;MONTH(DATE(YEAR(Settings!$C$11),MONTH(Settings!$C$11)+F73,1)),2)</f>
        <v/>
      </c>
      <c r="C73" s="32">
        <f>INDEX('Debt Schedule'!$N$10:$N$370,F73+1)</f>
        <v/>
      </c>
      <c r="D73" s="32">
        <f>INDEX('Debt Schedule'!$AM$10:$AM$370,F73+1)</f>
        <v/>
      </c>
      <c r="E73" s="32">
        <f>INDEX('Debt Schedule'!$BL$10:$BL$370,F73+1)</f>
        <v/>
      </c>
      <c r="F73" s="83">
        <f>MIN(360,13*$I$59)</f>
        <v/>
      </c>
    </row>
    <row r="74">
      <c r="B74" s="38">
        <f>YEAR(DATE(YEAR(Settings!$C$11),MONTH(Settings!$C$11)+F74,1))&amp;"-"&amp;RIGHT("0"&amp;MONTH(DATE(YEAR(Settings!$C$11),MONTH(Settings!$C$11)+F74,1)),2)</f>
        <v/>
      </c>
      <c r="C74" s="32">
        <f>INDEX('Debt Schedule'!$N$10:$N$370,F74+1)</f>
        <v/>
      </c>
      <c r="D74" s="32">
        <f>INDEX('Debt Schedule'!$AM$10:$AM$370,F74+1)</f>
        <v/>
      </c>
      <c r="E74" s="32">
        <f>INDEX('Debt Schedule'!$BL$10:$BL$370,F74+1)</f>
        <v/>
      </c>
      <c r="F74" s="83">
        <f>MIN(360,14*$I$59)</f>
        <v/>
      </c>
    </row>
    <row r="75">
      <c r="B75" s="38">
        <f>YEAR(DATE(YEAR(Settings!$C$11),MONTH(Settings!$C$11)+F75,1))&amp;"-"&amp;RIGHT("0"&amp;MONTH(DATE(YEAR(Settings!$C$11),MONTH(Settings!$C$11)+F75,1)),2)</f>
        <v/>
      </c>
      <c r="C75" s="32">
        <f>INDEX('Debt Schedule'!$N$10:$N$370,F75+1)</f>
        <v/>
      </c>
      <c r="D75" s="32">
        <f>INDEX('Debt Schedule'!$AM$10:$AM$370,F75+1)</f>
        <v/>
      </c>
      <c r="E75" s="32">
        <f>INDEX('Debt Schedule'!$BL$10:$BL$370,F75+1)</f>
        <v/>
      </c>
      <c r="F75" s="83">
        <f>MIN(360,15*$I$59)</f>
        <v/>
      </c>
    </row>
    <row r="76">
      <c r="B76" s="38">
        <f>YEAR(DATE(YEAR(Settings!$C$11),MONTH(Settings!$C$11)+F76,1))&amp;"-"&amp;RIGHT("0"&amp;MONTH(DATE(YEAR(Settings!$C$11),MONTH(Settings!$C$11)+F76,1)),2)</f>
        <v/>
      </c>
      <c r="C76" s="32">
        <f>INDEX('Debt Schedule'!$N$10:$N$370,F76+1)</f>
        <v/>
      </c>
      <c r="D76" s="32">
        <f>INDEX('Debt Schedule'!$AM$10:$AM$370,F76+1)</f>
        <v/>
      </c>
      <c r="E76" s="32">
        <f>INDEX('Debt Schedule'!$BL$10:$BL$370,F76+1)</f>
        <v/>
      </c>
      <c r="F76" s="83">
        <f>MIN(360,16*$I$59)</f>
        <v/>
      </c>
    </row>
    <row r="77">
      <c r="B77" s="38">
        <f>YEAR(DATE(YEAR(Settings!$C$11),MONTH(Settings!$C$11)+F77,1))&amp;"-"&amp;RIGHT("0"&amp;MONTH(DATE(YEAR(Settings!$C$11),MONTH(Settings!$C$11)+F77,1)),2)</f>
        <v/>
      </c>
      <c r="C77" s="32">
        <f>INDEX('Debt Schedule'!$N$10:$N$370,F77+1)</f>
        <v/>
      </c>
      <c r="D77" s="32">
        <f>INDEX('Debt Schedule'!$AM$10:$AM$370,F77+1)</f>
        <v/>
      </c>
      <c r="E77" s="32">
        <f>INDEX('Debt Schedule'!$BL$10:$BL$370,F77+1)</f>
        <v/>
      </c>
      <c r="F77" s="83">
        <f>MIN(360,17*$I$59)</f>
        <v/>
      </c>
    </row>
    <row r="78">
      <c r="B78" s="38">
        <f>YEAR(DATE(YEAR(Settings!$C$11),MONTH(Settings!$C$11)+F78,1))&amp;"-"&amp;RIGHT("0"&amp;MONTH(DATE(YEAR(Settings!$C$11),MONTH(Settings!$C$11)+F78,1)),2)</f>
        <v/>
      </c>
      <c r="C78" s="32">
        <f>INDEX('Debt Schedule'!$N$10:$N$370,F78+1)</f>
        <v/>
      </c>
      <c r="D78" s="32">
        <f>INDEX('Debt Schedule'!$AM$10:$AM$370,F78+1)</f>
        <v/>
      </c>
      <c r="E78" s="32">
        <f>INDEX('Debt Schedule'!$BL$10:$BL$370,F78+1)</f>
        <v/>
      </c>
      <c r="F78" s="83">
        <f>MIN(360,18*$I$59)</f>
        <v/>
      </c>
    </row>
    <row r="79">
      <c r="B79" s="38">
        <f>YEAR(DATE(YEAR(Settings!$C$11),MONTH(Settings!$C$11)+F79,1))&amp;"-"&amp;RIGHT("0"&amp;MONTH(DATE(YEAR(Settings!$C$11),MONTH(Settings!$C$11)+F79,1)),2)</f>
        <v/>
      </c>
      <c r="C79" s="32">
        <f>INDEX('Debt Schedule'!$N$10:$N$370,F79+1)</f>
        <v/>
      </c>
      <c r="D79" s="32">
        <f>INDEX('Debt Schedule'!$AM$10:$AM$370,F79+1)</f>
        <v/>
      </c>
      <c r="E79" s="32">
        <f>INDEX('Debt Schedule'!$BL$10:$BL$370,F79+1)</f>
        <v/>
      </c>
      <c r="F79" s="83">
        <f>MIN(360,19*$I$59)</f>
        <v/>
      </c>
    </row>
    <row r="80">
      <c r="B80" s="38">
        <f>YEAR(DATE(YEAR(Settings!$C$11),MONTH(Settings!$C$11)+F80,1))&amp;"-"&amp;RIGHT("0"&amp;MONTH(DATE(YEAR(Settings!$C$11),MONTH(Settings!$C$11)+F80,1)),2)</f>
        <v/>
      </c>
      <c r="C80" s="32">
        <f>INDEX('Debt Schedule'!$N$10:$N$370,F80+1)</f>
        <v/>
      </c>
      <c r="D80" s="32">
        <f>INDEX('Debt Schedule'!$AM$10:$AM$370,F80+1)</f>
        <v/>
      </c>
      <c r="E80" s="32">
        <f>INDEX('Debt Schedule'!$BL$10:$BL$370,F80+1)</f>
        <v/>
      </c>
      <c r="F80" s="83">
        <f>MIN(360,20*$I$59)</f>
        <v/>
      </c>
    </row>
    <row r="81">
      <c r="B81" s="38">
        <f>YEAR(DATE(YEAR(Settings!$C$11),MONTH(Settings!$C$11)+F81,1))&amp;"-"&amp;RIGHT("0"&amp;MONTH(DATE(YEAR(Settings!$C$11),MONTH(Settings!$C$11)+F81,1)),2)</f>
        <v/>
      </c>
      <c r="C81" s="32">
        <f>INDEX('Debt Schedule'!$N$10:$N$370,F81+1)</f>
        <v/>
      </c>
      <c r="D81" s="32">
        <f>INDEX('Debt Schedule'!$AM$10:$AM$370,F81+1)</f>
        <v/>
      </c>
      <c r="E81" s="32">
        <f>INDEX('Debt Schedule'!$BL$10:$BL$370,F81+1)</f>
        <v/>
      </c>
      <c r="F81" s="83">
        <f>MIN(360,21*$I$59)</f>
        <v/>
      </c>
    </row>
    <row r="82">
      <c r="B82" s="38">
        <f>YEAR(DATE(YEAR(Settings!$C$11),MONTH(Settings!$C$11)+F82,1))&amp;"-"&amp;RIGHT("0"&amp;MONTH(DATE(YEAR(Settings!$C$11),MONTH(Settings!$C$11)+F82,1)),2)</f>
        <v/>
      </c>
      <c r="C82" s="32">
        <f>INDEX('Debt Schedule'!$N$10:$N$370,F82+1)</f>
        <v/>
      </c>
      <c r="D82" s="32">
        <f>INDEX('Debt Schedule'!$AM$10:$AM$370,F82+1)</f>
        <v/>
      </c>
      <c r="E82" s="32">
        <f>INDEX('Debt Schedule'!$BL$10:$BL$370,F82+1)</f>
        <v/>
      </c>
      <c r="F82" s="83">
        <f>MIN(360,22*$I$59)</f>
        <v/>
      </c>
    </row>
    <row r="83">
      <c r="B83" s="38">
        <f>YEAR(DATE(YEAR(Settings!$C$11),MONTH(Settings!$C$11)+F83,1))&amp;"-"&amp;RIGHT("0"&amp;MONTH(DATE(YEAR(Settings!$C$11),MONTH(Settings!$C$11)+F83,1)),2)</f>
        <v/>
      </c>
      <c r="C83" s="32">
        <f>INDEX('Debt Schedule'!$N$10:$N$370,F83+1)</f>
        <v/>
      </c>
      <c r="D83" s="32">
        <f>INDEX('Debt Schedule'!$AM$10:$AM$370,F83+1)</f>
        <v/>
      </c>
      <c r="E83" s="32">
        <f>INDEX('Debt Schedule'!$BL$10:$BL$370,F83+1)</f>
        <v/>
      </c>
      <c r="F83" s="83">
        <f>MIN(360,23*$I$59)</f>
        <v/>
      </c>
    </row>
    <row r="84">
      <c r="B84" s="38">
        <f>YEAR(DATE(YEAR(Settings!$C$11),MONTH(Settings!$C$11)+F84,1))&amp;"-"&amp;RIGHT("0"&amp;MONTH(DATE(YEAR(Settings!$C$11),MONTH(Settings!$C$11)+F84,1)),2)</f>
        <v/>
      </c>
      <c r="C84" s="32">
        <f>INDEX('Debt Schedule'!$N$10:$N$370,F84+1)</f>
        <v/>
      </c>
      <c r="D84" s="32">
        <f>INDEX('Debt Schedule'!$AM$10:$AM$370,F84+1)</f>
        <v/>
      </c>
      <c r="E84" s="32">
        <f>INDEX('Debt Schedule'!$BL$10:$BL$370,F84+1)</f>
        <v/>
      </c>
      <c r="F84" s="83">
        <f>MIN(360,24*$I$59)</f>
        <v/>
      </c>
    </row>
  </sheetData>
  <sheetProtection selectLockedCells="0" selectUnlockedCells="0" sheet="1" objects="0" insertRows="1" insertHyperlinks="1" autoFilter="1" scenarios="0" formatColumns="0" deleteColumns="1" insertColumns="1" pivotTables="1" deleteRows="1" formatCells="0" formatRows="0" sort="1"/>
  <mergeCells count="2">
    <mergeCell ref="D5:L5"/>
    <mergeCell ref="D4:L4"/>
  </mergeCells>
  <conditionalFormatting sqref="L8:L17">
    <cfRule type="expression" priority="1" dxfId="0">
      <formula>L8&lt;&gt;""</formula>
    </cfRule>
  </conditionalFormatting>
  <conditionalFormatting sqref="D23:D27">
    <cfRule type="expression" priority="2" dxfId="5">
      <formula>$C$4="Snowball"</formula>
    </cfRule>
  </conditionalFormatting>
  <conditionalFormatting sqref="D22">
    <cfRule type="expression" priority="3" dxfId="6">
      <formula>$C$4="Snowball"</formula>
    </cfRule>
  </conditionalFormatting>
  <conditionalFormatting sqref="E23:E27">
    <cfRule type="expression" priority="4" dxfId="5">
      <formula>$C$4="Avalanche"</formula>
    </cfRule>
  </conditionalFormatting>
  <conditionalFormatting sqref="E22">
    <cfRule type="expression" priority="5" dxfId="6">
      <formula>$C$4="Avalanche"</formula>
    </cfRule>
  </conditionalFormatting>
  <conditionalFormatting sqref="B33:F33">
    <cfRule type="expression" priority="6" dxfId="5">
      <formula>AND($C$4="Avalanche",$B$33&lt;&gt;"")</formula>
    </cfRule>
  </conditionalFormatting>
  <conditionalFormatting sqref="B46:F46">
    <cfRule type="expression" priority="7" dxfId="5">
      <formula>AND($C$4="Snowball",$B$46&lt;&gt;"")</formula>
    </cfRule>
  </conditionalFormatting>
  <dataValidations count="5">
    <dataValidation sqref="C4" showDropDown="0" showInputMessage="0" showErrorMessage="1" allowBlank="1" errorTitle="Method" error="Choose Avalanche or Snowball." type="list">
      <formula1>Lists!$E$2:$E$3</formula1>
    </dataValidation>
    <dataValidation sqref="C5" showDropDown="0" showInputMessage="0" showErrorMessage="1" allowBlank="1" errorTitle="Value not valid" error="Enter a positive amount." type="decimal" operator="between">
      <formula1>0</formula1>
      <formula2>100000000</formula2>
    </dataValidation>
    <dataValidation sqref="C8:C17" showDropDown="0" showInputMessage="0" showErrorMessage="1" allowBlank="1" errorTitle="Value not valid" error="Enter a positive amount." type="decimal" operator="between">
      <formula1>0</formula1>
      <formula2>100000000</formula2>
    </dataValidation>
    <dataValidation sqref="D8:D17" showDropDown="0" showInputMessage="0" showErrorMessage="1" allowBlank="1" errorTitle="Value not valid" error="Type the rate with the % sign, for example 22.99%." type="decimal" operator="between">
      <formula1>0</formula1>
      <formula2>1</formula2>
    </dataValidation>
    <dataValidation sqref="E8:E17" showDropDown="0" showInputMessage="0" showErrorMessage="1" allowBlank="1" errorTitle="Value not valid" error="Enter a positive amount." type="decimal" operator="between">
      <formula1>0</formula1>
      <formula2>100000000</formula2>
    </dataValidation>
  </dataValidations>
  <printOptions horizontalCentered="1"/>
  <pageMargins left="0.4" right="0.4" top="0.5" bottom="0.5" header="0.5" footer="0.5"/>
  <pageSetup orientation="landscape" paperSize="1" fitToHeight="0" fitToWidth="1"/>
  <rowBreaks count="1" manualBreakCount="1">
    <brk id="29" min="0" max="16383" man="1"/>
  </rowBreaks>
  <drawing xmlns:r="http://schemas.openxmlformats.org/officeDocument/2006/relationships" r:id="rId1"/>
</worksheet>
</file>

<file path=xl/worksheets/sheet11.xml><?xml version="1.0" encoding="utf-8"?>
<worksheet xmlns="http://schemas.openxmlformats.org/spreadsheetml/2006/main">
  <sheetPr>
    <tabColor rgb="00B8C2BD"/>
    <outlinePr summaryBelow="1" summaryRight="1"/>
    <pageSetUpPr fitToPage="1"/>
  </sheetPr>
  <dimension ref="A1:BL370"/>
  <sheetViews>
    <sheetView tabSelected="0" workbookViewId="0">
      <pane xSplit="2" ySplit="9" topLeftCell="C10"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12" customWidth="1" min="14" max="14"/>
    <col width="2"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hidden="1" width="13" customWidth="1" min="36" max="36"/>
    <col width="12" customWidth="1" min="37" max="37"/>
    <col width="12" customWidth="1" min="38" max="38"/>
    <col width="12" customWidth="1" min="39" max="39"/>
    <col width="2"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hidden="1" width="13" customWidth="1" min="61" max="61"/>
    <col width="12" customWidth="1" min="62" max="62"/>
    <col width="12" customWidth="1" min="63" max="63"/>
    <col width="12" customWidth="1" min="64" max="64"/>
  </cols>
  <sheetData>
    <row r="1" ht="26" customHeight="1">
      <c r="A1" s="84" t="inlineStr">
        <is>
          <t>Debt Schedule (calculated)</t>
        </is>
      </c>
    </row>
    <row r="2">
      <c r="A2" s="24" t="inlineStr">
        <is>
          <t>Month-by-month balances behind Debt Payoff. Nothing to type here. Each month: interest is added, every debt gets its minimum payment, the rest of your monthly total goes to the first debt in the payoff order.</t>
        </is>
      </c>
    </row>
    <row r="3">
      <c r="A3" s="24">
        <f>"Month 0 = "&amp;YEAR(Settings!$C$11)&amp;"-"&amp;RIGHT("0"&amp;MONTH(Settings!$C$11),2)&amp;" (as-of date in Settings). Payments start the month after."</f>
        <v/>
      </c>
    </row>
    <row r="4">
      <c r="C4" s="30" t="inlineStr">
        <is>
          <t>Minimum payments only (debts in the order you typed them)</t>
        </is>
      </c>
      <c r="Z4" s="30" t="inlineStr">
        <is>
          <t>Snowball: smallest balance first</t>
        </is>
      </c>
      <c r="AY4" s="30" t="inlineStr">
        <is>
          <t>Avalanche: highest APR first</t>
        </is>
      </c>
    </row>
    <row r="5" ht="26" customHeight="1">
      <c r="B5" s="79" t="inlineStr">
        <is>
          <t>Debt</t>
        </is>
      </c>
      <c r="C5" s="85">
        <f>IF(AND('Debt Payoff'!$B$8&lt;&gt;"",N('Debt Payoff'!$C$8)&gt;0,ISNUMBER('Debt Payoff'!$D$8)),'Debt Payoff'!$B$8,"")</f>
        <v/>
      </c>
      <c r="D5" s="85">
        <f>IF(AND('Debt Payoff'!$B$9&lt;&gt;"",N('Debt Payoff'!$C$9)&gt;0,ISNUMBER('Debt Payoff'!$D$9)),'Debt Payoff'!$B$9,"")</f>
        <v/>
      </c>
      <c r="E5" s="85">
        <f>IF(AND('Debt Payoff'!$B$10&lt;&gt;"",N('Debt Payoff'!$C$10)&gt;0,ISNUMBER('Debt Payoff'!$D$10)),'Debt Payoff'!$B$10,"")</f>
        <v/>
      </c>
      <c r="F5" s="85">
        <f>IF(AND('Debt Payoff'!$B$11&lt;&gt;"",N('Debt Payoff'!$C$11)&gt;0,ISNUMBER('Debt Payoff'!$D$11)),'Debt Payoff'!$B$11,"")</f>
        <v/>
      </c>
      <c r="G5" s="85">
        <f>IF(AND('Debt Payoff'!$B$12&lt;&gt;"",N('Debt Payoff'!$C$12)&gt;0,ISNUMBER('Debt Payoff'!$D$12)),'Debt Payoff'!$B$12,"")</f>
        <v/>
      </c>
      <c r="H5" s="85">
        <f>IF(AND('Debt Payoff'!$B$13&lt;&gt;"",N('Debt Payoff'!$C$13)&gt;0,ISNUMBER('Debt Payoff'!$D$13)),'Debt Payoff'!$B$13,"")</f>
        <v/>
      </c>
      <c r="I5" s="85">
        <f>IF(AND('Debt Payoff'!$B$14&lt;&gt;"",N('Debt Payoff'!$C$14)&gt;0,ISNUMBER('Debt Payoff'!$D$14)),'Debt Payoff'!$B$14,"")</f>
        <v/>
      </c>
      <c r="J5" s="85">
        <f>IF(AND('Debt Payoff'!$B$15&lt;&gt;"",N('Debt Payoff'!$C$15)&gt;0,ISNUMBER('Debt Payoff'!$D$15)),'Debt Payoff'!$B$15,"")</f>
        <v/>
      </c>
      <c r="K5" s="85">
        <f>IF(AND('Debt Payoff'!$B$16&lt;&gt;"",N('Debt Payoff'!$C$16)&gt;0,ISNUMBER('Debt Payoff'!$D$16)),'Debt Payoff'!$B$16,"")</f>
        <v/>
      </c>
      <c r="L5" s="85">
        <f>IF(AND('Debt Payoff'!$B$17&lt;&gt;"",N('Debt Payoff'!$C$17)&gt;0,ISNUMBER('Debt Payoff'!$D$17)),'Debt Payoff'!$B$17,"")</f>
        <v/>
      </c>
      <c r="Z5" s="85">
        <f>IFERROR(INDEX('Debt Payoff'!$B$8:$B$17,MATCH(1,'Debt Payoff'!$J$8:$J$17,0)),"")</f>
        <v/>
      </c>
      <c r="AA5" s="85">
        <f>IFERROR(INDEX('Debt Payoff'!$B$8:$B$17,MATCH(2,'Debt Payoff'!$J$8:$J$17,0)),"")</f>
        <v/>
      </c>
      <c r="AB5" s="85">
        <f>IFERROR(INDEX('Debt Payoff'!$B$8:$B$17,MATCH(3,'Debt Payoff'!$J$8:$J$17,0)),"")</f>
        <v/>
      </c>
      <c r="AC5" s="85">
        <f>IFERROR(INDEX('Debt Payoff'!$B$8:$B$17,MATCH(4,'Debt Payoff'!$J$8:$J$17,0)),"")</f>
        <v/>
      </c>
      <c r="AD5" s="85">
        <f>IFERROR(INDEX('Debt Payoff'!$B$8:$B$17,MATCH(5,'Debt Payoff'!$J$8:$J$17,0)),"")</f>
        <v/>
      </c>
      <c r="AE5" s="85">
        <f>IFERROR(INDEX('Debt Payoff'!$B$8:$B$17,MATCH(6,'Debt Payoff'!$J$8:$J$17,0)),"")</f>
        <v/>
      </c>
      <c r="AF5" s="85">
        <f>IFERROR(INDEX('Debt Payoff'!$B$8:$B$17,MATCH(7,'Debt Payoff'!$J$8:$J$17,0)),"")</f>
        <v/>
      </c>
      <c r="AG5" s="85">
        <f>IFERROR(INDEX('Debt Payoff'!$B$8:$B$17,MATCH(8,'Debt Payoff'!$J$8:$J$17,0)),"")</f>
        <v/>
      </c>
      <c r="AH5" s="85">
        <f>IFERROR(INDEX('Debt Payoff'!$B$8:$B$17,MATCH(9,'Debt Payoff'!$J$8:$J$17,0)),"")</f>
        <v/>
      </c>
      <c r="AI5" s="85">
        <f>IFERROR(INDEX('Debt Payoff'!$B$8:$B$17,MATCH(10,'Debt Payoff'!$J$8:$J$17,0)),"")</f>
        <v/>
      </c>
      <c r="AY5" s="85">
        <f>IFERROR(INDEX('Debt Payoff'!$B$8:$B$17,MATCH(1,'Debt Payoff'!$I$8:$I$17,0)),"")</f>
        <v/>
      </c>
      <c r="AZ5" s="85">
        <f>IFERROR(INDEX('Debt Payoff'!$B$8:$B$17,MATCH(2,'Debt Payoff'!$I$8:$I$17,0)),"")</f>
        <v/>
      </c>
      <c r="BA5" s="85">
        <f>IFERROR(INDEX('Debt Payoff'!$B$8:$B$17,MATCH(3,'Debt Payoff'!$I$8:$I$17,0)),"")</f>
        <v/>
      </c>
      <c r="BB5" s="85">
        <f>IFERROR(INDEX('Debt Payoff'!$B$8:$B$17,MATCH(4,'Debt Payoff'!$I$8:$I$17,0)),"")</f>
        <v/>
      </c>
      <c r="BC5" s="85">
        <f>IFERROR(INDEX('Debt Payoff'!$B$8:$B$17,MATCH(5,'Debt Payoff'!$I$8:$I$17,0)),"")</f>
        <v/>
      </c>
      <c r="BD5" s="85">
        <f>IFERROR(INDEX('Debt Payoff'!$B$8:$B$17,MATCH(6,'Debt Payoff'!$I$8:$I$17,0)),"")</f>
        <v/>
      </c>
      <c r="BE5" s="85">
        <f>IFERROR(INDEX('Debt Payoff'!$B$8:$B$17,MATCH(7,'Debt Payoff'!$I$8:$I$17,0)),"")</f>
        <v/>
      </c>
      <c r="BF5" s="85">
        <f>IFERROR(INDEX('Debt Payoff'!$B$8:$B$17,MATCH(8,'Debt Payoff'!$I$8:$I$17,0)),"")</f>
        <v/>
      </c>
      <c r="BG5" s="85">
        <f>IFERROR(INDEX('Debt Payoff'!$B$8:$B$17,MATCH(9,'Debt Payoff'!$I$8:$I$17,0)),"")</f>
        <v/>
      </c>
      <c r="BH5" s="85">
        <f>IFERROR(INDEX('Debt Payoff'!$B$8:$B$17,MATCH(10,'Debt Payoff'!$I$8:$I$17,0)),"")</f>
        <v/>
      </c>
    </row>
    <row r="6">
      <c r="B6" s="79" t="inlineStr">
        <is>
          <t>APR</t>
        </is>
      </c>
      <c r="C6" s="86">
        <f>IF(AND('Debt Payoff'!$B$8&lt;&gt;"",N('Debt Payoff'!$C$8)&gt;0,ISNUMBER('Debt Payoff'!$D$8)),'Debt Payoff'!$D$8,0)</f>
        <v/>
      </c>
      <c r="D6" s="86">
        <f>IF(AND('Debt Payoff'!$B$9&lt;&gt;"",N('Debt Payoff'!$C$9)&gt;0,ISNUMBER('Debt Payoff'!$D$9)),'Debt Payoff'!$D$9,0)</f>
        <v/>
      </c>
      <c r="E6" s="86">
        <f>IF(AND('Debt Payoff'!$B$10&lt;&gt;"",N('Debt Payoff'!$C$10)&gt;0,ISNUMBER('Debt Payoff'!$D$10)),'Debt Payoff'!$D$10,0)</f>
        <v/>
      </c>
      <c r="F6" s="86">
        <f>IF(AND('Debt Payoff'!$B$11&lt;&gt;"",N('Debt Payoff'!$C$11)&gt;0,ISNUMBER('Debt Payoff'!$D$11)),'Debt Payoff'!$D$11,0)</f>
        <v/>
      </c>
      <c r="G6" s="86">
        <f>IF(AND('Debt Payoff'!$B$12&lt;&gt;"",N('Debt Payoff'!$C$12)&gt;0,ISNUMBER('Debt Payoff'!$D$12)),'Debt Payoff'!$D$12,0)</f>
        <v/>
      </c>
      <c r="H6" s="86">
        <f>IF(AND('Debt Payoff'!$B$13&lt;&gt;"",N('Debt Payoff'!$C$13)&gt;0,ISNUMBER('Debt Payoff'!$D$13)),'Debt Payoff'!$D$13,0)</f>
        <v/>
      </c>
      <c r="I6" s="86">
        <f>IF(AND('Debt Payoff'!$B$14&lt;&gt;"",N('Debt Payoff'!$C$14)&gt;0,ISNUMBER('Debt Payoff'!$D$14)),'Debt Payoff'!$D$14,0)</f>
        <v/>
      </c>
      <c r="J6" s="86">
        <f>IF(AND('Debt Payoff'!$B$15&lt;&gt;"",N('Debt Payoff'!$C$15)&gt;0,ISNUMBER('Debt Payoff'!$D$15)),'Debt Payoff'!$D$15,0)</f>
        <v/>
      </c>
      <c r="K6" s="86">
        <f>IF(AND('Debt Payoff'!$B$16&lt;&gt;"",N('Debt Payoff'!$C$16)&gt;0,ISNUMBER('Debt Payoff'!$D$16)),'Debt Payoff'!$D$16,0)</f>
        <v/>
      </c>
      <c r="L6" s="86">
        <f>IF(AND('Debt Payoff'!$B$17&lt;&gt;"",N('Debt Payoff'!$C$17)&gt;0,ISNUMBER('Debt Payoff'!$D$17)),'Debt Payoff'!$D$17,0)</f>
        <v/>
      </c>
      <c r="Z6" s="86">
        <f>IFERROR(INDEX('Debt Payoff'!$D$8:$D$17,MATCH(1,'Debt Payoff'!$J$8:$J$17,0))+0,0)</f>
        <v/>
      </c>
      <c r="AA6" s="86">
        <f>IFERROR(INDEX('Debt Payoff'!$D$8:$D$17,MATCH(2,'Debt Payoff'!$J$8:$J$17,0))+0,0)</f>
        <v/>
      </c>
      <c r="AB6" s="86">
        <f>IFERROR(INDEX('Debt Payoff'!$D$8:$D$17,MATCH(3,'Debt Payoff'!$J$8:$J$17,0))+0,0)</f>
        <v/>
      </c>
      <c r="AC6" s="86">
        <f>IFERROR(INDEX('Debt Payoff'!$D$8:$D$17,MATCH(4,'Debt Payoff'!$J$8:$J$17,0))+0,0)</f>
        <v/>
      </c>
      <c r="AD6" s="86">
        <f>IFERROR(INDEX('Debt Payoff'!$D$8:$D$17,MATCH(5,'Debt Payoff'!$J$8:$J$17,0))+0,0)</f>
        <v/>
      </c>
      <c r="AE6" s="86">
        <f>IFERROR(INDEX('Debt Payoff'!$D$8:$D$17,MATCH(6,'Debt Payoff'!$J$8:$J$17,0))+0,0)</f>
        <v/>
      </c>
      <c r="AF6" s="86">
        <f>IFERROR(INDEX('Debt Payoff'!$D$8:$D$17,MATCH(7,'Debt Payoff'!$J$8:$J$17,0))+0,0)</f>
        <v/>
      </c>
      <c r="AG6" s="86">
        <f>IFERROR(INDEX('Debt Payoff'!$D$8:$D$17,MATCH(8,'Debt Payoff'!$J$8:$J$17,0))+0,0)</f>
        <v/>
      </c>
      <c r="AH6" s="86">
        <f>IFERROR(INDEX('Debt Payoff'!$D$8:$D$17,MATCH(9,'Debt Payoff'!$J$8:$J$17,0))+0,0)</f>
        <v/>
      </c>
      <c r="AI6" s="86">
        <f>IFERROR(INDEX('Debt Payoff'!$D$8:$D$17,MATCH(10,'Debt Payoff'!$J$8:$J$17,0))+0,0)</f>
        <v/>
      </c>
      <c r="AK6" s="79" t="inlineStr">
        <is>
          <t>Paid each month</t>
        </is>
      </c>
      <c r="AY6" s="86">
        <f>IFERROR(INDEX('Debt Payoff'!$D$8:$D$17,MATCH(1,'Debt Payoff'!$I$8:$I$17,0))+0,0)</f>
        <v/>
      </c>
      <c r="AZ6" s="86">
        <f>IFERROR(INDEX('Debt Payoff'!$D$8:$D$17,MATCH(2,'Debt Payoff'!$I$8:$I$17,0))+0,0)</f>
        <v/>
      </c>
      <c r="BA6" s="86">
        <f>IFERROR(INDEX('Debt Payoff'!$D$8:$D$17,MATCH(3,'Debt Payoff'!$I$8:$I$17,0))+0,0)</f>
        <v/>
      </c>
      <c r="BB6" s="86">
        <f>IFERROR(INDEX('Debt Payoff'!$D$8:$D$17,MATCH(4,'Debt Payoff'!$I$8:$I$17,0))+0,0)</f>
        <v/>
      </c>
      <c r="BC6" s="86">
        <f>IFERROR(INDEX('Debt Payoff'!$D$8:$D$17,MATCH(5,'Debt Payoff'!$I$8:$I$17,0))+0,0)</f>
        <v/>
      </c>
      <c r="BD6" s="86">
        <f>IFERROR(INDEX('Debt Payoff'!$D$8:$D$17,MATCH(6,'Debt Payoff'!$I$8:$I$17,0))+0,0)</f>
        <v/>
      </c>
      <c r="BE6" s="86">
        <f>IFERROR(INDEX('Debt Payoff'!$D$8:$D$17,MATCH(7,'Debt Payoff'!$I$8:$I$17,0))+0,0)</f>
        <v/>
      </c>
      <c r="BF6" s="86">
        <f>IFERROR(INDEX('Debt Payoff'!$D$8:$D$17,MATCH(8,'Debt Payoff'!$I$8:$I$17,0))+0,0)</f>
        <v/>
      </c>
      <c r="BG6" s="86">
        <f>IFERROR(INDEX('Debt Payoff'!$D$8:$D$17,MATCH(9,'Debt Payoff'!$I$8:$I$17,0))+0,0)</f>
        <v/>
      </c>
      <c r="BH6" s="86">
        <f>IFERROR(INDEX('Debt Payoff'!$D$8:$D$17,MATCH(10,'Debt Payoff'!$I$8:$I$17,0))+0,0)</f>
        <v/>
      </c>
      <c r="BJ6" s="79" t="inlineStr">
        <is>
          <t>Paid each month</t>
        </is>
      </c>
    </row>
    <row r="7">
      <c r="B7" s="79" t="inlineStr">
        <is>
          <t>Minimum</t>
        </is>
      </c>
      <c r="C7" s="87">
        <f>IF(AND('Debt Payoff'!$B$8&lt;&gt;"",N('Debt Payoff'!$C$8)&gt;0,ISNUMBER('Debt Payoff'!$D$8)),N('Debt Payoff'!$E$8),0)</f>
        <v/>
      </c>
      <c r="D7" s="87">
        <f>IF(AND('Debt Payoff'!$B$9&lt;&gt;"",N('Debt Payoff'!$C$9)&gt;0,ISNUMBER('Debt Payoff'!$D$9)),N('Debt Payoff'!$E$9),0)</f>
        <v/>
      </c>
      <c r="E7" s="87">
        <f>IF(AND('Debt Payoff'!$B$10&lt;&gt;"",N('Debt Payoff'!$C$10)&gt;0,ISNUMBER('Debt Payoff'!$D$10)),N('Debt Payoff'!$E$10),0)</f>
        <v/>
      </c>
      <c r="F7" s="87">
        <f>IF(AND('Debt Payoff'!$B$11&lt;&gt;"",N('Debt Payoff'!$C$11)&gt;0,ISNUMBER('Debt Payoff'!$D$11)),N('Debt Payoff'!$E$11),0)</f>
        <v/>
      </c>
      <c r="G7" s="87">
        <f>IF(AND('Debt Payoff'!$B$12&lt;&gt;"",N('Debt Payoff'!$C$12)&gt;0,ISNUMBER('Debt Payoff'!$D$12)),N('Debt Payoff'!$E$12),0)</f>
        <v/>
      </c>
      <c r="H7" s="87">
        <f>IF(AND('Debt Payoff'!$B$13&lt;&gt;"",N('Debt Payoff'!$C$13)&gt;0,ISNUMBER('Debt Payoff'!$D$13)),N('Debt Payoff'!$E$13),0)</f>
        <v/>
      </c>
      <c r="I7" s="87">
        <f>IF(AND('Debt Payoff'!$B$14&lt;&gt;"",N('Debt Payoff'!$C$14)&gt;0,ISNUMBER('Debt Payoff'!$D$14)),N('Debt Payoff'!$E$14),0)</f>
        <v/>
      </c>
      <c r="J7" s="87">
        <f>IF(AND('Debt Payoff'!$B$15&lt;&gt;"",N('Debt Payoff'!$C$15)&gt;0,ISNUMBER('Debt Payoff'!$D$15)),N('Debt Payoff'!$E$15),0)</f>
        <v/>
      </c>
      <c r="K7" s="87">
        <f>IF(AND('Debt Payoff'!$B$16&lt;&gt;"",N('Debt Payoff'!$C$16)&gt;0,ISNUMBER('Debt Payoff'!$D$16)),N('Debt Payoff'!$E$16),0)</f>
        <v/>
      </c>
      <c r="L7" s="87">
        <f>IF(AND('Debt Payoff'!$B$17&lt;&gt;"",N('Debt Payoff'!$C$17)&gt;0,ISNUMBER('Debt Payoff'!$D$17)),N('Debt Payoff'!$E$17),0)</f>
        <v/>
      </c>
      <c r="M7" s="79" t="inlineStr">
        <is>
          <t>Total interest</t>
        </is>
      </c>
      <c r="Z7" s="87">
        <f>IFERROR(INDEX('Debt Payoff'!$E$8:$E$17,MATCH(1,'Debt Payoff'!$J$8:$J$17,0))+0,0)</f>
        <v/>
      </c>
      <c r="AA7" s="87">
        <f>IFERROR(INDEX('Debt Payoff'!$E$8:$E$17,MATCH(2,'Debt Payoff'!$J$8:$J$17,0))+0,0)</f>
        <v/>
      </c>
      <c r="AB7" s="87">
        <f>IFERROR(INDEX('Debt Payoff'!$E$8:$E$17,MATCH(3,'Debt Payoff'!$J$8:$J$17,0))+0,0)</f>
        <v/>
      </c>
      <c r="AC7" s="87">
        <f>IFERROR(INDEX('Debt Payoff'!$E$8:$E$17,MATCH(4,'Debt Payoff'!$J$8:$J$17,0))+0,0)</f>
        <v/>
      </c>
      <c r="AD7" s="87">
        <f>IFERROR(INDEX('Debt Payoff'!$E$8:$E$17,MATCH(5,'Debt Payoff'!$J$8:$J$17,0))+0,0)</f>
        <v/>
      </c>
      <c r="AE7" s="87">
        <f>IFERROR(INDEX('Debt Payoff'!$E$8:$E$17,MATCH(6,'Debt Payoff'!$J$8:$J$17,0))+0,0)</f>
        <v/>
      </c>
      <c r="AF7" s="87">
        <f>IFERROR(INDEX('Debt Payoff'!$E$8:$E$17,MATCH(7,'Debt Payoff'!$J$8:$J$17,0))+0,0)</f>
        <v/>
      </c>
      <c r="AG7" s="87">
        <f>IFERROR(INDEX('Debt Payoff'!$E$8:$E$17,MATCH(8,'Debt Payoff'!$J$8:$J$17,0))+0,0)</f>
        <v/>
      </c>
      <c r="AH7" s="87">
        <f>IFERROR(INDEX('Debt Payoff'!$E$8:$E$17,MATCH(9,'Debt Payoff'!$J$8:$J$17,0))+0,0)</f>
        <v/>
      </c>
      <c r="AI7" s="87">
        <f>IFERROR(INDEX('Debt Payoff'!$E$8:$E$17,MATCH(10,'Debt Payoff'!$J$8:$J$17,0))+0,0)</f>
        <v/>
      </c>
      <c r="AK7" s="88">
        <f>SUM(Z7:AI7)+N('Debt Payoff'!$C$5)</f>
        <v/>
      </c>
      <c r="AL7" s="79" t="inlineStr">
        <is>
          <t>Total interest</t>
        </is>
      </c>
      <c r="AY7" s="87">
        <f>IFERROR(INDEX('Debt Payoff'!$E$8:$E$17,MATCH(1,'Debt Payoff'!$I$8:$I$17,0))+0,0)</f>
        <v/>
      </c>
      <c r="AZ7" s="87">
        <f>IFERROR(INDEX('Debt Payoff'!$E$8:$E$17,MATCH(2,'Debt Payoff'!$I$8:$I$17,0))+0,0)</f>
        <v/>
      </c>
      <c r="BA7" s="87">
        <f>IFERROR(INDEX('Debt Payoff'!$E$8:$E$17,MATCH(3,'Debt Payoff'!$I$8:$I$17,0))+0,0)</f>
        <v/>
      </c>
      <c r="BB7" s="87">
        <f>IFERROR(INDEX('Debt Payoff'!$E$8:$E$17,MATCH(4,'Debt Payoff'!$I$8:$I$17,0))+0,0)</f>
        <v/>
      </c>
      <c r="BC7" s="87">
        <f>IFERROR(INDEX('Debt Payoff'!$E$8:$E$17,MATCH(5,'Debt Payoff'!$I$8:$I$17,0))+0,0)</f>
        <v/>
      </c>
      <c r="BD7" s="87">
        <f>IFERROR(INDEX('Debt Payoff'!$E$8:$E$17,MATCH(6,'Debt Payoff'!$I$8:$I$17,0))+0,0)</f>
        <v/>
      </c>
      <c r="BE7" s="87">
        <f>IFERROR(INDEX('Debt Payoff'!$E$8:$E$17,MATCH(7,'Debt Payoff'!$I$8:$I$17,0))+0,0)</f>
        <v/>
      </c>
      <c r="BF7" s="87">
        <f>IFERROR(INDEX('Debt Payoff'!$E$8:$E$17,MATCH(8,'Debt Payoff'!$I$8:$I$17,0))+0,0)</f>
        <v/>
      </c>
      <c r="BG7" s="87">
        <f>IFERROR(INDEX('Debt Payoff'!$E$8:$E$17,MATCH(9,'Debt Payoff'!$I$8:$I$17,0))+0,0)</f>
        <v/>
      </c>
      <c r="BH7" s="87">
        <f>IFERROR(INDEX('Debt Payoff'!$E$8:$E$17,MATCH(10,'Debt Payoff'!$I$8:$I$17,0))+0,0)</f>
        <v/>
      </c>
      <c r="BJ7" s="88">
        <f>SUM(AY7:BH7)+N('Debt Payoff'!$C$5)</f>
        <v/>
      </c>
      <c r="BK7" s="79" t="inlineStr">
        <is>
          <t>Total interest</t>
        </is>
      </c>
    </row>
    <row r="8">
      <c r="B8" s="79" t="inlineStr">
        <is>
          <t>Months to payoff</t>
        </is>
      </c>
      <c r="C8" s="89">
        <f>IF(C$10&lt;0.005,"",IF(COUNTIF(C$11:C$370,"&gt;0.005")&gt;=360,"Over 30 years",COUNTIF(C$11:C$370,"&gt;0.005")+1))</f>
        <v/>
      </c>
      <c r="D8" s="89">
        <f>IF(D$10&lt;0.005,"",IF(COUNTIF(D$11:D$370,"&gt;0.005")&gt;=360,"Over 30 years",COUNTIF(D$11:D$370,"&gt;0.005")+1))</f>
        <v/>
      </c>
      <c r="E8" s="89">
        <f>IF(E$10&lt;0.005,"",IF(COUNTIF(E$11:E$370,"&gt;0.005")&gt;=360,"Over 30 years",COUNTIF(E$11:E$370,"&gt;0.005")+1))</f>
        <v/>
      </c>
      <c r="F8" s="89">
        <f>IF(F$10&lt;0.005,"",IF(COUNTIF(F$11:F$370,"&gt;0.005")&gt;=360,"Over 30 years",COUNTIF(F$11:F$370,"&gt;0.005")+1))</f>
        <v/>
      </c>
      <c r="G8" s="89">
        <f>IF(G$10&lt;0.005,"",IF(COUNTIF(G$11:G$370,"&gt;0.005")&gt;=360,"Over 30 years",COUNTIF(G$11:G$370,"&gt;0.005")+1))</f>
        <v/>
      </c>
      <c r="H8" s="89">
        <f>IF(H$10&lt;0.005,"",IF(COUNTIF(H$11:H$370,"&gt;0.005")&gt;=360,"Over 30 years",COUNTIF(H$11:H$370,"&gt;0.005")+1))</f>
        <v/>
      </c>
      <c r="I8" s="89">
        <f>IF(I$10&lt;0.005,"",IF(COUNTIF(I$11:I$370,"&gt;0.005")&gt;=360,"Over 30 years",COUNTIF(I$11:I$370,"&gt;0.005")+1))</f>
        <v/>
      </c>
      <c r="J8" s="89">
        <f>IF(J$10&lt;0.005,"",IF(COUNTIF(J$11:J$370,"&gt;0.005")&gt;=360,"Over 30 years",COUNTIF(J$11:J$370,"&gt;0.005")+1))</f>
        <v/>
      </c>
      <c r="K8" s="89">
        <f>IF(K$10&lt;0.005,"",IF(COUNTIF(K$11:K$370,"&gt;0.005")&gt;=360,"Over 30 years",COUNTIF(K$11:K$370,"&gt;0.005")+1))</f>
        <v/>
      </c>
      <c r="L8" s="89">
        <f>IF(L$10&lt;0.005,"",IF(COUNTIF(L$11:L$370,"&gt;0.005")&gt;=360,"Over 30 years",COUNTIF(L$11:L$370,"&gt;0.005")+1))</f>
        <v/>
      </c>
      <c r="M8" s="88">
        <f>SUM(M11:M370)</f>
        <v/>
      </c>
      <c r="N8" s="89">
        <f>IF(N$10&lt;0.005,0,IF(COUNTIF(N$11:N$370,"&gt;0.005")&gt;=360,"Over 30 years",COUNTIF(N$11:N$370,"&gt;0.005")+1))</f>
        <v/>
      </c>
      <c r="Z8" s="89">
        <f>IF(Z$10&lt;0.005,"",IF(COUNTIF(Z$11:Z$370,"&gt;0.005")&gt;=360,"Over 30 years",COUNTIF(Z$11:Z$370,"&gt;0.005")+1))</f>
        <v/>
      </c>
      <c r="AA8" s="89">
        <f>IF(AA$10&lt;0.005,"",IF(COUNTIF(AA$11:AA$370,"&gt;0.005")&gt;=360,"Over 30 years",COUNTIF(AA$11:AA$370,"&gt;0.005")+1))</f>
        <v/>
      </c>
      <c r="AB8" s="89">
        <f>IF(AB$10&lt;0.005,"",IF(COUNTIF(AB$11:AB$370,"&gt;0.005")&gt;=360,"Over 30 years",COUNTIF(AB$11:AB$370,"&gt;0.005")+1))</f>
        <v/>
      </c>
      <c r="AC8" s="89">
        <f>IF(AC$10&lt;0.005,"",IF(COUNTIF(AC$11:AC$370,"&gt;0.005")&gt;=360,"Over 30 years",COUNTIF(AC$11:AC$370,"&gt;0.005")+1))</f>
        <v/>
      </c>
      <c r="AD8" s="89">
        <f>IF(AD$10&lt;0.005,"",IF(COUNTIF(AD$11:AD$370,"&gt;0.005")&gt;=360,"Over 30 years",COUNTIF(AD$11:AD$370,"&gt;0.005")+1))</f>
        <v/>
      </c>
      <c r="AE8" s="89">
        <f>IF(AE$10&lt;0.005,"",IF(COUNTIF(AE$11:AE$370,"&gt;0.005")&gt;=360,"Over 30 years",COUNTIF(AE$11:AE$370,"&gt;0.005")+1))</f>
        <v/>
      </c>
      <c r="AF8" s="89">
        <f>IF(AF$10&lt;0.005,"",IF(COUNTIF(AF$11:AF$370,"&gt;0.005")&gt;=360,"Over 30 years",COUNTIF(AF$11:AF$370,"&gt;0.005")+1))</f>
        <v/>
      </c>
      <c r="AG8" s="89">
        <f>IF(AG$10&lt;0.005,"",IF(COUNTIF(AG$11:AG$370,"&gt;0.005")&gt;=360,"Over 30 years",COUNTIF(AG$11:AG$370,"&gt;0.005")+1))</f>
        <v/>
      </c>
      <c r="AH8" s="89">
        <f>IF(AH$10&lt;0.005,"",IF(COUNTIF(AH$11:AH$370,"&gt;0.005")&gt;=360,"Over 30 years",COUNTIF(AH$11:AH$370,"&gt;0.005")+1))</f>
        <v/>
      </c>
      <c r="AI8" s="89">
        <f>IF(AI$10&lt;0.005,"",IF(COUNTIF(AI$11:AI$370,"&gt;0.005")&gt;=360,"Over 30 years",COUNTIF(AI$11:AI$370,"&gt;0.005")+1))</f>
        <v/>
      </c>
      <c r="AL8" s="88">
        <f>SUM(AL11:AL370)</f>
        <v/>
      </c>
      <c r="AM8" s="89">
        <f>IF(AM$10&lt;0.005,0,IF(COUNTIF(AM$11:AM$370,"&gt;0.005")&gt;=360,"Over 30 years",COUNTIF(AM$11:AM$370,"&gt;0.005")+1))</f>
        <v/>
      </c>
      <c r="AY8" s="89">
        <f>IF(AY$10&lt;0.005,"",IF(COUNTIF(AY$11:AY$370,"&gt;0.005")&gt;=360,"Over 30 years",COUNTIF(AY$11:AY$370,"&gt;0.005")+1))</f>
        <v/>
      </c>
      <c r="AZ8" s="89">
        <f>IF(AZ$10&lt;0.005,"",IF(COUNTIF(AZ$11:AZ$370,"&gt;0.005")&gt;=360,"Over 30 years",COUNTIF(AZ$11:AZ$370,"&gt;0.005")+1))</f>
        <v/>
      </c>
      <c r="BA8" s="89">
        <f>IF(BA$10&lt;0.005,"",IF(COUNTIF(BA$11:BA$370,"&gt;0.005")&gt;=360,"Over 30 years",COUNTIF(BA$11:BA$370,"&gt;0.005")+1))</f>
        <v/>
      </c>
      <c r="BB8" s="89">
        <f>IF(BB$10&lt;0.005,"",IF(COUNTIF(BB$11:BB$370,"&gt;0.005")&gt;=360,"Over 30 years",COUNTIF(BB$11:BB$370,"&gt;0.005")+1))</f>
        <v/>
      </c>
      <c r="BC8" s="89">
        <f>IF(BC$10&lt;0.005,"",IF(COUNTIF(BC$11:BC$370,"&gt;0.005")&gt;=360,"Over 30 years",COUNTIF(BC$11:BC$370,"&gt;0.005")+1))</f>
        <v/>
      </c>
      <c r="BD8" s="89">
        <f>IF(BD$10&lt;0.005,"",IF(COUNTIF(BD$11:BD$370,"&gt;0.005")&gt;=360,"Over 30 years",COUNTIF(BD$11:BD$370,"&gt;0.005")+1))</f>
        <v/>
      </c>
      <c r="BE8" s="89">
        <f>IF(BE$10&lt;0.005,"",IF(COUNTIF(BE$11:BE$370,"&gt;0.005")&gt;=360,"Over 30 years",COUNTIF(BE$11:BE$370,"&gt;0.005")+1))</f>
        <v/>
      </c>
      <c r="BF8" s="89">
        <f>IF(BF$10&lt;0.005,"",IF(COUNTIF(BF$11:BF$370,"&gt;0.005")&gt;=360,"Over 30 years",COUNTIF(BF$11:BF$370,"&gt;0.005")+1))</f>
        <v/>
      </c>
      <c r="BG8" s="89">
        <f>IF(BG$10&lt;0.005,"",IF(COUNTIF(BG$11:BG$370,"&gt;0.005")&gt;=360,"Over 30 years",COUNTIF(BG$11:BG$370,"&gt;0.005")+1))</f>
        <v/>
      </c>
      <c r="BH8" s="89">
        <f>IF(BH$10&lt;0.005,"",IF(COUNTIF(BH$11:BH$370,"&gt;0.005")&gt;=360,"Over 30 years",COUNTIF(BH$11:BH$370,"&gt;0.005")+1))</f>
        <v/>
      </c>
      <c r="BK8" s="88">
        <f>SUM(BK11:BK370)</f>
        <v/>
      </c>
      <c r="BL8" s="89">
        <f>IF(BL$10&lt;0.005,0,IF(COUNTIF(BL$11:BL$370,"&gt;0.005")&gt;=360,"Over 30 years",COUNTIF(BL$11:BL$370,"&gt;0.005")+1))</f>
        <v/>
      </c>
    </row>
    <row r="9" ht="30" customHeight="1">
      <c r="A9" s="14" t="inlineStr">
        <is>
          <t>Month</t>
        </is>
      </c>
      <c r="B9" s="14" t="inlineStr">
        <is>
          <t>Date</t>
        </is>
      </c>
      <c r="C9" s="14" t="inlineStr">
        <is>
          <t>Balance</t>
        </is>
      </c>
      <c r="D9" s="14" t="inlineStr">
        <is>
          <t>Balance</t>
        </is>
      </c>
      <c r="E9" s="14" t="inlineStr">
        <is>
          <t>Balance</t>
        </is>
      </c>
      <c r="F9" s="14" t="inlineStr">
        <is>
          <t>Balance</t>
        </is>
      </c>
      <c r="G9" s="14" t="inlineStr">
        <is>
          <t>Balance</t>
        </is>
      </c>
      <c r="H9" s="14" t="inlineStr">
        <is>
          <t>Balance</t>
        </is>
      </c>
      <c r="I9" s="14" t="inlineStr">
        <is>
          <t>Balance</t>
        </is>
      </c>
      <c r="J9" s="14" t="inlineStr">
        <is>
          <t>Balance</t>
        </is>
      </c>
      <c r="K9" s="14" t="inlineStr">
        <is>
          <t>Balance</t>
        </is>
      </c>
      <c r="L9" s="14" t="inlineStr">
        <is>
          <t>Balance</t>
        </is>
      </c>
      <c r="M9" s="14" t="inlineStr">
        <is>
          <t>Interest</t>
        </is>
      </c>
      <c r="N9" s="14" t="inlineStr">
        <is>
          <t>Total balance</t>
        </is>
      </c>
      <c r="P9" s="14" t="inlineStr">
        <is>
          <t>After minimum</t>
        </is>
      </c>
      <c r="Q9" s="14" t="inlineStr">
        <is>
          <t>After minimum</t>
        </is>
      </c>
      <c r="R9" s="14" t="inlineStr">
        <is>
          <t>After minimum</t>
        </is>
      </c>
      <c r="S9" s="14" t="inlineStr">
        <is>
          <t>After minimum</t>
        </is>
      </c>
      <c r="T9" s="14" t="inlineStr">
        <is>
          <t>After minimum</t>
        </is>
      </c>
      <c r="U9" s="14" t="inlineStr">
        <is>
          <t>After minimum</t>
        </is>
      </c>
      <c r="V9" s="14" t="inlineStr">
        <is>
          <t>After minimum</t>
        </is>
      </c>
      <c r="W9" s="14" t="inlineStr">
        <is>
          <t>After minimum</t>
        </is>
      </c>
      <c r="X9" s="14" t="inlineStr">
        <is>
          <t>After minimum</t>
        </is>
      </c>
      <c r="Y9" s="14" t="inlineStr">
        <is>
          <t>After minimum</t>
        </is>
      </c>
      <c r="Z9" s="14" t="inlineStr">
        <is>
          <t>Balance</t>
        </is>
      </c>
      <c r="AA9" s="14" t="inlineStr">
        <is>
          <t>Balance</t>
        </is>
      </c>
      <c r="AB9" s="14" t="inlineStr">
        <is>
          <t>Balance</t>
        </is>
      </c>
      <c r="AC9" s="14" t="inlineStr">
        <is>
          <t>Balance</t>
        </is>
      </c>
      <c r="AD9" s="14" t="inlineStr">
        <is>
          <t>Balance</t>
        </is>
      </c>
      <c r="AE9" s="14" t="inlineStr">
        <is>
          <t>Balance</t>
        </is>
      </c>
      <c r="AF9" s="14" t="inlineStr">
        <is>
          <t>Balance</t>
        </is>
      </c>
      <c r="AG9" s="14" t="inlineStr">
        <is>
          <t>Balance</t>
        </is>
      </c>
      <c r="AH9" s="14" t="inlineStr">
        <is>
          <t>Balance</t>
        </is>
      </c>
      <c r="AI9" s="14" t="inlineStr">
        <is>
          <t>Balance</t>
        </is>
      </c>
      <c r="AJ9" s="14" t="inlineStr">
        <is>
          <t>Before payment</t>
        </is>
      </c>
      <c r="AK9" s="14" t="inlineStr">
        <is>
          <t>Left after minimums</t>
        </is>
      </c>
      <c r="AL9" s="14" t="inlineStr">
        <is>
          <t>Interest</t>
        </is>
      </c>
      <c r="AM9" s="14" t="inlineStr">
        <is>
          <t>Total balance</t>
        </is>
      </c>
      <c r="AO9" s="14" t="inlineStr">
        <is>
          <t>After minimum</t>
        </is>
      </c>
      <c r="AP9" s="14" t="inlineStr">
        <is>
          <t>After minimum</t>
        </is>
      </c>
      <c r="AQ9" s="14" t="inlineStr">
        <is>
          <t>After minimum</t>
        </is>
      </c>
      <c r="AR9" s="14" t="inlineStr">
        <is>
          <t>After minimum</t>
        </is>
      </c>
      <c r="AS9" s="14" t="inlineStr">
        <is>
          <t>After minimum</t>
        </is>
      </c>
      <c r="AT9" s="14" t="inlineStr">
        <is>
          <t>After minimum</t>
        </is>
      </c>
      <c r="AU9" s="14" t="inlineStr">
        <is>
          <t>After minimum</t>
        </is>
      </c>
      <c r="AV9" s="14" t="inlineStr">
        <is>
          <t>After minimum</t>
        </is>
      </c>
      <c r="AW9" s="14" t="inlineStr">
        <is>
          <t>After minimum</t>
        </is>
      </c>
      <c r="AX9" s="14" t="inlineStr">
        <is>
          <t>After minimum</t>
        </is>
      </c>
      <c r="AY9" s="14" t="inlineStr">
        <is>
          <t>Balance</t>
        </is>
      </c>
      <c r="AZ9" s="14" t="inlineStr">
        <is>
          <t>Balance</t>
        </is>
      </c>
      <c r="BA9" s="14" t="inlineStr">
        <is>
          <t>Balance</t>
        </is>
      </c>
      <c r="BB9" s="14" t="inlineStr">
        <is>
          <t>Balance</t>
        </is>
      </c>
      <c r="BC9" s="14" t="inlineStr">
        <is>
          <t>Balance</t>
        </is>
      </c>
      <c r="BD9" s="14" t="inlineStr">
        <is>
          <t>Balance</t>
        </is>
      </c>
      <c r="BE9" s="14" t="inlineStr">
        <is>
          <t>Balance</t>
        </is>
      </c>
      <c r="BF9" s="14" t="inlineStr">
        <is>
          <t>Balance</t>
        </is>
      </c>
      <c r="BG9" s="14" t="inlineStr">
        <is>
          <t>Balance</t>
        </is>
      </c>
      <c r="BH9" s="14" t="inlineStr">
        <is>
          <t>Balance</t>
        </is>
      </c>
      <c r="BI9" s="14" t="inlineStr">
        <is>
          <t>Before payment</t>
        </is>
      </c>
      <c r="BJ9" s="14" t="inlineStr">
        <is>
          <t>Left after minimums</t>
        </is>
      </c>
      <c r="BK9" s="14" t="inlineStr">
        <is>
          <t>Interest</t>
        </is>
      </c>
      <c r="BL9" s="14" t="inlineStr">
        <is>
          <t>Total balance</t>
        </is>
      </c>
    </row>
    <row r="10">
      <c r="A10" s="24" t="n">
        <v>0</v>
      </c>
      <c r="B10" s="90">
        <f>DATE(YEAR(Settings!$C$11),MONTH(Settings!$C$11)+A10,1)</f>
        <v/>
      </c>
      <c r="C10" s="91">
        <f>IF(AND('Debt Payoff'!$B$8&lt;&gt;"",N('Debt Payoff'!$C$8)&gt;0,ISNUMBER('Debt Payoff'!$D$8)),'Debt Payoff'!$C$8,0)</f>
        <v/>
      </c>
      <c r="D10" s="91">
        <f>IF(AND('Debt Payoff'!$B$9&lt;&gt;"",N('Debt Payoff'!$C$9)&gt;0,ISNUMBER('Debt Payoff'!$D$9)),'Debt Payoff'!$C$9,0)</f>
        <v/>
      </c>
      <c r="E10" s="91">
        <f>IF(AND('Debt Payoff'!$B$10&lt;&gt;"",N('Debt Payoff'!$C$10)&gt;0,ISNUMBER('Debt Payoff'!$D$10)),'Debt Payoff'!$C$10,0)</f>
        <v/>
      </c>
      <c r="F10" s="91">
        <f>IF(AND('Debt Payoff'!$B$11&lt;&gt;"",N('Debt Payoff'!$C$11)&gt;0,ISNUMBER('Debt Payoff'!$D$11)),'Debt Payoff'!$C$11,0)</f>
        <v/>
      </c>
      <c r="G10" s="91">
        <f>IF(AND('Debt Payoff'!$B$12&lt;&gt;"",N('Debt Payoff'!$C$12)&gt;0,ISNUMBER('Debt Payoff'!$D$12)),'Debt Payoff'!$C$12,0)</f>
        <v/>
      </c>
      <c r="H10" s="91">
        <f>IF(AND('Debt Payoff'!$B$13&lt;&gt;"",N('Debt Payoff'!$C$13)&gt;0,ISNUMBER('Debt Payoff'!$D$13)),'Debt Payoff'!$C$13,0)</f>
        <v/>
      </c>
      <c r="I10" s="91">
        <f>IF(AND('Debt Payoff'!$B$14&lt;&gt;"",N('Debt Payoff'!$C$14)&gt;0,ISNUMBER('Debt Payoff'!$D$14)),'Debt Payoff'!$C$14,0)</f>
        <v/>
      </c>
      <c r="J10" s="91">
        <f>IF(AND('Debt Payoff'!$B$15&lt;&gt;"",N('Debt Payoff'!$C$15)&gt;0,ISNUMBER('Debt Payoff'!$D$15)),'Debt Payoff'!$C$15,0)</f>
        <v/>
      </c>
      <c r="K10" s="91">
        <f>IF(AND('Debt Payoff'!$B$16&lt;&gt;"",N('Debt Payoff'!$C$16)&gt;0,ISNUMBER('Debt Payoff'!$D$16)),'Debt Payoff'!$C$16,0)</f>
        <v/>
      </c>
      <c r="L10" s="91">
        <f>IF(AND('Debt Payoff'!$B$17&lt;&gt;"",N('Debt Payoff'!$C$17)&gt;0,ISNUMBER('Debt Payoff'!$D$17)),'Debt Payoff'!$C$17,0)</f>
        <v/>
      </c>
      <c r="N10" s="88">
        <f>SUM(C10:L10)</f>
        <v/>
      </c>
      <c r="Z10" s="91">
        <f>IFERROR(INDEX('Debt Payoff'!$C$8:$C$17,MATCH(1,'Debt Payoff'!$J$8:$J$17,0))+0,0)</f>
        <v/>
      </c>
      <c r="AA10" s="91">
        <f>IFERROR(INDEX('Debt Payoff'!$C$8:$C$17,MATCH(2,'Debt Payoff'!$J$8:$J$17,0))+0,0)</f>
        <v/>
      </c>
      <c r="AB10" s="91">
        <f>IFERROR(INDEX('Debt Payoff'!$C$8:$C$17,MATCH(3,'Debt Payoff'!$J$8:$J$17,0))+0,0)</f>
        <v/>
      </c>
      <c r="AC10" s="91">
        <f>IFERROR(INDEX('Debt Payoff'!$C$8:$C$17,MATCH(4,'Debt Payoff'!$J$8:$J$17,0))+0,0)</f>
        <v/>
      </c>
      <c r="AD10" s="91">
        <f>IFERROR(INDEX('Debt Payoff'!$C$8:$C$17,MATCH(5,'Debt Payoff'!$J$8:$J$17,0))+0,0)</f>
        <v/>
      </c>
      <c r="AE10" s="91">
        <f>IFERROR(INDEX('Debt Payoff'!$C$8:$C$17,MATCH(6,'Debt Payoff'!$J$8:$J$17,0))+0,0)</f>
        <v/>
      </c>
      <c r="AF10" s="91">
        <f>IFERROR(INDEX('Debt Payoff'!$C$8:$C$17,MATCH(7,'Debt Payoff'!$J$8:$J$17,0))+0,0)</f>
        <v/>
      </c>
      <c r="AG10" s="91">
        <f>IFERROR(INDEX('Debt Payoff'!$C$8:$C$17,MATCH(8,'Debt Payoff'!$J$8:$J$17,0))+0,0)</f>
        <v/>
      </c>
      <c r="AH10" s="91">
        <f>IFERROR(INDEX('Debt Payoff'!$C$8:$C$17,MATCH(9,'Debt Payoff'!$J$8:$J$17,0))+0,0)</f>
        <v/>
      </c>
      <c r="AI10" s="91">
        <f>IFERROR(INDEX('Debt Payoff'!$C$8:$C$17,MATCH(10,'Debt Payoff'!$J$8:$J$17,0))+0,0)</f>
        <v/>
      </c>
      <c r="AM10" s="88">
        <f>SUM(Z10:AI10)</f>
        <v/>
      </c>
      <c r="AY10" s="91">
        <f>IFERROR(INDEX('Debt Payoff'!$C$8:$C$17,MATCH(1,'Debt Payoff'!$I$8:$I$17,0))+0,0)</f>
        <v/>
      </c>
      <c r="AZ10" s="91">
        <f>IFERROR(INDEX('Debt Payoff'!$C$8:$C$17,MATCH(2,'Debt Payoff'!$I$8:$I$17,0))+0,0)</f>
        <v/>
      </c>
      <c r="BA10" s="91">
        <f>IFERROR(INDEX('Debt Payoff'!$C$8:$C$17,MATCH(3,'Debt Payoff'!$I$8:$I$17,0))+0,0)</f>
        <v/>
      </c>
      <c r="BB10" s="91">
        <f>IFERROR(INDEX('Debt Payoff'!$C$8:$C$17,MATCH(4,'Debt Payoff'!$I$8:$I$17,0))+0,0)</f>
        <v/>
      </c>
      <c r="BC10" s="91">
        <f>IFERROR(INDEX('Debt Payoff'!$C$8:$C$17,MATCH(5,'Debt Payoff'!$I$8:$I$17,0))+0,0)</f>
        <v/>
      </c>
      <c r="BD10" s="91">
        <f>IFERROR(INDEX('Debt Payoff'!$C$8:$C$17,MATCH(6,'Debt Payoff'!$I$8:$I$17,0))+0,0)</f>
        <v/>
      </c>
      <c r="BE10" s="91">
        <f>IFERROR(INDEX('Debt Payoff'!$C$8:$C$17,MATCH(7,'Debt Payoff'!$I$8:$I$17,0))+0,0)</f>
        <v/>
      </c>
      <c r="BF10" s="91">
        <f>IFERROR(INDEX('Debt Payoff'!$C$8:$C$17,MATCH(8,'Debt Payoff'!$I$8:$I$17,0))+0,0)</f>
        <v/>
      </c>
      <c r="BG10" s="91">
        <f>IFERROR(INDEX('Debt Payoff'!$C$8:$C$17,MATCH(9,'Debt Payoff'!$I$8:$I$17,0))+0,0)</f>
        <v/>
      </c>
      <c r="BH10" s="91">
        <f>IFERROR(INDEX('Debt Payoff'!$C$8:$C$17,MATCH(10,'Debt Payoff'!$I$8:$I$17,0))+0,0)</f>
        <v/>
      </c>
      <c r="BL10" s="88">
        <f>SUM(AY10:BH10)</f>
        <v/>
      </c>
    </row>
    <row r="11">
      <c r="A11" s="24" t="n">
        <v>1</v>
      </c>
      <c r="B11" s="90">
        <f>DATE(YEAR(Settings!$C$11),MONTH(Settings!$C$11)+A11,1)</f>
        <v/>
      </c>
      <c r="C11" s="91">
        <f>IF(C10&lt;0.005,0,MAX(0,C10*(1+C$6/12)-C$7))</f>
        <v/>
      </c>
      <c r="D11" s="91">
        <f>IF(D10&lt;0.005,0,MAX(0,D10*(1+D$6/12)-D$7))</f>
        <v/>
      </c>
      <c r="E11" s="91">
        <f>IF(E10&lt;0.005,0,MAX(0,E10*(1+E$6/12)-E$7))</f>
        <v/>
      </c>
      <c r="F11" s="91">
        <f>IF(F10&lt;0.005,0,MAX(0,F10*(1+F$6/12)-F$7))</f>
        <v/>
      </c>
      <c r="G11" s="91">
        <f>IF(G10&lt;0.005,0,MAX(0,G10*(1+G$6/12)-G$7))</f>
        <v/>
      </c>
      <c r="H11" s="91">
        <f>IF(H10&lt;0.005,0,MAX(0,H10*(1+H$6/12)-H$7))</f>
        <v/>
      </c>
      <c r="I11" s="91">
        <f>IF(I10&lt;0.005,0,MAX(0,I10*(1+I$6/12)-I$7))</f>
        <v/>
      </c>
      <c r="J11" s="91">
        <f>IF(J10&lt;0.005,0,MAX(0,J10*(1+J$6/12)-J$7))</f>
        <v/>
      </c>
      <c r="K11" s="91">
        <f>IF(K10&lt;0.005,0,MAX(0,K10*(1+K$6/12)-K$7))</f>
        <v/>
      </c>
      <c r="L11" s="91">
        <f>IF(L10&lt;0.005,0,MAX(0,L10*(1+L$6/12)-L$7))</f>
        <v/>
      </c>
      <c r="M11" s="91">
        <f>SUMPRODUCT(C10:L10,$C$6:$L$6)/12</f>
        <v/>
      </c>
      <c r="N11" s="88">
        <f>SUM(C11:L11)</f>
        <v/>
      </c>
      <c r="P11" s="92">
        <f>IF(Z10&lt;0.005,0,MAX(0,Z10*(1+Z$6/12)-Z$7))</f>
        <v/>
      </c>
      <c r="Q11" s="92">
        <f>IF(AA10&lt;0.005,0,MAX(0,AA10*(1+AA$6/12)-AA$7))</f>
        <v/>
      </c>
      <c r="R11" s="92">
        <f>IF(AB10&lt;0.005,0,MAX(0,AB10*(1+AB$6/12)-AB$7))</f>
        <v/>
      </c>
      <c r="S11" s="92">
        <f>IF(AC10&lt;0.005,0,MAX(0,AC10*(1+AC$6/12)-AC$7))</f>
        <v/>
      </c>
      <c r="T11" s="92">
        <f>IF(AD10&lt;0.005,0,MAX(0,AD10*(1+AD$6/12)-AD$7))</f>
        <v/>
      </c>
      <c r="U11" s="92">
        <f>IF(AE10&lt;0.005,0,MAX(0,AE10*(1+AE$6/12)-AE$7))</f>
        <v/>
      </c>
      <c r="V11" s="92">
        <f>IF(AF10&lt;0.005,0,MAX(0,AF10*(1+AF$6/12)-AF$7))</f>
        <v/>
      </c>
      <c r="W11" s="92">
        <f>IF(AG10&lt;0.005,0,MAX(0,AG10*(1+AG$6/12)-AG$7))</f>
        <v/>
      </c>
      <c r="X11" s="92">
        <f>IF(AH10&lt;0.005,0,MAX(0,AH10*(1+AH$6/12)-AH$7))</f>
        <v/>
      </c>
      <c r="Y11" s="92">
        <f>IF(AI10&lt;0.005,0,MAX(0,AI10*(1+AI$6/12)-AI$7))</f>
        <v/>
      </c>
      <c r="Z11" s="91">
        <f>MAX(0,P11-MAX(0,AK11-0))</f>
        <v/>
      </c>
      <c r="AA11" s="91">
        <f>MAX(0,Q11-MAX(0,AK11-SUM(P11:P11)))</f>
        <v/>
      </c>
      <c r="AB11" s="91">
        <f>MAX(0,R11-MAX(0,AK11-SUM(P11:Q11)))</f>
        <v/>
      </c>
      <c r="AC11" s="91">
        <f>MAX(0,S11-MAX(0,AK11-SUM(P11:R11)))</f>
        <v/>
      </c>
      <c r="AD11" s="91">
        <f>MAX(0,T11-MAX(0,AK11-SUM(P11:S11)))</f>
        <v/>
      </c>
      <c r="AE11" s="91">
        <f>MAX(0,U11-MAX(0,AK11-SUM(P11:T11)))</f>
        <v/>
      </c>
      <c r="AF11" s="91">
        <f>MAX(0,V11-MAX(0,AK11-SUM(P11:U11)))</f>
        <v/>
      </c>
      <c r="AG11" s="91">
        <f>MAX(0,W11-MAX(0,AK11-SUM(P11:V11)))</f>
        <v/>
      </c>
      <c r="AH11" s="91">
        <f>MAX(0,X11-MAX(0,AK11-SUM(P11:W11)))</f>
        <v/>
      </c>
      <c r="AI11" s="91">
        <f>MAX(0,Y11-MAX(0,AK11-SUM(P11:X11)))</f>
        <v/>
      </c>
      <c r="AJ11" s="92">
        <f>SUM(Z10:AI10)+AL11</f>
        <v/>
      </c>
      <c r="AK11" s="92">
        <f>$AK$7-(AJ11-SUM(P11:Y11))</f>
        <v/>
      </c>
      <c r="AL11" s="91">
        <f>SUMPRODUCT(Z10:AI10,$Z$6:$AI$6)/12</f>
        <v/>
      </c>
      <c r="AM11" s="88">
        <f>SUM(Z11:AI11)</f>
        <v/>
      </c>
      <c r="AO11" s="92">
        <f>IF(AY10&lt;0.005,0,MAX(0,AY10*(1+AY$6/12)-AY$7))</f>
        <v/>
      </c>
      <c r="AP11" s="92">
        <f>IF(AZ10&lt;0.005,0,MAX(0,AZ10*(1+AZ$6/12)-AZ$7))</f>
        <v/>
      </c>
      <c r="AQ11" s="92">
        <f>IF(BA10&lt;0.005,0,MAX(0,BA10*(1+BA$6/12)-BA$7))</f>
        <v/>
      </c>
      <c r="AR11" s="92">
        <f>IF(BB10&lt;0.005,0,MAX(0,BB10*(1+BB$6/12)-BB$7))</f>
        <v/>
      </c>
      <c r="AS11" s="92">
        <f>IF(BC10&lt;0.005,0,MAX(0,BC10*(1+BC$6/12)-BC$7))</f>
        <v/>
      </c>
      <c r="AT11" s="92">
        <f>IF(BD10&lt;0.005,0,MAX(0,BD10*(1+BD$6/12)-BD$7))</f>
        <v/>
      </c>
      <c r="AU11" s="92">
        <f>IF(BE10&lt;0.005,0,MAX(0,BE10*(1+BE$6/12)-BE$7))</f>
        <v/>
      </c>
      <c r="AV11" s="92">
        <f>IF(BF10&lt;0.005,0,MAX(0,BF10*(1+BF$6/12)-BF$7))</f>
        <v/>
      </c>
      <c r="AW11" s="92">
        <f>IF(BG10&lt;0.005,0,MAX(0,BG10*(1+BG$6/12)-BG$7))</f>
        <v/>
      </c>
      <c r="AX11" s="92">
        <f>IF(BH10&lt;0.005,0,MAX(0,BH10*(1+BH$6/12)-BH$7))</f>
        <v/>
      </c>
      <c r="AY11" s="91">
        <f>MAX(0,AO11-MAX(0,BJ11-0))</f>
        <v/>
      </c>
      <c r="AZ11" s="91">
        <f>MAX(0,AP11-MAX(0,BJ11-SUM(AO11:AO11)))</f>
        <v/>
      </c>
      <c r="BA11" s="91">
        <f>MAX(0,AQ11-MAX(0,BJ11-SUM(AO11:AP11)))</f>
        <v/>
      </c>
      <c r="BB11" s="91">
        <f>MAX(0,AR11-MAX(0,BJ11-SUM(AO11:AQ11)))</f>
        <v/>
      </c>
      <c r="BC11" s="91">
        <f>MAX(0,AS11-MAX(0,BJ11-SUM(AO11:AR11)))</f>
        <v/>
      </c>
      <c r="BD11" s="91">
        <f>MAX(0,AT11-MAX(0,BJ11-SUM(AO11:AS11)))</f>
        <v/>
      </c>
      <c r="BE11" s="91">
        <f>MAX(0,AU11-MAX(0,BJ11-SUM(AO11:AT11)))</f>
        <v/>
      </c>
      <c r="BF11" s="91">
        <f>MAX(0,AV11-MAX(0,BJ11-SUM(AO11:AU11)))</f>
        <v/>
      </c>
      <c r="BG11" s="91">
        <f>MAX(0,AW11-MAX(0,BJ11-SUM(AO11:AV11)))</f>
        <v/>
      </c>
      <c r="BH11" s="91">
        <f>MAX(0,AX11-MAX(0,BJ11-SUM(AO11:AW11)))</f>
        <v/>
      </c>
      <c r="BI11" s="92">
        <f>SUM(AY10:BH10)+BK11</f>
        <v/>
      </c>
      <c r="BJ11" s="92">
        <f>$BJ$7-(BI11-SUM(AO11:AX11))</f>
        <v/>
      </c>
      <c r="BK11" s="91">
        <f>SUMPRODUCT(AY10:BH10,$AY$6:$BH$6)/12</f>
        <v/>
      </c>
      <c r="BL11" s="88">
        <f>SUM(AY11:BH11)</f>
        <v/>
      </c>
    </row>
    <row r="12">
      <c r="A12" s="24" t="n">
        <v>2</v>
      </c>
      <c r="B12" s="90">
        <f>DATE(YEAR(Settings!$C$11),MONTH(Settings!$C$11)+A12,1)</f>
        <v/>
      </c>
      <c r="C12" s="91">
        <f>IF(C11&lt;0.005,0,MAX(0,C11*(1+C$6/12)-C$7))</f>
        <v/>
      </c>
      <c r="D12" s="91">
        <f>IF(D11&lt;0.005,0,MAX(0,D11*(1+D$6/12)-D$7))</f>
        <v/>
      </c>
      <c r="E12" s="91">
        <f>IF(E11&lt;0.005,0,MAX(0,E11*(1+E$6/12)-E$7))</f>
        <v/>
      </c>
      <c r="F12" s="91">
        <f>IF(F11&lt;0.005,0,MAX(0,F11*(1+F$6/12)-F$7))</f>
        <v/>
      </c>
      <c r="G12" s="91">
        <f>IF(G11&lt;0.005,0,MAX(0,G11*(1+G$6/12)-G$7))</f>
        <v/>
      </c>
      <c r="H12" s="91">
        <f>IF(H11&lt;0.005,0,MAX(0,H11*(1+H$6/12)-H$7))</f>
        <v/>
      </c>
      <c r="I12" s="91">
        <f>IF(I11&lt;0.005,0,MAX(0,I11*(1+I$6/12)-I$7))</f>
        <v/>
      </c>
      <c r="J12" s="91">
        <f>IF(J11&lt;0.005,0,MAX(0,J11*(1+J$6/12)-J$7))</f>
        <v/>
      </c>
      <c r="K12" s="91">
        <f>IF(K11&lt;0.005,0,MAX(0,K11*(1+K$6/12)-K$7))</f>
        <v/>
      </c>
      <c r="L12" s="91">
        <f>IF(L11&lt;0.005,0,MAX(0,L11*(1+L$6/12)-L$7))</f>
        <v/>
      </c>
      <c r="M12" s="91">
        <f>SUMPRODUCT(C11:L11,$C$6:$L$6)/12</f>
        <v/>
      </c>
      <c r="N12" s="88">
        <f>SUM(C12:L12)</f>
        <v/>
      </c>
      <c r="P12" s="92">
        <f>IF(Z11&lt;0.005,0,MAX(0,Z11*(1+Z$6/12)-Z$7))</f>
        <v/>
      </c>
      <c r="Q12" s="92">
        <f>IF(AA11&lt;0.005,0,MAX(0,AA11*(1+AA$6/12)-AA$7))</f>
        <v/>
      </c>
      <c r="R12" s="92">
        <f>IF(AB11&lt;0.005,0,MAX(0,AB11*(1+AB$6/12)-AB$7))</f>
        <v/>
      </c>
      <c r="S12" s="92">
        <f>IF(AC11&lt;0.005,0,MAX(0,AC11*(1+AC$6/12)-AC$7))</f>
        <v/>
      </c>
      <c r="T12" s="92">
        <f>IF(AD11&lt;0.005,0,MAX(0,AD11*(1+AD$6/12)-AD$7))</f>
        <v/>
      </c>
      <c r="U12" s="92">
        <f>IF(AE11&lt;0.005,0,MAX(0,AE11*(1+AE$6/12)-AE$7))</f>
        <v/>
      </c>
      <c r="V12" s="92">
        <f>IF(AF11&lt;0.005,0,MAX(0,AF11*(1+AF$6/12)-AF$7))</f>
        <v/>
      </c>
      <c r="W12" s="92">
        <f>IF(AG11&lt;0.005,0,MAX(0,AG11*(1+AG$6/12)-AG$7))</f>
        <v/>
      </c>
      <c r="X12" s="92">
        <f>IF(AH11&lt;0.005,0,MAX(0,AH11*(1+AH$6/12)-AH$7))</f>
        <v/>
      </c>
      <c r="Y12" s="92">
        <f>IF(AI11&lt;0.005,0,MAX(0,AI11*(1+AI$6/12)-AI$7))</f>
        <v/>
      </c>
      <c r="Z12" s="91">
        <f>MAX(0,P12-MAX(0,AK12-0))</f>
        <v/>
      </c>
      <c r="AA12" s="91">
        <f>MAX(0,Q12-MAX(0,AK12-SUM(P12:P12)))</f>
        <v/>
      </c>
      <c r="AB12" s="91">
        <f>MAX(0,R12-MAX(0,AK12-SUM(P12:Q12)))</f>
        <v/>
      </c>
      <c r="AC12" s="91">
        <f>MAX(0,S12-MAX(0,AK12-SUM(P12:R12)))</f>
        <v/>
      </c>
      <c r="AD12" s="91">
        <f>MAX(0,T12-MAX(0,AK12-SUM(P12:S12)))</f>
        <v/>
      </c>
      <c r="AE12" s="91">
        <f>MAX(0,U12-MAX(0,AK12-SUM(P12:T12)))</f>
        <v/>
      </c>
      <c r="AF12" s="91">
        <f>MAX(0,V12-MAX(0,AK12-SUM(P12:U12)))</f>
        <v/>
      </c>
      <c r="AG12" s="91">
        <f>MAX(0,W12-MAX(0,AK12-SUM(P12:V12)))</f>
        <v/>
      </c>
      <c r="AH12" s="91">
        <f>MAX(0,X12-MAX(0,AK12-SUM(P12:W12)))</f>
        <v/>
      </c>
      <c r="AI12" s="91">
        <f>MAX(0,Y12-MAX(0,AK12-SUM(P12:X12)))</f>
        <v/>
      </c>
      <c r="AJ12" s="92">
        <f>SUM(Z11:AI11)+AL12</f>
        <v/>
      </c>
      <c r="AK12" s="92">
        <f>$AK$7-(AJ12-SUM(P12:Y12))</f>
        <v/>
      </c>
      <c r="AL12" s="91">
        <f>SUMPRODUCT(Z11:AI11,$Z$6:$AI$6)/12</f>
        <v/>
      </c>
      <c r="AM12" s="88">
        <f>SUM(Z12:AI12)</f>
        <v/>
      </c>
      <c r="AO12" s="92">
        <f>IF(AY11&lt;0.005,0,MAX(0,AY11*(1+AY$6/12)-AY$7))</f>
        <v/>
      </c>
      <c r="AP12" s="92">
        <f>IF(AZ11&lt;0.005,0,MAX(0,AZ11*(1+AZ$6/12)-AZ$7))</f>
        <v/>
      </c>
      <c r="AQ12" s="92">
        <f>IF(BA11&lt;0.005,0,MAX(0,BA11*(1+BA$6/12)-BA$7))</f>
        <v/>
      </c>
      <c r="AR12" s="92">
        <f>IF(BB11&lt;0.005,0,MAX(0,BB11*(1+BB$6/12)-BB$7))</f>
        <v/>
      </c>
      <c r="AS12" s="92">
        <f>IF(BC11&lt;0.005,0,MAX(0,BC11*(1+BC$6/12)-BC$7))</f>
        <v/>
      </c>
      <c r="AT12" s="92">
        <f>IF(BD11&lt;0.005,0,MAX(0,BD11*(1+BD$6/12)-BD$7))</f>
        <v/>
      </c>
      <c r="AU12" s="92">
        <f>IF(BE11&lt;0.005,0,MAX(0,BE11*(1+BE$6/12)-BE$7))</f>
        <v/>
      </c>
      <c r="AV12" s="92">
        <f>IF(BF11&lt;0.005,0,MAX(0,BF11*(1+BF$6/12)-BF$7))</f>
        <v/>
      </c>
      <c r="AW12" s="92">
        <f>IF(BG11&lt;0.005,0,MAX(0,BG11*(1+BG$6/12)-BG$7))</f>
        <v/>
      </c>
      <c r="AX12" s="92">
        <f>IF(BH11&lt;0.005,0,MAX(0,BH11*(1+BH$6/12)-BH$7))</f>
        <v/>
      </c>
      <c r="AY12" s="91">
        <f>MAX(0,AO12-MAX(0,BJ12-0))</f>
        <v/>
      </c>
      <c r="AZ12" s="91">
        <f>MAX(0,AP12-MAX(0,BJ12-SUM(AO12:AO12)))</f>
        <v/>
      </c>
      <c r="BA12" s="91">
        <f>MAX(0,AQ12-MAX(0,BJ12-SUM(AO12:AP12)))</f>
        <v/>
      </c>
      <c r="BB12" s="91">
        <f>MAX(0,AR12-MAX(0,BJ12-SUM(AO12:AQ12)))</f>
        <v/>
      </c>
      <c r="BC12" s="91">
        <f>MAX(0,AS12-MAX(0,BJ12-SUM(AO12:AR12)))</f>
        <v/>
      </c>
      <c r="BD12" s="91">
        <f>MAX(0,AT12-MAX(0,BJ12-SUM(AO12:AS12)))</f>
        <v/>
      </c>
      <c r="BE12" s="91">
        <f>MAX(0,AU12-MAX(0,BJ12-SUM(AO12:AT12)))</f>
        <v/>
      </c>
      <c r="BF12" s="91">
        <f>MAX(0,AV12-MAX(0,BJ12-SUM(AO12:AU12)))</f>
        <v/>
      </c>
      <c r="BG12" s="91">
        <f>MAX(0,AW12-MAX(0,BJ12-SUM(AO12:AV12)))</f>
        <v/>
      </c>
      <c r="BH12" s="91">
        <f>MAX(0,AX12-MAX(0,BJ12-SUM(AO12:AW12)))</f>
        <v/>
      </c>
      <c r="BI12" s="92">
        <f>SUM(AY11:BH11)+BK12</f>
        <v/>
      </c>
      <c r="BJ12" s="92">
        <f>$BJ$7-(BI12-SUM(AO12:AX12))</f>
        <v/>
      </c>
      <c r="BK12" s="91">
        <f>SUMPRODUCT(AY11:BH11,$AY$6:$BH$6)/12</f>
        <v/>
      </c>
      <c r="BL12" s="88">
        <f>SUM(AY12:BH12)</f>
        <v/>
      </c>
    </row>
    <row r="13">
      <c r="A13" s="24" t="n">
        <v>3</v>
      </c>
      <c r="B13" s="90">
        <f>DATE(YEAR(Settings!$C$11),MONTH(Settings!$C$11)+A13,1)</f>
        <v/>
      </c>
      <c r="C13" s="91">
        <f>IF(C12&lt;0.005,0,MAX(0,C12*(1+C$6/12)-C$7))</f>
        <v/>
      </c>
      <c r="D13" s="91">
        <f>IF(D12&lt;0.005,0,MAX(0,D12*(1+D$6/12)-D$7))</f>
        <v/>
      </c>
      <c r="E13" s="91">
        <f>IF(E12&lt;0.005,0,MAX(0,E12*(1+E$6/12)-E$7))</f>
        <v/>
      </c>
      <c r="F13" s="91">
        <f>IF(F12&lt;0.005,0,MAX(0,F12*(1+F$6/12)-F$7))</f>
        <v/>
      </c>
      <c r="G13" s="91">
        <f>IF(G12&lt;0.005,0,MAX(0,G12*(1+G$6/12)-G$7))</f>
        <v/>
      </c>
      <c r="H13" s="91">
        <f>IF(H12&lt;0.005,0,MAX(0,H12*(1+H$6/12)-H$7))</f>
        <v/>
      </c>
      <c r="I13" s="91">
        <f>IF(I12&lt;0.005,0,MAX(0,I12*(1+I$6/12)-I$7))</f>
        <v/>
      </c>
      <c r="J13" s="91">
        <f>IF(J12&lt;0.005,0,MAX(0,J12*(1+J$6/12)-J$7))</f>
        <v/>
      </c>
      <c r="K13" s="91">
        <f>IF(K12&lt;0.005,0,MAX(0,K12*(1+K$6/12)-K$7))</f>
        <v/>
      </c>
      <c r="L13" s="91">
        <f>IF(L12&lt;0.005,0,MAX(0,L12*(1+L$6/12)-L$7))</f>
        <v/>
      </c>
      <c r="M13" s="91">
        <f>SUMPRODUCT(C12:L12,$C$6:$L$6)/12</f>
        <v/>
      </c>
      <c r="N13" s="88">
        <f>SUM(C13:L13)</f>
        <v/>
      </c>
      <c r="P13" s="92">
        <f>IF(Z12&lt;0.005,0,MAX(0,Z12*(1+Z$6/12)-Z$7))</f>
        <v/>
      </c>
      <c r="Q13" s="92">
        <f>IF(AA12&lt;0.005,0,MAX(0,AA12*(1+AA$6/12)-AA$7))</f>
        <v/>
      </c>
      <c r="R13" s="92">
        <f>IF(AB12&lt;0.005,0,MAX(0,AB12*(1+AB$6/12)-AB$7))</f>
        <v/>
      </c>
      <c r="S13" s="92">
        <f>IF(AC12&lt;0.005,0,MAX(0,AC12*(1+AC$6/12)-AC$7))</f>
        <v/>
      </c>
      <c r="T13" s="92">
        <f>IF(AD12&lt;0.005,0,MAX(0,AD12*(1+AD$6/12)-AD$7))</f>
        <v/>
      </c>
      <c r="U13" s="92">
        <f>IF(AE12&lt;0.005,0,MAX(0,AE12*(1+AE$6/12)-AE$7))</f>
        <v/>
      </c>
      <c r="V13" s="92">
        <f>IF(AF12&lt;0.005,0,MAX(0,AF12*(1+AF$6/12)-AF$7))</f>
        <v/>
      </c>
      <c r="W13" s="92">
        <f>IF(AG12&lt;0.005,0,MAX(0,AG12*(1+AG$6/12)-AG$7))</f>
        <v/>
      </c>
      <c r="X13" s="92">
        <f>IF(AH12&lt;0.005,0,MAX(0,AH12*(1+AH$6/12)-AH$7))</f>
        <v/>
      </c>
      <c r="Y13" s="92">
        <f>IF(AI12&lt;0.005,0,MAX(0,AI12*(1+AI$6/12)-AI$7))</f>
        <v/>
      </c>
      <c r="Z13" s="91">
        <f>MAX(0,P13-MAX(0,AK13-0))</f>
        <v/>
      </c>
      <c r="AA13" s="91">
        <f>MAX(0,Q13-MAX(0,AK13-SUM(P13:P13)))</f>
        <v/>
      </c>
      <c r="AB13" s="91">
        <f>MAX(0,R13-MAX(0,AK13-SUM(P13:Q13)))</f>
        <v/>
      </c>
      <c r="AC13" s="91">
        <f>MAX(0,S13-MAX(0,AK13-SUM(P13:R13)))</f>
        <v/>
      </c>
      <c r="AD13" s="91">
        <f>MAX(0,T13-MAX(0,AK13-SUM(P13:S13)))</f>
        <v/>
      </c>
      <c r="AE13" s="91">
        <f>MAX(0,U13-MAX(0,AK13-SUM(P13:T13)))</f>
        <v/>
      </c>
      <c r="AF13" s="91">
        <f>MAX(0,V13-MAX(0,AK13-SUM(P13:U13)))</f>
        <v/>
      </c>
      <c r="AG13" s="91">
        <f>MAX(0,W13-MAX(0,AK13-SUM(P13:V13)))</f>
        <v/>
      </c>
      <c r="AH13" s="91">
        <f>MAX(0,X13-MAX(0,AK13-SUM(P13:W13)))</f>
        <v/>
      </c>
      <c r="AI13" s="91">
        <f>MAX(0,Y13-MAX(0,AK13-SUM(P13:X13)))</f>
        <v/>
      </c>
      <c r="AJ13" s="92">
        <f>SUM(Z12:AI12)+AL13</f>
        <v/>
      </c>
      <c r="AK13" s="92">
        <f>$AK$7-(AJ13-SUM(P13:Y13))</f>
        <v/>
      </c>
      <c r="AL13" s="91">
        <f>SUMPRODUCT(Z12:AI12,$Z$6:$AI$6)/12</f>
        <v/>
      </c>
      <c r="AM13" s="88">
        <f>SUM(Z13:AI13)</f>
        <v/>
      </c>
      <c r="AO13" s="92">
        <f>IF(AY12&lt;0.005,0,MAX(0,AY12*(1+AY$6/12)-AY$7))</f>
        <v/>
      </c>
      <c r="AP13" s="92">
        <f>IF(AZ12&lt;0.005,0,MAX(0,AZ12*(1+AZ$6/12)-AZ$7))</f>
        <v/>
      </c>
      <c r="AQ13" s="92">
        <f>IF(BA12&lt;0.005,0,MAX(0,BA12*(1+BA$6/12)-BA$7))</f>
        <v/>
      </c>
      <c r="AR13" s="92">
        <f>IF(BB12&lt;0.005,0,MAX(0,BB12*(1+BB$6/12)-BB$7))</f>
        <v/>
      </c>
      <c r="AS13" s="92">
        <f>IF(BC12&lt;0.005,0,MAX(0,BC12*(1+BC$6/12)-BC$7))</f>
        <v/>
      </c>
      <c r="AT13" s="92">
        <f>IF(BD12&lt;0.005,0,MAX(0,BD12*(1+BD$6/12)-BD$7))</f>
        <v/>
      </c>
      <c r="AU13" s="92">
        <f>IF(BE12&lt;0.005,0,MAX(0,BE12*(1+BE$6/12)-BE$7))</f>
        <v/>
      </c>
      <c r="AV13" s="92">
        <f>IF(BF12&lt;0.005,0,MAX(0,BF12*(1+BF$6/12)-BF$7))</f>
        <v/>
      </c>
      <c r="AW13" s="92">
        <f>IF(BG12&lt;0.005,0,MAX(0,BG12*(1+BG$6/12)-BG$7))</f>
        <v/>
      </c>
      <c r="AX13" s="92">
        <f>IF(BH12&lt;0.005,0,MAX(0,BH12*(1+BH$6/12)-BH$7))</f>
        <v/>
      </c>
      <c r="AY13" s="91">
        <f>MAX(0,AO13-MAX(0,BJ13-0))</f>
        <v/>
      </c>
      <c r="AZ13" s="91">
        <f>MAX(0,AP13-MAX(0,BJ13-SUM(AO13:AO13)))</f>
        <v/>
      </c>
      <c r="BA13" s="91">
        <f>MAX(0,AQ13-MAX(0,BJ13-SUM(AO13:AP13)))</f>
        <v/>
      </c>
      <c r="BB13" s="91">
        <f>MAX(0,AR13-MAX(0,BJ13-SUM(AO13:AQ13)))</f>
        <v/>
      </c>
      <c r="BC13" s="91">
        <f>MAX(0,AS13-MAX(0,BJ13-SUM(AO13:AR13)))</f>
        <v/>
      </c>
      <c r="BD13" s="91">
        <f>MAX(0,AT13-MAX(0,BJ13-SUM(AO13:AS13)))</f>
        <v/>
      </c>
      <c r="BE13" s="91">
        <f>MAX(0,AU13-MAX(0,BJ13-SUM(AO13:AT13)))</f>
        <v/>
      </c>
      <c r="BF13" s="91">
        <f>MAX(0,AV13-MAX(0,BJ13-SUM(AO13:AU13)))</f>
        <v/>
      </c>
      <c r="BG13" s="91">
        <f>MAX(0,AW13-MAX(0,BJ13-SUM(AO13:AV13)))</f>
        <v/>
      </c>
      <c r="BH13" s="91">
        <f>MAX(0,AX13-MAX(0,BJ13-SUM(AO13:AW13)))</f>
        <v/>
      </c>
      <c r="BI13" s="92">
        <f>SUM(AY12:BH12)+BK13</f>
        <v/>
      </c>
      <c r="BJ13" s="92">
        <f>$BJ$7-(BI13-SUM(AO13:AX13))</f>
        <v/>
      </c>
      <c r="BK13" s="91">
        <f>SUMPRODUCT(AY12:BH12,$AY$6:$BH$6)/12</f>
        <v/>
      </c>
      <c r="BL13" s="88">
        <f>SUM(AY13:BH13)</f>
        <v/>
      </c>
    </row>
    <row r="14">
      <c r="A14" s="24" t="n">
        <v>4</v>
      </c>
      <c r="B14" s="90">
        <f>DATE(YEAR(Settings!$C$11),MONTH(Settings!$C$11)+A14,1)</f>
        <v/>
      </c>
      <c r="C14" s="91">
        <f>IF(C13&lt;0.005,0,MAX(0,C13*(1+C$6/12)-C$7))</f>
        <v/>
      </c>
      <c r="D14" s="91">
        <f>IF(D13&lt;0.005,0,MAX(0,D13*(1+D$6/12)-D$7))</f>
        <v/>
      </c>
      <c r="E14" s="91">
        <f>IF(E13&lt;0.005,0,MAX(0,E13*(1+E$6/12)-E$7))</f>
        <v/>
      </c>
      <c r="F14" s="91">
        <f>IF(F13&lt;0.005,0,MAX(0,F13*(1+F$6/12)-F$7))</f>
        <v/>
      </c>
      <c r="G14" s="91">
        <f>IF(G13&lt;0.005,0,MAX(0,G13*(1+G$6/12)-G$7))</f>
        <v/>
      </c>
      <c r="H14" s="91">
        <f>IF(H13&lt;0.005,0,MAX(0,H13*(1+H$6/12)-H$7))</f>
        <v/>
      </c>
      <c r="I14" s="91">
        <f>IF(I13&lt;0.005,0,MAX(0,I13*(1+I$6/12)-I$7))</f>
        <v/>
      </c>
      <c r="J14" s="91">
        <f>IF(J13&lt;0.005,0,MAX(0,J13*(1+J$6/12)-J$7))</f>
        <v/>
      </c>
      <c r="K14" s="91">
        <f>IF(K13&lt;0.005,0,MAX(0,K13*(1+K$6/12)-K$7))</f>
        <v/>
      </c>
      <c r="L14" s="91">
        <f>IF(L13&lt;0.005,0,MAX(0,L13*(1+L$6/12)-L$7))</f>
        <v/>
      </c>
      <c r="M14" s="91">
        <f>SUMPRODUCT(C13:L13,$C$6:$L$6)/12</f>
        <v/>
      </c>
      <c r="N14" s="88">
        <f>SUM(C14:L14)</f>
        <v/>
      </c>
      <c r="P14" s="92">
        <f>IF(Z13&lt;0.005,0,MAX(0,Z13*(1+Z$6/12)-Z$7))</f>
        <v/>
      </c>
      <c r="Q14" s="92">
        <f>IF(AA13&lt;0.005,0,MAX(0,AA13*(1+AA$6/12)-AA$7))</f>
        <v/>
      </c>
      <c r="R14" s="92">
        <f>IF(AB13&lt;0.005,0,MAX(0,AB13*(1+AB$6/12)-AB$7))</f>
        <v/>
      </c>
      <c r="S14" s="92">
        <f>IF(AC13&lt;0.005,0,MAX(0,AC13*(1+AC$6/12)-AC$7))</f>
        <v/>
      </c>
      <c r="T14" s="92">
        <f>IF(AD13&lt;0.005,0,MAX(0,AD13*(1+AD$6/12)-AD$7))</f>
        <v/>
      </c>
      <c r="U14" s="92">
        <f>IF(AE13&lt;0.005,0,MAX(0,AE13*(1+AE$6/12)-AE$7))</f>
        <v/>
      </c>
      <c r="V14" s="92">
        <f>IF(AF13&lt;0.005,0,MAX(0,AF13*(1+AF$6/12)-AF$7))</f>
        <v/>
      </c>
      <c r="W14" s="92">
        <f>IF(AG13&lt;0.005,0,MAX(0,AG13*(1+AG$6/12)-AG$7))</f>
        <v/>
      </c>
      <c r="X14" s="92">
        <f>IF(AH13&lt;0.005,0,MAX(0,AH13*(1+AH$6/12)-AH$7))</f>
        <v/>
      </c>
      <c r="Y14" s="92">
        <f>IF(AI13&lt;0.005,0,MAX(0,AI13*(1+AI$6/12)-AI$7))</f>
        <v/>
      </c>
      <c r="Z14" s="91">
        <f>MAX(0,P14-MAX(0,AK14-0))</f>
        <v/>
      </c>
      <c r="AA14" s="91">
        <f>MAX(0,Q14-MAX(0,AK14-SUM(P14:P14)))</f>
        <v/>
      </c>
      <c r="AB14" s="91">
        <f>MAX(0,R14-MAX(0,AK14-SUM(P14:Q14)))</f>
        <v/>
      </c>
      <c r="AC14" s="91">
        <f>MAX(0,S14-MAX(0,AK14-SUM(P14:R14)))</f>
        <v/>
      </c>
      <c r="AD14" s="91">
        <f>MAX(0,T14-MAX(0,AK14-SUM(P14:S14)))</f>
        <v/>
      </c>
      <c r="AE14" s="91">
        <f>MAX(0,U14-MAX(0,AK14-SUM(P14:T14)))</f>
        <v/>
      </c>
      <c r="AF14" s="91">
        <f>MAX(0,V14-MAX(0,AK14-SUM(P14:U14)))</f>
        <v/>
      </c>
      <c r="AG14" s="91">
        <f>MAX(0,W14-MAX(0,AK14-SUM(P14:V14)))</f>
        <v/>
      </c>
      <c r="AH14" s="91">
        <f>MAX(0,X14-MAX(0,AK14-SUM(P14:W14)))</f>
        <v/>
      </c>
      <c r="AI14" s="91">
        <f>MAX(0,Y14-MAX(0,AK14-SUM(P14:X14)))</f>
        <v/>
      </c>
      <c r="AJ14" s="92">
        <f>SUM(Z13:AI13)+AL14</f>
        <v/>
      </c>
      <c r="AK14" s="92">
        <f>$AK$7-(AJ14-SUM(P14:Y14))</f>
        <v/>
      </c>
      <c r="AL14" s="91">
        <f>SUMPRODUCT(Z13:AI13,$Z$6:$AI$6)/12</f>
        <v/>
      </c>
      <c r="AM14" s="88">
        <f>SUM(Z14:AI14)</f>
        <v/>
      </c>
      <c r="AO14" s="92">
        <f>IF(AY13&lt;0.005,0,MAX(0,AY13*(1+AY$6/12)-AY$7))</f>
        <v/>
      </c>
      <c r="AP14" s="92">
        <f>IF(AZ13&lt;0.005,0,MAX(0,AZ13*(1+AZ$6/12)-AZ$7))</f>
        <v/>
      </c>
      <c r="AQ14" s="92">
        <f>IF(BA13&lt;0.005,0,MAX(0,BA13*(1+BA$6/12)-BA$7))</f>
        <v/>
      </c>
      <c r="AR14" s="92">
        <f>IF(BB13&lt;0.005,0,MAX(0,BB13*(1+BB$6/12)-BB$7))</f>
        <v/>
      </c>
      <c r="AS14" s="92">
        <f>IF(BC13&lt;0.005,0,MAX(0,BC13*(1+BC$6/12)-BC$7))</f>
        <v/>
      </c>
      <c r="AT14" s="92">
        <f>IF(BD13&lt;0.005,0,MAX(0,BD13*(1+BD$6/12)-BD$7))</f>
        <v/>
      </c>
      <c r="AU14" s="92">
        <f>IF(BE13&lt;0.005,0,MAX(0,BE13*(1+BE$6/12)-BE$7))</f>
        <v/>
      </c>
      <c r="AV14" s="92">
        <f>IF(BF13&lt;0.005,0,MAX(0,BF13*(1+BF$6/12)-BF$7))</f>
        <v/>
      </c>
      <c r="AW14" s="92">
        <f>IF(BG13&lt;0.005,0,MAX(0,BG13*(1+BG$6/12)-BG$7))</f>
        <v/>
      </c>
      <c r="AX14" s="92">
        <f>IF(BH13&lt;0.005,0,MAX(0,BH13*(1+BH$6/12)-BH$7))</f>
        <v/>
      </c>
      <c r="AY14" s="91">
        <f>MAX(0,AO14-MAX(0,BJ14-0))</f>
        <v/>
      </c>
      <c r="AZ14" s="91">
        <f>MAX(0,AP14-MAX(0,BJ14-SUM(AO14:AO14)))</f>
        <v/>
      </c>
      <c r="BA14" s="91">
        <f>MAX(0,AQ14-MAX(0,BJ14-SUM(AO14:AP14)))</f>
        <v/>
      </c>
      <c r="BB14" s="91">
        <f>MAX(0,AR14-MAX(0,BJ14-SUM(AO14:AQ14)))</f>
        <v/>
      </c>
      <c r="BC14" s="91">
        <f>MAX(0,AS14-MAX(0,BJ14-SUM(AO14:AR14)))</f>
        <v/>
      </c>
      <c r="BD14" s="91">
        <f>MAX(0,AT14-MAX(0,BJ14-SUM(AO14:AS14)))</f>
        <v/>
      </c>
      <c r="BE14" s="91">
        <f>MAX(0,AU14-MAX(0,BJ14-SUM(AO14:AT14)))</f>
        <v/>
      </c>
      <c r="BF14" s="91">
        <f>MAX(0,AV14-MAX(0,BJ14-SUM(AO14:AU14)))</f>
        <v/>
      </c>
      <c r="BG14" s="91">
        <f>MAX(0,AW14-MAX(0,BJ14-SUM(AO14:AV14)))</f>
        <v/>
      </c>
      <c r="BH14" s="91">
        <f>MAX(0,AX14-MAX(0,BJ14-SUM(AO14:AW14)))</f>
        <v/>
      </c>
      <c r="BI14" s="92">
        <f>SUM(AY13:BH13)+BK14</f>
        <v/>
      </c>
      <c r="BJ14" s="92">
        <f>$BJ$7-(BI14-SUM(AO14:AX14))</f>
        <v/>
      </c>
      <c r="BK14" s="91">
        <f>SUMPRODUCT(AY13:BH13,$AY$6:$BH$6)/12</f>
        <v/>
      </c>
      <c r="BL14" s="88">
        <f>SUM(AY14:BH14)</f>
        <v/>
      </c>
    </row>
    <row r="15">
      <c r="A15" s="24" t="n">
        <v>5</v>
      </c>
      <c r="B15" s="90">
        <f>DATE(YEAR(Settings!$C$11),MONTH(Settings!$C$11)+A15,1)</f>
        <v/>
      </c>
      <c r="C15" s="91">
        <f>IF(C14&lt;0.005,0,MAX(0,C14*(1+C$6/12)-C$7))</f>
        <v/>
      </c>
      <c r="D15" s="91">
        <f>IF(D14&lt;0.005,0,MAX(0,D14*(1+D$6/12)-D$7))</f>
        <v/>
      </c>
      <c r="E15" s="91">
        <f>IF(E14&lt;0.005,0,MAX(0,E14*(1+E$6/12)-E$7))</f>
        <v/>
      </c>
      <c r="F15" s="91">
        <f>IF(F14&lt;0.005,0,MAX(0,F14*(1+F$6/12)-F$7))</f>
        <v/>
      </c>
      <c r="G15" s="91">
        <f>IF(G14&lt;0.005,0,MAX(0,G14*(1+G$6/12)-G$7))</f>
        <v/>
      </c>
      <c r="H15" s="91">
        <f>IF(H14&lt;0.005,0,MAX(0,H14*(1+H$6/12)-H$7))</f>
        <v/>
      </c>
      <c r="I15" s="91">
        <f>IF(I14&lt;0.005,0,MAX(0,I14*(1+I$6/12)-I$7))</f>
        <v/>
      </c>
      <c r="J15" s="91">
        <f>IF(J14&lt;0.005,0,MAX(0,J14*(1+J$6/12)-J$7))</f>
        <v/>
      </c>
      <c r="K15" s="91">
        <f>IF(K14&lt;0.005,0,MAX(0,K14*(1+K$6/12)-K$7))</f>
        <v/>
      </c>
      <c r="L15" s="91">
        <f>IF(L14&lt;0.005,0,MAX(0,L14*(1+L$6/12)-L$7))</f>
        <v/>
      </c>
      <c r="M15" s="91">
        <f>SUMPRODUCT(C14:L14,$C$6:$L$6)/12</f>
        <v/>
      </c>
      <c r="N15" s="88">
        <f>SUM(C15:L15)</f>
        <v/>
      </c>
      <c r="P15" s="92">
        <f>IF(Z14&lt;0.005,0,MAX(0,Z14*(1+Z$6/12)-Z$7))</f>
        <v/>
      </c>
      <c r="Q15" s="92">
        <f>IF(AA14&lt;0.005,0,MAX(0,AA14*(1+AA$6/12)-AA$7))</f>
        <v/>
      </c>
      <c r="R15" s="92">
        <f>IF(AB14&lt;0.005,0,MAX(0,AB14*(1+AB$6/12)-AB$7))</f>
        <v/>
      </c>
      <c r="S15" s="92">
        <f>IF(AC14&lt;0.005,0,MAX(0,AC14*(1+AC$6/12)-AC$7))</f>
        <v/>
      </c>
      <c r="T15" s="92">
        <f>IF(AD14&lt;0.005,0,MAX(0,AD14*(1+AD$6/12)-AD$7))</f>
        <v/>
      </c>
      <c r="U15" s="92">
        <f>IF(AE14&lt;0.005,0,MAX(0,AE14*(1+AE$6/12)-AE$7))</f>
        <v/>
      </c>
      <c r="V15" s="92">
        <f>IF(AF14&lt;0.005,0,MAX(0,AF14*(1+AF$6/12)-AF$7))</f>
        <v/>
      </c>
      <c r="W15" s="92">
        <f>IF(AG14&lt;0.005,0,MAX(0,AG14*(1+AG$6/12)-AG$7))</f>
        <v/>
      </c>
      <c r="X15" s="92">
        <f>IF(AH14&lt;0.005,0,MAX(0,AH14*(1+AH$6/12)-AH$7))</f>
        <v/>
      </c>
      <c r="Y15" s="92">
        <f>IF(AI14&lt;0.005,0,MAX(0,AI14*(1+AI$6/12)-AI$7))</f>
        <v/>
      </c>
      <c r="Z15" s="91">
        <f>MAX(0,P15-MAX(0,AK15-0))</f>
        <v/>
      </c>
      <c r="AA15" s="91">
        <f>MAX(0,Q15-MAX(0,AK15-SUM(P15:P15)))</f>
        <v/>
      </c>
      <c r="AB15" s="91">
        <f>MAX(0,R15-MAX(0,AK15-SUM(P15:Q15)))</f>
        <v/>
      </c>
      <c r="AC15" s="91">
        <f>MAX(0,S15-MAX(0,AK15-SUM(P15:R15)))</f>
        <v/>
      </c>
      <c r="AD15" s="91">
        <f>MAX(0,T15-MAX(0,AK15-SUM(P15:S15)))</f>
        <v/>
      </c>
      <c r="AE15" s="91">
        <f>MAX(0,U15-MAX(0,AK15-SUM(P15:T15)))</f>
        <v/>
      </c>
      <c r="AF15" s="91">
        <f>MAX(0,V15-MAX(0,AK15-SUM(P15:U15)))</f>
        <v/>
      </c>
      <c r="AG15" s="91">
        <f>MAX(0,W15-MAX(0,AK15-SUM(P15:V15)))</f>
        <v/>
      </c>
      <c r="AH15" s="91">
        <f>MAX(0,X15-MAX(0,AK15-SUM(P15:W15)))</f>
        <v/>
      </c>
      <c r="AI15" s="91">
        <f>MAX(0,Y15-MAX(0,AK15-SUM(P15:X15)))</f>
        <v/>
      </c>
      <c r="AJ15" s="92">
        <f>SUM(Z14:AI14)+AL15</f>
        <v/>
      </c>
      <c r="AK15" s="92">
        <f>$AK$7-(AJ15-SUM(P15:Y15))</f>
        <v/>
      </c>
      <c r="AL15" s="91">
        <f>SUMPRODUCT(Z14:AI14,$Z$6:$AI$6)/12</f>
        <v/>
      </c>
      <c r="AM15" s="88">
        <f>SUM(Z15:AI15)</f>
        <v/>
      </c>
      <c r="AO15" s="92">
        <f>IF(AY14&lt;0.005,0,MAX(0,AY14*(1+AY$6/12)-AY$7))</f>
        <v/>
      </c>
      <c r="AP15" s="92">
        <f>IF(AZ14&lt;0.005,0,MAX(0,AZ14*(1+AZ$6/12)-AZ$7))</f>
        <v/>
      </c>
      <c r="AQ15" s="92">
        <f>IF(BA14&lt;0.005,0,MAX(0,BA14*(1+BA$6/12)-BA$7))</f>
        <v/>
      </c>
      <c r="AR15" s="92">
        <f>IF(BB14&lt;0.005,0,MAX(0,BB14*(1+BB$6/12)-BB$7))</f>
        <v/>
      </c>
      <c r="AS15" s="92">
        <f>IF(BC14&lt;0.005,0,MAX(0,BC14*(1+BC$6/12)-BC$7))</f>
        <v/>
      </c>
      <c r="AT15" s="92">
        <f>IF(BD14&lt;0.005,0,MAX(0,BD14*(1+BD$6/12)-BD$7))</f>
        <v/>
      </c>
      <c r="AU15" s="92">
        <f>IF(BE14&lt;0.005,0,MAX(0,BE14*(1+BE$6/12)-BE$7))</f>
        <v/>
      </c>
      <c r="AV15" s="92">
        <f>IF(BF14&lt;0.005,0,MAX(0,BF14*(1+BF$6/12)-BF$7))</f>
        <v/>
      </c>
      <c r="AW15" s="92">
        <f>IF(BG14&lt;0.005,0,MAX(0,BG14*(1+BG$6/12)-BG$7))</f>
        <v/>
      </c>
      <c r="AX15" s="92">
        <f>IF(BH14&lt;0.005,0,MAX(0,BH14*(1+BH$6/12)-BH$7))</f>
        <v/>
      </c>
      <c r="AY15" s="91">
        <f>MAX(0,AO15-MAX(0,BJ15-0))</f>
        <v/>
      </c>
      <c r="AZ15" s="91">
        <f>MAX(0,AP15-MAX(0,BJ15-SUM(AO15:AO15)))</f>
        <v/>
      </c>
      <c r="BA15" s="91">
        <f>MAX(0,AQ15-MAX(0,BJ15-SUM(AO15:AP15)))</f>
        <v/>
      </c>
      <c r="BB15" s="91">
        <f>MAX(0,AR15-MAX(0,BJ15-SUM(AO15:AQ15)))</f>
        <v/>
      </c>
      <c r="BC15" s="91">
        <f>MAX(0,AS15-MAX(0,BJ15-SUM(AO15:AR15)))</f>
        <v/>
      </c>
      <c r="BD15" s="91">
        <f>MAX(0,AT15-MAX(0,BJ15-SUM(AO15:AS15)))</f>
        <v/>
      </c>
      <c r="BE15" s="91">
        <f>MAX(0,AU15-MAX(0,BJ15-SUM(AO15:AT15)))</f>
        <v/>
      </c>
      <c r="BF15" s="91">
        <f>MAX(0,AV15-MAX(0,BJ15-SUM(AO15:AU15)))</f>
        <v/>
      </c>
      <c r="BG15" s="91">
        <f>MAX(0,AW15-MAX(0,BJ15-SUM(AO15:AV15)))</f>
        <v/>
      </c>
      <c r="BH15" s="91">
        <f>MAX(0,AX15-MAX(0,BJ15-SUM(AO15:AW15)))</f>
        <v/>
      </c>
      <c r="BI15" s="92">
        <f>SUM(AY14:BH14)+BK15</f>
        <v/>
      </c>
      <c r="BJ15" s="92">
        <f>$BJ$7-(BI15-SUM(AO15:AX15))</f>
        <v/>
      </c>
      <c r="BK15" s="91">
        <f>SUMPRODUCT(AY14:BH14,$AY$6:$BH$6)/12</f>
        <v/>
      </c>
      <c r="BL15" s="88">
        <f>SUM(AY15:BH15)</f>
        <v/>
      </c>
    </row>
    <row r="16">
      <c r="A16" s="24" t="n">
        <v>6</v>
      </c>
      <c r="B16" s="90">
        <f>DATE(YEAR(Settings!$C$11),MONTH(Settings!$C$11)+A16,1)</f>
        <v/>
      </c>
      <c r="C16" s="91">
        <f>IF(C15&lt;0.005,0,MAX(0,C15*(1+C$6/12)-C$7))</f>
        <v/>
      </c>
      <c r="D16" s="91">
        <f>IF(D15&lt;0.005,0,MAX(0,D15*(1+D$6/12)-D$7))</f>
        <v/>
      </c>
      <c r="E16" s="91">
        <f>IF(E15&lt;0.005,0,MAX(0,E15*(1+E$6/12)-E$7))</f>
        <v/>
      </c>
      <c r="F16" s="91">
        <f>IF(F15&lt;0.005,0,MAX(0,F15*(1+F$6/12)-F$7))</f>
        <v/>
      </c>
      <c r="G16" s="91">
        <f>IF(G15&lt;0.005,0,MAX(0,G15*(1+G$6/12)-G$7))</f>
        <v/>
      </c>
      <c r="H16" s="91">
        <f>IF(H15&lt;0.005,0,MAX(0,H15*(1+H$6/12)-H$7))</f>
        <v/>
      </c>
      <c r="I16" s="91">
        <f>IF(I15&lt;0.005,0,MAX(0,I15*(1+I$6/12)-I$7))</f>
        <v/>
      </c>
      <c r="J16" s="91">
        <f>IF(J15&lt;0.005,0,MAX(0,J15*(1+J$6/12)-J$7))</f>
        <v/>
      </c>
      <c r="K16" s="91">
        <f>IF(K15&lt;0.005,0,MAX(0,K15*(1+K$6/12)-K$7))</f>
        <v/>
      </c>
      <c r="L16" s="91">
        <f>IF(L15&lt;0.005,0,MAX(0,L15*(1+L$6/12)-L$7))</f>
        <v/>
      </c>
      <c r="M16" s="91">
        <f>SUMPRODUCT(C15:L15,$C$6:$L$6)/12</f>
        <v/>
      </c>
      <c r="N16" s="88">
        <f>SUM(C16:L16)</f>
        <v/>
      </c>
      <c r="P16" s="92">
        <f>IF(Z15&lt;0.005,0,MAX(0,Z15*(1+Z$6/12)-Z$7))</f>
        <v/>
      </c>
      <c r="Q16" s="92">
        <f>IF(AA15&lt;0.005,0,MAX(0,AA15*(1+AA$6/12)-AA$7))</f>
        <v/>
      </c>
      <c r="R16" s="92">
        <f>IF(AB15&lt;0.005,0,MAX(0,AB15*(1+AB$6/12)-AB$7))</f>
        <v/>
      </c>
      <c r="S16" s="92">
        <f>IF(AC15&lt;0.005,0,MAX(0,AC15*(1+AC$6/12)-AC$7))</f>
        <v/>
      </c>
      <c r="T16" s="92">
        <f>IF(AD15&lt;0.005,0,MAX(0,AD15*(1+AD$6/12)-AD$7))</f>
        <v/>
      </c>
      <c r="U16" s="92">
        <f>IF(AE15&lt;0.005,0,MAX(0,AE15*(1+AE$6/12)-AE$7))</f>
        <v/>
      </c>
      <c r="V16" s="92">
        <f>IF(AF15&lt;0.005,0,MAX(0,AF15*(1+AF$6/12)-AF$7))</f>
        <v/>
      </c>
      <c r="W16" s="92">
        <f>IF(AG15&lt;0.005,0,MAX(0,AG15*(1+AG$6/12)-AG$7))</f>
        <v/>
      </c>
      <c r="X16" s="92">
        <f>IF(AH15&lt;0.005,0,MAX(0,AH15*(1+AH$6/12)-AH$7))</f>
        <v/>
      </c>
      <c r="Y16" s="92">
        <f>IF(AI15&lt;0.005,0,MAX(0,AI15*(1+AI$6/12)-AI$7))</f>
        <v/>
      </c>
      <c r="Z16" s="91">
        <f>MAX(0,P16-MAX(0,AK16-0))</f>
        <v/>
      </c>
      <c r="AA16" s="91">
        <f>MAX(0,Q16-MAX(0,AK16-SUM(P16:P16)))</f>
        <v/>
      </c>
      <c r="AB16" s="91">
        <f>MAX(0,R16-MAX(0,AK16-SUM(P16:Q16)))</f>
        <v/>
      </c>
      <c r="AC16" s="91">
        <f>MAX(0,S16-MAX(0,AK16-SUM(P16:R16)))</f>
        <v/>
      </c>
      <c r="AD16" s="91">
        <f>MAX(0,T16-MAX(0,AK16-SUM(P16:S16)))</f>
        <v/>
      </c>
      <c r="AE16" s="91">
        <f>MAX(0,U16-MAX(0,AK16-SUM(P16:T16)))</f>
        <v/>
      </c>
      <c r="AF16" s="91">
        <f>MAX(0,V16-MAX(0,AK16-SUM(P16:U16)))</f>
        <v/>
      </c>
      <c r="AG16" s="91">
        <f>MAX(0,W16-MAX(0,AK16-SUM(P16:V16)))</f>
        <v/>
      </c>
      <c r="AH16" s="91">
        <f>MAX(0,X16-MAX(0,AK16-SUM(P16:W16)))</f>
        <v/>
      </c>
      <c r="AI16" s="91">
        <f>MAX(0,Y16-MAX(0,AK16-SUM(P16:X16)))</f>
        <v/>
      </c>
      <c r="AJ16" s="92">
        <f>SUM(Z15:AI15)+AL16</f>
        <v/>
      </c>
      <c r="AK16" s="92">
        <f>$AK$7-(AJ16-SUM(P16:Y16))</f>
        <v/>
      </c>
      <c r="AL16" s="91">
        <f>SUMPRODUCT(Z15:AI15,$Z$6:$AI$6)/12</f>
        <v/>
      </c>
      <c r="AM16" s="88">
        <f>SUM(Z16:AI16)</f>
        <v/>
      </c>
      <c r="AO16" s="92">
        <f>IF(AY15&lt;0.005,0,MAX(0,AY15*(1+AY$6/12)-AY$7))</f>
        <v/>
      </c>
      <c r="AP16" s="92">
        <f>IF(AZ15&lt;0.005,0,MAX(0,AZ15*(1+AZ$6/12)-AZ$7))</f>
        <v/>
      </c>
      <c r="AQ16" s="92">
        <f>IF(BA15&lt;0.005,0,MAX(0,BA15*(1+BA$6/12)-BA$7))</f>
        <v/>
      </c>
      <c r="AR16" s="92">
        <f>IF(BB15&lt;0.005,0,MAX(0,BB15*(1+BB$6/12)-BB$7))</f>
        <v/>
      </c>
      <c r="AS16" s="92">
        <f>IF(BC15&lt;0.005,0,MAX(0,BC15*(1+BC$6/12)-BC$7))</f>
        <v/>
      </c>
      <c r="AT16" s="92">
        <f>IF(BD15&lt;0.005,0,MAX(0,BD15*(1+BD$6/12)-BD$7))</f>
        <v/>
      </c>
      <c r="AU16" s="92">
        <f>IF(BE15&lt;0.005,0,MAX(0,BE15*(1+BE$6/12)-BE$7))</f>
        <v/>
      </c>
      <c r="AV16" s="92">
        <f>IF(BF15&lt;0.005,0,MAX(0,BF15*(1+BF$6/12)-BF$7))</f>
        <v/>
      </c>
      <c r="AW16" s="92">
        <f>IF(BG15&lt;0.005,0,MAX(0,BG15*(1+BG$6/12)-BG$7))</f>
        <v/>
      </c>
      <c r="AX16" s="92">
        <f>IF(BH15&lt;0.005,0,MAX(0,BH15*(1+BH$6/12)-BH$7))</f>
        <v/>
      </c>
      <c r="AY16" s="91">
        <f>MAX(0,AO16-MAX(0,BJ16-0))</f>
        <v/>
      </c>
      <c r="AZ16" s="91">
        <f>MAX(0,AP16-MAX(0,BJ16-SUM(AO16:AO16)))</f>
        <v/>
      </c>
      <c r="BA16" s="91">
        <f>MAX(0,AQ16-MAX(0,BJ16-SUM(AO16:AP16)))</f>
        <v/>
      </c>
      <c r="BB16" s="91">
        <f>MAX(0,AR16-MAX(0,BJ16-SUM(AO16:AQ16)))</f>
        <v/>
      </c>
      <c r="BC16" s="91">
        <f>MAX(0,AS16-MAX(0,BJ16-SUM(AO16:AR16)))</f>
        <v/>
      </c>
      <c r="BD16" s="91">
        <f>MAX(0,AT16-MAX(0,BJ16-SUM(AO16:AS16)))</f>
        <v/>
      </c>
      <c r="BE16" s="91">
        <f>MAX(0,AU16-MAX(0,BJ16-SUM(AO16:AT16)))</f>
        <v/>
      </c>
      <c r="BF16" s="91">
        <f>MAX(0,AV16-MAX(0,BJ16-SUM(AO16:AU16)))</f>
        <v/>
      </c>
      <c r="BG16" s="91">
        <f>MAX(0,AW16-MAX(0,BJ16-SUM(AO16:AV16)))</f>
        <v/>
      </c>
      <c r="BH16" s="91">
        <f>MAX(0,AX16-MAX(0,BJ16-SUM(AO16:AW16)))</f>
        <v/>
      </c>
      <c r="BI16" s="92">
        <f>SUM(AY15:BH15)+BK16</f>
        <v/>
      </c>
      <c r="BJ16" s="92">
        <f>$BJ$7-(BI16-SUM(AO16:AX16))</f>
        <v/>
      </c>
      <c r="BK16" s="91">
        <f>SUMPRODUCT(AY15:BH15,$AY$6:$BH$6)/12</f>
        <v/>
      </c>
      <c r="BL16" s="88">
        <f>SUM(AY16:BH16)</f>
        <v/>
      </c>
    </row>
    <row r="17">
      <c r="A17" s="24" t="n">
        <v>7</v>
      </c>
      <c r="B17" s="90">
        <f>DATE(YEAR(Settings!$C$11),MONTH(Settings!$C$11)+A17,1)</f>
        <v/>
      </c>
      <c r="C17" s="91">
        <f>IF(C16&lt;0.005,0,MAX(0,C16*(1+C$6/12)-C$7))</f>
        <v/>
      </c>
      <c r="D17" s="91">
        <f>IF(D16&lt;0.005,0,MAX(0,D16*(1+D$6/12)-D$7))</f>
        <v/>
      </c>
      <c r="E17" s="91">
        <f>IF(E16&lt;0.005,0,MAX(0,E16*(1+E$6/12)-E$7))</f>
        <v/>
      </c>
      <c r="F17" s="91">
        <f>IF(F16&lt;0.005,0,MAX(0,F16*(1+F$6/12)-F$7))</f>
        <v/>
      </c>
      <c r="G17" s="91">
        <f>IF(G16&lt;0.005,0,MAX(0,G16*(1+G$6/12)-G$7))</f>
        <v/>
      </c>
      <c r="H17" s="91">
        <f>IF(H16&lt;0.005,0,MAX(0,H16*(1+H$6/12)-H$7))</f>
        <v/>
      </c>
      <c r="I17" s="91">
        <f>IF(I16&lt;0.005,0,MAX(0,I16*(1+I$6/12)-I$7))</f>
        <v/>
      </c>
      <c r="J17" s="91">
        <f>IF(J16&lt;0.005,0,MAX(0,J16*(1+J$6/12)-J$7))</f>
        <v/>
      </c>
      <c r="K17" s="91">
        <f>IF(K16&lt;0.005,0,MAX(0,K16*(1+K$6/12)-K$7))</f>
        <v/>
      </c>
      <c r="L17" s="91">
        <f>IF(L16&lt;0.005,0,MAX(0,L16*(1+L$6/12)-L$7))</f>
        <v/>
      </c>
      <c r="M17" s="91">
        <f>SUMPRODUCT(C16:L16,$C$6:$L$6)/12</f>
        <v/>
      </c>
      <c r="N17" s="88">
        <f>SUM(C17:L17)</f>
        <v/>
      </c>
      <c r="P17" s="92">
        <f>IF(Z16&lt;0.005,0,MAX(0,Z16*(1+Z$6/12)-Z$7))</f>
        <v/>
      </c>
      <c r="Q17" s="92">
        <f>IF(AA16&lt;0.005,0,MAX(0,AA16*(1+AA$6/12)-AA$7))</f>
        <v/>
      </c>
      <c r="R17" s="92">
        <f>IF(AB16&lt;0.005,0,MAX(0,AB16*(1+AB$6/12)-AB$7))</f>
        <v/>
      </c>
      <c r="S17" s="92">
        <f>IF(AC16&lt;0.005,0,MAX(0,AC16*(1+AC$6/12)-AC$7))</f>
        <v/>
      </c>
      <c r="T17" s="92">
        <f>IF(AD16&lt;0.005,0,MAX(0,AD16*(1+AD$6/12)-AD$7))</f>
        <v/>
      </c>
      <c r="U17" s="92">
        <f>IF(AE16&lt;0.005,0,MAX(0,AE16*(1+AE$6/12)-AE$7))</f>
        <v/>
      </c>
      <c r="V17" s="92">
        <f>IF(AF16&lt;0.005,0,MAX(0,AF16*(1+AF$6/12)-AF$7))</f>
        <v/>
      </c>
      <c r="W17" s="92">
        <f>IF(AG16&lt;0.005,0,MAX(0,AG16*(1+AG$6/12)-AG$7))</f>
        <v/>
      </c>
      <c r="X17" s="92">
        <f>IF(AH16&lt;0.005,0,MAX(0,AH16*(1+AH$6/12)-AH$7))</f>
        <v/>
      </c>
      <c r="Y17" s="92">
        <f>IF(AI16&lt;0.005,0,MAX(0,AI16*(1+AI$6/12)-AI$7))</f>
        <v/>
      </c>
      <c r="Z17" s="91">
        <f>MAX(0,P17-MAX(0,AK17-0))</f>
        <v/>
      </c>
      <c r="AA17" s="91">
        <f>MAX(0,Q17-MAX(0,AK17-SUM(P17:P17)))</f>
        <v/>
      </c>
      <c r="AB17" s="91">
        <f>MAX(0,R17-MAX(0,AK17-SUM(P17:Q17)))</f>
        <v/>
      </c>
      <c r="AC17" s="91">
        <f>MAX(0,S17-MAX(0,AK17-SUM(P17:R17)))</f>
        <v/>
      </c>
      <c r="AD17" s="91">
        <f>MAX(0,T17-MAX(0,AK17-SUM(P17:S17)))</f>
        <v/>
      </c>
      <c r="AE17" s="91">
        <f>MAX(0,U17-MAX(0,AK17-SUM(P17:T17)))</f>
        <v/>
      </c>
      <c r="AF17" s="91">
        <f>MAX(0,V17-MAX(0,AK17-SUM(P17:U17)))</f>
        <v/>
      </c>
      <c r="AG17" s="91">
        <f>MAX(0,W17-MAX(0,AK17-SUM(P17:V17)))</f>
        <v/>
      </c>
      <c r="AH17" s="91">
        <f>MAX(0,X17-MAX(0,AK17-SUM(P17:W17)))</f>
        <v/>
      </c>
      <c r="AI17" s="91">
        <f>MAX(0,Y17-MAX(0,AK17-SUM(P17:X17)))</f>
        <v/>
      </c>
      <c r="AJ17" s="92">
        <f>SUM(Z16:AI16)+AL17</f>
        <v/>
      </c>
      <c r="AK17" s="92">
        <f>$AK$7-(AJ17-SUM(P17:Y17))</f>
        <v/>
      </c>
      <c r="AL17" s="91">
        <f>SUMPRODUCT(Z16:AI16,$Z$6:$AI$6)/12</f>
        <v/>
      </c>
      <c r="AM17" s="88">
        <f>SUM(Z17:AI17)</f>
        <v/>
      </c>
      <c r="AO17" s="92">
        <f>IF(AY16&lt;0.005,0,MAX(0,AY16*(1+AY$6/12)-AY$7))</f>
        <v/>
      </c>
      <c r="AP17" s="92">
        <f>IF(AZ16&lt;0.005,0,MAX(0,AZ16*(1+AZ$6/12)-AZ$7))</f>
        <v/>
      </c>
      <c r="AQ17" s="92">
        <f>IF(BA16&lt;0.005,0,MAX(0,BA16*(1+BA$6/12)-BA$7))</f>
        <v/>
      </c>
      <c r="AR17" s="92">
        <f>IF(BB16&lt;0.005,0,MAX(0,BB16*(1+BB$6/12)-BB$7))</f>
        <v/>
      </c>
      <c r="AS17" s="92">
        <f>IF(BC16&lt;0.005,0,MAX(0,BC16*(1+BC$6/12)-BC$7))</f>
        <v/>
      </c>
      <c r="AT17" s="92">
        <f>IF(BD16&lt;0.005,0,MAX(0,BD16*(1+BD$6/12)-BD$7))</f>
        <v/>
      </c>
      <c r="AU17" s="92">
        <f>IF(BE16&lt;0.005,0,MAX(0,BE16*(1+BE$6/12)-BE$7))</f>
        <v/>
      </c>
      <c r="AV17" s="92">
        <f>IF(BF16&lt;0.005,0,MAX(0,BF16*(1+BF$6/12)-BF$7))</f>
        <v/>
      </c>
      <c r="AW17" s="92">
        <f>IF(BG16&lt;0.005,0,MAX(0,BG16*(1+BG$6/12)-BG$7))</f>
        <v/>
      </c>
      <c r="AX17" s="92">
        <f>IF(BH16&lt;0.005,0,MAX(0,BH16*(1+BH$6/12)-BH$7))</f>
        <v/>
      </c>
      <c r="AY17" s="91">
        <f>MAX(0,AO17-MAX(0,BJ17-0))</f>
        <v/>
      </c>
      <c r="AZ17" s="91">
        <f>MAX(0,AP17-MAX(0,BJ17-SUM(AO17:AO17)))</f>
        <v/>
      </c>
      <c r="BA17" s="91">
        <f>MAX(0,AQ17-MAX(0,BJ17-SUM(AO17:AP17)))</f>
        <v/>
      </c>
      <c r="BB17" s="91">
        <f>MAX(0,AR17-MAX(0,BJ17-SUM(AO17:AQ17)))</f>
        <v/>
      </c>
      <c r="BC17" s="91">
        <f>MAX(0,AS17-MAX(0,BJ17-SUM(AO17:AR17)))</f>
        <v/>
      </c>
      <c r="BD17" s="91">
        <f>MAX(0,AT17-MAX(0,BJ17-SUM(AO17:AS17)))</f>
        <v/>
      </c>
      <c r="BE17" s="91">
        <f>MAX(0,AU17-MAX(0,BJ17-SUM(AO17:AT17)))</f>
        <v/>
      </c>
      <c r="BF17" s="91">
        <f>MAX(0,AV17-MAX(0,BJ17-SUM(AO17:AU17)))</f>
        <v/>
      </c>
      <c r="BG17" s="91">
        <f>MAX(0,AW17-MAX(0,BJ17-SUM(AO17:AV17)))</f>
        <v/>
      </c>
      <c r="BH17" s="91">
        <f>MAX(0,AX17-MAX(0,BJ17-SUM(AO17:AW17)))</f>
        <v/>
      </c>
      <c r="BI17" s="92">
        <f>SUM(AY16:BH16)+BK17</f>
        <v/>
      </c>
      <c r="BJ17" s="92">
        <f>$BJ$7-(BI17-SUM(AO17:AX17))</f>
        <v/>
      </c>
      <c r="BK17" s="91">
        <f>SUMPRODUCT(AY16:BH16,$AY$6:$BH$6)/12</f>
        <v/>
      </c>
      <c r="BL17" s="88">
        <f>SUM(AY17:BH17)</f>
        <v/>
      </c>
    </row>
    <row r="18">
      <c r="A18" s="24" t="n">
        <v>8</v>
      </c>
      <c r="B18" s="90">
        <f>DATE(YEAR(Settings!$C$11),MONTH(Settings!$C$11)+A18,1)</f>
        <v/>
      </c>
      <c r="C18" s="91">
        <f>IF(C17&lt;0.005,0,MAX(0,C17*(1+C$6/12)-C$7))</f>
        <v/>
      </c>
      <c r="D18" s="91">
        <f>IF(D17&lt;0.005,0,MAX(0,D17*(1+D$6/12)-D$7))</f>
        <v/>
      </c>
      <c r="E18" s="91">
        <f>IF(E17&lt;0.005,0,MAX(0,E17*(1+E$6/12)-E$7))</f>
        <v/>
      </c>
      <c r="F18" s="91">
        <f>IF(F17&lt;0.005,0,MAX(0,F17*(1+F$6/12)-F$7))</f>
        <v/>
      </c>
      <c r="G18" s="91">
        <f>IF(G17&lt;0.005,0,MAX(0,G17*(1+G$6/12)-G$7))</f>
        <v/>
      </c>
      <c r="H18" s="91">
        <f>IF(H17&lt;0.005,0,MAX(0,H17*(1+H$6/12)-H$7))</f>
        <v/>
      </c>
      <c r="I18" s="91">
        <f>IF(I17&lt;0.005,0,MAX(0,I17*(1+I$6/12)-I$7))</f>
        <v/>
      </c>
      <c r="J18" s="91">
        <f>IF(J17&lt;0.005,0,MAX(0,J17*(1+J$6/12)-J$7))</f>
        <v/>
      </c>
      <c r="K18" s="91">
        <f>IF(K17&lt;0.005,0,MAX(0,K17*(1+K$6/12)-K$7))</f>
        <v/>
      </c>
      <c r="L18" s="91">
        <f>IF(L17&lt;0.005,0,MAX(0,L17*(1+L$6/12)-L$7))</f>
        <v/>
      </c>
      <c r="M18" s="91">
        <f>SUMPRODUCT(C17:L17,$C$6:$L$6)/12</f>
        <v/>
      </c>
      <c r="N18" s="88">
        <f>SUM(C18:L18)</f>
        <v/>
      </c>
      <c r="P18" s="92">
        <f>IF(Z17&lt;0.005,0,MAX(0,Z17*(1+Z$6/12)-Z$7))</f>
        <v/>
      </c>
      <c r="Q18" s="92">
        <f>IF(AA17&lt;0.005,0,MAX(0,AA17*(1+AA$6/12)-AA$7))</f>
        <v/>
      </c>
      <c r="R18" s="92">
        <f>IF(AB17&lt;0.005,0,MAX(0,AB17*(1+AB$6/12)-AB$7))</f>
        <v/>
      </c>
      <c r="S18" s="92">
        <f>IF(AC17&lt;0.005,0,MAX(0,AC17*(1+AC$6/12)-AC$7))</f>
        <v/>
      </c>
      <c r="T18" s="92">
        <f>IF(AD17&lt;0.005,0,MAX(0,AD17*(1+AD$6/12)-AD$7))</f>
        <v/>
      </c>
      <c r="U18" s="92">
        <f>IF(AE17&lt;0.005,0,MAX(0,AE17*(1+AE$6/12)-AE$7))</f>
        <v/>
      </c>
      <c r="V18" s="92">
        <f>IF(AF17&lt;0.005,0,MAX(0,AF17*(1+AF$6/12)-AF$7))</f>
        <v/>
      </c>
      <c r="W18" s="92">
        <f>IF(AG17&lt;0.005,0,MAX(0,AG17*(1+AG$6/12)-AG$7))</f>
        <v/>
      </c>
      <c r="X18" s="92">
        <f>IF(AH17&lt;0.005,0,MAX(0,AH17*(1+AH$6/12)-AH$7))</f>
        <v/>
      </c>
      <c r="Y18" s="92">
        <f>IF(AI17&lt;0.005,0,MAX(0,AI17*(1+AI$6/12)-AI$7))</f>
        <v/>
      </c>
      <c r="Z18" s="91">
        <f>MAX(0,P18-MAX(0,AK18-0))</f>
        <v/>
      </c>
      <c r="AA18" s="91">
        <f>MAX(0,Q18-MAX(0,AK18-SUM(P18:P18)))</f>
        <v/>
      </c>
      <c r="AB18" s="91">
        <f>MAX(0,R18-MAX(0,AK18-SUM(P18:Q18)))</f>
        <v/>
      </c>
      <c r="AC18" s="91">
        <f>MAX(0,S18-MAX(0,AK18-SUM(P18:R18)))</f>
        <v/>
      </c>
      <c r="AD18" s="91">
        <f>MAX(0,T18-MAX(0,AK18-SUM(P18:S18)))</f>
        <v/>
      </c>
      <c r="AE18" s="91">
        <f>MAX(0,U18-MAX(0,AK18-SUM(P18:T18)))</f>
        <v/>
      </c>
      <c r="AF18" s="91">
        <f>MAX(0,V18-MAX(0,AK18-SUM(P18:U18)))</f>
        <v/>
      </c>
      <c r="AG18" s="91">
        <f>MAX(0,W18-MAX(0,AK18-SUM(P18:V18)))</f>
        <v/>
      </c>
      <c r="AH18" s="91">
        <f>MAX(0,X18-MAX(0,AK18-SUM(P18:W18)))</f>
        <v/>
      </c>
      <c r="AI18" s="91">
        <f>MAX(0,Y18-MAX(0,AK18-SUM(P18:X18)))</f>
        <v/>
      </c>
      <c r="AJ18" s="92">
        <f>SUM(Z17:AI17)+AL18</f>
        <v/>
      </c>
      <c r="AK18" s="92">
        <f>$AK$7-(AJ18-SUM(P18:Y18))</f>
        <v/>
      </c>
      <c r="AL18" s="91">
        <f>SUMPRODUCT(Z17:AI17,$Z$6:$AI$6)/12</f>
        <v/>
      </c>
      <c r="AM18" s="88">
        <f>SUM(Z18:AI18)</f>
        <v/>
      </c>
      <c r="AO18" s="92">
        <f>IF(AY17&lt;0.005,0,MAX(0,AY17*(1+AY$6/12)-AY$7))</f>
        <v/>
      </c>
      <c r="AP18" s="92">
        <f>IF(AZ17&lt;0.005,0,MAX(0,AZ17*(1+AZ$6/12)-AZ$7))</f>
        <v/>
      </c>
      <c r="AQ18" s="92">
        <f>IF(BA17&lt;0.005,0,MAX(0,BA17*(1+BA$6/12)-BA$7))</f>
        <v/>
      </c>
      <c r="AR18" s="92">
        <f>IF(BB17&lt;0.005,0,MAX(0,BB17*(1+BB$6/12)-BB$7))</f>
        <v/>
      </c>
      <c r="AS18" s="92">
        <f>IF(BC17&lt;0.005,0,MAX(0,BC17*(1+BC$6/12)-BC$7))</f>
        <v/>
      </c>
      <c r="AT18" s="92">
        <f>IF(BD17&lt;0.005,0,MAX(0,BD17*(1+BD$6/12)-BD$7))</f>
        <v/>
      </c>
      <c r="AU18" s="92">
        <f>IF(BE17&lt;0.005,0,MAX(0,BE17*(1+BE$6/12)-BE$7))</f>
        <v/>
      </c>
      <c r="AV18" s="92">
        <f>IF(BF17&lt;0.005,0,MAX(0,BF17*(1+BF$6/12)-BF$7))</f>
        <v/>
      </c>
      <c r="AW18" s="92">
        <f>IF(BG17&lt;0.005,0,MAX(0,BG17*(1+BG$6/12)-BG$7))</f>
        <v/>
      </c>
      <c r="AX18" s="92">
        <f>IF(BH17&lt;0.005,0,MAX(0,BH17*(1+BH$6/12)-BH$7))</f>
        <v/>
      </c>
      <c r="AY18" s="91">
        <f>MAX(0,AO18-MAX(0,BJ18-0))</f>
        <v/>
      </c>
      <c r="AZ18" s="91">
        <f>MAX(0,AP18-MAX(0,BJ18-SUM(AO18:AO18)))</f>
        <v/>
      </c>
      <c r="BA18" s="91">
        <f>MAX(0,AQ18-MAX(0,BJ18-SUM(AO18:AP18)))</f>
        <v/>
      </c>
      <c r="BB18" s="91">
        <f>MAX(0,AR18-MAX(0,BJ18-SUM(AO18:AQ18)))</f>
        <v/>
      </c>
      <c r="BC18" s="91">
        <f>MAX(0,AS18-MAX(0,BJ18-SUM(AO18:AR18)))</f>
        <v/>
      </c>
      <c r="BD18" s="91">
        <f>MAX(0,AT18-MAX(0,BJ18-SUM(AO18:AS18)))</f>
        <v/>
      </c>
      <c r="BE18" s="91">
        <f>MAX(0,AU18-MAX(0,BJ18-SUM(AO18:AT18)))</f>
        <v/>
      </c>
      <c r="BF18" s="91">
        <f>MAX(0,AV18-MAX(0,BJ18-SUM(AO18:AU18)))</f>
        <v/>
      </c>
      <c r="BG18" s="91">
        <f>MAX(0,AW18-MAX(0,BJ18-SUM(AO18:AV18)))</f>
        <v/>
      </c>
      <c r="BH18" s="91">
        <f>MAX(0,AX18-MAX(0,BJ18-SUM(AO18:AW18)))</f>
        <v/>
      </c>
      <c r="BI18" s="92">
        <f>SUM(AY17:BH17)+BK18</f>
        <v/>
      </c>
      <c r="BJ18" s="92">
        <f>$BJ$7-(BI18-SUM(AO18:AX18))</f>
        <v/>
      </c>
      <c r="BK18" s="91">
        <f>SUMPRODUCT(AY17:BH17,$AY$6:$BH$6)/12</f>
        <v/>
      </c>
      <c r="BL18" s="88">
        <f>SUM(AY18:BH18)</f>
        <v/>
      </c>
    </row>
    <row r="19">
      <c r="A19" s="24" t="n">
        <v>9</v>
      </c>
      <c r="B19" s="90">
        <f>DATE(YEAR(Settings!$C$11),MONTH(Settings!$C$11)+A19,1)</f>
        <v/>
      </c>
      <c r="C19" s="91">
        <f>IF(C18&lt;0.005,0,MAX(0,C18*(1+C$6/12)-C$7))</f>
        <v/>
      </c>
      <c r="D19" s="91">
        <f>IF(D18&lt;0.005,0,MAX(0,D18*(1+D$6/12)-D$7))</f>
        <v/>
      </c>
      <c r="E19" s="91">
        <f>IF(E18&lt;0.005,0,MAX(0,E18*(1+E$6/12)-E$7))</f>
        <v/>
      </c>
      <c r="F19" s="91">
        <f>IF(F18&lt;0.005,0,MAX(0,F18*(1+F$6/12)-F$7))</f>
        <v/>
      </c>
      <c r="G19" s="91">
        <f>IF(G18&lt;0.005,0,MAX(0,G18*(1+G$6/12)-G$7))</f>
        <v/>
      </c>
      <c r="H19" s="91">
        <f>IF(H18&lt;0.005,0,MAX(0,H18*(1+H$6/12)-H$7))</f>
        <v/>
      </c>
      <c r="I19" s="91">
        <f>IF(I18&lt;0.005,0,MAX(0,I18*(1+I$6/12)-I$7))</f>
        <v/>
      </c>
      <c r="J19" s="91">
        <f>IF(J18&lt;0.005,0,MAX(0,J18*(1+J$6/12)-J$7))</f>
        <v/>
      </c>
      <c r="K19" s="91">
        <f>IF(K18&lt;0.005,0,MAX(0,K18*(1+K$6/12)-K$7))</f>
        <v/>
      </c>
      <c r="L19" s="91">
        <f>IF(L18&lt;0.005,0,MAX(0,L18*(1+L$6/12)-L$7))</f>
        <v/>
      </c>
      <c r="M19" s="91">
        <f>SUMPRODUCT(C18:L18,$C$6:$L$6)/12</f>
        <v/>
      </c>
      <c r="N19" s="88">
        <f>SUM(C19:L19)</f>
        <v/>
      </c>
      <c r="P19" s="92">
        <f>IF(Z18&lt;0.005,0,MAX(0,Z18*(1+Z$6/12)-Z$7))</f>
        <v/>
      </c>
      <c r="Q19" s="92">
        <f>IF(AA18&lt;0.005,0,MAX(0,AA18*(1+AA$6/12)-AA$7))</f>
        <v/>
      </c>
      <c r="R19" s="92">
        <f>IF(AB18&lt;0.005,0,MAX(0,AB18*(1+AB$6/12)-AB$7))</f>
        <v/>
      </c>
      <c r="S19" s="92">
        <f>IF(AC18&lt;0.005,0,MAX(0,AC18*(1+AC$6/12)-AC$7))</f>
        <v/>
      </c>
      <c r="T19" s="92">
        <f>IF(AD18&lt;0.005,0,MAX(0,AD18*(1+AD$6/12)-AD$7))</f>
        <v/>
      </c>
      <c r="U19" s="92">
        <f>IF(AE18&lt;0.005,0,MAX(0,AE18*(1+AE$6/12)-AE$7))</f>
        <v/>
      </c>
      <c r="V19" s="92">
        <f>IF(AF18&lt;0.005,0,MAX(0,AF18*(1+AF$6/12)-AF$7))</f>
        <v/>
      </c>
      <c r="W19" s="92">
        <f>IF(AG18&lt;0.005,0,MAX(0,AG18*(1+AG$6/12)-AG$7))</f>
        <v/>
      </c>
      <c r="X19" s="92">
        <f>IF(AH18&lt;0.005,0,MAX(0,AH18*(1+AH$6/12)-AH$7))</f>
        <v/>
      </c>
      <c r="Y19" s="92">
        <f>IF(AI18&lt;0.005,0,MAX(0,AI18*(1+AI$6/12)-AI$7))</f>
        <v/>
      </c>
      <c r="Z19" s="91">
        <f>MAX(0,P19-MAX(0,AK19-0))</f>
        <v/>
      </c>
      <c r="AA19" s="91">
        <f>MAX(0,Q19-MAX(0,AK19-SUM(P19:P19)))</f>
        <v/>
      </c>
      <c r="AB19" s="91">
        <f>MAX(0,R19-MAX(0,AK19-SUM(P19:Q19)))</f>
        <v/>
      </c>
      <c r="AC19" s="91">
        <f>MAX(0,S19-MAX(0,AK19-SUM(P19:R19)))</f>
        <v/>
      </c>
      <c r="AD19" s="91">
        <f>MAX(0,T19-MAX(0,AK19-SUM(P19:S19)))</f>
        <v/>
      </c>
      <c r="AE19" s="91">
        <f>MAX(0,U19-MAX(0,AK19-SUM(P19:T19)))</f>
        <v/>
      </c>
      <c r="AF19" s="91">
        <f>MAX(0,V19-MAX(0,AK19-SUM(P19:U19)))</f>
        <v/>
      </c>
      <c r="AG19" s="91">
        <f>MAX(0,W19-MAX(0,AK19-SUM(P19:V19)))</f>
        <v/>
      </c>
      <c r="AH19" s="91">
        <f>MAX(0,X19-MAX(0,AK19-SUM(P19:W19)))</f>
        <v/>
      </c>
      <c r="AI19" s="91">
        <f>MAX(0,Y19-MAX(0,AK19-SUM(P19:X19)))</f>
        <v/>
      </c>
      <c r="AJ19" s="92">
        <f>SUM(Z18:AI18)+AL19</f>
        <v/>
      </c>
      <c r="AK19" s="92">
        <f>$AK$7-(AJ19-SUM(P19:Y19))</f>
        <v/>
      </c>
      <c r="AL19" s="91">
        <f>SUMPRODUCT(Z18:AI18,$Z$6:$AI$6)/12</f>
        <v/>
      </c>
      <c r="AM19" s="88">
        <f>SUM(Z19:AI19)</f>
        <v/>
      </c>
      <c r="AO19" s="92">
        <f>IF(AY18&lt;0.005,0,MAX(0,AY18*(1+AY$6/12)-AY$7))</f>
        <v/>
      </c>
      <c r="AP19" s="92">
        <f>IF(AZ18&lt;0.005,0,MAX(0,AZ18*(1+AZ$6/12)-AZ$7))</f>
        <v/>
      </c>
      <c r="AQ19" s="92">
        <f>IF(BA18&lt;0.005,0,MAX(0,BA18*(1+BA$6/12)-BA$7))</f>
        <v/>
      </c>
      <c r="AR19" s="92">
        <f>IF(BB18&lt;0.005,0,MAX(0,BB18*(1+BB$6/12)-BB$7))</f>
        <v/>
      </c>
      <c r="AS19" s="92">
        <f>IF(BC18&lt;0.005,0,MAX(0,BC18*(1+BC$6/12)-BC$7))</f>
        <v/>
      </c>
      <c r="AT19" s="92">
        <f>IF(BD18&lt;0.005,0,MAX(0,BD18*(1+BD$6/12)-BD$7))</f>
        <v/>
      </c>
      <c r="AU19" s="92">
        <f>IF(BE18&lt;0.005,0,MAX(0,BE18*(1+BE$6/12)-BE$7))</f>
        <v/>
      </c>
      <c r="AV19" s="92">
        <f>IF(BF18&lt;0.005,0,MAX(0,BF18*(1+BF$6/12)-BF$7))</f>
        <v/>
      </c>
      <c r="AW19" s="92">
        <f>IF(BG18&lt;0.005,0,MAX(0,BG18*(1+BG$6/12)-BG$7))</f>
        <v/>
      </c>
      <c r="AX19" s="92">
        <f>IF(BH18&lt;0.005,0,MAX(0,BH18*(1+BH$6/12)-BH$7))</f>
        <v/>
      </c>
      <c r="AY19" s="91">
        <f>MAX(0,AO19-MAX(0,BJ19-0))</f>
        <v/>
      </c>
      <c r="AZ19" s="91">
        <f>MAX(0,AP19-MAX(0,BJ19-SUM(AO19:AO19)))</f>
        <v/>
      </c>
      <c r="BA19" s="91">
        <f>MAX(0,AQ19-MAX(0,BJ19-SUM(AO19:AP19)))</f>
        <v/>
      </c>
      <c r="BB19" s="91">
        <f>MAX(0,AR19-MAX(0,BJ19-SUM(AO19:AQ19)))</f>
        <v/>
      </c>
      <c r="BC19" s="91">
        <f>MAX(0,AS19-MAX(0,BJ19-SUM(AO19:AR19)))</f>
        <v/>
      </c>
      <c r="BD19" s="91">
        <f>MAX(0,AT19-MAX(0,BJ19-SUM(AO19:AS19)))</f>
        <v/>
      </c>
      <c r="BE19" s="91">
        <f>MAX(0,AU19-MAX(0,BJ19-SUM(AO19:AT19)))</f>
        <v/>
      </c>
      <c r="BF19" s="91">
        <f>MAX(0,AV19-MAX(0,BJ19-SUM(AO19:AU19)))</f>
        <v/>
      </c>
      <c r="BG19" s="91">
        <f>MAX(0,AW19-MAX(0,BJ19-SUM(AO19:AV19)))</f>
        <v/>
      </c>
      <c r="BH19" s="91">
        <f>MAX(0,AX19-MAX(0,BJ19-SUM(AO19:AW19)))</f>
        <v/>
      </c>
      <c r="BI19" s="92">
        <f>SUM(AY18:BH18)+BK19</f>
        <v/>
      </c>
      <c r="BJ19" s="92">
        <f>$BJ$7-(BI19-SUM(AO19:AX19))</f>
        <v/>
      </c>
      <c r="BK19" s="91">
        <f>SUMPRODUCT(AY18:BH18,$AY$6:$BH$6)/12</f>
        <v/>
      </c>
      <c r="BL19" s="88">
        <f>SUM(AY19:BH19)</f>
        <v/>
      </c>
    </row>
    <row r="20">
      <c r="A20" s="24" t="n">
        <v>10</v>
      </c>
      <c r="B20" s="90">
        <f>DATE(YEAR(Settings!$C$11),MONTH(Settings!$C$11)+A20,1)</f>
        <v/>
      </c>
      <c r="C20" s="91">
        <f>IF(C19&lt;0.005,0,MAX(0,C19*(1+C$6/12)-C$7))</f>
        <v/>
      </c>
      <c r="D20" s="91">
        <f>IF(D19&lt;0.005,0,MAX(0,D19*(1+D$6/12)-D$7))</f>
        <v/>
      </c>
      <c r="E20" s="91">
        <f>IF(E19&lt;0.005,0,MAX(0,E19*(1+E$6/12)-E$7))</f>
        <v/>
      </c>
      <c r="F20" s="91">
        <f>IF(F19&lt;0.005,0,MAX(0,F19*(1+F$6/12)-F$7))</f>
        <v/>
      </c>
      <c r="G20" s="91">
        <f>IF(G19&lt;0.005,0,MAX(0,G19*(1+G$6/12)-G$7))</f>
        <v/>
      </c>
      <c r="H20" s="91">
        <f>IF(H19&lt;0.005,0,MAX(0,H19*(1+H$6/12)-H$7))</f>
        <v/>
      </c>
      <c r="I20" s="91">
        <f>IF(I19&lt;0.005,0,MAX(0,I19*(1+I$6/12)-I$7))</f>
        <v/>
      </c>
      <c r="J20" s="91">
        <f>IF(J19&lt;0.005,0,MAX(0,J19*(1+J$6/12)-J$7))</f>
        <v/>
      </c>
      <c r="K20" s="91">
        <f>IF(K19&lt;0.005,0,MAX(0,K19*(1+K$6/12)-K$7))</f>
        <v/>
      </c>
      <c r="L20" s="91">
        <f>IF(L19&lt;0.005,0,MAX(0,L19*(1+L$6/12)-L$7))</f>
        <v/>
      </c>
      <c r="M20" s="91">
        <f>SUMPRODUCT(C19:L19,$C$6:$L$6)/12</f>
        <v/>
      </c>
      <c r="N20" s="88">
        <f>SUM(C20:L20)</f>
        <v/>
      </c>
      <c r="P20" s="92">
        <f>IF(Z19&lt;0.005,0,MAX(0,Z19*(1+Z$6/12)-Z$7))</f>
        <v/>
      </c>
      <c r="Q20" s="92">
        <f>IF(AA19&lt;0.005,0,MAX(0,AA19*(1+AA$6/12)-AA$7))</f>
        <v/>
      </c>
      <c r="R20" s="92">
        <f>IF(AB19&lt;0.005,0,MAX(0,AB19*(1+AB$6/12)-AB$7))</f>
        <v/>
      </c>
      <c r="S20" s="92">
        <f>IF(AC19&lt;0.005,0,MAX(0,AC19*(1+AC$6/12)-AC$7))</f>
        <v/>
      </c>
      <c r="T20" s="92">
        <f>IF(AD19&lt;0.005,0,MAX(0,AD19*(1+AD$6/12)-AD$7))</f>
        <v/>
      </c>
      <c r="U20" s="92">
        <f>IF(AE19&lt;0.005,0,MAX(0,AE19*(1+AE$6/12)-AE$7))</f>
        <v/>
      </c>
      <c r="V20" s="92">
        <f>IF(AF19&lt;0.005,0,MAX(0,AF19*(1+AF$6/12)-AF$7))</f>
        <v/>
      </c>
      <c r="W20" s="92">
        <f>IF(AG19&lt;0.005,0,MAX(0,AG19*(1+AG$6/12)-AG$7))</f>
        <v/>
      </c>
      <c r="X20" s="92">
        <f>IF(AH19&lt;0.005,0,MAX(0,AH19*(1+AH$6/12)-AH$7))</f>
        <v/>
      </c>
      <c r="Y20" s="92">
        <f>IF(AI19&lt;0.005,0,MAX(0,AI19*(1+AI$6/12)-AI$7))</f>
        <v/>
      </c>
      <c r="Z20" s="91">
        <f>MAX(0,P20-MAX(0,AK20-0))</f>
        <v/>
      </c>
      <c r="AA20" s="91">
        <f>MAX(0,Q20-MAX(0,AK20-SUM(P20:P20)))</f>
        <v/>
      </c>
      <c r="AB20" s="91">
        <f>MAX(0,R20-MAX(0,AK20-SUM(P20:Q20)))</f>
        <v/>
      </c>
      <c r="AC20" s="91">
        <f>MAX(0,S20-MAX(0,AK20-SUM(P20:R20)))</f>
        <v/>
      </c>
      <c r="AD20" s="91">
        <f>MAX(0,T20-MAX(0,AK20-SUM(P20:S20)))</f>
        <v/>
      </c>
      <c r="AE20" s="91">
        <f>MAX(0,U20-MAX(0,AK20-SUM(P20:T20)))</f>
        <v/>
      </c>
      <c r="AF20" s="91">
        <f>MAX(0,V20-MAX(0,AK20-SUM(P20:U20)))</f>
        <v/>
      </c>
      <c r="AG20" s="91">
        <f>MAX(0,W20-MAX(0,AK20-SUM(P20:V20)))</f>
        <v/>
      </c>
      <c r="AH20" s="91">
        <f>MAX(0,X20-MAX(0,AK20-SUM(P20:W20)))</f>
        <v/>
      </c>
      <c r="AI20" s="91">
        <f>MAX(0,Y20-MAX(0,AK20-SUM(P20:X20)))</f>
        <v/>
      </c>
      <c r="AJ20" s="92">
        <f>SUM(Z19:AI19)+AL20</f>
        <v/>
      </c>
      <c r="AK20" s="92">
        <f>$AK$7-(AJ20-SUM(P20:Y20))</f>
        <v/>
      </c>
      <c r="AL20" s="91">
        <f>SUMPRODUCT(Z19:AI19,$Z$6:$AI$6)/12</f>
        <v/>
      </c>
      <c r="AM20" s="88">
        <f>SUM(Z20:AI20)</f>
        <v/>
      </c>
      <c r="AO20" s="92">
        <f>IF(AY19&lt;0.005,0,MAX(0,AY19*(1+AY$6/12)-AY$7))</f>
        <v/>
      </c>
      <c r="AP20" s="92">
        <f>IF(AZ19&lt;0.005,0,MAX(0,AZ19*(1+AZ$6/12)-AZ$7))</f>
        <v/>
      </c>
      <c r="AQ20" s="92">
        <f>IF(BA19&lt;0.005,0,MAX(0,BA19*(1+BA$6/12)-BA$7))</f>
        <v/>
      </c>
      <c r="AR20" s="92">
        <f>IF(BB19&lt;0.005,0,MAX(0,BB19*(1+BB$6/12)-BB$7))</f>
        <v/>
      </c>
      <c r="AS20" s="92">
        <f>IF(BC19&lt;0.005,0,MAX(0,BC19*(1+BC$6/12)-BC$7))</f>
        <v/>
      </c>
      <c r="AT20" s="92">
        <f>IF(BD19&lt;0.005,0,MAX(0,BD19*(1+BD$6/12)-BD$7))</f>
        <v/>
      </c>
      <c r="AU20" s="92">
        <f>IF(BE19&lt;0.005,0,MAX(0,BE19*(1+BE$6/12)-BE$7))</f>
        <v/>
      </c>
      <c r="AV20" s="92">
        <f>IF(BF19&lt;0.005,0,MAX(0,BF19*(1+BF$6/12)-BF$7))</f>
        <v/>
      </c>
      <c r="AW20" s="92">
        <f>IF(BG19&lt;0.005,0,MAX(0,BG19*(1+BG$6/12)-BG$7))</f>
        <v/>
      </c>
      <c r="AX20" s="92">
        <f>IF(BH19&lt;0.005,0,MAX(0,BH19*(1+BH$6/12)-BH$7))</f>
        <v/>
      </c>
      <c r="AY20" s="91">
        <f>MAX(0,AO20-MAX(0,BJ20-0))</f>
        <v/>
      </c>
      <c r="AZ20" s="91">
        <f>MAX(0,AP20-MAX(0,BJ20-SUM(AO20:AO20)))</f>
        <v/>
      </c>
      <c r="BA20" s="91">
        <f>MAX(0,AQ20-MAX(0,BJ20-SUM(AO20:AP20)))</f>
        <v/>
      </c>
      <c r="BB20" s="91">
        <f>MAX(0,AR20-MAX(0,BJ20-SUM(AO20:AQ20)))</f>
        <v/>
      </c>
      <c r="BC20" s="91">
        <f>MAX(0,AS20-MAX(0,BJ20-SUM(AO20:AR20)))</f>
        <v/>
      </c>
      <c r="BD20" s="91">
        <f>MAX(0,AT20-MAX(0,BJ20-SUM(AO20:AS20)))</f>
        <v/>
      </c>
      <c r="BE20" s="91">
        <f>MAX(0,AU20-MAX(0,BJ20-SUM(AO20:AT20)))</f>
        <v/>
      </c>
      <c r="BF20" s="91">
        <f>MAX(0,AV20-MAX(0,BJ20-SUM(AO20:AU20)))</f>
        <v/>
      </c>
      <c r="BG20" s="91">
        <f>MAX(0,AW20-MAX(0,BJ20-SUM(AO20:AV20)))</f>
        <v/>
      </c>
      <c r="BH20" s="91">
        <f>MAX(0,AX20-MAX(0,BJ20-SUM(AO20:AW20)))</f>
        <v/>
      </c>
      <c r="BI20" s="92">
        <f>SUM(AY19:BH19)+BK20</f>
        <v/>
      </c>
      <c r="BJ20" s="92">
        <f>$BJ$7-(BI20-SUM(AO20:AX20))</f>
        <v/>
      </c>
      <c r="BK20" s="91">
        <f>SUMPRODUCT(AY19:BH19,$AY$6:$BH$6)/12</f>
        <v/>
      </c>
      <c r="BL20" s="88">
        <f>SUM(AY20:BH20)</f>
        <v/>
      </c>
    </row>
    <row r="21">
      <c r="A21" s="24" t="n">
        <v>11</v>
      </c>
      <c r="B21" s="90">
        <f>DATE(YEAR(Settings!$C$11),MONTH(Settings!$C$11)+A21,1)</f>
        <v/>
      </c>
      <c r="C21" s="91">
        <f>IF(C20&lt;0.005,0,MAX(0,C20*(1+C$6/12)-C$7))</f>
        <v/>
      </c>
      <c r="D21" s="91">
        <f>IF(D20&lt;0.005,0,MAX(0,D20*(1+D$6/12)-D$7))</f>
        <v/>
      </c>
      <c r="E21" s="91">
        <f>IF(E20&lt;0.005,0,MAX(0,E20*(1+E$6/12)-E$7))</f>
        <v/>
      </c>
      <c r="F21" s="91">
        <f>IF(F20&lt;0.005,0,MAX(0,F20*(1+F$6/12)-F$7))</f>
        <v/>
      </c>
      <c r="G21" s="91">
        <f>IF(G20&lt;0.005,0,MAX(0,G20*(1+G$6/12)-G$7))</f>
        <v/>
      </c>
      <c r="H21" s="91">
        <f>IF(H20&lt;0.005,0,MAX(0,H20*(1+H$6/12)-H$7))</f>
        <v/>
      </c>
      <c r="I21" s="91">
        <f>IF(I20&lt;0.005,0,MAX(0,I20*(1+I$6/12)-I$7))</f>
        <v/>
      </c>
      <c r="J21" s="91">
        <f>IF(J20&lt;0.005,0,MAX(0,J20*(1+J$6/12)-J$7))</f>
        <v/>
      </c>
      <c r="K21" s="91">
        <f>IF(K20&lt;0.005,0,MAX(0,K20*(1+K$6/12)-K$7))</f>
        <v/>
      </c>
      <c r="L21" s="91">
        <f>IF(L20&lt;0.005,0,MAX(0,L20*(1+L$6/12)-L$7))</f>
        <v/>
      </c>
      <c r="M21" s="91">
        <f>SUMPRODUCT(C20:L20,$C$6:$L$6)/12</f>
        <v/>
      </c>
      <c r="N21" s="88">
        <f>SUM(C21:L21)</f>
        <v/>
      </c>
      <c r="P21" s="92">
        <f>IF(Z20&lt;0.005,0,MAX(0,Z20*(1+Z$6/12)-Z$7))</f>
        <v/>
      </c>
      <c r="Q21" s="92">
        <f>IF(AA20&lt;0.005,0,MAX(0,AA20*(1+AA$6/12)-AA$7))</f>
        <v/>
      </c>
      <c r="R21" s="92">
        <f>IF(AB20&lt;0.005,0,MAX(0,AB20*(1+AB$6/12)-AB$7))</f>
        <v/>
      </c>
      <c r="S21" s="92">
        <f>IF(AC20&lt;0.005,0,MAX(0,AC20*(1+AC$6/12)-AC$7))</f>
        <v/>
      </c>
      <c r="T21" s="92">
        <f>IF(AD20&lt;0.005,0,MAX(0,AD20*(1+AD$6/12)-AD$7))</f>
        <v/>
      </c>
      <c r="U21" s="92">
        <f>IF(AE20&lt;0.005,0,MAX(0,AE20*(1+AE$6/12)-AE$7))</f>
        <v/>
      </c>
      <c r="V21" s="92">
        <f>IF(AF20&lt;0.005,0,MAX(0,AF20*(1+AF$6/12)-AF$7))</f>
        <v/>
      </c>
      <c r="W21" s="92">
        <f>IF(AG20&lt;0.005,0,MAX(0,AG20*(1+AG$6/12)-AG$7))</f>
        <v/>
      </c>
      <c r="X21" s="92">
        <f>IF(AH20&lt;0.005,0,MAX(0,AH20*(1+AH$6/12)-AH$7))</f>
        <v/>
      </c>
      <c r="Y21" s="92">
        <f>IF(AI20&lt;0.005,0,MAX(0,AI20*(1+AI$6/12)-AI$7))</f>
        <v/>
      </c>
      <c r="Z21" s="91">
        <f>MAX(0,P21-MAX(0,AK21-0))</f>
        <v/>
      </c>
      <c r="AA21" s="91">
        <f>MAX(0,Q21-MAX(0,AK21-SUM(P21:P21)))</f>
        <v/>
      </c>
      <c r="AB21" s="91">
        <f>MAX(0,R21-MAX(0,AK21-SUM(P21:Q21)))</f>
        <v/>
      </c>
      <c r="AC21" s="91">
        <f>MAX(0,S21-MAX(0,AK21-SUM(P21:R21)))</f>
        <v/>
      </c>
      <c r="AD21" s="91">
        <f>MAX(0,T21-MAX(0,AK21-SUM(P21:S21)))</f>
        <v/>
      </c>
      <c r="AE21" s="91">
        <f>MAX(0,U21-MAX(0,AK21-SUM(P21:T21)))</f>
        <v/>
      </c>
      <c r="AF21" s="91">
        <f>MAX(0,V21-MAX(0,AK21-SUM(P21:U21)))</f>
        <v/>
      </c>
      <c r="AG21" s="91">
        <f>MAX(0,W21-MAX(0,AK21-SUM(P21:V21)))</f>
        <v/>
      </c>
      <c r="AH21" s="91">
        <f>MAX(0,X21-MAX(0,AK21-SUM(P21:W21)))</f>
        <v/>
      </c>
      <c r="AI21" s="91">
        <f>MAX(0,Y21-MAX(0,AK21-SUM(P21:X21)))</f>
        <v/>
      </c>
      <c r="AJ21" s="92">
        <f>SUM(Z20:AI20)+AL21</f>
        <v/>
      </c>
      <c r="AK21" s="92">
        <f>$AK$7-(AJ21-SUM(P21:Y21))</f>
        <v/>
      </c>
      <c r="AL21" s="91">
        <f>SUMPRODUCT(Z20:AI20,$Z$6:$AI$6)/12</f>
        <v/>
      </c>
      <c r="AM21" s="88">
        <f>SUM(Z21:AI21)</f>
        <v/>
      </c>
      <c r="AO21" s="92">
        <f>IF(AY20&lt;0.005,0,MAX(0,AY20*(1+AY$6/12)-AY$7))</f>
        <v/>
      </c>
      <c r="AP21" s="92">
        <f>IF(AZ20&lt;0.005,0,MAX(0,AZ20*(1+AZ$6/12)-AZ$7))</f>
        <v/>
      </c>
      <c r="AQ21" s="92">
        <f>IF(BA20&lt;0.005,0,MAX(0,BA20*(1+BA$6/12)-BA$7))</f>
        <v/>
      </c>
      <c r="AR21" s="92">
        <f>IF(BB20&lt;0.005,0,MAX(0,BB20*(1+BB$6/12)-BB$7))</f>
        <v/>
      </c>
      <c r="AS21" s="92">
        <f>IF(BC20&lt;0.005,0,MAX(0,BC20*(1+BC$6/12)-BC$7))</f>
        <v/>
      </c>
      <c r="AT21" s="92">
        <f>IF(BD20&lt;0.005,0,MAX(0,BD20*(1+BD$6/12)-BD$7))</f>
        <v/>
      </c>
      <c r="AU21" s="92">
        <f>IF(BE20&lt;0.005,0,MAX(0,BE20*(1+BE$6/12)-BE$7))</f>
        <v/>
      </c>
      <c r="AV21" s="92">
        <f>IF(BF20&lt;0.005,0,MAX(0,BF20*(1+BF$6/12)-BF$7))</f>
        <v/>
      </c>
      <c r="AW21" s="92">
        <f>IF(BG20&lt;0.005,0,MAX(0,BG20*(1+BG$6/12)-BG$7))</f>
        <v/>
      </c>
      <c r="AX21" s="92">
        <f>IF(BH20&lt;0.005,0,MAX(0,BH20*(1+BH$6/12)-BH$7))</f>
        <v/>
      </c>
      <c r="AY21" s="91">
        <f>MAX(0,AO21-MAX(0,BJ21-0))</f>
        <v/>
      </c>
      <c r="AZ21" s="91">
        <f>MAX(0,AP21-MAX(0,BJ21-SUM(AO21:AO21)))</f>
        <v/>
      </c>
      <c r="BA21" s="91">
        <f>MAX(0,AQ21-MAX(0,BJ21-SUM(AO21:AP21)))</f>
        <v/>
      </c>
      <c r="BB21" s="91">
        <f>MAX(0,AR21-MAX(0,BJ21-SUM(AO21:AQ21)))</f>
        <v/>
      </c>
      <c r="BC21" s="91">
        <f>MAX(0,AS21-MAX(0,BJ21-SUM(AO21:AR21)))</f>
        <v/>
      </c>
      <c r="BD21" s="91">
        <f>MAX(0,AT21-MAX(0,BJ21-SUM(AO21:AS21)))</f>
        <v/>
      </c>
      <c r="BE21" s="91">
        <f>MAX(0,AU21-MAX(0,BJ21-SUM(AO21:AT21)))</f>
        <v/>
      </c>
      <c r="BF21" s="91">
        <f>MAX(0,AV21-MAX(0,BJ21-SUM(AO21:AU21)))</f>
        <v/>
      </c>
      <c r="BG21" s="91">
        <f>MAX(0,AW21-MAX(0,BJ21-SUM(AO21:AV21)))</f>
        <v/>
      </c>
      <c r="BH21" s="91">
        <f>MAX(0,AX21-MAX(0,BJ21-SUM(AO21:AW21)))</f>
        <v/>
      </c>
      <c r="BI21" s="92">
        <f>SUM(AY20:BH20)+BK21</f>
        <v/>
      </c>
      <c r="BJ21" s="92">
        <f>$BJ$7-(BI21-SUM(AO21:AX21))</f>
        <v/>
      </c>
      <c r="BK21" s="91">
        <f>SUMPRODUCT(AY20:BH20,$AY$6:$BH$6)/12</f>
        <v/>
      </c>
      <c r="BL21" s="88">
        <f>SUM(AY21:BH21)</f>
        <v/>
      </c>
    </row>
    <row r="22">
      <c r="A22" s="24" t="n">
        <v>12</v>
      </c>
      <c r="B22" s="90">
        <f>DATE(YEAR(Settings!$C$11),MONTH(Settings!$C$11)+A22,1)</f>
        <v/>
      </c>
      <c r="C22" s="91">
        <f>IF(C21&lt;0.005,0,MAX(0,C21*(1+C$6/12)-C$7))</f>
        <v/>
      </c>
      <c r="D22" s="91">
        <f>IF(D21&lt;0.005,0,MAX(0,D21*(1+D$6/12)-D$7))</f>
        <v/>
      </c>
      <c r="E22" s="91">
        <f>IF(E21&lt;0.005,0,MAX(0,E21*(1+E$6/12)-E$7))</f>
        <v/>
      </c>
      <c r="F22" s="91">
        <f>IF(F21&lt;0.005,0,MAX(0,F21*(1+F$6/12)-F$7))</f>
        <v/>
      </c>
      <c r="G22" s="91">
        <f>IF(G21&lt;0.005,0,MAX(0,G21*(1+G$6/12)-G$7))</f>
        <v/>
      </c>
      <c r="H22" s="91">
        <f>IF(H21&lt;0.005,0,MAX(0,H21*(1+H$6/12)-H$7))</f>
        <v/>
      </c>
      <c r="I22" s="91">
        <f>IF(I21&lt;0.005,0,MAX(0,I21*(1+I$6/12)-I$7))</f>
        <v/>
      </c>
      <c r="J22" s="91">
        <f>IF(J21&lt;0.005,0,MAX(0,J21*(1+J$6/12)-J$7))</f>
        <v/>
      </c>
      <c r="K22" s="91">
        <f>IF(K21&lt;0.005,0,MAX(0,K21*(1+K$6/12)-K$7))</f>
        <v/>
      </c>
      <c r="L22" s="91">
        <f>IF(L21&lt;0.005,0,MAX(0,L21*(1+L$6/12)-L$7))</f>
        <v/>
      </c>
      <c r="M22" s="91">
        <f>SUMPRODUCT(C21:L21,$C$6:$L$6)/12</f>
        <v/>
      </c>
      <c r="N22" s="88">
        <f>SUM(C22:L22)</f>
        <v/>
      </c>
      <c r="P22" s="92">
        <f>IF(Z21&lt;0.005,0,MAX(0,Z21*(1+Z$6/12)-Z$7))</f>
        <v/>
      </c>
      <c r="Q22" s="92">
        <f>IF(AA21&lt;0.005,0,MAX(0,AA21*(1+AA$6/12)-AA$7))</f>
        <v/>
      </c>
      <c r="R22" s="92">
        <f>IF(AB21&lt;0.005,0,MAX(0,AB21*(1+AB$6/12)-AB$7))</f>
        <v/>
      </c>
      <c r="S22" s="92">
        <f>IF(AC21&lt;0.005,0,MAX(0,AC21*(1+AC$6/12)-AC$7))</f>
        <v/>
      </c>
      <c r="T22" s="92">
        <f>IF(AD21&lt;0.005,0,MAX(0,AD21*(1+AD$6/12)-AD$7))</f>
        <v/>
      </c>
      <c r="U22" s="92">
        <f>IF(AE21&lt;0.005,0,MAX(0,AE21*(1+AE$6/12)-AE$7))</f>
        <v/>
      </c>
      <c r="V22" s="92">
        <f>IF(AF21&lt;0.005,0,MAX(0,AF21*(1+AF$6/12)-AF$7))</f>
        <v/>
      </c>
      <c r="W22" s="92">
        <f>IF(AG21&lt;0.005,0,MAX(0,AG21*(1+AG$6/12)-AG$7))</f>
        <v/>
      </c>
      <c r="X22" s="92">
        <f>IF(AH21&lt;0.005,0,MAX(0,AH21*(1+AH$6/12)-AH$7))</f>
        <v/>
      </c>
      <c r="Y22" s="92">
        <f>IF(AI21&lt;0.005,0,MAX(0,AI21*(1+AI$6/12)-AI$7))</f>
        <v/>
      </c>
      <c r="Z22" s="91">
        <f>MAX(0,P22-MAX(0,AK22-0))</f>
        <v/>
      </c>
      <c r="AA22" s="91">
        <f>MAX(0,Q22-MAX(0,AK22-SUM(P22:P22)))</f>
        <v/>
      </c>
      <c r="AB22" s="91">
        <f>MAX(0,R22-MAX(0,AK22-SUM(P22:Q22)))</f>
        <v/>
      </c>
      <c r="AC22" s="91">
        <f>MAX(0,S22-MAX(0,AK22-SUM(P22:R22)))</f>
        <v/>
      </c>
      <c r="AD22" s="91">
        <f>MAX(0,T22-MAX(0,AK22-SUM(P22:S22)))</f>
        <v/>
      </c>
      <c r="AE22" s="91">
        <f>MAX(0,U22-MAX(0,AK22-SUM(P22:T22)))</f>
        <v/>
      </c>
      <c r="AF22" s="91">
        <f>MAX(0,V22-MAX(0,AK22-SUM(P22:U22)))</f>
        <v/>
      </c>
      <c r="AG22" s="91">
        <f>MAX(0,W22-MAX(0,AK22-SUM(P22:V22)))</f>
        <v/>
      </c>
      <c r="AH22" s="91">
        <f>MAX(0,X22-MAX(0,AK22-SUM(P22:W22)))</f>
        <v/>
      </c>
      <c r="AI22" s="91">
        <f>MAX(0,Y22-MAX(0,AK22-SUM(P22:X22)))</f>
        <v/>
      </c>
      <c r="AJ22" s="92">
        <f>SUM(Z21:AI21)+AL22</f>
        <v/>
      </c>
      <c r="AK22" s="92">
        <f>$AK$7-(AJ22-SUM(P22:Y22))</f>
        <v/>
      </c>
      <c r="AL22" s="91">
        <f>SUMPRODUCT(Z21:AI21,$Z$6:$AI$6)/12</f>
        <v/>
      </c>
      <c r="AM22" s="88">
        <f>SUM(Z22:AI22)</f>
        <v/>
      </c>
      <c r="AO22" s="92">
        <f>IF(AY21&lt;0.005,0,MAX(0,AY21*(1+AY$6/12)-AY$7))</f>
        <v/>
      </c>
      <c r="AP22" s="92">
        <f>IF(AZ21&lt;0.005,0,MAX(0,AZ21*(1+AZ$6/12)-AZ$7))</f>
        <v/>
      </c>
      <c r="AQ22" s="92">
        <f>IF(BA21&lt;0.005,0,MAX(0,BA21*(1+BA$6/12)-BA$7))</f>
        <v/>
      </c>
      <c r="AR22" s="92">
        <f>IF(BB21&lt;0.005,0,MAX(0,BB21*(1+BB$6/12)-BB$7))</f>
        <v/>
      </c>
      <c r="AS22" s="92">
        <f>IF(BC21&lt;0.005,0,MAX(0,BC21*(1+BC$6/12)-BC$7))</f>
        <v/>
      </c>
      <c r="AT22" s="92">
        <f>IF(BD21&lt;0.005,0,MAX(0,BD21*(1+BD$6/12)-BD$7))</f>
        <v/>
      </c>
      <c r="AU22" s="92">
        <f>IF(BE21&lt;0.005,0,MAX(0,BE21*(1+BE$6/12)-BE$7))</f>
        <v/>
      </c>
      <c r="AV22" s="92">
        <f>IF(BF21&lt;0.005,0,MAX(0,BF21*(1+BF$6/12)-BF$7))</f>
        <v/>
      </c>
      <c r="AW22" s="92">
        <f>IF(BG21&lt;0.005,0,MAX(0,BG21*(1+BG$6/12)-BG$7))</f>
        <v/>
      </c>
      <c r="AX22" s="92">
        <f>IF(BH21&lt;0.005,0,MAX(0,BH21*(1+BH$6/12)-BH$7))</f>
        <v/>
      </c>
      <c r="AY22" s="91">
        <f>MAX(0,AO22-MAX(0,BJ22-0))</f>
        <v/>
      </c>
      <c r="AZ22" s="91">
        <f>MAX(0,AP22-MAX(0,BJ22-SUM(AO22:AO22)))</f>
        <v/>
      </c>
      <c r="BA22" s="91">
        <f>MAX(0,AQ22-MAX(0,BJ22-SUM(AO22:AP22)))</f>
        <v/>
      </c>
      <c r="BB22" s="91">
        <f>MAX(0,AR22-MAX(0,BJ22-SUM(AO22:AQ22)))</f>
        <v/>
      </c>
      <c r="BC22" s="91">
        <f>MAX(0,AS22-MAX(0,BJ22-SUM(AO22:AR22)))</f>
        <v/>
      </c>
      <c r="BD22" s="91">
        <f>MAX(0,AT22-MAX(0,BJ22-SUM(AO22:AS22)))</f>
        <v/>
      </c>
      <c r="BE22" s="91">
        <f>MAX(0,AU22-MAX(0,BJ22-SUM(AO22:AT22)))</f>
        <v/>
      </c>
      <c r="BF22" s="91">
        <f>MAX(0,AV22-MAX(0,BJ22-SUM(AO22:AU22)))</f>
        <v/>
      </c>
      <c r="BG22" s="91">
        <f>MAX(0,AW22-MAX(0,BJ22-SUM(AO22:AV22)))</f>
        <v/>
      </c>
      <c r="BH22" s="91">
        <f>MAX(0,AX22-MAX(0,BJ22-SUM(AO22:AW22)))</f>
        <v/>
      </c>
      <c r="BI22" s="92">
        <f>SUM(AY21:BH21)+BK22</f>
        <v/>
      </c>
      <c r="BJ22" s="92">
        <f>$BJ$7-(BI22-SUM(AO22:AX22))</f>
        <v/>
      </c>
      <c r="BK22" s="91">
        <f>SUMPRODUCT(AY21:BH21,$AY$6:$BH$6)/12</f>
        <v/>
      </c>
      <c r="BL22" s="88">
        <f>SUM(AY22:BH22)</f>
        <v/>
      </c>
    </row>
    <row r="23">
      <c r="A23" s="24" t="n">
        <v>13</v>
      </c>
      <c r="B23" s="90">
        <f>DATE(YEAR(Settings!$C$11),MONTH(Settings!$C$11)+A23,1)</f>
        <v/>
      </c>
      <c r="C23" s="91">
        <f>IF(C22&lt;0.005,0,MAX(0,C22*(1+C$6/12)-C$7))</f>
        <v/>
      </c>
      <c r="D23" s="91">
        <f>IF(D22&lt;0.005,0,MAX(0,D22*(1+D$6/12)-D$7))</f>
        <v/>
      </c>
      <c r="E23" s="91">
        <f>IF(E22&lt;0.005,0,MAX(0,E22*(1+E$6/12)-E$7))</f>
        <v/>
      </c>
      <c r="F23" s="91">
        <f>IF(F22&lt;0.005,0,MAX(0,F22*(1+F$6/12)-F$7))</f>
        <v/>
      </c>
      <c r="G23" s="91">
        <f>IF(G22&lt;0.005,0,MAX(0,G22*(1+G$6/12)-G$7))</f>
        <v/>
      </c>
      <c r="H23" s="91">
        <f>IF(H22&lt;0.005,0,MAX(0,H22*(1+H$6/12)-H$7))</f>
        <v/>
      </c>
      <c r="I23" s="91">
        <f>IF(I22&lt;0.005,0,MAX(0,I22*(1+I$6/12)-I$7))</f>
        <v/>
      </c>
      <c r="J23" s="91">
        <f>IF(J22&lt;0.005,0,MAX(0,J22*(1+J$6/12)-J$7))</f>
        <v/>
      </c>
      <c r="K23" s="91">
        <f>IF(K22&lt;0.005,0,MAX(0,K22*(1+K$6/12)-K$7))</f>
        <v/>
      </c>
      <c r="L23" s="91">
        <f>IF(L22&lt;0.005,0,MAX(0,L22*(1+L$6/12)-L$7))</f>
        <v/>
      </c>
      <c r="M23" s="91">
        <f>SUMPRODUCT(C22:L22,$C$6:$L$6)/12</f>
        <v/>
      </c>
      <c r="N23" s="88">
        <f>SUM(C23:L23)</f>
        <v/>
      </c>
      <c r="P23" s="92">
        <f>IF(Z22&lt;0.005,0,MAX(0,Z22*(1+Z$6/12)-Z$7))</f>
        <v/>
      </c>
      <c r="Q23" s="92">
        <f>IF(AA22&lt;0.005,0,MAX(0,AA22*(1+AA$6/12)-AA$7))</f>
        <v/>
      </c>
      <c r="R23" s="92">
        <f>IF(AB22&lt;0.005,0,MAX(0,AB22*(1+AB$6/12)-AB$7))</f>
        <v/>
      </c>
      <c r="S23" s="92">
        <f>IF(AC22&lt;0.005,0,MAX(0,AC22*(1+AC$6/12)-AC$7))</f>
        <v/>
      </c>
      <c r="T23" s="92">
        <f>IF(AD22&lt;0.005,0,MAX(0,AD22*(1+AD$6/12)-AD$7))</f>
        <v/>
      </c>
      <c r="U23" s="92">
        <f>IF(AE22&lt;0.005,0,MAX(0,AE22*(1+AE$6/12)-AE$7))</f>
        <v/>
      </c>
      <c r="V23" s="92">
        <f>IF(AF22&lt;0.005,0,MAX(0,AF22*(1+AF$6/12)-AF$7))</f>
        <v/>
      </c>
      <c r="W23" s="92">
        <f>IF(AG22&lt;0.005,0,MAX(0,AG22*(1+AG$6/12)-AG$7))</f>
        <v/>
      </c>
      <c r="X23" s="92">
        <f>IF(AH22&lt;0.005,0,MAX(0,AH22*(1+AH$6/12)-AH$7))</f>
        <v/>
      </c>
      <c r="Y23" s="92">
        <f>IF(AI22&lt;0.005,0,MAX(0,AI22*(1+AI$6/12)-AI$7))</f>
        <v/>
      </c>
      <c r="Z23" s="91">
        <f>MAX(0,P23-MAX(0,AK23-0))</f>
        <v/>
      </c>
      <c r="AA23" s="91">
        <f>MAX(0,Q23-MAX(0,AK23-SUM(P23:P23)))</f>
        <v/>
      </c>
      <c r="AB23" s="91">
        <f>MAX(0,R23-MAX(0,AK23-SUM(P23:Q23)))</f>
        <v/>
      </c>
      <c r="AC23" s="91">
        <f>MAX(0,S23-MAX(0,AK23-SUM(P23:R23)))</f>
        <v/>
      </c>
      <c r="AD23" s="91">
        <f>MAX(0,T23-MAX(0,AK23-SUM(P23:S23)))</f>
        <v/>
      </c>
      <c r="AE23" s="91">
        <f>MAX(0,U23-MAX(0,AK23-SUM(P23:T23)))</f>
        <v/>
      </c>
      <c r="AF23" s="91">
        <f>MAX(0,V23-MAX(0,AK23-SUM(P23:U23)))</f>
        <v/>
      </c>
      <c r="AG23" s="91">
        <f>MAX(0,W23-MAX(0,AK23-SUM(P23:V23)))</f>
        <v/>
      </c>
      <c r="AH23" s="91">
        <f>MAX(0,X23-MAX(0,AK23-SUM(P23:W23)))</f>
        <v/>
      </c>
      <c r="AI23" s="91">
        <f>MAX(0,Y23-MAX(0,AK23-SUM(P23:X23)))</f>
        <v/>
      </c>
      <c r="AJ23" s="92">
        <f>SUM(Z22:AI22)+AL23</f>
        <v/>
      </c>
      <c r="AK23" s="92">
        <f>$AK$7-(AJ23-SUM(P23:Y23))</f>
        <v/>
      </c>
      <c r="AL23" s="91">
        <f>SUMPRODUCT(Z22:AI22,$Z$6:$AI$6)/12</f>
        <v/>
      </c>
      <c r="AM23" s="88">
        <f>SUM(Z23:AI23)</f>
        <v/>
      </c>
      <c r="AO23" s="92">
        <f>IF(AY22&lt;0.005,0,MAX(0,AY22*(1+AY$6/12)-AY$7))</f>
        <v/>
      </c>
      <c r="AP23" s="92">
        <f>IF(AZ22&lt;0.005,0,MAX(0,AZ22*(1+AZ$6/12)-AZ$7))</f>
        <v/>
      </c>
      <c r="AQ23" s="92">
        <f>IF(BA22&lt;0.005,0,MAX(0,BA22*(1+BA$6/12)-BA$7))</f>
        <v/>
      </c>
      <c r="AR23" s="92">
        <f>IF(BB22&lt;0.005,0,MAX(0,BB22*(1+BB$6/12)-BB$7))</f>
        <v/>
      </c>
      <c r="AS23" s="92">
        <f>IF(BC22&lt;0.005,0,MAX(0,BC22*(1+BC$6/12)-BC$7))</f>
        <v/>
      </c>
      <c r="AT23" s="92">
        <f>IF(BD22&lt;0.005,0,MAX(0,BD22*(1+BD$6/12)-BD$7))</f>
        <v/>
      </c>
      <c r="AU23" s="92">
        <f>IF(BE22&lt;0.005,0,MAX(0,BE22*(1+BE$6/12)-BE$7))</f>
        <v/>
      </c>
      <c r="AV23" s="92">
        <f>IF(BF22&lt;0.005,0,MAX(0,BF22*(1+BF$6/12)-BF$7))</f>
        <v/>
      </c>
      <c r="AW23" s="92">
        <f>IF(BG22&lt;0.005,0,MAX(0,BG22*(1+BG$6/12)-BG$7))</f>
        <v/>
      </c>
      <c r="AX23" s="92">
        <f>IF(BH22&lt;0.005,0,MAX(0,BH22*(1+BH$6/12)-BH$7))</f>
        <v/>
      </c>
      <c r="AY23" s="91">
        <f>MAX(0,AO23-MAX(0,BJ23-0))</f>
        <v/>
      </c>
      <c r="AZ23" s="91">
        <f>MAX(0,AP23-MAX(0,BJ23-SUM(AO23:AO23)))</f>
        <v/>
      </c>
      <c r="BA23" s="91">
        <f>MAX(0,AQ23-MAX(0,BJ23-SUM(AO23:AP23)))</f>
        <v/>
      </c>
      <c r="BB23" s="91">
        <f>MAX(0,AR23-MAX(0,BJ23-SUM(AO23:AQ23)))</f>
        <v/>
      </c>
      <c r="BC23" s="91">
        <f>MAX(0,AS23-MAX(0,BJ23-SUM(AO23:AR23)))</f>
        <v/>
      </c>
      <c r="BD23" s="91">
        <f>MAX(0,AT23-MAX(0,BJ23-SUM(AO23:AS23)))</f>
        <v/>
      </c>
      <c r="BE23" s="91">
        <f>MAX(0,AU23-MAX(0,BJ23-SUM(AO23:AT23)))</f>
        <v/>
      </c>
      <c r="BF23" s="91">
        <f>MAX(0,AV23-MAX(0,BJ23-SUM(AO23:AU23)))</f>
        <v/>
      </c>
      <c r="BG23" s="91">
        <f>MAX(0,AW23-MAX(0,BJ23-SUM(AO23:AV23)))</f>
        <v/>
      </c>
      <c r="BH23" s="91">
        <f>MAX(0,AX23-MAX(0,BJ23-SUM(AO23:AW23)))</f>
        <v/>
      </c>
      <c r="BI23" s="92">
        <f>SUM(AY22:BH22)+BK23</f>
        <v/>
      </c>
      <c r="BJ23" s="92">
        <f>$BJ$7-(BI23-SUM(AO23:AX23))</f>
        <v/>
      </c>
      <c r="BK23" s="91">
        <f>SUMPRODUCT(AY22:BH22,$AY$6:$BH$6)/12</f>
        <v/>
      </c>
      <c r="BL23" s="88">
        <f>SUM(AY23:BH23)</f>
        <v/>
      </c>
    </row>
    <row r="24">
      <c r="A24" s="24" t="n">
        <v>14</v>
      </c>
      <c r="B24" s="90">
        <f>DATE(YEAR(Settings!$C$11),MONTH(Settings!$C$11)+A24,1)</f>
        <v/>
      </c>
      <c r="C24" s="91">
        <f>IF(C23&lt;0.005,0,MAX(0,C23*(1+C$6/12)-C$7))</f>
        <v/>
      </c>
      <c r="D24" s="91">
        <f>IF(D23&lt;0.005,0,MAX(0,D23*(1+D$6/12)-D$7))</f>
        <v/>
      </c>
      <c r="E24" s="91">
        <f>IF(E23&lt;0.005,0,MAX(0,E23*(1+E$6/12)-E$7))</f>
        <v/>
      </c>
      <c r="F24" s="91">
        <f>IF(F23&lt;0.005,0,MAX(0,F23*(1+F$6/12)-F$7))</f>
        <v/>
      </c>
      <c r="G24" s="91">
        <f>IF(G23&lt;0.005,0,MAX(0,G23*(1+G$6/12)-G$7))</f>
        <v/>
      </c>
      <c r="H24" s="91">
        <f>IF(H23&lt;0.005,0,MAX(0,H23*(1+H$6/12)-H$7))</f>
        <v/>
      </c>
      <c r="I24" s="91">
        <f>IF(I23&lt;0.005,0,MAX(0,I23*(1+I$6/12)-I$7))</f>
        <v/>
      </c>
      <c r="J24" s="91">
        <f>IF(J23&lt;0.005,0,MAX(0,J23*(1+J$6/12)-J$7))</f>
        <v/>
      </c>
      <c r="K24" s="91">
        <f>IF(K23&lt;0.005,0,MAX(0,K23*(1+K$6/12)-K$7))</f>
        <v/>
      </c>
      <c r="L24" s="91">
        <f>IF(L23&lt;0.005,0,MAX(0,L23*(1+L$6/12)-L$7))</f>
        <v/>
      </c>
      <c r="M24" s="91">
        <f>SUMPRODUCT(C23:L23,$C$6:$L$6)/12</f>
        <v/>
      </c>
      <c r="N24" s="88">
        <f>SUM(C24:L24)</f>
        <v/>
      </c>
      <c r="P24" s="92">
        <f>IF(Z23&lt;0.005,0,MAX(0,Z23*(1+Z$6/12)-Z$7))</f>
        <v/>
      </c>
      <c r="Q24" s="92">
        <f>IF(AA23&lt;0.005,0,MAX(0,AA23*(1+AA$6/12)-AA$7))</f>
        <v/>
      </c>
      <c r="R24" s="92">
        <f>IF(AB23&lt;0.005,0,MAX(0,AB23*(1+AB$6/12)-AB$7))</f>
        <v/>
      </c>
      <c r="S24" s="92">
        <f>IF(AC23&lt;0.005,0,MAX(0,AC23*(1+AC$6/12)-AC$7))</f>
        <v/>
      </c>
      <c r="T24" s="92">
        <f>IF(AD23&lt;0.005,0,MAX(0,AD23*(1+AD$6/12)-AD$7))</f>
        <v/>
      </c>
      <c r="U24" s="92">
        <f>IF(AE23&lt;0.005,0,MAX(0,AE23*(1+AE$6/12)-AE$7))</f>
        <v/>
      </c>
      <c r="V24" s="92">
        <f>IF(AF23&lt;0.005,0,MAX(0,AF23*(1+AF$6/12)-AF$7))</f>
        <v/>
      </c>
      <c r="W24" s="92">
        <f>IF(AG23&lt;0.005,0,MAX(0,AG23*(1+AG$6/12)-AG$7))</f>
        <v/>
      </c>
      <c r="X24" s="92">
        <f>IF(AH23&lt;0.005,0,MAX(0,AH23*(1+AH$6/12)-AH$7))</f>
        <v/>
      </c>
      <c r="Y24" s="92">
        <f>IF(AI23&lt;0.005,0,MAX(0,AI23*(1+AI$6/12)-AI$7))</f>
        <v/>
      </c>
      <c r="Z24" s="91">
        <f>MAX(0,P24-MAX(0,AK24-0))</f>
        <v/>
      </c>
      <c r="AA24" s="91">
        <f>MAX(0,Q24-MAX(0,AK24-SUM(P24:P24)))</f>
        <v/>
      </c>
      <c r="AB24" s="91">
        <f>MAX(0,R24-MAX(0,AK24-SUM(P24:Q24)))</f>
        <v/>
      </c>
      <c r="AC24" s="91">
        <f>MAX(0,S24-MAX(0,AK24-SUM(P24:R24)))</f>
        <v/>
      </c>
      <c r="AD24" s="91">
        <f>MAX(0,T24-MAX(0,AK24-SUM(P24:S24)))</f>
        <v/>
      </c>
      <c r="AE24" s="91">
        <f>MAX(0,U24-MAX(0,AK24-SUM(P24:T24)))</f>
        <v/>
      </c>
      <c r="AF24" s="91">
        <f>MAX(0,V24-MAX(0,AK24-SUM(P24:U24)))</f>
        <v/>
      </c>
      <c r="AG24" s="91">
        <f>MAX(0,W24-MAX(0,AK24-SUM(P24:V24)))</f>
        <v/>
      </c>
      <c r="AH24" s="91">
        <f>MAX(0,X24-MAX(0,AK24-SUM(P24:W24)))</f>
        <v/>
      </c>
      <c r="AI24" s="91">
        <f>MAX(0,Y24-MAX(0,AK24-SUM(P24:X24)))</f>
        <v/>
      </c>
      <c r="AJ24" s="92">
        <f>SUM(Z23:AI23)+AL24</f>
        <v/>
      </c>
      <c r="AK24" s="92">
        <f>$AK$7-(AJ24-SUM(P24:Y24))</f>
        <v/>
      </c>
      <c r="AL24" s="91">
        <f>SUMPRODUCT(Z23:AI23,$Z$6:$AI$6)/12</f>
        <v/>
      </c>
      <c r="AM24" s="88">
        <f>SUM(Z24:AI24)</f>
        <v/>
      </c>
      <c r="AO24" s="92">
        <f>IF(AY23&lt;0.005,0,MAX(0,AY23*(1+AY$6/12)-AY$7))</f>
        <v/>
      </c>
      <c r="AP24" s="92">
        <f>IF(AZ23&lt;0.005,0,MAX(0,AZ23*(1+AZ$6/12)-AZ$7))</f>
        <v/>
      </c>
      <c r="AQ24" s="92">
        <f>IF(BA23&lt;0.005,0,MAX(0,BA23*(1+BA$6/12)-BA$7))</f>
        <v/>
      </c>
      <c r="AR24" s="92">
        <f>IF(BB23&lt;0.005,0,MAX(0,BB23*(1+BB$6/12)-BB$7))</f>
        <v/>
      </c>
      <c r="AS24" s="92">
        <f>IF(BC23&lt;0.005,0,MAX(0,BC23*(1+BC$6/12)-BC$7))</f>
        <v/>
      </c>
      <c r="AT24" s="92">
        <f>IF(BD23&lt;0.005,0,MAX(0,BD23*(1+BD$6/12)-BD$7))</f>
        <v/>
      </c>
      <c r="AU24" s="92">
        <f>IF(BE23&lt;0.005,0,MAX(0,BE23*(1+BE$6/12)-BE$7))</f>
        <v/>
      </c>
      <c r="AV24" s="92">
        <f>IF(BF23&lt;0.005,0,MAX(0,BF23*(1+BF$6/12)-BF$7))</f>
        <v/>
      </c>
      <c r="AW24" s="92">
        <f>IF(BG23&lt;0.005,0,MAX(0,BG23*(1+BG$6/12)-BG$7))</f>
        <v/>
      </c>
      <c r="AX24" s="92">
        <f>IF(BH23&lt;0.005,0,MAX(0,BH23*(1+BH$6/12)-BH$7))</f>
        <v/>
      </c>
      <c r="AY24" s="91">
        <f>MAX(0,AO24-MAX(0,BJ24-0))</f>
        <v/>
      </c>
      <c r="AZ24" s="91">
        <f>MAX(0,AP24-MAX(0,BJ24-SUM(AO24:AO24)))</f>
        <v/>
      </c>
      <c r="BA24" s="91">
        <f>MAX(0,AQ24-MAX(0,BJ24-SUM(AO24:AP24)))</f>
        <v/>
      </c>
      <c r="BB24" s="91">
        <f>MAX(0,AR24-MAX(0,BJ24-SUM(AO24:AQ24)))</f>
        <v/>
      </c>
      <c r="BC24" s="91">
        <f>MAX(0,AS24-MAX(0,BJ24-SUM(AO24:AR24)))</f>
        <v/>
      </c>
      <c r="BD24" s="91">
        <f>MAX(0,AT24-MAX(0,BJ24-SUM(AO24:AS24)))</f>
        <v/>
      </c>
      <c r="BE24" s="91">
        <f>MAX(0,AU24-MAX(0,BJ24-SUM(AO24:AT24)))</f>
        <v/>
      </c>
      <c r="BF24" s="91">
        <f>MAX(0,AV24-MAX(0,BJ24-SUM(AO24:AU24)))</f>
        <v/>
      </c>
      <c r="BG24" s="91">
        <f>MAX(0,AW24-MAX(0,BJ24-SUM(AO24:AV24)))</f>
        <v/>
      </c>
      <c r="BH24" s="91">
        <f>MAX(0,AX24-MAX(0,BJ24-SUM(AO24:AW24)))</f>
        <v/>
      </c>
      <c r="BI24" s="92">
        <f>SUM(AY23:BH23)+BK24</f>
        <v/>
      </c>
      <c r="BJ24" s="92">
        <f>$BJ$7-(BI24-SUM(AO24:AX24))</f>
        <v/>
      </c>
      <c r="BK24" s="91">
        <f>SUMPRODUCT(AY23:BH23,$AY$6:$BH$6)/12</f>
        <v/>
      </c>
      <c r="BL24" s="88">
        <f>SUM(AY24:BH24)</f>
        <v/>
      </c>
    </row>
    <row r="25">
      <c r="A25" s="24" t="n">
        <v>15</v>
      </c>
      <c r="B25" s="90">
        <f>DATE(YEAR(Settings!$C$11),MONTH(Settings!$C$11)+A25,1)</f>
        <v/>
      </c>
      <c r="C25" s="91">
        <f>IF(C24&lt;0.005,0,MAX(0,C24*(1+C$6/12)-C$7))</f>
        <v/>
      </c>
      <c r="D25" s="91">
        <f>IF(D24&lt;0.005,0,MAX(0,D24*(1+D$6/12)-D$7))</f>
        <v/>
      </c>
      <c r="E25" s="91">
        <f>IF(E24&lt;0.005,0,MAX(0,E24*(1+E$6/12)-E$7))</f>
        <v/>
      </c>
      <c r="F25" s="91">
        <f>IF(F24&lt;0.005,0,MAX(0,F24*(1+F$6/12)-F$7))</f>
        <v/>
      </c>
      <c r="G25" s="91">
        <f>IF(G24&lt;0.005,0,MAX(0,G24*(1+G$6/12)-G$7))</f>
        <v/>
      </c>
      <c r="H25" s="91">
        <f>IF(H24&lt;0.005,0,MAX(0,H24*(1+H$6/12)-H$7))</f>
        <v/>
      </c>
      <c r="I25" s="91">
        <f>IF(I24&lt;0.005,0,MAX(0,I24*(1+I$6/12)-I$7))</f>
        <v/>
      </c>
      <c r="J25" s="91">
        <f>IF(J24&lt;0.005,0,MAX(0,J24*(1+J$6/12)-J$7))</f>
        <v/>
      </c>
      <c r="K25" s="91">
        <f>IF(K24&lt;0.005,0,MAX(0,K24*(1+K$6/12)-K$7))</f>
        <v/>
      </c>
      <c r="L25" s="91">
        <f>IF(L24&lt;0.005,0,MAX(0,L24*(1+L$6/12)-L$7))</f>
        <v/>
      </c>
      <c r="M25" s="91">
        <f>SUMPRODUCT(C24:L24,$C$6:$L$6)/12</f>
        <v/>
      </c>
      <c r="N25" s="88">
        <f>SUM(C25:L25)</f>
        <v/>
      </c>
      <c r="P25" s="92">
        <f>IF(Z24&lt;0.005,0,MAX(0,Z24*(1+Z$6/12)-Z$7))</f>
        <v/>
      </c>
      <c r="Q25" s="92">
        <f>IF(AA24&lt;0.005,0,MAX(0,AA24*(1+AA$6/12)-AA$7))</f>
        <v/>
      </c>
      <c r="R25" s="92">
        <f>IF(AB24&lt;0.005,0,MAX(0,AB24*(1+AB$6/12)-AB$7))</f>
        <v/>
      </c>
      <c r="S25" s="92">
        <f>IF(AC24&lt;0.005,0,MAX(0,AC24*(1+AC$6/12)-AC$7))</f>
        <v/>
      </c>
      <c r="T25" s="92">
        <f>IF(AD24&lt;0.005,0,MAX(0,AD24*(1+AD$6/12)-AD$7))</f>
        <v/>
      </c>
      <c r="U25" s="92">
        <f>IF(AE24&lt;0.005,0,MAX(0,AE24*(1+AE$6/12)-AE$7))</f>
        <v/>
      </c>
      <c r="V25" s="92">
        <f>IF(AF24&lt;0.005,0,MAX(0,AF24*(1+AF$6/12)-AF$7))</f>
        <v/>
      </c>
      <c r="W25" s="92">
        <f>IF(AG24&lt;0.005,0,MAX(0,AG24*(1+AG$6/12)-AG$7))</f>
        <v/>
      </c>
      <c r="X25" s="92">
        <f>IF(AH24&lt;0.005,0,MAX(0,AH24*(1+AH$6/12)-AH$7))</f>
        <v/>
      </c>
      <c r="Y25" s="92">
        <f>IF(AI24&lt;0.005,0,MAX(0,AI24*(1+AI$6/12)-AI$7))</f>
        <v/>
      </c>
      <c r="Z25" s="91">
        <f>MAX(0,P25-MAX(0,AK25-0))</f>
        <v/>
      </c>
      <c r="AA25" s="91">
        <f>MAX(0,Q25-MAX(0,AK25-SUM(P25:P25)))</f>
        <v/>
      </c>
      <c r="AB25" s="91">
        <f>MAX(0,R25-MAX(0,AK25-SUM(P25:Q25)))</f>
        <v/>
      </c>
      <c r="AC25" s="91">
        <f>MAX(0,S25-MAX(0,AK25-SUM(P25:R25)))</f>
        <v/>
      </c>
      <c r="AD25" s="91">
        <f>MAX(0,T25-MAX(0,AK25-SUM(P25:S25)))</f>
        <v/>
      </c>
      <c r="AE25" s="91">
        <f>MAX(0,U25-MAX(0,AK25-SUM(P25:T25)))</f>
        <v/>
      </c>
      <c r="AF25" s="91">
        <f>MAX(0,V25-MAX(0,AK25-SUM(P25:U25)))</f>
        <v/>
      </c>
      <c r="AG25" s="91">
        <f>MAX(0,W25-MAX(0,AK25-SUM(P25:V25)))</f>
        <v/>
      </c>
      <c r="AH25" s="91">
        <f>MAX(0,X25-MAX(0,AK25-SUM(P25:W25)))</f>
        <v/>
      </c>
      <c r="AI25" s="91">
        <f>MAX(0,Y25-MAX(0,AK25-SUM(P25:X25)))</f>
        <v/>
      </c>
      <c r="AJ25" s="92">
        <f>SUM(Z24:AI24)+AL25</f>
        <v/>
      </c>
      <c r="AK25" s="92">
        <f>$AK$7-(AJ25-SUM(P25:Y25))</f>
        <v/>
      </c>
      <c r="AL25" s="91">
        <f>SUMPRODUCT(Z24:AI24,$Z$6:$AI$6)/12</f>
        <v/>
      </c>
      <c r="AM25" s="88">
        <f>SUM(Z25:AI25)</f>
        <v/>
      </c>
      <c r="AO25" s="92">
        <f>IF(AY24&lt;0.005,0,MAX(0,AY24*(1+AY$6/12)-AY$7))</f>
        <v/>
      </c>
      <c r="AP25" s="92">
        <f>IF(AZ24&lt;0.005,0,MAX(0,AZ24*(1+AZ$6/12)-AZ$7))</f>
        <v/>
      </c>
      <c r="AQ25" s="92">
        <f>IF(BA24&lt;0.005,0,MAX(0,BA24*(1+BA$6/12)-BA$7))</f>
        <v/>
      </c>
      <c r="AR25" s="92">
        <f>IF(BB24&lt;0.005,0,MAX(0,BB24*(1+BB$6/12)-BB$7))</f>
        <v/>
      </c>
      <c r="AS25" s="92">
        <f>IF(BC24&lt;0.005,0,MAX(0,BC24*(1+BC$6/12)-BC$7))</f>
        <v/>
      </c>
      <c r="AT25" s="92">
        <f>IF(BD24&lt;0.005,0,MAX(0,BD24*(1+BD$6/12)-BD$7))</f>
        <v/>
      </c>
      <c r="AU25" s="92">
        <f>IF(BE24&lt;0.005,0,MAX(0,BE24*(1+BE$6/12)-BE$7))</f>
        <v/>
      </c>
      <c r="AV25" s="92">
        <f>IF(BF24&lt;0.005,0,MAX(0,BF24*(1+BF$6/12)-BF$7))</f>
        <v/>
      </c>
      <c r="AW25" s="92">
        <f>IF(BG24&lt;0.005,0,MAX(0,BG24*(1+BG$6/12)-BG$7))</f>
        <v/>
      </c>
      <c r="AX25" s="92">
        <f>IF(BH24&lt;0.005,0,MAX(0,BH24*(1+BH$6/12)-BH$7))</f>
        <v/>
      </c>
      <c r="AY25" s="91">
        <f>MAX(0,AO25-MAX(0,BJ25-0))</f>
        <v/>
      </c>
      <c r="AZ25" s="91">
        <f>MAX(0,AP25-MAX(0,BJ25-SUM(AO25:AO25)))</f>
        <v/>
      </c>
      <c r="BA25" s="91">
        <f>MAX(0,AQ25-MAX(0,BJ25-SUM(AO25:AP25)))</f>
        <v/>
      </c>
      <c r="BB25" s="91">
        <f>MAX(0,AR25-MAX(0,BJ25-SUM(AO25:AQ25)))</f>
        <v/>
      </c>
      <c r="BC25" s="91">
        <f>MAX(0,AS25-MAX(0,BJ25-SUM(AO25:AR25)))</f>
        <v/>
      </c>
      <c r="BD25" s="91">
        <f>MAX(0,AT25-MAX(0,BJ25-SUM(AO25:AS25)))</f>
        <v/>
      </c>
      <c r="BE25" s="91">
        <f>MAX(0,AU25-MAX(0,BJ25-SUM(AO25:AT25)))</f>
        <v/>
      </c>
      <c r="BF25" s="91">
        <f>MAX(0,AV25-MAX(0,BJ25-SUM(AO25:AU25)))</f>
        <v/>
      </c>
      <c r="BG25" s="91">
        <f>MAX(0,AW25-MAX(0,BJ25-SUM(AO25:AV25)))</f>
        <v/>
      </c>
      <c r="BH25" s="91">
        <f>MAX(0,AX25-MAX(0,BJ25-SUM(AO25:AW25)))</f>
        <v/>
      </c>
      <c r="BI25" s="92">
        <f>SUM(AY24:BH24)+BK25</f>
        <v/>
      </c>
      <c r="BJ25" s="92">
        <f>$BJ$7-(BI25-SUM(AO25:AX25))</f>
        <v/>
      </c>
      <c r="BK25" s="91">
        <f>SUMPRODUCT(AY24:BH24,$AY$6:$BH$6)/12</f>
        <v/>
      </c>
      <c r="BL25" s="88">
        <f>SUM(AY25:BH25)</f>
        <v/>
      </c>
    </row>
    <row r="26">
      <c r="A26" s="24" t="n">
        <v>16</v>
      </c>
      <c r="B26" s="90">
        <f>DATE(YEAR(Settings!$C$11),MONTH(Settings!$C$11)+A26,1)</f>
        <v/>
      </c>
      <c r="C26" s="91">
        <f>IF(C25&lt;0.005,0,MAX(0,C25*(1+C$6/12)-C$7))</f>
        <v/>
      </c>
      <c r="D26" s="91">
        <f>IF(D25&lt;0.005,0,MAX(0,D25*(1+D$6/12)-D$7))</f>
        <v/>
      </c>
      <c r="E26" s="91">
        <f>IF(E25&lt;0.005,0,MAX(0,E25*(1+E$6/12)-E$7))</f>
        <v/>
      </c>
      <c r="F26" s="91">
        <f>IF(F25&lt;0.005,0,MAX(0,F25*(1+F$6/12)-F$7))</f>
        <v/>
      </c>
      <c r="G26" s="91">
        <f>IF(G25&lt;0.005,0,MAX(0,G25*(1+G$6/12)-G$7))</f>
        <v/>
      </c>
      <c r="H26" s="91">
        <f>IF(H25&lt;0.005,0,MAX(0,H25*(1+H$6/12)-H$7))</f>
        <v/>
      </c>
      <c r="I26" s="91">
        <f>IF(I25&lt;0.005,0,MAX(0,I25*(1+I$6/12)-I$7))</f>
        <v/>
      </c>
      <c r="J26" s="91">
        <f>IF(J25&lt;0.005,0,MAX(0,J25*(1+J$6/12)-J$7))</f>
        <v/>
      </c>
      <c r="K26" s="91">
        <f>IF(K25&lt;0.005,0,MAX(0,K25*(1+K$6/12)-K$7))</f>
        <v/>
      </c>
      <c r="L26" s="91">
        <f>IF(L25&lt;0.005,0,MAX(0,L25*(1+L$6/12)-L$7))</f>
        <v/>
      </c>
      <c r="M26" s="91">
        <f>SUMPRODUCT(C25:L25,$C$6:$L$6)/12</f>
        <v/>
      </c>
      <c r="N26" s="88">
        <f>SUM(C26:L26)</f>
        <v/>
      </c>
      <c r="P26" s="92">
        <f>IF(Z25&lt;0.005,0,MAX(0,Z25*(1+Z$6/12)-Z$7))</f>
        <v/>
      </c>
      <c r="Q26" s="92">
        <f>IF(AA25&lt;0.005,0,MAX(0,AA25*(1+AA$6/12)-AA$7))</f>
        <v/>
      </c>
      <c r="R26" s="92">
        <f>IF(AB25&lt;0.005,0,MAX(0,AB25*(1+AB$6/12)-AB$7))</f>
        <v/>
      </c>
      <c r="S26" s="92">
        <f>IF(AC25&lt;0.005,0,MAX(0,AC25*(1+AC$6/12)-AC$7))</f>
        <v/>
      </c>
      <c r="T26" s="92">
        <f>IF(AD25&lt;0.005,0,MAX(0,AD25*(1+AD$6/12)-AD$7))</f>
        <v/>
      </c>
      <c r="U26" s="92">
        <f>IF(AE25&lt;0.005,0,MAX(0,AE25*(1+AE$6/12)-AE$7))</f>
        <v/>
      </c>
      <c r="V26" s="92">
        <f>IF(AF25&lt;0.005,0,MAX(0,AF25*(1+AF$6/12)-AF$7))</f>
        <v/>
      </c>
      <c r="W26" s="92">
        <f>IF(AG25&lt;0.005,0,MAX(0,AG25*(1+AG$6/12)-AG$7))</f>
        <v/>
      </c>
      <c r="X26" s="92">
        <f>IF(AH25&lt;0.005,0,MAX(0,AH25*(1+AH$6/12)-AH$7))</f>
        <v/>
      </c>
      <c r="Y26" s="92">
        <f>IF(AI25&lt;0.005,0,MAX(0,AI25*(1+AI$6/12)-AI$7))</f>
        <v/>
      </c>
      <c r="Z26" s="91">
        <f>MAX(0,P26-MAX(0,AK26-0))</f>
        <v/>
      </c>
      <c r="AA26" s="91">
        <f>MAX(0,Q26-MAX(0,AK26-SUM(P26:P26)))</f>
        <v/>
      </c>
      <c r="AB26" s="91">
        <f>MAX(0,R26-MAX(0,AK26-SUM(P26:Q26)))</f>
        <v/>
      </c>
      <c r="AC26" s="91">
        <f>MAX(0,S26-MAX(0,AK26-SUM(P26:R26)))</f>
        <v/>
      </c>
      <c r="AD26" s="91">
        <f>MAX(0,T26-MAX(0,AK26-SUM(P26:S26)))</f>
        <v/>
      </c>
      <c r="AE26" s="91">
        <f>MAX(0,U26-MAX(0,AK26-SUM(P26:T26)))</f>
        <v/>
      </c>
      <c r="AF26" s="91">
        <f>MAX(0,V26-MAX(0,AK26-SUM(P26:U26)))</f>
        <v/>
      </c>
      <c r="AG26" s="91">
        <f>MAX(0,W26-MAX(0,AK26-SUM(P26:V26)))</f>
        <v/>
      </c>
      <c r="AH26" s="91">
        <f>MAX(0,X26-MAX(0,AK26-SUM(P26:W26)))</f>
        <v/>
      </c>
      <c r="AI26" s="91">
        <f>MAX(0,Y26-MAX(0,AK26-SUM(P26:X26)))</f>
        <v/>
      </c>
      <c r="AJ26" s="92">
        <f>SUM(Z25:AI25)+AL26</f>
        <v/>
      </c>
      <c r="AK26" s="92">
        <f>$AK$7-(AJ26-SUM(P26:Y26))</f>
        <v/>
      </c>
      <c r="AL26" s="91">
        <f>SUMPRODUCT(Z25:AI25,$Z$6:$AI$6)/12</f>
        <v/>
      </c>
      <c r="AM26" s="88">
        <f>SUM(Z26:AI26)</f>
        <v/>
      </c>
      <c r="AO26" s="92">
        <f>IF(AY25&lt;0.005,0,MAX(0,AY25*(1+AY$6/12)-AY$7))</f>
        <v/>
      </c>
      <c r="AP26" s="92">
        <f>IF(AZ25&lt;0.005,0,MAX(0,AZ25*(1+AZ$6/12)-AZ$7))</f>
        <v/>
      </c>
      <c r="AQ26" s="92">
        <f>IF(BA25&lt;0.005,0,MAX(0,BA25*(1+BA$6/12)-BA$7))</f>
        <v/>
      </c>
      <c r="AR26" s="92">
        <f>IF(BB25&lt;0.005,0,MAX(0,BB25*(1+BB$6/12)-BB$7))</f>
        <v/>
      </c>
      <c r="AS26" s="92">
        <f>IF(BC25&lt;0.005,0,MAX(0,BC25*(1+BC$6/12)-BC$7))</f>
        <v/>
      </c>
      <c r="AT26" s="92">
        <f>IF(BD25&lt;0.005,0,MAX(0,BD25*(1+BD$6/12)-BD$7))</f>
        <v/>
      </c>
      <c r="AU26" s="92">
        <f>IF(BE25&lt;0.005,0,MAX(0,BE25*(1+BE$6/12)-BE$7))</f>
        <v/>
      </c>
      <c r="AV26" s="92">
        <f>IF(BF25&lt;0.005,0,MAX(0,BF25*(1+BF$6/12)-BF$7))</f>
        <v/>
      </c>
      <c r="AW26" s="92">
        <f>IF(BG25&lt;0.005,0,MAX(0,BG25*(1+BG$6/12)-BG$7))</f>
        <v/>
      </c>
      <c r="AX26" s="92">
        <f>IF(BH25&lt;0.005,0,MAX(0,BH25*(1+BH$6/12)-BH$7))</f>
        <v/>
      </c>
      <c r="AY26" s="91">
        <f>MAX(0,AO26-MAX(0,BJ26-0))</f>
        <v/>
      </c>
      <c r="AZ26" s="91">
        <f>MAX(0,AP26-MAX(0,BJ26-SUM(AO26:AO26)))</f>
        <v/>
      </c>
      <c r="BA26" s="91">
        <f>MAX(0,AQ26-MAX(0,BJ26-SUM(AO26:AP26)))</f>
        <v/>
      </c>
      <c r="BB26" s="91">
        <f>MAX(0,AR26-MAX(0,BJ26-SUM(AO26:AQ26)))</f>
        <v/>
      </c>
      <c r="BC26" s="91">
        <f>MAX(0,AS26-MAX(0,BJ26-SUM(AO26:AR26)))</f>
        <v/>
      </c>
      <c r="BD26" s="91">
        <f>MAX(0,AT26-MAX(0,BJ26-SUM(AO26:AS26)))</f>
        <v/>
      </c>
      <c r="BE26" s="91">
        <f>MAX(0,AU26-MAX(0,BJ26-SUM(AO26:AT26)))</f>
        <v/>
      </c>
      <c r="BF26" s="91">
        <f>MAX(0,AV26-MAX(0,BJ26-SUM(AO26:AU26)))</f>
        <v/>
      </c>
      <c r="BG26" s="91">
        <f>MAX(0,AW26-MAX(0,BJ26-SUM(AO26:AV26)))</f>
        <v/>
      </c>
      <c r="BH26" s="91">
        <f>MAX(0,AX26-MAX(0,BJ26-SUM(AO26:AW26)))</f>
        <v/>
      </c>
      <c r="BI26" s="92">
        <f>SUM(AY25:BH25)+BK26</f>
        <v/>
      </c>
      <c r="BJ26" s="92">
        <f>$BJ$7-(BI26-SUM(AO26:AX26))</f>
        <v/>
      </c>
      <c r="BK26" s="91">
        <f>SUMPRODUCT(AY25:BH25,$AY$6:$BH$6)/12</f>
        <v/>
      </c>
      <c r="BL26" s="88">
        <f>SUM(AY26:BH26)</f>
        <v/>
      </c>
    </row>
    <row r="27">
      <c r="A27" s="24" t="n">
        <v>17</v>
      </c>
      <c r="B27" s="90">
        <f>DATE(YEAR(Settings!$C$11),MONTH(Settings!$C$11)+A27,1)</f>
        <v/>
      </c>
      <c r="C27" s="91">
        <f>IF(C26&lt;0.005,0,MAX(0,C26*(1+C$6/12)-C$7))</f>
        <v/>
      </c>
      <c r="D27" s="91">
        <f>IF(D26&lt;0.005,0,MAX(0,D26*(1+D$6/12)-D$7))</f>
        <v/>
      </c>
      <c r="E27" s="91">
        <f>IF(E26&lt;0.005,0,MAX(0,E26*(1+E$6/12)-E$7))</f>
        <v/>
      </c>
      <c r="F27" s="91">
        <f>IF(F26&lt;0.005,0,MAX(0,F26*(1+F$6/12)-F$7))</f>
        <v/>
      </c>
      <c r="G27" s="91">
        <f>IF(G26&lt;0.005,0,MAX(0,G26*(1+G$6/12)-G$7))</f>
        <v/>
      </c>
      <c r="H27" s="91">
        <f>IF(H26&lt;0.005,0,MAX(0,H26*(1+H$6/12)-H$7))</f>
        <v/>
      </c>
      <c r="I27" s="91">
        <f>IF(I26&lt;0.005,0,MAX(0,I26*(1+I$6/12)-I$7))</f>
        <v/>
      </c>
      <c r="J27" s="91">
        <f>IF(J26&lt;0.005,0,MAX(0,J26*(1+J$6/12)-J$7))</f>
        <v/>
      </c>
      <c r="K27" s="91">
        <f>IF(K26&lt;0.005,0,MAX(0,K26*(1+K$6/12)-K$7))</f>
        <v/>
      </c>
      <c r="L27" s="91">
        <f>IF(L26&lt;0.005,0,MAX(0,L26*(1+L$6/12)-L$7))</f>
        <v/>
      </c>
      <c r="M27" s="91">
        <f>SUMPRODUCT(C26:L26,$C$6:$L$6)/12</f>
        <v/>
      </c>
      <c r="N27" s="88">
        <f>SUM(C27:L27)</f>
        <v/>
      </c>
      <c r="P27" s="92">
        <f>IF(Z26&lt;0.005,0,MAX(0,Z26*(1+Z$6/12)-Z$7))</f>
        <v/>
      </c>
      <c r="Q27" s="92">
        <f>IF(AA26&lt;0.005,0,MAX(0,AA26*(1+AA$6/12)-AA$7))</f>
        <v/>
      </c>
      <c r="R27" s="92">
        <f>IF(AB26&lt;0.005,0,MAX(0,AB26*(1+AB$6/12)-AB$7))</f>
        <v/>
      </c>
      <c r="S27" s="92">
        <f>IF(AC26&lt;0.005,0,MAX(0,AC26*(1+AC$6/12)-AC$7))</f>
        <v/>
      </c>
      <c r="T27" s="92">
        <f>IF(AD26&lt;0.005,0,MAX(0,AD26*(1+AD$6/12)-AD$7))</f>
        <v/>
      </c>
      <c r="U27" s="92">
        <f>IF(AE26&lt;0.005,0,MAX(0,AE26*(1+AE$6/12)-AE$7))</f>
        <v/>
      </c>
      <c r="V27" s="92">
        <f>IF(AF26&lt;0.005,0,MAX(0,AF26*(1+AF$6/12)-AF$7))</f>
        <v/>
      </c>
      <c r="W27" s="92">
        <f>IF(AG26&lt;0.005,0,MAX(0,AG26*(1+AG$6/12)-AG$7))</f>
        <v/>
      </c>
      <c r="X27" s="92">
        <f>IF(AH26&lt;0.005,0,MAX(0,AH26*(1+AH$6/12)-AH$7))</f>
        <v/>
      </c>
      <c r="Y27" s="92">
        <f>IF(AI26&lt;0.005,0,MAX(0,AI26*(1+AI$6/12)-AI$7))</f>
        <v/>
      </c>
      <c r="Z27" s="91">
        <f>MAX(0,P27-MAX(0,AK27-0))</f>
        <v/>
      </c>
      <c r="AA27" s="91">
        <f>MAX(0,Q27-MAX(0,AK27-SUM(P27:P27)))</f>
        <v/>
      </c>
      <c r="AB27" s="91">
        <f>MAX(0,R27-MAX(0,AK27-SUM(P27:Q27)))</f>
        <v/>
      </c>
      <c r="AC27" s="91">
        <f>MAX(0,S27-MAX(0,AK27-SUM(P27:R27)))</f>
        <v/>
      </c>
      <c r="AD27" s="91">
        <f>MAX(0,T27-MAX(0,AK27-SUM(P27:S27)))</f>
        <v/>
      </c>
      <c r="AE27" s="91">
        <f>MAX(0,U27-MAX(0,AK27-SUM(P27:T27)))</f>
        <v/>
      </c>
      <c r="AF27" s="91">
        <f>MAX(0,V27-MAX(0,AK27-SUM(P27:U27)))</f>
        <v/>
      </c>
      <c r="AG27" s="91">
        <f>MAX(0,W27-MAX(0,AK27-SUM(P27:V27)))</f>
        <v/>
      </c>
      <c r="AH27" s="91">
        <f>MAX(0,X27-MAX(0,AK27-SUM(P27:W27)))</f>
        <v/>
      </c>
      <c r="AI27" s="91">
        <f>MAX(0,Y27-MAX(0,AK27-SUM(P27:X27)))</f>
        <v/>
      </c>
      <c r="AJ27" s="92">
        <f>SUM(Z26:AI26)+AL27</f>
        <v/>
      </c>
      <c r="AK27" s="92">
        <f>$AK$7-(AJ27-SUM(P27:Y27))</f>
        <v/>
      </c>
      <c r="AL27" s="91">
        <f>SUMPRODUCT(Z26:AI26,$Z$6:$AI$6)/12</f>
        <v/>
      </c>
      <c r="AM27" s="88">
        <f>SUM(Z27:AI27)</f>
        <v/>
      </c>
      <c r="AO27" s="92">
        <f>IF(AY26&lt;0.005,0,MAX(0,AY26*(1+AY$6/12)-AY$7))</f>
        <v/>
      </c>
      <c r="AP27" s="92">
        <f>IF(AZ26&lt;0.005,0,MAX(0,AZ26*(1+AZ$6/12)-AZ$7))</f>
        <v/>
      </c>
      <c r="AQ27" s="92">
        <f>IF(BA26&lt;0.005,0,MAX(0,BA26*(1+BA$6/12)-BA$7))</f>
        <v/>
      </c>
      <c r="AR27" s="92">
        <f>IF(BB26&lt;0.005,0,MAX(0,BB26*(1+BB$6/12)-BB$7))</f>
        <v/>
      </c>
      <c r="AS27" s="92">
        <f>IF(BC26&lt;0.005,0,MAX(0,BC26*(1+BC$6/12)-BC$7))</f>
        <v/>
      </c>
      <c r="AT27" s="92">
        <f>IF(BD26&lt;0.005,0,MAX(0,BD26*(1+BD$6/12)-BD$7))</f>
        <v/>
      </c>
      <c r="AU27" s="92">
        <f>IF(BE26&lt;0.005,0,MAX(0,BE26*(1+BE$6/12)-BE$7))</f>
        <v/>
      </c>
      <c r="AV27" s="92">
        <f>IF(BF26&lt;0.005,0,MAX(0,BF26*(1+BF$6/12)-BF$7))</f>
        <v/>
      </c>
      <c r="AW27" s="92">
        <f>IF(BG26&lt;0.005,0,MAX(0,BG26*(1+BG$6/12)-BG$7))</f>
        <v/>
      </c>
      <c r="AX27" s="92">
        <f>IF(BH26&lt;0.005,0,MAX(0,BH26*(1+BH$6/12)-BH$7))</f>
        <v/>
      </c>
      <c r="AY27" s="91">
        <f>MAX(0,AO27-MAX(0,BJ27-0))</f>
        <v/>
      </c>
      <c r="AZ27" s="91">
        <f>MAX(0,AP27-MAX(0,BJ27-SUM(AO27:AO27)))</f>
        <v/>
      </c>
      <c r="BA27" s="91">
        <f>MAX(0,AQ27-MAX(0,BJ27-SUM(AO27:AP27)))</f>
        <v/>
      </c>
      <c r="BB27" s="91">
        <f>MAX(0,AR27-MAX(0,BJ27-SUM(AO27:AQ27)))</f>
        <v/>
      </c>
      <c r="BC27" s="91">
        <f>MAX(0,AS27-MAX(0,BJ27-SUM(AO27:AR27)))</f>
        <v/>
      </c>
      <c r="BD27" s="91">
        <f>MAX(0,AT27-MAX(0,BJ27-SUM(AO27:AS27)))</f>
        <v/>
      </c>
      <c r="BE27" s="91">
        <f>MAX(0,AU27-MAX(0,BJ27-SUM(AO27:AT27)))</f>
        <v/>
      </c>
      <c r="BF27" s="91">
        <f>MAX(0,AV27-MAX(0,BJ27-SUM(AO27:AU27)))</f>
        <v/>
      </c>
      <c r="BG27" s="91">
        <f>MAX(0,AW27-MAX(0,BJ27-SUM(AO27:AV27)))</f>
        <v/>
      </c>
      <c r="BH27" s="91">
        <f>MAX(0,AX27-MAX(0,BJ27-SUM(AO27:AW27)))</f>
        <v/>
      </c>
      <c r="BI27" s="92">
        <f>SUM(AY26:BH26)+BK27</f>
        <v/>
      </c>
      <c r="BJ27" s="92">
        <f>$BJ$7-(BI27-SUM(AO27:AX27))</f>
        <v/>
      </c>
      <c r="BK27" s="91">
        <f>SUMPRODUCT(AY26:BH26,$AY$6:$BH$6)/12</f>
        <v/>
      </c>
      <c r="BL27" s="88">
        <f>SUM(AY27:BH27)</f>
        <v/>
      </c>
    </row>
    <row r="28">
      <c r="A28" s="24" t="n">
        <v>18</v>
      </c>
      <c r="B28" s="90">
        <f>DATE(YEAR(Settings!$C$11),MONTH(Settings!$C$11)+A28,1)</f>
        <v/>
      </c>
      <c r="C28" s="91">
        <f>IF(C27&lt;0.005,0,MAX(0,C27*(1+C$6/12)-C$7))</f>
        <v/>
      </c>
      <c r="D28" s="91">
        <f>IF(D27&lt;0.005,0,MAX(0,D27*(1+D$6/12)-D$7))</f>
        <v/>
      </c>
      <c r="E28" s="91">
        <f>IF(E27&lt;0.005,0,MAX(0,E27*(1+E$6/12)-E$7))</f>
        <v/>
      </c>
      <c r="F28" s="91">
        <f>IF(F27&lt;0.005,0,MAX(0,F27*(1+F$6/12)-F$7))</f>
        <v/>
      </c>
      <c r="G28" s="91">
        <f>IF(G27&lt;0.005,0,MAX(0,G27*(1+G$6/12)-G$7))</f>
        <v/>
      </c>
      <c r="H28" s="91">
        <f>IF(H27&lt;0.005,0,MAX(0,H27*(1+H$6/12)-H$7))</f>
        <v/>
      </c>
      <c r="I28" s="91">
        <f>IF(I27&lt;0.005,0,MAX(0,I27*(1+I$6/12)-I$7))</f>
        <v/>
      </c>
      <c r="J28" s="91">
        <f>IF(J27&lt;0.005,0,MAX(0,J27*(1+J$6/12)-J$7))</f>
        <v/>
      </c>
      <c r="K28" s="91">
        <f>IF(K27&lt;0.005,0,MAX(0,K27*(1+K$6/12)-K$7))</f>
        <v/>
      </c>
      <c r="L28" s="91">
        <f>IF(L27&lt;0.005,0,MAX(0,L27*(1+L$6/12)-L$7))</f>
        <v/>
      </c>
      <c r="M28" s="91">
        <f>SUMPRODUCT(C27:L27,$C$6:$L$6)/12</f>
        <v/>
      </c>
      <c r="N28" s="88">
        <f>SUM(C28:L28)</f>
        <v/>
      </c>
      <c r="P28" s="92">
        <f>IF(Z27&lt;0.005,0,MAX(0,Z27*(1+Z$6/12)-Z$7))</f>
        <v/>
      </c>
      <c r="Q28" s="92">
        <f>IF(AA27&lt;0.005,0,MAX(0,AA27*(1+AA$6/12)-AA$7))</f>
        <v/>
      </c>
      <c r="R28" s="92">
        <f>IF(AB27&lt;0.005,0,MAX(0,AB27*(1+AB$6/12)-AB$7))</f>
        <v/>
      </c>
      <c r="S28" s="92">
        <f>IF(AC27&lt;0.005,0,MAX(0,AC27*(1+AC$6/12)-AC$7))</f>
        <v/>
      </c>
      <c r="T28" s="92">
        <f>IF(AD27&lt;0.005,0,MAX(0,AD27*(1+AD$6/12)-AD$7))</f>
        <v/>
      </c>
      <c r="U28" s="92">
        <f>IF(AE27&lt;0.005,0,MAX(0,AE27*(1+AE$6/12)-AE$7))</f>
        <v/>
      </c>
      <c r="V28" s="92">
        <f>IF(AF27&lt;0.005,0,MAX(0,AF27*(1+AF$6/12)-AF$7))</f>
        <v/>
      </c>
      <c r="W28" s="92">
        <f>IF(AG27&lt;0.005,0,MAX(0,AG27*(1+AG$6/12)-AG$7))</f>
        <v/>
      </c>
      <c r="X28" s="92">
        <f>IF(AH27&lt;0.005,0,MAX(0,AH27*(1+AH$6/12)-AH$7))</f>
        <v/>
      </c>
      <c r="Y28" s="92">
        <f>IF(AI27&lt;0.005,0,MAX(0,AI27*(1+AI$6/12)-AI$7))</f>
        <v/>
      </c>
      <c r="Z28" s="91">
        <f>MAX(0,P28-MAX(0,AK28-0))</f>
        <v/>
      </c>
      <c r="AA28" s="91">
        <f>MAX(0,Q28-MAX(0,AK28-SUM(P28:P28)))</f>
        <v/>
      </c>
      <c r="AB28" s="91">
        <f>MAX(0,R28-MAX(0,AK28-SUM(P28:Q28)))</f>
        <v/>
      </c>
      <c r="AC28" s="91">
        <f>MAX(0,S28-MAX(0,AK28-SUM(P28:R28)))</f>
        <v/>
      </c>
      <c r="AD28" s="91">
        <f>MAX(0,T28-MAX(0,AK28-SUM(P28:S28)))</f>
        <v/>
      </c>
      <c r="AE28" s="91">
        <f>MAX(0,U28-MAX(0,AK28-SUM(P28:T28)))</f>
        <v/>
      </c>
      <c r="AF28" s="91">
        <f>MAX(0,V28-MAX(0,AK28-SUM(P28:U28)))</f>
        <v/>
      </c>
      <c r="AG28" s="91">
        <f>MAX(0,W28-MAX(0,AK28-SUM(P28:V28)))</f>
        <v/>
      </c>
      <c r="AH28" s="91">
        <f>MAX(0,X28-MAX(0,AK28-SUM(P28:W28)))</f>
        <v/>
      </c>
      <c r="AI28" s="91">
        <f>MAX(0,Y28-MAX(0,AK28-SUM(P28:X28)))</f>
        <v/>
      </c>
      <c r="AJ28" s="92">
        <f>SUM(Z27:AI27)+AL28</f>
        <v/>
      </c>
      <c r="AK28" s="92">
        <f>$AK$7-(AJ28-SUM(P28:Y28))</f>
        <v/>
      </c>
      <c r="AL28" s="91">
        <f>SUMPRODUCT(Z27:AI27,$Z$6:$AI$6)/12</f>
        <v/>
      </c>
      <c r="AM28" s="88">
        <f>SUM(Z28:AI28)</f>
        <v/>
      </c>
      <c r="AO28" s="92">
        <f>IF(AY27&lt;0.005,0,MAX(0,AY27*(1+AY$6/12)-AY$7))</f>
        <v/>
      </c>
      <c r="AP28" s="92">
        <f>IF(AZ27&lt;0.005,0,MAX(0,AZ27*(1+AZ$6/12)-AZ$7))</f>
        <v/>
      </c>
      <c r="AQ28" s="92">
        <f>IF(BA27&lt;0.005,0,MAX(0,BA27*(1+BA$6/12)-BA$7))</f>
        <v/>
      </c>
      <c r="AR28" s="92">
        <f>IF(BB27&lt;0.005,0,MAX(0,BB27*(1+BB$6/12)-BB$7))</f>
        <v/>
      </c>
      <c r="AS28" s="92">
        <f>IF(BC27&lt;0.005,0,MAX(0,BC27*(1+BC$6/12)-BC$7))</f>
        <v/>
      </c>
      <c r="AT28" s="92">
        <f>IF(BD27&lt;0.005,0,MAX(0,BD27*(1+BD$6/12)-BD$7))</f>
        <v/>
      </c>
      <c r="AU28" s="92">
        <f>IF(BE27&lt;0.005,0,MAX(0,BE27*(1+BE$6/12)-BE$7))</f>
        <v/>
      </c>
      <c r="AV28" s="92">
        <f>IF(BF27&lt;0.005,0,MAX(0,BF27*(1+BF$6/12)-BF$7))</f>
        <v/>
      </c>
      <c r="AW28" s="92">
        <f>IF(BG27&lt;0.005,0,MAX(0,BG27*(1+BG$6/12)-BG$7))</f>
        <v/>
      </c>
      <c r="AX28" s="92">
        <f>IF(BH27&lt;0.005,0,MAX(0,BH27*(1+BH$6/12)-BH$7))</f>
        <v/>
      </c>
      <c r="AY28" s="91">
        <f>MAX(0,AO28-MAX(0,BJ28-0))</f>
        <v/>
      </c>
      <c r="AZ28" s="91">
        <f>MAX(0,AP28-MAX(0,BJ28-SUM(AO28:AO28)))</f>
        <v/>
      </c>
      <c r="BA28" s="91">
        <f>MAX(0,AQ28-MAX(0,BJ28-SUM(AO28:AP28)))</f>
        <v/>
      </c>
      <c r="BB28" s="91">
        <f>MAX(0,AR28-MAX(0,BJ28-SUM(AO28:AQ28)))</f>
        <v/>
      </c>
      <c r="BC28" s="91">
        <f>MAX(0,AS28-MAX(0,BJ28-SUM(AO28:AR28)))</f>
        <v/>
      </c>
      <c r="BD28" s="91">
        <f>MAX(0,AT28-MAX(0,BJ28-SUM(AO28:AS28)))</f>
        <v/>
      </c>
      <c r="BE28" s="91">
        <f>MAX(0,AU28-MAX(0,BJ28-SUM(AO28:AT28)))</f>
        <v/>
      </c>
      <c r="BF28" s="91">
        <f>MAX(0,AV28-MAX(0,BJ28-SUM(AO28:AU28)))</f>
        <v/>
      </c>
      <c r="BG28" s="91">
        <f>MAX(0,AW28-MAX(0,BJ28-SUM(AO28:AV28)))</f>
        <v/>
      </c>
      <c r="BH28" s="91">
        <f>MAX(0,AX28-MAX(0,BJ28-SUM(AO28:AW28)))</f>
        <v/>
      </c>
      <c r="BI28" s="92">
        <f>SUM(AY27:BH27)+BK28</f>
        <v/>
      </c>
      <c r="BJ28" s="92">
        <f>$BJ$7-(BI28-SUM(AO28:AX28))</f>
        <v/>
      </c>
      <c r="BK28" s="91">
        <f>SUMPRODUCT(AY27:BH27,$AY$6:$BH$6)/12</f>
        <v/>
      </c>
      <c r="BL28" s="88">
        <f>SUM(AY28:BH28)</f>
        <v/>
      </c>
    </row>
    <row r="29">
      <c r="A29" s="24" t="n">
        <v>19</v>
      </c>
      <c r="B29" s="90">
        <f>DATE(YEAR(Settings!$C$11),MONTH(Settings!$C$11)+A29,1)</f>
        <v/>
      </c>
      <c r="C29" s="91">
        <f>IF(C28&lt;0.005,0,MAX(0,C28*(1+C$6/12)-C$7))</f>
        <v/>
      </c>
      <c r="D29" s="91">
        <f>IF(D28&lt;0.005,0,MAX(0,D28*(1+D$6/12)-D$7))</f>
        <v/>
      </c>
      <c r="E29" s="91">
        <f>IF(E28&lt;0.005,0,MAX(0,E28*(1+E$6/12)-E$7))</f>
        <v/>
      </c>
      <c r="F29" s="91">
        <f>IF(F28&lt;0.005,0,MAX(0,F28*(1+F$6/12)-F$7))</f>
        <v/>
      </c>
      <c r="G29" s="91">
        <f>IF(G28&lt;0.005,0,MAX(0,G28*(1+G$6/12)-G$7))</f>
        <v/>
      </c>
      <c r="H29" s="91">
        <f>IF(H28&lt;0.005,0,MAX(0,H28*(1+H$6/12)-H$7))</f>
        <v/>
      </c>
      <c r="I29" s="91">
        <f>IF(I28&lt;0.005,0,MAX(0,I28*(1+I$6/12)-I$7))</f>
        <v/>
      </c>
      <c r="J29" s="91">
        <f>IF(J28&lt;0.005,0,MAX(0,J28*(1+J$6/12)-J$7))</f>
        <v/>
      </c>
      <c r="K29" s="91">
        <f>IF(K28&lt;0.005,0,MAX(0,K28*(1+K$6/12)-K$7))</f>
        <v/>
      </c>
      <c r="L29" s="91">
        <f>IF(L28&lt;0.005,0,MAX(0,L28*(1+L$6/12)-L$7))</f>
        <v/>
      </c>
      <c r="M29" s="91">
        <f>SUMPRODUCT(C28:L28,$C$6:$L$6)/12</f>
        <v/>
      </c>
      <c r="N29" s="88">
        <f>SUM(C29:L29)</f>
        <v/>
      </c>
      <c r="P29" s="92">
        <f>IF(Z28&lt;0.005,0,MAX(0,Z28*(1+Z$6/12)-Z$7))</f>
        <v/>
      </c>
      <c r="Q29" s="92">
        <f>IF(AA28&lt;0.005,0,MAX(0,AA28*(1+AA$6/12)-AA$7))</f>
        <v/>
      </c>
      <c r="R29" s="92">
        <f>IF(AB28&lt;0.005,0,MAX(0,AB28*(1+AB$6/12)-AB$7))</f>
        <v/>
      </c>
      <c r="S29" s="92">
        <f>IF(AC28&lt;0.005,0,MAX(0,AC28*(1+AC$6/12)-AC$7))</f>
        <v/>
      </c>
      <c r="T29" s="92">
        <f>IF(AD28&lt;0.005,0,MAX(0,AD28*(1+AD$6/12)-AD$7))</f>
        <v/>
      </c>
      <c r="U29" s="92">
        <f>IF(AE28&lt;0.005,0,MAX(0,AE28*(1+AE$6/12)-AE$7))</f>
        <v/>
      </c>
      <c r="V29" s="92">
        <f>IF(AF28&lt;0.005,0,MAX(0,AF28*(1+AF$6/12)-AF$7))</f>
        <v/>
      </c>
      <c r="W29" s="92">
        <f>IF(AG28&lt;0.005,0,MAX(0,AG28*(1+AG$6/12)-AG$7))</f>
        <v/>
      </c>
      <c r="X29" s="92">
        <f>IF(AH28&lt;0.005,0,MAX(0,AH28*(1+AH$6/12)-AH$7))</f>
        <v/>
      </c>
      <c r="Y29" s="92">
        <f>IF(AI28&lt;0.005,0,MAX(0,AI28*(1+AI$6/12)-AI$7))</f>
        <v/>
      </c>
      <c r="Z29" s="91">
        <f>MAX(0,P29-MAX(0,AK29-0))</f>
        <v/>
      </c>
      <c r="AA29" s="91">
        <f>MAX(0,Q29-MAX(0,AK29-SUM(P29:P29)))</f>
        <v/>
      </c>
      <c r="AB29" s="91">
        <f>MAX(0,R29-MAX(0,AK29-SUM(P29:Q29)))</f>
        <v/>
      </c>
      <c r="AC29" s="91">
        <f>MAX(0,S29-MAX(0,AK29-SUM(P29:R29)))</f>
        <v/>
      </c>
      <c r="AD29" s="91">
        <f>MAX(0,T29-MAX(0,AK29-SUM(P29:S29)))</f>
        <v/>
      </c>
      <c r="AE29" s="91">
        <f>MAX(0,U29-MAX(0,AK29-SUM(P29:T29)))</f>
        <v/>
      </c>
      <c r="AF29" s="91">
        <f>MAX(0,V29-MAX(0,AK29-SUM(P29:U29)))</f>
        <v/>
      </c>
      <c r="AG29" s="91">
        <f>MAX(0,W29-MAX(0,AK29-SUM(P29:V29)))</f>
        <v/>
      </c>
      <c r="AH29" s="91">
        <f>MAX(0,X29-MAX(0,AK29-SUM(P29:W29)))</f>
        <v/>
      </c>
      <c r="AI29" s="91">
        <f>MAX(0,Y29-MAX(0,AK29-SUM(P29:X29)))</f>
        <v/>
      </c>
      <c r="AJ29" s="92">
        <f>SUM(Z28:AI28)+AL29</f>
        <v/>
      </c>
      <c r="AK29" s="92">
        <f>$AK$7-(AJ29-SUM(P29:Y29))</f>
        <v/>
      </c>
      <c r="AL29" s="91">
        <f>SUMPRODUCT(Z28:AI28,$Z$6:$AI$6)/12</f>
        <v/>
      </c>
      <c r="AM29" s="88">
        <f>SUM(Z29:AI29)</f>
        <v/>
      </c>
      <c r="AO29" s="92">
        <f>IF(AY28&lt;0.005,0,MAX(0,AY28*(1+AY$6/12)-AY$7))</f>
        <v/>
      </c>
      <c r="AP29" s="92">
        <f>IF(AZ28&lt;0.005,0,MAX(0,AZ28*(1+AZ$6/12)-AZ$7))</f>
        <v/>
      </c>
      <c r="AQ29" s="92">
        <f>IF(BA28&lt;0.005,0,MAX(0,BA28*(1+BA$6/12)-BA$7))</f>
        <v/>
      </c>
      <c r="AR29" s="92">
        <f>IF(BB28&lt;0.005,0,MAX(0,BB28*(1+BB$6/12)-BB$7))</f>
        <v/>
      </c>
      <c r="AS29" s="92">
        <f>IF(BC28&lt;0.005,0,MAX(0,BC28*(1+BC$6/12)-BC$7))</f>
        <v/>
      </c>
      <c r="AT29" s="92">
        <f>IF(BD28&lt;0.005,0,MAX(0,BD28*(1+BD$6/12)-BD$7))</f>
        <v/>
      </c>
      <c r="AU29" s="92">
        <f>IF(BE28&lt;0.005,0,MAX(0,BE28*(1+BE$6/12)-BE$7))</f>
        <v/>
      </c>
      <c r="AV29" s="92">
        <f>IF(BF28&lt;0.005,0,MAX(0,BF28*(1+BF$6/12)-BF$7))</f>
        <v/>
      </c>
      <c r="AW29" s="92">
        <f>IF(BG28&lt;0.005,0,MAX(0,BG28*(1+BG$6/12)-BG$7))</f>
        <v/>
      </c>
      <c r="AX29" s="92">
        <f>IF(BH28&lt;0.005,0,MAX(0,BH28*(1+BH$6/12)-BH$7))</f>
        <v/>
      </c>
      <c r="AY29" s="91">
        <f>MAX(0,AO29-MAX(0,BJ29-0))</f>
        <v/>
      </c>
      <c r="AZ29" s="91">
        <f>MAX(0,AP29-MAX(0,BJ29-SUM(AO29:AO29)))</f>
        <v/>
      </c>
      <c r="BA29" s="91">
        <f>MAX(0,AQ29-MAX(0,BJ29-SUM(AO29:AP29)))</f>
        <v/>
      </c>
      <c r="BB29" s="91">
        <f>MAX(0,AR29-MAX(0,BJ29-SUM(AO29:AQ29)))</f>
        <v/>
      </c>
      <c r="BC29" s="91">
        <f>MAX(0,AS29-MAX(0,BJ29-SUM(AO29:AR29)))</f>
        <v/>
      </c>
      <c r="BD29" s="91">
        <f>MAX(0,AT29-MAX(0,BJ29-SUM(AO29:AS29)))</f>
        <v/>
      </c>
      <c r="BE29" s="91">
        <f>MAX(0,AU29-MAX(0,BJ29-SUM(AO29:AT29)))</f>
        <v/>
      </c>
      <c r="BF29" s="91">
        <f>MAX(0,AV29-MAX(0,BJ29-SUM(AO29:AU29)))</f>
        <v/>
      </c>
      <c r="BG29" s="91">
        <f>MAX(0,AW29-MAX(0,BJ29-SUM(AO29:AV29)))</f>
        <v/>
      </c>
      <c r="BH29" s="91">
        <f>MAX(0,AX29-MAX(0,BJ29-SUM(AO29:AW29)))</f>
        <v/>
      </c>
      <c r="BI29" s="92">
        <f>SUM(AY28:BH28)+BK29</f>
        <v/>
      </c>
      <c r="BJ29" s="92">
        <f>$BJ$7-(BI29-SUM(AO29:AX29))</f>
        <v/>
      </c>
      <c r="BK29" s="91">
        <f>SUMPRODUCT(AY28:BH28,$AY$6:$BH$6)/12</f>
        <v/>
      </c>
      <c r="BL29" s="88">
        <f>SUM(AY29:BH29)</f>
        <v/>
      </c>
    </row>
    <row r="30">
      <c r="A30" s="24" t="n">
        <v>20</v>
      </c>
      <c r="B30" s="90">
        <f>DATE(YEAR(Settings!$C$11),MONTH(Settings!$C$11)+A30,1)</f>
        <v/>
      </c>
      <c r="C30" s="91">
        <f>IF(C29&lt;0.005,0,MAX(0,C29*(1+C$6/12)-C$7))</f>
        <v/>
      </c>
      <c r="D30" s="91">
        <f>IF(D29&lt;0.005,0,MAX(0,D29*(1+D$6/12)-D$7))</f>
        <v/>
      </c>
      <c r="E30" s="91">
        <f>IF(E29&lt;0.005,0,MAX(0,E29*(1+E$6/12)-E$7))</f>
        <v/>
      </c>
      <c r="F30" s="91">
        <f>IF(F29&lt;0.005,0,MAX(0,F29*(1+F$6/12)-F$7))</f>
        <v/>
      </c>
      <c r="G30" s="91">
        <f>IF(G29&lt;0.005,0,MAX(0,G29*(1+G$6/12)-G$7))</f>
        <v/>
      </c>
      <c r="H30" s="91">
        <f>IF(H29&lt;0.005,0,MAX(0,H29*(1+H$6/12)-H$7))</f>
        <v/>
      </c>
      <c r="I30" s="91">
        <f>IF(I29&lt;0.005,0,MAX(0,I29*(1+I$6/12)-I$7))</f>
        <v/>
      </c>
      <c r="J30" s="91">
        <f>IF(J29&lt;0.005,0,MAX(0,J29*(1+J$6/12)-J$7))</f>
        <v/>
      </c>
      <c r="K30" s="91">
        <f>IF(K29&lt;0.005,0,MAX(0,K29*(1+K$6/12)-K$7))</f>
        <v/>
      </c>
      <c r="L30" s="91">
        <f>IF(L29&lt;0.005,0,MAX(0,L29*(1+L$6/12)-L$7))</f>
        <v/>
      </c>
      <c r="M30" s="91">
        <f>SUMPRODUCT(C29:L29,$C$6:$L$6)/12</f>
        <v/>
      </c>
      <c r="N30" s="88">
        <f>SUM(C30:L30)</f>
        <v/>
      </c>
      <c r="P30" s="92">
        <f>IF(Z29&lt;0.005,0,MAX(0,Z29*(1+Z$6/12)-Z$7))</f>
        <v/>
      </c>
      <c r="Q30" s="92">
        <f>IF(AA29&lt;0.005,0,MAX(0,AA29*(1+AA$6/12)-AA$7))</f>
        <v/>
      </c>
      <c r="R30" s="92">
        <f>IF(AB29&lt;0.005,0,MAX(0,AB29*(1+AB$6/12)-AB$7))</f>
        <v/>
      </c>
      <c r="S30" s="92">
        <f>IF(AC29&lt;0.005,0,MAX(0,AC29*(1+AC$6/12)-AC$7))</f>
        <v/>
      </c>
      <c r="T30" s="92">
        <f>IF(AD29&lt;0.005,0,MAX(0,AD29*(1+AD$6/12)-AD$7))</f>
        <v/>
      </c>
      <c r="U30" s="92">
        <f>IF(AE29&lt;0.005,0,MAX(0,AE29*(1+AE$6/12)-AE$7))</f>
        <v/>
      </c>
      <c r="V30" s="92">
        <f>IF(AF29&lt;0.005,0,MAX(0,AF29*(1+AF$6/12)-AF$7))</f>
        <v/>
      </c>
      <c r="W30" s="92">
        <f>IF(AG29&lt;0.005,0,MAX(0,AG29*(1+AG$6/12)-AG$7))</f>
        <v/>
      </c>
      <c r="X30" s="92">
        <f>IF(AH29&lt;0.005,0,MAX(0,AH29*(1+AH$6/12)-AH$7))</f>
        <v/>
      </c>
      <c r="Y30" s="92">
        <f>IF(AI29&lt;0.005,0,MAX(0,AI29*(1+AI$6/12)-AI$7))</f>
        <v/>
      </c>
      <c r="Z30" s="91">
        <f>MAX(0,P30-MAX(0,AK30-0))</f>
        <v/>
      </c>
      <c r="AA30" s="91">
        <f>MAX(0,Q30-MAX(0,AK30-SUM(P30:P30)))</f>
        <v/>
      </c>
      <c r="AB30" s="91">
        <f>MAX(0,R30-MAX(0,AK30-SUM(P30:Q30)))</f>
        <v/>
      </c>
      <c r="AC30" s="91">
        <f>MAX(0,S30-MAX(0,AK30-SUM(P30:R30)))</f>
        <v/>
      </c>
      <c r="AD30" s="91">
        <f>MAX(0,T30-MAX(0,AK30-SUM(P30:S30)))</f>
        <v/>
      </c>
      <c r="AE30" s="91">
        <f>MAX(0,U30-MAX(0,AK30-SUM(P30:T30)))</f>
        <v/>
      </c>
      <c r="AF30" s="91">
        <f>MAX(0,V30-MAX(0,AK30-SUM(P30:U30)))</f>
        <v/>
      </c>
      <c r="AG30" s="91">
        <f>MAX(0,W30-MAX(0,AK30-SUM(P30:V30)))</f>
        <v/>
      </c>
      <c r="AH30" s="91">
        <f>MAX(0,X30-MAX(0,AK30-SUM(P30:W30)))</f>
        <v/>
      </c>
      <c r="AI30" s="91">
        <f>MAX(0,Y30-MAX(0,AK30-SUM(P30:X30)))</f>
        <v/>
      </c>
      <c r="AJ30" s="92">
        <f>SUM(Z29:AI29)+AL30</f>
        <v/>
      </c>
      <c r="AK30" s="92">
        <f>$AK$7-(AJ30-SUM(P30:Y30))</f>
        <v/>
      </c>
      <c r="AL30" s="91">
        <f>SUMPRODUCT(Z29:AI29,$Z$6:$AI$6)/12</f>
        <v/>
      </c>
      <c r="AM30" s="88">
        <f>SUM(Z30:AI30)</f>
        <v/>
      </c>
      <c r="AO30" s="92">
        <f>IF(AY29&lt;0.005,0,MAX(0,AY29*(1+AY$6/12)-AY$7))</f>
        <v/>
      </c>
      <c r="AP30" s="92">
        <f>IF(AZ29&lt;0.005,0,MAX(0,AZ29*(1+AZ$6/12)-AZ$7))</f>
        <v/>
      </c>
      <c r="AQ30" s="92">
        <f>IF(BA29&lt;0.005,0,MAX(0,BA29*(1+BA$6/12)-BA$7))</f>
        <v/>
      </c>
      <c r="AR30" s="92">
        <f>IF(BB29&lt;0.005,0,MAX(0,BB29*(1+BB$6/12)-BB$7))</f>
        <v/>
      </c>
      <c r="AS30" s="92">
        <f>IF(BC29&lt;0.005,0,MAX(0,BC29*(1+BC$6/12)-BC$7))</f>
        <v/>
      </c>
      <c r="AT30" s="92">
        <f>IF(BD29&lt;0.005,0,MAX(0,BD29*(1+BD$6/12)-BD$7))</f>
        <v/>
      </c>
      <c r="AU30" s="92">
        <f>IF(BE29&lt;0.005,0,MAX(0,BE29*(1+BE$6/12)-BE$7))</f>
        <v/>
      </c>
      <c r="AV30" s="92">
        <f>IF(BF29&lt;0.005,0,MAX(0,BF29*(1+BF$6/12)-BF$7))</f>
        <v/>
      </c>
      <c r="AW30" s="92">
        <f>IF(BG29&lt;0.005,0,MAX(0,BG29*(1+BG$6/12)-BG$7))</f>
        <v/>
      </c>
      <c r="AX30" s="92">
        <f>IF(BH29&lt;0.005,0,MAX(0,BH29*(1+BH$6/12)-BH$7))</f>
        <v/>
      </c>
      <c r="AY30" s="91">
        <f>MAX(0,AO30-MAX(0,BJ30-0))</f>
        <v/>
      </c>
      <c r="AZ30" s="91">
        <f>MAX(0,AP30-MAX(0,BJ30-SUM(AO30:AO30)))</f>
        <v/>
      </c>
      <c r="BA30" s="91">
        <f>MAX(0,AQ30-MAX(0,BJ30-SUM(AO30:AP30)))</f>
        <v/>
      </c>
      <c r="BB30" s="91">
        <f>MAX(0,AR30-MAX(0,BJ30-SUM(AO30:AQ30)))</f>
        <v/>
      </c>
      <c r="BC30" s="91">
        <f>MAX(0,AS30-MAX(0,BJ30-SUM(AO30:AR30)))</f>
        <v/>
      </c>
      <c r="BD30" s="91">
        <f>MAX(0,AT30-MAX(0,BJ30-SUM(AO30:AS30)))</f>
        <v/>
      </c>
      <c r="BE30" s="91">
        <f>MAX(0,AU30-MAX(0,BJ30-SUM(AO30:AT30)))</f>
        <v/>
      </c>
      <c r="BF30" s="91">
        <f>MAX(0,AV30-MAX(0,BJ30-SUM(AO30:AU30)))</f>
        <v/>
      </c>
      <c r="BG30" s="91">
        <f>MAX(0,AW30-MAX(0,BJ30-SUM(AO30:AV30)))</f>
        <v/>
      </c>
      <c r="BH30" s="91">
        <f>MAX(0,AX30-MAX(0,BJ30-SUM(AO30:AW30)))</f>
        <v/>
      </c>
      <c r="BI30" s="92">
        <f>SUM(AY29:BH29)+BK30</f>
        <v/>
      </c>
      <c r="BJ30" s="92">
        <f>$BJ$7-(BI30-SUM(AO30:AX30))</f>
        <v/>
      </c>
      <c r="BK30" s="91">
        <f>SUMPRODUCT(AY29:BH29,$AY$6:$BH$6)/12</f>
        <v/>
      </c>
      <c r="BL30" s="88">
        <f>SUM(AY30:BH30)</f>
        <v/>
      </c>
    </row>
    <row r="31">
      <c r="A31" s="24" t="n">
        <v>21</v>
      </c>
      <c r="B31" s="90">
        <f>DATE(YEAR(Settings!$C$11),MONTH(Settings!$C$11)+A31,1)</f>
        <v/>
      </c>
      <c r="C31" s="91">
        <f>IF(C30&lt;0.005,0,MAX(0,C30*(1+C$6/12)-C$7))</f>
        <v/>
      </c>
      <c r="D31" s="91">
        <f>IF(D30&lt;0.005,0,MAX(0,D30*(1+D$6/12)-D$7))</f>
        <v/>
      </c>
      <c r="E31" s="91">
        <f>IF(E30&lt;0.005,0,MAX(0,E30*(1+E$6/12)-E$7))</f>
        <v/>
      </c>
      <c r="F31" s="91">
        <f>IF(F30&lt;0.005,0,MAX(0,F30*(1+F$6/12)-F$7))</f>
        <v/>
      </c>
      <c r="G31" s="91">
        <f>IF(G30&lt;0.005,0,MAX(0,G30*(1+G$6/12)-G$7))</f>
        <v/>
      </c>
      <c r="H31" s="91">
        <f>IF(H30&lt;0.005,0,MAX(0,H30*(1+H$6/12)-H$7))</f>
        <v/>
      </c>
      <c r="I31" s="91">
        <f>IF(I30&lt;0.005,0,MAX(0,I30*(1+I$6/12)-I$7))</f>
        <v/>
      </c>
      <c r="J31" s="91">
        <f>IF(J30&lt;0.005,0,MAX(0,J30*(1+J$6/12)-J$7))</f>
        <v/>
      </c>
      <c r="K31" s="91">
        <f>IF(K30&lt;0.005,0,MAX(0,K30*(1+K$6/12)-K$7))</f>
        <v/>
      </c>
      <c r="L31" s="91">
        <f>IF(L30&lt;0.005,0,MAX(0,L30*(1+L$6/12)-L$7))</f>
        <v/>
      </c>
      <c r="M31" s="91">
        <f>SUMPRODUCT(C30:L30,$C$6:$L$6)/12</f>
        <v/>
      </c>
      <c r="N31" s="88">
        <f>SUM(C31:L31)</f>
        <v/>
      </c>
      <c r="P31" s="92">
        <f>IF(Z30&lt;0.005,0,MAX(0,Z30*(1+Z$6/12)-Z$7))</f>
        <v/>
      </c>
      <c r="Q31" s="92">
        <f>IF(AA30&lt;0.005,0,MAX(0,AA30*(1+AA$6/12)-AA$7))</f>
        <v/>
      </c>
      <c r="R31" s="92">
        <f>IF(AB30&lt;0.005,0,MAX(0,AB30*(1+AB$6/12)-AB$7))</f>
        <v/>
      </c>
      <c r="S31" s="92">
        <f>IF(AC30&lt;0.005,0,MAX(0,AC30*(1+AC$6/12)-AC$7))</f>
        <v/>
      </c>
      <c r="T31" s="92">
        <f>IF(AD30&lt;0.005,0,MAX(0,AD30*(1+AD$6/12)-AD$7))</f>
        <v/>
      </c>
      <c r="U31" s="92">
        <f>IF(AE30&lt;0.005,0,MAX(0,AE30*(1+AE$6/12)-AE$7))</f>
        <v/>
      </c>
      <c r="V31" s="92">
        <f>IF(AF30&lt;0.005,0,MAX(0,AF30*(1+AF$6/12)-AF$7))</f>
        <v/>
      </c>
      <c r="W31" s="92">
        <f>IF(AG30&lt;0.005,0,MAX(0,AG30*(1+AG$6/12)-AG$7))</f>
        <v/>
      </c>
      <c r="X31" s="92">
        <f>IF(AH30&lt;0.005,0,MAX(0,AH30*(1+AH$6/12)-AH$7))</f>
        <v/>
      </c>
      <c r="Y31" s="92">
        <f>IF(AI30&lt;0.005,0,MAX(0,AI30*(1+AI$6/12)-AI$7))</f>
        <v/>
      </c>
      <c r="Z31" s="91">
        <f>MAX(0,P31-MAX(0,AK31-0))</f>
        <v/>
      </c>
      <c r="AA31" s="91">
        <f>MAX(0,Q31-MAX(0,AK31-SUM(P31:P31)))</f>
        <v/>
      </c>
      <c r="AB31" s="91">
        <f>MAX(0,R31-MAX(0,AK31-SUM(P31:Q31)))</f>
        <v/>
      </c>
      <c r="AC31" s="91">
        <f>MAX(0,S31-MAX(0,AK31-SUM(P31:R31)))</f>
        <v/>
      </c>
      <c r="AD31" s="91">
        <f>MAX(0,T31-MAX(0,AK31-SUM(P31:S31)))</f>
        <v/>
      </c>
      <c r="AE31" s="91">
        <f>MAX(0,U31-MAX(0,AK31-SUM(P31:T31)))</f>
        <v/>
      </c>
      <c r="AF31" s="91">
        <f>MAX(0,V31-MAX(0,AK31-SUM(P31:U31)))</f>
        <v/>
      </c>
      <c r="AG31" s="91">
        <f>MAX(0,W31-MAX(0,AK31-SUM(P31:V31)))</f>
        <v/>
      </c>
      <c r="AH31" s="91">
        <f>MAX(0,X31-MAX(0,AK31-SUM(P31:W31)))</f>
        <v/>
      </c>
      <c r="AI31" s="91">
        <f>MAX(0,Y31-MAX(0,AK31-SUM(P31:X31)))</f>
        <v/>
      </c>
      <c r="AJ31" s="92">
        <f>SUM(Z30:AI30)+AL31</f>
        <v/>
      </c>
      <c r="AK31" s="92">
        <f>$AK$7-(AJ31-SUM(P31:Y31))</f>
        <v/>
      </c>
      <c r="AL31" s="91">
        <f>SUMPRODUCT(Z30:AI30,$Z$6:$AI$6)/12</f>
        <v/>
      </c>
      <c r="AM31" s="88">
        <f>SUM(Z31:AI31)</f>
        <v/>
      </c>
      <c r="AO31" s="92">
        <f>IF(AY30&lt;0.005,0,MAX(0,AY30*(1+AY$6/12)-AY$7))</f>
        <v/>
      </c>
      <c r="AP31" s="92">
        <f>IF(AZ30&lt;0.005,0,MAX(0,AZ30*(1+AZ$6/12)-AZ$7))</f>
        <v/>
      </c>
      <c r="AQ31" s="92">
        <f>IF(BA30&lt;0.005,0,MAX(0,BA30*(1+BA$6/12)-BA$7))</f>
        <v/>
      </c>
      <c r="AR31" s="92">
        <f>IF(BB30&lt;0.005,0,MAX(0,BB30*(1+BB$6/12)-BB$7))</f>
        <v/>
      </c>
      <c r="AS31" s="92">
        <f>IF(BC30&lt;0.005,0,MAX(0,BC30*(1+BC$6/12)-BC$7))</f>
        <v/>
      </c>
      <c r="AT31" s="92">
        <f>IF(BD30&lt;0.005,0,MAX(0,BD30*(1+BD$6/12)-BD$7))</f>
        <v/>
      </c>
      <c r="AU31" s="92">
        <f>IF(BE30&lt;0.005,0,MAX(0,BE30*(1+BE$6/12)-BE$7))</f>
        <v/>
      </c>
      <c r="AV31" s="92">
        <f>IF(BF30&lt;0.005,0,MAX(0,BF30*(1+BF$6/12)-BF$7))</f>
        <v/>
      </c>
      <c r="AW31" s="92">
        <f>IF(BG30&lt;0.005,0,MAX(0,BG30*(1+BG$6/12)-BG$7))</f>
        <v/>
      </c>
      <c r="AX31" s="92">
        <f>IF(BH30&lt;0.005,0,MAX(0,BH30*(1+BH$6/12)-BH$7))</f>
        <v/>
      </c>
      <c r="AY31" s="91">
        <f>MAX(0,AO31-MAX(0,BJ31-0))</f>
        <v/>
      </c>
      <c r="AZ31" s="91">
        <f>MAX(0,AP31-MAX(0,BJ31-SUM(AO31:AO31)))</f>
        <v/>
      </c>
      <c r="BA31" s="91">
        <f>MAX(0,AQ31-MAX(0,BJ31-SUM(AO31:AP31)))</f>
        <v/>
      </c>
      <c r="BB31" s="91">
        <f>MAX(0,AR31-MAX(0,BJ31-SUM(AO31:AQ31)))</f>
        <v/>
      </c>
      <c r="BC31" s="91">
        <f>MAX(0,AS31-MAX(0,BJ31-SUM(AO31:AR31)))</f>
        <v/>
      </c>
      <c r="BD31" s="91">
        <f>MAX(0,AT31-MAX(0,BJ31-SUM(AO31:AS31)))</f>
        <v/>
      </c>
      <c r="BE31" s="91">
        <f>MAX(0,AU31-MAX(0,BJ31-SUM(AO31:AT31)))</f>
        <v/>
      </c>
      <c r="BF31" s="91">
        <f>MAX(0,AV31-MAX(0,BJ31-SUM(AO31:AU31)))</f>
        <v/>
      </c>
      <c r="BG31" s="91">
        <f>MAX(0,AW31-MAX(0,BJ31-SUM(AO31:AV31)))</f>
        <v/>
      </c>
      <c r="BH31" s="91">
        <f>MAX(0,AX31-MAX(0,BJ31-SUM(AO31:AW31)))</f>
        <v/>
      </c>
      <c r="BI31" s="92">
        <f>SUM(AY30:BH30)+BK31</f>
        <v/>
      </c>
      <c r="BJ31" s="92">
        <f>$BJ$7-(BI31-SUM(AO31:AX31))</f>
        <v/>
      </c>
      <c r="BK31" s="91">
        <f>SUMPRODUCT(AY30:BH30,$AY$6:$BH$6)/12</f>
        <v/>
      </c>
      <c r="BL31" s="88">
        <f>SUM(AY31:BH31)</f>
        <v/>
      </c>
    </row>
    <row r="32">
      <c r="A32" s="24" t="n">
        <v>22</v>
      </c>
      <c r="B32" s="90">
        <f>DATE(YEAR(Settings!$C$11),MONTH(Settings!$C$11)+A32,1)</f>
        <v/>
      </c>
      <c r="C32" s="91">
        <f>IF(C31&lt;0.005,0,MAX(0,C31*(1+C$6/12)-C$7))</f>
        <v/>
      </c>
      <c r="D32" s="91">
        <f>IF(D31&lt;0.005,0,MAX(0,D31*(1+D$6/12)-D$7))</f>
        <v/>
      </c>
      <c r="E32" s="91">
        <f>IF(E31&lt;0.005,0,MAX(0,E31*(1+E$6/12)-E$7))</f>
        <v/>
      </c>
      <c r="F32" s="91">
        <f>IF(F31&lt;0.005,0,MAX(0,F31*(1+F$6/12)-F$7))</f>
        <v/>
      </c>
      <c r="G32" s="91">
        <f>IF(G31&lt;0.005,0,MAX(0,G31*(1+G$6/12)-G$7))</f>
        <v/>
      </c>
      <c r="H32" s="91">
        <f>IF(H31&lt;0.005,0,MAX(0,H31*(1+H$6/12)-H$7))</f>
        <v/>
      </c>
      <c r="I32" s="91">
        <f>IF(I31&lt;0.005,0,MAX(0,I31*(1+I$6/12)-I$7))</f>
        <v/>
      </c>
      <c r="J32" s="91">
        <f>IF(J31&lt;0.005,0,MAX(0,J31*(1+J$6/12)-J$7))</f>
        <v/>
      </c>
      <c r="K32" s="91">
        <f>IF(K31&lt;0.005,0,MAX(0,K31*(1+K$6/12)-K$7))</f>
        <v/>
      </c>
      <c r="L32" s="91">
        <f>IF(L31&lt;0.005,0,MAX(0,L31*(1+L$6/12)-L$7))</f>
        <v/>
      </c>
      <c r="M32" s="91">
        <f>SUMPRODUCT(C31:L31,$C$6:$L$6)/12</f>
        <v/>
      </c>
      <c r="N32" s="88">
        <f>SUM(C32:L32)</f>
        <v/>
      </c>
      <c r="P32" s="92">
        <f>IF(Z31&lt;0.005,0,MAX(0,Z31*(1+Z$6/12)-Z$7))</f>
        <v/>
      </c>
      <c r="Q32" s="92">
        <f>IF(AA31&lt;0.005,0,MAX(0,AA31*(1+AA$6/12)-AA$7))</f>
        <v/>
      </c>
      <c r="R32" s="92">
        <f>IF(AB31&lt;0.005,0,MAX(0,AB31*(1+AB$6/12)-AB$7))</f>
        <v/>
      </c>
      <c r="S32" s="92">
        <f>IF(AC31&lt;0.005,0,MAX(0,AC31*(1+AC$6/12)-AC$7))</f>
        <v/>
      </c>
      <c r="T32" s="92">
        <f>IF(AD31&lt;0.005,0,MAX(0,AD31*(1+AD$6/12)-AD$7))</f>
        <v/>
      </c>
      <c r="U32" s="92">
        <f>IF(AE31&lt;0.005,0,MAX(0,AE31*(1+AE$6/12)-AE$7))</f>
        <v/>
      </c>
      <c r="V32" s="92">
        <f>IF(AF31&lt;0.005,0,MAX(0,AF31*(1+AF$6/12)-AF$7))</f>
        <v/>
      </c>
      <c r="W32" s="92">
        <f>IF(AG31&lt;0.005,0,MAX(0,AG31*(1+AG$6/12)-AG$7))</f>
        <v/>
      </c>
      <c r="X32" s="92">
        <f>IF(AH31&lt;0.005,0,MAX(0,AH31*(1+AH$6/12)-AH$7))</f>
        <v/>
      </c>
      <c r="Y32" s="92">
        <f>IF(AI31&lt;0.005,0,MAX(0,AI31*(1+AI$6/12)-AI$7))</f>
        <v/>
      </c>
      <c r="Z32" s="91">
        <f>MAX(0,P32-MAX(0,AK32-0))</f>
        <v/>
      </c>
      <c r="AA32" s="91">
        <f>MAX(0,Q32-MAX(0,AK32-SUM(P32:P32)))</f>
        <v/>
      </c>
      <c r="AB32" s="91">
        <f>MAX(0,R32-MAX(0,AK32-SUM(P32:Q32)))</f>
        <v/>
      </c>
      <c r="AC32" s="91">
        <f>MAX(0,S32-MAX(0,AK32-SUM(P32:R32)))</f>
        <v/>
      </c>
      <c r="AD32" s="91">
        <f>MAX(0,T32-MAX(0,AK32-SUM(P32:S32)))</f>
        <v/>
      </c>
      <c r="AE32" s="91">
        <f>MAX(0,U32-MAX(0,AK32-SUM(P32:T32)))</f>
        <v/>
      </c>
      <c r="AF32" s="91">
        <f>MAX(0,V32-MAX(0,AK32-SUM(P32:U32)))</f>
        <v/>
      </c>
      <c r="AG32" s="91">
        <f>MAX(0,W32-MAX(0,AK32-SUM(P32:V32)))</f>
        <v/>
      </c>
      <c r="AH32" s="91">
        <f>MAX(0,X32-MAX(0,AK32-SUM(P32:W32)))</f>
        <v/>
      </c>
      <c r="AI32" s="91">
        <f>MAX(0,Y32-MAX(0,AK32-SUM(P32:X32)))</f>
        <v/>
      </c>
      <c r="AJ32" s="92">
        <f>SUM(Z31:AI31)+AL32</f>
        <v/>
      </c>
      <c r="AK32" s="92">
        <f>$AK$7-(AJ32-SUM(P32:Y32))</f>
        <v/>
      </c>
      <c r="AL32" s="91">
        <f>SUMPRODUCT(Z31:AI31,$Z$6:$AI$6)/12</f>
        <v/>
      </c>
      <c r="AM32" s="88">
        <f>SUM(Z32:AI32)</f>
        <v/>
      </c>
      <c r="AO32" s="92">
        <f>IF(AY31&lt;0.005,0,MAX(0,AY31*(1+AY$6/12)-AY$7))</f>
        <v/>
      </c>
      <c r="AP32" s="92">
        <f>IF(AZ31&lt;0.005,0,MAX(0,AZ31*(1+AZ$6/12)-AZ$7))</f>
        <v/>
      </c>
      <c r="AQ32" s="92">
        <f>IF(BA31&lt;0.005,0,MAX(0,BA31*(1+BA$6/12)-BA$7))</f>
        <v/>
      </c>
      <c r="AR32" s="92">
        <f>IF(BB31&lt;0.005,0,MAX(0,BB31*(1+BB$6/12)-BB$7))</f>
        <v/>
      </c>
      <c r="AS32" s="92">
        <f>IF(BC31&lt;0.005,0,MAX(0,BC31*(1+BC$6/12)-BC$7))</f>
        <v/>
      </c>
      <c r="AT32" s="92">
        <f>IF(BD31&lt;0.005,0,MAX(0,BD31*(1+BD$6/12)-BD$7))</f>
        <v/>
      </c>
      <c r="AU32" s="92">
        <f>IF(BE31&lt;0.005,0,MAX(0,BE31*(1+BE$6/12)-BE$7))</f>
        <v/>
      </c>
      <c r="AV32" s="92">
        <f>IF(BF31&lt;0.005,0,MAX(0,BF31*(1+BF$6/12)-BF$7))</f>
        <v/>
      </c>
      <c r="AW32" s="92">
        <f>IF(BG31&lt;0.005,0,MAX(0,BG31*(1+BG$6/12)-BG$7))</f>
        <v/>
      </c>
      <c r="AX32" s="92">
        <f>IF(BH31&lt;0.005,0,MAX(0,BH31*(1+BH$6/12)-BH$7))</f>
        <v/>
      </c>
      <c r="AY32" s="91">
        <f>MAX(0,AO32-MAX(0,BJ32-0))</f>
        <v/>
      </c>
      <c r="AZ32" s="91">
        <f>MAX(0,AP32-MAX(0,BJ32-SUM(AO32:AO32)))</f>
        <v/>
      </c>
      <c r="BA32" s="91">
        <f>MAX(0,AQ32-MAX(0,BJ32-SUM(AO32:AP32)))</f>
        <v/>
      </c>
      <c r="BB32" s="91">
        <f>MAX(0,AR32-MAX(0,BJ32-SUM(AO32:AQ32)))</f>
        <v/>
      </c>
      <c r="BC32" s="91">
        <f>MAX(0,AS32-MAX(0,BJ32-SUM(AO32:AR32)))</f>
        <v/>
      </c>
      <c r="BD32" s="91">
        <f>MAX(0,AT32-MAX(0,BJ32-SUM(AO32:AS32)))</f>
        <v/>
      </c>
      <c r="BE32" s="91">
        <f>MAX(0,AU32-MAX(0,BJ32-SUM(AO32:AT32)))</f>
        <v/>
      </c>
      <c r="BF32" s="91">
        <f>MAX(0,AV32-MAX(0,BJ32-SUM(AO32:AU32)))</f>
        <v/>
      </c>
      <c r="BG32" s="91">
        <f>MAX(0,AW32-MAX(0,BJ32-SUM(AO32:AV32)))</f>
        <v/>
      </c>
      <c r="BH32" s="91">
        <f>MAX(0,AX32-MAX(0,BJ32-SUM(AO32:AW32)))</f>
        <v/>
      </c>
      <c r="BI32" s="92">
        <f>SUM(AY31:BH31)+BK32</f>
        <v/>
      </c>
      <c r="BJ32" s="92">
        <f>$BJ$7-(BI32-SUM(AO32:AX32))</f>
        <v/>
      </c>
      <c r="BK32" s="91">
        <f>SUMPRODUCT(AY31:BH31,$AY$6:$BH$6)/12</f>
        <v/>
      </c>
      <c r="BL32" s="88">
        <f>SUM(AY32:BH32)</f>
        <v/>
      </c>
    </row>
    <row r="33">
      <c r="A33" s="24" t="n">
        <v>23</v>
      </c>
      <c r="B33" s="90">
        <f>DATE(YEAR(Settings!$C$11),MONTH(Settings!$C$11)+A33,1)</f>
        <v/>
      </c>
      <c r="C33" s="91">
        <f>IF(C32&lt;0.005,0,MAX(0,C32*(1+C$6/12)-C$7))</f>
        <v/>
      </c>
      <c r="D33" s="91">
        <f>IF(D32&lt;0.005,0,MAX(0,D32*(1+D$6/12)-D$7))</f>
        <v/>
      </c>
      <c r="E33" s="91">
        <f>IF(E32&lt;0.005,0,MAX(0,E32*(1+E$6/12)-E$7))</f>
        <v/>
      </c>
      <c r="F33" s="91">
        <f>IF(F32&lt;0.005,0,MAX(0,F32*(1+F$6/12)-F$7))</f>
        <v/>
      </c>
      <c r="G33" s="91">
        <f>IF(G32&lt;0.005,0,MAX(0,G32*(1+G$6/12)-G$7))</f>
        <v/>
      </c>
      <c r="H33" s="91">
        <f>IF(H32&lt;0.005,0,MAX(0,H32*(1+H$6/12)-H$7))</f>
        <v/>
      </c>
      <c r="I33" s="91">
        <f>IF(I32&lt;0.005,0,MAX(0,I32*(1+I$6/12)-I$7))</f>
        <v/>
      </c>
      <c r="J33" s="91">
        <f>IF(J32&lt;0.005,0,MAX(0,J32*(1+J$6/12)-J$7))</f>
        <v/>
      </c>
      <c r="K33" s="91">
        <f>IF(K32&lt;0.005,0,MAX(0,K32*(1+K$6/12)-K$7))</f>
        <v/>
      </c>
      <c r="L33" s="91">
        <f>IF(L32&lt;0.005,0,MAX(0,L32*(1+L$6/12)-L$7))</f>
        <v/>
      </c>
      <c r="M33" s="91">
        <f>SUMPRODUCT(C32:L32,$C$6:$L$6)/12</f>
        <v/>
      </c>
      <c r="N33" s="88">
        <f>SUM(C33:L33)</f>
        <v/>
      </c>
      <c r="P33" s="92">
        <f>IF(Z32&lt;0.005,0,MAX(0,Z32*(1+Z$6/12)-Z$7))</f>
        <v/>
      </c>
      <c r="Q33" s="92">
        <f>IF(AA32&lt;0.005,0,MAX(0,AA32*(1+AA$6/12)-AA$7))</f>
        <v/>
      </c>
      <c r="R33" s="92">
        <f>IF(AB32&lt;0.005,0,MAX(0,AB32*(1+AB$6/12)-AB$7))</f>
        <v/>
      </c>
      <c r="S33" s="92">
        <f>IF(AC32&lt;0.005,0,MAX(0,AC32*(1+AC$6/12)-AC$7))</f>
        <v/>
      </c>
      <c r="T33" s="92">
        <f>IF(AD32&lt;0.005,0,MAX(0,AD32*(1+AD$6/12)-AD$7))</f>
        <v/>
      </c>
      <c r="U33" s="92">
        <f>IF(AE32&lt;0.005,0,MAX(0,AE32*(1+AE$6/12)-AE$7))</f>
        <v/>
      </c>
      <c r="V33" s="92">
        <f>IF(AF32&lt;0.005,0,MAX(0,AF32*(1+AF$6/12)-AF$7))</f>
        <v/>
      </c>
      <c r="W33" s="92">
        <f>IF(AG32&lt;0.005,0,MAX(0,AG32*(1+AG$6/12)-AG$7))</f>
        <v/>
      </c>
      <c r="X33" s="92">
        <f>IF(AH32&lt;0.005,0,MAX(0,AH32*(1+AH$6/12)-AH$7))</f>
        <v/>
      </c>
      <c r="Y33" s="92">
        <f>IF(AI32&lt;0.005,0,MAX(0,AI32*(1+AI$6/12)-AI$7))</f>
        <v/>
      </c>
      <c r="Z33" s="91">
        <f>MAX(0,P33-MAX(0,AK33-0))</f>
        <v/>
      </c>
      <c r="AA33" s="91">
        <f>MAX(0,Q33-MAX(0,AK33-SUM(P33:P33)))</f>
        <v/>
      </c>
      <c r="AB33" s="91">
        <f>MAX(0,R33-MAX(0,AK33-SUM(P33:Q33)))</f>
        <v/>
      </c>
      <c r="AC33" s="91">
        <f>MAX(0,S33-MAX(0,AK33-SUM(P33:R33)))</f>
        <v/>
      </c>
      <c r="AD33" s="91">
        <f>MAX(0,T33-MAX(0,AK33-SUM(P33:S33)))</f>
        <v/>
      </c>
      <c r="AE33" s="91">
        <f>MAX(0,U33-MAX(0,AK33-SUM(P33:T33)))</f>
        <v/>
      </c>
      <c r="AF33" s="91">
        <f>MAX(0,V33-MAX(0,AK33-SUM(P33:U33)))</f>
        <v/>
      </c>
      <c r="AG33" s="91">
        <f>MAX(0,W33-MAX(0,AK33-SUM(P33:V33)))</f>
        <v/>
      </c>
      <c r="AH33" s="91">
        <f>MAX(0,X33-MAX(0,AK33-SUM(P33:W33)))</f>
        <v/>
      </c>
      <c r="AI33" s="91">
        <f>MAX(0,Y33-MAX(0,AK33-SUM(P33:X33)))</f>
        <v/>
      </c>
      <c r="AJ33" s="92">
        <f>SUM(Z32:AI32)+AL33</f>
        <v/>
      </c>
      <c r="AK33" s="92">
        <f>$AK$7-(AJ33-SUM(P33:Y33))</f>
        <v/>
      </c>
      <c r="AL33" s="91">
        <f>SUMPRODUCT(Z32:AI32,$Z$6:$AI$6)/12</f>
        <v/>
      </c>
      <c r="AM33" s="88">
        <f>SUM(Z33:AI33)</f>
        <v/>
      </c>
      <c r="AO33" s="92">
        <f>IF(AY32&lt;0.005,0,MAX(0,AY32*(1+AY$6/12)-AY$7))</f>
        <v/>
      </c>
      <c r="AP33" s="92">
        <f>IF(AZ32&lt;0.005,0,MAX(0,AZ32*(1+AZ$6/12)-AZ$7))</f>
        <v/>
      </c>
      <c r="AQ33" s="92">
        <f>IF(BA32&lt;0.005,0,MAX(0,BA32*(1+BA$6/12)-BA$7))</f>
        <v/>
      </c>
      <c r="AR33" s="92">
        <f>IF(BB32&lt;0.005,0,MAX(0,BB32*(1+BB$6/12)-BB$7))</f>
        <v/>
      </c>
      <c r="AS33" s="92">
        <f>IF(BC32&lt;0.005,0,MAX(0,BC32*(1+BC$6/12)-BC$7))</f>
        <v/>
      </c>
      <c r="AT33" s="92">
        <f>IF(BD32&lt;0.005,0,MAX(0,BD32*(1+BD$6/12)-BD$7))</f>
        <v/>
      </c>
      <c r="AU33" s="92">
        <f>IF(BE32&lt;0.005,0,MAX(0,BE32*(1+BE$6/12)-BE$7))</f>
        <v/>
      </c>
      <c r="AV33" s="92">
        <f>IF(BF32&lt;0.005,0,MAX(0,BF32*(1+BF$6/12)-BF$7))</f>
        <v/>
      </c>
      <c r="AW33" s="92">
        <f>IF(BG32&lt;0.005,0,MAX(0,BG32*(1+BG$6/12)-BG$7))</f>
        <v/>
      </c>
      <c r="AX33" s="92">
        <f>IF(BH32&lt;0.005,0,MAX(0,BH32*(1+BH$6/12)-BH$7))</f>
        <v/>
      </c>
      <c r="AY33" s="91">
        <f>MAX(0,AO33-MAX(0,BJ33-0))</f>
        <v/>
      </c>
      <c r="AZ33" s="91">
        <f>MAX(0,AP33-MAX(0,BJ33-SUM(AO33:AO33)))</f>
        <v/>
      </c>
      <c r="BA33" s="91">
        <f>MAX(0,AQ33-MAX(0,BJ33-SUM(AO33:AP33)))</f>
        <v/>
      </c>
      <c r="BB33" s="91">
        <f>MAX(0,AR33-MAX(0,BJ33-SUM(AO33:AQ33)))</f>
        <v/>
      </c>
      <c r="BC33" s="91">
        <f>MAX(0,AS33-MAX(0,BJ33-SUM(AO33:AR33)))</f>
        <v/>
      </c>
      <c r="BD33" s="91">
        <f>MAX(0,AT33-MAX(0,BJ33-SUM(AO33:AS33)))</f>
        <v/>
      </c>
      <c r="BE33" s="91">
        <f>MAX(0,AU33-MAX(0,BJ33-SUM(AO33:AT33)))</f>
        <v/>
      </c>
      <c r="BF33" s="91">
        <f>MAX(0,AV33-MAX(0,BJ33-SUM(AO33:AU33)))</f>
        <v/>
      </c>
      <c r="BG33" s="91">
        <f>MAX(0,AW33-MAX(0,BJ33-SUM(AO33:AV33)))</f>
        <v/>
      </c>
      <c r="BH33" s="91">
        <f>MAX(0,AX33-MAX(0,BJ33-SUM(AO33:AW33)))</f>
        <v/>
      </c>
      <c r="BI33" s="92">
        <f>SUM(AY32:BH32)+BK33</f>
        <v/>
      </c>
      <c r="BJ33" s="92">
        <f>$BJ$7-(BI33-SUM(AO33:AX33))</f>
        <v/>
      </c>
      <c r="BK33" s="91">
        <f>SUMPRODUCT(AY32:BH32,$AY$6:$BH$6)/12</f>
        <v/>
      </c>
      <c r="BL33" s="88">
        <f>SUM(AY33:BH33)</f>
        <v/>
      </c>
    </row>
    <row r="34">
      <c r="A34" s="24" t="n">
        <v>24</v>
      </c>
      <c r="B34" s="90">
        <f>DATE(YEAR(Settings!$C$11),MONTH(Settings!$C$11)+A34,1)</f>
        <v/>
      </c>
      <c r="C34" s="91">
        <f>IF(C33&lt;0.005,0,MAX(0,C33*(1+C$6/12)-C$7))</f>
        <v/>
      </c>
      <c r="D34" s="91">
        <f>IF(D33&lt;0.005,0,MAX(0,D33*(1+D$6/12)-D$7))</f>
        <v/>
      </c>
      <c r="E34" s="91">
        <f>IF(E33&lt;0.005,0,MAX(0,E33*(1+E$6/12)-E$7))</f>
        <v/>
      </c>
      <c r="F34" s="91">
        <f>IF(F33&lt;0.005,0,MAX(0,F33*(1+F$6/12)-F$7))</f>
        <v/>
      </c>
      <c r="G34" s="91">
        <f>IF(G33&lt;0.005,0,MAX(0,G33*(1+G$6/12)-G$7))</f>
        <v/>
      </c>
      <c r="H34" s="91">
        <f>IF(H33&lt;0.005,0,MAX(0,H33*(1+H$6/12)-H$7))</f>
        <v/>
      </c>
      <c r="I34" s="91">
        <f>IF(I33&lt;0.005,0,MAX(0,I33*(1+I$6/12)-I$7))</f>
        <v/>
      </c>
      <c r="J34" s="91">
        <f>IF(J33&lt;0.005,0,MAX(0,J33*(1+J$6/12)-J$7))</f>
        <v/>
      </c>
      <c r="K34" s="91">
        <f>IF(K33&lt;0.005,0,MAX(0,K33*(1+K$6/12)-K$7))</f>
        <v/>
      </c>
      <c r="L34" s="91">
        <f>IF(L33&lt;0.005,0,MAX(0,L33*(1+L$6/12)-L$7))</f>
        <v/>
      </c>
      <c r="M34" s="91">
        <f>SUMPRODUCT(C33:L33,$C$6:$L$6)/12</f>
        <v/>
      </c>
      <c r="N34" s="88">
        <f>SUM(C34:L34)</f>
        <v/>
      </c>
      <c r="P34" s="92">
        <f>IF(Z33&lt;0.005,0,MAX(0,Z33*(1+Z$6/12)-Z$7))</f>
        <v/>
      </c>
      <c r="Q34" s="92">
        <f>IF(AA33&lt;0.005,0,MAX(0,AA33*(1+AA$6/12)-AA$7))</f>
        <v/>
      </c>
      <c r="R34" s="92">
        <f>IF(AB33&lt;0.005,0,MAX(0,AB33*(1+AB$6/12)-AB$7))</f>
        <v/>
      </c>
      <c r="S34" s="92">
        <f>IF(AC33&lt;0.005,0,MAX(0,AC33*(1+AC$6/12)-AC$7))</f>
        <v/>
      </c>
      <c r="T34" s="92">
        <f>IF(AD33&lt;0.005,0,MAX(0,AD33*(1+AD$6/12)-AD$7))</f>
        <v/>
      </c>
      <c r="U34" s="92">
        <f>IF(AE33&lt;0.005,0,MAX(0,AE33*(1+AE$6/12)-AE$7))</f>
        <v/>
      </c>
      <c r="V34" s="92">
        <f>IF(AF33&lt;0.005,0,MAX(0,AF33*(1+AF$6/12)-AF$7))</f>
        <v/>
      </c>
      <c r="W34" s="92">
        <f>IF(AG33&lt;0.005,0,MAX(0,AG33*(1+AG$6/12)-AG$7))</f>
        <v/>
      </c>
      <c r="X34" s="92">
        <f>IF(AH33&lt;0.005,0,MAX(0,AH33*(1+AH$6/12)-AH$7))</f>
        <v/>
      </c>
      <c r="Y34" s="92">
        <f>IF(AI33&lt;0.005,0,MAX(0,AI33*(1+AI$6/12)-AI$7))</f>
        <v/>
      </c>
      <c r="Z34" s="91">
        <f>MAX(0,P34-MAX(0,AK34-0))</f>
        <v/>
      </c>
      <c r="AA34" s="91">
        <f>MAX(0,Q34-MAX(0,AK34-SUM(P34:P34)))</f>
        <v/>
      </c>
      <c r="AB34" s="91">
        <f>MAX(0,R34-MAX(0,AK34-SUM(P34:Q34)))</f>
        <v/>
      </c>
      <c r="AC34" s="91">
        <f>MAX(0,S34-MAX(0,AK34-SUM(P34:R34)))</f>
        <v/>
      </c>
      <c r="AD34" s="91">
        <f>MAX(0,T34-MAX(0,AK34-SUM(P34:S34)))</f>
        <v/>
      </c>
      <c r="AE34" s="91">
        <f>MAX(0,U34-MAX(0,AK34-SUM(P34:T34)))</f>
        <v/>
      </c>
      <c r="AF34" s="91">
        <f>MAX(0,V34-MAX(0,AK34-SUM(P34:U34)))</f>
        <v/>
      </c>
      <c r="AG34" s="91">
        <f>MAX(0,W34-MAX(0,AK34-SUM(P34:V34)))</f>
        <v/>
      </c>
      <c r="AH34" s="91">
        <f>MAX(0,X34-MAX(0,AK34-SUM(P34:W34)))</f>
        <v/>
      </c>
      <c r="AI34" s="91">
        <f>MAX(0,Y34-MAX(0,AK34-SUM(P34:X34)))</f>
        <v/>
      </c>
      <c r="AJ34" s="92">
        <f>SUM(Z33:AI33)+AL34</f>
        <v/>
      </c>
      <c r="AK34" s="92">
        <f>$AK$7-(AJ34-SUM(P34:Y34))</f>
        <v/>
      </c>
      <c r="AL34" s="91">
        <f>SUMPRODUCT(Z33:AI33,$Z$6:$AI$6)/12</f>
        <v/>
      </c>
      <c r="AM34" s="88">
        <f>SUM(Z34:AI34)</f>
        <v/>
      </c>
      <c r="AO34" s="92">
        <f>IF(AY33&lt;0.005,0,MAX(0,AY33*(1+AY$6/12)-AY$7))</f>
        <v/>
      </c>
      <c r="AP34" s="92">
        <f>IF(AZ33&lt;0.005,0,MAX(0,AZ33*(1+AZ$6/12)-AZ$7))</f>
        <v/>
      </c>
      <c r="AQ34" s="92">
        <f>IF(BA33&lt;0.005,0,MAX(0,BA33*(1+BA$6/12)-BA$7))</f>
        <v/>
      </c>
      <c r="AR34" s="92">
        <f>IF(BB33&lt;0.005,0,MAX(0,BB33*(1+BB$6/12)-BB$7))</f>
        <v/>
      </c>
      <c r="AS34" s="92">
        <f>IF(BC33&lt;0.005,0,MAX(0,BC33*(1+BC$6/12)-BC$7))</f>
        <v/>
      </c>
      <c r="AT34" s="92">
        <f>IF(BD33&lt;0.005,0,MAX(0,BD33*(1+BD$6/12)-BD$7))</f>
        <v/>
      </c>
      <c r="AU34" s="92">
        <f>IF(BE33&lt;0.005,0,MAX(0,BE33*(1+BE$6/12)-BE$7))</f>
        <v/>
      </c>
      <c r="AV34" s="92">
        <f>IF(BF33&lt;0.005,0,MAX(0,BF33*(1+BF$6/12)-BF$7))</f>
        <v/>
      </c>
      <c r="AW34" s="92">
        <f>IF(BG33&lt;0.005,0,MAX(0,BG33*(1+BG$6/12)-BG$7))</f>
        <v/>
      </c>
      <c r="AX34" s="92">
        <f>IF(BH33&lt;0.005,0,MAX(0,BH33*(1+BH$6/12)-BH$7))</f>
        <v/>
      </c>
      <c r="AY34" s="91">
        <f>MAX(0,AO34-MAX(0,BJ34-0))</f>
        <v/>
      </c>
      <c r="AZ34" s="91">
        <f>MAX(0,AP34-MAX(0,BJ34-SUM(AO34:AO34)))</f>
        <v/>
      </c>
      <c r="BA34" s="91">
        <f>MAX(0,AQ34-MAX(0,BJ34-SUM(AO34:AP34)))</f>
        <v/>
      </c>
      <c r="BB34" s="91">
        <f>MAX(0,AR34-MAX(0,BJ34-SUM(AO34:AQ34)))</f>
        <v/>
      </c>
      <c r="BC34" s="91">
        <f>MAX(0,AS34-MAX(0,BJ34-SUM(AO34:AR34)))</f>
        <v/>
      </c>
      <c r="BD34" s="91">
        <f>MAX(0,AT34-MAX(0,BJ34-SUM(AO34:AS34)))</f>
        <v/>
      </c>
      <c r="BE34" s="91">
        <f>MAX(0,AU34-MAX(0,BJ34-SUM(AO34:AT34)))</f>
        <v/>
      </c>
      <c r="BF34" s="91">
        <f>MAX(0,AV34-MAX(0,BJ34-SUM(AO34:AU34)))</f>
        <v/>
      </c>
      <c r="BG34" s="91">
        <f>MAX(0,AW34-MAX(0,BJ34-SUM(AO34:AV34)))</f>
        <v/>
      </c>
      <c r="BH34" s="91">
        <f>MAX(0,AX34-MAX(0,BJ34-SUM(AO34:AW34)))</f>
        <v/>
      </c>
      <c r="BI34" s="92">
        <f>SUM(AY33:BH33)+BK34</f>
        <v/>
      </c>
      <c r="BJ34" s="92">
        <f>$BJ$7-(BI34-SUM(AO34:AX34))</f>
        <v/>
      </c>
      <c r="BK34" s="91">
        <f>SUMPRODUCT(AY33:BH33,$AY$6:$BH$6)/12</f>
        <v/>
      </c>
      <c r="BL34" s="88">
        <f>SUM(AY34:BH34)</f>
        <v/>
      </c>
    </row>
    <row r="35">
      <c r="A35" s="24" t="n">
        <v>25</v>
      </c>
      <c r="B35" s="90">
        <f>DATE(YEAR(Settings!$C$11),MONTH(Settings!$C$11)+A35,1)</f>
        <v/>
      </c>
      <c r="C35" s="91">
        <f>IF(C34&lt;0.005,0,MAX(0,C34*(1+C$6/12)-C$7))</f>
        <v/>
      </c>
      <c r="D35" s="91">
        <f>IF(D34&lt;0.005,0,MAX(0,D34*(1+D$6/12)-D$7))</f>
        <v/>
      </c>
      <c r="E35" s="91">
        <f>IF(E34&lt;0.005,0,MAX(0,E34*(1+E$6/12)-E$7))</f>
        <v/>
      </c>
      <c r="F35" s="91">
        <f>IF(F34&lt;0.005,0,MAX(0,F34*(1+F$6/12)-F$7))</f>
        <v/>
      </c>
      <c r="G35" s="91">
        <f>IF(G34&lt;0.005,0,MAX(0,G34*(1+G$6/12)-G$7))</f>
        <v/>
      </c>
      <c r="H35" s="91">
        <f>IF(H34&lt;0.005,0,MAX(0,H34*(1+H$6/12)-H$7))</f>
        <v/>
      </c>
      <c r="I35" s="91">
        <f>IF(I34&lt;0.005,0,MAX(0,I34*(1+I$6/12)-I$7))</f>
        <v/>
      </c>
      <c r="J35" s="91">
        <f>IF(J34&lt;0.005,0,MAX(0,J34*(1+J$6/12)-J$7))</f>
        <v/>
      </c>
      <c r="K35" s="91">
        <f>IF(K34&lt;0.005,0,MAX(0,K34*(1+K$6/12)-K$7))</f>
        <v/>
      </c>
      <c r="L35" s="91">
        <f>IF(L34&lt;0.005,0,MAX(0,L34*(1+L$6/12)-L$7))</f>
        <v/>
      </c>
      <c r="M35" s="91">
        <f>SUMPRODUCT(C34:L34,$C$6:$L$6)/12</f>
        <v/>
      </c>
      <c r="N35" s="88">
        <f>SUM(C35:L35)</f>
        <v/>
      </c>
      <c r="P35" s="92">
        <f>IF(Z34&lt;0.005,0,MAX(0,Z34*(1+Z$6/12)-Z$7))</f>
        <v/>
      </c>
      <c r="Q35" s="92">
        <f>IF(AA34&lt;0.005,0,MAX(0,AA34*(1+AA$6/12)-AA$7))</f>
        <v/>
      </c>
      <c r="R35" s="92">
        <f>IF(AB34&lt;0.005,0,MAX(0,AB34*(1+AB$6/12)-AB$7))</f>
        <v/>
      </c>
      <c r="S35" s="92">
        <f>IF(AC34&lt;0.005,0,MAX(0,AC34*(1+AC$6/12)-AC$7))</f>
        <v/>
      </c>
      <c r="T35" s="92">
        <f>IF(AD34&lt;0.005,0,MAX(0,AD34*(1+AD$6/12)-AD$7))</f>
        <v/>
      </c>
      <c r="U35" s="92">
        <f>IF(AE34&lt;0.005,0,MAX(0,AE34*(1+AE$6/12)-AE$7))</f>
        <v/>
      </c>
      <c r="V35" s="92">
        <f>IF(AF34&lt;0.005,0,MAX(0,AF34*(1+AF$6/12)-AF$7))</f>
        <v/>
      </c>
      <c r="W35" s="92">
        <f>IF(AG34&lt;0.005,0,MAX(0,AG34*(1+AG$6/12)-AG$7))</f>
        <v/>
      </c>
      <c r="X35" s="92">
        <f>IF(AH34&lt;0.005,0,MAX(0,AH34*(1+AH$6/12)-AH$7))</f>
        <v/>
      </c>
      <c r="Y35" s="92">
        <f>IF(AI34&lt;0.005,0,MAX(0,AI34*(1+AI$6/12)-AI$7))</f>
        <v/>
      </c>
      <c r="Z35" s="91">
        <f>MAX(0,P35-MAX(0,AK35-0))</f>
        <v/>
      </c>
      <c r="AA35" s="91">
        <f>MAX(0,Q35-MAX(0,AK35-SUM(P35:P35)))</f>
        <v/>
      </c>
      <c r="AB35" s="91">
        <f>MAX(0,R35-MAX(0,AK35-SUM(P35:Q35)))</f>
        <v/>
      </c>
      <c r="AC35" s="91">
        <f>MAX(0,S35-MAX(0,AK35-SUM(P35:R35)))</f>
        <v/>
      </c>
      <c r="AD35" s="91">
        <f>MAX(0,T35-MAX(0,AK35-SUM(P35:S35)))</f>
        <v/>
      </c>
      <c r="AE35" s="91">
        <f>MAX(0,U35-MAX(0,AK35-SUM(P35:T35)))</f>
        <v/>
      </c>
      <c r="AF35" s="91">
        <f>MAX(0,V35-MAX(0,AK35-SUM(P35:U35)))</f>
        <v/>
      </c>
      <c r="AG35" s="91">
        <f>MAX(0,W35-MAX(0,AK35-SUM(P35:V35)))</f>
        <v/>
      </c>
      <c r="AH35" s="91">
        <f>MAX(0,X35-MAX(0,AK35-SUM(P35:W35)))</f>
        <v/>
      </c>
      <c r="AI35" s="91">
        <f>MAX(0,Y35-MAX(0,AK35-SUM(P35:X35)))</f>
        <v/>
      </c>
      <c r="AJ35" s="92">
        <f>SUM(Z34:AI34)+AL35</f>
        <v/>
      </c>
      <c r="AK35" s="92">
        <f>$AK$7-(AJ35-SUM(P35:Y35))</f>
        <v/>
      </c>
      <c r="AL35" s="91">
        <f>SUMPRODUCT(Z34:AI34,$Z$6:$AI$6)/12</f>
        <v/>
      </c>
      <c r="AM35" s="88">
        <f>SUM(Z35:AI35)</f>
        <v/>
      </c>
      <c r="AO35" s="92">
        <f>IF(AY34&lt;0.005,0,MAX(0,AY34*(1+AY$6/12)-AY$7))</f>
        <v/>
      </c>
      <c r="AP35" s="92">
        <f>IF(AZ34&lt;0.005,0,MAX(0,AZ34*(1+AZ$6/12)-AZ$7))</f>
        <v/>
      </c>
      <c r="AQ35" s="92">
        <f>IF(BA34&lt;0.005,0,MAX(0,BA34*(1+BA$6/12)-BA$7))</f>
        <v/>
      </c>
      <c r="AR35" s="92">
        <f>IF(BB34&lt;0.005,0,MAX(0,BB34*(1+BB$6/12)-BB$7))</f>
        <v/>
      </c>
      <c r="AS35" s="92">
        <f>IF(BC34&lt;0.005,0,MAX(0,BC34*(1+BC$6/12)-BC$7))</f>
        <v/>
      </c>
      <c r="AT35" s="92">
        <f>IF(BD34&lt;0.005,0,MAX(0,BD34*(1+BD$6/12)-BD$7))</f>
        <v/>
      </c>
      <c r="AU35" s="92">
        <f>IF(BE34&lt;0.005,0,MAX(0,BE34*(1+BE$6/12)-BE$7))</f>
        <v/>
      </c>
      <c r="AV35" s="92">
        <f>IF(BF34&lt;0.005,0,MAX(0,BF34*(1+BF$6/12)-BF$7))</f>
        <v/>
      </c>
      <c r="AW35" s="92">
        <f>IF(BG34&lt;0.005,0,MAX(0,BG34*(1+BG$6/12)-BG$7))</f>
        <v/>
      </c>
      <c r="AX35" s="92">
        <f>IF(BH34&lt;0.005,0,MAX(0,BH34*(1+BH$6/12)-BH$7))</f>
        <v/>
      </c>
      <c r="AY35" s="91">
        <f>MAX(0,AO35-MAX(0,BJ35-0))</f>
        <v/>
      </c>
      <c r="AZ35" s="91">
        <f>MAX(0,AP35-MAX(0,BJ35-SUM(AO35:AO35)))</f>
        <v/>
      </c>
      <c r="BA35" s="91">
        <f>MAX(0,AQ35-MAX(0,BJ35-SUM(AO35:AP35)))</f>
        <v/>
      </c>
      <c r="BB35" s="91">
        <f>MAX(0,AR35-MAX(0,BJ35-SUM(AO35:AQ35)))</f>
        <v/>
      </c>
      <c r="BC35" s="91">
        <f>MAX(0,AS35-MAX(0,BJ35-SUM(AO35:AR35)))</f>
        <v/>
      </c>
      <c r="BD35" s="91">
        <f>MAX(0,AT35-MAX(0,BJ35-SUM(AO35:AS35)))</f>
        <v/>
      </c>
      <c r="BE35" s="91">
        <f>MAX(0,AU35-MAX(0,BJ35-SUM(AO35:AT35)))</f>
        <v/>
      </c>
      <c r="BF35" s="91">
        <f>MAX(0,AV35-MAX(0,BJ35-SUM(AO35:AU35)))</f>
        <v/>
      </c>
      <c r="BG35" s="91">
        <f>MAX(0,AW35-MAX(0,BJ35-SUM(AO35:AV35)))</f>
        <v/>
      </c>
      <c r="BH35" s="91">
        <f>MAX(0,AX35-MAX(0,BJ35-SUM(AO35:AW35)))</f>
        <v/>
      </c>
      <c r="BI35" s="92">
        <f>SUM(AY34:BH34)+BK35</f>
        <v/>
      </c>
      <c r="BJ35" s="92">
        <f>$BJ$7-(BI35-SUM(AO35:AX35))</f>
        <v/>
      </c>
      <c r="BK35" s="91">
        <f>SUMPRODUCT(AY34:BH34,$AY$6:$BH$6)/12</f>
        <v/>
      </c>
      <c r="BL35" s="88">
        <f>SUM(AY35:BH35)</f>
        <v/>
      </c>
    </row>
    <row r="36">
      <c r="A36" s="24" t="n">
        <v>26</v>
      </c>
      <c r="B36" s="90">
        <f>DATE(YEAR(Settings!$C$11),MONTH(Settings!$C$11)+A36,1)</f>
        <v/>
      </c>
      <c r="C36" s="91">
        <f>IF(C35&lt;0.005,0,MAX(0,C35*(1+C$6/12)-C$7))</f>
        <v/>
      </c>
      <c r="D36" s="91">
        <f>IF(D35&lt;0.005,0,MAX(0,D35*(1+D$6/12)-D$7))</f>
        <v/>
      </c>
      <c r="E36" s="91">
        <f>IF(E35&lt;0.005,0,MAX(0,E35*(1+E$6/12)-E$7))</f>
        <v/>
      </c>
      <c r="F36" s="91">
        <f>IF(F35&lt;0.005,0,MAX(0,F35*(1+F$6/12)-F$7))</f>
        <v/>
      </c>
      <c r="G36" s="91">
        <f>IF(G35&lt;0.005,0,MAX(0,G35*(1+G$6/12)-G$7))</f>
        <v/>
      </c>
      <c r="H36" s="91">
        <f>IF(H35&lt;0.005,0,MAX(0,H35*(1+H$6/12)-H$7))</f>
        <v/>
      </c>
      <c r="I36" s="91">
        <f>IF(I35&lt;0.005,0,MAX(0,I35*(1+I$6/12)-I$7))</f>
        <v/>
      </c>
      <c r="J36" s="91">
        <f>IF(J35&lt;0.005,0,MAX(0,J35*(1+J$6/12)-J$7))</f>
        <v/>
      </c>
      <c r="K36" s="91">
        <f>IF(K35&lt;0.005,0,MAX(0,K35*(1+K$6/12)-K$7))</f>
        <v/>
      </c>
      <c r="L36" s="91">
        <f>IF(L35&lt;0.005,0,MAX(0,L35*(1+L$6/12)-L$7))</f>
        <v/>
      </c>
      <c r="M36" s="91">
        <f>SUMPRODUCT(C35:L35,$C$6:$L$6)/12</f>
        <v/>
      </c>
      <c r="N36" s="88">
        <f>SUM(C36:L36)</f>
        <v/>
      </c>
      <c r="P36" s="92">
        <f>IF(Z35&lt;0.005,0,MAX(0,Z35*(1+Z$6/12)-Z$7))</f>
        <v/>
      </c>
      <c r="Q36" s="92">
        <f>IF(AA35&lt;0.005,0,MAX(0,AA35*(1+AA$6/12)-AA$7))</f>
        <v/>
      </c>
      <c r="R36" s="92">
        <f>IF(AB35&lt;0.005,0,MAX(0,AB35*(1+AB$6/12)-AB$7))</f>
        <v/>
      </c>
      <c r="S36" s="92">
        <f>IF(AC35&lt;0.005,0,MAX(0,AC35*(1+AC$6/12)-AC$7))</f>
        <v/>
      </c>
      <c r="T36" s="92">
        <f>IF(AD35&lt;0.005,0,MAX(0,AD35*(1+AD$6/12)-AD$7))</f>
        <v/>
      </c>
      <c r="U36" s="92">
        <f>IF(AE35&lt;0.005,0,MAX(0,AE35*(1+AE$6/12)-AE$7))</f>
        <v/>
      </c>
      <c r="V36" s="92">
        <f>IF(AF35&lt;0.005,0,MAX(0,AF35*(1+AF$6/12)-AF$7))</f>
        <v/>
      </c>
      <c r="W36" s="92">
        <f>IF(AG35&lt;0.005,0,MAX(0,AG35*(1+AG$6/12)-AG$7))</f>
        <v/>
      </c>
      <c r="X36" s="92">
        <f>IF(AH35&lt;0.005,0,MAX(0,AH35*(1+AH$6/12)-AH$7))</f>
        <v/>
      </c>
      <c r="Y36" s="92">
        <f>IF(AI35&lt;0.005,0,MAX(0,AI35*(1+AI$6/12)-AI$7))</f>
        <v/>
      </c>
      <c r="Z36" s="91">
        <f>MAX(0,P36-MAX(0,AK36-0))</f>
        <v/>
      </c>
      <c r="AA36" s="91">
        <f>MAX(0,Q36-MAX(0,AK36-SUM(P36:P36)))</f>
        <v/>
      </c>
      <c r="AB36" s="91">
        <f>MAX(0,R36-MAX(0,AK36-SUM(P36:Q36)))</f>
        <v/>
      </c>
      <c r="AC36" s="91">
        <f>MAX(0,S36-MAX(0,AK36-SUM(P36:R36)))</f>
        <v/>
      </c>
      <c r="AD36" s="91">
        <f>MAX(0,T36-MAX(0,AK36-SUM(P36:S36)))</f>
        <v/>
      </c>
      <c r="AE36" s="91">
        <f>MAX(0,U36-MAX(0,AK36-SUM(P36:T36)))</f>
        <v/>
      </c>
      <c r="AF36" s="91">
        <f>MAX(0,V36-MAX(0,AK36-SUM(P36:U36)))</f>
        <v/>
      </c>
      <c r="AG36" s="91">
        <f>MAX(0,W36-MAX(0,AK36-SUM(P36:V36)))</f>
        <v/>
      </c>
      <c r="AH36" s="91">
        <f>MAX(0,X36-MAX(0,AK36-SUM(P36:W36)))</f>
        <v/>
      </c>
      <c r="AI36" s="91">
        <f>MAX(0,Y36-MAX(0,AK36-SUM(P36:X36)))</f>
        <v/>
      </c>
      <c r="AJ36" s="92">
        <f>SUM(Z35:AI35)+AL36</f>
        <v/>
      </c>
      <c r="AK36" s="92">
        <f>$AK$7-(AJ36-SUM(P36:Y36))</f>
        <v/>
      </c>
      <c r="AL36" s="91">
        <f>SUMPRODUCT(Z35:AI35,$Z$6:$AI$6)/12</f>
        <v/>
      </c>
      <c r="AM36" s="88">
        <f>SUM(Z36:AI36)</f>
        <v/>
      </c>
      <c r="AO36" s="92">
        <f>IF(AY35&lt;0.005,0,MAX(0,AY35*(1+AY$6/12)-AY$7))</f>
        <v/>
      </c>
      <c r="AP36" s="92">
        <f>IF(AZ35&lt;0.005,0,MAX(0,AZ35*(1+AZ$6/12)-AZ$7))</f>
        <v/>
      </c>
      <c r="AQ36" s="92">
        <f>IF(BA35&lt;0.005,0,MAX(0,BA35*(1+BA$6/12)-BA$7))</f>
        <v/>
      </c>
      <c r="AR36" s="92">
        <f>IF(BB35&lt;0.005,0,MAX(0,BB35*(1+BB$6/12)-BB$7))</f>
        <v/>
      </c>
      <c r="AS36" s="92">
        <f>IF(BC35&lt;0.005,0,MAX(0,BC35*(1+BC$6/12)-BC$7))</f>
        <v/>
      </c>
      <c r="AT36" s="92">
        <f>IF(BD35&lt;0.005,0,MAX(0,BD35*(1+BD$6/12)-BD$7))</f>
        <v/>
      </c>
      <c r="AU36" s="92">
        <f>IF(BE35&lt;0.005,0,MAX(0,BE35*(1+BE$6/12)-BE$7))</f>
        <v/>
      </c>
      <c r="AV36" s="92">
        <f>IF(BF35&lt;0.005,0,MAX(0,BF35*(1+BF$6/12)-BF$7))</f>
        <v/>
      </c>
      <c r="AW36" s="92">
        <f>IF(BG35&lt;0.005,0,MAX(0,BG35*(1+BG$6/12)-BG$7))</f>
        <v/>
      </c>
      <c r="AX36" s="92">
        <f>IF(BH35&lt;0.005,0,MAX(0,BH35*(1+BH$6/12)-BH$7))</f>
        <v/>
      </c>
      <c r="AY36" s="91">
        <f>MAX(0,AO36-MAX(0,BJ36-0))</f>
        <v/>
      </c>
      <c r="AZ36" s="91">
        <f>MAX(0,AP36-MAX(0,BJ36-SUM(AO36:AO36)))</f>
        <v/>
      </c>
      <c r="BA36" s="91">
        <f>MAX(0,AQ36-MAX(0,BJ36-SUM(AO36:AP36)))</f>
        <v/>
      </c>
      <c r="BB36" s="91">
        <f>MAX(0,AR36-MAX(0,BJ36-SUM(AO36:AQ36)))</f>
        <v/>
      </c>
      <c r="BC36" s="91">
        <f>MAX(0,AS36-MAX(0,BJ36-SUM(AO36:AR36)))</f>
        <v/>
      </c>
      <c r="BD36" s="91">
        <f>MAX(0,AT36-MAX(0,BJ36-SUM(AO36:AS36)))</f>
        <v/>
      </c>
      <c r="BE36" s="91">
        <f>MAX(0,AU36-MAX(0,BJ36-SUM(AO36:AT36)))</f>
        <v/>
      </c>
      <c r="BF36" s="91">
        <f>MAX(0,AV36-MAX(0,BJ36-SUM(AO36:AU36)))</f>
        <v/>
      </c>
      <c r="BG36" s="91">
        <f>MAX(0,AW36-MAX(0,BJ36-SUM(AO36:AV36)))</f>
        <v/>
      </c>
      <c r="BH36" s="91">
        <f>MAX(0,AX36-MAX(0,BJ36-SUM(AO36:AW36)))</f>
        <v/>
      </c>
      <c r="BI36" s="92">
        <f>SUM(AY35:BH35)+BK36</f>
        <v/>
      </c>
      <c r="BJ36" s="92">
        <f>$BJ$7-(BI36-SUM(AO36:AX36))</f>
        <v/>
      </c>
      <c r="BK36" s="91">
        <f>SUMPRODUCT(AY35:BH35,$AY$6:$BH$6)/12</f>
        <v/>
      </c>
      <c r="BL36" s="88">
        <f>SUM(AY36:BH36)</f>
        <v/>
      </c>
    </row>
    <row r="37">
      <c r="A37" s="24" t="n">
        <v>27</v>
      </c>
      <c r="B37" s="90">
        <f>DATE(YEAR(Settings!$C$11),MONTH(Settings!$C$11)+A37,1)</f>
        <v/>
      </c>
      <c r="C37" s="91">
        <f>IF(C36&lt;0.005,0,MAX(0,C36*(1+C$6/12)-C$7))</f>
        <v/>
      </c>
      <c r="D37" s="91">
        <f>IF(D36&lt;0.005,0,MAX(0,D36*(1+D$6/12)-D$7))</f>
        <v/>
      </c>
      <c r="E37" s="91">
        <f>IF(E36&lt;0.005,0,MAX(0,E36*(1+E$6/12)-E$7))</f>
        <v/>
      </c>
      <c r="F37" s="91">
        <f>IF(F36&lt;0.005,0,MAX(0,F36*(1+F$6/12)-F$7))</f>
        <v/>
      </c>
      <c r="G37" s="91">
        <f>IF(G36&lt;0.005,0,MAX(0,G36*(1+G$6/12)-G$7))</f>
        <v/>
      </c>
      <c r="H37" s="91">
        <f>IF(H36&lt;0.005,0,MAX(0,H36*(1+H$6/12)-H$7))</f>
        <v/>
      </c>
      <c r="I37" s="91">
        <f>IF(I36&lt;0.005,0,MAX(0,I36*(1+I$6/12)-I$7))</f>
        <v/>
      </c>
      <c r="J37" s="91">
        <f>IF(J36&lt;0.005,0,MAX(0,J36*(1+J$6/12)-J$7))</f>
        <v/>
      </c>
      <c r="K37" s="91">
        <f>IF(K36&lt;0.005,0,MAX(0,K36*(1+K$6/12)-K$7))</f>
        <v/>
      </c>
      <c r="L37" s="91">
        <f>IF(L36&lt;0.005,0,MAX(0,L36*(1+L$6/12)-L$7))</f>
        <v/>
      </c>
      <c r="M37" s="91">
        <f>SUMPRODUCT(C36:L36,$C$6:$L$6)/12</f>
        <v/>
      </c>
      <c r="N37" s="88">
        <f>SUM(C37:L37)</f>
        <v/>
      </c>
      <c r="P37" s="92">
        <f>IF(Z36&lt;0.005,0,MAX(0,Z36*(1+Z$6/12)-Z$7))</f>
        <v/>
      </c>
      <c r="Q37" s="92">
        <f>IF(AA36&lt;0.005,0,MAX(0,AA36*(1+AA$6/12)-AA$7))</f>
        <v/>
      </c>
      <c r="R37" s="92">
        <f>IF(AB36&lt;0.005,0,MAX(0,AB36*(1+AB$6/12)-AB$7))</f>
        <v/>
      </c>
      <c r="S37" s="92">
        <f>IF(AC36&lt;0.005,0,MAX(0,AC36*(1+AC$6/12)-AC$7))</f>
        <v/>
      </c>
      <c r="T37" s="92">
        <f>IF(AD36&lt;0.005,0,MAX(0,AD36*(1+AD$6/12)-AD$7))</f>
        <v/>
      </c>
      <c r="U37" s="92">
        <f>IF(AE36&lt;0.005,0,MAX(0,AE36*(1+AE$6/12)-AE$7))</f>
        <v/>
      </c>
      <c r="V37" s="92">
        <f>IF(AF36&lt;0.005,0,MAX(0,AF36*(1+AF$6/12)-AF$7))</f>
        <v/>
      </c>
      <c r="W37" s="92">
        <f>IF(AG36&lt;0.005,0,MAX(0,AG36*(1+AG$6/12)-AG$7))</f>
        <v/>
      </c>
      <c r="X37" s="92">
        <f>IF(AH36&lt;0.005,0,MAX(0,AH36*(1+AH$6/12)-AH$7))</f>
        <v/>
      </c>
      <c r="Y37" s="92">
        <f>IF(AI36&lt;0.005,0,MAX(0,AI36*(1+AI$6/12)-AI$7))</f>
        <v/>
      </c>
      <c r="Z37" s="91">
        <f>MAX(0,P37-MAX(0,AK37-0))</f>
        <v/>
      </c>
      <c r="AA37" s="91">
        <f>MAX(0,Q37-MAX(0,AK37-SUM(P37:P37)))</f>
        <v/>
      </c>
      <c r="AB37" s="91">
        <f>MAX(0,R37-MAX(0,AK37-SUM(P37:Q37)))</f>
        <v/>
      </c>
      <c r="AC37" s="91">
        <f>MAX(0,S37-MAX(0,AK37-SUM(P37:R37)))</f>
        <v/>
      </c>
      <c r="AD37" s="91">
        <f>MAX(0,T37-MAX(0,AK37-SUM(P37:S37)))</f>
        <v/>
      </c>
      <c r="AE37" s="91">
        <f>MAX(0,U37-MAX(0,AK37-SUM(P37:T37)))</f>
        <v/>
      </c>
      <c r="AF37" s="91">
        <f>MAX(0,V37-MAX(0,AK37-SUM(P37:U37)))</f>
        <v/>
      </c>
      <c r="AG37" s="91">
        <f>MAX(0,W37-MAX(0,AK37-SUM(P37:V37)))</f>
        <v/>
      </c>
      <c r="AH37" s="91">
        <f>MAX(0,X37-MAX(0,AK37-SUM(P37:W37)))</f>
        <v/>
      </c>
      <c r="AI37" s="91">
        <f>MAX(0,Y37-MAX(0,AK37-SUM(P37:X37)))</f>
        <v/>
      </c>
      <c r="AJ37" s="92">
        <f>SUM(Z36:AI36)+AL37</f>
        <v/>
      </c>
      <c r="AK37" s="92">
        <f>$AK$7-(AJ37-SUM(P37:Y37))</f>
        <v/>
      </c>
      <c r="AL37" s="91">
        <f>SUMPRODUCT(Z36:AI36,$Z$6:$AI$6)/12</f>
        <v/>
      </c>
      <c r="AM37" s="88">
        <f>SUM(Z37:AI37)</f>
        <v/>
      </c>
      <c r="AO37" s="92">
        <f>IF(AY36&lt;0.005,0,MAX(0,AY36*(1+AY$6/12)-AY$7))</f>
        <v/>
      </c>
      <c r="AP37" s="92">
        <f>IF(AZ36&lt;0.005,0,MAX(0,AZ36*(1+AZ$6/12)-AZ$7))</f>
        <v/>
      </c>
      <c r="AQ37" s="92">
        <f>IF(BA36&lt;0.005,0,MAX(0,BA36*(1+BA$6/12)-BA$7))</f>
        <v/>
      </c>
      <c r="AR37" s="92">
        <f>IF(BB36&lt;0.005,0,MAX(0,BB36*(1+BB$6/12)-BB$7))</f>
        <v/>
      </c>
      <c r="AS37" s="92">
        <f>IF(BC36&lt;0.005,0,MAX(0,BC36*(1+BC$6/12)-BC$7))</f>
        <v/>
      </c>
      <c r="AT37" s="92">
        <f>IF(BD36&lt;0.005,0,MAX(0,BD36*(1+BD$6/12)-BD$7))</f>
        <v/>
      </c>
      <c r="AU37" s="92">
        <f>IF(BE36&lt;0.005,0,MAX(0,BE36*(1+BE$6/12)-BE$7))</f>
        <v/>
      </c>
      <c r="AV37" s="92">
        <f>IF(BF36&lt;0.005,0,MAX(0,BF36*(1+BF$6/12)-BF$7))</f>
        <v/>
      </c>
      <c r="AW37" s="92">
        <f>IF(BG36&lt;0.005,0,MAX(0,BG36*(1+BG$6/12)-BG$7))</f>
        <v/>
      </c>
      <c r="AX37" s="92">
        <f>IF(BH36&lt;0.005,0,MAX(0,BH36*(1+BH$6/12)-BH$7))</f>
        <v/>
      </c>
      <c r="AY37" s="91">
        <f>MAX(0,AO37-MAX(0,BJ37-0))</f>
        <v/>
      </c>
      <c r="AZ37" s="91">
        <f>MAX(0,AP37-MAX(0,BJ37-SUM(AO37:AO37)))</f>
        <v/>
      </c>
      <c r="BA37" s="91">
        <f>MAX(0,AQ37-MAX(0,BJ37-SUM(AO37:AP37)))</f>
        <v/>
      </c>
      <c r="BB37" s="91">
        <f>MAX(0,AR37-MAX(0,BJ37-SUM(AO37:AQ37)))</f>
        <v/>
      </c>
      <c r="BC37" s="91">
        <f>MAX(0,AS37-MAX(0,BJ37-SUM(AO37:AR37)))</f>
        <v/>
      </c>
      <c r="BD37" s="91">
        <f>MAX(0,AT37-MAX(0,BJ37-SUM(AO37:AS37)))</f>
        <v/>
      </c>
      <c r="BE37" s="91">
        <f>MAX(0,AU37-MAX(0,BJ37-SUM(AO37:AT37)))</f>
        <v/>
      </c>
      <c r="BF37" s="91">
        <f>MAX(0,AV37-MAX(0,BJ37-SUM(AO37:AU37)))</f>
        <v/>
      </c>
      <c r="BG37" s="91">
        <f>MAX(0,AW37-MAX(0,BJ37-SUM(AO37:AV37)))</f>
        <v/>
      </c>
      <c r="BH37" s="91">
        <f>MAX(0,AX37-MAX(0,BJ37-SUM(AO37:AW37)))</f>
        <v/>
      </c>
      <c r="BI37" s="92">
        <f>SUM(AY36:BH36)+BK37</f>
        <v/>
      </c>
      <c r="BJ37" s="92">
        <f>$BJ$7-(BI37-SUM(AO37:AX37))</f>
        <v/>
      </c>
      <c r="BK37" s="91">
        <f>SUMPRODUCT(AY36:BH36,$AY$6:$BH$6)/12</f>
        <v/>
      </c>
      <c r="BL37" s="88">
        <f>SUM(AY37:BH37)</f>
        <v/>
      </c>
    </row>
    <row r="38">
      <c r="A38" s="24" t="n">
        <v>28</v>
      </c>
      <c r="B38" s="90">
        <f>DATE(YEAR(Settings!$C$11),MONTH(Settings!$C$11)+A38,1)</f>
        <v/>
      </c>
      <c r="C38" s="91">
        <f>IF(C37&lt;0.005,0,MAX(0,C37*(1+C$6/12)-C$7))</f>
        <v/>
      </c>
      <c r="D38" s="91">
        <f>IF(D37&lt;0.005,0,MAX(0,D37*(1+D$6/12)-D$7))</f>
        <v/>
      </c>
      <c r="E38" s="91">
        <f>IF(E37&lt;0.005,0,MAX(0,E37*(1+E$6/12)-E$7))</f>
        <v/>
      </c>
      <c r="F38" s="91">
        <f>IF(F37&lt;0.005,0,MAX(0,F37*(1+F$6/12)-F$7))</f>
        <v/>
      </c>
      <c r="G38" s="91">
        <f>IF(G37&lt;0.005,0,MAX(0,G37*(1+G$6/12)-G$7))</f>
        <v/>
      </c>
      <c r="H38" s="91">
        <f>IF(H37&lt;0.005,0,MAX(0,H37*(1+H$6/12)-H$7))</f>
        <v/>
      </c>
      <c r="I38" s="91">
        <f>IF(I37&lt;0.005,0,MAX(0,I37*(1+I$6/12)-I$7))</f>
        <v/>
      </c>
      <c r="J38" s="91">
        <f>IF(J37&lt;0.005,0,MAX(0,J37*(1+J$6/12)-J$7))</f>
        <v/>
      </c>
      <c r="K38" s="91">
        <f>IF(K37&lt;0.005,0,MAX(0,K37*(1+K$6/12)-K$7))</f>
        <v/>
      </c>
      <c r="L38" s="91">
        <f>IF(L37&lt;0.005,0,MAX(0,L37*(1+L$6/12)-L$7))</f>
        <v/>
      </c>
      <c r="M38" s="91">
        <f>SUMPRODUCT(C37:L37,$C$6:$L$6)/12</f>
        <v/>
      </c>
      <c r="N38" s="88">
        <f>SUM(C38:L38)</f>
        <v/>
      </c>
      <c r="P38" s="92">
        <f>IF(Z37&lt;0.005,0,MAX(0,Z37*(1+Z$6/12)-Z$7))</f>
        <v/>
      </c>
      <c r="Q38" s="92">
        <f>IF(AA37&lt;0.005,0,MAX(0,AA37*(1+AA$6/12)-AA$7))</f>
        <v/>
      </c>
      <c r="R38" s="92">
        <f>IF(AB37&lt;0.005,0,MAX(0,AB37*(1+AB$6/12)-AB$7))</f>
        <v/>
      </c>
      <c r="S38" s="92">
        <f>IF(AC37&lt;0.005,0,MAX(0,AC37*(1+AC$6/12)-AC$7))</f>
        <v/>
      </c>
      <c r="T38" s="92">
        <f>IF(AD37&lt;0.005,0,MAX(0,AD37*(1+AD$6/12)-AD$7))</f>
        <v/>
      </c>
      <c r="U38" s="92">
        <f>IF(AE37&lt;0.005,0,MAX(0,AE37*(1+AE$6/12)-AE$7))</f>
        <v/>
      </c>
      <c r="V38" s="92">
        <f>IF(AF37&lt;0.005,0,MAX(0,AF37*(1+AF$6/12)-AF$7))</f>
        <v/>
      </c>
      <c r="W38" s="92">
        <f>IF(AG37&lt;0.005,0,MAX(0,AG37*(1+AG$6/12)-AG$7))</f>
        <v/>
      </c>
      <c r="X38" s="92">
        <f>IF(AH37&lt;0.005,0,MAX(0,AH37*(1+AH$6/12)-AH$7))</f>
        <v/>
      </c>
      <c r="Y38" s="92">
        <f>IF(AI37&lt;0.005,0,MAX(0,AI37*(1+AI$6/12)-AI$7))</f>
        <v/>
      </c>
      <c r="Z38" s="91">
        <f>MAX(0,P38-MAX(0,AK38-0))</f>
        <v/>
      </c>
      <c r="AA38" s="91">
        <f>MAX(0,Q38-MAX(0,AK38-SUM(P38:P38)))</f>
        <v/>
      </c>
      <c r="AB38" s="91">
        <f>MAX(0,R38-MAX(0,AK38-SUM(P38:Q38)))</f>
        <v/>
      </c>
      <c r="AC38" s="91">
        <f>MAX(0,S38-MAX(0,AK38-SUM(P38:R38)))</f>
        <v/>
      </c>
      <c r="AD38" s="91">
        <f>MAX(0,T38-MAX(0,AK38-SUM(P38:S38)))</f>
        <v/>
      </c>
      <c r="AE38" s="91">
        <f>MAX(0,U38-MAX(0,AK38-SUM(P38:T38)))</f>
        <v/>
      </c>
      <c r="AF38" s="91">
        <f>MAX(0,V38-MAX(0,AK38-SUM(P38:U38)))</f>
        <v/>
      </c>
      <c r="AG38" s="91">
        <f>MAX(0,W38-MAX(0,AK38-SUM(P38:V38)))</f>
        <v/>
      </c>
      <c r="AH38" s="91">
        <f>MAX(0,X38-MAX(0,AK38-SUM(P38:W38)))</f>
        <v/>
      </c>
      <c r="AI38" s="91">
        <f>MAX(0,Y38-MAX(0,AK38-SUM(P38:X38)))</f>
        <v/>
      </c>
      <c r="AJ38" s="92">
        <f>SUM(Z37:AI37)+AL38</f>
        <v/>
      </c>
      <c r="AK38" s="92">
        <f>$AK$7-(AJ38-SUM(P38:Y38))</f>
        <v/>
      </c>
      <c r="AL38" s="91">
        <f>SUMPRODUCT(Z37:AI37,$Z$6:$AI$6)/12</f>
        <v/>
      </c>
      <c r="AM38" s="88">
        <f>SUM(Z38:AI38)</f>
        <v/>
      </c>
      <c r="AO38" s="92">
        <f>IF(AY37&lt;0.005,0,MAX(0,AY37*(1+AY$6/12)-AY$7))</f>
        <v/>
      </c>
      <c r="AP38" s="92">
        <f>IF(AZ37&lt;0.005,0,MAX(0,AZ37*(1+AZ$6/12)-AZ$7))</f>
        <v/>
      </c>
      <c r="AQ38" s="92">
        <f>IF(BA37&lt;0.005,0,MAX(0,BA37*(1+BA$6/12)-BA$7))</f>
        <v/>
      </c>
      <c r="AR38" s="92">
        <f>IF(BB37&lt;0.005,0,MAX(0,BB37*(1+BB$6/12)-BB$7))</f>
        <v/>
      </c>
      <c r="AS38" s="92">
        <f>IF(BC37&lt;0.005,0,MAX(0,BC37*(1+BC$6/12)-BC$7))</f>
        <v/>
      </c>
      <c r="AT38" s="92">
        <f>IF(BD37&lt;0.005,0,MAX(0,BD37*(1+BD$6/12)-BD$7))</f>
        <v/>
      </c>
      <c r="AU38" s="92">
        <f>IF(BE37&lt;0.005,0,MAX(0,BE37*(1+BE$6/12)-BE$7))</f>
        <v/>
      </c>
      <c r="AV38" s="92">
        <f>IF(BF37&lt;0.005,0,MAX(0,BF37*(1+BF$6/12)-BF$7))</f>
        <v/>
      </c>
      <c r="AW38" s="92">
        <f>IF(BG37&lt;0.005,0,MAX(0,BG37*(1+BG$6/12)-BG$7))</f>
        <v/>
      </c>
      <c r="AX38" s="92">
        <f>IF(BH37&lt;0.005,0,MAX(0,BH37*(1+BH$6/12)-BH$7))</f>
        <v/>
      </c>
      <c r="AY38" s="91">
        <f>MAX(0,AO38-MAX(0,BJ38-0))</f>
        <v/>
      </c>
      <c r="AZ38" s="91">
        <f>MAX(0,AP38-MAX(0,BJ38-SUM(AO38:AO38)))</f>
        <v/>
      </c>
      <c r="BA38" s="91">
        <f>MAX(0,AQ38-MAX(0,BJ38-SUM(AO38:AP38)))</f>
        <v/>
      </c>
      <c r="BB38" s="91">
        <f>MAX(0,AR38-MAX(0,BJ38-SUM(AO38:AQ38)))</f>
        <v/>
      </c>
      <c r="BC38" s="91">
        <f>MAX(0,AS38-MAX(0,BJ38-SUM(AO38:AR38)))</f>
        <v/>
      </c>
      <c r="BD38" s="91">
        <f>MAX(0,AT38-MAX(0,BJ38-SUM(AO38:AS38)))</f>
        <v/>
      </c>
      <c r="BE38" s="91">
        <f>MAX(0,AU38-MAX(0,BJ38-SUM(AO38:AT38)))</f>
        <v/>
      </c>
      <c r="BF38" s="91">
        <f>MAX(0,AV38-MAX(0,BJ38-SUM(AO38:AU38)))</f>
        <v/>
      </c>
      <c r="BG38" s="91">
        <f>MAX(0,AW38-MAX(0,BJ38-SUM(AO38:AV38)))</f>
        <v/>
      </c>
      <c r="BH38" s="91">
        <f>MAX(0,AX38-MAX(0,BJ38-SUM(AO38:AW38)))</f>
        <v/>
      </c>
      <c r="BI38" s="92">
        <f>SUM(AY37:BH37)+BK38</f>
        <v/>
      </c>
      <c r="BJ38" s="92">
        <f>$BJ$7-(BI38-SUM(AO38:AX38))</f>
        <v/>
      </c>
      <c r="BK38" s="91">
        <f>SUMPRODUCT(AY37:BH37,$AY$6:$BH$6)/12</f>
        <v/>
      </c>
      <c r="BL38" s="88">
        <f>SUM(AY38:BH38)</f>
        <v/>
      </c>
    </row>
    <row r="39">
      <c r="A39" s="24" t="n">
        <v>29</v>
      </c>
      <c r="B39" s="90">
        <f>DATE(YEAR(Settings!$C$11),MONTH(Settings!$C$11)+A39,1)</f>
        <v/>
      </c>
      <c r="C39" s="91">
        <f>IF(C38&lt;0.005,0,MAX(0,C38*(1+C$6/12)-C$7))</f>
        <v/>
      </c>
      <c r="D39" s="91">
        <f>IF(D38&lt;0.005,0,MAX(0,D38*(1+D$6/12)-D$7))</f>
        <v/>
      </c>
      <c r="E39" s="91">
        <f>IF(E38&lt;0.005,0,MAX(0,E38*(1+E$6/12)-E$7))</f>
        <v/>
      </c>
      <c r="F39" s="91">
        <f>IF(F38&lt;0.005,0,MAX(0,F38*(1+F$6/12)-F$7))</f>
        <v/>
      </c>
      <c r="G39" s="91">
        <f>IF(G38&lt;0.005,0,MAX(0,G38*(1+G$6/12)-G$7))</f>
        <v/>
      </c>
      <c r="H39" s="91">
        <f>IF(H38&lt;0.005,0,MAX(0,H38*(1+H$6/12)-H$7))</f>
        <v/>
      </c>
      <c r="I39" s="91">
        <f>IF(I38&lt;0.005,0,MAX(0,I38*(1+I$6/12)-I$7))</f>
        <v/>
      </c>
      <c r="J39" s="91">
        <f>IF(J38&lt;0.005,0,MAX(0,J38*(1+J$6/12)-J$7))</f>
        <v/>
      </c>
      <c r="K39" s="91">
        <f>IF(K38&lt;0.005,0,MAX(0,K38*(1+K$6/12)-K$7))</f>
        <v/>
      </c>
      <c r="L39" s="91">
        <f>IF(L38&lt;0.005,0,MAX(0,L38*(1+L$6/12)-L$7))</f>
        <v/>
      </c>
      <c r="M39" s="91">
        <f>SUMPRODUCT(C38:L38,$C$6:$L$6)/12</f>
        <v/>
      </c>
      <c r="N39" s="88">
        <f>SUM(C39:L39)</f>
        <v/>
      </c>
      <c r="P39" s="92">
        <f>IF(Z38&lt;0.005,0,MAX(0,Z38*(1+Z$6/12)-Z$7))</f>
        <v/>
      </c>
      <c r="Q39" s="92">
        <f>IF(AA38&lt;0.005,0,MAX(0,AA38*(1+AA$6/12)-AA$7))</f>
        <v/>
      </c>
      <c r="R39" s="92">
        <f>IF(AB38&lt;0.005,0,MAX(0,AB38*(1+AB$6/12)-AB$7))</f>
        <v/>
      </c>
      <c r="S39" s="92">
        <f>IF(AC38&lt;0.005,0,MAX(0,AC38*(1+AC$6/12)-AC$7))</f>
        <v/>
      </c>
      <c r="T39" s="92">
        <f>IF(AD38&lt;0.005,0,MAX(0,AD38*(1+AD$6/12)-AD$7))</f>
        <v/>
      </c>
      <c r="U39" s="92">
        <f>IF(AE38&lt;0.005,0,MAX(0,AE38*(1+AE$6/12)-AE$7))</f>
        <v/>
      </c>
      <c r="V39" s="92">
        <f>IF(AF38&lt;0.005,0,MAX(0,AF38*(1+AF$6/12)-AF$7))</f>
        <v/>
      </c>
      <c r="W39" s="92">
        <f>IF(AG38&lt;0.005,0,MAX(0,AG38*(1+AG$6/12)-AG$7))</f>
        <v/>
      </c>
      <c r="X39" s="92">
        <f>IF(AH38&lt;0.005,0,MAX(0,AH38*(1+AH$6/12)-AH$7))</f>
        <v/>
      </c>
      <c r="Y39" s="92">
        <f>IF(AI38&lt;0.005,0,MAX(0,AI38*(1+AI$6/12)-AI$7))</f>
        <v/>
      </c>
      <c r="Z39" s="91">
        <f>MAX(0,P39-MAX(0,AK39-0))</f>
        <v/>
      </c>
      <c r="AA39" s="91">
        <f>MAX(0,Q39-MAX(0,AK39-SUM(P39:P39)))</f>
        <v/>
      </c>
      <c r="AB39" s="91">
        <f>MAX(0,R39-MAX(0,AK39-SUM(P39:Q39)))</f>
        <v/>
      </c>
      <c r="AC39" s="91">
        <f>MAX(0,S39-MAX(0,AK39-SUM(P39:R39)))</f>
        <v/>
      </c>
      <c r="AD39" s="91">
        <f>MAX(0,T39-MAX(0,AK39-SUM(P39:S39)))</f>
        <v/>
      </c>
      <c r="AE39" s="91">
        <f>MAX(0,U39-MAX(0,AK39-SUM(P39:T39)))</f>
        <v/>
      </c>
      <c r="AF39" s="91">
        <f>MAX(0,V39-MAX(0,AK39-SUM(P39:U39)))</f>
        <v/>
      </c>
      <c r="AG39" s="91">
        <f>MAX(0,W39-MAX(0,AK39-SUM(P39:V39)))</f>
        <v/>
      </c>
      <c r="AH39" s="91">
        <f>MAX(0,X39-MAX(0,AK39-SUM(P39:W39)))</f>
        <v/>
      </c>
      <c r="AI39" s="91">
        <f>MAX(0,Y39-MAX(0,AK39-SUM(P39:X39)))</f>
        <v/>
      </c>
      <c r="AJ39" s="92">
        <f>SUM(Z38:AI38)+AL39</f>
        <v/>
      </c>
      <c r="AK39" s="92">
        <f>$AK$7-(AJ39-SUM(P39:Y39))</f>
        <v/>
      </c>
      <c r="AL39" s="91">
        <f>SUMPRODUCT(Z38:AI38,$Z$6:$AI$6)/12</f>
        <v/>
      </c>
      <c r="AM39" s="88">
        <f>SUM(Z39:AI39)</f>
        <v/>
      </c>
      <c r="AO39" s="92">
        <f>IF(AY38&lt;0.005,0,MAX(0,AY38*(1+AY$6/12)-AY$7))</f>
        <v/>
      </c>
      <c r="AP39" s="92">
        <f>IF(AZ38&lt;0.005,0,MAX(0,AZ38*(1+AZ$6/12)-AZ$7))</f>
        <v/>
      </c>
      <c r="AQ39" s="92">
        <f>IF(BA38&lt;0.005,0,MAX(0,BA38*(1+BA$6/12)-BA$7))</f>
        <v/>
      </c>
      <c r="AR39" s="92">
        <f>IF(BB38&lt;0.005,0,MAX(0,BB38*(1+BB$6/12)-BB$7))</f>
        <v/>
      </c>
      <c r="AS39" s="92">
        <f>IF(BC38&lt;0.005,0,MAX(0,BC38*(1+BC$6/12)-BC$7))</f>
        <v/>
      </c>
      <c r="AT39" s="92">
        <f>IF(BD38&lt;0.005,0,MAX(0,BD38*(1+BD$6/12)-BD$7))</f>
        <v/>
      </c>
      <c r="AU39" s="92">
        <f>IF(BE38&lt;0.005,0,MAX(0,BE38*(1+BE$6/12)-BE$7))</f>
        <v/>
      </c>
      <c r="AV39" s="92">
        <f>IF(BF38&lt;0.005,0,MAX(0,BF38*(1+BF$6/12)-BF$7))</f>
        <v/>
      </c>
      <c r="AW39" s="92">
        <f>IF(BG38&lt;0.005,0,MAX(0,BG38*(1+BG$6/12)-BG$7))</f>
        <v/>
      </c>
      <c r="AX39" s="92">
        <f>IF(BH38&lt;0.005,0,MAX(0,BH38*(1+BH$6/12)-BH$7))</f>
        <v/>
      </c>
      <c r="AY39" s="91">
        <f>MAX(0,AO39-MAX(0,BJ39-0))</f>
        <v/>
      </c>
      <c r="AZ39" s="91">
        <f>MAX(0,AP39-MAX(0,BJ39-SUM(AO39:AO39)))</f>
        <v/>
      </c>
      <c r="BA39" s="91">
        <f>MAX(0,AQ39-MAX(0,BJ39-SUM(AO39:AP39)))</f>
        <v/>
      </c>
      <c r="BB39" s="91">
        <f>MAX(0,AR39-MAX(0,BJ39-SUM(AO39:AQ39)))</f>
        <v/>
      </c>
      <c r="BC39" s="91">
        <f>MAX(0,AS39-MAX(0,BJ39-SUM(AO39:AR39)))</f>
        <v/>
      </c>
      <c r="BD39" s="91">
        <f>MAX(0,AT39-MAX(0,BJ39-SUM(AO39:AS39)))</f>
        <v/>
      </c>
      <c r="BE39" s="91">
        <f>MAX(0,AU39-MAX(0,BJ39-SUM(AO39:AT39)))</f>
        <v/>
      </c>
      <c r="BF39" s="91">
        <f>MAX(0,AV39-MAX(0,BJ39-SUM(AO39:AU39)))</f>
        <v/>
      </c>
      <c r="BG39" s="91">
        <f>MAX(0,AW39-MAX(0,BJ39-SUM(AO39:AV39)))</f>
        <v/>
      </c>
      <c r="BH39" s="91">
        <f>MAX(0,AX39-MAX(0,BJ39-SUM(AO39:AW39)))</f>
        <v/>
      </c>
      <c r="BI39" s="92">
        <f>SUM(AY38:BH38)+BK39</f>
        <v/>
      </c>
      <c r="BJ39" s="92">
        <f>$BJ$7-(BI39-SUM(AO39:AX39))</f>
        <v/>
      </c>
      <c r="BK39" s="91">
        <f>SUMPRODUCT(AY38:BH38,$AY$6:$BH$6)/12</f>
        <v/>
      </c>
      <c r="BL39" s="88">
        <f>SUM(AY39:BH39)</f>
        <v/>
      </c>
    </row>
    <row r="40">
      <c r="A40" s="24" t="n">
        <v>30</v>
      </c>
      <c r="B40" s="90">
        <f>DATE(YEAR(Settings!$C$11),MONTH(Settings!$C$11)+A40,1)</f>
        <v/>
      </c>
      <c r="C40" s="91">
        <f>IF(C39&lt;0.005,0,MAX(0,C39*(1+C$6/12)-C$7))</f>
        <v/>
      </c>
      <c r="D40" s="91">
        <f>IF(D39&lt;0.005,0,MAX(0,D39*(1+D$6/12)-D$7))</f>
        <v/>
      </c>
      <c r="E40" s="91">
        <f>IF(E39&lt;0.005,0,MAX(0,E39*(1+E$6/12)-E$7))</f>
        <v/>
      </c>
      <c r="F40" s="91">
        <f>IF(F39&lt;0.005,0,MAX(0,F39*(1+F$6/12)-F$7))</f>
        <v/>
      </c>
      <c r="G40" s="91">
        <f>IF(G39&lt;0.005,0,MAX(0,G39*(1+G$6/12)-G$7))</f>
        <v/>
      </c>
      <c r="H40" s="91">
        <f>IF(H39&lt;0.005,0,MAX(0,H39*(1+H$6/12)-H$7))</f>
        <v/>
      </c>
      <c r="I40" s="91">
        <f>IF(I39&lt;0.005,0,MAX(0,I39*(1+I$6/12)-I$7))</f>
        <v/>
      </c>
      <c r="J40" s="91">
        <f>IF(J39&lt;0.005,0,MAX(0,J39*(1+J$6/12)-J$7))</f>
        <v/>
      </c>
      <c r="K40" s="91">
        <f>IF(K39&lt;0.005,0,MAX(0,K39*(1+K$6/12)-K$7))</f>
        <v/>
      </c>
      <c r="L40" s="91">
        <f>IF(L39&lt;0.005,0,MAX(0,L39*(1+L$6/12)-L$7))</f>
        <v/>
      </c>
      <c r="M40" s="91">
        <f>SUMPRODUCT(C39:L39,$C$6:$L$6)/12</f>
        <v/>
      </c>
      <c r="N40" s="88">
        <f>SUM(C40:L40)</f>
        <v/>
      </c>
      <c r="P40" s="92">
        <f>IF(Z39&lt;0.005,0,MAX(0,Z39*(1+Z$6/12)-Z$7))</f>
        <v/>
      </c>
      <c r="Q40" s="92">
        <f>IF(AA39&lt;0.005,0,MAX(0,AA39*(1+AA$6/12)-AA$7))</f>
        <v/>
      </c>
      <c r="R40" s="92">
        <f>IF(AB39&lt;0.005,0,MAX(0,AB39*(1+AB$6/12)-AB$7))</f>
        <v/>
      </c>
      <c r="S40" s="92">
        <f>IF(AC39&lt;0.005,0,MAX(0,AC39*(1+AC$6/12)-AC$7))</f>
        <v/>
      </c>
      <c r="T40" s="92">
        <f>IF(AD39&lt;0.005,0,MAX(0,AD39*(1+AD$6/12)-AD$7))</f>
        <v/>
      </c>
      <c r="U40" s="92">
        <f>IF(AE39&lt;0.005,0,MAX(0,AE39*(1+AE$6/12)-AE$7))</f>
        <v/>
      </c>
      <c r="V40" s="92">
        <f>IF(AF39&lt;0.005,0,MAX(0,AF39*(1+AF$6/12)-AF$7))</f>
        <v/>
      </c>
      <c r="W40" s="92">
        <f>IF(AG39&lt;0.005,0,MAX(0,AG39*(1+AG$6/12)-AG$7))</f>
        <v/>
      </c>
      <c r="X40" s="92">
        <f>IF(AH39&lt;0.005,0,MAX(0,AH39*(1+AH$6/12)-AH$7))</f>
        <v/>
      </c>
      <c r="Y40" s="92">
        <f>IF(AI39&lt;0.005,0,MAX(0,AI39*(1+AI$6/12)-AI$7))</f>
        <v/>
      </c>
      <c r="Z40" s="91">
        <f>MAX(0,P40-MAX(0,AK40-0))</f>
        <v/>
      </c>
      <c r="AA40" s="91">
        <f>MAX(0,Q40-MAX(0,AK40-SUM(P40:P40)))</f>
        <v/>
      </c>
      <c r="AB40" s="91">
        <f>MAX(0,R40-MAX(0,AK40-SUM(P40:Q40)))</f>
        <v/>
      </c>
      <c r="AC40" s="91">
        <f>MAX(0,S40-MAX(0,AK40-SUM(P40:R40)))</f>
        <v/>
      </c>
      <c r="AD40" s="91">
        <f>MAX(0,T40-MAX(0,AK40-SUM(P40:S40)))</f>
        <v/>
      </c>
      <c r="AE40" s="91">
        <f>MAX(0,U40-MAX(0,AK40-SUM(P40:T40)))</f>
        <v/>
      </c>
      <c r="AF40" s="91">
        <f>MAX(0,V40-MAX(0,AK40-SUM(P40:U40)))</f>
        <v/>
      </c>
      <c r="AG40" s="91">
        <f>MAX(0,W40-MAX(0,AK40-SUM(P40:V40)))</f>
        <v/>
      </c>
      <c r="AH40" s="91">
        <f>MAX(0,X40-MAX(0,AK40-SUM(P40:W40)))</f>
        <v/>
      </c>
      <c r="AI40" s="91">
        <f>MAX(0,Y40-MAX(0,AK40-SUM(P40:X40)))</f>
        <v/>
      </c>
      <c r="AJ40" s="92">
        <f>SUM(Z39:AI39)+AL40</f>
        <v/>
      </c>
      <c r="AK40" s="92">
        <f>$AK$7-(AJ40-SUM(P40:Y40))</f>
        <v/>
      </c>
      <c r="AL40" s="91">
        <f>SUMPRODUCT(Z39:AI39,$Z$6:$AI$6)/12</f>
        <v/>
      </c>
      <c r="AM40" s="88">
        <f>SUM(Z40:AI40)</f>
        <v/>
      </c>
      <c r="AO40" s="92">
        <f>IF(AY39&lt;0.005,0,MAX(0,AY39*(1+AY$6/12)-AY$7))</f>
        <v/>
      </c>
      <c r="AP40" s="92">
        <f>IF(AZ39&lt;0.005,0,MAX(0,AZ39*(1+AZ$6/12)-AZ$7))</f>
        <v/>
      </c>
      <c r="AQ40" s="92">
        <f>IF(BA39&lt;0.005,0,MAX(0,BA39*(1+BA$6/12)-BA$7))</f>
        <v/>
      </c>
      <c r="AR40" s="92">
        <f>IF(BB39&lt;0.005,0,MAX(0,BB39*(1+BB$6/12)-BB$7))</f>
        <v/>
      </c>
      <c r="AS40" s="92">
        <f>IF(BC39&lt;0.005,0,MAX(0,BC39*(1+BC$6/12)-BC$7))</f>
        <v/>
      </c>
      <c r="AT40" s="92">
        <f>IF(BD39&lt;0.005,0,MAX(0,BD39*(1+BD$6/12)-BD$7))</f>
        <v/>
      </c>
      <c r="AU40" s="92">
        <f>IF(BE39&lt;0.005,0,MAX(0,BE39*(1+BE$6/12)-BE$7))</f>
        <v/>
      </c>
      <c r="AV40" s="92">
        <f>IF(BF39&lt;0.005,0,MAX(0,BF39*(1+BF$6/12)-BF$7))</f>
        <v/>
      </c>
      <c r="AW40" s="92">
        <f>IF(BG39&lt;0.005,0,MAX(0,BG39*(1+BG$6/12)-BG$7))</f>
        <v/>
      </c>
      <c r="AX40" s="92">
        <f>IF(BH39&lt;0.005,0,MAX(0,BH39*(1+BH$6/12)-BH$7))</f>
        <v/>
      </c>
      <c r="AY40" s="91">
        <f>MAX(0,AO40-MAX(0,BJ40-0))</f>
        <v/>
      </c>
      <c r="AZ40" s="91">
        <f>MAX(0,AP40-MAX(0,BJ40-SUM(AO40:AO40)))</f>
        <v/>
      </c>
      <c r="BA40" s="91">
        <f>MAX(0,AQ40-MAX(0,BJ40-SUM(AO40:AP40)))</f>
        <v/>
      </c>
      <c r="BB40" s="91">
        <f>MAX(0,AR40-MAX(0,BJ40-SUM(AO40:AQ40)))</f>
        <v/>
      </c>
      <c r="BC40" s="91">
        <f>MAX(0,AS40-MAX(0,BJ40-SUM(AO40:AR40)))</f>
        <v/>
      </c>
      <c r="BD40" s="91">
        <f>MAX(0,AT40-MAX(0,BJ40-SUM(AO40:AS40)))</f>
        <v/>
      </c>
      <c r="BE40" s="91">
        <f>MAX(0,AU40-MAX(0,BJ40-SUM(AO40:AT40)))</f>
        <v/>
      </c>
      <c r="BF40" s="91">
        <f>MAX(0,AV40-MAX(0,BJ40-SUM(AO40:AU40)))</f>
        <v/>
      </c>
      <c r="BG40" s="91">
        <f>MAX(0,AW40-MAX(0,BJ40-SUM(AO40:AV40)))</f>
        <v/>
      </c>
      <c r="BH40" s="91">
        <f>MAX(0,AX40-MAX(0,BJ40-SUM(AO40:AW40)))</f>
        <v/>
      </c>
      <c r="BI40" s="92">
        <f>SUM(AY39:BH39)+BK40</f>
        <v/>
      </c>
      <c r="BJ40" s="92">
        <f>$BJ$7-(BI40-SUM(AO40:AX40))</f>
        <v/>
      </c>
      <c r="BK40" s="91">
        <f>SUMPRODUCT(AY39:BH39,$AY$6:$BH$6)/12</f>
        <v/>
      </c>
      <c r="BL40" s="88">
        <f>SUM(AY40:BH40)</f>
        <v/>
      </c>
    </row>
    <row r="41">
      <c r="A41" s="24" t="n">
        <v>31</v>
      </c>
      <c r="B41" s="90">
        <f>DATE(YEAR(Settings!$C$11),MONTH(Settings!$C$11)+A41,1)</f>
        <v/>
      </c>
      <c r="C41" s="91">
        <f>IF(C40&lt;0.005,0,MAX(0,C40*(1+C$6/12)-C$7))</f>
        <v/>
      </c>
      <c r="D41" s="91">
        <f>IF(D40&lt;0.005,0,MAX(0,D40*(1+D$6/12)-D$7))</f>
        <v/>
      </c>
      <c r="E41" s="91">
        <f>IF(E40&lt;0.005,0,MAX(0,E40*(1+E$6/12)-E$7))</f>
        <v/>
      </c>
      <c r="F41" s="91">
        <f>IF(F40&lt;0.005,0,MAX(0,F40*(1+F$6/12)-F$7))</f>
        <v/>
      </c>
      <c r="G41" s="91">
        <f>IF(G40&lt;0.005,0,MAX(0,G40*(1+G$6/12)-G$7))</f>
        <v/>
      </c>
      <c r="H41" s="91">
        <f>IF(H40&lt;0.005,0,MAX(0,H40*(1+H$6/12)-H$7))</f>
        <v/>
      </c>
      <c r="I41" s="91">
        <f>IF(I40&lt;0.005,0,MAX(0,I40*(1+I$6/12)-I$7))</f>
        <v/>
      </c>
      <c r="J41" s="91">
        <f>IF(J40&lt;0.005,0,MAX(0,J40*(1+J$6/12)-J$7))</f>
        <v/>
      </c>
      <c r="K41" s="91">
        <f>IF(K40&lt;0.005,0,MAX(0,K40*(1+K$6/12)-K$7))</f>
        <v/>
      </c>
      <c r="L41" s="91">
        <f>IF(L40&lt;0.005,0,MAX(0,L40*(1+L$6/12)-L$7))</f>
        <v/>
      </c>
      <c r="M41" s="91">
        <f>SUMPRODUCT(C40:L40,$C$6:$L$6)/12</f>
        <v/>
      </c>
      <c r="N41" s="88">
        <f>SUM(C41:L41)</f>
        <v/>
      </c>
      <c r="P41" s="92">
        <f>IF(Z40&lt;0.005,0,MAX(0,Z40*(1+Z$6/12)-Z$7))</f>
        <v/>
      </c>
      <c r="Q41" s="92">
        <f>IF(AA40&lt;0.005,0,MAX(0,AA40*(1+AA$6/12)-AA$7))</f>
        <v/>
      </c>
      <c r="R41" s="92">
        <f>IF(AB40&lt;0.005,0,MAX(0,AB40*(1+AB$6/12)-AB$7))</f>
        <v/>
      </c>
      <c r="S41" s="92">
        <f>IF(AC40&lt;0.005,0,MAX(0,AC40*(1+AC$6/12)-AC$7))</f>
        <v/>
      </c>
      <c r="T41" s="92">
        <f>IF(AD40&lt;0.005,0,MAX(0,AD40*(1+AD$6/12)-AD$7))</f>
        <v/>
      </c>
      <c r="U41" s="92">
        <f>IF(AE40&lt;0.005,0,MAX(0,AE40*(1+AE$6/12)-AE$7))</f>
        <v/>
      </c>
      <c r="V41" s="92">
        <f>IF(AF40&lt;0.005,0,MAX(0,AF40*(1+AF$6/12)-AF$7))</f>
        <v/>
      </c>
      <c r="W41" s="92">
        <f>IF(AG40&lt;0.005,0,MAX(0,AG40*(1+AG$6/12)-AG$7))</f>
        <v/>
      </c>
      <c r="X41" s="92">
        <f>IF(AH40&lt;0.005,0,MAX(0,AH40*(1+AH$6/12)-AH$7))</f>
        <v/>
      </c>
      <c r="Y41" s="92">
        <f>IF(AI40&lt;0.005,0,MAX(0,AI40*(1+AI$6/12)-AI$7))</f>
        <v/>
      </c>
      <c r="Z41" s="91">
        <f>MAX(0,P41-MAX(0,AK41-0))</f>
        <v/>
      </c>
      <c r="AA41" s="91">
        <f>MAX(0,Q41-MAX(0,AK41-SUM(P41:P41)))</f>
        <v/>
      </c>
      <c r="AB41" s="91">
        <f>MAX(0,R41-MAX(0,AK41-SUM(P41:Q41)))</f>
        <v/>
      </c>
      <c r="AC41" s="91">
        <f>MAX(0,S41-MAX(0,AK41-SUM(P41:R41)))</f>
        <v/>
      </c>
      <c r="AD41" s="91">
        <f>MAX(0,T41-MAX(0,AK41-SUM(P41:S41)))</f>
        <v/>
      </c>
      <c r="AE41" s="91">
        <f>MAX(0,U41-MAX(0,AK41-SUM(P41:T41)))</f>
        <v/>
      </c>
      <c r="AF41" s="91">
        <f>MAX(0,V41-MAX(0,AK41-SUM(P41:U41)))</f>
        <v/>
      </c>
      <c r="AG41" s="91">
        <f>MAX(0,W41-MAX(0,AK41-SUM(P41:V41)))</f>
        <v/>
      </c>
      <c r="AH41" s="91">
        <f>MAX(0,X41-MAX(0,AK41-SUM(P41:W41)))</f>
        <v/>
      </c>
      <c r="AI41" s="91">
        <f>MAX(0,Y41-MAX(0,AK41-SUM(P41:X41)))</f>
        <v/>
      </c>
      <c r="AJ41" s="92">
        <f>SUM(Z40:AI40)+AL41</f>
        <v/>
      </c>
      <c r="AK41" s="92">
        <f>$AK$7-(AJ41-SUM(P41:Y41))</f>
        <v/>
      </c>
      <c r="AL41" s="91">
        <f>SUMPRODUCT(Z40:AI40,$Z$6:$AI$6)/12</f>
        <v/>
      </c>
      <c r="AM41" s="88">
        <f>SUM(Z41:AI41)</f>
        <v/>
      </c>
      <c r="AO41" s="92">
        <f>IF(AY40&lt;0.005,0,MAX(0,AY40*(1+AY$6/12)-AY$7))</f>
        <v/>
      </c>
      <c r="AP41" s="92">
        <f>IF(AZ40&lt;0.005,0,MAX(0,AZ40*(1+AZ$6/12)-AZ$7))</f>
        <v/>
      </c>
      <c r="AQ41" s="92">
        <f>IF(BA40&lt;0.005,0,MAX(0,BA40*(1+BA$6/12)-BA$7))</f>
        <v/>
      </c>
      <c r="AR41" s="92">
        <f>IF(BB40&lt;0.005,0,MAX(0,BB40*(1+BB$6/12)-BB$7))</f>
        <v/>
      </c>
      <c r="AS41" s="92">
        <f>IF(BC40&lt;0.005,0,MAX(0,BC40*(1+BC$6/12)-BC$7))</f>
        <v/>
      </c>
      <c r="AT41" s="92">
        <f>IF(BD40&lt;0.005,0,MAX(0,BD40*(1+BD$6/12)-BD$7))</f>
        <v/>
      </c>
      <c r="AU41" s="92">
        <f>IF(BE40&lt;0.005,0,MAX(0,BE40*(1+BE$6/12)-BE$7))</f>
        <v/>
      </c>
      <c r="AV41" s="92">
        <f>IF(BF40&lt;0.005,0,MAX(0,BF40*(1+BF$6/12)-BF$7))</f>
        <v/>
      </c>
      <c r="AW41" s="92">
        <f>IF(BG40&lt;0.005,0,MAX(0,BG40*(1+BG$6/12)-BG$7))</f>
        <v/>
      </c>
      <c r="AX41" s="92">
        <f>IF(BH40&lt;0.005,0,MAX(0,BH40*(1+BH$6/12)-BH$7))</f>
        <v/>
      </c>
      <c r="AY41" s="91">
        <f>MAX(0,AO41-MAX(0,BJ41-0))</f>
        <v/>
      </c>
      <c r="AZ41" s="91">
        <f>MAX(0,AP41-MAX(0,BJ41-SUM(AO41:AO41)))</f>
        <v/>
      </c>
      <c r="BA41" s="91">
        <f>MAX(0,AQ41-MAX(0,BJ41-SUM(AO41:AP41)))</f>
        <v/>
      </c>
      <c r="BB41" s="91">
        <f>MAX(0,AR41-MAX(0,BJ41-SUM(AO41:AQ41)))</f>
        <v/>
      </c>
      <c r="BC41" s="91">
        <f>MAX(0,AS41-MAX(0,BJ41-SUM(AO41:AR41)))</f>
        <v/>
      </c>
      <c r="BD41" s="91">
        <f>MAX(0,AT41-MAX(0,BJ41-SUM(AO41:AS41)))</f>
        <v/>
      </c>
      <c r="BE41" s="91">
        <f>MAX(0,AU41-MAX(0,BJ41-SUM(AO41:AT41)))</f>
        <v/>
      </c>
      <c r="BF41" s="91">
        <f>MAX(0,AV41-MAX(0,BJ41-SUM(AO41:AU41)))</f>
        <v/>
      </c>
      <c r="BG41" s="91">
        <f>MAX(0,AW41-MAX(0,BJ41-SUM(AO41:AV41)))</f>
        <v/>
      </c>
      <c r="BH41" s="91">
        <f>MAX(0,AX41-MAX(0,BJ41-SUM(AO41:AW41)))</f>
        <v/>
      </c>
      <c r="BI41" s="92">
        <f>SUM(AY40:BH40)+BK41</f>
        <v/>
      </c>
      <c r="BJ41" s="92">
        <f>$BJ$7-(BI41-SUM(AO41:AX41))</f>
        <v/>
      </c>
      <c r="BK41" s="91">
        <f>SUMPRODUCT(AY40:BH40,$AY$6:$BH$6)/12</f>
        <v/>
      </c>
      <c r="BL41" s="88">
        <f>SUM(AY41:BH41)</f>
        <v/>
      </c>
    </row>
    <row r="42">
      <c r="A42" s="24" t="n">
        <v>32</v>
      </c>
      <c r="B42" s="90">
        <f>DATE(YEAR(Settings!$C$11),MONTH(Settings!$C$11)+A42,1)</f>
        <v/>
      </c>
      <c r="C42" s="91">
        <f>IF(C41&lt;0.005,0,MAX(0,C41*(1+C$6/12)-C$7))</f>
        <v/>
      </c>
      <c r="D42" s="91">
        <f>IF(D41&lt;0.005,0,MAX(0,D41*(1+D$6/12)-D$7))</f>
        <v/>
      </c>
      <c r="E42" s="91">
        <f>IF(E41&lt;0.005,0,MAX(0,E41*(1+E$6/12)-E$7))</f>
        <v/>
      </c>
      <c r="F42" s="91">
        <f>IF(F41&lt;0.005,0,MAX(0,F41*(1+F$6/12)-F$7))</f>
        <v/>
      </c>
      <c r="G42" s="91">
        <f>IF(G41&lt;0.005,0,MAX(0,G41*(1+G$6/12)-G$7))</f>
        <v/>
      </c>
      <c r="H42" s="91">
        <f>IF(H41&lt;0.005,0,MAX(0,H41*(1+H$6/12)-H$7))</f>
        <v/>
      </c>
      <c r="I42" s="91">
        <f>IF(I41&lt;0.005,0,MAX(0,I41*(1+I$6/12)-I$7))</f>
        <v/>
      </c>
      <c r="J42" s="91">
        <f>IF(J41&lt;0.005,0,MAX(0,J41*(1+J$6/12)-J$7))</f>
        <v/>
      </c>
      <c r="K42" s="91">
        <f>IF(K41&lt;0.005,0,MAX(0,K41*(1+K$6/12)-K$7))</f>
        <v/>
      </c>
      <c r="L42" s="91">
        <f>IF(L41&lt;0.005,0,MAX(0,L41*(1+L$6/12)-L$7))</f>
        <v/>
      </c>
      <c r="M42" s="91">
        <f>SUMPRODUCT(C41:L41,$C$6:$L$6)/12</f>
        <v/>
      </c>
      <c r="N42" s="88">
        <f>SUM(C42:L42)</f>
        <v/>
      </c>
      <c r="P42" s="92">
        <f>IF(Z41&lt;0.005,0,MAX(0,Z41*(1+Z$6/12)-Z$7))</f>
        <v/>
      </c>
      <c r="Q42" s="92">
        <f>IF(AA41&lt;0.005,0,MAX(0,AA41*(1+AA$6/12)-AA$7))</f>
        <v/>
      </c>
      <c r="R42" s="92">
        <f>IF(AB41&lt;0.005,0,MAX(0,AB41*(1+AB$6/12)-AB$7))</f>
        <v/>
      </c>
      <c r="S42" s="92">
        <f>IF(AC41&lt;0.005,0,MAX(0,AC41*(1+AC$6/12)-AC$7))</f>
        <v/>
      </c>
      <c r="T42" s="92">
        <f>IF(AD41&lt;0.005,0,MAX(0,AD41*(1+AD$6/12)-AD$7))</f>
        <v/>
      </c>
      <c r="U42" s="92">
        <f>IF(AE41&lt;0.005,0,MAX(0,AE41*(1+AE$6/12)-AE$7))</f>
        <v/>
      </c>
      <c r="V42" s="92">
        <f>IF(AF41&lt;0.005,0,MAX(0,AF41*(1+AF$6/12)-AF$7))</f>
        <v/>
      </c>
      <c r="W42" s="92">
        <f>IF(AG41&lt;0.005,0,MAX(0,AG41*(1+AG$6/12)-AG$7))</f>
        <v/>
      </c>
      <c r="X42" s="92">
        <f>IF(AH41&lt;0.005,0,MAX(0,AH41*(1+AH$6/12)-AH$7))</f>
        <v/>
      </c>
      <c r="Y42" s="92">
        <f>IF(AI41&lt;0.005,0,MAX(0,AI41*(1+AI$6/12)-AI$7))</f>
        <v/>
      </c>
      <c r="Z42" s="91">
        <f>MAX(0,P42-MAX(0,AK42-0))</f>
        <v/>
      </c>
      <c r="AA42" s="91">
        <f>MAX(0,Q42-MAX(0,AK42-SUM(P42:P42)))</f>
        <v/>
      </c>
      <c r="AB42" s="91">
        <f>MAX(0,R42-MAX(0,AK42-SUM(P42:Q42)))</f>
        <v/>
      </c>
      <c r="AC42" s="91">
        <f>MAX(0,S42-MAX(0,AK42-SUM(P42:R42)))</f>
        <v/>
      </c>
      <c r="AD42" s="91">
        <f>MAX(0,T42-MAX(0,AK42-SUM(P42:S42)))</f>
        <v/>
      </c>
      <c r="AE42" s="91">
        <f>MAX(0,U42-MAX(0,AK42-SUM(P42:T42)))</f>
        <v/>
      </c>
      <c r="AF42" s="91">
        <f>MAX(0,V42-MAX(0,AK42-SUM(P42:U42)))</f>
        <v/>
      </c>
      <c r="AG42" s="91">
        <f>MAX(0,W42-MAX(0,AK42-SUM(P42:V42)))</f>
        <v/>
      </c>
      <c r="AH42" s="91">
        <f>MAX(0,X42-MAX(0,AK42-SUM(P42:W42)))</f>
        <v/>
      </c>
      <c r="AI42" s="91">
        <f>MAX(0,Y42-MAX(0,AK42-SUM(P42:X42)))</f>
        <v/>
      </c>
      <c r="AJ42" s="92">
        <f>SUM(Z41:AI41)+AL42</f>
        <v/>
      </c>
      <c r="AK42" s="92">
        <f>$AK$7-(AJ42-SUM(P42:Y42))</f>
        <v/>
      </c>
      <c r="AL42" s="91">
        <f>SUMPRODUCT(Z41:AI41,$Z$6:$AI$6)/12</f>
        <v/>
      </c>
      <c r="AM42" s="88">
        <f>SUM(Z42:AI42)</f>
        <v/>
      </c>
      <c r="AO42" s="92">
        <f>IF(AY41&lt;0.005,0,MAX(0,AY41*(1+AY$6/12)-AY$7))</f>
        <v/>
      </c>
      <c r="AP42" s="92">
        <f>IF(AZ41&lt;0.005,0,MAX(0,AZ41*(1+AZ$6/12)-AZ$7))</f>
        <v/>
      </c>
      <c r="AQ42" s="92">
        <f>IF(BA41&lt;0.005,0,MAX(0,BA41*(1+BA$6/12)-BA$7))</f>
        <v/>
      </c>
      <c r="AR42" s="92">
        <f>IF(BB41&lt;0.005,0,MAX(0,BB41*(1+BB$6/12)-BB$7))</f>
        <v/>
      </c>
      <c r="AS42" s="92">
        <f>IF(BC41&lt;0.005,0,MAX(0,BC41*(1+BC$6/12)-BC$7))</f>
        <v/>
      </c>
      <c r="AT42" s="92">
        <f>IF(BD41&lt;0.005,0,MAX(0,BD41*(1+BD$6/12)-BD$7))</f>
        <v/>
      </c>
      <c r="AU42" s="92">
        <f>IF(BE41&lt;0.005,0,MAX(0,BE41*(1+BE$6/12)-BE$7))</f>
        <v/>
      </c>
      <c r="AV42" s="92">
        <f>IF(BF41&lt;0.005,0,MAX(0,BF41*(1+BF$6/12)-BF$7))</f>
        <v/>
      </c>
      <c r="AW42" s="92">
        <f>IF(BG41&lt;0.005,0,MAX(0,BG41*(1+BG$6/12)-BG$7))</f>
        <v/>
      </c>
      <c r="AX42" s="92">
        <f>IF(BH41&lt;0.005,0,MAX(0,BH41*(1+BH$6/12)-BH$7))</f>
        <v/>
      </c>
      <c r="AY42" s="91">
        <f>MAX(0,AO42-MAX(0,BJ42-0))</f>
        <v/>
      </c>
      <c r="AZ42" s="91">
        <f>MAX(0,AP42-MAX(0,BJ42-SUM(AO42:AO42)))</f>
        <v/>
      </c>
      <c r="BA42" s="91">
        <f>MAX(0,AQ42-MAX(0,BJ42-SUM(AO42:AP42)))</f>
        <v/>
      </c>
      <c r="BB42" s="91">
        <f>MAX(0,AR42-MAX(0,BJ42-SUM(AO42:AQ42)))</f>
        <v/>
      </c>
      <c r="BC42" s="91">
        <f>MAX(0,AS42-MAX(0,BJ42-SUM(AO42:AR42)))</f>
        <v/>
      </c>
      <c r="BD42" s="91">
        <f>MAX(0,AT42-MAX(0,BJ42-SUM(AO42:AS42)))</f>
        <v/>
      </c>
      <c r="BE42" s="91">
        <f>MAX(0,AU42-MAX(0,BJ42-SUM(AO42:AT42)))</f>
        <v/>
      </c>
      <c r="BF42" s="91">
        <f>MAX(0,AV42-MAX(0,BJ42-SUM(AO42:AU42)))</f>
        <v/>
      </c>
      <c r="BG42" s="91">
        <f>MAX(0,AW42-MAX(0,BJ42-SUM(AO42:AV42)))</f>
        <v/>
      </c>
      <c r="BH42" s="91">
        <f>MAX(0,AX42-MAX(0,BJ42-SUM(AO42:AW42)))</f>
        <v/>
      </c>
      <c r="BI42" s="92">
        <f>SUM(AY41:BH41)+BK42</f>
        <v/>
      </c>
      <c r="BJ42" s="92">
        <f>$BJ$7-(BI42-SUM(AO42:AX42))</f>
        <v/>
      </c>
      <c r="BK42" s="91">
        <f>SUMPRODUCT(AY41:BH41,$AY$6:$BH$6)/12</f>
        <v/>
      </c>
      <c r="BL42" s="88">
        <f>SUM(AY42:BH42)</f>
        <v/>
      </c>
    </row>
    <row r="43">
      <c r="A43" s="24" t="n">
        <v>33</v>
      </c>
      <c r="B43" s="90">
        <f>DATE(YEAR(Settings!$C$11),MONTH(Settings!$C$11)+A43,1)</f>
        <v/>
      </c>
      <c r="C43" s="91">
        <f>IF(C42&lt;0.005,0,MAX(0,C42*(1+C$6/12)-C$7))</f>
        <v/>
      </c>
      <c r="D43" s="91">
        <f>IF(D42&lt;0.005,0,MAX(0,D42*(1+D$6/12)-D$7))</f>
        <v/>
      </c>
      <c r="E43" s="91">
        <f>IF(E42&lt;0.005,0,MAX(0,E42*(1+E$6/12)-E$7))</f>
        <v/>
      </c>
      <c r="F43" s="91">
        <f>IF(F42&lt;0.005,0,MAX(0,F42*(1+F$6/12)-F$7))</f>
        <v/>
      </c>
      <c r="G43" s="91">
        <f>IF(G42&lt;0.005,0,MAX(0,G42*(1+G$6/12)-G$7))</f>
        <v/>
      </c>
      <c r="H43" s="91">
        <f>IF(H42&lt;0.005,0,MAX(0,H42*(1+H$6/12)-H$7))</f>
        <v/>
      </c>
      <c r="I43" s="91">
        <f>IF(I42&lt;0.005,0,MAX(0,I42*(1+I$6/12)-I$7))</f>
        <v/>
      </c>
      <c r="J43" s="91">
        <f>IF(J42&lt;0.005,0,MAX(0,J42*(1+J$6/12)-J$7))</f>
        <v/>
      </c>
      <c r="K43" s="91">
        <f>IF(K42&lt;0.005,0,MAX(0,K42*(1+K$6/12)-K$7))</f>
        <v/>
      </c>
      <c r="L43" s="91">
        <f>IF(L42&lt;0.005,0,MAX(0,L42*(1+L$6/12)-L$7))</f>
        <v/>
      </c>
      <c r="M43" s="91">
        <f>SUMPRODUCT(C42:L42,$C$6:$L$6)/12</f>
        <v/>
      </c>
      <c r="N43" s="88">
        <f>SUM(C43:L43)</f>
        <v/>
      </c>
      <c r="P43" s="92">
        <f>IF(Z42&lt;0.005,0,MAX(0,Z42*(1+Z$6/12)-Z$7))</f>
        <v/>
      </c>
      <c r="Q43" s="92">
        <f>IF(AA42&lt;0.005,0,MAX(0,AA42*(1+AA$6/12)-AA$7))</f>
        <v/>
      </c>
      <c r="R43" s="92">
        <f>IF(AB42&lt;0.005,0,MAX(0,AB42*(1+AB$6/12)-AB$7))</f>
        <v/>
      </c>
      <c r="S43" s="92">
        <f>IF(AC42&lt;0.005,0,MAX(0,AC42*(1+AC$6/12)-AC$7))</f>
        <v/>
      </c>
      <c r="T43" s="92">
        <f>IF(AD42&lt;0.005,0,MAX(0,AD42*(1+AD$6/12)-AD$7))</f>
        <v/>
      </c>
      <c r="U43" s="92">
        <f>IF(AE42&lt;0.005,0,MAX(0,AE42*(1+AE$6/12)-AE$7))</f>
        <v/>
      </c>
      <c r="V43" s="92">
        <f>IF(AF42&lt;0.005,0,MAX(0,AF42*(1+AF$6/12)-AF$7))</f>
        <v/>
      </c>
      <c r="W43" s="92">
        <f>IF(AG42&lt;0.005,0,MAX(0,AG42*(1+AG$6/12)-AG$7))</f>
        <v/>
      </c>
      <c r="X43" s="92">
        <f>IF(AH42&lt;0.005,0,MAX(0,AH42*(1+AH$6/12)-AH$7))</f>
        <v/>
      </c>
      <c r="Y43" s="92">
        <f>IF(AI42&lt;0.005,0,MAX(0,AI42*(1+AI$6/12)-AI$7))</f>
        <v/>
      </c>
      <c r="Z43" s="91">
        <f>MAX(0,P43-MAX(0,AK43-0))</f>
        <v/>
      </c>
      <c r="AA43" s="91">
        <f>MAX(0,Q43-MAX(0,AK43-SUM(P43:P43)))</f>
        <v/>
      </c>
      <c r="AB43" s="91">
        <f>MAX(0,R43-MAX(0,AK43-SUM(P43:Q43)))</f>
        <v/>
      </c>
      <c r="AC43" s="91">
        <f>MAX(0,S43-MAX(0,AK43-SUM(P43:R43)))</f>
        <v/>
      </c>
      <c r="AD43" s="91">
        <f>MAX(0,T43-MAX(0,AK43-SUM(P43:S43)))</f>
        <v/>
      </c>
      <c r="AE43" s="91">
        <f>MAX(0,U43-MAX(0,AK43-SUM(P43:T43)))</f>
        <v/>
      </c>
      <c r="AF43" s="91">
        <f>MAX(0,V43-MAX(0,AK43-SUM(P43:U43)))</f>
        <v/>
      </c>
      <c r="AG43" s="91">
        <f>MAX(0,W43-MAX(0,AK43-SUM(P43:V43)))</f>
        <v/>
      </c>
      <c r="AH43" s="91">
        <f>MAX(0,X43-MAX(0,AK43-SUM(P43:W43)))</f>
        <v/>
      </c>
      <c r="AI43" s="91">
        <f>MAX(0,Y43-MAX(0,AK43-SUM(P43:X43)))</f>
        <v/>
      </c>
      <c r="AJ43" s="92">
        <f>SUM(Z42:AI42)+AL43</f>
        <v/>
      </c>
      <c r="AK43" s="92">
        <f>$AK$7-(AJ43-SUM(P43:Y43))</f>
        <v/>
      </c>
      <c r="AL43" s="91">
        <f>SUMPRODUCT(Z42:AI42,$Z$6:$AI$6)/12</f>
        <v/>
      </c>
      <c r="AM43" s="88">
        <f>SUM(Z43:AI43)</f>
        <v/>
      </c>
      <c r="AO43" s="92">
        <f>IF(AY42&lt;0.005,0,MAX(0,AY42*(1+AY$6/12)-AY$7))</f>
        <v/>
      </c>
      <c r="AP43" s="92">
        <f>IF(AZ42&lt;0.005,0,MAX(0,AZ42*(1+AZ$6/12)-AZ$7))</f>
        <v/>
      </c>
      <c r="AQ43" s="92">
        <f>IF(BA42&lt;0.005,0,MAX(0,BA42*(1+BA$6/12)-BA$7))</f>
        <v/>
      </c>
      <c r="AR43" s="92">
        <f>IF(BB42&lt;0.005,0,MAX(0,BB42*(1+BB$6/12)-BB$7))</f>
        <v/>
      </c>
      <c r="AS43" s="92">
        <f>IF(BC42&lt;0.005,0,MAX(0,BC42*(1+BC$6/12)-BC$7))</f>
        <v/>
      </c>
      <c r="AT43" s="92">
        <f>IF(BD42&lt;0.005,0,MAX(0,BD42*(1+BD$6/12)-BD$7))</f>
        <v/>
      </c>
      <c r="AU43" s="92">
        <f>IF(BE42&lt;0.005,0,MAX(0,BE42*(1+BE$6/12)-BE$7))</f>
        <v/>
      </c>
      <c r="AV43" s="92">
        <f>IF(BF42&lt;0.005,0,MAX(0,BF42*(1+BF$6/12)-BF$7))</f>
        <v/>
      </c>
      <c r="AW43" s="92">
        <f>IF(BG42&lt;0.005,0,MAX(0,BG42*(1+BG$6/12)-BG$7))</f>
        <v/>
      </c>
      <c r="AX43" s="92">
        <f>IF(BH42&lt;0.005,0,MAX(0,BH42*(1+BH$6/12)-BH$7))</f>
        <v/>
      </c>
      <c r="AY43" s="91">
        <f>MAX(0,AO43-MAX(0,BJ43-0))</f>
        <v/>
      </c>
      <c r="AZ43" s="91">
        <f>MAX(0,AP43-MAX(0,BJ43-SUM(AO43:AO43)))</f>
        <v/>
      </c>
      <c r="BA43" s="91">
        <f>MAX(0,AQ43-MAX(0,BJ43-SUM(AO43:AP43)))</f>
        <v/>
      </c>
      <c r="BB43" s="91">
        <f>MAX(0,AR43-MAX(0,BJ43-SUM(AO43:AQ43)))</f>
        <v/>
      </c>
      <c r="BC43" s="91">
        <f>MAX(0,AS43-MAX(0,BJ43-SUM(AO43:AR43)))</f>
        <v/>
      </c>
      <c r="BD43" s="91">
        <f>MAX(0,AT43-MAX(0,BJ43-SUM(AO43:AS43)))</f>
        <v/>
      </c>
      <c r="BE43" s="91">
        <f>MAX(0,AU43-MAX(0,BJ43-SUM(AO43:AT43)))</f>
        <v/>
      </c>
      <c r="BF43" s="91">
        <f>MAX(0,AV43-MAX(0,BJ43-SUM(AO43:AU43)))</f>
        <v/>
      </c>
      <c r="BG43" s="91">
        <f>MAX(0,AW43-MAX(0,BJ43-SUM(AO43:AV43)))</f>
        <v/>
      </c>
      <c r="BH43" s="91">
        <f>MAX(0,AX43-MAX(0,BJ43-SUM(AO43:AW43)))</f>
        <v/>
      </c>
      <c r="BI43" s="92">
        <f>SUM(AY42:BH42)+BK43</f>
        <v/>
      </c>
      <c r="BJ43" s="92">
        <f>$BJ$7-(BI43-SUM(AO43:AX43))</f>
        <v/>
      </c>
      <c r="BK43" s="91">
        <f>SUMPRODUCT(AY42:BH42,$AY$6:$BH$6)/12</f>
        <v/>
      </c>
      <c r="BL43" s="88">
        <f>SUM(AY43:BH43)</f>
        <v/>
      </c>
    </row>
    <row r="44">
      <c r="A44" s="24" t="n">
        <v>34</v>
      </c>
      <c r="B44" s="90">
        <f>DATE(YEAR(Settings!$C$11),MONTH(Settings!$C$11)+A44,1)</f>
        <v/>
      </c>
      <c r="C44" s="91">
        <f>IF(C43&lt;0.005,0,MAX(0,C43*(1+C$6/12)-C$7))</f>
        <v/>
      </c>
      <c r="D44" s="91">
        <f>IF(D43&lt;0.005,0,MAX(0,D43*(1+D$6/12)-D$7))</f>
        <v/>
      </c>
      <c r="E44" s="91">
        <f>IF(E43&lt;0.005,0,MAX(0,E43*(1+E$6/12)-E$7))</f>
        <v/>
      </c>
      <c r="F44" s="91">
        <f>IF(F43&lt;0.005,0,MAX(0,F43*(1+F$6/12)-F$7))</f>
        <v/>
      </c>
      <c r="G44" s="91">
        <f>IF(G43&lt;0.005,0,MAX(0,G43*(1+G$6/12)-G$7))</f>
        <v/>
      </c>
      <c r="H44" s="91">
        <f>IF(H43&lt;0.005,0,MAX(0,H43*(1+H$6/12)-H$7))</f>
        <v/>
      </c>
      <c r="I44" s="91">
        <f>IF(I43&lt;0.005,0,MAX(0,I43*(1+I$6/12)-I$7))</f>
        <v/>
      </c>
      <c r="J44" s="91">
        <f>IF(J43&lt;0.005,0,MAX(0,J43*(1+J$6/12)-J$7))</f>
        <v/>
      </c>
      <c r="K44" s="91">
        <f>IF(K43&lt;0.005,0,MAX(0,K43*(1+K$6/12)-K$7))</f>
        <v/>
      </c>
      <c r="L44" s="91">
        <f>IF(L43&lt;0.005,0,MAX(0,L43*(1+L$6/12)-L$7))</f>
        <v/>
      </c>
      <c r="M44" s="91">
        <f>SUMPRODUCT(C43:L43,$C$6:$L$6)/12</f>
        <v/>
      </c>
      <c r="N44" s="88">
        <f>SUM(C44:L44)</f>
        <v/>
      </c>
      <c r="P44" s="92">
        <f>IF(Z43&lt;0.005,0,MAX(0,Z43*(1+Z$6/12)-Z$7))</f>
        <v/>
      </c>
      <c r="Q44" s="92">
        <f>IF(AA43&lt;0.005,0,MAX(0,AA43*(1+AA$6/12)-AA$7))</f>
        <v/>
      </c>
      <c r="R44" s="92">
        <f>IF(AB43&lt;0.005,0,MAX(0,AB43*(1+AB$6/12)-AB$7))</f>
        <v/>
      </c>
      <c r="S44" s="92">
        <f>IF(AC43&lt;0.005,0,MAX(0,AC43*(1+AC$6/12)-AC$7))</f>
        <v/>
      </c>
      <c r="T44" s="92">
        <f>IF(AD43&lt;0.005,0,MAX(0,AD43*(1+AD$6/12)-AD$7))</f>
        <v/>
      </c>
      <c r="U44" s="92">
        <f>IF(AE43&lt;0.005,0,MAX(0,AE43*(1+AE$6/12)-AE$7))</f>
        <v/>
      </c>
      <c r="V44" s="92">
        <f>IF(AF43&lt;0.005,0,MAX(0,AF43*(1+AF$6/12)-AF$7))</f>
        <v/>
      </c>
      <c r="W44" s="92">
        <f>IF(AG43&lt;0.005,0,MAX(0,AG43*(1+AG$6/12)-AG$7))</f>
        <v/>
      </c>
      <c r="X44" s="92">
        <f>IF(AH43&lt;0.005,0,MAX(0,AH43*(1+AH$6/12)-AH$7))</f>
        <v/>
      </c>
      <c r="Y44" s="92">
        <f>IF(AI43&lt;0.005,0,MAX(0,AI43*(1+AI$6/12)-AI$7))</f>
        <v/>
      </c>
      <c r="Z44" s="91">
        <f>MAX(0,P44-MAX(0,AK44-0))</f>
        <v/>
      </c>
      <c r="AA44" s="91">
        <f>MAX(0,Q44-MAX(0,AK44-SUM(P44:P44)))</f>
        <v/>
      </c>
      <c r="AB44" s="91">
        <f>MAX(0,R44-MAX(0,AK44-SUM(P44:Q44)))</f>
        <v/>
      </c>
      <c r="AC44" s="91">
        <f>MAX(0,S44-MAX(0,AK44-SUM(P44:R44)))</f>
        <v/>
      </c>
      <c r="AD44" s="91">
        <f>MAX(0,T44-MAX(0,AK44-SUM(P44:S44)))</f>
        <v/>
      </c>
      <c r="AE44" s="91">
        <f>MAX(0,U44-MAX(0,AK44-SUM(P44:T44)))</f>
        <v/>
      </c>
      <c r="AF44" s="91">
        <f>MAX(0,V44-MAX(0,AK44-SUM(P44:U44)))</f>
        <v/>
      </c>
      <c r="AG44" s="91">
        <f>MAX(0,W44-MAX(0,AK44-SUM(P44:V44)))</f>
        <v/>
      </c>
      <c r="AH44" s="91">
        <f>MAX(0,X44-MAX(0,AK44-SUM(P44:W44)))</f>
        <v/>
      </c>
      <c r="AI44" s="91">
        <f>MAX(0,Y44-MAX(0,AK44-SUM(P44:X44)))</f>
        <v/>
      </c>
      <c r="AJ44" s="92">
        <f>SUM(Z43:AI43)+AL44</f>
        <v/>
      </c>
      <c r="AK44" s="92">
        <f>$AK$7-(AJ44-SUM(P44:Y44))</f>
        <v/>
      </c>
      <c r="AL44" s="91">
        <f>SUMPRODUCT(Z43:AI43,$Z$6:$AI$6)/12</f>
        <v/>
      </c>
      <c r="AM44" s="88">
        <f>SUM(Z44:AI44)</f>
        <v/>
      </c>
      <c r="AO44" s="92">
        <f>IF(AY43&lt;0.005,0,MAX(0,AY43*(1+AY$6/12)-AY$7))</f>
        <v/>
      </c>
      <c r="AP44" s="92">
        <f>IF(AZ43&lt;0.005,0,MAX(0,AZ43*(1+AZ$6/12)-AZ$7))</f>
        <v/>
      </c>
      <c r="AQ44" s="92">
        <f>IF(BA43&lt;0.005,0,MAX(0,BA43*(1+BA$6/12)-BA$7))</f>
        <v/>
      </c>
      <c r="AR44" s="92">
        <f>IF(BB43&lt;0.005,0,MAX(0,BB43*(1+BB$6/12)-BB$7))</f>
        <v/>
      </c>
      <c r="AS44" s="92">
        <f>IF(BC43&lt;0.005,0,MAX(0,BC43*(1+BC$6/12)-BC$7))</f>
        <v/>
      </c>
      <c r="AT44" s="92">
        <f>IF(BD43&lt;0.005,0,MAX(0,BD43*(1+BD$6/12)-BD$7))</f>
        <v/>
      </c>
      <c r="AU44" s="92">
        <f>IF(BE43&lt;0.005,0,MAX(0,BE43*(1+BE$6/12)-BE$7))</f>
        <v/>
      </c>
      <c r="AV44" s="92">
        <f>IF(BF43&lt;0.005,0,MAX(0,BF43*(1+BF$6/12)-BF$7))</f>
        <v/>
      </c>
      <c r="AW44" s="92">
        <f>IF(BG43&lt;0.005,0,MAX(0,BG43*(1+BG$6/12)-BG$7))</f>
        <v/>
      </c>
      <c r="AX44" s="92">
        <f>IF(BH43&lt;0.005,0,MAX(0,BH43*(1+BH$6/12)-BH$7))</f>
        <v/>
      </c>
      <c r="AY44" s="91">
        <f>MAX(0,AO44-MAX(0,BJ44-0))</f>
        <v/>
      </c>
      <c r="AZ44" s="91">
        <f>MAX(0,AP44-MAX(0,BJ44-SUM(AO44:AO44)))</f>
        <v/>
      </c>
      <c r="BA44" s="91">
        <f>MAX(0,AQ44-MAX(0,BJ44-SUM(AO44:AP44)))</f>
        <v/>
      </c>
      <c r="BB44" s="91">
        <f>MAX(0,AR44-MAX(0,BJ44-SUM(AO44:AQ44)))</f>
        <v/>
      </c>
      <c r="BC44" s="91">
        <f>MAX(0,AS44-MAX(0,BJ44-SUM(AO44:AR44)))</f>
        <v/>
      </c>
      <c r="BD44" s="91">
        <f>MAX(0,AT44-MAX(0,BJ44-SUM(AO44:AS44)))</f>
        <v/>
      </c>
      <c r="BE44" s="91">
        <f>MAX(0,AU44-MAX(0,BJ44-SUM(AO44:AT44)))</f>
        <v/>
      </c>
      <c r="BF44" s="91">
        <f>MAX(0,AV44-MAX(0,BJ44-SUM(AO44:AU44)))</f>
        <v/>
      </c>
      <c r="BG44" s="91">
        <f>MAX(0,AW44-MAX(0,BJ44-SUM(AO44:AV44)))</f>
        <v/>
      </c>
      <c r="BH44" s="91">
        <f>MAX(0,AX44-MAX(0,BJ44-SUM(AO44:AW44)))</f>
        <v/>
      </c>
      <c r="BI44" s="92">
        <f>SUM(AY43:BH43)+BK44</f>
        <v/>
      </c>
      <c r="BJ44" s="92">
        <f>$BJ$7-(BI44-SUM(AO44:AX44))</f>
        <v/>
      </c>
      <c r="BK44" s="91">
        <f>SUMPRODUCT(AY43:BH43,$AY$6:$BH$6)/12</f>
        <v/>
      </c>
      <c r="BL44" s="88">
        <f>SUM(AY44:BH44)</f>
        <v/>
      </c>
    </row>
    <row r="45">
      <c r="A45" s="24" t="n">
        <v>35</v>
      </c>
      <c r="B45" s="90">
        <f>DATE(YEAR(Settings!$C$11),MONTH(Settings!$C$11)+A45,1)</f>
        <v/>
      </c>
      <c r="C45" s="91">
        <f>IF(C44&lt;0.005,0,MAX(0,C44*(1+C$6/12)-C$7))</f>
        <v/>
      </c>
      <c r="D45" s="91">
        <f>IF(D44&lt;0.005,0,MAX(0,D44*(1+D$6/12)-D$7))</f>
        <v/>
      </c>
      <c r="E45" s="91">
        <f>IF(E44&lt;0.005,0,MAX(0,E44*(1+E$6/12)-E$7))</f>
        <v/>
      </c>
      <c r="F45" s="91">
        <f>IF(F44&lt;0.005,0,MAX(0,F44*(1+F$6/12)-F$7))</f>
        <v/>
      </c>
      <c r="G45" s="91">
        <f>IF(G44&lt;0.005,0,MAX(0,G44*(1+G$6/12)-G$7))</f>
        <v/>
      </c>
      <c r="H45" s="91">
        <f>IF(H44&lt;0.005,0,MAX(0,H44*(1+H$6/12)-H$7))</f>
        <v/>
      </c>
      <c r="I45" s="91">
        <f>IF(I44&lt;0.005,0,MAX(0,I44*(1+I$6/12)-I$7))</f>
        <v/>
      </c>
      <c r="J45" s="91">
        <f>IF(J44&lt;0.005,0,MAX(0,J44*(1+J$6/12)-J$7))</f>
        <v/>
      </c>
      <c r="K45" s="91">
        <f>IF(K44&lt;0.005,0,MAX(0,K44*(1+K$6/12)-K$7))</f>
        <v/>
      </c>
      <c r="L45" s="91">
        <f>IF(L44&lt;0.005,0,MAX(0,L44*(1+L$6/12)-L$7))</f>
        <v/>
      </c>
      <c r="M45" s="91">
        <f>SUMPRODUCT(C44:L44,$C$6:$L$6)/12</f>
        <v/>
      </c>
      <c r="N45" s="88">
        <f>SUM(C45:L45)</f>
        <v/>
      </c>
      <c r="P45" s="92">
        <f>IF(Z44&lt;0.005,0,MAX(0,Z44*(1+Z$6/12)-Z$7))</f>
        <v/>
      </c>
      <c r="Q45" s="92">
        <f>IF(AA44&lt;0.005,0,MAX(0,AA44*(1+AA$6/12)-AA$7))</f>
        <v/>
      </c>
      <c r="R45" s="92">
        <f>IF(AB44&lt;0.005,0,MAX(0,AB44*(1+AB$6/12)-AB$7))</f>
        <v/>
      </c>
      <c r="S45" s="92">
        <f>IF(AC44&lt;0.005,0,MAX(0,AC44*(1+AC$6/12)-AC$7))</f>
        <v/>
      </c>
      <c r="T45" s="92">
        <f>IF(AD44&lt;0.005,0,MAX(0,AD44*(1+AD$6/12)-AD$7))</f>
        <v/>
      </c>
      <c r="U45" s="92">
        <f>IF(AE44&lt;0.005,0,MAX(0,AE44*(1+AE$6/12)-AE$7))</f>
        <v/>
      </c>
      <c r="V45" s="92">
        <f>IF(AF44&lt;0.005,0,MAX(0,AF44*(1+AF$6/12)-AF$7))</f>
        <v/>
      </c>
      <c r="W45" s="92">
        <f>IF(AG44&lt;0.005,0,MAX(0,AG44*(1+AG$6/12)-AG$7))</f>
        <v/>
      </c>
      <c r="X45" s="92">
        <f>IF(AH44&lt;0.005,0,MAX(0,AH44*(1+AH$6/12)-AH$7))</f>
        <v/>
      </c>
      <c r="Y45" s="92">
        <f>IF(AI44&lt;0.005,0,MAX(0,AI44*(1+AI$6/12)-AI$7))</f>
        <v/>
      </c>
      <c r="Z45" s="91">
        <f>MAX(0,P45-MAX(0,AK45-0))</f>
        <v/>
      </c>
      <c r="AA45" s="91">
        <f>MAX(0,Q45-MAX(0,AK45-SUM(P45:P45)))</f>
        <v/>
      </c>
      <c r="AB45" s="91">
        <f>MAX(0,R45-MAX(0,AK45-SUM(P45:Q45)))</f>
        <v/>
      </c>
      <c r="AC45" s="91">
        <f>MAX(0,S45-MAX(0,AK45-SUM(P45:R45)))</f>
        <v/>
      </c>
      <c r="AD45" s="91">
        <f>MAX(0,T45-MAX(0,AK45-SUM(P45:S45)))</f>
        <v/>
      </c>
      <c r="AE45" s="91">
        <f>MAX(0,U45-MAX(0,AK45-SUM(P45:T45)))</f>
        <v/>
      </c>
      <c r="AF45" s="91">
        <f>MAX(0,V45-MAX(0,AK45-SUM(P45:U45)))</f>
        <v/>
      </c>
      <c r="AG45" s="91">
        <f>MAX(0,W45-MAX(0,AK45-SUM(P45:V45)))</f>
        <v/>
      </c>
      <c r="AH45" s="91">
        <f>MAX(0,X45-MAX(0,AK45-SUM(P45:W45)))</f>
        <v/>
      </c>
      <c r="AI45" s="91">
        <f>MAX(0,Y45-MAX(0,AK45-SUM(P45:X45)))</f>
        <v/>
      </c>
      <c r="AJ45" s="92">
        <f>SUM(Z44:AI44)+AL45</f>
        <v/>
      </c>
      <c r="AK45" s="92">
        <f>$AK$7-(AJ45-SUM(P45:Y45))</f>
        <v/>
      </c>
      <c r="AL45" s="91">
        <f>SUMPRODUCT(Z44:AI44,$Z$6:$AI$6)/12</f>
        <v/>
      </c>
      <c r="AM45" s="88">
        <f>SUM(Z45:AI45)</f>
        <v/>
      </c>
      <c r="AO45" s="92">
        <f>IF(AY44&lt;0.005,0,MAX(0,AY44*(1+AY$6/12)-AY$7))</f>
        <v/>
      </c>
      <c r="AP45" s="92">
        <f>IF(AZ44&lt;0.005,0,MAX(0,AZ44*(1+AZ$6/12)-AZ$7))</f>
        <v/>
      </c>
      <c r="AQ45" s="92">
        <f>IF(BA44&lt;0.005,0,MAX(0,BA44*(1+BA$6/12)-BA$7))</f>
        <v/>
      </c>
      <c r="AR45" s="92">
        <f>IF(BB44&lt;0.005,0,MAX(0,BB44*(1+BB$6/12)-BB$7))</f>
        <v/>
      </c>
      <c r="AS45" s="92">
        <f>IF(BC44&lt;0.005,0,MAX(0,BC44*(1+BC$6/12)-BC$7))</f>
        <v/>
      </c>
      <c r="AT45" s="92">
        <f>IF(BD44&lt;0.005,0,MAX(0,BD44*(1+BD$6/12)-BD$7))</f>
        <v/>
      </c>
      <c r="AU45" s="92">
        <f>IF(BE44&lt;0.005,0,MAX(0,BE44*(1+BE$6/12)-BE$7))</f>
        <v/>
      </c>
      <c r="AV45" s="92">
        <f>IF(BF44&lt;0.005,0,MAX(0,BF44*(1+BF$6/12)-BF$7))</f>
        <v/>
      </c>
      <c r="AW45" s="92">
        <f>IF(BG44&lt;0.005,0,MAX(0,BG44*(1+BG$6/12)-BG$7))</f>
        <v/>
      </c>
      <c r="AX45" s="92">
        <f>IF(BH44&lt;0.005,0,MAX(0,BH44*(1+BH$6/12)-BH$7))</f>
        <v/>
      </c>
      <c r="AY45" s="91">
        <f>MAX(0,AO45-MAX(0,BJ45-0))</f>
        <v/>
      </c>
      <c r="AZ45" s="91">
        <f>MAX(0,AP45-MAX(0,BJ45-SUM(AO45:AO45)))</f>
        <v/>
      </c>
      <c r="BA45" s="91">
        <f>MAX(0,AQ45-MAX(0,BJ45-SUM(AO45:AP45)))</f>
        <v/>
      </c>
      <c r="BB45" s="91">
        <f>MAX(0,AR45-MAX(0,BJ45-SUM(AO45:AQ45)))</f>
        <v/>
      </c>
      <c r="BC45" s="91">
        <f>MAX(0,AS45-MAX(0,BJ45-SUM(AO45:AR45)))</f>
        <v/>
      </c>
      <c r="BD45" s="91">
        <f>MAX(0,AT45-MAX(0,BJ45-SUM(AO45:AS45)))</f>
        <v/>
      </c>
      <c r="BE45" s="91">
        <f>MAX(0,AU45-MAX(0,BJ45-SUM(AO45:AT45)))</f>
        <v/>
      </c>
      <c r="BF45" s="91">
        <f>MAX(0,AV45-MAX(0,BJ45-SUM(AO45:AU45)))</f>
        <v/>
      </c>
      <c r="BG45" s="91">
        <f>MAX(0,AW45-MAX(0,BJ45-SUM(AO45:AV45)))</f>
        <v/>
      </c>
      <c r="BH45" s="91">
        <f>MAX(0,AX45-MAX(0,BJ45-SUM(AO45:AW45)))</f>
        <v/>
      </c>
      <c r="BI45" s="92">
        <f>SUM(AY44:BH44)+BK45</f>
        <v/>
      </c>
      <c r="BJ45" s="92">
        <f>$BJ$7-(BI45-SUM(AO45:AX45))</f>
        <v/>
      </c>
      <c r="BK45" s="91">
        <f>SUMPRODUCT(AY44:BH44,$AY$6:$BH$6)/12</f>
        <v/>
      </c>
      <c r="BL45" s="88">
        <f>SUM(AY45:BH45)</f>
        <v/>
      </c>
    </row>
    <row r="46">
      <c r="A46" s="24" t="n">
        <v>36</v>
      </c>
      <c r="B46" s="90">
        <f>DATE(YEAR(Settings!$C$11),MONTH(Settings!$C$11)+A46,1)</f>
        <v/>
      </c>
      <c r="C46" s="91">
        <f>IF(C45&lt;0.005,0,MAX(0,C45*(1+C$6/12)-C$7))</f>
        <v/>
      </c>
      <c r="D46" s="91">
        <f>IF(D45&lt;0.005,0,MAX(0,D45*(1+D$6/12)-D$7))</f>
        <v/>
      </c>
      <c r="E46" s="91">
        <f>IF(E45&lt;0.005,0,MAX(0,E45*(1+E$6/12)-E$7))</f>
        <v/>
      </c>
      <c r="F46" s="91">
        <f>IF(F45&lt;0.005,0,MAX(0,F45*(1+F$6/12)-F$7))</f>
        <v/>
      </c>
      <c r="G46" s="91">
        <f>IF(G45&lt;0.005,0,MAX(0,G45*(1+G$6/12)-G$7))</f>
        <v/>
      </c>
      <c r="H46" s="91">
        <f>IF(H45&lt;0.005,0,MAX(0,H45*(1+H$6/12)-H$7))</f>
        <v/>
      </c>
      <c r="I46" s="91">
        <f>IF(I45&lt;0.005,0,MAX(0,I45*(1+I$6/12)-I$7))</f>
        <v/>
      </c>
      <c r="J46" s="91">
        <f>IF(J45&lt;0.005,0,MAX(0,J45*(1+J$6/12)-J$7))</f>
        <v/>
      </c>
      <c r="K46" s="91">
        <f>IF(K45&lt;0.005,0,MAX(0,K45*(1+K$6/12)-K$7))</f>
        <v/>
      </c>
      <c r="L46" s="91">
        <f>IF(L45&lt;0.005,0,MAX(0,L45*(1+L$6/12)-L$7))</f>
        <v/>
      </c>
      <c r="M46" s="91">
        <f>SUMPRODUCT(C45:L45,$C$6:$L$6)/12</f>
        <v/>
      </c>
      <c r="N46" s="88">
        <f>SUM(C46:L46)</f>
        <v/>
      </c>
      <c r="P46" s="92">
        <f>IF(Z45&lt;0.005,0,MAX(0,Z45*(1+Z$6/12)-Z$7))</f>
        <v/>
      </c>
      <c r="Q46" s="92">
        <f>IF(AA45&lt;0.005,0,MAX(0,AA45*(1+AA$6/12)-AA$7))</f>
        <v/>
      </c>
      <c r="R46" s="92">
        <f>IF(AB45&lt;0.005,0,MAX(0,AB45*(1+AB$6/12)-AB$7))</f>
        <v/>
      </c>
      <c r="S46" s="92">
        <f>IF(AC45&lt;0.005,0,MAX(0,AC45*(1+AC$6/12)-AC$7))</f>
        <v/>
      </c>
      <c r="T46" s="92">
        <f>IF(AD45&lt;0.005,0,MAX(0,AD45*(1+AD$6/12)-AD$7))</f>
        <v/>
      </c>
      <c r="U46" s="92">
        <f>IF(AE45&lt;0.005,0,MAX(0,AE45*(1+AE$6/12)-AE$7))</f>
        <v/>
      </c>
      <c r="V46" s="92">
        <f>IF(AF45&lt;0.005,0,MAX(0,AF45*(1+AF$6/12)-AF$7))</f>
        <v/>
      </c>
      <c r="W46" s="92">
        <f>IF(AG45&lt;0.005,0,MAX(0,AG45*(1+AG$6/12)-AG$7))</f>
        <v/>
      </c>
      <c r="X46" s="92">
        <f>IF(AH45&lt;0.005,0,MAX(0,AH45*(1+AH$6/12)-AH$7))</f>
        <v/>
      </c>
      <c r="Y46" s="92">
        <f>IF(AI45&lt;0.005,0,MAX(0,AI45*(1+AI$6/12)-AI$7))</f>
        <v/>
      </c>
      <c r="Z46" s="91">
        <f>MAX(0,P46-MAX(0,AK46-0))</f>
        <v/>
      </c>
      <c r="AA46" s="91">
        <f>MAX(0,Q46-MAX(0,AK46-SUM(P46:P46)))</f>
        <v/>
      </c>
      <c r="AB46" s="91">
        <f>MAX(0,R46-MAX(0,AK46-SUM(P46:Q46)))</f>
        <v/>
      </c>
      <c r="AC46" s="91">
        <f>MAX(0,S46-MAX(0,AK46-SUM(P46:R46)))</f>
        <v/>
      </c>
      <c r="AD46" s="91">
        <f>MAX(0,T46-MAX(0,AK46-SUM(P46:S46)))</f>
        <v/>
      </c>
      <c r="AE46" s="91">
        <f>MAX(0,U46-MAX(0,AK46-SUM(P46:T46)))</f>
        <v/>
      </c>
      <c r="AF46" s="91">
        <f>MAX(0,V46-MAX(0,AK46-SUM(P46:U46)))</f>
        <v/>
      </c>
      <c r="AG46" s="91">
        <f>MAX(0,W46-MAX(0,AK46-SUM(P46:V46)))</f>
        <v/>
      </c>
      <c r="AH46" s="91">
        <f>MAX(0,X46-MAX(0,AK46-SUM(P46:W46)))</f>
        <v/>
      </c>
      <c r="AI46" s="91">
        <f>MAX(0,Y46-MAX(0,AK46-SUM(P46:X46)))</f>
        <v/>
      </c>
      <c r="AJ46" s="92">
        <f>SUM(Z45:AI45)+AL46</f>
        <v/>
      </c>
      <c r="AK46" s="92">
        <f>$AK$7-(AJ46-SUM(P46:Y46))</f>
        <v/>
      </c>
      <c r="AL46" s="91">
        <f>SUMPRODUCT(Z45:AI45,$Z$6:$AI$6)/12</f>
        <v/>
      </c>
      <c r="AM46" s="88">
        <f>SUM(Z46:AI46)</f>
        <v/>
      </c>
      <c r="AO46" s="92">
        <f>IF(AY45&lt;0.005,0,MAX(0,AY45*(1+AY$6/12)-AY$7))</f>
        <v/>
      </c>
      <c r="AP46" s="92">
        <f>IF(AZ45&lt;0.005,0,MAX(0,AZ45*(1+AZ$6/12)-AZ$7))</f>
        <v/>
      </c>
      <c r="AQ46" s="92">
        <f>IF(BA45&lt;0.005,0,MAX(0,BA45*(1+BA$6/12)-BA$7))</f>
        <v/>
      </c>
      <c r="AR46" s="92">
        <f>IF(BB45&lt;0.005,0,MAX(0,BB45*(1+BB$6/12)-BB$7))</f>
        <v/>
      </c>
      <c r="AS46" s="92">
        <f>IF(BC45&lt;0.005,0,MAX(0,BC45*(1+BC$6/12)-BC$7))</f>
        <v/>
      </c>
      <c r="AT46" s="92">
        <f>IF(BD45&lt;0.005,0,MAX(0,BD45*(1+BD$6/12)-BD$7))</f>
        <v/>
      </c>
      <c r="AU46" s="92">
        <f>IF(BE45&lt;0.005,0,MAX(0,BE45*(1+BE$6/12)-BE$7))</f>
        <v/>
      </c>
      <c r="AV46" s="92">
        <f>IF(BF45&lt;0.005,0,MAX(0,BF45*(1+BF$6/12)-BF$7))</f>
        <v/>
      </c>
      <c r="AW46" s="92">
        <f>IF(BG45&lt;0.005,0,MAX(0,BG45*(1+BG$6/12)-BG$7))</f>
        <v/>
      </c>
      <c r="AX46" s="92">
        <f>IF(BH45&lt;0.005,0,MAX(0,BH45*(1+BH$6/12)-BH$7))</f>
        <v/>
      </c>
      <c r="AY46" s="91">
        <f>MAX(0,AO46-MAX(0,BJ46-0))</f>
        <v/>
      </c>
      <c r="AZ46" s="91">
        <f>MAX(0,AP46-MAX(0,BJ46-SUM(AO46:AO46)))</f>
        <v/>
      </c>
      <c r="BA46" s="91">
        <f>MAX(0,AQ46-MAX(0,BJ46-SUM(AO46:AP46)))</f>
        <v/>
      </c>
      <c r="BB46" s="91">
        <f>MAX(0,AR46-MAX(0,BJ46-SUM(AO46:AQ46)))</f>
        <v/>
      </c>
      <c r="BC46" s="91">
        <f>MAX(0,AS46-MAX(0,BJ46-SUM(AO46:AR46)))</f>
        <v/>
      </c>
      <c r="BD46" s="91">
        <f>MAX(0,AT46-MAX(0,BJ46-SUM(AO46:AS46)))</f>
        <v/>
      </c>
      <c r="BE46" s="91">
        <f>MAX(0,AU46-MAX(0,BJ46-SUM(AO46:AT46)))</f>
        <v/>
      </c>
      <c r="BF46" s="91">
        <f>MAX(0,AV46-MAX(0,BJ46-SUM(AO46:AU46)))</f>
        <v/>
      </c>
      <c r="BG46" s="91">
        <f>MAX(0,AW46-MAX(0,BJ46-SUM(AO46:AV46)))</f>
        <v/>
      </c>
      <c r="BH46" s="91">
        <f>MAX(0,AX46-MAX(0,BJ46-SUM(AO46:AW46)))</f>
        <v/>
      </c>
      <c r="BI46" s="92">
        <f>SUM(AY45:BH45)+BK46</f>
        <v/>
      </c>
      <c r="BJ46" s="92">
        <f>$BJ$7-(BI46-SUM(AO46:AX46))</f>
        <v/>
      </c>
      <c r="BK46" s="91">
        <f>SUMPRODUCT(AY45:BH45,$AY$6:$BH$6)/12</f>
        <v/>
      </c>
      <c r="BL46" s="88">
        <f>SUM(AY46:BH46)</f>
        <v/>
      </c>
    </row>
    <row r="47">
      <c r="A47" s="24" t="n">
        <v>37</v>
      </c>
      <c r="B47" s="90">
        <f>DATE(YEAR(Settings!$C$11),MONTH(Settings!$C$11)+A47,1)</f>
        <v/>
      </c>
      <c r="C47" s="91">
        <f>IF(C46&lt;0.005,0,MAX(0,C46*(1+C$6/12)-C$7))</f>
        <v/>
      </c>
      <c r="D47" s="91">
        <f>IF(D46&lt;0.005,0,MAX(0,D46*(1+D$6/12)-D$7))</f>
        <v/>
      </c>
      <c r="E47" s="91">
        <f>IF(E46&lt;0.005,0,MAX(0,E46*(1+E$6/12)-E$7))</f>
        <v/>
      </c>
      <c r="F47" s="91">
        <f>IF(F46&lt;0.005,0,MAX(0,F46*(1+F$6/12)-F$7))</f>
        <v/>
      </c>
      <c r="G47" s="91">
        <f>IF(G46&lt;0.005,0,MAX(0,G46*(1+G$6/12)-G$7))</f>
        <v/>
      </c>
      <c r="H47" s="91">
        <f>IF(H46&lt;0.005,0,MAX(0,H46*(1+H$6/12)-H$7))</f>
        <v/>
      </c>
      <c r="I47" s="91">
        <f>IF(I46&lt;0.005,0,MAX(0,I46*(1+I$6/12)-I$7))</f>
        <v/>
      </c>
      <c r="J47" s="91">
        <f>IF(J46&lt;0.005,0,MAX(0,J46*(1+J$6/12)-J$7))</f>
        <v/>
      </c>
      <c r="K47" s="91">
        <f>IF(K46&lt;0.005,0,MAX(0,K46*(1+K$6/12)-K$7))</f>
        <v/>
      </c>
      <c r="L47" s="91">
        <f>IF(L46&lt;0.005,0,MAX(0,L46*(1+L$6/12)-L$7))</f>
        <v/>
      </c>
      <c r="M47" s="91">
        <f>SUMPRODUCT(C46:L46,$C$6:$L$6)/12</f>
        <v/>
      </c>
      <c r="N47" s="88">
        <f>SUM(C47:L47)</f>
        <v/>
      </c>
      <c r="P47" s="92">
        <f>IF(Z46&lt;0.005,0,MAX(0,Z46*(1+Z$6/12)-Z$7))</f>
        <v/>
      </c>
      <c r="Q47" s="92">
        <f>IF(AA46&lt;0.005,0,MAX(0,AA46*(1+AA$6/12)-AA$7))</f>
        <v/>
      </c>
      <c r="R47" s="92">
        <f>IF(AB46&lt;0.005,0,MAX(0,AB46*(1+AB$6/12)-AB$7))</f>
        <v/>
      </c>
      <c r="S47" s="92">
        <f>IF(AC46&lt;0.005,0,MAX(0,AC46*(1+AC$6/12)-AC$7))</f>
        <v/>
      </c>
      <c r="T47" s="92">
        <f>IF(AD46&lt;0.005,0,MAX(0,AD46*(1+AD$6/12)-AD$7))</f>
        <v/>
      </c>
      <c r="U47" s="92">
        <f>IF(AE46&lt;0.005,0,MAX(0,AE46*(1+AE$6/12)-AE$7))</f>
        <v/>
      </c>
      <c r="V47" s="92">
        <f>IF(AF46&lt;0.005,0,MAX(0,AF46*(1+AF$6/12)-AF$7))</f>
        <v/>
      </c>
      <c r="W47" s="92">
        <f>IF(AG46&lt;0.005,0,MAX(0,AG46*(1+AG$6/12)-AG$7))</f>
        <v/>
      </c>
      <c r="X47" s="92">
        <f>IF(AH46&lt;0.005,0,MAX(0,AH46*(1+AH$6/12)-AH$7))</f>
        <v/>
      </c>
      <c r="Y47" s="92">
        <f>IF(AI46&lt;0.005,0,MAX(0,AI46*(1+AI$6/12)-AI$7))</f>
        <v/>
      </c>
      <c r="Z47" s="91">
        <f>MAX(0,P47-MAX(0,AK47-0))</f>
        <v/>
      </c>
      <c r="AA47" s="91">
        <f>MAX(0,Q47-MAX(0,AK47-SUM(P47:P47)))</f>
        <v/>
      </c>
      <c r="AB47" s="91">
        <f>MAX(0,R47-MAX(0,AK47-SUM(P47:Q47)))</f>
        <v/>
      </c>
      <c r="AC47" s="91">
        <f>MAX(0,S47-MAX(0,AK47-SUM(P47:R47)))</f>
        <v/>
      </c>
      <c r="AD47" s="91">
        <f>MAX(0,T47-MAX(0,AK47-SUM(P47:S47)))</f>
        <v/>
      </c>
      <c r="AE47" s="91">
        <f>MAX(0,U47-MAX(0,AK47-SUM(P47:T47)))</f>
        <v/>
      </c>
      <c r="AF47" s="91">
        <f>MAX(0,V47-MAX(0,AK47-SUM(P47:U47)))</f>
        <v/>
      </c>
      <c r="AG47" s="91">
        <f>MAX(0,W47-MAX(0,AK47-SUM(P47:V47)))</f>
        <v/>
      </c>
      <c r="AH47" s="91">
        <f>MAX(0,X47-MAX(0,AK47-SUM(P47:W47)))</f>
        <v/>
      </c>
      <c r="AI47" s="91">
        <f>MAX(0,Y47-MAX(0,AK47-SUM(P47:X47)))</f>
        <v/>
      </c>
      <c r="AJ47" s="92">
        <f>SUM(Z46:AI46)+AL47</f>
        <v/>
      </c>
      <c r="AK47" s="92">
        <f>$AK$7-(AJ47-SUM(P47:Y47))</f>
        <v/>
      </c>
      <c r="AL47" s="91">
        <f>SUMPRODUCT(Z46:AI46,$Z$6:$AI$6)/12</f>
        <v/>
      </c>
      <c r="AM47" s="88">
        <f>SUM(Z47:AI47)</f>
        <v/>
      </c>
      <c r="AO47" s="92">
        <f>IF(AY46&lt;0.005,0,MAX(0,AY46*(1+AY$6/12)-AY$7))</f>
        <v/>
      </c>
      <c r="AP47" s="92">
        <f>IF(AZ46&lt;0.005,0,MAX(0,AZ46*(1+AZ$6/12)-AZ$7))</f>
        <v/>
      </c>
      <c r="AQ47" s="92">
        <f>IF(BA46&lt;0.005,0,MAX(0,BA46*(1+BA$6/12)-BA$7))</f>
        <v/>
      </c>
      <c r="AR47" s="92">
        <f>IF(BB46&lt;0.005,0,MAX(0,BB46*(1+BB$6/12)-BB$7))</f>
        <v/>
      </c>
      <c r="AS47" s="92">
        <f>IF(BC46&lt;0.005,0,MAX(0,BC46*(1+BC$6/12)-BC$7))</f>
        <v/>
      </c>
      <c r="AT47" s="92">
        <f>IF(BD46&lt;0.005,0,MAX(0,BD46*(1+BD$6/12)-BD$7))</f>
        <v/>
      </c>
      <c r="AU47" s="92">
        <f>IF(BE46&lt;0.005,0,MAX(0,BE46*(1+BE$6/12)-BE$7))</f>
        <v/>
      </c>
      <c r="AV47" s="92">
        <f>IF(BF46&lt;0.005,0,MAX(0,BF46*(1+BF$6/12)-BF$7))</f>
        <v/>
      </c>
      <c r="AW47" s="92">
        <f>IF(BG46&lt;0.005,0,MAX(0,BG46*(1+BG$6/12)-BG$7))</f>
        <v/>
      </c>
      <c r="AX47" s="92">
        <f>IF(BH46&lt;0.005,0,MAX(0,BH46*(1+BH$6/12)-BH$7))</f>
        <v/>
      </c>
      <c r="AY47" s="91">
        <f>MAX(0,AO47-MAX(0,BJ47-0))</f>
        <v/>
      </c>
      <c r="AZ47" s="91">
        <f>MAX(0,AP47-MAX(0,BJ47-SUM(AO47:AO47)))</f>
        <v/>
      </c>
      <c r="BA47" s="91">
        <f>MAX(0,AQ47-MAX(0,BJ47-SUM(AO47:AP47)))</f>
        <v/>
      </c>
      <c r="BB47" s="91">
        <f>MAX(0,AR47-MAX(0,BJ47-SUM(AO47:AQ47)))</f>
        <v/>
      </c>
      <c r="BC47" s="91">
        <f>MAX(0,AS47-MAX(0,BJ47-SUM(AO47:AR47)))</f>
        <v/>
      </c>
      <c r="BD47" s="91">
        <f>MAX(0,AT47-MAX(0,BJ47-SUM(AO47:AS47)))</f>
        <v/>
      </c>
      <c r="BE47" s="91">
        <f>MAX(0,AU47-MAX(0,BJ47-SUM(AO47:AT47)))</f>
        <v/>
      </c>
      <c r="BF47" s="91">
        <f>MAX(0,AV47-MAX(0,BJ47-SUM(AO47:AU47)))</f>
        <v/>
      </c>
      <c r="BG47" s="91">
        <f>MAX(0,AW47-MAX(0,BJ47-SUM(AO47:AV47)))</f>
        <v/>
      </c>
      <c r="BH47" s="91">
        <f>MAX(0,AX47-MAX(0,BJ47-SUM(AO47:AW47)))</f>
        <v/>
      </c>
      <c r="BI47" s="92">
        <f>SUM(AY46:BH46)+BK47</f>
        <v/>
      </c>
      <c r="BJ47" s="92">
        <f>$BJ$7-(BI47-SUM(AO47:AX47))</f>
        <v/>
      </c>
      <c r="BK47" s="91">
        <f>SUMPRODUCT(AY46:BH46,$AY$6:$BH$6)/12</f>
        <v/>
      </c>
      <c r="BL47" s="88">
        <f>SUM(AY47:BH47)</f>
        <v/>
      </c>
    </row>
    <row r="48">
      <c r="A48" s="24" t="n">
        <v>38</v>
      </c>
      <c r="B48" s="90">
        <f>DATE(YEAR(Settings!$C$11),MONTH(Settings!$C$11)+A48,1)</f>
        <v/>
      </c>
      <c r="C48" s="91">
        <f>IF(C47&lt;0.005,0,MAX(0,C47*(1+C$6/12)-C$7))</f>
        <v/>
      </c>
      <c r="D48" s="91">
        <f>IF(D47&lt;0.005,0,MAX(0,D47*(1+D$6/12)-D$7))</f>
        <v/>
      </c>
      <c r="E48" s="91">
        <f>IF(E47&lt;0.005,0,MAX(0,E47*(1+E$6/12)-E$7))</f>
        <v/>
      </c>
      <c r="F48" s="91">
        <f>IF(F47&lt;0.005,0,MAX(0,F47*(1+F$6/12)-F$7))</f>
        <v/>
      </c>
      <c r="G48" s="91">
        <f>IF(G47&lt;0.005,0,MAX(0,G47*(1+G$6/12)-G$7))</f>
        <v/>
      </c>
      <c r="H48" s="91">
        <f>IF(H47&lt;0.005,0,MAX(0,H47*(1+H$6/12)-H$7))</f>
        <v/>
      </c>
      <c r="I48" s="91">
        <f>IF(I47&lt;0.005,0,MAX(0,I47*(1+I$6/12)-I$7))</f>
        <v/>
      </c>
      <c r="J48" s="91">
        <f>IF(J47&lt;0.005,0,MAX(0,J47*(1+J$6/12)-J$7))</f>
        <v/>
      </c>
      <c r="K48" s="91">
        <f>IF(K47&lt;0.005,0,MAX(0,K47*(1+K$6/12)-K$7))</f>
        <v/>
      </c>
      <c r="L48" s="91">
        <f>IF(L47&lt;0.005,0,MAX(0,L47*(1+L$6/12)-L$7))</f>
        <v/>
      </c>
      <c r="M48" s="91">
        <f>SUMPRODUCT(C47:L47,$C$6:$L$6)/12</f>
        <v/>
      </c>
      <c r="N48" s="88">
        <f>SUM(C48:L48)</f>
        <v/>
      </c>
      <c r="P48" s="92">
        <f>IF(Z47&lt;0.005,0,MAX(0,Z47*(1+Z$6/12)-Z$7))</f>
        <v/>
      </c>
      <c r="Q48" s="92">
        <f>IF(AA47&lt;0.005,0,MAX(0,AA47*(1+AA$6/12)-AA$7))</f>
        <v/>
      </c>
      <c r="R48" s="92">
        <f>IF(AB47&lt;0.005,0,MAX(0,AB47*(1+AB$6/12)-AB$7))</f>
        <v/>
      </c>
      <c r="S48" s="92">
        <f>IF(AC47&lt;0.005,0,MAX(0,AC47*(1+AC$6/12)-AC$7))</f>
        <v/>
      </c>
      <c r="T48" s="92">
        <f>IF(AD47&lt;0.005,0,MAX(0,AD47*(1+AD$6/12)-AD$7))</f>
        <v/>
      </c>
      <c r="U48" s="92">
        <f>IF(AE47&lt;0.005,0,MAX(0,AE47*(1+AE$6/12)-AE$7))</f>
        <v/>
      </c>
      <c r="V48" s="92">
        <f>IF(AF47&lt;0.005,0,MAX(0,AF47*(1+AF$6/12)-AF$7))</f>
        <v/>
      </c>
      <c r="W48" s="92">
        <f>IF(AG47&lt;0.005,0,MAX(0,AG47*(1+AG$6/12)-AG$7))</f>
        <v/>
      </c>
      <c r="X48" s="92">
        <f>IF(AH47&lt;0.005,0,MAX(0,AH47*(1+AH$6/12)-AH$7))</f>
        <v/>
      </c>
      <c r="Y48" s="92">
        <f>IF(AI47&lt;0.005,0,MAX(0,AI47*(1+AI$6/12)-AI$7))</f>
        <v/>
      </c>
      <c r="Z48" s="91">
        <f>MAX(0,P48-MAX(0,AK48-0))</f>
        <v/>
      </c>
      <c r="AA48" s="91">
        <f>MAX(0,Q48-MAX(0,AK48-SUM(P48:P48)))</f>
        <v/>
      </c>
      <c r="AB48" s="91">
        <f>MAX(0,R48-MAX(0,AK48-SUM(P48:Q48)))</f>
        <v/>
      </c>
      <c r="AC48" s="91">
        <f>MAX(0,S48-MAX(0,AK48-SUM(P48:R48)))</f>
        <v/>
      </c>
      <c r="AD48" s="91">
        <f>MAX(0,T48-MAX(0,AK48-SUM(P48:S48)))</f>
        <v/>
      </c>
      <c r="AE48" s="91">
        <f>MAX(0,U48-MAX(0,AK48-SUM(P48:T48)))</f>
        <v/>
      </c>
      <c r="AF48" s="91">
        <f>MAX(0,V48-MAX(0,AK48-SUM(P48:U48)))</f>
        <v/>
      </c>
      <c r="AG48" s="91">
        <f>MAX(0,W48-MAX(0,AK48-SUM(P48:V48)))</f>
        <v/>
      </c>
      <c r="AH48" s="91">
        <f>MAX(0,X48-MAX(0,AK48-SUM(P48:W48)))</f>
        <v/>
      </c>
      <c r="AI48" s="91">
        <f>MAX(0,Y48-MAX(0,AK48-SUM(P48:X48)))</f>
        <v/>
      </c>
      <c r="AJ48" s="92">
        <f>SUM(Z47:AI47)+AL48</f>
        <v/>
      </c>
      <c r="AK48" s="92">
        <f>$AK$7-(AJ48-SUM(P48:Y48))</f>
        <v/>
      </c>
      <c r="AL48" s="91">
        <f>SUMPRODUCT(Z47:AI47,$Z$6:$AI$6)/12</f>
        <v/>
      </c>
      <c r="AM48" s="88">
        <f>SUM(Z48:AI48)</f>
        <v/>
      </c>
      <c r="AO48" s="92">
        <f>IF(AY47&lt;0.005,0,MAX(0,AY47*(1+AY$6/12)-AY$7))</f>
        <v/>
      </c>
      <c r="AP48" s="92">
        <f>IF(AZ47&lt;0.005,0,MAX(0,AZ47*(1+AZ$6/12)-AZ$7))</f>
        <v/>
      </c>
      <c r="AQ48" s="92">
        <f>IF(BA47&lt;0.005,0,MAX(0,BA47*(1+BA$6/12)-BA$7))</f>
        <v/>
      </c>
      <c r="AR48" s="92">
        <f>IF(BB47&lt;0.005,0,MAX(0,BB47*(1+BB$6/12)-BB$7))</f>
        <v/>
      </c>
      <c r="AS48" s="92">
        <f>IF(BC47&lt;0.005,0,MAX(0,BC47*(1+BC$6/12)-BC$7))</f>
        <v/>
      </c>
      <c r="AT48" s="92">
        <f>IF(BD47&lt;0.005,0,MAX(0,BD47*(1+BD$6/12)-BD$7))</f>
        <v/>
      </c>
      <c r="AU48" s="92">
        <f>IF(BE47&lt;0.005,0,MAX(0,BE47*(1+BE$6/12)-BE$7))</f>
        <v/>
      </c>
      <c r="AV48" s="92">
        <f>IF(BF47&lt;0.005,0,MAX(0,BF47*(1+BF$6/12)-BF$7))</f>
        <v/>
      </c>
      <c r="AW48" s="92">
        <f>IF(BG47&lt;0.005,0,MAX(0,BG47*(1+BG$6/12)-BG$7))</f>
        <v/>
      </c>
      <c r="AX48" s="92">
        <f>IF(BH47&lt;0.005,0,MAX(0,BH47*(1+BH$6/12)-BH$7))</f>
        <v/>
      </c>
      <c r="AY48" s="91">
        <f>MAX(0,AO48-MAX(0,BJ48-0))</f>
        <v/>
      </c>
      <c r="AZ48" s="91">
        <f>MAX(0,AP48-MAX(0,BJ48-SUM(AO48:AO48)))</f>
        <v/>
      </c>
      <c r="BA48" s="91">
        <f>MAX(0,AQ48-MAX(0,BJ48-SUM(AO48:AP48)))</f>
        <v/>
      </c>
      <c r="BB48" s="91">
        <f>MAX(0,AR48-MAX(0,BJ48-SUM(AO48:AQ48)))</f>
        <v/>
      </c>
      <c r="BC48" s="91">
        <f>MAX(0,AS48-MAX(0,BJ48-SUM(AO48:AR48)))</f>
        <v/>
      </c>
      <c r="BD48" s="91">
        <f>MAX(0,AT48-MAX(0,BJ48-SUM(AO48:AS48)))</f>
        <v/>
      </c>
      <c r="BE48" s="91">
        <f>MAX(0,AU48-MAX(0,BJ48-SUM(AO48:AT48)))</f>
        <v/>
      </c>
      <c r="BF48" s="91">
        <f>MAX(0,AV48-MAX(0,BJ48-SUM(AO48:AU48)))</f>
        <v/>
      </c>
      <c r="BG48" s="91">
        <f>MAX(0,AW48-MAX(0,BJ48-SUM(AO48:AV48)))</f>
        <v/>
      </c>
      <c r="BH48" s="91">
        <f>MAX(0,AX48-MAX(0,BJ48-SUM(AO48:AW48)))</f>
        <v/>
      </c>
      <c r="BI48" s="92">
        <f>SUM(AY47:BH47)+BK48</f>
        <v/>
      </c>
      <c r="BJ48" s="92">
        <f>$BJ$7-(BI48-SUM(AO48:AX48))</f>
        <v/>
      </c>
      <c r="BK48" s="91">
        <f>SUMPRODUCT(AY47:BH47,$AY$6:$BH$6)/12</f>
        <v/>
      </c>
      <c r="BL48" s="88">
        <f>SUM(AY48:BH48)</f>
        <v/>
      </c>
    </row>
    <row r="49">
      <c r="A49" s="24" t="n">
        <v>39</v>
      </c>
      <c r="B49" s="90">
        <f>DATE(YEAR(Settings!$C$11),MONTH(Settings!$C$11)+A49,1)</f>
        <v/>
      </c>
      <c r="C49" s="91">
        <f>IF(C48&lt;0.005,0,MAX(0,C48*(1+C$6/12)-C$7))</f>
        <v/>
      </c>
      <c r="D49" s="91">
        <f>IF(D48&lt;0.005,0,MAX(0,D48*(1+D$6/12)-D$7))</f>
        <v/>
      </c>
      <c r="E49" s="91">
        <f>IF(E48&lt;0.005,0,MAX(0,E48*(1+E$6/12)-E$7))</f>
        <v/>
      </c>
      <c r="F49" s="91">
        <f>IF(F48&lt;0.005,0,MAX(0,F48*(1+F$6/12)-F$7))</f>
        <v/>
      </c>
      <c r="G49" s="91">
        <f>IF(G48&lt;0.005,0,MAX(0,G48*(1+G$6/12)-G$7))</f>
        <v/>
      </c>
      <c r="H49" s="91">
        <f>IF(H48&lt;0.005,0,MAX(0,H48*(1+H$6/12)-H$7))</f>
        <v/>
      </c>
      <c r="I49" s="91">
        <f>IF(I48&lt;0.005,0,MAX(0,I48*(1+I$6/12)-I$7))</f>
        <v/>
      </c>
      <c r="J49" s="91">
        <f>IF(J48&lt;0.005,0,MAX(0,J48*(1+J$6/12)-J$7))</f>
        <v/>
      </c>
      <c r="K49" s="91">
        <f>IF(K48&lt;0.005,0,MAX(0,K48*(1+K$6/12)-K$7))</f>
        <v/>
      </c>
      <c r="L49" s="91">
        <f>IF(L48&lt;0.005,0,MAX(0,L48*(1+L$6/12)-L$7))</f>
        <v/>
      </c>
      <c r="M49" s="91">
        <f>SUMPRODUCT(C48:L48,$C$6:$L$6)/12</f>
        <v/>
      </c>
      <c r="N49" s="88">
        <f>SUM(C49:L49)</f>
        <v/>
      </c>
      <c r="P49" s="92">
        <f>IF(Z48&lt;0.005,0,MAX(0,Z48*(1+Z$6/12)-Z$7))</f>
        <v/>
      </c>
      <c r="Q49" s="92">
        <f>IF(AA48&lt;0.005,0,MAX(0,AA48*(1+AA$6/12)-AA$7))</f>
        <v/>
      </c>
      <c r="R49" s="92">
        <f>IF(AB48&lt;0.005,0,MAX(0,AB48*(1+AB$6/12)-AB$7))</f>
        <v/>
      </c>
      <c r="S49" s="92">
        <f>IF(AC48&lt;0.005,0,MAX(0,AC48*(1+AC$6/12)-AC$7))</f>
        <v/>
      </c>
      <c r="T49" s="92">
        <f>IF(AD48&lt;0.005,0,MAX(0,AD48*(1+AD$6/12)-AD$7))</f>
        <v/>
      </c>
      <c r="U49" s="92">
        <f>IF(AE48&lt;0.005,0,MAX(0,AE48*(1+AE$6/12)-AE$7))</f>
        <v/>
      </c>
      <c r="V49" s="92">
        <f>IF(AF48&lt;0.005,0,MAX(0,AF48*(1+AF$6/12)-AF$7))</f>
        <v/>
      </c>
      <c r="W49" s="92">
        <f>IF(AG48&lt;0.005,0,MAX(0,AG48*(1+AG$6/12)-AG$7))</f>
        <v/>
      </c>
      <c r="X49" s="92">
        <f>IF(AH48&lt;0.005,0,MAX(0,AH48*(1+AH$6/12)-AH$7))</f>
        <v/>
      </c>
      <c r="Y49" s="92">
        <f>IF(AI48&lt;0.005,0,MAX(0,AI48*(1+AI$6/12)-AI$7))</f>
        <v/>
      </c>
      <c r="Z49" s="91">
        <f>MAX(0,P49-MAX(0,AK49-0))</f>
        <v/>
      </c>
      <c r="AA49" s="91">
        <f>MAX(0,Q49-MAX(0,AK49-SUM(P49:P49)))</f>
        <v/>
      </c>
      <c r="AB49" s="91">
        <f>MAX(0,R49-MAX(0,AK49-SUM(P49:Q49)))</f>
        <v/>
      </c>
      <c r="AC49" s="91">
        <f>MAX(0,S49-MAX(0,AK49-SUM(P49:R49)))</f>
        <v/>
      </c>
      <c r="AD49" s="91">
        <f>MAX(0,T49-MAX(0,AK49-SUM(P49:S49)))</f>
        <v/>
      </c>
      <c r="AE49" s="91">
        <f>MAX(0,U49-MAX(0,AK49-SUM(P49:T49)))</f>
        <v/>
      </c>
      <c r="AF49" s="91">
        <f>MAX(0,V49-MAX(0,AK49-SUM(P49:U49)))</f>
        <v/>
      </c>
      <c r="AG49" s="91">
        <f>MAX(0,W49-MAX(0,AK49-SUM(P49:V49)))</f>
        <v/>
      </c>
      <c r="AH49" s="91">
        <f>MAX(0,X49-MAX(0,AK49-SUM(P49:W49)))</f>
        <v/>
      </c>
      <c r="AI49" s="91">
        <f>MAX(0,Y49-MAX(0,AK49-SUM(P49:X49)))</f>
        <v/>
      </c>
      <c r="AJ49" s="92">
        <f>SUM(Z48:AI48)+AL49</f>
        <v/>
      </c>
      <c r="AK49" s="92">
        <f>$AK$7-(AJ49-SUM(P49:Y49))</f>
        <v/>
      </c>
      <c r="AL49" s="91">
        <f>SUMPRODUCT(Z48:AI48,$Z$6:$AI$6)/12</f>
        <v/>
      </c>
      <c r="AM49" s="88">
        <f>SUM(Z49:AI49)</f>
        <v/>
      </c>
      <c r="AO49" s="92">
        <f>IF(AY48&lt;0.005,0,MAX(0,AY48*(1+AY$6/12)-AY$7))</f>
        <v/>
      </c>
      <c r="AP49" s="92">
        <f>IF(AZ48&lt;0.005,0,MAX(0,AZ48*(1+AZ$6/12)-AZ$7))</f>
        <v/>
      </c>
      <c r="AQ49" s="92">
        <f>IF(BA48&lt;0.005,0,MAX(0,BA48*(1+BA$6/12)-BA$7))</f>
        <v/>
      </c>
      <c r="AR49" s="92">
        <f>IF(BB48&lt;0.005,0,MAX(0,BB48*(1+BB$6/12)-BB$7))</f>
        <v/>
      </c>
      <c r="AS49" s="92">
        <f>IF(BC48&lt;0.005,0,MAX(0,BC48*(1+BC$6/12)-BC$7))</f>
        <v/>
      </c>
      <c r="AT49" s="92">
        <f>IF(BD48&lt;0.005,0,MAX(0,BD48*(1+BD$6/12)-BD$7))</f>
        <v/>
      </c>
      <c r="AU49" s="92">
        <f>IF(BE48&lt;0.005,0,MAX(0,BE48*(1+BE$6/12)-BE$7))</f>
        <v/>
      </c>
      <c r="AV49" s="92">
        <f>IF(BF48&lt;0.005,0,MAX(0,BF48*(1+BF$6/12)-BF$7))</f>
        <v/>
      </c>
      <c r="AW49" s="92">
        <f>IF(BG48&lt;0.005,0,MAX(0,BG48*(1+BG$6/12)-BG$7))</f>
        <v/>
      </c>
      <c r="AX49" s="92">
        <f>IF(BH48&lt;0.005,0,MAX(0,BH48*(1+BH$6/12)-BH$7))</f>
        <v/>
      </c>
      <c r="AY49" s="91">
        <f>MAX(0,AO49-MAX(0,BJ49-0))</f>
        <v/>
      </c>
      <c r="AZ49" s="91">
        <f>MAX(0,AP49-MAX(0,BJ49-SUM(AO49:AO49)))</f>
        <v/>
      </c>
      <c r="BA49" s="91">
        <f>MAX(0,AQ49-MAX(0,BJ49-SUM(AO49:AP49)))</f>
        <v/>
      </c>
      <c r="BB49" s="91">
        <f>MAX(0,AR49-MAX(0,BJ49-SUM(AO49:AQ49)))</f>
        <v/>
      </c>
      <c r="BC49" s="91">
        <f>MAX(0,AS49-MAX(0,BJ49-SUM(AO49:AR49)))</f>
        <v/>
      </c>
      <c r="BD49" s="91">
        <f>MAX(0,AT49-MAX(0,BJ49-SUM(AO49:AS49)))</f>
        <v/>
      </c>
      <c r="BE49" s="91">
        <f>MAX(0,AU49-MAX(0,BJ49-SUM(AO49:AT49)))</f>
        <v/>
      </c>
      <c r="BF49" s="91">
        <f>MAX(0,AV49-MAX(0,BJ49-SUM(AO49:AU49)))</f>
        <v/>
      </c>
      <c r="BG49" s="91">
        <f>MAX(0,AW49-MAX(0,BJ49-SUM(AO49:AV49)))</f>
        <v/>
      </c>
      <c r="BH49" s="91">
        <f>MAX(0,AX49-MAX(0,BJ49-SUM(AO49:AW49)))</f>
        <v/>
      </c>
      <c r="BI49" s="92">
        <f>SUM(AY48:BH48)+BK49</f>
        <v/>
      </c>
      <c r="BJ49" s="92">
        <f>$BJ$7-(BI49-SUM(AO49:AX49))</f>
        <v/>
      </c>
      <c r="BK49" s="91">
        <f>SUMPRODUCT(AY48:BH48,$AY$6:$BH$6)/12</f>
        <v/>
      </c>
      <c r="BL49" s="88">
        <f>SUM(AY49:BH49)</f>
        <v/>
      </c>
    </row>
    <row r="50">
      <c r="A50" s="24" t="n">
        <v>40</v>
      </c>
      <c r="B50" s="90">
        <f>DATE(YEAR(Settings!$C$11),MONTH(Settings!$C$11)+A50,1)</f>
        <v/>
      </c>
      <c r="C50" s="91">
        <f>IF(C49&lt;0.005,0,MAX(0,C49*(1+C$6/12)-C$7))</f>
        <v/>
      </c>
      <c r="D50" s="91">
        <f>IF(D49&lt;0.005,0,MAX(0,D49*(1+D$6/12)-D$7))</f>
        <v/>
      </c>
      <c r="E50" s="91">
        <f>IF(E49&lt;0.005,0,MAX(0,E49*(1+E$6/12)-E$7))</f>
        <v/>
      </c>
      <c r="F50" s="91">
        <f>IF(F49&lt;0.005,0,MAX(0,F49*(1+F$6/12)-F$7))</f>
        <v/>
      </c>
      <c r="G50" s="91">
        <f>IF(G49&lt;0.005,0,MAX(0,G49*(1+G$6/12)-G$7))</f>
        <v/>
      </c>
      <c r="H50" s="91">
        <f>IF(H49&lt;0.005,0,MAX(0,H49*(1+H$6/12)-H$7))</f>
        <v/>
      </c>
      <c r="I50" s="91">
        <f>IF(I49&lt;0.005,0,MAX(0,I49*(1+I$6/12)-I$7))</f>
        <v/>
      </c>
      <c r="J50" s="91">
        <f>IF(J49&lt;0.005,0,MAX(0,J49*(1+J$6/12)-J$7))</f>
        <v/>
      </c>
      <c r="K50" s="91">
        <f>IF(K49&lt;0.005,0,MAX(0,K49*(1+K$6/12)-K$7))</f>
        <v/>
      </c>
      <c r="L50" s="91">
        <f>IF(L49&lt;0.005,0,MAX(0,L49*(1+L$6/12)-L$7))</f>
        <v/>
      </c>
      <c r="M50" s="91">
        <f>SUMPRODUCT(C49:L49,$C$6:$L$6)/12</f>
        <v/>
      </c>
      <c r="N50" s="88">
        <f>SUM(C50:L50)</f>
        <v/>
      </c>
      <c r="P50" s="92">
        <f>IF(Z49&lt;0.005,0,MAX(0,Z49*(1+Z$6/12)-Z$7))</f>
        <v/>
      </c>
      <c r="Q50" s="92">
        <f>IF(AA49&lt;0.005,0,MAX(0,AA49*(1+AA$6/12)-AA$7))</f>
        <v/>
      </c>
      <c r="R50" s="92">
        <f>IF(AB49&lt;0.005,0,MAX(0,AB49*(1+AB$6/12)-AB$7))</f>
        <v/>
      </c>
      <c r="S50" s="92">
        <f>IF(AC49&lt;0.005,0,MAX(0,AC49*(1+AC$6/12)-AC$7))</f>
        <v/>
      </c>
      <c r="T50" s="92">
        <f>IF(AD49&lt;0.005,0,MAX(0,AD49*(1+AD$6/12)-AD$7))</f>
        <v/>
      </c>
      <c r="U50" s="92">
        <f>IF(AE49&lt;0.005,0,MAX(0,AE49*(1+AE$6/12)-AE$7))</f>
        <v/>
      </c>
      <c r="V50" s="92">
        <f>IF(AF49&lt;0.005,0,MAX(0,AF49*(1+AF$6/12)-AF$7))</f>
        <v/>
      </c>
      <c r="W50" s="92">
        <f>IF(AG49&lt;0.005,0,MAX(0,AG49*(1+AG$6/12)-AG$7))</f>
        <v/>
      </c>
      <c r="X50" s="92">
        <f>IF(AH49&lt;0.005,0,MAX(0,AH49*(1+AH$6/12)-AH$7))</f>
        <v/>
      </c>
      <c r="Y50" s="92">
        <f>IF(AI49&lt;0.005,0,MAX(0,AI49*(1+AI$6/12)-AI$7))</f>
        <v/>
      </c>
      <c r="Z50" s="91">
        <f>MAX(0,P50-MAX(0,AK50-0))</f>
        <v/>
      </c>
      <c r="AA50" s="91">
        <f>MAX(0,Q50-MAX(0,AK50-SUM(P50:P50)))</f>
        <v/>
      </c>
      <c r="AB50" s="91">
        <f>MAX(0,R50-MAX(0,AK50-SUM(P50:Q50)))</f>
        <v/>
      </c>
      <c r="AC50" s="91">
        <f>MAX(0,S50-MAX(0,AK50-SUM(P50:R50)))</f>
        <v/>
      </c>
      <c r="AD50" s="91">
        <f>MAX(0,T50-MAX(0,AK50-SUM(P50:S50)))</f>
        <v/>
      </c>
      <c r="AE50" s="91">
        <f>MAX(0,U50-MAX(0,AK50-SUM(P50:T50)))</f>
        <v/>
      </c>
      <c r="AF50" s="91">
        <f>MAX(0,V50-MAX(0,AK50-SUM(P50:U50)))</f>
        <v/>
      </c>
      <c r="AG50" s="91">
        <f>MAX(0,W50-MAX(0,AK50-SUM(P50:V50)))</f>
        <v/>
      </c>
      <c r="AH50" s="91">
        <f>MAX(0,X50-MAX(0,AK50-SUM(P50:W50)))</f>
        <v/>
      </c>
      <c r="AI50" s="91">
        <f>MAX(0,Y50-MAX(0,AK50-SUM(P50:X50)))</f>
        <v/>
      </c>
      <c r="AJ50" s="92">
        <f>SUM(Z49:AI49)+AL50</f>
        <v/>
      </c>
      <c r="AK50" s="92">
        <f>$AK$7-(AJ50-SUM(P50:Y50))</f>
        <v/>
      </c>
      <c r="AL50" s="91">
        <f>SUMPRODUCT(Z49:AI49,$Z$6:$AI$6)/12</f>
        <v/>
      </c>
      <c r="AM50" s="88">
        <f>SUM(Z50:AI50)</f>
        <v/>
      </c>
      <c r="AO50" s="92">
        <f>IF(AY49&lt;0.005,0,MAX(0,AY49*(1+AY$6/12)-AY$7))</f>
        <v/>
      </c>
      <c r="AP50" s="92">
        <f>IF(AZ49&lt;0.005,0,MAX(0,AZ49*(1+AZ$6/12)-AZ$7))</f>
        <v/>
      </c>
      <c r="AQ50" s="92">
        <f>IF(BA49&lt;0.005,0,MAX(0,BA49*(1+BA$6/12)-BA$7))</f>
        <v/>
      </c>
      <c r="AR50" s="92">
        <f>IF(BB49&lt;0.005,0,MAX(0,BB49*(1+BB$6/12)-BB$7))</f>
        <v/>
      </c>
      <c r="AS50" s="92">
        <f>IF(BC49&lt;0.005,0,MAX(0,BC49*(1+BC$6/12)-BC$7))</f>
        <v/>
      </c>
      <c r="AT50" s="92">
        <f>IF(BD49&lt;0.005,0,MAX(0,BD49*(1+BD$6/12)-BD$7))</f>
        <v/>
      </c>
      <c r="AU50" s="92">
        <f>IF(BE49&lt;0.005,0,MAX(0,BE49*(1+BE$6/12)-BE$7))</f>
        <v/>
      </c>
      <c r="AV50" s="92">
        <f>IF(BF49&lt;0.005,0,MAX(0,BF49*(1+BF$6/12)-BF$7))</f>
        <v/>
      </c>
      <c r="AW50" s="92">
        <f>IF(BG49&lt;0.005,0,MAX(0,BG49*(1+BG$6/12)-BG$7))</f>
        <v/>
      </c>
      <c r="AX50" s="92">
        <f>IF(BH49&lt;0.005,0,MAX(0,BH49*(1+BH$6/12)-BH$7))</f>
        <v/>
      </c>
      <c r="AY50" s="91">
        <f>MAX(0,AO50-MAX(0,BJ50-0))</f>
        <v/>
      </c>
      <c r="AZ50" s="91">
        <f>MAX(0,AP50-MAX(0,BJ50-SUM(AO50:AO50)))</f>
        <v/>
      </c>
      <c r="BA50" s="91">
        <f>MAX(0,AQ50-MAX(0,BJ50-SUM(AO50:AP50)))</f>
        <v/>
      </c>
      <c r="BB50" s="91">
        <f>MAX(0,AR50-MAX(0,BJ50-SUM(AO50:AQ50)))</f>
        <v/>
      </c>
      <c r="BC50" s="91">
        <f>MAX(0,AS50-MAX(0,BJ50-SUM(AO50:AR50)))</f>
        <v/>
      </c>
      <c r="BD50" s="91">
        <f>MAX(0,AT50-MAX(0,BJ50-SUM(AO50:AS50)))</f>
        <v/>
      </c>
      <c r="BE50" s="91">
        <f>MAX(0,AU50-MAX(0,BJ50-SUM(AO50:AT50)))</f>
        <v/>
      </c>
      <c r="BF50" s="91">
        <f>MAX(0,AV50-MAX(0,BJ50-SUM(AO50:AU50)))</f>
        <v/>
      </c>
      <c r="BG50" s="91">
        <f>MAX(0,AW50-MAX(0,BJ50-SUM(AO50:AV50)))</f>
        <v/>
      </c>
      <c r="BH50" s="91">
        <f>MAX(0,AX50-MAX(0,BJ50-SUM(AO50:AW50)))</f>
        <v/>
      </c>
      <c r="BI50" s="92">
        <f>SUM(AY49:BH49)+BK50</f>
        <v/>
      </c>
      <c r="BJ50" s="92">
        <f>$BJ$7-(BI50-SUM(AO50:AX50))</f>
        <v/>
      </c>
      <c r="BK50" s="91">
        <f>SUMPRODUCT(AY49:BH49,$AY$6:$BH$6)/12</f>
        <v/>
      </c>
      <c r="BL50" s="88">
        <f>SUM(AY50:BH50)</f>
        <v/>
      </c>
    </row>
    <row r="51">
      <c r="A51" s="24" t="n">
        <v>41</v>
      </c>
      <c r="B51" s="90">
        <f>DATE(YEAR(Settings!$C$11),MONTH(Settings!$C$11)+A51,1)</f>
        <v/>
      </c>
      <c r="C51" s="91">
        <f>IF(C50&lt;0.005,0,MAX(0,C50*(1+C$6/12)-C$7))</f>
        <v/>
      </c>
      <c r="D51" s="91">
        <f>IF(D50&lt;0.005,0,MAX(0,D50*(1+D$6/12)-D$7))</f>
        <v/>
      </c>
      <c r="E51" s="91">
        <f>IF(E50&lt;0.005,0,MAX(0,E50*(1+E$6/12)-E$7))</f>
        <v/>
      </c>
      <c r="F51" s="91">
        <f>IF(F50&lt;0.005,0,MAX(0,F50*(1+F$6/12)-F$7))</f>
        <v/>
      </c>
      <c r="G51" s="91">
        <f>IF(G50&lt;0.005,0,MAX(0,G50*(1+G$6/12)-G$7))</f>
        <v/>
      </c>
      <c r="H51" s="91">
        <f>IF(H50&lt;0.005,0,MAX(0,H50*(1+H$6/12)-H$7))</f>
        <v/>
      </c>
      <c r="I51" s="91">
        <f>IF(I50&lt;0.005,0,MAX(0,I50*(1+I$6/12)-I$7))</f>
        <v/>
      </c>
      <c r="J51" s="91">
        <f>IF(J50&lt;0.005,0,MAX(0,J50*(1+J$6/12)-J$7))</f>
        <v/>
      </c>
      <c r="K51" s="91">
        <f>IF(K50&lt;0.005,0,MAX(0,K50*(1+K$6/12)-K$7))</f>
        <v/>
      </c>
      <c r="L51" s="91">
        <f>IF(L50&lt;0.005,0,MAX(0,L50*(1+L$6/12)-L$7))</f>
        <v/>
      </c>
      <c r="M51" s="91">
        <f>SUMPRODUCT(C50:L50,$C$6:$L$6)/12</f>
        <v/>
      </c>
      <c r="N51" s="88">
        <f>SUM(C51:L51)</f>
        <v/>
      </c>
      <c r="P51" s="92">
        <f>IF(Z50&lt;0.005,0,MAX(0,Z50*(1+Z$6/12)-Z$7))</f>
        <v/>
      </c>
      <c r="Q51" s="92">
        <f>IF(AA50&lt;0.005,0,MAX(0,AA50*(1+AA$6/12)-AA$7))</f>
        <v/>
      </c>
      <c r="R51" s="92">
        <f>IF(AB50&lt;0.005,0,MAX(0,AB50*(1+AB$6/12)-AB$7))</f>
        <v/>
      </c>
      <c r="S51" s="92">
        <f>IF(AC50&lt;0.005,0,MAX(0,AC50*(1+AC$6/12)-AC$7))</f>
        <v/>
      </c>
      <c r="T51" s="92">
        <f>IF(AD50&lt;0.005,0,MAX(0,AD50*(1+AD$6/12)-AD$7))</f>
        <v/>
      </c>
      <c r="U51" s="92">
        <f>IF(AE50&lt;0.005,0,MAX(0,AE50*(1+AE$6/12)-AE$7))</f>
        <v/>
      </c>
      <c r="V51" s="92">
        <f>IF(AF50&lt;0.005,0,MAX(0,AF50*(1+AF$6/12)-AF$7))</f>
        <v/>
      </c>
      <c r="W51" s="92">
        <f>IF(AG50&lt;0.005,0,MAX(0,AG50*(1+AG$6/12)-AG$7))</f>
        <v/>
      </c>
      <c r="X51" s="92">
        <f>IF(AH50&lt;0.005,0,MAX(0,AH50*(1+AH$6/12)-AH$7))</f>
        <v/>
      </c>
      <c r="Y51" s="92">
        <f>IF(AI50&lt;0.005,0,MAX(0,AI50*(1+AI$6/12)-AI$7))</f>
        <v/>
      </c>
      <c r="Z51" s="91">
        <f>MAX(0,P51-MAX(0,AK51-0))</f>
        <v/>
      </c>
      <c r="AA51" s="91">
        <f>MAX(0,Q51-MAX(0,AK51-SUM(P51:P51)))</f>
        <v/>
      </c>
      <c r="AB51" s="91">
        <f>MAX(0,R51-MAX(0,AK51-SUM(P51:Q51)))</f>
        <v/>
      </c>
      <c r="AC51" s="91">
        <f>MAX(0,S51-MAX(0,AK51-SUM(P51:R51)))</f>
        <v/>
      </c>
      <c r="AD51" s="91">
        <f>MAX(0,T51-MAX(0,AK51-SUM(P51:S51)))</f>
        <v/>
      </c>
      <c r="AE51" s="91">
        <f>MAX(0,U51-MAX(0,AK51-SUM(P51:T51)))</f>
        <v/>
      </c>
      <c r="AF51" s="91">
        <f>MAX(0,V51-MAX(0,AK51-SUM(P51:U51)))</f>
        <v/>
      </c>
      <c r="AG51" s="91">
        <f>MAX(0,W51-MAX(0,AK51-SUM(P51:V51)))</f>
        <v/>
      </c>
      <c r="AH51" s="91">
        <f>MAX(0,X51-MAX(0,AK51-SUM(P51:W51)))</f>
        <v/>
      </c>
      <c r="AI51" s="91">
        <f>MAX(0,Y51-MAX(0,AK51-SUM(P51:X51)))</f>
        <v/>
      </c>
      <c r="AJ51" s="92">
        <f>SUM(Z50:AI50)+AL51</f>
        <v/>
      </c>
      <c r="AK51" s="92">
        <f>$AK$7-(AJ51-SUM(P51:Y51))</f>
        <v/>
      </c>
      <c r="AL51" s="91">
        <f>SUMPRODUCT(Z50:AI50,$Z$6:$AI$6)/12</f>
        <v/>
      </c>
      <c r="AM51" s="88">
        <f>SUM(Z51:AI51)</f>
        <v/>
      </c>
      <c r="AO51" s="92">
        <f>IF(AY50&lt;0.005,0,MAX(0,AY50*(1+AY$6/12)-AY$7))</f>
        <v/>
      </c>
      <c r="AP51" s="92">
        <f>IF(AZ50&lt;0.005,0,MAX(0,AZ50*(1+AZ$6/12)-AZ$7))</f>
        <v/>
      </c>
      <c r="AQ51" s="92">
        <f>IF(BA50&lt;0.005,0,MAX(0,BA50*(1+BA$6/12)-BA$7))</f>
        <v/>
      </c>
      <c r="AR51" s="92">
        <f>IF(BB50&lt;0.005,0,MAX(0,BB50*(1+BB$6/12)-BB$7))</f>
        <v/>
      </c>
      <c r="AS51" s="92">
        <f>IF(BC50&lt;0.005,0,MAX(0,BC50*(1+BC$6/12)-BC$7))</f>
        <v/>
      </c>
      <c r="AT51" s="92">
        <f>IF(BD50&lt;0.005,0,MAX(0,BD50*(1+BD$6/12)-BD$7))</f>
        <v/>
      </c>
      <c r="AU51" s="92">
        <f>IF(BE50&lt;0.005,0,MAX(0,BE50*(1+BE$6/12)-BE$7))</f>
        <v/>
      </c>
      <c r="AV51" s="92">
        <f>IF(BF50&lt;0.005,0,MAX(0,BF50*(1+BF$6/12)-BF$7))</f>
        <v/>
      </c>
      <c r="AW51" s="92">
        <f>IF(BG50&lt;0.005,0,MAX(0,BG50*(1+BG$6/12)-BG$7))</f>
        <v/>
      </c>
      <c r="AX51" s="92">
        <f>IF(BH50&lt;0.005,0,MAX(0,BH50*(1+BH$6/12)-BH$7))</f>
        <v/>
      </c>
      <c r="AY51" s="91">
        <f>MAX(0,AO51-MAX(0,BJ51-0))</f>
        <v/>
      </c>
      <c r="AZ51" s="91">
        <f>MAX(0,AP51-MAX(0,BJ51-SUM(AO51:AO51)))</f>
        <v/>
      </c>
      <c r="BA51" s="91">
        <f>MAX(0,AQ51-MAX(0,BJ51-SUM(AO51:AP51)))</f>
        <v/>
      </c>
      <c r="BB51" s="91">
        <f>MAX(0,AR51-MAX(0,BJ51-SUM(AO51:AQ51)))</f>
        <v/>
      </c>
      <c r="BC51" s="91">
        <f>MAX(0,AS51-MAX(0,BJ51-SUM(AO51:AR51)))</f>
        <v/>
      </c>
      <c r="BD51" s="91">
        <f>MAX(0,AT51-MAX(0,BJ51-SUM(AO51:AS51)))</f>
        <v/>
      </c>
      <c r="BE51" s="91">
        <f>MAX(0,AU51-MAX(0,BJ51-SUM(AO51:AT51)))</f>
        <v/>
      </c>
      <c r="BF51" s="91">
        <f>MAX(0,AV51-MAX(0,BJ51-SUM(AO51:AU51)))</f>
        <v/>
      </c>
      <c r="BG51" s="91">
        <f>MAX(0,AW51-MAX(0,BJ51-SUM(AO51:AV51)))</f>
        <v/>
      </c>
      <c r="BH51" s="91">
        <f>MAX(0,AX51-MAX(0,BJ51-SUM(AO51:AW51)))</f>
        <v/>
      </c>
      <c r="BI51" s="92">
        <f>SUM(AY50:BH50)+BK51</f>
        <v/>
      </c>
      <c r="BJ51" s="92">
        <f>$BJ$7-(BI51-SUM(AO51:AX51))</f>
        <v/>
      </c>
      <c r="BK51" s="91">
        <f>SUMPRODUCT(AY50:BH50,$AY$6:$BH$6)/12</f>
        <v/>
      </c>
      <c r="BL51" s="88">
        <f>SUM(AY51:BH51)</f>
        <v/>
      </c>
    </row>
    <row r="52">
      <c r="A52" s="24" t="n">
        <v>42</v>
      </c>
      <c r="B52" s="90">
        <f>DATE(YEAR(Settings!$C$11),MONTH(Settings!$C$11)+A52,1)</f>
        <v/>
      </c>
      <c r="C52" s="91">
        <f>IF(C51&lt;0.005,0,MAX(0,C51*(1+C$6/12)-C$7))</f>
        <v/>
      </c>
      <c r="D52" s="91">
        <f>IF(D51&lt;0.005,0,MAX(0,D51*(1+D$6/12)-D$7))</f>
        <v/>
      </c>
      <c r="E52" s="91">
        <f>IF(E51&lt;0.005,0,MAX(0,E51*(1+E$6/12)-E$7))</f>
        <v/>
      </c>
      <c r="F52" s="91">
        <f>IF(F51&lt;0.005,0,MAX(0,F51*(1+F$6/12)-F$7))</f>
        <v/>
      </c>
      <c r="G52" s="91">
        <f>IF(G51&lt;0.005,0,MAX(0,G51*(1+G$6/12)-G$7))</f>
        <v/>
      </c>
      <c r="H52" s="91">
        <f>IF(H51&lt;0.005,0,MAX(0,H51*(1+H$6/12)-H$7))</f>
        <v/>
      </c>
      <c r="I52" s="91">
        <f>IF(I51&lt;0.005,0,MAX(0,I51*(1+I$6/12)-I$7))</f>
        <v/>
      </c>
      <c r="J52" s="91">
        <f>IF(J51&lt;0.005,0,MAX(0,J51*(1+J$6/12)-J$7))</f>
        <v/>
      </c>
      <c r="K52" s="91">
        <f>IF(K51&lt;0.005,0,MAX(0,K51*(1+K$6/12)-K$7))</f>
        <v/>
      </c>
      <c r="L52" s="91">
        <f>IF(L51&lt;0.005,0,MAX(0,L51*(1+L$6/12)-L$7))</f>
        <v/>
      </c>
      <c r="M52" s="91">
        <f>SUMPRODUCT(C51:L51,$C$6:$L$6)/12</f>
        <v/>
      </c>
      <c r="N52" s="88">
        <f>SUM(C52:L52)</f>
        <v/>
      </c>
      <c r="P52" s="92">
        <f>IF(Z51&lt;0.005,0,MAX(0,Z51*(1+Z$6/12)-Z$7))</f>
        <v/>
      </c>
      <c r="Q52" s="92">
        <f>IF(AA51&lt;0.005,0,MAX(0,AA51*(1+AA$6/12)-AA$7))</f>
        <v/>
      </c>
      <c r="R52" s="92">
        <f>IF(AB51&lt;0.005,0,MAX(0,AB51*(1+AB$6/12)-AB$7))</f>
        <v/>
      </c>
      <c r="S52" s="92">
        <f>IF(AC51&lt;0.005,0,MAX(0,AC51*(1+AC$6/12)-AC$7))</f>
        <v/>
      </c>
      <c r="T52" s="92">
        <f>IF(AD51&lt;0.005,0,MAX(0,AD51*(1+AD$6/12)-AD$7))</f>
        <v/>
      </c>
      <c r="U52" s="92">
        <f>IF(AE51&lt;0.005,0,MAX(0,AE51*(1+AE$6/12)-AE$7))</f>
        <v/>
      </c>
      <c r="V52" s="92">
        <f>IF(AF51&lt;0.005,0,MAX(0,AF51*(1+AF$6/12)-AF$7))</f>
        <v/>
      </c>
      <c r="W52" s="92">
        <f>IF(AG51&lt;0.005,0,MAX(0,AG51*(1+AG$6/12)-AG$7))</f>
        <v/>
      </c>
      <c r="X52" s="92">
        <f>IF(AH51&lt;0.005,0,MAX(0,AH51*(1+AH$6/12)-AH$7))</f>
        <v/>
      </c>
      <c r="Y52" s="92">
        <f>IF(AI51&lt;0.005,0,MAX(0,AI51*(1+AI$6/12)-AI$7))</f>
        <v/>
      </c>
      <c r="Z52" s="91">
        <f>MAX(0,P52-MAX(0,AK52-0))</f>
        <v/>
      </c>
      <c r="AA52" s="91">
        <f>MAX(0,Q52-MAX(0,AK52-SUM(P52:P52)))</f>
        <v/>
      </c>
      <c r="AB52" s="91">
        <f>MAX(0,R52-MAX(0,AK52-SUM(P52:Q52)))</f>
        <v/>
      </c>
      <c r="AC52" s="91">
        <f>MAX(0,S52-MAX(0,AK52-SUM(P52:R52)))</f>
        <v/>
      </c>
      <c r="AD52" s="91">
        <f>MAX(0,T52-MAX(0,AK52-SUM(P52:S52)))</f>
        <v/>
      </c>
      <c r="AE52" s="91">
        <f>MAX(0,U52-MAX(0,AK52-SUM(P52:T52)))</f>
        <v/>
      </c>
      <c r="AF52" s="91">
        <f>MAX(0,V52-MAX(0,AK52-SUM(P52:U52)))</f>
        <v/>
      </c>
      <c r="AG52" s="91">
        <f>MAX(0,W52-MAX(0,AK52-SUM(P52:V52)))</f>
        <v/>
      </c>
      <c r="AH52" s="91">
        <f>MAX(0,X52-MAX(0,AK52-SUM(P52:W52)))</f>
        <v/>
      </c>
      <c r="AI52" s="91">
        <f>MAX(0,Y52-MAX(0,AK52-SUM(P52:X52)))</f>
        <v/>
      </c>
      <c r="AJ52" s="92">
        <f>SUM(Z51:AI51)+AL52</f>
        <v/>
      </c>
      <c r="AK52" s="92">
        <f>$AK$7-(AJ52-SUM(P52:Y52))</f>
        <v/>
      </c>
      <c r="AL52" s="91">
        <f>SUMPRODUCT(Z51:AI51,$Z$6:$AI$6)/12</f>
        <v/>
      </c>
      <c r="AM52" s="88">
        <f>SUM(Z52:AI52)</f>
        <v/>
      </c>
      <c r="AO52" s="92">
        <f>IF(AY51&lt;0.005,0,MAX(0,AY51*(1+AY$6/12)-AY$7))</f>
        <v/>
      </c>
      <c r="AP52" s="92">
        <f>IF(AZ51&lt;0.005,0,MAX(0,AZ51*(1+AZ$6/12)-AZ$7))</f>
        <v/>
      </c>
      <c r="AQ52" s="92">
        <f>IF(BA51&lt;0.005,0,MAX(0,BA51*(1+BA$6/12)-BA$7))</f>
        <v/>
      </c>
      <c r="AR52" s="92">
        <f>IF(BB51&lt;0.005,0,MAX(0,BB51*(1+BB$6/12)-BB$7))</f>
        <v/>
      </c>
      <c r="AS52" s="92">
        <f>IF(BC51&lt;0.005,0,MAX(0,BC51*(1+BC$6/12)-BC$7))</f>
        <v/>
      </c>
      <c r="AT52" s="92">
        <f>IF(BD51&lt;0.005,0,MAX(0,BD51*(1+BD$6/12)-BD$7))</f>
        <v/>
      </c>
      <c r="AU52" s="92">
        <f>IF(BE51&lt;0.005,0,MAX(0,BE51*(1+BE$6/12)-BE$7))</f>
        <v/>
      </c>
      <c r="AV52" s="92">
        <f>IF(BF51&lt;0.005,0,MAX(0,BF51*(1+BF$6/12)-BF$7))</f>
        <v/>
      </c>
      <c r="AW52" s="92">
        <f>IF(BG51&lt;0.005,0,MAX(0,BG51*(1+BG$6/12)-BG$7))</f>
        <v/>
      </c>
      <c r="AX52" s="92">
        <f>IF(BH51&lt;0.005,0,MAX(0,BH51*(1+BH$6/12)-BH$7))</f>
        <v/>
      </c>
      <c r="AY52" s="91">
        <f>MAX(0,AO52-MAX(0,BJ52-0))</f>
        <v/>
      </c>
      <c r="AZ52" s="91">
        <f>MAX(0,AP52-MAX(0,BJ52-SUM(AO52:AO52)))</f>
        <v/>
      </c>
      <c r="BA52" s="91">
        <f>MAX(0,AQ52-MAX(0,BJ52-SUM(AO52:AP52)))</f>
        <v/>
      </c>
      <c r="BB52" s="91">
        <f>MAX(0,AR52-MAX(0,BJ52-SUM(AO52:AQ52)))</f>
        <v/>
      </c>
      <c r="BC52" s="91">
        <f>MAX(0,AS52-MAX(0,BJ52-SUM(AO52:AR52)))</f>
        <v/>
      </c>
      <c r="BD52" s="91">
        <f>MAX(0,AT52-MAX(0,BJ52-SUM(AO52:AS52)))</f>
        <v/>
      </c>
      <c r="BE52" s="91">
        <f>MAX(0,AU52-MAX(0,BJ52-SUM(AO52:AT52)))</f>
        <v/>
      </c>
      <c r="BF52" s="91">
        <f>MAX(0,AV52-MAX(0,BJ52-SUM(AO52:AU52)))</f>
        <v/>
      </c>
      <c r="BG52" s="91">
        <f>MAX(0,AW52-MAX(0,BJ52-SUM(AO52:AV52)))</f>
        <v/>
      </c>
      <c r="BH52" s="91">
        <f>MAX(0,AX52-MAX(0,BJ52-SUM(AO52:AW52)))</f>
        <v/>
      </c>
      <c r="BI52" s="92">
        <f>SUM(AY51:BH51)+BK52</f>
        <v/>
      </c>
      <c r="BJ52" s="92">
        <f>$BJ$7-(BI52-SUM(AO52:AX52))</f>
        <v/>
      </c>
      <c r="BK52" s="91">
        <f>SUMPRODUCT(AY51:BH51,$AY$6:$BH$6)/12</f>
        <v/>
      </c>
      <c r="BL52" s="88">
        <f>SUM(AY52:BH52)</f>
        <v/>
      </c>
    </row>
    <row r="53">
      <c r="A53" s="24" t="n">
        <v>43</v>
      </c>
      <c r="B53" s="90">
        <f>DATE(YEAR(Settings!$C$11),MONTH(Settings!$C$11)+A53,1)</f>
        <v/>
      </c>
      <c r="C53" s="91">
        <f>IF(C52&lt;0.005,0,MAX(0,C52*(1+C$6/12)-C$7))</f>
        <v/>
      </c>
      <c r="D53" s="91">
        <f>IF(D52&lt;0.005,0,MAX(0,D52*(1+D$6/12)-D$7))</f>
        <v/>
      </c>
      <c r="E53" s="91">
        <f>IF(E52&lt;0.005,0,MAX(0,E52*(1+E$6/12)-E$7))</f>
        <v/>
      </c>
      <c r="F53" s="91">
        <f>IF(F52&lt;0.005,0,MAX(0,F52*(1+F$6/12)-F$7))</f>
        <v/>
      </c>
      <c r="G53" s="91">
        <f>IF(G52&lt;0.005,0,MAX(0,G52*(1+G$6/12)-G$7))</f>
        <v/>
      </c>
      <c r="H53" s="91">
        <f>IF(H52&lt;0.005,0,MAX(0,H52*(1+H$6/12)-H$7))</f>
        <v/>
      </c>
      <c r="I53" s="91">
        <f>IF(I52&lt;0.005,0,MAX(0,I52*(1+I$6/12)-I$7))</f>
        <v/>
      </c>
      <c r="J53" s="91">
        <f>IF(J52&lt;0.005,0,MAX(0,J52*(1+J$6/12)-J$7))</f>
        <v/>
      </c>
      <c r="K53" s="91">
        <f>IF(K52&lt;0.005,0,MAX(0,K52*(1+K$6/12)-K$7))</f>
        <v/>
      </c>
      <c r="L53" s="91">
        <f>IF(L52&lt;0.005,0,MAX(0,L52*(1+L$6/12)-L$7))</f>
        <v/>
      </c>
      <c r="M53" s="91">
        <f>SUMPRODUCT(C52:L52,$C$6:$L$6)/12</f>
        <v/>
      </c>
      <c r="N53" s="88">
        <f>SUM(C53:L53)</f>
        <v/>
      </c>
      <c r="P53" s="92">
        <f>IF(Z52&lt;0.005,0,MAX(0,Z52*(1+Z$6/12)-Z$7))</f>
        <v/>
      </c>
      <c r="Q53" s="92">
        <f>IF(AA52&lt;0.005,0,MAX(0,AA52*(1+AA$6/12)-AA$7))</f>
        <v/>
      </c>
      <c r="R53" s="92">
        <f>IF(AB52&lt;0.005,0,MAX(0,AB52*(1+AB$6/12)-AB$7))</f>
        <v/>
      </c>
      <c r="S53" s="92">
        <f>IF(AC52&lt;0.005,0,MAX(0,AC52*(1+AC$6/12)-AC$7))</f>
        <v/>
      </c>
      <c r="T53" s="92">
        <f>IF(AD52&lt;0.005,0,MAX(0,AD52*(1+AD$6/12)-AD$7))</f>
        <v/>
      </c>
      <c r="U53" s="92">
        <f>IF(AE52&lt;0.005,0,MAX(0,AE52*(1+AE$6/12)-AE$7))</f>
        <v/>
      </c>
      <c r="V53" s="92">
        <f>IF(AF52&lt;0.005,0,MAX(0,AF52*(1+AF$6/12)-AF$7))</f>
        <v/>
      </c>
      <c r="W53" s="92">
        <f>IF(AG52&lt;0.005,0,MAX(0,AG52*(1+AG$6/12)-AG$7))</f>
        <v/>
      </c>
      <c r="X53" s="92">
        <f>IF(AH52&lt;0.005,0,MAX(0,AH52*(1+AH$6/12)-AH$7))</f>
        <v/>
      </c>
      <c r="Y53" s="92">
        <f>IF(AI52&lt;0.005,0,MAX(0,AI52*(1+AI$6/12)-AI$7))</f>
        <v/>
      </c>
      <c r="Z53" s="91">
        <f>MAX(0,P53-MAX(0,AK53-0))</f>
        <v/>
      </c>
      <c r="AA53" s="91">
        <f>MAX(0,Q53-MAX(0,AK53-SUM(P53:P53)))</f>
        <v/>
      </c>
      <c r="AB53" s="91">
        <f>MAX(0,R53-MAX(0,AK53-SUM(P53:Q53)))</f>
        <v/>
      </c>
      <c r="AC53" s="91">
        <f>MAX(0,S53-MAX(0,AK53-SUM(P53:R53)))</f>
        <v/>
      </c>
      <c r="AD53" s="91">
        <f>MAX(0,T53-MAX(0,AK53-SUM(P53:S53)))</f>
        <v/>
      </c>
      <c r="AE53" s="91">
        <f>MAX(0,U53-MAX(0,AK53-SUM(P53:T53)))</f>
        <v/>
      </c>
      <c r="AF53" s="91">
        <f>MAX(0,V53-MAX(0,AK53-SUM(P53:U53)))</f>
        <v/>
      </c>
      <c r="AG53" s="91">
        <f>MAX(0,W53-MAX(0,AK53-SUM(P53:V53)))</f>
        <v/>
      </c>
      <c r="AH53" s="91">
        <f>MAX(0,X53-MAX(0,AK53-SUM(P53:W53)))</f>
        <v/>
      </c>
      <c r="AI53" s="91">
        <f>MAX(0,Y53-MAX(0,AK53-SUM(P53:X53)))</f>
        <v/>
      </c>
      <c r="AJ53" s="92">
        <f>SUM(Z52:AI52)+AL53</f>
        <v/>
      </c>
      <c r="AK53" s="92">
        <f>$AK$7-(AJ53-SUM(P53:Y53))</f>
        <v/>
      </c>
      <c r="AL53" s="91">
        <f>SUMPRODUCT(Z52:AI52,$Z$6:$AI$6)/12</f>
        <v/>
      </c>
      <c r="AM53" s="88">
        <f>SUM(Z53:AI53)</f>
        <v/>
      </c>
      <c r="AO53" s="92">
        <f>IF(AY52&lt;0.005,0,MAX(0,AY52*(1+AY$6/12)-AY$7))</f>
        <v/>
      </c>
      <c r="AP53" s="92">
        <f>IF(AZ52&lt;0.005,0,MAX(0,AZ52*(1+AZ$6/12)-AZ$7))</f>
        <v/>
      </c>
      <c r="AQ53" s="92">
        <f>IF(BA52&lt;0.005,0,MAX(0,BA52*(1+BA$6/12)-BA$7))</f>
        <v/>
      </c>
      <c r="AR53" s="92">
        <f>IF(BB52&lt;0.005,0,MAX(0,BB52*(1+BB$6/12)-BB$7))</f>
        <v/>
      </c>
      <c r="AS53" s="92">
        <f>IF(BC52&lt;0.005,0,MAX(0,BC52*(1+BC$6/12)-BC$7))</f>
        <v/>
      </c>
      <c r="AT53" s="92">
        <f>IF(BD52&lt;0.005,0,MAX(0,BD52*(1+BD$6/12)-BD$7))</f>
        <v/>
      </c>
      <c r="AU53" s="92">
        <f>IF(BE52&lt;0.005,0,MAX(0,BE52*(1+BE$6/12)-BE$7))</f>
        <v/>
      </c>
      <c r="AV53" s="92">
        <f>IF(BF52&lt;0.005,0,MAX(0,BF52*(1+BF$6/12)-BF$7))</f>
        <v/>
      </c>
      <c r="AW53" s="92">
        <f>IF(BG52&lt;0.005,0,MAX(0,BG52*(1+BG$6/12)-BG$7))</f>
        <v/>
      </c>
      <c r="AX53" s="92">
        <f>IF(BH52&lt;0.005,0,MAX(0,BH52*(1+BH$6/12)-BH$7))</f>
        <v/>
      </c>
      <c r="AY53" s="91">
        <f>MAX(0,AO53-MAX(0,BJ53-0))</f>
        <v/>
      </c>
      <c r="AZ53" s="91">
        <f>MAX(0,AP53-MAX(0,BJ53-SUM(AO53:AO53)))</f>
        <v/>
      </c>
      <c r="BA53" s="91">
        <f>MAX(0,AQ53-MAX(0,BJ53-SUM(AO53:AP53)))</f>
        <v/>
      </c>
      <c r="BB53" s="91">
        <f>MAX(0,AR53-MAX(0,BJ53-SUM(AO53:AQ53)))</f>
        <v/>
      </c>
      <c r="BC53" s="91">
        <f>MAX(0,AS53-MAX(0,BJ53-SUM(AO53:AR53)))</f>
        <v/>
      </c>
      <c r="BD53" s="91">
        <f>MAX(0,AT53-MAX(0,BJ53-SUM(AO53:AS53)))</f>
        <v/>
      </c>
      <c r="BE53" s="91">
        <f>MAX(0,AU53-MAX(0,BJ53-SUM(AO53:AT53)))</f>
        <v/>
      </c>
      <c r="BF53" s="91">
        <f>MAX(0,AV53-MAX(0,BJ53-SUM(AO53:AU53)))</f>
        <v/>
      </c>
      <c r="BG53" s="91">
        <f>MAX(0,AW53-MAX(0,BJ53-SUM(AO53:AV53)))</f>
        <v/>
      </c>
      <c r="BH53" s="91">
        <f>MAX(0,AX53-MAX(0,BJ53-SUM(AO53:AW53)))</f>
        <v/>
      </c>
      <c r="BI53" s="92">
        <f>SUM(AY52:BH52)+BK53</f>
        <v/>
      </c>
      <c r="BJ53" s="92">
        <f>$BJ$7-(BI53-SUM(AO53:AX53))</f>
        <v/>
      </c>
      <c r="BK53" s="91">
        <f>SUMPRODUCT(AY52:BH52,$AY$6:$BH$6)/12</f>
        <v/>
      </c>
      <c r="BL53" s="88">
        <f>SUM(AY53:BH53)</f>
        <v/>
      </c>
    </row>
    <row r="54">
      <c r="A54" s="24" t="n">
        <v>44</v>
      </c>
      <c r="B54" s="90">
        <f>DATE(YEAR(Settings!$C$11),MONTH(Settings!$C$11)+A54,1)</f>
        <v/>
      </c>
      <c r="C54" s="91">
        <f>IF(C53&lt;0.005,0,MAX(0,C53*(1+C$6/12)-C$7))</f>
        <v/>
      </c>
      <c r="D54" s="91">
        <f>IF(D53&lt;0.005,0,MAX(0,D53*(1+D$6/12)-D$7))</f>
        <v/>
      </c>
      <c r="E54" s="91">
        <f>IF(E53&lt;0.005,0,MAX(0,E53*(1+E$6/12)-E$7))</f>
        <v/>
      </c>
      <c r="F54" s="91">
        <f>IF(F53&lt;0.005,0,MAX(0,F53*(1+F$6/12)-F$7))</f>
        <v/>
      </c>
      <c r="G54" s="91">
        <f>IF(G53&lt;0.005,0,MAX(0,G53*(1+G$6/12)-G$7))</f>
        <v/>
      </c>
      <c r="H54" s="91">
        <f>IF(H53&lt;0.005,0,MAX(0,H53*(1+H$6/12)-H$7))</f>
        <v/>
      </c>
      <c r="I54" s="91">
        <f>IF(I53&lt;0.005,0,MAX(0,I53*(1+I$6/12)-I$7))</f>
        <v/>
      </c>
      <c r="J54" s="91">
        <f>IF(J53&lt;0.005,0,MAX(0,J53*(1+J$6/12)-J$7))</f>
        <v/>
      </c>
      <c r="K54" s="91">
        <f>IF(K53&lt;0.005,0,MAX(0,K53*(1+K$6/12)-K$7))</f>
        <v/>
      </c>
      <c r="L54" s="91">
        <f>IF(L53&lt;0.005,0,MAX(0,L53*(1+L$6/12)-L$7))</f>
        <v/>
      </c>
      <c r="M54" s="91">
        <f>SUMPRODUCT(C53:L53,$C$6:$L$6)/12</f>
        <v/>
      </c>
      <c r="N54" s="88">
        <f>SUM(C54:L54)</f>
        <v/>
      </c>
      <c r="P54" s="92">
        <f>IF(Z53&lt;0.005,0,MAX(0,Z53*(1+Z$6/12)-Z$7))</f>
        <v/>
      </c>
      <c r="Q54" s="92">
        <f>IF(AA53&lt;0.005,0,MAX(0,AA53*(1+AA$6/12)-AA$7))</f>
        <v/>
      </c>
      <c r="R54" s="92">
        <f>IF(AB53&lt;0.005,0,MAX(0,AB53*(1+AB$6/12)-AB$7))</f>
        <v/>
      </c>
      <c r="S54" s="92">
        <f>IF(AC53&lt;0.005,0,MAX(0,AC53*(1+AC$6/12)-AC$7))</f>
        <v/>
      </c>
      <c r="T54" s="92">
        <f>IF(AD53&lt;0.005,0,MAX(0,AD53*(1+AD$6/12)-AD$7))</f>
        <v/>
      </c>
      <c r="U54" s="92">
        <f>IF(AE53&lt;0.005,0,MAX(0,AE53*(1+AE$6/12)-AE$7))</f>
        <v/>
      </c>
      <c r="V54" s="92">
        <f>IF(AF53&lt;0.005,0,MAX(0,AF53*(1+AF$6/12)-AF$7))</f>
        <v/>
      </c>
      <c r="W54" s="92">
        <f>IF(AG53&lt;0.005,0,MAX(0,AG53*(1+AG$6/12)-AG$7))</f>
        <v/>
      </c>
      <c r="X54" s="92">
        <f>IF(AH53&lt;0.005,0,MAX(0,AH53*(1+AH$6/12)-AH$7))</f>
        <v/>
      </c>
      <c r="Y54" s="92">
        <f>IF(AI53&lt;0.005,0,MAX(0,AI53*(1+AI$6/12)-AI$7))</f>
        <v/>
      </c>
      <c r="Z54" s="91">
        <f>MAX(0,P54-MAX(0,AK54-0))</f>
        <v/>
      </c>
      <c r="AA54" s="91">
        <f>MAX(0,Q54-MAX(0,AK54-SUM(P54:P54)))</f>
        <v/>
      </c>
      <c r="AB54" s="91">
        <f>MAX(0,R54-MAX(0,AK54-SUM(P54:Q54)))</f>
        <v/>
      </c>
      <c r="AC54" s="91">
        <f>MAX(0,S54-MAX(0,AK54-SUM(P54:R54)))</f>
        <v/>
      </c>
      <c r="AD54" s="91">
        <f>MAX(0,T54-MAX(0,AK54-SUM(P54:S54)))</f>
        <v/>
      </c>
      <c r="AE54" s="91">
        <f>MAX(0,U54-MAX(0,AK54-SUM(P54:T54)))</f>
        <v/>
      </c>
      <c r="AF54" s="91">
        <f>MAX(0,V54-MAX(0,AK54-SUM(P54:U54)))</f>
        <v/>
      </c>
      <c r="AG54" s="91">
        <f>MAX(0,W54-MAX(0,AK54-SUM(P54:V54)))</f>
        <v/>
      </c>
      <c r="AH54" s="91">
        <f>MAX(0,X54-MAX(0,AK54-SUM(P54:W54)))</f>
        <v/>
      </c>
      <c r="AI54" s="91">
        <f>MAX(0,Y54-MAX(0,AK54-SUM(P54:X54)))</f>
        <v/>
      </c>
      <c r="AJ54" s="92">
        <f>SUM(Z53:AI53)+AL54</f>
        <v/>
      </c>
      <c r="AK54" s="92">
        <f>$AK$7-(AJ54-SUM(P54:Y54))</f>
        <v/>
      </c>
      <c r="AL54" s="91">
        <f>SUMPRODUCT(Z53:AI53,$Z$6:$AI$6)/12</f>
        <v/>
      </c>
      <c r="AM54" s="88">
        <f>SUM(Z54:AI54)</f>
        <v/>
      </c>
      <c r="AO54" s="92">
        <f>IF(AY53&lt;0.005,0,MAX(0,AY53*(1+AY$6/12)-AY$7))</f>
        <v/>
      </c>
      <c r="AP54" s="92">
        <f>IF(AZ53&lt;0.005,0,MAX(0,AZ53*(1+AZ$6/12)-AZ$7))</f>
        <v/>
      </c>
      <c r="AQ54" s="92">
        <f>IF(BA53&lt;0.005,0,MAX(0,BA53*(1+BA$6/12)-BA$7))</f>
        <v/>
      </c>
      <c r="AR54" s="92">
        <f>IF(BB53&lt;0.005,0,MAX(0,BB53*(1+BB$6/12)-BB$7))</f>
        <v/>
      </c>
      <c r="AS54" s="92">
        <f>IF(BC53&lt;0.005,0,MAX(0,BC53*(1+BC$6/12)-BC$7))</f>
        <v/>
      </c>
      <c r="AT54" s="92">
        <f>IF(BD53&lt;0.005,0,MAX(0,BD53*(1+BD$6/12)-BD$7))</f>
        <v/>
      </c>
      <c r="AU54" s="92">
        <f>IF(BE53&lt;0.005,0,MAX(0,BE53*(1+BE$6/12)-BE$7))</f>
        <v/>
      </c>
      <c r="AV54" s="92">
        <f>IF(BF53&lt;0.005,0,MAX(0,BF53*(1+BF$6/12)-BF$7))</f>
        <v/>
      </c>
      <c r="AW54" s="92">
        <f>IF(BG53&lt;0.005,0,MAX(0,BG53*(1+BG$6/12)-BG$7))</f>
        <v/>
      </c>
      <c r="AX54" s="92">
        <f>IF(BH53&lt;0.005,0,MAX(0,BH53*(1+BH$6/12)-BH$7))</f>
        <v/>
      </c>
      <c r="AY54" s="91">
        <f>MAX(0,AO54-MAX(0,BJ54-0))</f>
        <v/>
      </c>
      <c r="AZ54" s="91">
        <f>MAX(0,AP54-MAX(0,BJ54-SUM(AO54:AO54)))</f>
        <v/>
      </c>
      <c r="BA54" s="91">
        <f>MAX(0,AQ54-MAX(0,BJ54-SUM(AO54:AP54)))</f>
        <v/>
      </c>
      <c r="BB54" s="91">
        <f>MAX(0,AR54-MAX(0,BJ54-SUM(AO54:AQ54)))</f>
        <v/>
      </c>
      <c r="BC54" s="91">
        <f>MAX(0,AS54-MAX(0,BJ54-SUM(AO54:AR54)))</f>
        <v/>
      </c>
      <c r="BD54" s="91">
        <f>MAX(0,AT54-MAX(0,BJ54-SUM(AO54:AS54)))</f>
        <v/>
      </c>
      <c r="BE54" s="91">
        <f>MAX(0,AU54-MAX(0,BJ54-SUM(AO54:AT54)))</f>
        <v/>
      </c>
      <c r="BF54" s="91">
        <f>MAX(0,AV54-MAX(0,BJ54-SUM(AO54:AU54)))</f>
        <v/>
      </c>
      <c r="BG54" s="91">
        <f>MAX(0,AW54-MAX(0,BJ54-SUM(AO54:AV54)))</f>
        <v/>
      </c>
      <c r="BH54" s="91">
        <f>MAX(0,AX54-MAX(0,BJ54-SUM(AO54:AW54)))</f>
        <v/>
      </c>
      <c r="BI54" s="92">
        <f>SUM(AY53:BH53)+BK54</f>
        <v/>
      </c>
      <c r="BJ54" s="92">
        <f>$BJ$7-(BI54-SUM(AO54:AX54))</f>
        <v/>
      </c>
      <c r="BK54" s="91">
        <f>SUMPRODUCT(AY53:BH53,$AY$6:$BH$6)/12</f>
        <v/>
      </c>
      <c r="BL54" s="88">
        <f>SUM(AY54:BH54)</f>
        <v/>
      </c>
    </row>
    <row r="55">
      <c r="A55" s="24" t="n">
        <v>45</v>
      </c>
      <c r="B55" s="90">
        <f>DATE(YEAR(Settings!$C$11),MONTH(Settings!$C$11)+A55,1)</f>
        <v/>
      </c>
      <c r="C55" s="91">
        <f>IF(C54&lt;0.005,0,MAX(0,C54*(1+C$6/12)-C$7))</f>
        <v/>
      </c>
      <c r="D55" s="91">
        <f>IF(D54&lt;0.005,0,MAX(0,D54*(1+D$6/12)-D$7))</f>
        <v/>
      </c>
      <c r="E55" s="91">
        <f>IF(E54&lt;0.005,0,MAX(0,E54*(1+E$6/12)-E$7))</f>
        <v/>
      </c>
      <c r="F55" s="91">
        <f>IF(F54&lt;0.005,0,MAX(0,F54*(1+F$6/12)-F$7))</f>
        <v/>
      </c>
      <c r="G55" s="91">
        <f>IF(G54&lt;0.005,0,MAX(0,G54*(1+G$6/12)-G$7))</f>
        <v/>
      </c>
      <c r="H55" s="91">
        <f>IF(H54&lt;0.005,0,MAX(0,H54*(1+H$6/12)-H$7))</f>
        <v/>
      </c>
      <c r="I55" s="91">
        <f>IF(I54&lt;0.005,0,MAX(0,I54*(1+I$6/12)-I$7))</f>
        <v/>
      </c>
      <c r="J55" s="91">
        <f>IF(J54&lt;0.005,0,MAX(0,J54*(1+J$6/12)-J$7))</f>
        <v/>
      </c>
      <c r="K55" s="91">
        <f>IF(K54&lt;0.005,0,MAX(0,K54*(1+K$6/12)-K$7))</f>
        <v/>
      </c>
      <c r="L55" s="91">
        <f>IF(L54&lt;0.005,0,MAX(0,L54*(1+L$6/12)-L$7))</f>
        <v/>
      </c>
      <c r="M55" s="91">
        <f>SUMPRODUCT(C54:L54,$C$6:$L$6)/12</f>
        <v/>
      </c>
      <c r="N55" s="88">
        <f>SUM(C55:L55)</f>
        <v/>
      </c>
      <c r="P55" s="92">
        <f>IF(Z54&lt;0.005,0,MAX(0,Z54*(1+Z$6/12)-Z$7))</f>
        <v/>
      </c>
      <c r="Q55" s="92">
        <f>IF(AA54&lt;0.005,0,MAX(0,AA54*(1+AA$6/12)-AA$7))</f>
        <v/>
      </c>
      <c r="R55" s="92">
        <f>IF(AB54&lt;0.005,0,MAX(0,AB54*(1+AB$6/12)-AB$7))</f>
        <v/>
      </c>
      <c r="S55" s="92">
        <f>IF(AC54&lt;0.005,0,MAX(0,AC54*(1+AC$6/12)-AC$7))</f>
        <v/>
      </c>
      <c r="T55" s="92">
        <f>IF(AD54&lt;0.005,0,MAX(0,AD54*(1+AD$6/12)-AD$7))</f>
        <v/>
      </c>
      <c r="U55" s="92">
        <f>IF(AE54&lt;0.005,0,MAX(0,AE54*(1+AE$6/12)-AE$7))</f>
        <v/>
      </c>
      <c r="V55" s="92">
        <f>IF(AF54&lt;0.005,0,MAX(0,AF54*(1+AF$6/12)-AF$7))</f>
        <v/>
      </c>
      <c r="W55" s="92">
        <f>IF(AG54&lt;0.005,0,MAX(0,AG54*(1+AG$6/12)-AG$7))</f>
        <v/>
      </c>
      <c r="X55" s="92">
        <f>IF(AH54&lt;0.005,0,MAX(0,AH54*(1+AH$6/12)-AH$7))</f>
        <v/>
      </c>
      <c r="Y55" s="92">
        <f>IF(AI54&lt;0.005,0,MAX(0,AI54*(1+AI$6/12)-AI$7))</f>
        <v/>
      </c>
      <c r="Z55" s="91">
        <f>MAX(0,P55-MAX(0,AK55-0))</f>
        <v/>
      </c>
      <c r="AA55" s="91">
        <f>MAX(0,Q55-MAX(0,AK55-SUM(P55:P55)))</f>
        <v/>
      </c>
      <c r="AB55" s="91">
        <f>MAX(0,R55-MAX(0,AK55-SUM(P55:Q55)))</f>
        <v/>
      </c>
      <c r="AC55" s="91">
        <f>MAX(0,S55-MAX(0,AK55-SUM(P55:R55)))</f>
        <v/>
      </c>
      <c r="AD55" s="91">
        <f>MAX(0,T55-MAX(0,AK55-SUM(P55:S55)))</f>
        <v/>
      </c>
      <c r="AE55" s="91">
        <f>MAX(0,U55-MAX(0,AK55-SUM(P55:T55)))</f>
        <v/>
      </c>
      <c r="AF55" s="91">
        <f>MAX(0,V55-MAX(0,AK55-SUM(P55:U55)))</f>
        <v/>
      </c>
      <c r="AG55" s="91">
        <f>MAX(0,W55-MAX(0,AK55-SUM(P55:V55)))</f>
        <v/>
      </c>
      <c r="AH55" s="91">
        <f>MAX(0,X55-MAX(0,AK55-SUM(P55:W55)))</f>
        <v/>
      </c>
      <c r="AI55" s="91">
        <f>MAX(0,Y55-MAX(0,AK55-SUM(P55:X55)))</f>
        <v/>
      </c>
      <c r="AJ55" s="92">
        <f>SUM(Z54:AI54)+AL55</f>
        <v/>
      </c>
      <c r="AK55" s="92">
        <f>$AK$7-(AJ55-SUM(P55:Y55))</f>
        <v/>
      </c>
      <c r="AL55" s="91">
        <f>SUMPRODUCT(Z54:AI54,$Z$6:$AI$6)/12</f>
        <v/>
      </c>
      <c r="AM55" s="88">
        <f>SUM(Z55:AI55)</f>
        <v/>
      </c>
      <c r="AO55" s="92">
        <f>IF(AY54&lt;0.005,0,MAX(0,AY54*(1+AY$6/12)-AY$7))</f>
        <v/>
      </c>
      <c r="AP55" s="92">
        <f>IF(AZ54&lt;0.005,0,MAX(0,AZ54*(1+AZ$6/12)-AZ$7))</f>
        <v/>
      </c>
      <c r="AQ55" s="92">
        <f>IF(BA54&lt;0.005,0,MAX(0,BA54*(1+BA$6/12)-BA$7))</f>
        <v/>
      </c>
      <c r="AR55" s="92">
        <f>IF(BB54&lt;0.005,0,MAX(0,BB54*(1+BB$6/12)-BB$7))</f>
        <v/>
      </c>
      <c r="AS55" s="92">
        <f>IF(BC54&lt;0.005,0,MAX(0,BC54*(1+BC$6/12)-BC$7))</f>
        <v/>
      </c>
      <c r="AT55" s="92">
        <f>IF(BD54&lt;0.005,0,MAX(0,BD54*(1+BD$6/12)-BD$7))</f>
        <v/>
      </c>
      <c r="AU55" s="92">
        <f>IF(BE54&lt;0.005,0,MAX(0,BE54*(1+BE$6/12)-BE$7))</f>
        <v/>
      </c>
      <c r="AV55" s="92">
        <f>IF(BF54&lt;0.005,0,MAX(0,BF54*(1+BF$6/12)-BF$7))</f>
        <v/>
      </c>
      <c r="AW55" s="92">
        <f>IF(BG54&lt;0.005,0,MAX(0,BG54*(1+BG$6/12)-BG$7))</f>
        <v/>
      </c>
      <c r="AX55" s="92">
        <f>IF(BH54&lt;0.005,0,MAX(0,BH54*(1+BH$6/12)-BH$7))</f>
        <v/>
      </c>
      <c r="AY55" s="91">
        <f>MAX(0,AO55-MAX(0,BJ55-0))</f>
        <v/>
      </c>
      <c r="AZ55" s="91">
        <f>MAX(0,AP55-MAX(0,BJ55-SUM(AO55:AO55)))</f>
        <v/>
      </c>
      <c r="BA55" s="91">
        <f>MAX(0,AQ55-MAX(0,BJ55-SUM(AO55:AP55)))</f>
        <v/>
      </c>
      <c r="BB55" s="91">
        <f>MAX(0,AR55-MAX(0,BJ55-SUM(AO55:AQ55)))</f>
        <v/>
      </c>
      <c r="BC55" s="91">
        <f>MAX(0,AS55-MAX(0,BJ55-SUM(AO55:AR55)))</f>
        <v/>
      </c>
      <c r="BD55" s="91">
        <f>MAX(0,AT55-MAX(0,BJ55-SUM(AO55:AS55)))</f>
        <v/>
      </c>
      <c r="BE55" s="91">
        <f>MAX(0,AU55-MAX(0,BJ55-SUM(AO55:AT55)))</f>
        <v/>
      </c>
      <c r="BF55" s="91">
        <f>MAX(0,AV55-MAX(0,BJ55-SUM(AO55:AU55)))</f>
        <v/>
      </c>
      <c r="BG55" s="91">
        <f>MAX(0,AW55-MAX(0,BJ55-SUM(AO55:AV55)))</f>
        <v/>
      </c>
      <c r="BH55" s="91">
        <f>MAX(0,AX55-MAX(0,BJ55-SUM(AO55:AW55)))</f>
        <v/>
      </c>
      <c r="BI55" s="92">
        <f>SUM(AY54:BH54)+BK55</f>
        <v/>
      </c>
      <c r="BJ55" s="92">
        <f>$BJ$7-(BI55-SUM(AO55:AX55))</f>
        <v/>
      </c>
      <c r="BK55" s="91">
        <f>SUMPRODUCT(AY54:BH54,$AY$6:$BH$6)/12</f>
        <v/>
      </c>
      <c r="BL55" s="88">
        <f>SUM(AY55:BH55)</f>
        <v/>
      </c>
    </row>
    <row r="56">
      <c r="A56" s="24" t="n">
        <v>46</v>
      </c>
      <c r="B56" s="90">
        <f>DATE(YEAR(Settings!$C$11),MONTH(Settings!$C$11)+A56,1)</f>
        <v/>
      </c>
      <c r="C56" s="91">
        <f>IF(C55&lt;0.005,0,MAX(0,C55*(1+C$6/12)-C$7))</f>
        <v/>
      </c>
      <c r="D56" s="91">
        <f>IF(D55&lt;0.005,0,MAX(0,D55*(1+D$6/12)-D$7))</f>
        <v/>
      </c>
      <c r="E56" s="91">
        <f>IF(E55&lt;0.005,0,MAX(0,E55*(1+E$6/12)-E$7))</f>
        <v/>
      </c>
      <c r="F56" s="91">
        <f>IF(F55&lt;0.005,0,MAX(0,F55*(1+F$6/12)-F$7))</f>
        <v/>
      </c>
      <c r="G56" s="91">
        <f>IF(G55&lt;0.005,0,MAX(0,G55*(1+G$6/12)-G$7))</f>
        <v/>
      </c>
      <c r="H56" s="91">
        <f>IF(H55&lt;0.005,0,MAX(0,H55*(1+H$6/12)-H$7))</f>
        <v/>
      </c>
      <c r="I56" s="91">
        <f>IF(I55&lt;0.005,0,MAX(0,I55*(1+I$6/12)-I$7))</f>
        <v/>
      </c>
      <c r="J56" s="91">
        <f>IF(J55&lt;0.005,0,MAX(0,J55*(1+J$6/12)-J$7))</f>
        <v/>
      </c>
      <c r="K56" s="91">
        <f>IF(K55&lt;0.005,0,MAX(0,K55*(1+K$6/12)-K$7))</f>
        <v/>
      </c>
      <c r="L56" s="91">
        <f>IF(L55&lt;0.005,0,MAX(0,L55*(1+L$6/12)-L$7))</f>
        <v/>
      </c>
      <c r="M56" s="91">
        <f>SUMPRODUCT(C55:L55,$C$6:$L$6)/12</f>
        <v/>
      </c>
      <c r="N56" s="88">
        <f>SUM(C56:L56)</f>
        <v/>
      </c>
      <c r="P56" s="92">
        <f>IF(Z55&lt;0.005,0,MAX(0,Z55*(1+Z$6/12)-Z$7))</f>
        <v/>
      </c>
      <c r="Q56" s="92">
        <f>IF(AA55&lt;0.005,0,MAX(0,AA55*(1+AA$6/12)-AA$7))</f>
        <v/>
      </c>
      <c r="R56" s="92">
        <f>IF(AB55&lt;0.005,0,MAX(0,AB55*(1+AB$6/12)-AB$7))</f>
        <v/>
      </c>
      <c r="S56" s="92">
        <f>IF(AC55&lt;0.005,0,MAX(0,AC55*(1+AC$6/12)-AC$7))</f>
        <v/>
      </c>
      <c r="T56" s="92">
        <f>IF(AD55&lt;0.005,0,MAX(0,AD55*(1+AD$6/12)-AD$7))</f>
        <v/>
      </c>
      <c r="U56" s="92">
        <f>IF(AE55&lt;0.005,0,MAX(0,AE55*(1+AE$6/12)-AE$7))</f>
        <v/>
      </c>
      <c r="V56" s="92">
        <f>IF(AF55&lt;0.005,0,MAX(0,AF55*(1+AF$6/12)-AF$7))</f>
        <v/>
      </c>
      <c r="W56" s="92">
        <f>IF(AG55&lt;0.005,0,MAX(0,AG55*(1+AG$6/12)-AG$7))</f>
        <v/>
      </c>
      <c r="X56" s="92">
        <f>IF(AH55&lt;0.005,0,MAX(0,AH55*(1+AH$6/12)-AH$7))</f>
        <v/>
      </c>
      <c r="Y56" s="92">
        <f>IF(AI55&lt;0.005,0,MAX(0,AI55*(1+AI$6/12)-AI$7))</f>
        <v/>
      </c>
      <c r="Z56" s="91">
        <f>MAX(0,P56-MAX(0,AK56-0))</f>
        <v/>
      </c>
      <c r="AA56" s="91">
        <f>MAX(0,Q56-MAX(0,AK56-SUM(P56:P56)))</f>
        <v/>
      </c>
      <c r="AB56" s="91">
        <f>MAX(0,R56-MAX(0,AK56-SUM(P56:Q56)))</f>
        <v/>
      </c>
      <c r="AC56" s="91">
        <f>MAX(0,S56-MAX(0,AK56-SUM(P56:R56)))</f>
        <v/>
      </c>
      <c r="AD56" s="91">
        <f>MAX(0,T56-MAX(0,AK56-SUM(P56:S56)))</f>
        <v/>
      </c>
      <c r="AE56" s="91">
        <f>MAX(0,U56-MAX(0,AK56-SUM(P56:T56)))</f>
        <v/>
      </c>
      <c r="AF56" s="91">
        <f>MAX(0,V56-MAX(0,AK56-SUM(P56:U56)))</f>
        <v/>
      </c>
      <c r="AG56" s="91">
        <f>MAX(0,W56-MAX(0,AK56-SUM(P56:V56)))</f>
        <v/>
      </c>
      <c r="AH56" s="91">
        <f>MAX(0,X56-MAX(0,AK56-SUM(P56:W56)))</f>
        <v/>
      </c>
      <c r="AI56" s="91">
        <f>MAX(0,Y56-MAX(0,AK56-SUM(P56:X56)))</f>
        <v/>
      </c>
      <c r="AJ56" s="92">
        <f>SUM(Z55:AI55)+AL56</f>
        <v/>
      </c>
      <c r="AK56" s="92">
        <f>$AK$7-(AJ56-SUM(P56:Y56))</f>
        <v/>
      </c>
      <c r="AL56" s="91">
        <f>SUMPRODUCT(Z55:AI55,$Z$6:$AI$6)/12</f>
        <v/>
      </c>
      <c r="AM56" s="88">
        <f>SUM(Z56:AI56)</f>
        <v/>
      </c>
      <c r="AO56" s="92">
        <f>IF(AY55&lt;0.005,0,MAX(0,AY55*(1+AY$6/12)-AY$7))</f>
        <v/>
      </c>
      <c r="AP56" s="92">
        <f>IF(AZ55&lt;0.005,0,MAX(0,AZ55*(1+AZ$6/12)-AZ$7))</f>
        <v/>
      </c>
      <c r="AQ56" s="92">
        <f>IF(BA55&lt;0.005,0,MAX(0,BA55*(1+BA$6/12)-BA$7))</f>
        <v/>
      </c>
      <c r="AR56" s="92">
        <f>IF(BB55&lt;0.005,0,MAX(0,BB55*(1+BB$6/12)-BB$7))</f>
        <v/>
      </c>
      <c r="AS56" s="92">
        <f>IF(BC55&lt;0.005,0,MAX(0,BC55*(1+BC$6/12)-BC$7))</f>
        <v/>
      </c>
      <c r="AT56" s="92">
        <f>IF(BD55&lt;0.005,0,MAX(0,BD55*(1+BD$6/12)-BD$7))</f>
        <v/>
      </c>
      <c r="AU56" s="92">
        <f>IF(BE55&lt;0.005,0,MAX(0,BE55*(1+BE$6/12)-BE$7))</f>
        <v/>
      </c>
      <c r="AV56" s="92">
        <f>IF(BF55&lt;0.005,0,MAX(0,BF55*(1+BF$6/12)-BF$7))</f>
        <v/>
      </c>
      <c r="AW56" s="92">
        <f>IF(BG55&lt;0.005,0,MAX(0,BG55*(1+BG$6/12)-BG$7))</f>
        <v/>
      </c>
      <c r="AX56" s="92">
        <f>IF(BH55&lt;0.005,0,MAX(0,BH55*(1+BH$6/12)-BH$7))</f>
        <v/>
      </c>
      <c r="AY56" s="91">
        <f>MAX(0,AO56-MAX(0,BJ56-0))</f>
        <v/>
      </c>
      <c r="AZ56" s="91">
        <f>MAX(0,AP56-MAX(0,BJ56-SUM(AO56:AO56)))</f>
        <v/>
      </c>
      <c r="BA56" s="91">
        <f>MAX(0,AQ56-MAX(0,BJ56-SUM(AO56:AP56)))</f>
        <v/>
      </c>
      <c r="BB56" s="91">
        <f>MAX(0,AR56-MAX(0,BJ56-SUM(AO56:AQ56)))</f>
        <v/>
      </c>
      <c r="BC56" s="91">
        <f>MAX(0,AS56-MAX(0,BJ56-SUM(AO56:AR56)))</f>
        <v/>
      </c>
      <c r="BD56" s="91">
        <f>MAX(0,AT56-MAX(0,BJ56-SUM(AO56:AS56)))</f>
        <v/>
      </c>
      <c r="BE56" s="91">
        <f>MAX(0,AU56-MAX(0,BJ56-SUM(AO56:AT56)))</f>
        <v/>
      </c>
      <c r="BF56" s="91">
        <f>MAX(0,AV56-MAX(0,BJ56-SUM(AO56:AU56)))</f>
        <v/>
      </c>
      <c r="BG56" s="91">
        <f>MAX(0,AW56-MAX(0,BJ56-SUM(AO56:AV56)))</f>
        <v/>
      </c>
      <c r="BH56" s="91">
        <f>MAX(0,AX56-MAX(0,BJ56-SUM(AO56:AW56)))</f>
        <v/>
      </c>
      <c r="BI56" s="92">
        <f>SUM(AY55:BH55)+BK56</f>
        <v/>
      </c>
      <c r="BJ56" s="92">
        <f>$BJ$7-(BI56-SUM(AO56:AX56))</f>
        <v/>
      </c>
      <c r="BK56" s="91">
        <f>SUMPRODUCT(AY55:BH55,$AY$6:$BH$6)/12</f>
        <v/>
      </c>
      <c r="BL56" s="88">
        <f>SUM(AY56:BH56)</f>
        <v/>
      </c>
    </row>
    <row r="57">
      <c r="A57" s="24" t="n">
        <v>47</v>
      </c>
      <c r="B57" s="90">
        <f>DATE(YEAR(Settings!$C$11),MONTH(Settings!$C$11)+A57,1)</f>
        <v/>
      </c>
      <c r="C57" s="91">
        <f>IF(C56&lt;0.005,0,MAX(0,C56*(1+C$6/12)-C$7))</f>
        <v/>
      </c>
      <c r="D57" s="91">
        <f>IF(D56&lt;0.005,0,MAX(0,D56*(1+D$6/12)-D$7))</f>
        <v/>
      </c>
      <c r="E57" s="91">
        <f>IF(E56&lt;0.005,0,MAX(0,E56*(1+E$6/12)-E$7))</f>
        <v/>
      </c>
      <c r="F57" s="91">
        <f>IF(F56&lt;0.005,0,MAX(0,F56*(1+F$6/12)-F$7))</f>
        <v/>
      </c>
      <c r="G57" s="91">
        <f>IF(G56&lt;0.005,0,MAX(0,G56*(1+G$6/12)-G$7))</f>
        <v/>
      </c>
      <c r="H57" s="91">
        <f>IF(H56&lt;0.005,0,MAX(0,H56*(1+H$6/12)-H$7))</f>
        <v/>
      </c>
      <c r="I57" s="91">
        <f>IF(I56&lt;0.005,0,MAX(0,I56*(1+I$6/12)-I$7))</f>
        <v/>
      </c>
      <c r="J57" s="91">
        <f>IF(J56&lt;0.005,0,MAX(0,J56*(1+J$6/12)-J$7))</f>
        <v/>
      </c>
      <c r="K57" s="91">
        <f>IF(K56&lt;0.005,0,MAX(0,K56*(1+K$6/12)-K$7))</f>
        <v/>
      </c>
      <c r="L57" s="91">
        <f>IF(L56&lt;0.005,0,MAX(0,L56*(1+L$6/12)-L$7))</f>
        <v/>
      </c>
      <c r="M57" s="91">
        <f>SUMPRODUCT(C56:L56,$C$6:$L$6)/12</f>
        <v/>
      </c>
      <c r="N57" s="88">
        <f>SUM(C57:L57)</f>
        <v/>
      </c>
      <c r="P57" s="92">
        <f>IF(Z56&lt;0.005,0,MAX(0,Z56*(1+Z$6/12)-Z$7))</f>
        <v/>
      </c>
      <c r="Q57" s="92">
        <f>IF(AA56&lt;0.005,0,MAX(0,AA56*(1+AA$6/12)-AA$7))</f>
        <v/>
      </c>
      <c r="R57" s="92">
        <f>IF(AB56&lt;0.005,0,MAX(0,AB56*(1+AB$6/12)-AB$7))</f>
        <v/>
      </c>
      <c r="S57" s="92">
        <f>IF(AC56&lt;0.005,0,MAX(0,AC56*(1+AC$6/12)-AC$7))</f>
        <v/>
      </c>
      <c r="T57" s="92">
        <f>IF(AD56&lt;0.005,0,MAX(0,AD56*(1+AD$6/12)-AD$7))</f>
        <v/>
      </c>
      <c r="U57" s="92">
        <f>IF(AE56&lt;0.005,0,MAX(0,AE56*(1+AE$6/12)-AE$7))</f>
        <v/>
      </c>
      <c r="V57" s="92">
        <f>IF(AF56&lt;0.005,0,MAX(0,AF56*(1+AF$6/12)-AF$7))</f>
        <v/>
      </c>
      <c r="W57" s="92">
        <f>IF(AG56&lt;0.005,0,MAX(0,AG56*(1+AG$6/12)-AG$7))</f>
        <v/>
      </c>
      <c r="X57" s="92">
        <f>IF(AH56&lt;0.005,0,MAX(0,AH56*(1+AH$6/12)-AH$7))</f>
        <v/>
      </c>
      <c r="Y57" s="92">
        <f>IF(AI56&lt;0.005,0,MAX(0,AI56*(1+AI$6/12)-AI$7))</f>
        <v/>
      </c>
      <c r="Z57" s="91">
        <f>MAX(0,P57-MAX(0,AK57-0))</f>
        <v/>
      </c>
      <c r="AA57" s="91">
        <f>MAX(0,Q57-MAX(0,AK57-SUM(P57:P57)))</f>
        <v/>
      </c>
      <c r="AB57" s="91">
        <f>MAX(0,R57-MAX(0,AK57-SUM(P57:Q57)))</f>
        <v/>
      </c>
      <c r="AC57" s="91">
        <f>MAX(0,S57-MAX(0,AK57-SUM(P57:R57)))</f>
        <v/>
      </c>
      <c r="AD57" s="91">
        <f>MAX(0,T57-MAX(0,AK57-SUM(P57:S57)))</f>
        <v/>
      </c>
      <c r="AE57" s="91">
        <f>MAX(0,U57-MAX(0,AK57-SUM(P57:T57)))</f>
        <v/>
      </c>
      <c r="AF57" s="91">
        <f>MAX(0,V57-MAX(0,AK57-SUM(P57:U57)))</f>
        <v/>
      </c>
      <c r="AG57" s="91">
        <f>MAX(0,W57-MAX(0,AK57-SUM(P57:V57)))</f>
        <v/>
      </c>
      <c r="AH57" s="91">
        <f>MAX(0,X57-MAX(0,AK57-SUM(P57:W57)))</f>
        <v/>
      </c>
      <c r="AI57" s="91">
        <f>MAX(0,Y57-MAX(0,AK57-SUM(P57:X57)))</f>
        <v/>
      </c>
      <c r="AJ57" s="92">
        <f>SUM(Z56:AI56)+AL57</f>
        <v/>
      </c>
      <c r="AK57" s="92">
        <f>$AK$7-(AJ57-SUM(P57:Y57))</f>
        <v/>
      </c>
      <c r="AL57" s="91">
        <f>SUMPRODUCT(Z56:AI56,$Z$6:$AI$6)/12</f>
        <v/>
      </c>
      <c r="AM57" s="88">
        <f>SUM(Z57:AI57)</f>
        <v/>
      </c>
      <c r="AO57" s="92">
        <f>IF(AY56&lt;0.005,0,MAX(0,AY56*(1+AY$6/12)-AY$7))</f>
        <v/>
      </c>
      <c r="AP57" s="92">
        <f>IF(AZ56&lt;0.005,0,MAX(0,AZ56*(1+AZ$6/12)-AZ$7))</f>
        <v/>
      </c>
      <c r="AQ57" s="92">
        <f>IF(BA56&lt;0.005,0,MAX(0,BA56*(1+BA$6/12)-BA$7))</f>
        <v/>
      </c>
      <c r="AR57" s="92">
        <f>IF(BB56&lt;0.005,0,MAX(0,BB56*(1+BB$6/12)-BB$7))</f>
        <v/>
      </c>
      <c r="AS57" s="92">
        <f>IF(BC56&lt;0.005,0,MAX(0,BC56*(1+BC$6/12)-BC$7))</f>
        <v/>
      </c>
      <c r="AT57" s="92">
        <f>IF(BD56&lt;0.005,0,MAX(0,BD56*(1+BD$6/12)-BD$7))</f>
        <v/>
      </c>
      <c r="AU57" s="92">
        <f>IF(BE56&lt;0.005,0,MAX(0,BE56*(1+BE$6/12)-BE$7))</f>
        <v/>
      </c>
      <c r="AV57" s="92">
        <f>IF(BF56&lt;0.005,0,MAX(0,BF56*(1+BF$6/12)-BF$7))</f>
        <v/>
      </c>
      <c r="AW57" s="92">
        <f>IF(BG56&lt;0.005,0,MAX(0,BG56*(1+BG$6/12)-BG$7))</f>
        <v/>
      </c>
      <c r="AX57" s="92">
        <f>IF(BH56&lt;0.005,0,MAX(0,BH56*(1+BH$6/12)-BH$7))</f>
        <v/>
      </c>
      <c r="AY57" s="91">
        <f>MAX(0,AO57-MAX(0,BJ57-0))</f>
        <v/>
      </c>
      <c r="AZ57" s="91">
        <f>MAX(0,AP57-MAX(0,BJ57-SUM(AO57:AO57)))</f>
        <v/>
      </c>
      <c r="BA57" s="91">
        <f>MAX(0,AQ57-MAX(0,BJ57-SUM(AO57:AP57)))</f>
        <v/>
      </c>
      <c r="BB57" s="91">
        <f>MAX(0,AR57-MAX(0,BJ57-SUM(AO57:AQ57)))</f>
        <v/>
      </c>
      <c r="BC57" s="91">
        <f>MAX(0,AS57-MAX(0,BJ57-SUM(AO57:AR57)))</f>
        <v/>
      </c>
      <c r="BD57" s="91">
        <f>MAX(0,AT57-MAX(0,BJ57-SUM(AO57:AS57)))</f>
        <v/>
      </c>
      <c r="BE57" s="91">
        <f>MAX(0,AU57-MAX(0,BJ57-SUM(AO57:AT57)))</f>
        <v/>
      </c>
      <c r="BF57" s="91">
        <f>MAX(0,AV57-MAX(0,BJ57-SUM(AO57:AU57)))</f>
        <v/>
      </c>
      <c r="BG57" s="91">
        <f>MAX(0,AW57-MAX(0,BJ57-SUM(AO57:AV57)))</f>
        <v/>
      </c>
      <c r="BH57" s="91">
        <f>MAX(0,AX57-MAX(0,BJ57-SUM(AO57:AW57)))</f>
        <v/>
      </c>
      <c r="BI57" s="92">
        <f>SUM(AY56:BH56)+BK57</f>
        <v/>
      </c>
      <c r="BJ57" s="92">
        <f>$BJ$7-(BI57-SUM(AO57:AX57))</f>
        <v/>
      </c>
      <c r="BK57" s="91">
        <f>SUMPRODUCT(AY56:BH56,$AY$6:$BH$6)/12</f>
        <v/>
      </c>
      <c r="BL57" s="88">
        <f>SUM(AY57:BH57)</f>
        <v/>
      </c>
    </row>
    <row r="58">
      <c r="A58" s="24" t="n">
        <v>48</v>
      </c>
      <c r="B58" s="90">
        <f>DATE(YEAR(Settings!$C$11),MONTH(Settings!$C$11)+A58,1)</f>
        <v/>
      </c>
      <c r="C58" s="91">
        <f>IF(C57&lt;0.005,0,MAX(0,C57*(1+C$6/12)-C$7))</f>
        <v/>
      </c>
      <c r="D58" s="91">
        <f>IF(D57&lt;0.005,0,MAX(0,D57*(1+D$6/12)-D$7))</f>
        <v/>
      </c>
      <c r="E58" s="91">
        <f>IF(E57&lt;0.005,0,MAX(0,E57*(1+E$6/12)-E$7))</f>
        <v/>
      </c>
      <c r="F58" s="91">
        <f>IF(F57&lt;0.005,0,MAX(0,F57*(1+F$6/12)-F$7))</f>
        <v/>
      </c>
      <c r="G58" s="91">
        <f>IF(G57&lt;0.005,0,MAX(0,G57*(1+G$6/12)-G$7))</f>
        <v/>
      </c>
      <c r="H58" s="91">
        <f>IF(H57&lt;0.005,0,MAX(0,H57*(1+H$6/12)-H$7))</f>
        <v/>
      </c>
      <c r="I58" s="91">
        <f>IF(I57&lt;0.005,0,MAX(0,I57*(1+I$6/12)-I$7))</f>
        <v/>
      </c>
      <c r="J58" s="91">
        <f>IF(J57&lt;0.005,0,MAX(0,J57*(1+J$6/12)-J$7))</f>
        <v/>
      </c>
      <c r="K58" s="91">
        <f>IF(K57&lt;0.005,0,MAX(0,K57*(1+K$6/12)-K$7))</f>
        <v/>
      </c>
      <c r="L58" s="91">
        <f>IF(L57&lt;0.005,0,MAX(0,L57*(1+L$6/12)-L$7))</f>
        <v/>
      </c>
      <c r="M58" s="91">
        <f>SUMPRODUCT(C57:L57,$C$6:$L$6)/12</f>
        <v/>
      </c>
      <c r="N58" s="88">
        <f>SUM(C58:L58)</f>
        <v/>
      </c>
      <c r="P58" s="92">
        <f>IF(Z57&lt;0.005,0,MAX(0,Z57*(1+Z$6/12)-Z$7))</f>
        <v/>
      </c>
      <c r="Q58" s="92">
        <f>IF(AA57&lt;0.005,0,MAX(0,AA57*(1+AA$6/12)-AA$7))</f>
        <v/>
      </c>
      <c r="R58" s="92">
        <f>IF(AB57&lt;0.005,0,MAX(0,AB57*(1+AB$6/12)-AB$7))</f>
        <v/>
      </c>
      <c r="S58" s="92">
        <f>IF(AC57&lt;0.005,0,MAX(0,AC57*(1+AC$6/12)-AC$7))</f>
        <v/>
      </c>
      <c r="T58" s="92">
        <f>IF(AD57&lt;0.005,0,MAX(0,AD57*(1+AD$6/12)-AD$7))</f>
        <v/>
      </c>
      <c r="U58" s="92">
        <f>IF(AE57&lt;0.005,0,MAX(0,AE57*(1+AE$6/12)-AE$7))</f>
        <v/>
      </c>
      <c r="V58" s="92">
        <f>IF(AF57&lt;0.005,0,MAX(0,AF57*(1+AF$6/12)-AF$7))</f>
        <v/>
      </c>
      <c r="W58" s="92">
        <f>IF(AG57&lt;0.005,0,MAX(0,AG57*(1+AG$6/12)-AG$7))</f>
        <v/>
      </c>
      <c r="X58" s="92">
        <f>IF(AH57&lt;0.005,0,MAX(0,AH57*(1+AH$6/12)-AH$7))</f>
        <v/>
      </c>
      <c r="Y58" s="92">
        <f>IF(AI57&lt;0.005,0,MAX(0,AI57*(1+AI$6/12)-AI$7))</f>
        <v/>
      </c>
      <c r="Z58" s="91">
        <f>MAX(0,P58-MAX(0,AK58-0))</f>
        <v/>
      </c>
      <c r="AA58" s="91">
        <f>MAX(0,Q58-MAX(0,AK58-SUM(P58:P58)))</f>
        <v/>
      </c>
      <c r="AB58" s="91">
        <f>MAX(0,R58-MAX(0,AK58-SUM(P58:Q58)))</f>
        <v/>
      </c>
      <c r="AC58" s="91">
        <f>MAX(0,S58-MAX(0,AK58-SUM(P58:R58)))</f>
        <v/>
      </c>
      <c r="AD58" s="91">
        <f>MAX(0,T58-MAX(0,AK58-SUM(P58:S58)))</f>
        <v/>
      </c>
      <c r="AE58" s="91">
        <f>MAX(0,U58-MAX(0,AK58-SUM(P58:T58)))</f>
        <v/>
      </c>
      <c r="AF58" s="91">
        <f>MAX(0,V58-MAX(0,AK58-SUM(P58:U58)))</f>
        <v/>
      </c>
      <c r="AG58" s="91">
        <f>MAX(0,W58-MAX(0,AK58-SUM(P58:V58)))</f>
        <v/>
      </c>
      <c r="AH58" s="91">
        <f>MAX(0,X58-MAX(0,AK58-SUM(P58:W58)))</f>
        <v/>
      </c>
      <c r="AI58" s="91">
        <f>MAX(0,Y58-MAX(0,AK58-SUM(P58:X58)))</f>
        <v/>
      </c>
      <c r="AJ58" s="92">
        <f>SUM(Z57:AI57)+AL58</f>
        <v/>
      </c>
      <c r="AK58" s="92">
        <f>$AK$7-(AJ58-SUM(P58:Y58))</f>
        <v/>
      </c>
      <c r="AL58" s="91">
        <f>SUMPRODUCT(Z57:AI57,$Z$6:$AI$6)/12</f>
        <v/>
      </c>
      <c r="AM58" s="88">
        <f>SUM(Z58:AI58)</f>
        <v/>
      </c>
      <c r="AO58" s="92">
        <f>IF(AY57&lt;0.005,0,MAX(0,AY57*(1+AY$6/12)-AY$7))</f>
        <v/>
      </c>
      <c r="AP58" s="92">
        <f>IF(AZ57&lt;0.005,0,MAX(0,AZ57*(1+AZ$6/12)-AZ$7))</f>
        <v/>
      </c>
      <c r="AQ58" s="92">
        <f>IF(BA57&lt;0.005,0,MAX(0,BA57*(1+BA$6/12)-BA$7))</f>
        <v/>
      </c>
      <c r="AR58" s="92">
        <f>IF(BB57&lt;0.005,0,MAX(0,BB57*(1+BB$6/12)-BB$7))</f>
        <v/>
      </c>
      <c r="AS58" s="92">
        <f>IF(BC57&lt;0.005,0,MAX(0,BC57*(1+BC$6/12)-BC$7))</f>
        <v/>
      </c>
      <c r="AT58" s="92">
        <f>IF(BD57&lt;0.005,0,MAX(0,BD57*(1+BD$6/12)-BD$7))</f>
        <v/>
      </c>
      <c r="AU58" s="92">
        <f>IF(BE57&lt;0.005,0,MAX(0,BE57*(1+BE$6/12)-BE$7))</f>
        <v/>
      </c>
      <c r="AV58" s="92">
        <f>IF(BF57&lt;0.005,0,MAX(0,BF57*(1+BF$6/12)-BF$7))</f>
        <v/>
      </c>
      <c r="AW58" s="92">
        <f>IF(BG57&lt;0.005,0,MAX(0,BG57*(1+BG$6/12)-BG$7))</f>
        <v/>
      </c>
      <c r="AX58" s="92">
        <f>IF(BH57&lt;0.005,0,MAX(0,BH57*(1+BH$6/12)-BH$7))</f>
        <v/>
      </c>
      <c r="AY58" s="91">
        <f>MAX(0,AO58-MAX(0,BJ58-0))</f>
        <v/>
      </c>
      <c r="AZ58" s="91">
        <f>MAX(0,AP58-MAX(0,BJ58-SUM(AO58:AO58)))</f>
        <v/>
      </c>
      <c r="BA58" s="91">
        <f>MAX(0,AQ58-MAX(0,BJ58-SUM(AO58:AP58)))</f>
        <v/>
      </c>
      <c r="BB58" s="91">
        <f>MAX(0,AR58-MAX(0,BJ58-SUM(AO58:AQ58)))</f>
        <v/>
      </c>
      <c r="BC58" s="91">
        <f>MAX(0,AS58-MAX(0,BJ58-SUM(AO58:AR58)))</f>
        <v/>
      </c>
      <c r="BD58" s="91">
        <f>MAX(0,AT58-MAX(0,BJ58-SUM(AO58:AS58)))</f>
        <v/>
      </c>
      <c r="BE58" s="91">
        <f>MAX(0,AU58-MAX(0,BJ58-SUM(AO58:AT58)))</f>
        <v/>
      </c>
      <c r="BF58" s="91">
        <f>MAX(0,AV58-MAX(0,BJ58-SUM(AO58:AU58)))</f>
        <v/>
      </c>
      <c r="BG58" s="91">
        <f>MAX(0,AW58-MAX(0,BJ58-SUM(AO58:AV58)))</f>
        <v/>
      </c>
      <c r="BH58" s="91">
        <f>MAX(0,AX58-MAX(0,BJ58-SUM(AO58:AW58)))</f>
        <v/>
      </c>
      <c r="BI58" s="92">
        <f>SUM(AY57:BH57)+BK58</f>
        <v/>
      </c>
      <c r="BJ58" s="92">
        <f>$BJ$7-(BI58-SUM(AO58:AX58))</f>
        <v/>
      </c>
      <c r="BK58" s="91">
        <f>SUMPRODUCT(AY57:BH57,$AY$6:$BH$6)/12</f>
        <v/>
      </c>
      <c r="BL58" s="88">
        <f>SUM(AY58:BH58)</f>
        <v/>
      </c>
    </row>
    <row r="59">
      <c r="A59" s="24" t="n">
        <v>49</v>
      </c>
      <c r="B59" s="90">
        <f>DATE(YEAR(Settings!$C$11),MONTH(Settings!$C$11)+A59,1)</f>
        <v/>
      </c>
      <c r="C59" s="91">
        <f>IF(C58&lt;0.005,0,MAX(0,C58*(1+C$6/12)-C$7))</f>
        <v/>
      </c>
      <c r="D59" s="91">
        <f>IF(D58&lt;0.005,0,MAX(0,D58*(1+D$6/12)-D$7))</f>
        <v/>
      </c>
      <c r="E59" s="91">
        <f>IF(E58&lt;0.005,0,MAX(0,E58*(1+E$6/12)-E$7))</f>
        <v/>
      </c>
      <c r="F59" s="91">
        <f>IF(F58&lt;0.005,0,MAX(0,F58*(1+F$6/12)-F$7))</f>
        <v/>
      </c>
      <c r="G59" s="91">
        <f>IF(G58&lt;0.005,0,MAX(0,G58*(1+G$6/12)-G$7))</f>
        <v/>
      </c>
      <c r="H59" s="91">
        <f>IF(H58&lt;0.005,0,MAX(0,H58*(1+H$6/12)-H$7))</f>
        <v/>
      </c>
      <c r="I59" s="91">
        <f>IF(I58&lt;0.005,0,MAX(0,I58*(1+I$6/12)-I$7))</f>
        <v/>
      </c>
      <c r="J59" s="91">
        <f>IF(J58&lt;0.005,0,MAX(0,J58*(1+J$6/12)-J$7))</f>
        <v/>
      </c>
      <c r="K59" s="91">
        <f>IF(K58&lt;0.005,0,MAX(0,K58*(1+K$6/12)-K$7))</f>
        <v/>
      </c>
      <c r="L59" s="91">
        <f>IF(L58&lt;0.005,0,MAX(0,L58*(1+L$6/12)-L$7))</f>
        <v/>
      </c>
      <c r="M59" s="91">
        <f>SUMPRODUCT(C58:L58,$C$6:$L$6)/12</f>
        <v/>
      </c>
      <c r="N59" s="88">
        <f>SUM(C59:L59)</f>
        <v/>
      </c>
      <c r="P59" s="92">
        <f>IF(Z58&lt;0.005,0,MAX(0,Z58*(1+Z$6/12)-Z$7))</f>
        <v/>
      </c>
      <c r="Q59" s="92">
        <f>IF(AA58&lt;0.005,0,MAX(0,AA58*(1+AA$6/12)-AA$7))</f>
        <v/>
      </c>
      <c r="R59" s="92">
        <f>IF(AB58&lt;0.005,0,MAX(0,AB58*(1+AB$6/12)-AB$7))</f>
        <v/>
      </c>
      <c r="S59" s="92">
        <f>IF(AC58&lt;0.005,0,MAX(0,AC58*(1+AC$6/12)-AC$7))</f>
        <v/>
      </c>
      <c r="T59" s="92">
        <f>IF(AD58&lt;0.005,0,MAX(0,AD58*(1+AD$6/12)-AD$7))</f>
        <v/>
      </c>
      <c r="U59" s="92">
        <f>IF(AE58&lt;0.005,0,MAX(0,AE58*(1+AE$6/12)-AE$7))</f>
        <v/>
      </c>
      <c r="V59" s="92">
        <f>IF(AF58&lt;0.005,0,MAX(0,AF58*(1+AF$6/12)-AF$7))</f>
        <v/>
      </c>
      <c r="W59" s="92">
        <f>IF(AG58&lt;0.005,0,MAX(0,AG58*(1+AG$6/12)-AG$7))</f>
        <v/>
      </c>
      <c r="X59" s="92">
        <f>IF(AH58&lt;0.005,0,MAX(0,AH58*(1+AH$6/12)-AH$7))</f>
        <v/>
      </c>
      <c r="Y59" s="92">
        <f>IF(AI58&lt;0.005,0,MAX(0,AI58*(1+AI$6/12)-AI$7))</f>
        <v/>
      </c>
      <c r="Z59" s="91">
        <f>MAX(0,P59-MAX(0,AK59-0))</f>
        <v/>
      </c>
      <c r="AA59" s="91">
        <f>MAX(0,Q59-MAX(0,AK59-SUM(P59:P59)))</f>
        <v/>
      </c>
      <c r="AB59" s="91">
        <f>MAX(0,R59-MAX(0,AK59-SUM(P59:Q59)))</f>
        <v/>
      </c>
      <c r="AC59" s="91">
        <f>MAX(0,S59-MAX(0,AK59-SUM(P59:R59)))</f>
        <v/>
      </c>
      <c r="AD59" s="91">
        <f>MAX(0,T59-MAX(0,AK59-SUM(P59:S59)))</f>
        <v/>
      </c>
      <c r="AE59" s="91">
        <f>MAX(0,U59-MAX(0,AK59-SUM(P59:T59)))</f>
        <v/>
      </c>
      <c r="AF59" s="91">
        <f>MAX(0,V59-MAX(0,AK59-SUM(P59:U59)))</f>
        <v/>
      </c>
      <c r="AG59" s="91">
        <f>MAX(0,W59-MAX(0,AK59-SUM(P59:V59)))</f>
        <v/>
      </c>
      <c r="AH59" s="91">
        <f>MAX(0,X59-MAX(0,AK59-SUM(P59:W59)))</f>
        <v/>
      </c>
      <c r="AI59" s="91">
        <f>MAX(0,Y59-MAX(0,AK59-SUM(P59:X59)))</f>
        <v/>
      </c>
      <c r="AJ59" s="92">
        <f>SUM(Z58:AI58)+AL59</f>
        <v/>
      </c>
      <c r="AK59" s="92">
        <f>$AK$7-(AJ59-SUM(P59:Y59))</f>
        <v/>
      </c>
      <c r="AL59" s="91">
        <f>SUMPRODUCT(Z58:AI58,$Z$6:$AI$6)/12</f>
        <v/>
      </c>
      <c r="AM59" s="88">
        <f>SUM(Z59:AI59)</f>
        <v/>
      </c>
      <c r="AO59" s="92">
        <f>IF(AY58&lt;0.005,0,MAX(0,AY58*(1+AY$6/12)-AY$7))</f>
        <v/>
      </c>
      <c r="AP59" s="92">
        <f>IF(AZ58&lt;0.005,0,MAX(0,AZ58*(1+AZ$6/12)-AZ$7))</f>
        <v/>
      </c>
      <c r="AQ59" s="92">
        <f>IF(BA58&lt;0.005,0,MAX(0,BA58*(1+BA$6/12)-BA$7))</f>
        <v/>
      </c>
      <c r="AR59" s="92">
        <f>IF(BB58&lt;0.005,0,MAX(0,BB58*(1+BB$6/12)-BB$7))</f>
        <v/>
      </c>
      <c r="AS59" s="92">
        <f>IF(BC58&lt;0.005,0,MAX(0,BC58*(1+BC$6/12)-BC$7))</f>
        <v/>
      </c>
      <c r="AT59" s="92">
        <f>IF(BD58&lt;0.005,0,MAX(0,BD58*(1+BD$6/12)-BD$7))</f>
        <v/>
      </c>
      <c r="AU59" s="92">
        <f>IF(BE58&lt;0.005,0,MAX(0,BE58*(1+BE$6/12)-BE$7))</f>
        <v/>
      </c>
      <c r="AV59" s="92">
        <f>IF(BF58&lt;0.005,0,MAX(0,BF58*(1+BF$6/12)-BF$7))</f>
        <v/>
      </c>
      <c r="AW59" s="92">
        <f>IF(BG58&lt;0.005,0,MAX(0,BG58*(1+BG$6/12)-BG$7))</f>
        <v/>
      </c>
      <c r="AX59" s="92">
        <f>IF(BH58&lt;0.005,0,MAX(0,BH58*(1+BH$6/12)-BH$7))</f>
        <v/>
      </c>
      <c r="AY59" s="91">
        <f>MAX(0,AO59-MAX(0,BJ59-0))</f>
        <v/>
      </c>
      <c r="AZ59" s="91">
        <f>MAX(0,AP59-MAX(0,BJ59-SUM(AO59:AO59)))</f>
        <v/>
      </c>
      <c r="BA59" s="91">
        <f>MAX(0,AQ59-MAX(0,BJ59-SUM(AO59:AP59)))</f>
        <v/>
      </c>
      <c r="BB59" s="91">
        <f>MAX(0,AR59-MAX(0,BJ59-SUM(AO59:AQ59)))</f>
        <v/>
      </c>
      <c r="BC59" s="91">
        <f>MAX(0,AS59-MAX(0,BJ59-SUM(AO59:AR59)))</f>
        <v/>
      </c>
      <c r="BD59" s="91">
        <f>MAX(0,AT59-MAX(0,BJ59-SUM(AO59:AS59)))</f>
        <v/>
      </c>
      <c r="BE59" s="91">
        <f>MAX(0,AU59-MAX(0,BJ59-SUM(AO59:AT59)))</f>
        <v/>
      </c>
      <c r="BF59" s="91">
        <f>MAX(0,AV59-MAX(0,BJ59-SUM(AO59:AU59)))</f>
        <v/>
      </c>
      <c r="BG59" s="91">
        <f>MAX(0,AW59-MAX(0,BJ59-SUM(AO59:AV59)))</f>
        <v/>
      </c>
      <c r="BH59" s="91">
        <f>MAX(0,AX59-MAX(0,BJ59-SUM(AO59:AW59)))</f>
        <v/>
      </c>
      <c r="BI59" s="92">
        <f>SUM(AY58:BH58)+BK59</f>
        <v/>
      </c>
      <c r="BJ59" s="92">
        <f>$BJ$7-(BI59-SUM(AO59:AX59))</f>
        <v/>
      </c>
      <c r="BK59" s="91">
        <f>SUMPRODUCT(AY58:BH58,$AY$6:$BH$6)/12</f>
        <v/>
      </c>
      <c r="BL59" s="88">
        <f>SUM(AY59:BH59)</f>
        <v/>
      </c>
    </row>
    <row r="60">
      <c r="A60" s="24" t="n">
        <v>50</v>
      </c>
      <c r="B60" s="90">
        <f>DATE(YEAR(Settings!$C$11),MONTH(Settings!$C$11)+A60,1)</f>
        <v/>
      </c>
      <c r="C60" s="91">
        <f>IF(C59&lt;0.005,0,MAX(0,C59*(1+C$6/12)-C$7))</f>
        <v/>
      </c>
      <c r="D60" s="91">
        <f>IF(D59&lt;0.005,0,MAX(0,D59*(1+D$6/12)-D$7))</f>
        <v/>
      </c>
      <c r="E60" s="91">
        <f>IF(E59&lt;0.005,0,MAX(0,E59*(1+E$6/12)-E$7))</f>
        <v/>
      </c>
      <c r="F60" s="91">
        <f>IF(F59&lt;0.005,0,MAX(0,F59*(1+F$6/12)-F$7))</f>
        <v/>
      </c>
      <c r="G60" s="91">
        <f>IF(G59&lt;0.005,0,MAX(0,G59*(1+G$6/12)-G$7))</f>
        <v/>
      </c>
      <c r="H60" s="91">
        <f>IF(H59&lt;0.005,0,MAX(0,H59*(1+H$6/12)-H$7))</f>
        <v/>
      </c>
      <c r="I60" s="91">
        <f>IF(I59&lt;0.005,0,MAX(0,I59*(1+I$6/12)-I$7))</f>
        <v/>
      </c>
      <c r="J60" s="91">
        <f>IF(J59&lt;0.005,0,MAX(0,J59*(1+J$6/12)-J$7))</f>
        <v/>
      </c>
      <c r="K60" s="91">
        <f>IF(K59&lt;0.005,0,MAX(0,K59*(1+K$6/12)-K$7))</f>
        <v/>
      </c>
      <c r="L60" s="91">
        <f>IF(L59&lt;0.005,0,MAX(0,L59*(1+L$6/12)-L$7))</f>
        <v/>
      </c>
      <c r="M60" s="91">
        <f>SUMPRODUCT(C59:L59,$C$6:$L$6)/12</f>
        <v/>
      </c>
      <c r="N60" s="88">
        <f>SUM(C60:L60)</f>
        <v/>
      </c>
      <c r="P60" s="92">
        <f>IF(Z59&lt;0.005,0,MAX(0,Z59*(1+Z$6/12)-Z$7))</f>
        <v/>
      </c>
      <c r="Q60" s="92">
        <f>IF(AA59&lt;0.005,0,MAX(0,AA59*(1+AA$6/12)-AA$7))</f>
        <v/>
      </c>
      <c r="R60" s="92">
        <f>IF(AB59&lt;0.005,0,MAX(0,AB59*(1+AB$6/12)-AB$7))</f>
        <v/>
      </c>
      <c r="S60" s="92">
        <f>IF(AC59&lt;0.005,0,MAX(0,AC59*(1+AC$6/12)-AC$7))</f>
        <v/>
      </c>
      <c r="T60" s="92">
        <f>IF(AD59&lt;0.005,0,MAX(0,AD59*(1+AD$6/12)-AD$7))</f>
        <v/>
      </c>
      <c r="U60" s="92">
        <f>IF(AE59&lt;0.005,0,MAX(0,AE59*(1+AE$6/12)-AE$7))</f>
        <v/>
      </c>
      <c r="V60" s="92">
        <f>IF(AF59&lt;0.005,0,MAX(0,AF59*(1+AF$6/12)-AF$7))</f>
        <v/>
      </c>
      <c r="W60" s="92">
        <f>IF(AG59&lt;0.005,0,MAX(0,AG59*(1+AG$6/12)-AG$7))</f>
        <v/>
      </c>
      <c r="X60" s="92">
        <f>IF(AH59&lt;0.005,0,MAX(0,AH59*(1+AH$6/12)-AH$7))</f>
        <v/>
      </c>
      <c r="Y60" s="92">
        <f>IF(AI59&lt;0.005,0,MAX(0,AI59*(1+AI$6/12)-AI$7))</f>
        <v/>
      </c>
      <c r="Z60" s="91">
        <f>MAX(0,P60-MAX(0,AK60-0))</f>
        <v/>
      </c>
      <c r="AA60" s="91">
        <f>MAX(0,Q60-MAX(0,AK60-SUM(P60:P60)))</f>
        <v/>
      </c>
      <c r="AB60" s="91">
        <f>MAX(0,R60-MAX(0,AK60-SUM(P60:Q60)))</f>
        <v/>
      </c>
      <c r="AC60" s="91">
        <f>MAX(0,S60-MAX(0,AK60-SUM(P60:R60)))</f>
        <v/>
      </c>
      <c r="AD60" s="91">
        <f>MAX(0,T60-MAX(0,AK60-SUM(P60:S60)))</f>
        <v/>
      </c>
      <c r="AE60" s="91">
        <f>MAX(0,U60-MAX(0,AK60-SUM(P60:T60)))</f>
        <v/>
      </c>
      <c r="AF60" s="91">
        <f>MAX(0,V60-MAX(0,AK60-SUM(P60:U60)))</f>
        <v/>
      </c>
      <c r="AG60" s="91">
        <f>MAX(0,W60-MAX(0,AK60-SUM(P60:V60)))</f>
        <v/>
      </c>
      <c r="AH60" s="91">
        <f>MAX(0,X60-MAX(0,AK60-SUM(P60:W60)))</f>
        <v/>
      </c>
      <c r="AI60" s="91">
        <f>MAX(0,Y60-MAX(0,AK60-SUM(P60:X60)))</f>
        <v/>
      </c>
      <c r="AJ60" s="92">
        <f>SUM(Z59:AI59)+AL60</f>
        <v/>
      </c>
      <c r="AK60" s="92">
        <f>$AK$7-(AJ60-SUM(P60:Y60))</f>
        <v/>
      </c>
      <c r="AL60" s="91">
        <f>SUMPRODUCT(Z59:AI59,$Z$6:$AI$6)/12</f>
        <v/>
      </c>
      <c r="AM60" s="88">
        <f>SUM(Z60:AI60)</f>
        <v/>
      </c>
      <c r="AO60" s="92">
        <f>IF(AY59&lt;0.005,0,MAX(0,AY59*(1+AY$6/12)-AY$7))</f>
        <v/>
      </c>
      <c r="AP60" s="92">
        <f>IF(AZ59&lt;0.005,0,MAX(0,AZ59*(1+AZ$6/12)-AZ$7))</f>
        <v/>
      </c>
      <c r="AQ60" s="92">
        <f>IF(BA59&lt;0.005,0,MAX(0,BA59*(1+BA$6/12)-BA$7))</f>
        <v/>
      </c>
      <c r="AR60" s="92">
        <f>IF(BB59&lt;0.005,0,MAX(0,BB59*(1+BB$6/12)-BB$7))</f>
        <v/>
      </c>
      <c r="AS60" s="92">
        <f>IF(BC59&lt;0.005,0,MAX(0,BC59*(1+BC$6/12)-BC$7))</f>
        <v/>
      </c>
      <c r="AT60" s="92">
        <f>IF(BD59&lt;0.005,0,MAX(0,BD59*(1+BD$6/12)-BD$7))</f>
        <v/>
      </c>
      <c r="AU60" s="92">
        <f>IF(BE59&lt;0.005,0,MAX(0,BE59*(1+BE$6/12)-BE$7))</f>
        <v/>
      </c>
      <c r="AV60" s="92">
        <f>IF(BF59&lt;0.005,0,MAX(0,BF59*(1+BF$6/12)-BF$7))</f>
        <v/>
      </c>
      <c r="AW60" s="92">
        <f>IF(BG59&lt;0.005,0,MAX(0,BG59*(1+BG$6/12)-BG$7))</f>
        <v/>
      </c>
      <c r="AX60" s="92">
        <f>IF(BH59&lt;0.005,0,MAX(0,BH59*(1+BH$6/12)-BH$7))</f>
        <v/>
      </c>
      <c r="AY60" s="91">
        <f>MAX(0,AO60-MAX(0,BJ60-0))</f>
        <v/>
      </c>
      <c r="AZ60" s="91">
        <f>MAX(0,AP60-MAX(0,BJ60-SUM(AO60:AO60)))</f>
        <v/>
      </c>
      <c r="BA60" s="91">
        <f>MAX(0,AQ60-MAX(0,BJ60-SUM(AO60:AP60)))</f>
        <v/>
      </c>
      <c r="BB60" s="91">
        <f>MAX(0,AR60-MAX(0,BJ60-SUM(AO60:AQ60)))</f>
        <v/>
      </c>
      <c r="BC60" s="91">
        <f>MAX(0,AS60-MAX(0,BJ60-SUM(AO60:AR60)))</f>
        <v/>
      </c>
      <c r="BD60" s="91">
        <f>MAX(0,AT60-MAX(0,BJ60-SUM(AO60:AS60)))</f>
        <v/>
      </c>
      <c r="BE60" s="91">
        <f>MAX(0,AU60-MAX(0,BJ60-SUM(AO60:AT60)))</f>
        <v/>
      </c>
      <c r="BF60" s="91">
        <f>MAX(0,AV60-MAX(0,BJ60-SUM(AO60:AU60)))</f>
        <v/>
      </c>
      <c r="BG60" s="91">
        <f>MAX(0,AW60-MAX(0,BJ60-SUM(AO60:AV60)))</f>
        <v/>
      </c>
      <c r="BH60" s="91">
        <f>MAX(0,AX60-MAX(0,BJ60-SUM(AO60:AW60)))</f>
        <v/>
      </c>
      <c r="BI60" s="92">
        <f>SUM(AY59:BH59)+BK60</f>
        <v/>
      </c>
      <c r="BJ60" s="92">
        <f>$BJ$7-(BI60-SUM(AO60:AX60))</f>
        <v/>
      </c>
      <c r="BK60" s="91">
        <f>SUMPRODUCT(AY59:BH59,$AY$6:$BH$6)/12</f>
        <v/>
      </c>
      <c r="BL60" s="88">
        <f>SUM(AY60:BH60)</f>
        <v/>
      </c>
    </row>
    <row r="61">
      <c r="A61" s="24" t="n">
        <v>51</v>
      </c>
      <c r="B61" s="90">
        <f>DATE(YEAR(Settings!$C$11),MONTH(Settings!$C$11)+A61,1)</f>
        <v/>
      </c>
      <c r="C61" s="91">
        <f>IF(C60&lt;0.005,0,MAX(0,C60*(1+C$6/12)-C$7))</f>
        <v/>
      </c>
      <c r="D61" s="91">
        <f>IF(D60&lt;0.005,0,MAX(0,D60*(1+D$6/12)-D$7))</f>
        <v/>
      </c>
      <c r="E61" s="91">
        <f>IF(E60&lt;0.005,0,MAX(0,E60*(1+E$6/12)-E$7))</f>
        <v/>
      </c>
      <c r="F61" s="91">
        <f>IF(F60&lt;0.005,0,MAX(0,F60*(1+F$6/12)-F$7))</f>
        <v/>
      </c>
      <c r="G61" s="91">
        <f>IF(G60&lt;0.005,0,MAX(0,G60*(1+G$6/12)-G$7))</f>
        <v/>
      </c>
      <c r="H61" s="91">
        <f>IF(H60&lt;0.005,0,MAX(0,H60*(1+H$6/12)-H$7))</f>
        <v/>
      </c>
      <c r="I61" s="91">
        <f>IF(I60&lt;0.005,0,MAX(0,I60*(1+I$6/12)-I$7))</f>
        <v/>
      </c>
      <c r="J61" s="91">
        <f>IF(J60&lt;0.005,0,MAX(0,J60*(1+J$6/12)-J$7))</f>
        <v/>
      </c>
      <c r="K61" s="91">
        <f>IF(K60&lt;0.005,0,MAX(0,K60*(1+K$6/12)-K$7))</f>
        <v/>
      </c>
      <c r="L61" s="91">
        <f>IF(L60&lt;0.005,0,MAX(0,L60*(1+L$6/12)-L$7))</f>
        <v/>
      </c>
      <c r="M61" s="91">
        <f>SUMPRODUCT(C60:L60,$C$6:$L$6)/12</f>
        <v/>
      </c>
      <c r="N61" s="88">
        <f>SUM(C61:L61)</f>
        <v/>
      </c>
      <c r="P61" s="92">
        <f>IF(Z60&lt;0.005,0,MAX(0,Z60*(1+Z$6/12)-Z$7))</f>
        <v/>
      </c>
      <c r="Q61" s="92">
        <f>IF(AA60&lt;0.005,0,MAX(0,AA60*(1+AA$6/12)-AA$7))</f>
        <v/>
      </c>
      <c r="R61" s="92">
        <f>IF(AB60&lt;0.005,0,MAX(0,AB60*(1+AB$6/12)-AB$7))</f>
        <v/>
      </c>
      <c r="S61" s="92">
        <f>IF(AC60&lt;0.005,0,MAX(0,AC60*(1+AC$6/12)-AC$7))</f>
        <v/>
      </c>
      <c r="T61" s="92">
        <f>IF(AD60&lt;0.005,0,MAX(0,AD60*(1+AD$6/12)-AD$7))</f>
        <v/>
      </c>
      <c r="U61" s="92">
        <f>IF(AE60&lt;0.005,0,MAX(0,AE60*(1+AE$6/12)-AE$7))</f>
        <v/>
      </c>
      <c r="V61" s="92">
        <f>IF(AF60&lt;0.005,0,MAX(0,AF60*(1+AF$6/12)-AF$7))</f>
        <v/>
      </c>
      <c r="W61" s="92">
        <f>IF(AG60&lt;0.005,0,MAX(0,AG60*(1+AG$6/12)-AG$7))</f>
        <v/>
      </c>
      <c r="X61" s="92">
        <f>IF(AH60&lt;0.005,0,MAX(0,AH60*(1+AH$6/12)-AH$7))</f>
        <v/>
      </c>
      <c r="Y61" s="92">
        <f>IF(AI60&lt;0.005,0,MAX(0,AI60*(1+AI$6/12)-AI$7))</f>
        <v/>
      </c>
      <c r="Z61" s="91">
        <f>MAX(0,P61-MAX(0,AK61-0))</f>
        <v/>
      </c>
      <c r="AA61" s="91">
        <f>MAX(0,Q61-MAX(0,AK61-SUM(P61:P61)))</f>
        <v/>
      </c>
      <c r="AB61" s="91">
        <f>MAX(0,R61-MAX(0,AK61-SUM(P61:Q61)))</f>
        <v/>
      </c>
      <c r="AC61" s="91">
        <f>MAX(0,S61-MAX(0,AK61-SUM(P61:R61)))</f>
        <v/>
      </c>
      <c r="AD61" s="91">
        <f>MAX(0,T61-MAX(0,AK61-SUM(P61:S61)))</f>
        <v/>
      </c>
      <c r="AE61" s="91">
        <f>MAX(0,U61-MAX(0,AK61-SUM(P61:T61)))</f>
        <v/>
      </c>
      <c r="AF61" s="91">
        <f>MAX(0,V61-MAX(0,AK61-SUM(P61:U61)))</f>
        <v/>
      </c>
      <c r="AG61" s="91">
        <f>MAX(0,W61-MAX(0,AK61-SUM(P61:V61)))</f>
        <v/>
      </c>
      <c r="AH61" s="91">
        <f>MAX(0,X61-MAX(0,AK61-SUM(P61:W61)))</f>
        <v/>
      </c>
      <c r="AI61" s="91">
        <f>MAX(0,Y61-MAX(0,AK61-SUM(P61:X61)))</f>
        <v/>
      </c>
      <c r="AJ61" s="92">
        <f>SUM(Z60:AI60)+AL61</f>
        <v/>
      </c>
      <c r="AK61" s="92">
        <f>$AK$7-(AJ61-SUM(P61:Y61))</f>
        <v/>
      </c>
      <c r="AL61" s="91">
        <f>SUMPRODUCT(Z60:AI60,$Z$6:$AI$6)/12</f>
        <v/>
      </c>
      <c r="AM61" s="88">
        <f>SUM(Z61:AI61)</f>
        <v/>
      </c>
      <c r="AO61" s="92">
        <f>IF(AY60&lt;0.005,0,MAX(0,AY60*(1+AY$6/12)-AY$7))</f>
        <v/>
      </c>
      <c r="AP61" s="92">
        <f>IF(AZ60&lt;0.005,0,MAX(0,AZ60*(1+AZ$6/12)-AZ$7))</f>
        <v/>
      </c>
      <c r="AQ61" s="92">
        <f>IF(BA60&lt;0.005,0,MAX(0,BA60*(1+BA$6/12)-BA$7))</f>
        <v/>
      </c>
      <c r="AR61" s="92">
        <f>IF(BB60&lt;0.005,0,MAX(0,BB60*(1+BB$6/12)-BB$7))</f>
        <v/>
      </c>
      <c r="AS61" s="92">
        <f>IF(BC60&lt;0.005,0,MAX(0,BC60*(1+BC$6/12)-BC$7))</f>
        <v/>
      </c>
      <c r="AT61" s="92">
        <f>IF(BD60&lt;0.005,0,MAX(0,BD60*(1+BD$6/12)-BD$7))</f>
        <v/>
      </c>
      <c r="AU61" s="92">
        <f>IF(BE60&lt;0.005,0,MAX(0,BE60*(1+BE$6/12)-BE$7))</f>
        <v/>
      </c>
      <c r="AV61" s="92">
        <f>IF(BF60&lt;0.005,0,MAX(0,BF60*(1+BF$6/12)-BF$7))</f>
        <v/>
      </c>
      <c r="AW61" s="92">
        <f>IF(BG60&lt;0.005,0,MAX(0,BG60*(1+BG$6/12)-BG$7))</f>
        <v/>
      </c>
      <c r="AX61" s="92">
        <f>IF(BH60&lt;0.005,0,MAX(0,BH60*(1+BH$6/12)-BH$7))</f>
        <v/>
      </c>
      <c r="AY61" s="91">
        <f>MAX(0,AO61-MAX(0,BJ61-0))</f>
        <v/>
      </c>
      <c r="AZ61" s="91">
        <f>MAX(0,AP61-MAX(0,BJ61-SUM(AO61:AO61)))</f>
        <v/>
      </c>
      <c r="BA61" s="91">
        <f>MAX(0,AQ61-MAX(0,BJ61-SUM(AO61:AP61)))</f>
        <v/>
      </c>
      <c r="BB61" s="91">
        <f>MAX(0,AR61-MAX(0,BJ61-SUM(AO61:AQ61)))</f>
        <v/>
      </c>
      <c r="BC61" s="91">
        <f>MAX(0,AS61-MAX(0,BJ61-SUM(AO61:AR61)))</f>
        <v/>
      </c>
      <c r="BD61" s="91">
        <f>MAX(0,AT61-MAX(0,BJ61-SUM(AO61:AS61)))</f>
        <v/>
      </c>
      <c r="BE61" s="91">
        <f>MAX(0,AU61-MAX(0,BJ61-SUM(AO61:AT61)))</f>
        <v/>
      </c>
      <c r="BF61" s="91">
        <f>MAX(0,AV61-MAX(0,BJ61-SUM(AO61:AU61)))</f>
        <v/>
      </c>
      <c r="BG61" s="91">
        <f>MAX(0,AW61-MAX(0,BJ61-SUM(AO61:AV61)))</f>
        <v/>
      </c>
      <c r="BH61" s="91">
        <f>MAX(0,AX61-MAX(0,BJ61-SUM(AO61:AW61)))</f>
        <v/>
      </c>
      <c r="BI61" s="92">
        <f>SUM(AY60:BH60)+BK61</f>
        <v/>
      </c>
      <c r="BJ61" s="92">
        <f>$BJ$7-(BI61-SUM(AO61:AX61))</f>
        <v/>
      </c>
      <c r="BK61" s="91">
        <f>SUMPRODUCT(AY60:BH60,$AY$6:$BH$6)/12</f>
        <v/>
      </c>
      <c r="BL61" s="88">
        <f>SUM(AY61:BH61)</f>
        <v/>
      </c>
    </row>
    <row r="62">
      <c r="A62" s="24" t="n">
        <v>52</v>
      </c>
      <c r="B62" s="90">
        <f>DATE(YEAR(Settings!$C$11),MONTH(Settings!$C$11)+A62,1)</f>
        <v/>
      </c>
      <c r="C62" s="91">
        <f>IF(C61&lt;0.005,0,MAX(0,C61*(1+C$6/12)-C$7))</f>
        <v/>
      </c>
      <c r="D62" s="91">
        <f>IF(D61&lt;0.005,0,MAX(0,D61*(1+D$6/12)-D$7))</f>
        <v/>
      </c>
      <c r="E62" s="91">
        <f>IF(E61&lt;0.005,0,MAX(0,E61*(1+E$6/12)-E$7))</f>
        <v/>
      </c>
      <c r="F62" s="91">
        <f>IF(F61&lt;0.005,0,MAX(0,F61*(1+F$6/12)-F$7))</f>
        <v/>
      </c>
      <c r="G62" s="91">
        <f>IF(G61&lt;0.005,0,MAX(0,G61*(1+G$6/12)-G$7))</f>
        <v/>
      </c>
      <c r="H62" s="91">
        <f>IF(H61&lt;0.005,0,MAX(0,H61*(1+H$6/12)-H$7))</f>
        <v/>
      </c>
      <c r="I62" s="91">
        <f>IF(I61&lt;0.005,0,MAX(0,I61*(1+I$6/12)-I$7))</f>
        <v/>
      </c>
      <c r="J62" s="91">
        <f>IF(J61&lt;0.005,0,MAX(0,J61*(1+J$6/12)-J$7))</f>
        <v/>
      </c>
      <c r="K62" s="91">
        <f>IF(K61&lt;0.005,0,MAX(0,K61*(1+K$6/12)-K$7))</f>
        <v/>
      </c>
      <c r="L62" s="91">
        <f>IF(L61&lt;0.005,0,MAX(0,L61*(1+L$6/12)-L$7))</f>
        <v/>
      </c>
      <c r="M62" s="91">
        <f>SUMPRODUCT(C61:L61,$C$6:$L$6)/12</f>
        <v/>
      </c>
      <c r="N62" s="88">
        <f>SUM(C62:L62)</f>
        <v/>
      </c>
      <c r="P62" s="92">
        <f>IF(Z61&lt;0.005,0,MAX(0,Z61*(1+Z$6/12)-Z$7))</f>
        <v/>
      </c>
      <c r="Q62" s="92">
        <f>IF(AA61&lt;0.005,0,MAX(0,AA61*(1+AA$6/12)-AA$7))</f>
        <v/>
      </c>
      <c r="R62" s="92">
        <f>IF(AB61&lt;0.005,0,MAX(0,AB61*(1+AB$6/12)-AB$7))</f>
        <v/>
      </c>
      <c r="S62" s="92">
        <f>IF(AC61&lt;0.005,0,MAX(0,AC61*(1+AC$6/12)-AC$7))</f>
        <v/>
      </c>
      <c r="T62" s="92">
        <f>IF(AD61&lt;0.005,0,MAX(0,AD61*(1+AD$6/12)-AD$7))</f>
        <v/>
      </c>
      <c r="U62" s="92">
        <f>IF(AE61&lt;0.005,0,MAX(0,AE61*(1+AE$6/12)-AE$7))</f>
        <v/>
      </c>
      <c r="V62" s="92">
        <f>IF(AF61&lt;0.005,0,MAX(0,AF61*(1+AF$6/12)-AF$7))</f>
        <v/>
      </c>
      <c r="W62" s="92">
        <f>IF(AG61&lt;0.005,0,MAX(0,AG61*(1+AG$6/12)-AG$7))</f>
        <v/>
      </c>
      <c r="X62" s="92">
        <f>IF(AH61&lt;0.005,0,MAX(0,AH61*(1+AH$6/12)-AH$7))</f>
        <v/>
      </c>
      <c r="Y62" s="92">
        <f>IF(AI61&lt;0.005,0,MAX(0,AI61*(1+AI$6/12)-AI$7))</f>
        <v/>
      </c>
      <c r="Z62" s="91">
        <f>MAX(0,P62-MAX(0,AK62-0))</f>
        <v/>
      </c>
      <c r="AA62" s="91">
        <f>MAX(0,Q62-MAX(0,AK62-SUM(P62:P62)))</f>
        <v/>
      </c>
      <c r="AB62" s="91">
        <f>MAX(0,R62-MAX(0,AK62-SUM(P62:Q62)))</f>
        <v/>
      </c>
      <c r="AC62" s="91">
        <f>MAX(0,S62-MAX(0,AK62-SUM(P62:R62)))</f>
        <v/>
      </c>
      <c r="AD62" s="91">
        <f>MAX(0,T62-MAX(0,AK62-SUM(P62:S62)))</f>
        <v/>
      </c>
      <c r="AE62" s="91">
        <f>MAX(0,U62-MAX(0,AK62-SUM(P62:T62)))</f>
        <v/>
      </c>
      <c r="AF62" s="91">
        <f>MAX(0,V62-MAX(0,AK62-SUM(P62:U62)))</f>
        <v/>
      </c>
      <c r="AG62" s="91">
        <f>MAX(0,W62-MAX(0,AK62-SUM(P62:V62)))</f>
        <v/>
      </c>
      <c r="AH62" s="91">
        <f>MAX(0,X62-MAX(0,AK62-SUM(P62:W62)))</f>
        <v/>
      </c>
      <c r="AI62" s="91">
        <f>MAX(0,Y62-MAX(0,AK62-SUM(P62:X62)))</f>
        <v/>
      </c>
      <c r="AJ62" s="92">
        <f>SUM(Z61:AI61)+AL62</f>
        <v/>
      </c>
      <c r="AK62" s="92">
        <f>$AK$7-(AJ62-SUM(P62:Y62))</f>
        <v/>
      </c>
      <c r="AL62" s="91">
        <f>SUMPRODUCT(Z61:AI61,$Z$6:$AI$6)/12</f>
        <v/>
      </c>
      <c r="AM62" s="88">
        <f>SUM(Z62:AI62)</f>
        <v/>
      </c>
      <c r="AO62" s="92">
        <f>IF(AY61&lt;0.005,0,MAX(0,AY61*(1+AY$6/12)-AY$7))</f>
        <v/>
      </c>
      <c r="AP62" s="92">
        <f>IF(AZ61&lt;0.005,0,MAX(0,AZ61*(1+AZ$6/12)-AZ$7))</f>
        <v/>
      </c>
      <c r="AQ62" s="92">
        <f>IF(BA61&lt;0.005,0,MAX(0,BA61*(1+BA$6/12)-BA$7))</f>
        <v/>
      </c>
      <c r="AR62" s="92">
        <f>IF(BB61&lt;0.005,0,MAX(0,BB61*(1+BB$6/12)-BB$7))</f>
        <v/>
      </c>
      <c r="AS62" s="92">
        <f>IF(BC61&lt;0.005,0,MAX(0,BC61*(1+BC$6/12)-BC$7))</f>
        <v/>
      </c>
      <c r="AT62" s="92">
        <f>IF(BD61&lt;0.005,0,MAX(0,BD61*(1+BD$6/12)-BD$7))</f>
        <v/>
      </c>
      <c r="AU62" s="92">
        <f>IF(BE61&lt;0.005,0,MAX(0,BE61*(1+BE$6/12)-BE$7))</f>
        <v/>
      </c>
      <c r="AV62" s="92">
        <f>IF(BF61&lt;0.005,0,MAX(0,BF61*(1+BF$6/12)-BF$7))</f>
        <v/>
      </c>
      <c r="AW62" s="92">
        <f>IF(BG61&lt;0.005,0,MAX(0,BG61*(1+BG$6/12)-BG$7))</f>
        <v/>
      </c>
      <c r="AX62" s="92">
        <f>IF(BH61&lt;0.005,0,MAX(0,BH61*(1+BH$6/12)-BH$7))</f>
        <v/>
      </c>
      <c r="AY62" s="91">
        <f>MAX(0,AO62-MAX(0,BJ62-0))</f>
        <v/>
      </c>
      <c r="AZ62" s="91">
        <f>MAX(0,AP62-MAX(0,BJ62-SUM(AO62:AO62)))</f>
        <v/>
      </c>
      <c r="BA62" s="91">
        <f>MAX(0,AQ62-MAX(0,BJ62-SUM(AO62:AP62)))</f>
        <v/>
      </c>
      <c r="BB62" s="91">
        <f>MAX(0,AR62-MAX(0,BJ62-SUM(AO62:AQ62)))</f>
        <v/>
      </c>
      <c r="BC62" s="91">
        <f>MAX(0,AS62-MAX(0,BJ62-SUM(AO62:AR62)))</f>
        <v/>
      </c>
      <c r="BD62" s="91">
        <f>MAX(0,AT62-MAX(0,BJ62-SUM(AO62:AS62)))</f>
        <v/>
      </c>
      <c r="BE62" s="91">
        <f>MAX(0,AU62-MAX(0,BJ62-SUM(AO62:AT62)))</f>
        <v/>
      </c>
      <c r="BF62" s="91">
        <f>MAX(0,AV62-MAX(0,BJ62-SUM(AO62:AU62)))</f>
        <v/>
      </c>
      <c r="BG62" s="91">
        <f>MAX(0,AW62-MAX(0,BJ62-SUM(AO62:AV62)))</f>
        <v/>
      </c>
      <c r="BH62" s="91">
        <f>MAX(0,AX62-MAX(0,BJ62-SUM(AO62:AW62)))</f>
        <v/>
      </c>
      <c r="BI62" s="92">
        <f>SUM(AY61:BH61)+BK62</f>
        <v/>
      </c>
      <c r="BJ62" s="92">
        <f>$BJ$7-(BI62-SUM(AO62:AX62))</f>
        <v/>
      </c>
      <c r="BK62" s="91">
        <f>SUMPRODUCT(AY61:BH61,$AY$6:$BH$6)/12</f>
        <v/>
      </c>
      <c r="BL62" s="88">
        <f>SUM(AY62:BH62)</f>
        <v/>
      </c>
    </row>
    <row r="63">
      <c r="A63" s="24" t="n">
        <v>53</v>
      </c>
      <c r="B63" s="90">
        <f>DATE(YEAR(Settings!$C$11),MONTH(Settings!$C$11)+A63,1)</f>
        <v/>
      </c>
      <c r="C63" s="91">
        <f>IF(C62&lt;0.005,0,MAX(0,C62*(1+C$6/12)-C$7))</f>
        <v/>
      </c>
      <c r="D63" s="91">
        <f>IF(D62&lt;0.005,0,MAX(0,D62*(1+D$6/12)-D$7))</f>
        <v/>
      </c>
      <c r="E63" s="91">
        <f>IF(E62&lt;0.005,0,MAX(0,E62*(1+E$6/12)-E$7))</f>
        <v/>
      </c>
      <c r="F63" s="91">
        <f>IF(F62&lt;0.005,0,MAX(0,F62*(1+F$6/12)-F$7))</f>
        <v/>
      </c>
      <c r="G63" s="91">
        <f>IF(G62&lt;0.005,0,MAX(0,G62*(1+G$6/12)-G$7))</f>
        <v/>
      </c>
      <c r="H63" s="91">
        <f>IF(H62&lt;0.005,0,MAX(0,H62*(1+H$6/12)-H$7))</f>
        <v/>
      </c>
      <c r="I63" s="91">
        <f>IF(I62&lt;0.005,0,MAX(0,I62*(1+I$6/12)-I$7))</f>
        <v/>
      </c>
      <c r="J63" s="91">
        <f>IF(J62&lt;0.005,0,MAX(0,J62*(1+J$6/12)-J$7))</f>
        <v/>
      </c>
      <c r="K63" s="91">
        <f>IF(K62&lt;0.005,0,MAX(0,K62*(1+K$6/12)-K$7))</f>
        <v/>
      </c>
      <c r="L63" s="91">
        <f>IF(L62&lt;0.005,0,MAX(0,L62*(1+L$6/12)-L$7))</f>
        <v/>
      </c>
      <c r="M63" s="91">
        <f>SUMPRODUCT(C62:L62,$C$6:$L$6)/12</f>
        <v/>
      </c>
      <c r="N63" s="88">
        <f>SUM(C63:L63)</f>
        <v/>
      </c>
      <c r="P63" s="92">
        <f>IF(Z62&lt;0.005,0,MAX(0,Z62*(1+Z$6/12)-Z$7))</f>
        <v/>
      </c>
      <c r="Q63" s="92">
        <f>IF(AA62&lt;0.005,0,MAX(0,AA62*(1+AA$6/12)-AA$7))</f>
        <v/>
      </c>
      <c r="R63" s="92">
        <f>IF(AB62&lt;0.005,0,MAX(0,AB62*(1+AB$6/12)-AB$7))</f>
        <v/>
      </c>
      <c r="S63" s="92">
        <f>IF(AC62&lt;0.005,0,MAX(0,AC62*(1+AC$6/12)-AC$7))</f>
        <v/>
      </c>
      <c r="T63" s="92">
        <f>IF(AD62&lt;0.005,0,MAX(0,AD62*(1+AD$6/12)-AD$7))</f>
        <v/>
      </c>
      <c r="U63" s="92">
        <f>IF(AE62&lt;0.005,0,MAX(0,AE62*(1+AE$6/12)-AE$7))</f>
        <v/>
      </c>
      <c r="V63" s="92">
        <f>IF(AF62&lt;0.005,0,MAX(0,AF62*(1+AF$6/12)-AF$7))</f>
        <v/>
      </c>
      <c r="W63" s="92">
        <f>IF(AG62&lt;0.005,0,MAX(0,AG62*(1+AG$6/12)-AG$7))</f>
        <v/>
      </c>
      <c r="X63" s="92">
        <f>IF(AH62&lt;0.005,0,MAX(0,AH62*(1+AH$6/12)-AH$7))</f>
        <v/>
      </c>
      <c r="Y63" s="92">
        <f>IF(AI62&lt;0.005,0,MAX(0,AI62*(1+AI$6/12)-AI$7))</f>
        <v/>
      </c>
      <c r="Z63" s="91">
        <f>MAX(0,P63-MAX(0,AK63-0))</f>
        <v/>
      </c>
      <c r="AA63" s="91">
        <f>MAX(0,Q63-MAX(0,AK63-SUM(P63:P63)))</f>
        <v/>
      </c>
      <c r="AB63" s="91">
        <f>MAX(0,R63-MAX(0,AK63-SUM(P63:Q63)))</f>
        <v/>
      </c>
      <c r="AC63" s="91">
        <f>MAX(0,S63-MAX(0,AK63-SUM(P63:R63)))</f>
        <v/>
      </c>
      <c r="AD63" s="91">
        <f>MAX(0,T63-MAX(0,AK63-SUM(P63:S63)))</f>
        <v/>
      </c>
      <c r="AE63" s="91">
        <f>MAX(0,U63-MAX(0,AK63-SUM(P63:T63)))</f>
        <v/>
      </c>
      <c r="AF63" s="91">
        <f>MAX(0,V63-MAX(0,AK63-SUM(P63:U63)))</f>
        <v/>
      </c>
      <c r="AG63" s="91">
        <f>MAX(0,W63-MAX(0,AK63-SUM(P63:V63)))</f>
        <v/>
      </c>
      <c r="AH63" s="91">
        <f>MAX(0,X63-MAX(0,AK63-SUM(P63:W63)))</f>
        <v/>
      </c>
      <c r="AI63" s="91">
        <f>MAX(0,Y63-MAX(0,AK63-SUM(P63:X63)))</f>
        <v/>
      </c>
      <c r="AJ63" s="92">
        <f>SUM(Z62:AI62)+AL63</f>
        <v/>
      </c>
      <c r="AK63" s="92">
        <f>$AK$7-(AJ63-SUM(P63:Y63))</f>
        <v/>
      </c>
      <c r="AL63" s="91">
        <f>SUMPRODUCT(Z62:AI62,$Z$6:$AI$6)/12</f>
        <v/>
      </c>
      <c r="AM63" s="88">
        <f>SUM(Z63:AI63)</f>
        <v/>
      </c>
      <c r="AO63" s="92">
        <f>IF(AY62&lt;0.005,0,MAX(0,AY62*(1+AY$6/12)-AY$7))</f>
        <v/>
      </c>
      <c r="AP63" s="92">
        <f>IF(AZ62&lt;0.005,0,MAX(0,AZ62*(1+AZ$6/12)-AZ$7))</f>
        <v/>
      </c>
      <c r="AQ63" s="92">
        <f>IF(BA62&lt;0.005,0,MAX(0,BA62*(1+BA$6/12)-BA$7))</f>
        <v/>
      </c>
      <c r="AR63" s="92">
        <f>IF(BB62&lt;0.005,0,MAX(0,BB62*(1+BB$6/12)-BB$7))</f>
        <v/>
      </c>
      <c r="AS63" s="92">
        <f>IF(BC62&lt;0.005,0,MAX(0,BC62*(1+BC$6/12)-BC$7))</f>
        <v/>
      </c>
      <c r="AT63" s="92">
        <f>IF(BD62&lt;0.005,0,MAX(0,BD62*(1+BD$6/12)-BD$7))</f>
        <v/>
      </c>
      <c r="AU63" s="92">
        <f>IF(BE62&lt;0.005,0,MAX(0,BE62*(1+BE$6/12)-BE$7))</f>
        <v/>
      </c>
      <c r="AV63" s="92">
        <f>IF(BF62&lt;0.005,0,MAX(0,BF62*(1+BF$6/12)-BF$7))</f>
        <v/>
      </c>
      <c r="AW63" s="92">
        <f>IF(BG62&lt;0.005,0,MAX(0,BG62*(1+BG$6/12)-BG$7))</f>
        <v/>
      </c>
      <c r="AX63" s="92">
        <f>IF(BH62&lt;0.005,0,MAX(0,BH62*(1+BH$6/12)-BH$7))</f>
        <v/>
      </c>
      <c r="AY63" s="91">
        <f>MAX(0,AO63-MAX(0,BJ63-0))</f>
        <v/>
      </c>
      <c r="AZ63" s="91">
        <f>MAX(0,AP63-MAX(0,BJ63-SUM(AO63:AO63)))</f>
        <v/>
      </c>
      <c r="BA63" s="91">
        <f>MAX(0,AQ63-MAX(0,BJ63-SUM(AO63:AP63)))</f>
        <v/>
      </c>
      <c r="BB63" s="91">
        <f>MAX(0,AR63-MAX(0,BJ63-SUM(AO63:AQ63)))</f>
        <v/>
      </c>
      <c r="BC63" s="91">
        <f>MAX(0,AS63-MAX(0,BJ63-SUM(AO63:AR63)))</f>
        <v/>
      </c>
      <c r="BD63" s="91">
        <f>MAX(0,AT63-MAX(0,BJ63-SUM(AO63:AS63)))</f>
        <v/>
      </c>
      <c r="BE63" s="91">
        <f>MAX(0,AU63-MAX(0,BJ63-SUM(AO63:AT63)))</f>
        <v/>
      </c>
      <c r="BF63" s="91">
        <f>MAX(0,AV63-MAX(0,BJ63-SUM(AO63:AU63)))</f>
        <v/>
      </c>
      <c r="BG63" s="91">
        <f>MAX(0,AW63-MAX(0,BJ63-SUM(AO63:AV63)))</f>
        <v/>
      </c>
      <c r="BH63" s="91">
        <f>MAX(0,AX63-MAX(0,BJ63-SUM(AO63:AW63)))</f>
        <v/>
      </c>
      <c r="BI63" s="92">
        <f>SUM(AY62:BH62)+BK63</f>
        <v/>
      </c>
      <c r="BJ63" s="92">
        <f>$BJ$7-(BI63-SUM(AO63:AX63))</f>
        <v/>
      </c>
      <c r="BK63" s="91">
        <f>SUMPRODUCT(AY62:BH62,$AY$6:$BH$6)/12</f>
        <v/>
      </c>
      <c r="BL63" s="88">
        <f>SUM(AY63:BH63)</f>
        <v/>
      </c>
    </row>
    <row r="64">
      <c r="A64" s="24" t="n">
        <v>54</v>
      </c>
      <c r="B64" s="90">
        <f>DATE(YEAR(Settings!$C$11),MONTH(Settings!$C$11)+A64,1)</f>
        <v/>
      </c>
      <c r="C64" s="91">
        <f>IF(C63&lt;0.005,0,MAX(0,C63*(1+C$6/12)-C$7))</f>
        <v/>
      </c>
      <c r="D64" s="91">
        <f>IF(D63&lt;0.005,0,MAX(0,D63*(1+D$6/12)-D$7))</f>
        <v/>
      </c>
      <c r="E64" s="91">
        <f>IF(E63&lt;0.005,0,MAX(0,E63*(1+E$6/12)-E$7))</f>
        <v/>
      </c>
      <c r="F64" s="91">
        <f>IF(F63&lt;0.005,0,MAX(0,F63*(1+F$6/12)-F$7))</f>
        <v/>
      </c>
      <c r="G64" s="91">
        <f>IF(G63&lt;0.005,0,MAX(0,G63*(1+G$6/12)-G$7))</f>
        <v/>
      </c>
      <c r="H64" s="91">
        <f>IF(H63&lt;0.005,0,MAX(0,H63*(1+H$6/12)-H$7))</f>
        <v/>
      </c>
      <c r="I64" s="91">
        <f>IF(I63&lt;0.005,0,MAX(0,I63*(1+I$6/12)-I$7))</f>
        <v/>
      </c>
      <c r="J64" s="91">
        <f>IF(J63&lt;0.005,0,MAX(0,J63*(1+J$6/12)-J$7))</f>
        <v/>
      </c>
      <c r="K64" s="91">
        <f>IF(K63&lt;0.005,0,MAX(0,K63*(1+K$6/12)-K$7))</f>
        <v/>
      </c>
      <c r="L64" s="91">
        <f>IF(L63&lt;0.005,0,MAX(0,L63*(1+L$6/12)-L$7))</f>
        <v/>
      </c>
      <c r="M64" s="91">
        <f>SUMPRODUCT(C63:L63,$C$6:$L$6)/12</f>
        <v/>
      </c>
      <c r="N64" s="88">
        <f>SUM(C64:L64)</f>
        <v/>
      </c>
      <c r="P64" s="92">
        <f>IF(Z63&lt;0.005,0,MAX(0,Z63*(1+Z$6/12)-Z$7))</f>
        <v/>
      </c>
      <c r="Q64" s="92">
        <f>IF(AA63&lt;0.005,0,MAX(0,AA63*(1+AA$6/12)-AA$7))</f>
        <v/>
      </c>
      <c r="R64" s="92">
        <f>IF(AB63&lt;0.005,0,MAX(0,AB63*(1+AB$6/12)-AB$7))</f>
        <v/>
      </c>
      <c r="S64" s="92">
        <f>IF(AC63&lt;0.005,0,MAX(0,AC63*(1+AC$6/12)-AC$7))</f>
        <v/>
      </c>
      <c r="T64" s="92">
        <f>IF(AD63&lt;0.005,0,MAX(0,AD63*(1+AD$6/12)-AD$7))</f>
        <v/>
      </c>
      <c r="U64" s="92">
        <f>IF(AE63&lt;0.005,0,MAX(0,AE63*(1+AE$6/12)-AE$7))</f>
        <v/>
      </c>
      <c r="V64" s="92">
        <f>IF(AF63&lt;0.005,0,MAX(0,AF63*(1+AF$6/12)-AF$7))</f>
        <v/>
      </c>
      <c r="W64" s="92">
        <f>IF(AG63&lt;0.005,0,MAX(0,AG63*(1+AG$6/12)-AG$7))</f>
        <v/>
      </c>
      <c r="X64" s="92">
        <f>IF(AH63&lt;0.005,0,MAX(0,AH63*(1+AH$6/12)-AH$7))</f>
        <v/>
      </c>
      <c r="Y64" s="92">
        <f>IF(AI63&lt;0.005,0,MAX(0,AI63*(1+AI$6/12)-AI$7))</f>
        <v/>
      </c>
      <c r="Z64" s="91">
        <f>MAX(0,P64-MAX(0,AK64-0))</f>
        <v/>
      </c>
      <c r="AA64" s="91">
        <f>MAX(0,Q64-MAX(0,AK64-SUM(P64:P64)))</f>
        <v/>
      </c>
      <c r="AB64" s="91">
        <f>MAX(0,R64-MAX(0,AK64-SUM(P64:Q64)))</f>
        <v/>
      </c>
      <c r="AC64" s="91">
        <f>MAX(0,S64-MAX(0,AK64-SUM(P64:R64)))</f>
        <v/>
      </c>
      <c r="AD64" s="91">
        <f>MAX(0,T64-MAX(0,AK64-SUM(P64:S64)))</f>
        <v/>
      </c>
      <c r="AE64" s="91">
        <f>MAX(0,U64-MAX(0,AK64-SUM(P64:T64)))</f>
        <v/>
      </c>
      <c r="AF64" s="91">
        <f>MAX(0,V64-MAX(0,AK64-SUM(P64:U64)))</f>
        <v/>
      </c>
      <c r="AG64" s="91">
        <f>MAX(0,W64-MAX(0,AK64-SUM(P64:V64)))</f>
        <v/>
      </c>
      <c r="AH64" s="91">
        <f>MAX(0,X64-MAX(0,AK64-SUM(P64:W64)))</f>
        <v/>
      </c>
      <c r="AI64" s="91">
        <f>MAX(0,Y64-MAX(0,AK64-SUM(P64:X64)))</f>
        <v/>
      </c>
      <c r="AJ64" s="92">
        <f>SUM(Z63:AI63)+AL64</f>
        <v/>
      </c>
      <c r="AK64" s="92">
        <f>$AK$7-(AJ64-SUM(P64:Y64))</f>
        <v/>
      </c>
      <c r="AL64" s="91">
        <f>SUMPRODUCT(Z63:AI63,$Z$6:$AI$6)/12</f>
        <v/>
      </c>
      <c r="AM64" s="88">
        <f>SUM(Z64:AI64)</f>
        <v/>
      </c>
      <c r="AO64" s="92">
        <f>IF(AY63&lt;0.005,0,MAX(0,AY63*(1+AY$6/12)-AY$7))</f>
        <v/>
      </c>
      <c r="AP64" s="92">
        <f>IF(AZ63&lt;0.005,0,MAX(0,AZ63*(1+AZ$6/12)-AZ$7))</f>
        <v/>
      </c>
      <c r="AQ64" s="92">
        <f>IF(BA63&lt;0.005,0,MAX(0,BA63*(1+BA$6/12)-BA$7))</f>
        <v/>
      </c>
      <c r="AR64" s="92">
        <f>IF(BB63&lt;0.005,0,MAX(0,BB63*(1+BB$6/12)-BB$7))</f>
        <v/>
      </c>
      <c r="AS64" s="92">
        <f>IF(BC63&lt;0.005,0,MAX(0,BC63*(1+BC$6/12)-BC$7))</f>
        <v/>
      </c>
      <c r="AT64" s="92">
        <f>IF(BD63&lt;0.005,0,MAX(0,BD63*(1+BD$6/12)-BD$7))</f>
        <v/>
      </c>
      <c r="AU64" s="92">
        <f>IF(BE63&lt;0.005,0,MAX(0,BE63*(1+BE$6/12)-BE$7))</f>
        <v/>
      </c>
      <c r="AV64" s="92">
        <f>IF(BF63&lt;0.005,0,MAX(0,BF63*(1+BF$6/12)-BF$7))</f>
        <v/>
      </c>
      <c r="AW64" s="92">
        <f>IF(BG63&lt;0.005,0,MAX(0,BG63*(1+BG$6/12)-BG$7))</f>
        <v/>
      </c>
      <c r="AX64" s="92">
        <f>IF(BH63&lt;0.005,0,MAX(0,BH63*(1+BH$6/12)-BH$7))</f>
        <v/>
      </c>
      <c r="AY64" s="91">
        <f>MAX(0,AO64-MAX(0,BJ64-0))</f>
        <v/>
      </c>
      <c r="AZ64" s="91">
        <f>MAX(0,AP64-MAX(0,BJ64-SUM(AO64:AO64)))</f>
        <v/>
      </c>
      <c r="BA64" s="91">
        <f>MAX(0,AQ64-MAX(0,BJ64-SUM(AO64:AP64)))</f>
        <v/>
      </c>
      <c r="BB64" s="91">
        <f>MAX(0,AR64-MAX(0,BJ64-SUM(AO64:AQ64)))</f>
        <v/>
      </c>
      <c r="BC64" s="91">
        <f>MAX(0,AS64-MAX(0,BJ64-SUM(AO64:AR64)))</f>
        <v/>
      </c>
      <c r="BD64" s="91">
        <f>MAX(0,AT64-MAX(0,BJ64-SUM(AO64:AS64)))</f>
        <v/>
      </c>
      <c r="BE64" s="91">
        <f>MAX(0,AU64-MAX(0,BJ64-SUM(AO64:AT64)))</f>
        <v/>
      </c>
      <c r="BF64" s="91">
        <f>MAX(0,AV64-MAX(0,BJ64-SUM(AO64:AU64)))</f>
        <v/>
      </c>
      <c r="BG64" s="91">
        <f>MAX(0,AW64-MAX(0,BJ64-SUM(AO64:AV64)))</f>
        <v/>
      </c>
      <c r="BH64" s="91">
        <f>MAX(0,AX64-MAX(0,BJ64-SUM(AO64:AW64)))</f>
        <v/>
      </c>
      <c r="BI64" s="92">
        <f>SUM(AY63:BH63)+BK64</f>
        <v/>
      </c>
      <c r="BJ64" s="92">
        <f>$BJ$7-(BI64-SUM(AO64:AX64))</f>
        <v/>
      </c>
      <c r="BK64" s="91">
        <f>SUMPRODUCT(AY63:BH63,$AY$6:$BH$6)/12</f>
        <v/>
      </c>
      <c r="BL64" s="88">
        <f>SUM(AY64:BH64)</f>
        <v/>
      </c>
    </row>
    <row r="65">
      <c r="A65" s="24" t="n">
        <v>55</v>
      </c>
      <c r="B65" s="90">
        <f>DATE(YEAR(Settings!$C$11),MONTH(Settings!$C$11)+A65,1)</f>
        <v/>
      </c>
      <c r="C65" s="91">
        <f>IF(C64&lt;0.005,0,MAX(0,C64*(1+C$6/12)-C$7))</f>
        <v/>
      </c>
      <c r="D65" s="91">
        <f>IF(D64&lt;0.005,0,MAX(0,D64*(1+D$6/12)-D$7))</f>
        <v/>
      </c>
      <c r="E65" s="91">
        <f>IF(E64&lt;0.005,0,MAX(0,E64*(1+E$6/12)-E$7))</f>
        <v/>
      </c>
      <c r="F65" s="91">
        <f>IF(F64&lt;0.005,0,MAX(0,F64*(1+F$6/12)-F$7))</f>
        <v/>
      </c>
      <c r="G65" s="91">
        <f>IF(G64&lt;0.005,0,MAX(0,G64*(1+G$6/12)-G$7))</f>
        <v/>
      </c>
      <c r="H65" s="91">
        <f>IF(H64&lt;0.005,0,MAX(0,H64*(1+H$6/12)-H$7))</f>
        <v/>
      </c>
      <c r="I65" s="91">
        <f>IF(I64&lt;0.005,0,MAX(0,I64*(1+I$6/12)-I$7))</f>
        <v/>
      </c>
      <c r="J65" s="91">
        <f>IF(J64&lt;0.005,0,MAX(0,J64*(1+J$6/12)-J$7))</f>
        <v/>
      </c>
      <c r="K65" s="91">
        <f>IF(K64&lt;0.005,0,MAX(0,K64*(1+K$6/12)-K$7))</f>
        <v/>
      </c>
      <c r="L65" s="91">
        <f>IF(L64&lt;0.005,0,MAX(0,L64*(1+L$6/12)-L$7))</f>
        <v/>
      </c>
      <c r="M65" s="91">
        <f>SUMPRODUCT(C64:L64,$C$6:$L$6)/12</f>
        <v/>
      </c>
      <c r="N65" s="88">
        <f>SUM(C65:L65)</f>
        <v/>
      </c>
      <c r="P65" s="92">
        <f>IF(Z64&lt;0.005,0,MAX(0,Z64*(1+Z$6/12)-Z$7))</f>
        <v/>
      </c>
      <c r="Q65" s="92">
        <f>IF(AA64&lt;0.005,0,MAX(0,AA64*(1+AA$6/12)-AA$7))</f>
        <v/>
      </c>
      <c r="R65" s="92">
        <f>IF(AB64&lt;0.005,0,MAX(0,AB64*(1+AB$6/12)-AB$7))</f>
        <v/>
      </c>
      <c r="S65" s="92">
        <f>IF(AC64&lt;0.005,0,MAX(0,AC64*(1+AC$6/12)-AC$7))</f>
        <v/>
      </c>
      <c r="T65" s="92">
        <f>IF(AD64&lt;0.005,0,MAX(0,AD64*(1+AD$6/12)-AD$7))</f>
        <v/>
      </c>
      <c r="U65" s="92">
        <f>IF(AE64&lt;0.005,0,MAX(0,AE64*(1+AE$6/12)-AE$7))</f>
        <v/>
      </c>
      <c r="V65" s="92">
        <f>IF(AF64&lt;0.005,0,MAX(0,AF64*(1+AF$6/12)-AF$7))</f>
        <v/>
      </c>
      <c r="W65" s="92">
        <f>IF(AG64&lt;0.005,0,MAX(0,AG64*(1+AG$6/12)-AG$7))</f>
        <v/>
      </c>
      <c r="X65" s="92">
        <f>IF(AH64&lt;0.005,0,MAX(0,AH64*(1+AH$6/12)-AH$7))</f>
        <v/>
      </c>
      <c r="Y65" s="92">
        <f>IF(AI64&lt;0.005,0,MAX(0,AI64*(1+AI$6/12)-AI$7))</f>
        <v/>
      </c>
      <c r="Z65" s="91">
        <f>MAX(0,P65-MAX(0,AK65-0))</f>
        <v/>
      </c>
      <c r="AA65" s="91">
        <f>MAX(0,Q65-MAX(0,AK65-SUM(P65:P65)))</f>
        <v/>
      </c>
      <c r="AB65" s="91">
        <f>MAX(0,R65-MAX(0,AK65-SUM(P65:Q65)))</f>
        <v/>
      </c>
      <c r="AC65" s="91">
        <f>MAX(0,S65-MAX(0,AK65-SUM(P65:R65)))</f>
        <v/>
      </c>
      <c r="AD65" s="91">
        <f>MAX(0,T65-MAX(0,AK65-SUM(P65:S65)))</f>
        <v/>
      </c>
      <c r="AE65" s="91">
        <f>MAX(0,U65-MAX(0,AK65-SUM(P65:T65)))</f>
        <v/>
      </c>
      <c r="AF65" s="91">
        <f>MAX(0,V65-MAX(0,AK65-SUM(P65:U65)))</f>
        <v/>
      </c>
      <c r="AG65" s="91">
        <f>MAX(0,W65-MAX(0,AK65-SUM(P65:V65)))</f>
        <v/>
      </c>
      <c r="AH65" s="91">
        <f>MAX(0,X65-MAX(0,AK65-SUM(P65:W65)))</f>
        <v/>
      </c>
      <c r="AI65" s="91">
        <f>MAX(0,Y65-MAX(0,AK65-SUM(P65:X65)))</f>
        <v/>
      </c>
      <c r="AJ65" s="92">
        <f>SUM(Z64:AI64)+AL65</f>
        <v/>
      </c>
      <c r="AK65" s="92">
        <f>$AK$7-(AJ65-SUM(P65:Y65))</f>
        <v/>
      </c>
      <c r="AL65" s="91">
        <f>SUMPRODUCT(Z64:AI64,$Z$6:$AI$6)/12</f>
        <v/>
      </c>
      <c r="AM65" s="88">
        <f>SUM(Z65:AI65)</f>
        <v/>
      </c>
      <c r="AO65" s="92">
        <f>IF(AY64&lt;0.005,0,MAX(0,AY64*(1+AY$6/12)-AY$7))</f>
        <v/>
      </c>
      <c r="AP65" s="92">
        <f>IF(AZ64&lt;0.005,0,MAX(0,AZ64*(1+AZ$6/12)-AZ$7))</f>
        <v/>
      </c>
      <c r="AQ65" s="92">
        <f>IF(BA64&lt;0.005,0,MAX(0,BA64*(1+BA$6/12)-BA$7))</f>
        <v/>
      </c>
      <c r="AR65" s="92">
        <f>IF(BB64&lt;0.005,0,MAX(0,BB64*(1+BB$6/12)-BB$7))</f>
        <v/>
      </c>
      <c r="AS65" s="92">
        <f>IF(BC64&lt;0.005,0,MAX(0,BC64*(1+BC$6/12)-BC$7))</f>
        <v/>
      </c>
      <c r="AT65" s="92">
        <f>IF(BD64&lt;0.005,0,MAX(0,BD64*(1+BD$6/12)-BD$7))</f>
        <v/>
      </c>
      <c r="AU65" s="92">
        <f>IF(BE64&lt;0.005,0,MAX(0,BE64*(1+BE$6/12)-BE$7))</f>
        <v/>
      </c>
      <c r="AV65" s="92">
        <f>IF(BF64&lt;0.005,0,MAX(0,BF64*(1+BF$6/12)-BF$7))</f>
        <v/>
      </c>
      <c r="AW65" s="92">
        <f>IF(BG64&lt;0.005,0,MAX(0,BG64*(1+BG$6/12)-BG$7))</f>
        <v/>
      </c>
      <c r="AX65" s="92">
        <f>IF(BH64&lt;0.005,0,MAX(0,BH64*(1+BH$6/12)-BH$7))</f>
        <v/>
      </c>
      <c r="AY65" s="91">
        <f>MAX(0,AO65-MAX(0,BJ65-0))</f>
        <v/>
      </c>
      <c r="AZ65" s="91">
        <f>MAX(0,AP65-MAX(0,BJ65-SUM(AO65:AO65)))</f>
        <v/>
      </c>
      <c r="BA65" s="91">
        <f>MAX(0,AQ65-MAX(0,BJ65-SUM(AO65:AP65)))</f>
        <v/>
      </c>
      <c r="BB65" s="91">
        <f>MAX(0,AR65-MAX(0,BJ65-SUM(AO65:AQ65)))</f>
        <v/>
      </c>
      <c r="BC65" s="91">
        <f>MAX(0,AS65-MAX(0,BJ65-SUM(AO65:AR65)))</f>
        <v/>
      </c>
      <c r="BD65" s="91">
        <f>MAX(0,AT65-MAX(0,BJ65-SUM(AO65:AS65)))</f>
        <v/>
      </c>
      <c r="BE65" s="91">
        <f>MAX(0,AU65-MAX(0,BJ65-SUM(AO65:AT65)))</f>
        <v/>
      </c>
      <c r="BF65" s="91">
        <f>MAX(0,AV65-MAX(0,BJ65-SUM(AO65:AU65)))</f>
        <v/>
      </c>
      <c r="BG65" s="91">
        <f>MAX(0,AW65-MAX(0,BJ65-SUM(AO65:AV65)))</f>
        <v/>
      </c>
      <c r="BH65" s="91">
        <f>MAX(0,AX65-MAX(0,BJ65-SUM(AO65:AW65)))</f>
        <v/>
      </c>
      <c r="BI65" s="92">
        <f>SUM(AY64:BH64)+BK65</f>
        <v/>
      </c>
      <c r="BJ65" s="92">
        <f>$BJ$7-(BI65-SUM(AO65:AX65))</f>
        <v/>
      </c>
      <c r="BK65" s="91">
        <f>SUMPRODUCT(AY64:BH64,$AY$6:$BH$6)/12</f>
        <v/>
      </c>
      <c r="BL65" s="88">
        <f>SUM(AY65:BH65)</f>
        <v/>
      </c>
    </row>
    <row r="66">
      <c r="A66" s="24" t="n">
        <v>56</v>
      </c>
      <c r="B66" s="90">
        <f>DATE(YEAR(Settings!$C$11),MONTH(Settings!$C$11)+A66,1)</f>
        <v/>
      </c>
      <c r="C66" s="91">
        <f>IF(C65&lt;0.005,0,MAX(0,C65*(1+C$6/12)-C$7))</f>
        <v/>
      </c>
      <c r="D66" s="91">
        <f>IF(D65&lt;0.005,0,MAX(0,D65*(1+D$6/12)-D$7))</f>
        <v/>
      </c>
      <c r="E66" s="91">
        <f>IF(E65&lt;0.005,0,MAX(0,E65*(1+E$6/12)-E$7))</f>
        <v/>
      </c>
      <c r="F66" s="91">
        <f>IF(F65&lt;0.005,0,MAX(0,F65*(1+F$6/12)-F$7))</f>
        <v/>
      </c>
      <c r="G66" s="91">
        <f>IF(G65&lt;0.005,0,MAX(0,G65*(1+G$6/12)-G$7))</f>
        <v/>
      </c>
      <c r="H66" s="91">
        <f>IF(H65&lt;0.005,0,MAX(0,H65*(1+H$6/12)-H$7))</f>
        <v/>
      </c>
      <c r="I66" s="91">
        <f>IF(I65&lt;0.005,0,MAX(0,I65*(1+I$6/12)-I$7))</f>
        <v/>
      </c>
      <c r="J66" s="91">
        <f>IF(J65&lt;0.005,0,MAX(0,J65*(1+J$6/12)-J$7))</f>
        <v/>
      </c>
      <c r="K66" s="91">
        <f>IF(K65&lt;0.005,0,MAX(0,K65*(1+K$6/12)-K$7))</f>
        <v/>
      </c>
      <c r="L66" s="91">
        <f>IF(L65&lt;0.005,0,MAX(0,L65*(1+L$6/12)-L$7))</f>
        <v/>
      </c>
      <c r="M66" s="91">
        <f>SUMPRODUCT(C65:L65,$C$6:$L$6)/12</f>
        <v/>
      </c>
      <c r="N66" s="88">
        <f>SUM(C66:L66)</f>
        <v/>
      </c>
      <c r="P66" s="92">
        <f>IF(Z65&lt;0.005,0,MAX(0,Z65*(1+Z$6/12)-Z$7))</f>
        <v/>
      </c>
      <c r="Q66" s="92">
        <f>IF(AA65&lt;0.005,0,MAX(0,AA65*(1+AA$6/12)-AA$7))</f>
        <v/>
      </c>
      <c r="R66" s="92">
        <f>IF(AB65&lt;0.005,0,MAX(0,AB65*(1+AB$6/12)-AB$7))</f>
        <v/>
      </c>
      <c r="S66" s="92">
        <f>IF(AC65&lt;0.005,0,MAX(0,AC65*(1+AC$6/12)-AC$7))</f>
        <v/>
      </c>
      <c r="T66" s="92">
        <f>IF(AD65&lt;0.005,0,MAX(0,AD65*(1+AD$6/12)-AD$7))</f>
        <v/>
      </c>
      <c r="U66" s="92">
        <f>IF(AE65&lt;0.005,0,MAX(0,AE65*(1+AE$6/12)-AE$7))</f>
        <v/>
      </c>
      <c r="V66" s="92">
        <f>IF(AF65&lt;0.005,0,MAX(0,AF65*(1+AF$6/12)-AF$7))</f>
        <v/>
      </c>
      <c r="W66" s="92">
        <f>IF(AG65&lt;0.005,0,MAX(0,AG65*(1+AG$6/12)-AG$7))</f>
        <v/>
      </c>
      <c r="X66" s="92">
        <f>IF(AH65&lt;0.005,0,MAX(0,AH65*(1+AH$6/12)-AH$7))</f>
        <v/>
      </c>
      <c r="Y66" s="92">
        <f>IF(AI65&lt;0.005,0,MAX(0,AI65*(1+AI$6/12)-AI$7))</f>
        <v/>
      </c>
      <c r="Z66" s="91">
        <f>MAX(0,P66-MAX(0,AK66-0))</f>
        <v/>
      </c>
      <c r="AA66" s="91">
        <f>MAX(0,Q66-MAX(0,AK66-SUM(P66:P66)))</f>
        <v/>
      </c>
      <c r="AB66" s="91">
        <f>MAX(0,R66-MAX(0,AK66-SUM(P66:Q66)))</f>
        <v/>
      </c>
      <c r="AC66" s="91">
        <f>MAX(0,S66-MAX(0,AK66-SUM(P66:R66)))</f>
        <v/>
      </c>
      <c r="AD66" s="91">
        <f>MAX(0,T66-MAX(0,AK66-SUM(P66:S66)))</f>
        <v/>
      </c>
      <c r="AE66" s="91">
        <f>MAX(0,U66-MAX(0,AK66-SUM(P66:T66)))</f>
        <v/>
      </c>
      <c r="AF66" s="91">
        <f>MAX(0,V66-MAX(0,AK66-SUM(P66:U66)))</f>
        <v/>
      </c>
      <c r="AG66" s="91">
        <f>MAX(0,W66-MAX(0,AK66-SUM(P66:V66)))</f>
        <v/>
      </c>
      <c r="AH66" s="91">
        <f>MAX(0,X66-MAX(0,AK66-SUM(P66:W66)))</f>
        <v/>
      </c>
      <c r="AI66" s="91">
        <f>MAX(0,Y66-MAX(0,AK66-SUM(P66:X66)))</f>
        <v/>
      </c>
      <c r="AJ66" s="92">
        <f>SUM(Z65:AI65)+AL66</f>
        <v/>
      </c>
      <c r="AK66" s="92">
        <f>$AK$7-(AJ66-SUM(P66:Y66))</f>
        <v/>
      </c>
      <c r="AL66" s="91">
        <f>SUMPRODUCT(Z65:AI65,$Z$6:$AI$6)/12</f>
        <v/>
      </c>
      <c r="AM66" s="88">
        <f>SUM(Z66:AI66)</f>
        <v/>
      </c>
      <c r="AO66" s="92">
        <f>IF(AY65&lt;0.005,0,MAX(0,AY65*(1+AY$6/12)-AY$7))</f>
        <v/>
      </c>
      <c r="AP66" s="92">
        <f>IF(AZ65&lt;0.005,0,MAX(0,AZ65*(1+AZ$6/12)-AZ$7))</f>
        <v/>
      </c>
      <c r="AQ66" s="92">
        <f>IF(BA65&lt;0.005,0,MAX(0,BA65*(1+BA$6/12)-BA$7))</f>
        <v/>
      </c>
      <c r="AR66" s="92">
        <f>IF(BB65&lt;0.005,0,MAX(0,BB65*(1+BB$6/12)-BB$7))</f>
        <v/>
      </c>
      <c r="AS66" s="92">
        <f>IF(BC65&lt;0.005,0,MAX(0,BC65*(1+BC$6/12)-BC$7))</f>
        <v/>
      </c>
      <c r="AT66" s="92">
        <f>IF(BD65&lt;0.005,0,MAX(0,BD65*(1+BD$6/12)-BD$7))</f>
        <v/>
      </c>
      <c r="AU66" s="92">
        <f>IF(BE65&lt;0.005,0,MAX(0,BE65*(1+BE$6/12)-BE$7))</f>
        <v/>
      </c>
      <c r="AV66" s="92">
        <f>IF(BF65&lt;0.005,0,MAX(0,BF65*(1+BF$6/12)-BF$7))</f>
        <v/>
      </c>
      <c r="AW66" s="92">
        <f>IF(BG65&lt;0.005,0,MAX(0,BG65*(1+BG$6/12)-BG$7))</f>
        <v/>
      </c>
      <c r="AX66" s="92">
        <f>IF(BH65&lt;0.005,0,MAX(0,BH65*(1+BH$6/12)-BH$7))</f>
        <v/>
      </c>
      <c r="AY66" s="91">
        <f>MAX(0,AO66-MAX(0,BJ66-0))</f>
        <v/>
      </c>
      <c r="AZ66" s="91">
        <f>MAX(0,AP66-MAX(0,BJ66-SUM(AO66:AO66)))</f>
        <v/>
      </c>
      <c r="BA66" s="91">
        <f>MAX(0,AQ66-MAX(0,BJ66-SUM(AO66:AP66)))</f>
        <v/>
      </c>
      <c r="BB66" s="91">
        <f>MAX(0,AR66-MAX(0,BJ66-SUM(AO66:AQ66)))</f>
        <v/>
      </c>
      <c r="BC66" s="91">
        <f>MAX(0,AS66-MAX(0,BJ66-SUM(AO66:AR66)))</f>
        <v/>
      </c>
      <c r="BD66" s="91">
        <f>MAX(0,AT66-MAX(0,BJ66-SUM(AO66:AS66)))</f>
        <v/>
      </c>
      <c r="BE66" s="91">
        <f>MAX(0,AU66-MAX(0,BJ66-SUM(AO66:AT66)))</f>
        <v/>
      </c>
      <c r="BF66" s="91">
        <f>MAX(0,AV66-MAX(0,BJ66-SUM(AO66:AU66)))</f>
        <v/>
      </c>
      <c r="BG66" s="91">
        <f>MAX(0,AW66-MAX(0,BJ66-SUM(AO66:AV66)))</f>
        <v/>
      </c>
      <c r="BH66" s="91">
        <f>MAX(0,AX66-MAX(0,BJ66-SUM(AO66:AW66)))</f>
        <v/>
      </c>
      <c r="BI66" s="92">
        <f>SUM(AY65:BH65)+BK66</f>
        <v/>
      </c>
      <c r="BJ66" s="92">
        <f>$BJ$7-(BI66-SUM(AO66:AX66))</f>
        <v/>
      </c>
      <c r="BK66" s="91">
        <f>SUMPRODUCT(AY65:BH65,$AY$6:$BH$6)/12</f>
        <v/>
      </c>
      <c r="BL66" s="88">
        <f>SUM(AY66:BH66)</f>
        <v/>
      </c>
    </row>
    <row r="67">
      <c r="A67" s="24" t="n">
        <v>57</v>
      </c>
      <c r="B67" s="90">
        <f>DATE(YEAR(Settings!$C$11),MONTH(Settings!$C$11)+A67,1)</f>
        <v/>
      </c>
      <c r="C67" s="91">
        <f>IF(C66&lt;0.005,0,MAX(0,C66*(1+C$6/12)-C$7))</f>
        <v/>
      </c>
      <c r="D67" s="91">
        <f>IF(D66&lt;0.005,0,MAX(0,D66*(1+D$6/12)-D$7))</f>
        <v/>
      </c>
      <c r="E67" s="91">
        <f>IF(E66&lt;0.005,0,MAX(0,E66*(1+E$6/12)-E$7))</f>
        <v/>
      </c>
      <c r="F67" s="91">
        <f>IF(F66&lt;0.005,0,MAX(0,F66*(1+F$6/12)-F$7))</f>
        <v/>
      </c>
      <c r="G67" s="91">
        <f>IF(G66&lt;0.005,0,MAX(0,G66*(1+G$6/12)-G$7))</f>
        <v/>
      </c>
      <c r="H67" s="91">
        <f>IF(H66&lt;0.005,0,MAX(0,H66*(1+H$6/12)-H$7))</f>
        <v/>
      </c>
      <c r="I67" s="91">
        <f>IF(I66&lt;0.005,0,MAX(0,I66*(1+I$6/12)-I$7))</f>
        <v/>
      </c>
      <c r="J67" s="91">
        <f>IF(J66&lt;0.005,0,MAX(0,J66*(1+J$6/12)-J$7))</f>
        <v/>
      </c>
      <c r="K67" s="91">
        <f>IF(K66&lt;0.005,0,MAX(0,K66*(1+K$6/12)-K$7))</f>
        <v/>
      </c>
      <c r="L67" s="91">
        <f>IF(L66&lt;0.005,0,MAX(0,L66*(1+L$6/12)-L$7))</f>
        <v/>
      </c>
      <c r="M67" s="91">
        <f>SUMPRODUCT(C66:L66,$C$6:$L$6)/12</f>
        <v/>
      </c>
      <c r="N67" s="88">
        <f>SUM(C67:L67)</f>
        <v/>
      </c>
      <c r="P67" s="92">
        <f>IF(Z66&lt;0.005,0,MAX(0,Z66*(1+Z$6/12)-Z$7))</f>
        <v/>
      </c>
      <c r="Q67" s="92">
        <f>IF(AA66&lt;0.005,0,MAX(0,AA66*(1+AA$6/12)-AA$7))</f>
        <v/>
      </c>
      <c r="R67" s="92">
        <f>IF(AB66&lt;0.005,0,MAX(0,AB66*(1+AB$6/12)-AB$7))</f>
        <v/>
      </c>
      <c r="S67" s="92">
        <f>IF(AC66&lt;0.005,0,MAX(0,AC66*(1+AC$6/12)-AC$7))</f>
        <v/>
      </c>
      <c r="T67" s="92">
        <f>IF(AD66&lt;0.005,0,MAX(0,AD66*(1+AD$6/12)-AD$7))</f>
        <v/>
      </c>
      <c r="U67" s="92">
        <f>IF(AE66&lt;0.005,0,MAX(0,AE66*(1+AE$6/12)-AE$7))</f>
        <v/>
      </c>
      <c r="V67" s="92">
        <f>IF(AF66&lt;0.005,0,MAX(0,AF66*(1+AF$6/12)-AF$7))</f>
        <v/>
      </c>
      <c r="W67" s="92">
        <f>IF(AG66&lt;0.005,0,MAX(0,AG66*(1+AG$6/12)-AG$7))</f>
        <v/>
      </c>
      <c r="X67" s="92">
        <f>IF(AH66&lt;0.005,0,MAX(0,AH66*(1+AH$6/12)-AH$7))</f>
        <v/>
      </c>
      <c r="Y67" s="92">
        <f>IF(AI66&lt;0.005,0,MAX(0,AI66*(1+AI$6/12)-AI$7))</f>
        <v/>
      </c>
      <c r="Z67" s="91">
        <f>MAX(0,P67-MAX(0,AK67-0))</f>
        <v/>
      </c>
      <c r="AA67" s="91">
        <f>MAX(0,Q67-MAX(0,AK67-SUM(P67:P67)))</f>
        <v/>
      </c>
      <c r="AB67" s="91">
        <f>MAX(0,R67-MAX(0,AK67-SUM(P67:Q67)))</f>
        <v/>
      </c>
      <c r="AC67" s="91">
        <f>MAX(0,S67-MAX(0,AK67-SUM(P67:R67)))</f>
        <v/>
      </c>
      <c r="AD67" s="91">
        <f>MAX(0,T67-MAX(0,AK67-SUM(P67:S67)))</f>
        <v/>
      </c>
      <c r="AE67" s="91">
        <f>MAX(0,U67-MAX(0,AK67-SUM(P67:T67)))</f>
        <v/>
      </c>
      <c r="AF67" s="91">
        <f>MAX(0,V67-MAX(0,AK67-SUM(P67:U67)))</f>
        <v/>
      </c>
      <c r="AG67" s="91">
        <f>MAX(0,W67-MAX(0,AK67-SUM(P67:V67)))</f>
        <v/>
      </c>
      <c r="AH67" s="91">
        <f>MAX(0,X67-MAX(0,AK67-SUM(P67:W67)))</f>
        <v/>
      </c>
      <c r="AI67" s="91">
        <f>MAX(0,Y67-MAX(0,AK67-SUM(P67:X67)))</f>
        <v/>
      </c>
      <c r="AJ67" s="92">
        <f>SUM(Z66:AI66)+AL67</f>
        <v/>
      </c>
      <c r="AK67" s="92">
        <f>$AK$7-(AJ67-SUM(P67:Y67))</f>
        <v/>
      </c>
      <c r="AL67" s="91">
        <f>SUMPRODUCT(Z66:AI66,$Z$6:$AI$6)/12</f>
        <v/>
      </c>
      <c r="AM67" s="88">
        <f>SUM(Z67:AI67)</f>
        <v/>
      </c>
      <c r="AO67" s="92">
        <f>IF(AY66&lt;0.005,0,MAX(0,AY66*(1+AY$6/12)-AY$7))</f>
        <v/>
      </c>
      <c r="AP67" s="92">
        <f>IF(AZ66&lt;0.005,0,MAX(0,AZ66*(1+AZ$6/12)-AZ$7))</f>
        <v/>
      </c>
      <c r="AQ67" s="92">
        <f>IF(BA66&lt;0.005,0,MAX(0,BA66*(1+BA$6/12)-BA$7))</f>
        <v/>
      </c>
      <c r="AR67" s="92">
        <f>IF(BB66&lt;0.005,0,MAX(0,BB66*(1+BB$6/12)-BB$7))</f>
        <v/>
      </c>
      <c r="AS67" s="92">
        <f>IF(BC66&lt;0.005,0,MAX(0,BC66*(1+BC$6/12)-BC$7))</f>
        <v/>
      </c>
      <c r="AT67" s="92">
        <f>IF(BD66&lt;0.005,0,MAX(0,BD66*(1+BD$6/12)-BD$7))</f>
        <v/>
      </c>
      <c r="AU67" s="92">
        <f>IF(BE66&lt;0.005,0,MAX(0,BE66*(1+BE$6/12)-BE$7))</f>
        <v/>
      </c>
      <c r="AV67" s="92">
        <f>IF(BF66&lt;0.005,0,MAX(0,BF66*(1+BF$6/12)-BF$7))</f>
        <v/>
      </c>
      <c r="AW67" s="92">
        <f>IF(BG66&lt;0.005,0,MAX(0,BG66*(1+BG$6/12)-BG$7))</f>
        <v/>
      </c>
      <c r="AX67" s="92">
        <f>IF(BH66&lt;0.005,0,MAX(0,BH66*(1+BH$6/12)-BH$7))</f>
        <v/>
      </c>
      <c r="AY67" s="91">
        <f>MAX(0,AO67-MAX(0,BJ67-0))</f>
        <v/>
      </c>
      <c r="AZ67" s="91">
        <f>MAX(0,AP67-MAX(0,BJ67-SUM(AO67:AO67)))</f>
        <v/>
      </c>
      <c r="BA67" s="91">
        <f>MAX(0,AQ67-MAX(0,BJ67-SUM(AO67:AP67)))</f>
        <v/>
      </c>
      <c r="BB67" s="91">
        <f>MAX(0,AR67-MAX(0,BJ67-SUM(AO67:AQ67)))</f>
        <v/>
      </c>
      <c r="BC67" s="91">
        <f>MAX(0,AS67-MAX(0,BJ67-SUM(AO67:AR67)))</f>
        <v/>
      </c>
      <c r="BD67" s="91">
        <f>MAX(0,AT67-MAX(0,BJ67-SUM(AO67:AS67)))</f>
        <v/>
      </c>
      <c r="BE67" s="91">
        <f>MAX(0,AU67-MAX(0,BJ67-SUM(AO67:AT67)))</f>
        <v/>
      </c>
      <c r="BF67" s="91">
        <f>MAX(0,AV67-MAX(0,BJ67-SUM(AO67:AU67)))</f>
        <v/>
      </c>
      <c r="BG67" s="91">
        <f>MAX(0,AW67-MAX(0,BJ67-SUM(AO67:AV67)))</f>
        <v/>
      </c>
      <c r="BH67" s="91">
        <f>MAX(0,AX67-MAX(0,BJ67-SUM(AO67:AW67)))</f>
        <v/>
      </c>
      <c r="BI67" s="92">
        <f>SUM(AY66:BH66)+BK67</f>
        <v/>
      </c>
      <c r="BJ67" s="92">
        <f>$BJ$7-(BI67-SUM(AO67:AX67))</f>
        <v/>
      </c>
      <c r="BK67" s="91">
        <f>SUMPRODUCT(AY66:BH66,$AY$6:$BH$6)/12</f>
        <v/>
      </c>
      <c r="BL67" s="88">
        <f>SUM(AY67:BH67)</f>
        <v/>
      </c>
    </row>
    <row r="68">
      <c r="A68" s="24" t="n">
        <v>58</v>
      </c>
      <c r="B68" s="90">
        <f>DATE(YEAR(Settings!$C$11),MONTH(Settings!$C$11)+A68,1)</f>
        <v/>
      </c>
      <c r="C68" s="91">
        <f>IF(C67&lt;0.005,0,MAX(0,C67*(1+C$6/12)-C$7))</f>
        <v/>
      </c>
      <c r="D68" s="91">
        <f>IF(D67&lt;0.005,0,MAX(0,D67*(1+D$6/12)-D$7))</f>
        <v/>
      </c>
      <c r="E68" s="91">
        <f>IF(E67&lt;0.005,0,MAX(0,E67*(1+E$6/12)-E$7))</f>
        <v/>
      </c>
      <c r="F68" s="91">
        <f>IF(F67&lt;0.005,0,MAX(0,F67*(1+F$6/12)-F$7))</f>
        <v/>
      </c>
      <c r="G68" s="91">
        <f>IF(G67&lt;0.005,0,MAX(0,G67*(1+G$6/12)-G$7))</f>
        <v/>
      </c>
      <c r="H68" s="91">
        <f>IF(H67&lt;0.005,0,MAX(0,H67*(1+H$6/12)-H$7))</f>
        <v/>
      </c>
      <c r="I68" s="91">
        <f>IF(I67&lt;0.005,0,MAX(0,I67*(1+I$6/12)-I$7))</f>
        <v/>
      </c>
      <c r="J68" s="91">
        <f>IF(J67&lt;0.005,0,MAX(0,J67*(1+J$6/12)-J$7))</f>
        <v/>
      </c>
      <c r="K68" s="91">
        <f>IF(K67&lt;0.005,0,MAX(0,K67*(1+K$6/12)-K$7))</f>
        <v/>
      </c>
      <c r="L68" s="91">
        <f>IF(L67&lt;0.005,0,MAX(0,L67*(1+L$6/12)-L$7))</f>
        <v/>
      </c>
      <c r="M68" s="91">
        <f>SUMPRODUCT(C67:L67,$C$6:$L$6)/12</f>
        <v/>
      </c>
      <c r="N68" s="88">
        <f>SUM(C68:L68)</f>
        <v/>
      </c>
      <c r="P68" s="92">
        <f>IF(Z67&lt;0.005,0,MAX(0,Z67*(1+Z$6/12)-Z$7))</f>
        <v/>
      </c>
      <c r="Q68" s="92">
        <f>IF(AA67&lt;0.005,0,MAX(0,AA67*(1+AA$6/12)-AA$7))</f>
        <v/>
      </c>
      <c r="R68" s="92">
        <f>IF(AB67&lt;0.005,0,MAX(0,AB67*(1+AB$6/12)-AB$7))</f>
        <v/>
      </c>
      <c r="S68" s="92">
        <f>IF(AC67&lt;0.005,0,MAX(0,AC67*(1+AC$6/12)-AC$7))</f>
        <v/>
      </c>
      <c r="T68" s="92">
        <f>IF(AD67&lt;0.005,0,MAX(0,AD67*(1+AD$6/12)-AD$7))</f>
        <v/>
      </c>
      <c r="U68" s="92">
        <f>IF(AE67&lt;0.005,0,MAX(0,AE67*(1+AE$6/12)-AE$7))</f>
        <v/>
      </c>
      <c r="V68" s="92">
        <f>IF(AF67&lt;0.005,0,MAX(0,AF67*(1+AF$6/12)-AF$7))</f>
        <v/>
      </c>
      <c r="W68" s="92">
        <f>IF(AG67&lt;0.005,0,MAX(0,AG67*(1+AG$6/12)-AG$7))</f>
        <v/>
      </c>
      <c r="X68" s="92">
        <f>IF(AH67&lt;0.005,0,MAX(0,AH67*(1+AH$6/12)-AH$7))</f>
        <v/>
      </c>
      <c r="Y68" s="92">
        <f>IF(AI67&lt;0.005,0,MAX(0,AI67*(1+AI$6/12)-AI$7))</f>
        <v/>
      </c>
      <c r="Z68" s="91">
        <f>MAX(0,P68-MAX(0,AK68-0))</f>
        <v/>
      </c>
      <c r="AA68" s="91">
        <f>MAX(0,Q68-MAX(0,AK68-SUM(P68:P68)))</f>
        <v/>
      </c>
      <c r="AB68" s="91">
        <f>MAX(0,R68-MAX(0,AK68-SUM(P68:Q68)))</f>
        <v/>
      </c>
      <c r="AC68" s="91">
        <f>MAX(0,S68-MAX(0,AK68-SUM(P68:R68)))</f>
        <v/>
      </c>
      <c r="AD68" s="91">
        <f>MAX(0,T68-MAX(0,AK68-SUM(P68:S68)))</f>
        <v/>
      </c>
      <c r="AE68" s="91">
        <f>MAX(0,U68-MAX(0,AK68-SUM(P68:T68)))</f>
        <v/>
      </c>
      <c r="AF68" s="91">
        <f>MAX(0,V68-MAX(0,AK68-SUM(P68:U68)))</f>
        <v/>
      </c>
      <c r="AG68" s="91">
        <f>MAX(0,W68-MAX(0,AK68-SUM(P68:V68)))</f>
        <v/>
      </c>
      <c r="AH68" s="91">
        <f>MAX(0,X68-MAX(0,AK68-SUM(P68:W68)))</f>
        <v/>
      </c>
      <c r="AI68" s="91">
        <f>MAX(0,Y68-MAX(0,AK68-SUM(P68:X68)))</f>
        <v/>
      </c>
      <c r="AJ68" s="92">
        <f>SUM(Z67:AI67)+AL68</f>
        <v/>
      </c>
      <c r="AK68" s="92">
        <f>$AK$7-(AJ68-SUM(P68:Y68))</f>
        <v/>
      </c>
      <c r="AL68" s="91">
        <f>SUMPRODUCT(Z67:AI67,$Z$6:$AI$6)/12</f>
        <v/>
      </c>
      <c r="AM68" s="88">
        <f>SUM(Z68:AI68)</f>
        <v/>
      </c>
      <c r="AO68" s="92">
        <f>IF(AY67&lt;0.005,0,MAX(0,AY67*(1+AY$6/12)-AY$7))</f>
        <v/>
      </c>
      <c r="AP68" s="92">
        <f>IF(AZ67&lt;0.005,0,MAX(0,AZ67*(1+AZ$6/12)-AZ$7))</f>
        <v/>
      </c>
      <c r="AQ68" s="92">
        <f>IF(BA67&lt;0.005,0,MAX(0,BA67*(1+BA$6/12)-BA$7))</f>
        <v/>
      </c>
      <c r="AR68" s="92">
        <f>IF(BB67&lt;0.005,0,MAX(0,BB67*(1+BB$6/12)-BB$7))</f>
        <v/>
      </c>
      <c r="AS68" s="92">
        <f>IF(BC67&lt;0.005,0,MAX(0,BC67*(1+BC$6/12)-BC$7))</f>
        <v/>
      </c>
      <c r="AT68" s="92">
        <f>IF(BD67&lt;0.005,0,MAX(0,BD67*(1+BD$6/12)-BD$7))</f>
        <v/>
      </c>
      <c r="AU68" s="92">
        <f>IF(BE67&lt;0.005,0,MAX(0,BE67*(1+BE$6/12)-BE$7))</f>
        <v/>
      </c>
      <c r="AV68" s="92">
        <f>IF(BF67&lt;0.005,0,MAX(0,BF67*(1+BF$6/12)-BF$7))</f>
        <v/>
      </c>
      <c r="AW68" s="92">
        <f>IF(BG67&lt;0.005,0,MAX(0,BG67*(1+BG$6/12)-BG$7))</f>
        <v/>
      </c>
      <c r="AX68" s="92">
        <f>IF(BH67&lt;0.005,0,MAX(0,BH67*(1+BH$6/12)-BH$7))</f>
        <v/>
      </c>
      <c r="AY68" s="91">
        <f>MAX(0,AO68-MAX(0,BJ68-0))</f>
        <v/>
      </c>
      <c r="AZ68" s="91">
        <f>MAX(0,AP68-MAX(0,BJ68-SUM(AO68:AO68)))</f>
        <v/>
      </c>
      <c r="BA68" s="91">
        <f>MAX(0,AQ68-MAX(0,BJ68-SUM(AO68:AP68)))</f>
        <v/>
      </c>
      <c r="BB68" s="91">
        <f>MAX(0,AR68-MAX(0,BJ68-SUM(AO68:AQ68)))</f>
        <v/>
      </c>
      <c r="BC68" s="91">
        <f>MAX(0,AS68-MAX(0,BJ68-SUM(AO68:AR68)))</f>
        <v/>
      </c>
      <c r="BD68" s="91">
        <f>MAX(0,AT68-MAX(0,BJ68-SUM(AO68:AS68)))</f>
        <v/>
      </c>
      <c r="BE68" s="91">
        <f>MAX(0,AU68-MAX(0,BJ68-SUM(AO68:AT68)))</f>
        <v/>
      </c>
      <c r="BF68" s="91">
        <f>MAX(0,AV68-MAX(0,BJ68-SUM(AO68:AU68)))</f>
        <v/>
      </c>
      <c r="BG68" s="91">
        <f>MAX(0,AW68-MAX(0,BJ68-SUM(AO68:AV68)))</f>
        <v/>
      </c>
      <c r="BH68" s="91">
        <f>MAX(0,AX68-MAX(0,BJ68-SUM(AO68:AW68)))</f>
        <v/>
      </c>
      <c r="BI68" s="92">
        <f>SUM(AY67:BH67)+BK68</f>
        <v/>
      </c>
      <c r="BJ68" s="92">
        <f>$BJ$7-(BI68-SUM(AO68:AX68))</f>
        <v/>
      </c>
      <c r="BK68" s="91">
        <f>SUMPRODUCT(AY67:BH67,$AY$6:$BH$6)/12</f>
        <v/>
      </c>
      <c r="BL68" s="88">
        <f>SUM(AY68:BH68)</f>
        <v/>
      </c>
    </row>
    <row r="69">
      <c r="A69" s="24" t="n">
        <v>59</v>
      </c>
      <c r="B69" s="90">
        <f>DATE(YEAR(Settings!$C$11),MONTH(Settings!$C$11)+A69,1)</f>
        <v/>
      </c>
      <c r="C69" s="91">
        <f>IF(C68&lt;0.005,0,MAX(0,C68*(1+C$6/12)-C$7))</f>
        <v/>
      </c>
      <c r="D69" s="91">
        <f>IF(D68&lt;0.005,0,MAX(0,D68*(1+D$6/12)-D$7))</f>
        <v/>
      </c>
      <c r="E69" s="91">
        <f>IF(E68&lt;0.005,0,MAX(0,E68*(1+E$6/12)-E$7))</f>
        <v/>
      </c>
      <c r="F69" s="91">
        <f>IF(F68&lt;0.005,0,MAX(0,F68*(1+F$6/12)-F$7))</f>
        <v/>
      </c>
      <c r="G69" s="91">
        <f>IF(G68&lt;0.005,0,MAX(0,G68*(1+G$6/12)-G$7))</f>
        <v/>
      </c>
      <c r="H69" s="91">
        <f>IF(H68&lt;0.005,0,MAX(0,H68*(1+H$6/12)-H$7))</f>
        <v/>
      </c>
      <c r="I69" s="91">
        <f>IF(I68&lt;0.005,0,MAX(0,I68*(1+I$6/12)-I$7))</f>
        <v/>
      </c>
      <c r="J69" s="91">
        <f>IF(J68&lt;0.005,0,MAX(0,J68*(1+J$6/12)-J$7))</f>
        <v/>
      </c>
      <c r="K69" s="91">
        <f>IF(K68&lt;0.005,0,MAX(0,K68*(1+K$6/12)-K$7))</f>
        <v/>
      </c>
      <c r="L69" s="91">
        <f>IF(L68&lt;0.005,0,MAX(0,L68*(1+L$6/12)-L$7))</f>
        <v/>
      </c>
      <c r="M69" s="91">
        <f>SUMPRODUCT(C68:L68,$C$6:$L$6)/12</f>
        <v/>
      </c>
      <c r="N69" s="88">
        <f>SUM(C69:L69)</f>
        <v/>
      </c>
      <c r="P69" s="92">
        <f>IF(Z68&lt;0.005,0,MAX(0,Z68*(1+Z$6/12)-Z$7))</f>
        <v/>
      </c>
      <c r="Q69" s="92">
        <f>IF(AA68&lt;0.005,0,MAX(0,AA68*(1+AA$6/12)-AA$7))</f>
        <v/>
      </c>
      <c r="R69" s="92">
        <f>IF(AB68&lt;0.005,0,MAX(0,AB68*(1+AB$6/12)-AB$7))</f>
        <v/>
      </c>
      <c r="S69" s="92">
        <f>IF(AC68&lt;0.005,0,MAX(0,AC68*(1+AC$6/12)-AC$7))</f>
        <v/>
      </c>
      <c r="T69" s="92">
        <f>IF(AD68&lt;0.005,0,MAX(0,AD68*(1+AD$6/12)-AD$7))</f>
        <v/>
      </c>
      <c r="U69" s="92">
        <f>IF(AE68&lt;0.005,0,MAX(0,AE68*(1+AE$6/12)-AE$7))</f>
        <v/>
      </c>
      <c r="V69" s="92">
        <f>IF(AF68&lt;0.005,0,MAX(0,AF68*(1+AF$6/12)-AF$7))</f>
        <v/>
      </c>
      <c r="W69" s="92">
        <f>IF(AG68&lt;0.005,0,MAX(0,AG68*(1+AG$6/12)-AG$7))</f>
        <v/>
      </c>
      <c r="X69" s="92">
        <f>IF(AH68&lt;0.005,0,MAX(0,AH68*(1+AH$6/12)-AH$7))</f>
        <v/>
      </c>
      <c r="Y69" s="92">
        <f>IF(AI68&lt;0.005,0,MAX(0,AI68*(1+AI$6/12)-AI$7))</f>
        <v/>
      </c>
      <c r="Z69" s="91">
        <f>MAX(0,P69-MAX(0,AK69-0))</f>
        <v/>
      </c>
      <c r="AA69" s="91">
        <f>MAX(0,Q69-MAX(0,AK69-SUM(P69:P69)))</f>
        <v/>
      </c>
      <c r="AB69" s="91">
        <f>MAX(0,R69-MAX(0,AK69-SUM(P69:Q69)))</f>
        <v/>
      </c>
      <c r="AC69" s="91">
        <f>MAX(0,S69-MAX(0,AK69-SUM(P69:R69)))</f>
        <v/>
      </c>
      <c r="AD69" s="91">
        <f>MAX(0,T69-MAX(0,AK69-SUM(P69:S69)))</f>
        <v/>
      </c>
      <c r="AE69" s="91">
        <f>MAX(0,U69-MAX(0,AK69-SUM(P69:T69)))</f>
        <v/>
      </c>
      <c r="AF69" s="91">
        <f>MAX(0,V69-MAX(0,AK69-SUM(P69:U69)))</f>
        <v/>
      </c>
      <c r="AG69" s="91">
        <f>MAX(0,W69-MAX(0,AK69-SUM(P69:V69)))</f>
        <v/>
      </c>
      <c r="AH69" s="91">
        <f>MAX(0,X69-MAX(0,AK69-SUM(P69:W69)))</f>
        <v/>
      </c>
      <c r="AI69" s="91">
        <f>MAX(0,Y69-MAX(0,AK69-SUM(P69:X69)))</f>
        <v/>
      </c>
      <c r="AJ69" s="92">
        <f>SUM(Z68:AI68)+AL69</f>
        <v/>
      </c>
      <c r="AK69" s="92">
        <f>$AK$7-(AJ69-SUM(P69:Y69))</f>
        <v/>
      </c>
      <c r="AL69" s="91">
        <f>SUMPRODUCT(Z68:AI68,$Z$6:$AI$6)/12</f>
        <v/>
      </c>
      <c r="AM69" s="88">
        <f>SUM(Z69:AI69)</f>
        <v/>
      </c>
      <c r="AO69" s="92">
        <f>IF(AY68&lt;0.005,0,MAX(0,AY68*(1+AY$6/12)-AY$7))</f>
        <v/>
      </c>
      <c r="AP69" s="92">
        <f>IF(AZ68&lt;0.005,0,MAX(0,AZ68*(1+AZ$6/12)-AZ$7))</f>
        <v/>
      </c>
      <c r="AQ69" s="92">
        <f>IF(BA68&lt;0.005,0,MAX(0,BA68*(1+BA$6/12)-BA$7))</f>
        <v/>
      </c>
      <c r="AR69" s="92">
        <f>IF(BB68&lt;0.005,0,MAX(0,BB68*(1+BB$6/12)-BB$7))</f>
        <v/>
      </c>
      <c r="AS69" s="92">
        <f>IF(BC68&lt;0.005,0,MAX(0,BC68*(1+BC$6/12)-BC$7))</f>
        <v/>
      </c>
      <c r="AT69" s="92">
        <f>IF(BD68&lt;0.005,0,MAX(0,BD68*(1+BD$6/12)-BD$7))</f>
        <v/>
      </c>
      <c r="AU69" s="92">
        <f>IF(BE68&lt;0.005,0,MAX(0,BE68*(1+BE$6/12)-BE$7))</f>
        <v/>
      </c>
      <c r="AV69" s="92">
        <f>IF(BF68&lt;0.005,0,MAX(0,BF68*(1+BF$6/12)-BF$7))</f>
        <v/>
      </c>
      <c r="AW69" s="92">
        <f>IF(BG68&lt;0.005,0,MAX(0,BG68*(1+BG$6/12)-BG$7))</f>
        <v/>
      </c>
      <c r="AX69" s="92">
        <f>IF(BH68&lt;0.005,0,MAX(0,BH68*(1+BH$6/12)-BH$7))</f>
        <v/>
      </c>
      <c r="AY69" s="91">
        <f>MAX(0,AO69-MAX(0,BJ69-0))</f>
        <v/>
      </c>
      <c r="AZ69" s="91">
        <f>MAX(0,AP69-MAX(0,BJ69-SUM(AO69:AO69)))</f>
        <v/>
      </c>
      <c r="BA69" s="91">
        <f>MAX(0,AQ69-MAX(0,BJ69-SUM(AO69:AP69)))</f>
        <v/>
      </c>
      <c r="BB69" s="91">
        <f>MAX(0,AR69-MAX(0,BJ69-SUM(AO69:AQ69)))</f>
        <v/>
      </c>
      <c r="BC69" s="91">
        <f>MAX(0,AS69-MAX(0,BJ69-SUM(AO69:AR69)))</f>
        <v/>
      </c>
      <c r="BD69" s="91">
        <f>MAX(0,AT69-MAX(0,BJ69-SUM(AO69:AS69)))</f>
        <v/>
      </c>
      <c r="BE69" s="91">
        <f>MAX(0,AU69-MAX(0,BJ69-SUM(AO69:AT69)))</f>
        <v/>
      </c>
      <c r="BF69" s="91">
        <f>MAX(0,AV69-MAX(0,BJ69-SUM(AO69:AU69)))</f>
        <v/>
      </c>
      <c r="BG69" s="91">
        <f>MAX(0,AW69-MAX(0,BJ69-SUM(AO69:AV69)))</f>
        <v/>
      </c>
      <c r="BH69" s="91">
        <f>MAX(0,AX69-MAX(0,BJ69-SUM(AO69:AW69)))</f>
        <v/>
      </c>
      <c r="BI69" s="92">
        <f>SUM(AY68:BH68)+BK69</f>
        <v/>
      </c>
      <c r="BJ69" s="92">
        <f>$BJ$7-(BI69-SUM(AO69:AX69))</f>
        <v/>
      </c>
      <c r="BK69" s="91">
        <f>SUMPRODUCT(AY68:BH68,$AY$6:$BH$6)/12</f>
        <v/>
      </c>
      <c r="BL69" s="88">
        <f>SUM(AY69:BH69)</f>
        <v/>
      </c>
    </row>
    <row r="70">
      <c r="A70" s="24" t="n">
        <v>60</v>
      </c>
      <c r="B70" s="90">
        <f>DATE(YEAR(Settings!$C$11),MONTH(Settings!$C$11)+A70,1)</f>
        <v/>
      </c>
      <c r="C70" s="91">
        <f>IF(C69&lt;0.005,0,MAX(0,C69*(1+C$6/12)-C$7))</f>
        <v/>
      </c>
      <c r="D70" s="91">
        <f>IF(D69&lt;0.005,0,MAX(0,D69*(1+D$6/12)-D$7))</f>
        <v/>
      </c>
      <c r="E70" s="91">
        <f>IF(E69&lt;0.005,0,MAX(0,E69*(1+E$6/12)-E$7))</f>
        <v/>
      </c>
      <c r="F70" s="91">
        <f>IF(F69&lt;0.005,0,MAX(0,F69*(1+F$6/12)-F$7))</f>
        <v/>
      </c>
      <c r="G70" s="91">
        <f>IF(G69&lt;0.005,0,MAX(0,G69*(1+G$6/12)-G$7))</f>
        <v/>
      </c>
      <c r="H70" s="91">
        <f>IF(H69&lt;0.005,0,MAX(0,H69*(1+H$6/12)-H$7))</f>
        <v/>
      </c>
      <c r="I70" s="91">
        <f>IF(I69&lt;0.005,0,MAX(0,I69*(1+I$6/12)-I$7))</f>
        <v/>
      </c>
      <c r="J70" s="91">
        <f>IF(J69&lt;0.005,0,MAX(0,J69*(1+J$6/12)-J$7))</f>
        <v/>
      </c>
      <c r="K70" s="91">
        <f>IF(K69&lt;0.005,0,MAX(0,K69*(1+K$6/12)-K$7))</f>
        <v/>
      </c>
      <c r="L70" s="91">
        <f>IF(L69&lt;0.005,0,MAX(0,L69*(1+L$6/12)-L$7))</f>
        <v/>
      </c>
      <c r="M70" s="91">
        <f>SUMPRODUCT(C69:L69,$C$6:$L$6)/12</f>
        <v/>
      </c>
      <c r="N70" s="88">
        <f>SUM(C70:L70)</f>
        <v/>
      </c>
      <c r="P70" s="92">
        <f>IF(Z69&lt;0.005,0,MAX(0,Z69*(1+Z$6/12)-Z$7))</f>
        <v/>
      </c>
      <c r="Q70" s="92">
        <f>IF(AA69&lt;0.005,0,MAX(0,AA69*(1+AA$6/12)-AA$7))</f>
        <v/>
      </c>
      <c r="R70" s="92">
        <f>IF(AB69&lt;0.005,0,MAX(0,AB69*(1+AB$6/12)-AB$7))</f>
        <v/>
      </c>
      <c r="S70" s="92">
        <f>IF(AC69&lt;0.005,0,MAX(0,AC69*(1+AC$6/12)-AC$7))</f>
        <v/>
      </c>
      <c r="T70" s="92">
        <f>IF(AD69&lt;0.005,0,MAX(0,AD69*(1+AD$6/12)-AD$7))</f>
        <v/>
      </c>
      <c r="U70" s="92">
        <f>IF(AE69&lt;0.005,0,MAX(0,AE69*(1+AE$6/12)-AE$7))</f>
        <v/>
      </c>
      <c r="V70" s="92">
        <f>IF(AF69&lt;0.005,0,MAX(0,AF69*(1+AF$6/12)-AF$7))</f>
        <v/>
      </c>
      <c r="W70" s="92">
        <f>IF(AG69&lt;0.005,0,MAX(0,AG69*(1+AG$6/12)-AG$7))</f>
        <v/>
      </c>
      <c r="X70" s="92">
        <f>IF(AH69&lt;0.005,0,MAX(0,AH69*(1+AH$6/12)-AH$7))</f>
        <v/>
      </c>
      <c r="Y70" s="92">
        <f>IF(AI69&lt;0.005,0,MAX(0,AI69*(1+AI$6/12)-AI$7))</f>
        <v/>
      </c>
      <c r="Z70" s="91">
        <f>MAX(0,P70-MAX(0,AK70-0))</f>
        <v/>
      </c>
      <c r="AA70" s="91">
        <f>MAX(0,Q70-MAX(0,AK70-SUM(P70:P70)))</f>
        <v/>
      </c>
      <c r="AB70" s="91">
        <f>MAX(0,R70-MAX(0,AK70-SUM(P70:Q70)))</f>
        <v/>
      </c>
      <c r="AC70" s="91">
        <f>MAX(0,S70-MAX(0,AK70-SUM(P70:R70)))</f>
        <v/>
      </c>
      <c r="AD70" s="91">
        <f>MAX(0,T70-MAX(0,AK70-SUM(P70:S70)))</f>
        <v/>
      </c>
      <c r="AE70" s="91">
        <f>MAX(0,U70-MAX(0,AK70-SUM(P70:T70)))</f>
        <v/>
      </c>
      <c r="AF70" s="91">
        <f>MAX(0,V70-MAX(0,AK70-SUM(P70:U70)))</f>
        <v/>
      </c>
      <c r="AG70" s="91">
        <f>MAX(0,W70-MAX(0,AK70-SUM(P70:V70)))</f>
        <v/>
      </c>
      <c r="AH70" s="91">
        <f>MAX(0,X70-MAX(0,AK70-SUM(P70:W70)))</f>
        <v/>
      </c>
      <c r="AI70" s="91">
        <f>MAX(0,Y70-MAX(0,AK70-SUM(P70:X70)))</f>
        <v/>
      </c>
      <c r="AJ70" s="92">
        <f>SUM(Z69:AI69)+AL70</f>
        <v/>
      </c>
      <c r="AK70" s="92">
        <f>$AK$7-(AJ70-SUM(P70:Y70))</f>
        <v/>
      </c>
      <c r="AL70" s="91">
        <f>SUMPRODUCT(Z69:AI69,$Z$6:$AI$6)/12</f>
        <v/>
      </c>
      <c r="AM70" s="88">
        <f>SUM(Z70:AI70)</f>
        <v/>
      </c>
      <c r="AO70" s="92">
        <f>IF(AY69&lt;0.005,0,MAX(0,AY69*(1+AY$6/12)-AY$7))</f>
        <v/>
      </c>
      <c r="AP70" s="92">
        <f>IF(AZ69&lt;0.005,0,MAX(0,AZ69*(1+AZ$6/12)-AZ$7))</f>
        <v/>
      </c>
      <c r="AQ70" s="92">
        <f>IF(BA69&lt;0.005,0,MAX(0,BA69*(1+BA$6/12)-BA$7))</f>
        <v/>
      </c>
      <c r="AR70" s="92">
        <f>IF(BB69&lt;0.005,0,MAX(0,BB69*(1+BB$6/12)-BB$7))</f>
        <v/>
      </c>
      <c r="AS70" s="92">
        <f>IF(BC69&lt;0.005,0,MAX(0,BC69*(1+BC$6/12)-BC$7))</f>
        <v/>
      </c>
      <c r="AT70" s="92">
        <f>IF(BD69&lt;0.005,0,MAX(0,BD69*(1+BD$6/12)-BD$7))</f>
        <v/>
      </c>
      <c r="AU70" s="92">
        <f>IF(BE69&lt;0.005,0,MAX(0,BE69*(1+BE$6/12)-BE$7))</f>
        <v/>
      </c>
      <c r="AV70" s="92">
        <f>IF(BF69&lt;0.005,0,MAX(0,BF69*(1+BF$6/12)-BF$7))</f>
        <v/>
      </c>
      <c r="AW70" s="92">
        <f>IF(BG69&lt;0.005,0,MAX(0,BG69*(1+BG$6/12)-BG$7))</f>
        <v/>
      </c>
      <c r="AX70" s="92">
        <f>IF(BH69&lt;0.005,0,MAX(0,BH69*(1+BH$6/12)-BH$7))</f>
        <v/>
      </c>
      <c r="AY70" s="91">
        <f>MAX(0,AO70-MAX(0,BJ70-0))</f>
        <v/>
      </c>
      <c r="AZ70" s="91">
        <f>MAX(0,AP70-MAX(0,BJ70-SUM(AO70:AO70)))</f>
        <v/>
      </c>
      <c r="BA70" s="91">
        <f>MAX(0,AQ70-MAX(0,BJ70-SUM(AO70:AP70)))</f>
        <v/>
      </c>
      <c r="BB70" s="91">
        <f>MAX(0,AR70-MAX(0,BJ70-SUM(AO70:AQ70)))</f>
        <v/>
      </c>
      <c r="BC70" s="91">
        <f>MAX(0,AS70-MAX(0,BJ70-SUM(AO70:AR70)))</f>
        <v/>
      </c>
      <c r="BD70" s="91">
        <f>MAX(0,AT70-MAX(0,BJ70-SUM(AO70:AS70)))</f>
        <v/>
      </c>
      <c r="BE70" s="91">
        <f>MAX(0,AU70-MAX(0,BJ70-SUM(AO70:AT70)))</f>
        <v/>
      </c>
      <c r="BF70" s="91">
        <f>MAX(0,AV70-MAX(0,BJ70-SUM(AO70:AU70)))</f>
        <v/>
      </c>
      <c r="BG70" s="91">
        <f>MAX(0,AW70-MAX(0,BJ70-SUM(AO70:AV70)))</f>
        <v/>
      </c>
      <c r="BH70" s="91">
        <f>MAX(0,AX70-MAX(0,BJ70-SUM(AO70:AW70)))</f>
        <v/>
      </c>
      <c r="BI70" s="92">
        <f>SUM(AY69:BH69)+BK70</f>
        <v/>
      </c>
      <c r="BJ70" s="92">
        <f>$BJ$7-(BI70-SUM(AO70:AX70))</f>
        <v/>
      </c>
      <c r="BK70" s="91">
        <f>SUMPRODUCT(AY69:BH69,$AY$6:$BH$6)/12</f>
        <v/>
      </c>
      <c r="BL70" s="88">
        <f>SUM(AY70:BH70)</f>
        <v/>
      </c>
    </row>
    <row r="71">
      <c r="A71" s="24" t="n">
        <v>61</v>
      </c>
      <c r="B71" s="90">
        <f>DATE(YEAR(Settings!$C$11),MONTH(Settings!$C$11)+A71,1)</f>
        <v/>
      </c>
      <c r="C71" s="91">
        <f>IF(C70&lt;0.005,0,MAX(0,C70*(1+C$6/12)-C$7))</f>
        <v/>
      </c>
      <c r="D71" s="91">
        <f>IF(D70&lt;0.005,0,MAX(0,D70*(1+D$6/12)-D$7))</f>
        <v/>
      </c>
      <c r="E71" s="91">
        <f>IF(E70&lt;0.005,0,MAX(0,E70*(1+E$6/12)-E$7))</f>
        <v/>
      </c>
      <c r="F71" s="91">
        <f>IF(F70&lt;0.005,0,MAX(0,F70*(1+F$6/12)-F$7))</f>
        <v/>
      </c>
      <c r="G71" s="91">
        <f>IF(G70&lt;0.005,0,MAX(0,G70*(1+G$6/12)-G$7))</f>
        <v/>
      </c>
      <c r="H71" s="91">
        <f>IF(H70&lt;0.005,0,MAX(0,H70*(1+H$6/12)-H$7))</f>
        <v/>
      </c>
      <c r="I71" s="91">
        <f>IF(I70&lt;0.005,0,MAX(0,I70*(1+I$6/12)-I$7))</f>
        <v/>
      </c>
      <c r="J71" s="91">
        <f>IF(J70&lt;0.005,0,MAX(0,J70*(1+J$6/12)-J$7))</f>
        <v/>
      </c>
      <c r="K71" s="91">
        <f>IF(K70&lt;0.005,0,MAX(0,K70*(1+K$6/12)-K$7))</f>
        <v/>
      </c>
      <c r="L71" s="91">
        <f>IF(L70&lt;0.005,0,MAX(0,L70*(1+L$6/12)-L$7))</f>
        <v/>
      </c>
      <c r="M71" s="91">
        <f>SUMPRODUCT(C70:L70,$C$6:$L$6)/12</f>
        <v/>
      </c>
      <c r="N71" s="88">
        <f>SUM(C71:L71)</f>
        <v/>
      </c>
      <c r="P71" s="92">
        <f>IF(Z70&lt;0.005,0,MAX(0,Z70*(1+Z$6/12)-Z$7))</f>
        <v/>
      </c>
      <c r="Q71" s="92">
        <f>IF(AA70&lt;0.005,0,MAX(0,AA70*(1+AA$6/12)-AA$7))</f>
        <v/>
      </c>
      <c r="R71" s="92">
        <f>IF(AB70&lt;0.005,0,MAX(0,AB70*(1+AB$6/12)-AB$7))</f>
        <v/>
      </c>
      <c r="S71" s="92">
        <f>IF(AC70&lt;0.005,0,MAX(0,AC70*(1+AC$6/12)-AC$7))</f>
        <v/>
      </c>
      <c r="T71" s="92">
        <f>IF(AD70&lt;0.005,0,MAX(0,AD70*(1+AD$6/12)-AD$7))</f>
        <v/>
      </c>
      <c r="U71" s="92">
        <f>IF(AE70&lt;0.005,0,MAX(0,AE70*(1+AE$6/12)-AE$7))</f>
        <v/>
      </c>
      <c r="V71" s="92">
        <f>IF(AF70&lt;0.005,0,MAX(0,AF70*(1+AF$6/12)-AF$7))</f>
        <v/>
      </c>
      <c r="W71" s="92">
        <f>IF(AG70&lt;0.005,0,MAX(0,AG70*(1+AG$6/12)-AG$7))</f>
        <v/>
      </c>
      <c r="X71" s="92">
        <f>IF(AH70&lt;0.005,0,MAX(0,AH70*(1+AH$6/12)-AH$7))</f>
        <v/>
      </c>
      <c r="Y71" s="92">
        <f>IF(AI70&lt;0.005,0,MAX(0,AI70*(1+AI$6/12)-AI$7))</f>
        <v/>
      </c>
      <c r="Z71" s="91">
        <f>MAX(0,P71-MAX(0,AK71-0))</f>
        <v/>
      </c>
      <c r="AA71" s="91">
        <f>MAX(0,Q71-MAX(0,AK71-SUM(P71:P71)))</f>
        <v/>
      </c>
      <c r="AB71" s="91">
        <f>MAX(0,R71-MAX(0,AK71-SUM(P71:Q71)))</f>
        <v/>
      </c>
      <c r="AC71" s="91">
        <f>MAX(0,S71-MAX(0,AK71-SUM(P71:R71)))</f>
        <v/>
      </c>
      <c r="AD71" s="91">
        <f>MAX(0,T71-MAX(0,AK71-SUM(P71:S71)))</f>
        <v/>
      </c>
      <c r="AE71" s="91">
        <f>MAX(0,U71-MAX(0,AK71-SUM(P71:T71)))</f>
        <v/>
      </c>
      <c r="AF71" s="91">
        <f>MAX(0,V71-MAX(0,AK71-SUM(P71:U71)))</f>
        <v/>
      </c>
      <c r="AG71" s="91">
        <f>MAX(0,W71-MAX(0,AK71-SUM(P71:V71)))</f>
        <v/>
      </c>
      <c r="AH71" s="91">
        <f>MAX(0,X71-MAX(0,AK71-SUM(P71:W71)))</f>
        <v/>
      </c>
      <c r="AI71" s="91">
        <f>MAX(0,Y71-MAX(0,AK71-SUM(P71:X71)))</f>
        <v/>
      </c>
      <c r="AJ71" s="92">
        <f>SUM(Z70:AI70)+AL71</f>
        <v/>
      </c>
      <c r="AK71" s="92">
        <f>$AK$7-(AJ71-SUM(P71:Y71))</f>
        <v/>
      </c>
      <c r="AL71" s="91">
        <f>SUMPRODUCT(Z70:AI70,$Z$6:$AI$6)/12</f>
        <v/>
      </c>
      <c r="AM71" s="88">
        <f>SUM(Z71:AI71)</f>
        <v/>
      </c>
      <c r="AO71" s="92">
        <f>IF(AY70&lt;0.005,0,MAX(0,AY70*(1+AY$6/12)-AY$7))</f>
        <v/>
      </c>
      <c r="AP71" s="92">
        <f>IF(AZ70&lt;0.005,0,MAX(0,AZ70*(1+AZ$6/12)-AZ$7))</f>
        <v/>
      </c>
      <c r="AQ71" s="92">
        <f>IF(BA70&lt;0.005,0,MAX(0,BA70*(1+BA$6/12)-BA$7))</f>
        <v/>
      </c>
      <c r="AR71" s="92">
        <f>IF(BB70&lt;0.005,0,MAX(0,BB70*(1+BB$6/12)-BB$7))</f>
        <v/>
      </c>
      <c r="AS71" s="92">
        <f>IF(BC70&lt;0.005,0,MAX(0,BC70*(1+BC$6/12)-BC$7))</f>
        <v/>
      </c>
      <c r="AT71" s="92">
        <f>IF(BD70&lt;0.005,0,MAX(0,BD70*(1+BD$6/12)-BD$7))</f>
        <v/>
      </c>
      <c r="AU71" s="92">
        <f>IF(BE70&lt;0.005,0,MAX(0,BE70*(1+BE$6/12)-BE$7))</f>
        <v/>
      </c>
      <c r="AV71" s="92">
        <f>IF(BF70&lt;0.005,0,MAX(0,BF70*(1+BF$6/12)-BF$7))</f>
        <v/>
      </c>
      <c r="AW71" s="92">
        <f>IF(BG70&lt;0.005,0,MAX(0,BG70*(1+BG$6/12)-BG$7))</f>
        <v/>
      </c>
      <c r="AX71" s="92">
        <f>IF(BH70&lt;0.005,0,MAX(0,BH70*(1+BH$6/12)-BH$7))</f>
        <v/>
      </c>
      <c r="AY71" s="91">
        <f>MAX(0,AO71-MAX(0,BJ71-0))</f>
        <v/>
      </c>
      <c r="AZ71" s="91">
        <f>MAX(0,AP71-MAX(0,BJ71-SUM(AO71:AO71)))</f>
        <v/>
      </c>
      <c r="BA71" s="91">
        <f>MAX(0,AQ71-MAX(0,BJ71-SUM(AO71:AP71)))</f>
        <v/>
      </c>
      <c r="BB71" s="91">
        <f>MAX(0,AR71-MAX(0,BJ71-SUM(AO71:AQ71)))</f>
        <v/>
      </c>
      <c r="BC71" s="91">
        <f>MAX(0,AS71-MAX(0,BJ71-SUM(AO71:AR71)))</f>
        <v/>
      </c>
      <c r="BD71" s="91">
        <f>MAX(0,AT71-MAX(0,BJ71-SUM(AO71:AS71)))</f>
        <v/>
      </c>
      <c r="BE71" s="91">
        <f>MAX(0,AU71-MAX(0,BJ71-SUM(AO71:AT71)))</f>
        <v/>
      </c>
      <c r="BF71" s="91">
        <f>MAX(0,AV71-MAX(0,BJ71-SUM(AO71:AU71)))</f>
        <v/>
      </c>
      <c r="BG71" s="91">
        <f>MAX(0,AW71-MAX(0,BJ71-SUM(AO71:AV71)))</f>
        <v/>
      </c>
      <c r="BH71" s="91">
        <f>MAX(0,AX71-MAX(0,BJ71-SUM(AO71:AW71)))</f>
        <v/>
      </c>
      <c r="BI71" s="92">
        <f>SUM(AY70:BH70)+BK71</f>
        <v/>
      </c>
      <c r="BJ71" s="92">
        <f>$BJ$7-(BI71-SUM(AO71:AX71))</f>
        <v/>
      </c>
      <c r="BK71" s="91">
        <f>SUMPRODUCT(AY70:BH70,$AY$6:$BH$6)/12</f>
        <v/>
      </c>
      <c r="BL71" s="88">
        <f>SUM(AY71:BH71)</f>
        <v/>
      </c>
    </row>
    <row r="72">
      <c r="A72" s="24" t="n">
        <v>62</v>
      </c>
      <c r="B72" s="90">
        <f>DATE(YEAR(Settings!$C$11),MONTH(Settings!$C$11)+A72,1)</f>
        <v/>
      </c>
      <c r="C72" s="91">
        <f>IF(C71&lt;0.005,0,MAX(0,C71*(1+C$6/12)-C$7))</f>
        <v/>
      </c>
      <c r="D72" s="91">
        <f>IF(D71&lt;0.005,0,MAX(0,D71*(1+D$6/12)-D$7))</f>
        <v/>
      </c>
      <c r="E72" s="91">
        <f>IF(E71&lt;0.005,0,MAX(0,E71*(1+E$6/12)-E$7))</f>
        <v/>
      </c>
      <c r="F72" s="91">
        <f>IF(F71&lt;0.005,0,MAX(0,F71*(1+F$6/12)-F$7))</f>
        <v/>
      </c>
      <c r="G72" s="91">
        <f>IF(G71&lt;0.005,0,MAX(0,G71*(1+G$6/12)-G$7))</f>
        <v/>
      </c>
      <c r="H72" s="91">
        <f>IF(H71&lt;0.005,0,MAX(0,H71*(1+H$6/12)-H$7))</f>
        <v/>
      </c>
      <c r="I72" s="91">
        <f>IF(I71&lt;0.005,0,MAX(0,I71*(1+I$6/12)-I$7))</f>
        <v/>
      </c>
      <c r="J72" s="91">
        <f>IF(J71&lt;0.005,0,MAX(0,J71*(1+J$6/12)-J$7))</f>
        <v/>
      </c>
      <c r="K72" s="91">
        <f>IF(K71&lt;0.005,0,MAX(0,K71*(1+K$6/12)-K$7))</f>
        <v/>
      </c>
      <c r="L72" s="91">
        <f>IF(L71&lt;0.005,0,MAX(0,L71*(1+L$6/12)-L$7))</f>
        <v/>
      </c>
      <c r="M72" s="91">
        <f>SUMPRODUCT(C71:L71,$C$6:$L$6)/12</f>
        <v/>
      </c>
      <c r="N72" s="88">
        <f>SUM(C72:L72)</f>
        <v/>
      </c>
      <c r="P72" s="92">
        <f>IF(Z71&lt;0.005,0,MAX(0,Z71*(1+Z$6/12)-Z$7))</f>
        <v/>
      </c>
      <c r="Q72" s="92">
        <f>IF(AA71&lt;0.005,0,MAX(0,AA71*(1+AA$6/12)-AA$7))</f>
        <v/>
      </c>
      <c r="R72" s="92">
        <f>IF(AB71&lt;0.005,0,MAX(0,AB71*(1+AB$6/12)-AB$7))</f>
        <v/>
      </c>
      <c r="S72" s="92">
        <f>IF(AC71&lt;0.005,0,MAX(0,AC71*(1+AC$6/12)-AC$7))</f>
        <v/>
      </c>
      <c r="T72" s="92">
        <f>IF(AD71&lt;0.005,0,MAX(0,AD71*(1+AD$6/12)-AD$7))</f>
        <v/>
      </c>
      <c r="U72" s="92">
        <f>IF(AE71&lt;0.005,0,MAX(0,AE71*(1+AE$6/12)-AE$7))</f>
        <v/>
      </c>
      <c r="V72" s="92">
        <f>IF(AF71&lt;0.005,0,MAX(0,AF71*(1+AF$6/12)-AF$7))</f>
        <v/>
      </c>
      <c r="W72" s="92">
        <f>IF(AG71&lt;0.005,0,MAX(0,AG71*(1+AG$6/12)-AG$7))</f>
        <v/>
      </c>
      <c r="X72" s="92">
        <f>IF(AH71&lt;0.005,0,MAX(0,AH71*(1+AH$6/12)-AH$7))</f>
        <v/>
      </c>
      <c r="Y72" s="92">
        <f>IF(AI71&lt;0.005,0,MAX(0,AI71*(1+AI$6/12)-AI$7))</f>
        <v/>
      </c>
      <c r="Z72" s="91">
        <f>MAX(0,P72-MAX(0,AK72-0))</f>
        <v/>
      </c>
      <c r="AA72" s="91">
        <f>MAX(0,Q72-MAX(0,AK72-SUM(P72:P72)))</f>
        <v/>
      </c>
      <c r="AB72" s="91">
        <f>MAX(0,R72-MAX(0,AK72-SUM(P72:Q72)))</f>
        <v/>
      </c>
      <c r="AC72" s="91">
        <f>MAX(0,S72-MAX(0,AK72-SUM(P72:R72)))</f>
        <v/>
      </c>
      <c r="AD72" s="91">
        <f>MAX(0,T72-MAX(0,AK72-SUM(P72:S72)))</f>
        <v/>
      </c>
      <c r="AE72" s="91">
        <f>MAX(0,U72-MAX(0,AK72-SUM(P72:T72)))</f>
        <v/>
      </c>
      <c r="AF72" s="91">
        <f>MAX(0,V72-MAX(0,AK72-SUM(P72:U72)))</f>
        <v/>
      </c>
      <c r="AG72" s="91">
        <f>MAX(0,W72-MAX(0,AK72-SUM(P72:V72)))</f>
        <v/>
      </c>
      <c r="AH72" s="91">
        <f>MAX(0,X72-MAX(0,AK72-SUM(P72:W72)))</f>
        <v/>
      </c>
      <c r="AI72" s="91">
        <f>MAX(0,Y72-MAX(0,AK72-SUM(P72:X72)))</f>
        <v/>
      </c>
      <c r="AJ72" s="92">
        <f>SUM(Z71:AI71)+AL72</f>
        <v/>
      </c>
      <c r="AK72" s="92">
        <f>$AK$7-(AJ72-SUM(P72:Y72))</f>
        <v/>
      </c>
      <c r="AL72" s="91">
        <f>SUMPRODUCT(Z71:AI71,$Z$6:$AI$6)/12</f>
        <v/>
      </c>
      <c r="AM72" s="88">
        <f>SUM(Z72:AI72)</f>
        <v/>
      </c>
      <c r="AO72" s="92">
        <f>IF(AY71&lt;0.005,0,MAX(0,AY71*(1+AY$6/12)-AY$7))</f>
        <v/>
      </c>
      <c r="AP72" s="92">
        <f>IF(AZ71&lt;0.005,0,MAX(0,AZ71*(1+AZ$6/12)-AZ$7))</f>
        <v/>
      </c>
      <c r="AQ72" s="92">
        <f>IF(BA71&lt;0.005,0,MAX(0,BA71*(1+BA$6/12)-BA$7))</f>
        <v/>
      </c>
      <c r="AR72" s="92">
        <f>IF(BB71&lt;0.005,0,MAX(0,BB71*(1+BB$6/12)-BB$7))</f>
        <v/>
      </c>
      <c r="AS72" s="92">
        <f>IF(BC71&lt;0.005,0,MAX(0,BC71*(1+BC$6/12)-BC$7))</f>
        <v/>
      </c>
      <c r="AT72" s="92">
        <f>IF(BD71&lt;0.005,0,MAX(0,BD71*(1+BD$6/12)-BD$7))</f>
        <v/>
      </c>
      <c r="AU72" s="92">
        <f>IF(BE71&lt;0.005,0,MAX(0,BE71*(1+BE$6/12)-BE$7))</f>
        <v/>
      </c>
      <c r="AV72" s="92">
        <f>IF(BF71&lt;0.005,0,MAX(0,BF71*(1+BF$6/12)-BF$7))</f>
        <v/>
      </c>
      <c r="AW72" s="92">
        <f>IF(BG71&lt;0.005,0,MAX(0,BG71*(1+BG$6/12)-BG$7))</f>
        <v/>
      </c>
      <c r="AX72" s="92">
        <f>IF(BH71&lt;0.005,0,MAX(0,BH71*(1+BH$6/12)-BH$7))</f>
        <v/>
      </c>
      <c r="AY72" s="91">
        <f>MAX(0,AO72-MAX(0,BJ72-0))</f>
        <v/>
      </c>
      <c r="AZ72" s="91">
        <f>MAX(0,AP72-MAX(0,BJ72-SUM(AO72:AO72)))</f>
        <v/>
      </c>
      <c r="BA72" s="91">
        <f>MAX(0,AQ72-MAX(0,BJ72-SUM(AO72:AP72)))</f>
        <v/>
      </c>
      <c r="BB72" s="91">
        <f>MAX(0,AR72-MAX(0,BJ72-SUM(AO72:AQ72)))</f>
        <v/>
      </c>
      <c r="BC72" s="91">
        <f>MAX(0,AS72-MAX(0,BJ72-SUM(AO72:AR72)))</f>
        <v/>
      </c>
      <c r="BD72" s="91">
        <f>MAX(0,AT72-MAX(0,BJ72-SUM(AO72:AS72)))</f>
        <v/>
      </c>
      <c r="BE72" s="91">
        <f>MAX(0,AU72-MAX(0,BJ72-SUM(AO72:AT72)))</f>
        <v/>
      </c>
      <c r="BF72" s="91">
        <f>MAX(0,AV72-MAX(0,BJ72-SUM(AO72:AU72)))</f>
        <v/>
      </c>
      <c r="BG72" s="91">
        <f>MAX(0,AW72-MAX(0,BJ72-SUM(AO72:AV72)))</f>
        <v/>
      </c>
      <c r="BH72" s="91">
        <f>MAX(0,AX72-MAX(0,BJ72-SUM(AO72:AW72)))</f>
        <v/>
      </c>
      <c r="BI72" s="92">
        <f>SUM(AY71:BH71)+BK72</f>
        <v/>
      </c>
      <c r="BJ72" s="92">
        <f>$BJ$7-(BI72-SUM(AO72:AX72))</f>
        <v/>
      </c>
      <c r="BK72" s="91">
        <f>SUMPRODUCT(AY71:BH71,$AY$6:$BH$6)/12</f>
        <v/>
      </c>
      <c r="BL72" s="88">
        <f>SUM(AY72:BH72)</f>
        <v/>
      </c>
    </row>
    <row r="73">
      <c r="A73" s="24" t="n">
        <v>63</v>
      </c>
      <c r="B73" s="90">
        <f>DATE(YEAR(Settings!$C$11),MONTH(Settings!$C$11)+A73,1)</f>
        <v/>
      </c>
      <c r="C73" s="91">
        <f>IF(C72&lt;0.005,0,MAX(0,C72*(1+C$6/12)-C$7))</f>
        <v/>
      </c>
      <c r="D73" s="91">
        <f>IF(D72&lt;0.005,0,MAX(0,D72*(1+D$6/12)-D$7))</f>
        <v/>
      </c>
      <c r="E73" s="91">
        <f>IF(E72&lt;0.005,0,MAX(0,E72*(1+E$6/12)-E$7))</f>
        <v/>
      </c>
      <c r="F73" s="91">
        <f>IF(F72&lt;0.005,0,MAX(0,F72*(1+F$6/12)-F$7))</f>
        <v/>
      </c>
      <c r="G73" s="91">
        <f>IF(G72&lt;0.005,0,MAX(0,G72*(1+G$6/12)-G$7))</f>
        <v/>
      </c>
      <c r="H73" s="91">
        <f>IF(H72&lt;0.005,0,MAX(0,H72*(1+H$6/12)-H$7))</f>
        <v/>
      </c>
      <c r="I73" s="91">
        <f>IF(I72&lt;0.005,0,MAX(0,I72*(1+I$6/12)-I$7))</f>
        <v/>
      </c>
      <c r="J73" s="91">
        <f>IF(J72&lt;0.005,0,MAX(0,J72*(1+J$6/12)-J$7))</f>
        <v/>
      </c>
      <c r="K73" s="91">
        <f>IF(K72&lt;0.005,0,MAX(0,K72*(1+K$6/12)-K$7))</f>
        <v/>
      </c>
      <c r="L73" s="91">
        <f>IF(L72&lt;0.005,0,MAX(0,L72*(1+L$6/12)-L$7))</f>
        <v/>
      </c>
      <c r="M73" s="91">
        <f>SUMPRODUCT(C72:L72,$C$6:$L$6)/12</f>
        <v/>
      </c>
      <c r="N73" s="88">
        <f>SUM(C73:L73)</f>
        <v/>
      </c>
      <c r="P73" s="92">
        <f>IF(Z72&lt;0.005,0,MAX(0,Z72*(1+Z$6/12)-Z$7))</f>
        <v/>
      </c>
      <c r="Q73" s="92">
        <f>IF(AA72&lt;0.005,0,MAX(0,AA72*(1+AA$6/12)-AA$7))</f>
        <v/>
      </c>
      <c r="R73" s="92">
        <f>IF(AB72&lt;0.005,0,MAX(0,AB72*(1+AB$6/12)-AB$7))</f>
        <v/>
      </c>
      <c r="S73" s="92">
        <f>IF(AC72&lt;0.005,0,MAX(0,AC72*(1+AC$6/12)-AC$7))</f>
        <v/>
      </c>
      <c r="T73" s="92">
        <f>IF(AD72&lt;0.005,0,MAX(0,AD72*(1+AD$6/12)-AD$7))</f>
        <v/>
      </c>
      <c r="U73" s="92">
        <f>IF(AE72&lt;0.005,0,MAX(0,AE72*(1+AE$6/12)-AE$7))</f>
        <v/>
      </c>
      <c r="V73" s="92">
        <f>IF(AF72&lt;0.005,0,MAX(0,AF72*(1+AF$6/12)-AF$7))</f>
        <v/>
      </c>
      <c r="W73" s="92">
        <f>IF(AG72&lt;0.005,0,MAX(0,AG72*(1+AG$6/12)-AG$7))</f>
        <v/>
      </c>
      <c r="X73" s="92">
        <f>IF(AH72&lt;0.005,0,MAX(0,AH72*(1+AH$6/12)-AH$7))</f>
        <v/>
      </c>
      <c r="Y73" s="92">
        <f>IF(AI72&lt;0.005,0,MAX(0,AI72*(1+AI$6/12)-AI$7))</f>
        <v/>
      </c>
      <c r="Z73" s="91">
        <f>MAX(0,P73-MAX(0,AK73-0))</f>
        <v/>
      </c>
      <c r="AA73" s="91">
        <f>MAX(0,Q73-MAX(0,AK73-SUM(P73:P73)))</f>
        <v/>
      </c>
      <c r="AB73" s="91">
        <f>MAX(0,R73-MAX(0,AK73-SUM(P73:Q73)))</f>
        <v/>
      </c>
      <c r="AC73" s="91">
        <f>MAX(0,S73-MAX(0,AK73-SUM(P73:R73)))</f>
        <v/>
      </c>
      <c r="AD73" s="91">
        <f>MAX(0,T73-MAX(0,AK73-SUM(P73:S73)))</f>
        <v/>
      </c>
      <c r="AE73" s="91">
        <f>MAX(0,U73-MAX(0,AK73-SUM(P73:T73)))</f>
        <v/>
      </c>
      <c r="AF73" s="91">
        <f>MAX(0,V73-MAX(0,AK73-SUM(P73:U73)))</f>
        <v/>
      </c>
      <c r="AG73" s="91">
        <f>MAX(0,W73-MAX(0,AK73-SUM(P73:V73)))</f>
        <v/>
      </c>
      <c r="AH73" s="91">
        <f>MAX(0,X73-MAX(0,AK73-SUM(P73:W73)))</f>
        <v/>
      </c>
      <c r="AI73" s="91">
        <f>MAX(0,Y73-MAX(0,AK73-SUM(P73:X73)))</f>
        <v/>
      </c>
      <c r="AJ73" s="92">
        <f>SUM(Z72:AI72)+AL73</f>
        <v/>
      </c>
      <c r="AK73" s="92">
        <f>$AK$7-(AJ73-SUM(P73:Y73))</f>
        <v/>
      </c>
      <c r="AL73" s="91">
        <f>SUMPRODUCT(Z72:AI72,$Z$6:$AI$6)/12</f>
        <v/>
      </c>
      <c r="AM73" s="88">
        <f>SUM(Z73:AI73)</f>
        <v/>
      </c>
      <c r="AO73" s="92">
        <f>IF(AY72&lt;0.005,0,MAX(0,AY72*(1+AY$6/12)-AY$7))</f>
        <v/>
      </c>
      <c r="AP73" s="92">
        <f>IF(AZ72&lt;0.005,0,MAX(0,AZ72*(1+AZ$6/12)-AZ$7))</f>
        <v/>
      </c>
      <c r="AQ73" s="92">
        <f>IF(BA72&lt;0.005,0,MAX(0,BA72*(1+BA$6/12)-BA$7))</f>
        <v/>
      </c>
      <c r="AR73" s="92">
        <f>IF(BB72&lt;0.005,0,MAX(0,BB72*(1+BB$6/12)-BB$7))</f>
        <v/>
      </c>
      <c r="AS73" s="92">
        <f>IF(BC72&lt;0.005,0,MAX(0,BC72*(1+BC$6/12)-BC$7))</f>
        <v/>
      </c>
      <c r="AT73" s="92">
        <f>IF(BD72&lt;0.005,0,MAX(0,BD72*(1+BD$6/12)-BD$7))</f>
        <v/>
      </c>
      <c r="AU73" s="92">
        <f>IF(BE72&lt;0.005,0,MAX(0,BE72*(1+BE$6/12)-BE$7))</f>
        <v/>
      </c>
      <c r="AV73" s="92">
        <f>IF(BF72&lt;0.005,0,MAX(0,BF72*(1+BF$6/12)-BF$7))</f>
        <v/>
      </c>
      <c r="AW73" s="92">
        <f>IF(BG72&lt;0.005,0,MAX(0,BG72*(1+BG$6/12)-BG$7))</f>
        <v/>
      </c>
      <c r="AX73" s="92">
        <f>IF(BH72&lt;0.005,0,MAX(0,BH72*(1+BH$6/12)-BH$7))</f>
        <v/>
      </c>
      <c r="AY73" s="91">
        <f>MAX(0,AO73-MAX(0,BJ73-0))</f>
        <v/>
      </c>
      <c r="AZ73" s="91">
        <f>MAX(0,AP73-MAX(0,BJ73-SUM(AO73:AO73)))</f>
        <v/>
      </c>
      <c r="BA73" s="91">
        <f>MAX(0,AQ73-MAX(0,BJ73-SUM(AO73:AP73)))</f>
        <v/>
      </c>
      <c r="BB73" s="91">
        <f>MAX(0,AR73-MAX(0,BJ73-SUM(AO73:AQ73)))</f>
        <v/>
      </c>
      <c r="BC73" s="91">
        <f>MAX(0,AS73-MAX(0,BJ73-SUM(AO73:AR73)))</f>
        <v/>
      </c>
      <c r="BD73" s="91">
        <f>MAX(0,AT73-MAX(0,BJ73-SUM(AO73:AS73)))</f>
        <v/>
      </c>
      <c r="BE73" s="91">
        <f>MAX(0,AU73-MAX(0,BJ73-SUM(AO73:AT73)))</f>
        <v/>
      </c>
      <c r="BF73" s="91">
        <f>MAX(0,AV73-MAX(0,BJ73-SUM(AO73:AU73)))</f>
        <v/>
      </c>
      <c r="BG73" s="91">
        <f>MAX(0,AW73-MAX(0,BJ73-SUM(AO73:AV73)))</f>
        <v/>
      </c>
      <c r="BH73" s="91">
        <f>MAX(0,AX73-MAX(0,BJ73-SUM(AO73:AW73)))</f>
        <v/>
      </c>
      <c r="BI73" s="92">
        <f>SUM(AY72:BH72)+BK73</f>
        <v/>
      </c>
      <c r="BJ73" s="92">
        <f>$BJ$7-(BI73-SUM(AO73:AX73))</f>
        <v/>
      </c>
      <c r="BK73" s="91">
        <f>SUMPRODUCT(AY72:BH72,$AY$6:$BH$6)/12</f>
        <v/>
      </c>
      <c r="BL73" s="88">
        <f>SUM(AY73:BH73)</f>
        <v/>
      </c>
    </row>
    <row r="74">
      <c r="A74" s="24" t="n">
        <v>64</v>
      </c>
      <c r="B74" s="90">
        <f>DATE(YEAR(Settings!$C$11),MONTH(Settings!$C$11)+A74,1)</f>
        <v/>
      </c>
      <c r="C74" s="91">
        <f>IF(C73&lt;0.005,0,MAX(0,C73*(1+C$6/12)-C$7))</f>
        <v/>
      </c>
      <c r="D74" s="91">
        <f>IF(D73&lt;0.005,0,MAX(0,D73*(1+D$6/12)-D$7))</f>
        <v/>
      </c>
      <c r="E74" s="91">
        <f>IF(E73&lt;0.005,0,MAX(0,E73*(1+E$6/12)-E$7))</f>
        <v/>
      </c>
      <c r="F74" s="91">
        <f>IF(F73&lt;0.005,0,MAX(0,F73*(1+F$6/12)-F$7))</f>
        <v/>
      </c>
      <c r="G74" s="91">
        <f>IF(G73&lt;0.005,0,MAX(0,G73*(1+G$6/12)-G$7))</f>
        <v/>
      </c>
      <c r="H74" s="91">
        <f>IF(H73&lt;0.005,0,MAX(0,H73*(1+H$6/12)-H$7))</f>
        <v/>
      </c>
      <c r="I74" s="91">
        <f>IF(I73&lt;0.005,0,MAX(0,I73*(1+I$6/12)-I$7))</f>
        <v/>
      </c>
      <c r="J74" s="91">
        <f>IF(J73&lt;0.005,0,MAX(0,J73*(1+J$6/12)-J$7))</f>
        <v/>
      </c>
      <c r="K74" s="91">
        <f>IF(K73&lt;0.005,0,MAX(0,K73*(1+K$6/12)-K$7))</f>
        <v/>
      </c>
      <c r="L74" s="91">
        <f>IF(L73&lt;0.005,0,MAX(0,L73*(1+L$6/12)-L$7))</f>
        <v/>
      </c>
      <c r="M74" s="91">
        <f>SUMPRODUCT(C73:L73,$C$6:$L$6)/12</f>
        <v/>
      </c>
      <c r="N74" s="88">
        <f>SUM(C74:L74)</f>
        <v/>
      </c>
      <c r="P74" s="92">
        <f>IF(Z73&lt;0.005,0,MAX(0,Z73*(1+Z$6/12)-Z$7))</f>
        <v/>
      </c>
      <c r="Q74" s="92">
        <f>IF(AA73&lt;0.005,0,MAX(0,AA73*(1+AA$6/12)-AA$7))</f>
        <v/>
      </c>
      <c r="R74" s="92">
        <f>IF(AB73&lt;0.005,0,MAX(0,AB73*(1+AB$6/12)-AB$7))</f>
        <v/>
      </c>
      <c r="S74" s="92">
        <f>IF(AC73&lt;0.005,0,MAX(0,AC73*(1+AC$6/12)-AC$7))</f>
        <v/>
      </c>
      <c r="T74" s="92">
        <f>IF(AD73&lt;0.005,0,MAX(0,AD73*(1+AD$6/12)-AD$7))</f>
        <v/>
      </c>
      <c r="U74" s="92">
        <f>IF(AE73&lt;0.005,0,MAX(0,AE73*(1+AE$6/12)-AE$7))</f>
        <v/>
      </c>
      <c r="V74" s="92">
        <f>IF(AF73&lt;0.005,0,MAX(0,AF73*(1+AF$6/12)-AF$7))</f>
        <v/>
      </c>
      <c r="W74" s="92">
        <f>IF(AG73&lt;0.005,0,MAX(0,AG73*(1+AG$6/12)-AG$7))</f>
        <v/>
      </c>
      <c r="X74" s="92">
        <f>IF(AH73&lt;0.005,0,MAX(0,AH73*(1+AH$6/12)-AH$7))</f>
        <v/>
      </c>
      <c r="Y74" s="92">
        <f>IF(AI73&lt;0.005,0,MAX(0,AI73*(1+AI$6/12)-AI$7))</f>
        <v/>
      </c>
      <c r="Z74" s="91">
        <f>MAX(0,P74-MAX(0,AK74-0))</f>
        <v/>
      </c>
      <c r="AA74" s="91">
        <f>MAX(0,Q74-MAX(0,AK74-SUM(P74:P74)))</f>
        <v/>
      </c>
      <c r="AB74" s="91">
        <f>MAX(0,R74-MAX(0,AK74-SUM(P74:Q74)))</f>
        <v/>
      </c>
      <c r="AC74" s="91">
        <f>MAX(0,S74-MAX(0,AK74-SUM(P74:R74)))</f>
        <v/>
      </c>
      <c r="AD74" s="91">
        <f>MAX(0,T74-MAX(0,AK74-SUM(P74:S74)))</f>
        <v/>
      </c>
      <c r="AE74" s="91">
        <f>MAX(0,U74-MAX(0,AK74-SUM(P74:T74)))</f>
        <v/>
      </c>
      <c r="AF74" s="91">
        <f>MAX(0,V74-MAX(0,AK74-SUM(P74:U74)))</f>
        <v/>
      </c>
      <c r="AG74" s="91">
        <f>MAX(0,W74-MAX(0,AK74-SUM(P74:V74)))</f>
        <v/>
      </c>
      <c r="AH74" s="91">
        <f>MAX(0,X74-MAX(0,AK74-SUM(P74:W74)))</f>
        <v/>
      </c>
      <c r="AI74" s="91">
        <f>MAX(0,Y74-MAX(0,AK74-SUM(P74:X74)))</f>
        <v/>
      </c>
      <c r="AJ74" s="92">
        <f>SUM(Z73:AI73)+AL74</f>
        <v/>
      </c>
      <c r="AK74" s="92">
        <f>$AK$7-(AJ74-SUM(P74:Y74))</f>
        <v/>
      </c>
      <c r="AL74" s="91">
        <f>SUMPRODUCT(Z73:AI73,$Z$6:$AI$6)/12</f>
        <v/>
      </c>
      <c r="AM74" s="88">
        <f>SUM(Z74:AI74)</f>
        <v/>
      </c>
      <c r="AO74" s="92">
        <f>IF(AY73&lt;0.005,0,MAX(0,AY73*(1+AY$6/12)-AY$7))</f>
        <v/>
      </c>
      <c r="AP74" s="92">
        <f>IF(AZ73&lt;0.005,0,MAX(0,AZ73*(1+AZ$6/12)-AZ$7))</f>
        <v/>
      </c>
      <c r="AQ74" s="92">
        <f>IF(BA73&lt;0.005,0,MAX(0,BA73*(1+BA$6/12)-BA$7))</f>
        <v/>
      </c>
      <c r="AR74" s="92">
        <f>IF(BB73&lt;0.005,0,MAX(0,BB73*(1+BB$6/12)-BB$7))</f>
        <v/>
      </c>
      <c r="AS74" s="92">
        <f>IF(BC73&lt;0.005,0,MAX(0,BC73*(1+BC$6/12)-BC$7))</f>
        <v/>
      </c>
      <c r="AT74" s="92">
        <f>IF(BD73&lt;0.005,0,MAX(0,BD73*(1+BD$6/12)-BD$7))</f>
        <v/>
      </c>
      <c r="AU74" s="92">
        <f>IF(BE73&lt;0.005,0,MAX(0,BE73*(1+BE$6/12)-BE$7))</f>
        <v/>
      </c>
      <c r="AV74" s="92">
        <f>IF(BF73&lt;0.005,0,MAX(0,BF73*(1+BF$6/12)-BF$7))</f>
        <v/>
      </c>
      <c r="AW74" s="92">
        <f>IF(BG73&lt;0.005,0,MAX(0,BG73*(1+BG$6/12)-BG$7))</f>
        <v/>
      </c>
      <c r="AX74" s="92">
        <f>IF(BH73&lt;0.005,0,MAX(0,BH73*(1+BH$6/12)-BH$7))</f>
        <v/>
      </c>
      <c r="AY74" s="91">
        <f>MAX(0,AO74-MAX(0,BJ74-0))</f>
        <v/>
      </c>
      <c r="AZ74" s="91">
        <f>MAX(0,AP74-MAX(0,BJ74-SUM(AO74:AO74)))</f>
        <v/>
      </c>
      <c r="BA74" s="91">
        <f>MAX(0,AQ74-MAX(0,BJ74-SUM(AO74:AP74)))</f>
        <v/>
      </c>
      <c r="BB74" s="91">
        <f>MAX(0,AR74-MAX(0,BJ74-SUM(AO74:AQ74)))</f>
        <v/>
      </c>
      <c r="BC74" s="91">
        <f>MAX(0,AS74-MAX(0,BJ74-SUM(AO74:AR74)))</f>
        <v/>
      </c>
      <c r="BD74" s="91">
        <f>MAX(0,AT74-MAX(0,BJ74-SUM(AO74:AS74)))</f>
        <v/>
      </c>
      <c r="BE74" s="91">
        <f>MAX(0,AU74-MAX(0,BJ74-SUM(AO74:AT74)))</f>
        <v/>
      </c>
      <c r="BF74" s="91">
        <f>MAX(0,AV74-MAX(0,BJ74-SUM(AO74:AU74)))</f>
        <v/>
      </c>
      <c r="BG74" s="91">
        <f>MAX(0,AW74-MAX(0,BJ74-SUM(AO74:AV74)))</f>
        <v/>
      </c>
      <c r="BH74" s="91">
        <f>MAX(0,AX74-MAX(0,BJ74-SUM(AO74:AW74)))</f>
        <v/>
      </c>
      <c r="BI74" s="92">
        <f>SUM(AY73:BH73)+BK74</f>
        <v/>
      </c>
      <c r="BJ74" s="92">
        <f>$BJ$7-(BI74-SUM(AO74:AX74))</f>
        <v/>
      </c>
      <c r="BK74" s="91">
        <f>SUMPRODUCT(AY73:BH73,$AY$6:$BH$6)/12</f>
        <v/>
      </c>
      <c r="BL74" s="88">
        <f>SUM(AY74:BH74)</f>
        <v/>
      </c>
    </row>
    <row r="75">
      <c r="A75" s="24" t="n">
        <v>65</v>
      </c>
      <c r="B75" s="90">
        <f>DATE(YEAR(Settings!$C$11),MONTH(Settings!$C$11)+A75,1)</f>
        <v/>
      </c>
      <c r="C75" s="91">
        <f>IF(C74&lt;0.005,0,MAX(0,C74*(1+C$6/12)-C$7))</f>
        <v/>
      </c>
      <c r="D75" s="91">
        <f>IF(D74&lt;0.005,0,MAX(0,D74*(1+D$6/12)-D$7))</f>
        <v/>
      </c>
      <c r="E75" s="91">
        <f>IF(E74&lt;0.005,0,MAX(0,E74*(1+E$6/12)-E$7))</f>
        <v/>
      </c>
      <c r="F75" s="91">
        <f>IF(F74&lt;0.005,0,MAX(0,F74*(1+F$6/12)-F$7))</f>
        <v/>
      </c>
      <c r="G75" s="91">
        <f>IF(G74&lt;0.005,0,MAX(0,G74*(1+G$6/12)-G$7))</f>
        <v/>
      </c>
      <c r="H75" s="91">
        <f>IF(H74&lt;0.005,0,MAX(0,H74*(1+H$6/12)-H$7))</f>
        <v/>
      </c>
      <c r="I75" s="91">
        <f>IF(I74&lt;0.005,0,MAX(0,I74*(1+I$6/12)-I$7))</f>
        <v/>
      </c>
      <c r="J75" s="91">
        <f>IF(J74&lt;0.005,0,MAX(0,J74*(1+J$6/12)-J$7))</f>
        <v/>
      </c>
      <c r="K75" s="91">
        <f>IF(K74&lt;0.005,0,MAX(0,K74*(1+K$6/12)-K$7))</f>
        <v/>
      </c>
      <c r="L75" s="91">
        <f>IF(L74&lt;0.005,0,MAX(0,L74*(1+L$6/12)-L$7))</f>
        <v/>
      </c>
      <c r="M75" s="91">
        <f>SUMPRODUCT(C74:L74,$C$6:$L$6)/12</f>
        <v/>
      </c>
      <c r="N75" s="88">
        <f>SUM(C75:L75)</f>
        <v/>
      </c>
      <c r="P75" s="92">
        <f>IF(Z74&lt;0.005,0,MAX(0,Z74*(1+Z$6/12)-Z$7))</f>
        <v/>
      </c>
      <c r="Q75" s="92">
        <f>IF(AA74&lt;0.005,0,MAX(0,AA74*(1+AA$6/12)-AA$7))</f>
        <v/>
      </c>
      <c r="R75" s="92">
        <f>IF(AB74&lt;0.005,0,MAX(0,AB74*(1+AB$6/12)-AB$7))</f>
        <v/>
      </c>
      <c r="S75" s="92">
        <f>IF(AC74&lt;0.005,0,MAX(0,AC74*(1+AC$6/12)-AC$7))</f>
        <v/>
      </c>
      <c r="T75" s="92">
        <f>IF(AD74&lt;0.005,0,MAX(0,AD74*(1+AD$6/12)-AD$7))</f>
        <v/>
      </c>
      <c r="U75" s="92">
        <f>IF(AE74&lt;0.005,0,MAX(0,AE74*(1+AE$6/12)-AE$7))</f>
        <v/>
      </c>
      <c r="V75" s="92">
        <f>IF(AF74&lt;0.005,0,MAX(0,AF74*(1+AF$6/12)-AF$7))</f>
        <v/>
      </c>
      <c r="W75" s="92">
        <f>IF(AG74&lt;0.005,0,MAX(0,AG74*(1+AG$6/12)-AG$7))</f>
        <v/>
      </c>
      <c r="X75" s="92">
        <f>IF(AH74&lt;0.005,0,MAX(0,AH74*(1+AH$6/12)-AH$7))</f>
        <v/>
      </c>
      <c r="Y75" s="92">
        <f>IF(AI74&lt;0.005,0,MAX(0,AI74*(1+AI$6/12)-AI$7))</f>
        <v/>
      </c>
      <c r="Z75" s="91">
        <f>MAX(0,P75-MAX(0,AK75-0))</f>
        <v/>
      </c>
      <c r="AA75" s="91">
        <f>MAX(0,Q75-MAX(0,AK75-SUM(P75:P75)))</f>
        <v/>
      </c>
      <c r="AB75" s="91">
        <f>MAX(0,R75-MAX(0,AK75-SUM(P75:Q75)))</f>
        <v/>
      </c>
      <c r="AC75" s="91">
        <f>MAX(0,S75-MAX(0,AK75-SUM(P75:R75)))</f>
        <v/>
      </c>
      <c r="AD75" s="91">
        <f>MAX(0,T75-MAX(0,AK75-SUM(P75:S75)))</f>
        <v/>
      </c>
      <c r="AE75" s="91">
        <f>MAX(0,U75-MAX(0,AK75-SUM(P75:T75)))</f>
        <v/>
      </c>
      <c r="AF75" s="91">
        <f>MAX(0,V75-MAX(0,AK75-SUM(P75:U75)))</f>
        <v/>
      </c>
      <c r="AG75" s="91">
        <f>MAX(0,W75-MAX(0,AK75-SUM(P75:V75)))</f>
        <v/>
      </c>
      <c r="AH75" s="91">
        <f>MAX(0,X75-MAX(0,AK75-SUM(P75:W75)))</f>
        <v/>
      </c>
      <c r="AI75" s="91">
        <f>MAX(0,Y75-MAX(0,AK75-SUM(P75:X75)))</f>
        <v/>
      </c>
      <c r="AJ75" s="92">
        <f>SUM(Z74:AI74)+AL75</f>
        <v/>
      </c>
      <c r="AK75" s="92">
        <f>$AK$7-(AJ75-SUM(P75:Y75))</f>
        <v/>
      </c>
      <c r="AL75" s="91">
        <f>SUMPRODUCT(Z74:AI74,$Z$6:$AI$6)/12</f>
        <v/>
      </c>
      <c r="AM75" s="88">
        <f>SUM(Z75:AI75)</f>
        <v/>
      </c>
      <c r="AO75" s="92">
        <f>IF(AY74&lt;0.005,0,MAX(0,AY74*(1+AY$6/12)-AY$7))</f>
        <v/>
      </c>
      <c r="AP75" s="92">
        <f>IF(AZ74&lt;0.005,0,MAX(0,AZ74*(1+AZ$6/12)-AZ$7))</f>
        <v/>
      </c>
      <c r="AQ75" s="92">
        <f>IF(BA74&lt;0.005,0,MAX(0,BA74*(1+BA$6/12)-BA$7))</f>
        <v/>
      </c>
      <c r="AR75" s="92">
        <f>IF(BB74&lt;0.005,0,MAX(0,BB74*(1+BB$6/12)-BB$7))</f>
        <v/>
      </c>
      <c r="AS75" s="92">
        <f>IF(BC74&lt;0.005,0,MAX(0,BC74*(1+BC$6/12)-BC$7))</f>
        <v/>
      </c>
      <c r="AT75" s="92">
        <f>IF(BD74&lt;0.005,0,MAX(0,BD74*(1+BD$6/12)-BD$7))</f>
        <v/>
      </c>
      <c r="AU75" s="92">
        <f>IF(BE74&lt;0.005,0,MAX(0,BE74*(1+BE$6/12)-BE$7))</f>
        <v/>
      </c>
      <c r="AV75" s="92">
        <f>IF(BF74&lt;0.005,0,MAX(0,BF74*(1+BF$6/12)-BF$7))</f>
        <v/>
      </c>
      <c r="AW75" s="92">
        <f>IF(BG74&lt;0.005,0,MAX(0,BG74*(1+BG$6/12)-BG$7))</f>
        <v/>
      </c>
      <c r="AX75" s="92">
        <f>IF(BH74&lt;0.005,0,MAX(0,BH74*(1+BH$6/12)-BH$7))</f>
        <v/>
      </c>
      <c r="AY75" s="91">
        <f>MAX(0,AO75-MAX(0,BJ75-0))</f>
        <v/>
      </c>
      <c r="AZ75" s="91">
        <f>MAX(0,AP75-MAX(0,BJ75-SUM(AO75:AO75)))</f>
        <v/>
      </c>
      <c r="BA75" s="91">
        <f>MAX(0,AQ75-MAX(0,BJ75-SUM(AO75:AP75)))</f>
        <v/>
      </c>
      <c r="BB75" s="91">
        <f>MAX(0,AR75-MAX(0,BJ75-SUM(AO75:AQ75)))</f>
        <v/>
      </c>
      <c r="BC75" s="91">
        <f>MAX(0,AS75-MAX(0,BJ75-SUM(AO75:AR75)))</f>
        <v/>
      </c>
      <c r="BD75" s="91">
        <f>MAX(0,AT75-MAX(0,BJ75-SUM(AO75:AS75)))</f>
        <v/>
      </c>
      <c r="BE75" s="91">
        <f>MAX(0,AU75-MAX(0,BJ75-SUM(AO75:AT75)))</f>
        <v/>
      </c>
      <c r="BF75" s="91">
        <f>MAX(0,AV75-MAX(0,BJ75-SUM(AO75:AU75)))</f>
        <v/>
      </c>
      <c r="BG75" s="91">
        <f>MAX(0,AW75-MAX(0,BJ75-SUM(AO75:AV75)))</f>
        <v/>
      </c>
      <c r="BH75" s="91">
        <f>MAX(0,AX75-MAX(0,BJ75-SUM(AO75:AW75)))</f>
        <v/>
      </c>
      <c r="BI75" s="92">
        <f>SUM(AY74:BH74)+BK75</f>
        <v/>
      </c>
      <c r="BJ75" s="92">
        <f>$BJ$7-(BI75-SUM(AO75:AX75))</f>
        <v/>
      </c>
      <c r="BK75" s="91">
        <f>SUMPRODUCT(AY74:BH74,$AY$6:$BH$6)/12</f>
        <v/>
      </c>
      <c r="BL75" s="88">
        <f>SUM(AY75:BH75)</f>
        <v/>
      </c>
    </row>
    <row r="76">
      <c r="A76" s="24" t="n">
        <v>66</v>
      </c>
      <c r="B76" s="90">
        <f>DATE(YEAR(Settings!$C$11),MONTH(Settings!$C$11)+A76,1)</f>
        <v/>
      </c>
      <c r="C76" s="91">
        <f>IF(C75&lt;0.005,0,MAX(0,C75*(1+C$6/12)-C$7))</f>
        <v/>
      </c>
      <c r="D76" s="91">
        <f>IF(D75&lt;0.005,0,MAX(0,D75*(1+D$6/12)-D$7))</f>
        <v/>
      </c>
      <c r="E76" s="91">
        <f>IF(E75&lt;0.005,0,MAX(0,E75*(1+E$6/12)-E$7))</f>
        <v/>
      </c>
      <c r="F76" s="91">
        <f>IF(F75&lt;0.005,0,MAX(0,F75*(1+F$6/12)-F$7))</f>
        <v/>
      </c>
      <c r="G76" s="91">
        <f>IF(G75&lt;0.005,0,MAX(0,G75*(1+G$6/12)-G$7))</f>
        <v/>
      </c>
      <c r="H76" s="91">
        <f>IF(H75&lt;0.005,0,MAX(0,H75*(1+H$6/12)-H$7))</f>
        <v/>
      </c>
      <c r="I76" s="91">
        <f>IF(I75&lt;0.005,0,MAX(0,I75*(1+I$6/12)-I$7))</f>
        <v/>
      </c>
      <c r="J76" s="91">
        <f>IF(J75&lt;0.005,0,MAX(0,J75*(1+J$6/12)-J$7))</f>
        <v/>
      </c>
      <c r="K76" s="91">
        <f>IF(K75&lt;0.005,0,MAX(0,K75*(1+K$6/12)-K$7))</f>
        <v/>
      </c>
      <c r="L76" s="91">
        <f>IF(L75&lt;0.005,0,MAX(0,L75*(1+L$6/12)-L$7))</f>
        <v/>
      </c>
      <c r="M76" s="91">
        <f>SUMPRODUCT(C75:L75,$C$6:$L$6)/12</f>
        <v/>
      </c>
      <c r="N76" s="88">
        <f>SUM(C76:L76)</f>
        <v/>
      </c>
      <c r="P76" s="92">
        <f>IF(Z75&lt;0.005,0,MAX(0,Z75*(1+Z$6/12)-Z$7))</f>
        <v/>
      </c>
      <c r="Q76" s="92">
        <f>IF(AA75&lt;0.005,0,MAX(0,AA75*(1+AA$6/12)-AA$7))</f>
        <v/>
      </c>
      <c r="R76" s="92">
        <f>IF(AB75&lt;0.005,0,MAX(0,AB75*(1+AB$6/12)-AB$7))</f>
        <v/>
      </c>
      <c r="S76" s="92">
        <f>IF(AC75&lt;0.005,0,MAX(0,AC75*(1+AC$6/12)-AC$7))</f>
        <v/>
      </c>
      <c r="T76" s="92">
        <f>IF(AD75&lt;0.005,0,MAX(0,AD75*(1+AD$6/12)-AD$7))</f>
        <v/>
      </c>
      <c r="U76" s="92">
        <f>IF(AE75&lt;0.005,0,MAX(0,AE75*(1+AE$6/12)-AE$7))</f>
        <v/>
      </c>
      <c r="V76" s="92">
        <f>IF(AF75&lt;0.005,0,MAX(0,AF75*(1+AF$6/12)-AF$7))</f>
        <v/>
      </c>
      <c r="W76" s="92">
        <f>IF(AG75&lt;0.005,0,MAX(0,AG75*(1+AG$6/12)-AG$7))</f>
        <v/>
      </c>
      <c r="X76" s="92">
        <f>IF(AH75&lt;0.005,0,MAX(0,AH75*(1+AH$6/12)-AH$7))</f>
        <v/>
      </c>
      <c r="Y76" s="92">
        <f>IF(AI75&lt;0.005,0,MAX(0,AI75*(1+AI$6/12)-AI$7))</f>
        <v/>
      </c>
      <c r="Z76" s="91">
        <f>MAX(0,P76-MAX(0,AK76-0))</f>
        <v/>
      </c>
      <c r="AA76" s="91">
        <f>MAX(0,Q76-MAX(0,AK76-SUM(P76:P76)))</f>
        <v/>
      </c>
      <c r="AB76" s="91">
        <f>MAX(0,R76-MAX(0,AK76-SUM(P76:Q76)))</f>
        <v/>
      </c>
      <c r="AC76" s="91">
        <f>MAX(0,S76-MAX(0,AK76-SUM(P76:R76)))</f>
        <v/>
      </c>
      <c r="AD76" s="91">
        <f>MAX(0,T76-MAX(0,AK76-SUM(P76:S76)))</f>
        <v/>
      </c>
      <c r="AE76" s="91">
        <f>MAX(0,U76-MAX(0,AK76-SUM(P76:T76)))</f>
        <v/>
      </c>
      <c r="AF76" s="91">
        <f>MAX(0,V76-MAX(0,AK76-SUM(P76:U76)))</f>
        <v/>
      </c>
      <c r="AG76" s="91">
        <f>MAX(0,W76-MAX(0,AK76-SUM(P76:V76)))</f>
        <v/>
      </c>
      <c r="AH76" s="91">
        <f>MAX(0,X76-MAX(0,AK76-SUM(P76:W76)))</f>
        <v/>
      </c>
      <c r="AI76" s="91">
        <f>MAX(0,Y76-MAX(0,AK76-SUM(P76:X76)))</f>
        <v/>
      </c>
      <c r="AJ76" s="92">
        <f>SUM(Z75:AI75)+AL76</f>
        <v/>
      </c>
      <c r="AK76" s="92">
        <f>$AK$7-(AJ76-SUM(P76:Y76))</f>
        <v/>
      </c>
      <c r="AL76" s="91">
        <f>SUMPRODUCT(Z75:AI75,$Z$6:$AI$6)/12</f>
        <v/>
      </c>
      <c r="AM76" s="88">
        <f>SUM(Z76:AI76)</f>
        <v/>
      </c>
      <c r="AO76" s="92">
        <f>IF(AY75&lt;0.005,0,MAX(0,AY75*(1+AY$6/12)-AY$7))</f>
        <v/>
      </c>
      <c r="AP76" s="92">
        <f>IF(AZ75&lt;0.005,0,MAX(0,AZ75*(1+AZ$6/12)-AZ$7))</f>
        <v/>
      </c>
      <c r="AQ76" s="92">
        <f>IF(BA75&lt;0.005,0,MAX(0,BA75*(1+BA$6/12)-BA$7))</f>
        <v/>
      </c>
      <c r="AR76" s="92">
        <f>IF(BB75&lt;0.005,0,MAX(0,BB75*(1+BB$6/12)-BB$7))</f>
        <v/>
      </c>
      <c r="AS76" s="92">
        <f>IF(BC75&lt;0.005,0,MAX(0,BC75*(1+BC$6/12)-BC$7))</f>
        <v/>
      </c>
      <c r="AT76" s="92">
        <f>IF(BD75&lt;0.005,0,MAX(0,BD75*(1+BD$6/12)-BD$7))</f>
        <v/>
      </c>
      <c r="AU76" s="92">
        <f>IF(BE75&lt;0.005,0,MAX(0,BE75*(1+BE$6/12)-BE$7))</f>
        <v/>
      </c>
      <c r="AV76" s="92">
        <f>IF(BF75&lt;0.005,0,MAX(0,BF75*(1+BF$6/12)-BF$7))</f>
        <v/>
      </c>
      <c r="AW76" s="92">
        <f>IF(BG75&lt;0.005,0,MAX(0,BG75*(1+BG$6/12)-BG$7))</f>
        <v/>
      </c>
      <c r="AX76" s="92">
        <f>IF(BH75&lt;0.005,0,MAX(0,BH75*(1+BH$6/12)-BH$7))</f>
        <v/>
      </c>
      <c r="AY76" s="91">
        <f>MAX(0,AO76-MAX(0,BJ76-0))</f>
        <v/>
      </c>
      <c r="AZ76" s="91">
        <f>MAX(0,AP76-MAX(0,BJ76-SUM(AO76:AO76)))</f>
        <v/>
      </c>
      <c r="BA76" s="91">
        <f>MAX(0,AQ76-MAX(0,BJ76-SUM(AO76:AP76)))</f>
        <v/>
      </c>
      <c r="BB76" s="91">
        <f>MAX(0,AR76-MAX(0,BJ76-SUM(AO76:AQ76)))</f>
        <v/>
      </c>
      <c r="BC76" s="91">
        <f>MAX(0,AS76-MAX(0,BJ76-SUM(AO76:AR76)))</f>
        <v/>
      </c>
      <c r="BD76" s="91">
        <f>MAX(0,AT76-MAX(0,BJ76-SUM(AO76:AS76)))</f>
        <v/>
      </c>
      <c r="BE76" s="91">
        <f>MAX(0,AU76-MAX(0,BJ76-SUM(AO76:AT76)))</f>
        <v/>
      </c>
      <c r="BF76" s="91">
        <f>MAX(0,AV76-MAX(0,BJ76-SUM(AO76:AU76)))</f>
        <v/>
      </c>
      <c r="BG76" s="91">
        <f>MAX(0,AW76-MAX(0,BJ76-SUM(AO76:AV76)))</f>
        <v/>
      </c>
      <c r="BH76" s="91">
        <f>MAX(0,AX76-MAX(0,BJ76-SUM(AO76:AW76)))</f>
        <v/>
      </c>
      <c r="BI76" s="92">
        <f>SUM(AY75:BH75)+BK76</f>
        <v/>
      </c>
      <c r="BJ76" s="92">
        <f>$BJ$7-(BI76-SUM(AO76:AX76))</f>
        <v/>
      </c>
      <c r="BK76" s="91">
        <f>SUMPRODUCT(AY75:BH75,$AY$6:$BH$6)/12</f>
        <v/>
      </c>
      <c r="BL76" s="88">
        <f>SUM(AY76:BH76)</f>
        <v/>
      </c>
    </row>
    <row r="77">
      <c r="A77" s="24" t="n">
        <v>67</v>
      </c>
      <c r="B77" s="90">
        <f>DATE(YEAR(Settings!$C$11),MONTH(Settings!$C$11)+A77,1)</f>
        <v/>
      </c>
      <c r="C77" s="91">
        <f>IF(C76&lt;0.005,0,MAX(0,C76*(1+C$6/12)-C$7))</f>
        <v/>
      </c>
      <c r="D77" s="91">
        <f>IF(D76&lt;0.005,0,MAX(0,D76*(1+D$6/12)-D$7))</f>
        <v/>
      </c>
      <c r="E77" s="91">
        <f>IF(E76&lt;0.005,0,MAX(0,E76*(1+E$6/12)-E$7))</f>
        <v/>
      </c>
      <c r="F77" s="91">
        <f>IF(F76&lt;0.005,0,MAX(0,F76*(1+F$6/12)-F$7))</f>
        <v/>
      </c>
      <c r="G77" s="91">
        <f>IF(G76&lt;0.005,0,MAX(0,G76*(1+G$6/12)-G$7))</f>
        <v/>
      </c>
      <c r="H77" s="91">
        <f>IF(H76&lt;0.005,0,MAX(0,H76*(1+H$6/12)-H$7))</f>
        <v/>
      </c>
      <c r="I77" s="91">
        <f>IF(I76&lt;0.005,0,MAX(0,I76*(1+I$6/12)-I$7))</f>
        <v/>
      </c>
      <c r="J77" s="91">
        <f>IF(J76&lt;0.005,0,MAX(0,J76*(1+J$6/12)-J$7))</f>
        <v/>
      </c>
      <c r="K77" s="91">
        <f>IF(K76&lt;0.005,0,MAX(0,K76*(1+K$6/12)-K$7))</f>
        <v/>
      </c>
      <c r="L77" s="91">
        <f>IF(L76&lt;0.005,0,MAX(0,L76*(1+L$6/12)-L$7))</f>
        <v/>
      </c>
      <c r="M77" s="91">
        <f>SUMPRODUCT(C76:L76,$C$6:$L$6)/12</f>
        <v/>
      </c>
      <c r="N77" s="88">
        <f>SUM(C77:L77)</f>
        <v/>
      </c>
      <c r="P77" s="92">
        <f>IF(Z76&lt;0.005,0,MAX(0,Z76*(1+Z$6/12)-Z$7))</f>
        <v/>
      </c>
      <c r="Q77" s="92">
        <f>IF(AA76&lt;0.005,0,MAX(0,AA76*(1+AA$6/12)-AA$7))</f>
        <v/>
      </c>
      <c r="R77" s="92">
        <f>IF(AB76&lt;0.005,0,MAX(0,AB76*(1+AB$6/12)-AB$7))</f>
        <v/>
      </c>
      <c r="S77" s="92">
        <f>IF(AC76&lt;0.005,0,MAX(0,AC76*(1+AC$6/12)-AC$7))</f>
        <v/>
      </c>
      <c r="T77" s="92">
        <f>IF(AD76&lt;0.005,0,MAX(0,AD76*(1+AD$6/12)-AD$7))</f>
        <v/>
      </c>
      <c r="U77" s="92">
        <f>IF(AE76&lt;0.005,0,MAX(0,AE76*(1+AE$6/12)-AE$7))</f>
        <v/>
      </c>
      <c r="V77" s="92">
        <f>IF(AF76&lt;0.005,0,MAX(0,AF76*(1+AF$6/12)-AF$7))</f>
        <v/>
      </c>
      <c r="W77" s="92">
        <f>IF(AG76&lt;0.005,0,MAX(0,AG76*(1+AG$6/12)-AG$7))</f>
        <v/>
      </c>
      <c r="X77" s="92">
        <f>IF(AH76&lt;0.005,0,MAX(0,AH76*(1+AH$6/12)-AH$7))</f>
        <v/>
      </c>
      <c r="Y77" s="92">
        <f>IF(AI76&lt;0.005,0,MAX(0,AI76*(1+AI$6/12)-AI$7))</f>
        <v/>
      </c>
      <c r="Z77" s="91">
        <f>MAX(0,P77-MAX(0,AK77-0))</f>
        <v/>
      </c>
      <c r="AA77" s="91">
        <f>MAX(0,Q77-MAX(0,AK77-SUM(P77:P77)))</f>
        <v/>
      </c>
      <c r="AB77" s="91">
        <f>MAX(0,R77-MAX(0,AK77-SUM(P77:Q77)))</f>
        <v/>
      </c>
      <c r="AC77" s="91">
        <f>MAX(0,S77-MAX(0,AK77-SUM(P77:R77)))</f>
        <v/>
      </c>
      <c r="AD77" s="91">
        <f>MAX(0,T77-MAX(0,AK77-SUM(P77:S77)))</f>
        <v/>
      </c>
      <c r="AE77" s="91">
        <f>MAX(0,U77-MAX(0,AK77-SUM(P77:T77)))</f>
        <v/>
      </c>
      <c r="AF77" s="91">
        <f>MAX(0,V77-MAX(0,AK77-SUM(P77:U77)))</f>
        <v/>
      </c>
      <c r="AG77" s="91">
        <f>MAX(0,W77-MAX(0,AK77-SUM(P77:V77)))</f>
        <v/>
      </c>
      <c r="AH77" s="91">
        <f>MAX(0,X77-MAX(0,AK77-SUM(P77:W77)))</f>
        <v/>
      </c>
      <c r="AI77" s="91">
        <f>MAX(0,Y77-MAX(0,AK77-SUM(P77:X77)))</f>
        <v/>
      </c>
      <c r="AJ77" s="92">
        <f>SUM(Z76:AI76)+AL77</f>
        <v/>
      </c>
      <c r="AK77" s="92">
        <f>$AK$7-(AJ77-SUM(P77:Y77))</f>
        <v/>
      </c>
      <c r="AL77" s="91">
        <f>SUMPRODUCT(Z76:AI76,$Z$6:$AI$6)/12</f>
        <v/>
      </c>
      <c r="AM77" s="88">
        <f>SUM(Z77:AI77)</f>
        <v/>
      </c>
      <c r="AO77" s="92">
        <f>IF(AY76&lt;0.005,0,MAX(0,AY76*(1+AY$6/12)-AY$7))</f>
        <v/>
      </c>
      <c r="AP77" s="92">
        <f>IF(AZ76&lt;0.005,0,MAX(0,AZ76*(1+AZ$6/12)-AZ$7))</f>
        <v/>
      </c>
      <c r="AQ77" s="92">
        <f>IF(BA76&lt;0.005,0,MAX(0,BA76*(1+BA$6/12)-BA$7))</f>
        <v/>
      </c>
      <c r="AR77" s="92">
        <f>IF(BB76&lt;0.005,0,MAX(0,BB76*(1+BB$6/12)-BB$7))</f>
        <v/>
      </c>
      <c r="AS77" s="92">
        <f>IF(BC76&lt;0.005,0,MAX(0,BC76*(1+BC$6/12)-BC$7))</f>
        <v/>
      </c>
      <c r="AT77" s="92">
        <f>IF(BD76&lt;0.005,0,MAX(0,BD76*(1+BD$6/12)-BD$7))</f>
        <v/>
      </c>
      <c r="AU77" s="92">
        <f>IF(BE76&lt;0.005,0,MAX(0,BE76*(1+BE$6/12)-BE$7))</f>
        <v/>
      </c>
      <c r="AV77" s="92">
        <f>IF(BF76&lt;0.005,0,MAX(0,BF76*(1+BF$6/12)-BF$7))</f>
        <v/>
      </c>
      <c r="AW77" s="92">
        <f>IF(BG76&lt;0.005,0,MAX(0,BG76*(1+BG$6/12)-BG$7))</f>
        <v/>
      </c>
      <c r="AX77" s="92">
        <f>IF(BH76&lt;0.005,0,MAX(0,BH76*(1+BH$6/12)-BH$7))</f>
        <v/>
      </c>
      <c r="AY77" s="91">
        <f>MAX(0,AO77-MAX(0,BJ77-0))</f>
        <v/>
      </c>
      <c r="AZ77" s="91">
        <f>MAX(0,AP77-MAX(0,BJ77-SUM(AO77:AO77)))</f>
        <v/>
      </c>
      <c r="BA77" s="91">
        <f>MAX(0,AQ77-MAX(0,BJ77-SUM(AO77:AP77)))</f>
        <v/>
      </c>
      <c r="BB77" s="91">
        <f>MAX(0,AR77-MAX(0,BJ77-SUM(AO77:AQ77)))</f>
        <v/>
      </c>
      <c r="BC77" s="91">
        <f>MAX(0,AS77-MAX(0,BJ77-SUM(AO77:AR77)))</f>
        <v/>
      </c>
      <c r="BD77" s="91">
        <f>MAX(0,AT77-MAX(0,BJ77-SUM(AO77:AS77)))</f>
        <v/>
      </c>
      <c r="BE77" s="91">
        <f>MAX(0,AU77-MAX(0,BJ77-SUM(AO77:AT77)))</f>
        <v/>
      </c>
      <c r="BF77" s="91">
        <f>MAX(0,AV77-MAX(0,BJ77-SUM(AO77:AU77)))</f>
        <v/>
      </c>
      <c r="BG77" s="91">
        <f>MAX(0,AW77-MAX(0,BJ77-SUM(AO77:AV77)))</f>
        <v/>
      </c>
      <c r="BH77" s="91">
        <f>MAX(0,AX77-MAX(0,BJ77-SUM(AO77:AW77)))</f>
        <v/>
      </c>
      <c r="BI77" s="92">
        <f>SUM(AY76:BH76)+BK77</f>
        <v/>
      </c>
      <c r="BJ77" s="92">
        <f>$BJ$7-(BI77-SUM(AO77:AX77))</f>
        <v/>
      </c>
      <c r="BK77" s="91">
        <f>SUMPRODUCT(AY76:BH76,$AY$6:$BH$6)/12</f>
        <v/>
      </c>
      <c r="BL77" s="88">
        <f>SUM(AY77:BH77)</f>
        <v/>
      </c>
    </row>
    <row r="78">
      <c r="A78" s="24" t="n">
        <v>68</v>
      </c>
      <c r="B78" s="90">
        <f>DATE(YEAR(Settings!$C$11),MONTH(Settings!$C$11)+A78,1)</f>
        <v/>
      </c>
      <c r="C78" s="91">
        <f>IF(C77&lt;0.005,0,MAX(0,C77*(1+C$6/12)-C$7))</f>
        <v/>
      </c>
      <c r="D78" s="91">
        <f>IF(D77&lt;0.005,0,MAX(0,D77*(1+D$6/12)-D$7))</f>
        <v/>
      </c>
      <c r="E78" s="91">
        <f>IF(E77&lt;0.005,0,MAX(0,E77*(1+E$6/12)-E$7))</f>
        <v/>
      </c>
      <c r="F78" s="91">
        <f>IF(F77&lt;0.005,0,MAX(0,F77*(1+F$6/12)-F$7))</f>
        <v/>
      </c>
      <c r="G78" s="91">
        <f>IF(G77&lt;0.005,0,MAX(0,G77*(1+G$6/12)-G$7))</f>
        <v/>
      </c>
      <c r="H78" s="91">
        <f>IF(H77&lt;0.005,0,MAX(0,H77*(1+H$6/12)-H$7))</f>
        <v/>
      </c>
      <c r="I78" s="91">
        <f>IF(I77&lt;0.005,0,MAX(0,I77*(1+I$6/12)-I$7))</f>
        <v/>
      </c>
      <c r="J78" s="91">
        <f>IF(J77&lt;0.005,0,MAX(0,J77*(1+J$6/12)-J$7))</f>
        <v/>
      </c>
      <c r="K78" s="91">
        <f>IF(K77&lt;0.005,0,MAX(0,K77*(1+K$6/12)-K$7))</f>
        <v/>
      </c>
      <c r="L78" s="91">
        <f>IF(L77&lt;0.005,0,MAX(0,L77*(1+L$6/12)-L$7))</f>
        <v/>
      </c>
      <c r="M78" s="91">
        <f>SUMPRODUCT(C77:L77,$C$6:$L$6)/12</f>
        <v/>
      </c>
      <c r="N78" s="88">
        <f>SUM(C78:L78)</f>
        <v/>
      </c>
      <c r="P78" s="92">
        <f>IF(Z77&lt;0.005,0,MAX(0,Z77*(1+Z$6/12)-Z$7))</f>
        <v/>
      </c>
      <c r="Q78" s="92">
        <f>IF(AA77&lt;0.005,0,MAX(0,AA77*(1+AA$6/12)-AA$7))</f>
        <v/>
      </c>
      <c r="R78" s="92">
        <f>IF(AB77&lt;0.005,0,MAX(0,AB77*(1+AB$6/12)-AB$7))</f>
        <v/>
      </c>
      <c r="S78" s="92">
        <f>IF(AC77&lt;0.005,0,MAX(0,AC77*(1+AC$6/12)-AC$7))</f>
        <v/>
      </c>
      <c r="T78" s="92">
        <f>IF(AD77&lt;0.005,0,MAX(0,AD77*(1+AD$6/12)-AD$7))</f>
        <v/>
      </c>
      <c r="U78" s="92">
        <f>IF(AE77&lt;0.005,0,MAX(0,AE77*(1+AE$6/12)-AE$7))</f>
        <v/>
      </c>
      <c r="V78" s="92">
        <f>IF(AF77&lt;0.005,0,MAX(0,AF77*(1+AF$6/12)-AF$7))</f>
        <v/>
      </c>
      <c r="W78" s="92">
        <f>IF(AG77&lt;0.005,0,MAX(0,AG77*(1+AG$6/12)-AG$7))</f>
        <v/>
      </c>
      <c r="X78" s="92">
        <f>IF(AH77&lt;0.005,0,MAX(0,AH77*(1+AH$6/12)-AH$7))</f>
        <v/>
      </c>
      <c r="Y78" s="92">
        <f>IF(AI77&lt;0.005,0,MAX(0,AI77*(1+AI$6/12)-AI$7))</f>
        <v/>
      </c>
      <c r="Z78" s="91">
        <f>MAX(0,P78-MAX(0,AK78-0))</f>
        <v/>
      </c>
      <c r="AA78" s="91">
        <f>MAX(0,Q78-MAX(0,AK78-SUM(P78:P78)))</f>
        <v/>
      </c>
      <c r="AB78" s="91">
        <f>MAX(0,R78-MAX(0,AK78-SUM(P78:Q78)))</f>
        <v/>
      </c>
      <c r="AC78" s="91">
        <f>MAX(0,S78-MAX(0,AK78-SUM(P78:R78)))</f>
        <v/>
      </c>
      <c r="AD78" s="91">
        <f>MAX(0,T78-MAX(0,AK78-SUM(P78:S78)))</f>
        <v/>
      </c>
      <c r="AE78" s="91">
        <f>MAX(0,U78-MAX(0,AK78-SUM(P78:T78)))</f>
        <v/>
      </c>
      <c r="AF78" s="91">
        <f>MAX(0,V78-MAX(0,AK78-SUM(P78:U78)))</f>
        <v/>
      </c>
      <c r="AG78" s="91">
        <f>MAX(0,W78-MAX(0,AK78-SUM(P78:V78)))</f>
        <v/>
      </c>
      <c r="AH78" s="91">
        <f>MAX(0,X78-MAX(0,AK78-SUM(P78:W78)))</f>
        <v/>
      </c>
      <c r="AI78" s="91">
        <f>MAX(0,Y78-MAX(0,AK78-SUM(P78:X78)))</f>
        <v/>
      </c>
      <c r="AJ78" s="92">
        <f>SUM(Z77:AI77)+AL78</f>
        <v/>
      </c>
      <c r="AK78" s="92">
        <f>$AK$7-(AJ78-SUM(P78:Y78))</f>
        <v/>
      </c>
      <c r="AL78" s="91">
        <f>SUMPRODUCT(Z77:AI77,$Z$6:$AI$6)/12</f>
        <v/>
      </c>
      <c r="AM78" s="88">
        <f>SUM(Z78:AI78)</f>
        <v/>
      </c>
      <c r="AO78" s="92">
        <f>IF(AY77&lt;0.005,0,MAX(0,AY77*(1+AY$6/12)-AY$7))</f>
        <v/>
      </c>
      <c r="AP78" s="92">
        <f>IF(AZ77&lt;0.005,0,MAX(0,AZ77*(1+AZ$6/12)-AZ$7))</f>
        <v/>
      </c>
      <c r="AQ78" s="92">
        <f>IF(BA77&lt;0.005,0,MAX(0,BA77*(1+BA$6/12)-BA$7))</f>
        <v/>
      </c>
      <c r="AR78" s="92">
        <f>IF(BB77&lt;0.005,0,MAX(0,BB77*(1+BB$6/12)-BB$7))</f>
        <v/>
      </c>
      <c r="AS78" s="92">
        <f>IF(BC77&lt;0.005,0,MAX(0,BC77*(1+BC$6/12)-BC$7))</f>
        <v/>
      </c>
      <c r="AT78" s="92">
        <f>IF(BD77&lt;0.005,0,MAX(0,BD77*(1+BD$6/12)-BD$7))</f>
        <v/>
      </c>
      <c r="AU78" s="92">
        <f>IF(BE77&lt;0.005,0,MAX(0,BE77*(1+BE$6/12)-BE$7))</f>
        <v/>
      </c>
      <c r="AV78" s="92">
        <f>IF(BF77&lt;0.005,0,MAX(0,BF77*(1+BF$6/12)-BF$7))</f>
        <v/>
      </c>
      <c r="AW78" s="92">
        <f>IF(BG77&lt;0.005,0,MAX(0,BG77*(1+BG$6/12)-BG$7))</f>
        <v/>
      </c>
      <c r="AX78" s="92">
        <f>IF(BH77&lt;0.005,0,MAX(0,BH77*(1+BH$6/12)-BH$7))</f>
        <v/>
      </c>
      <c r="AY78" s="91">
        <f>MAX(0,AO78-MAX(0,BJ78-0))</f>
        <v/>
      </c>
      <c r="AZ78" s="91">
        <f>MAX(0,AP78-MAX(0,BJ78-SUM(AO78:AO78)))</f>
        <v/>
      </c>
      <c r="BA78" s="91">
        <f>MAX(0,AQ78-MAX(0,BJ78-SUM(AO78:AP78)))</f>
        <v/>
      </c>
      <c r="BB78" s="91">
        <f>MAX(0,AR78-MAX(0,BJ78-SUM(AO78:AQ78)))</f>
        <v/>
      </c>
      <c r="BC78" s="91">
        <f>MAX(0,AS78-MAX(0,BJ78-SUM(AO78:AR78)))</f>
        <v/>
      </c>
      <c r="BD78" s="91">
        <f>MAX(0,AT78-MAX(0,BJ78-SUM(AO78:AS78)))</f>
        <v/>
      </c>
      <c r="BE78" s="91">
        <f>MAX(0,AU78-MAX(0,BJ78-SUM(AO78:AT78)))</f>
        <v/>
      </c>
      <c r="BF78" s="91">
        <f>MAX(0,AV78-MAX(0,BJ78-SUM(AO78:AU78)))</f>
        <v/>
      </c>
      <c r="BG78" s="91">
        <f>MAX(0,AW78-MAX(0,BJ78-SUM(AO78:AV78)))</f>
        <v/>
      </c>
      <c r="BH78" s="91">
        <f>MAX(0,AX78-MAX(0,BJ78-SUM(AO78:AW78)))</f>
        <v/>
      </c>
      <c r="BI78" s="92">
        <f>SUM(AY77:BH77)+BK78</f>
        <v/>
      </c>
      <c r="BJ78" s="92">
        <f>$BJ$7-(BI78-SUM(AO78:AX78))</f>
        <v/>
      </c>
      <c r="BK78" s="91">
        <f>SUMPRODUCT(AY77:BH77,$AY$6:$BH$6)/12</f>
        <v/>
      </c>
      <c r="BL78" s="88">
        <f>SUM(AY78:BH78)</f>
        <v/>
      </c>
    </row>
    <row r="79">
      <c r="A79" s="24" t="n">
        <v>69</v>
      </c>
      <c r="B79" s="90">
        <f>DATE(YEAR(Settings!$C$11),MONTH(Settings!$C$11)+A79,1)</f>
        <v/>
      </c>
      <c r="C79" s="91">
        <f>IF(C78&lt;0.005,0,MAX(0,C78*(1+C$6/12)-C$7))</f>
        <v/>
      </c>
      <c r="D79" s="91">
        <f>IF(D78&lt;0.005,0,MAX(0,D78*(1+D$6/12)-D$7))</f>
        <v/>
      </c>
      <c r="E79" s="91">
        <f>IF(E78&lt;0.005,0,MAX(0,E78*(1+E$6/12)-E$7))</f>
        <v/>
      </c>
      <c r="F79" s="91">
        <f>IF(F78&lt;0.005,0,MAX(0,F78*(1+F$6/12)-F$7))</f>
        <v/>
      </c>
      <c r="G79" s="91">
        <f>IF(G78&lt;0.005,0,MAX(0,G78*(1+G$6/12)-G$7))</f>
        <v/>
      </c>
      <c r="H79" s="91">
        <f>IF(H78&lt;0.005,0,MAX(0,H78*(1+H$6/12)-H$7))</f>
        <v/>
      </c>
      <c r="I79" s="91">
        <f>IF(I78&lt;0.005,0,MAX(0,I78*(1+I$6/12)-I$7))</f>
        <v/>
      </c>
      <c r="J79" s="91">
        <f>IF(J78&lt;0.005,0,MAX(0,J78*(1+J$6/12)-J$7))</f>
        <v/>
      </c>
      <c r="K79" s="91">
        <f>IF(K78&lt;0.005,0,MAX(0,K78*(1+K$6/12)-K$7))</f>
        <v/>
      </c>
      <c r="L79" s="91">
        <f>IF(L78&lt;0.005,0,MAX(0,L78*(1+L$6/12)-L$7))</f>
        <v/>
      </c>
      <c r="M79" s="91">
        <f>SUMPRODUCT(C78:L78,$C$6:$L$6)/12</f>
        <v/>
      </c>
      <c r="N79" s="88">
        <f>SUM(C79:L79)</f>
        <v/>
      </c>
      <c r="P79" s="92">
        <f>IF(Z78&lt;0.005,0,MAX(0,Z78*(1+Z$6/12)-Z$7))</f>
        <v/>
      </c>
      <c r="Q79" s="92">
        <f>IF(AA78&lt;0.005,0,MAX(0,AA78*(1+AA$6/12)-AA$7))</f>
        <v/>
      </c>
      <c r="R79" s="92">
        <f>IF(AB78&lt;0.005,0,MAX(0,AB78*(1+AB$6/12)-AB$7))</f>
        <v/>
      </c>
      <c r="S79" s="92">
        <f>IF(AC78&lt;0.005,0,MAX(0,AC78*(1+AC$6/12)-AC$7))</f>
        <v/>
      </c>
      <c r="T79" s="92">
        <f>IF(AD78&lt;0.005,0,MAX(0,AD78*(1+AD$6/12)-AD$7))</f>
        <v/>
      </c>
      <c r="U79" s="92">
        <f>IF(AE78&lt;0.005,0,MAX(0,AE78*(1+AE$6/12)-AE$7))</f>
        <v/>
      </c>
      <c r="V79" s="92">
        <f>IF(AF78&lt;0.005,0,MAX(0,AF78*(1+AF$6/12)-AF$7))</f>
        <v/>
      </c>
      <c r="W79" s="92">
        <f>IF(AG78&lt;0.005,0,MAX(0,AG78*(1+AG$6/12)-AG$7))</f>
        <v/>
      </c>
      <c r="X79" s="92">
        <f>IF(AH78&lt;0.005,0,MAX(0,AH78*(1+AH$6/12)-AH$7))</f>
        <v/>
      </c>
      <c r="Y79" s="92">
        <f>IF(AI78&lt;0.005,0,MAX(0,AI78*(1+AI$6/12)-AI$7))</f>
        <v/>
      </c>
      <c r="Z79" s="91">
        <f>MAX(0,P79-MAX(0,AK79-0))</f>
        <v/>
      </c>
      <c r="AA79" s="91">
        <f>MAX(0,Q79-MAX(0,AK79-SUM(P79:P79)))</f>
        <v/>
      </c>
      <c r="AB79" s="91">
        <f>MAX(0,R79-MAX(0,AK79-SUM(P79:Q79)))</f>
        <v/>
      </c>
      <c r="AC79" s="91">
        <f>MAX(0,S79-MAX(0,AK79-SUM(P79:R79)))</f>
        <v/>
      </c>
      <c r="AD79" s="91">
        <f>MAX(0,T79-MAX(0,AK79-SUM(P79:S79)))</f>
        <v/>
      </c>
      <c r="AE79" s="91">
        <f>MAX(0,U79-MAX(0,AK79-SUM(P79:T79)))</f>
        <v/>
      </c>
      <c r="AF79" s="91">
        <f>MAX(0,V79-MAX(0,AK79-SUM(P79:U79)))</f>
        <v/>
      </c>
      <c r="AG79" s="91">
        <f>MAX(0,W79-MAX(0,AK79-SUM(P79:V79)))</f>
        <v/>
      </c>
      <c r="AH79" s="91">
        <f>MAX(0,X79-MAX(0,AK79-SUM(P79:W79)))</f>
        <v/>
      </c>
      <c r="AI79" s="91">
        <f>MAX(0,Y79-MAX(0,AK79-SUM(P79:X79)))</f>
        <v/>
      </c>
      <c r="AJ79" s="92">
        <f>SUM(Z78:AI78)+AL79</f>
        <v/>
      </c>
      <c r="AK79" s="92">
        <f>$AK$7-(AJ79-SUM(P79:Y79))</f>
        <v/>
      </c>
      <c r="AL79" s="91">
        <f>SUMPRODUCT(Z78:AI78,$Z$6:$AI$6)/12</f>
        <v/>
      </c>
      <c r="AM79" s="88">
        <f>SUM(Z79:AI79)</f>
        <v/>
      </c>
      <c r="AO79" s="92">
        <f>IF(AY78&lt;0.005,0,MAX(0,AY78*(1+AY$6/12)-AY$7))</f>
        <v/>
      </c>
      <c r="AP79" s="92">
        <f>IF(AZ78&lt;0.005,0,MAX(0,AZ78*(1+AZ$6/12)-AZ$7))</f>
        <v/>
      </c>
      <c r="AQ79" s="92">
        <f>IF(BA78&lt;0.005,0,MAX(0,BA78*(1+BA$6/12)-BA$7))</f>
        <v/>
      </c>
      <c r="AR79" s="92">
        <f>IF(BB78&lt;0.005,0,MAX(0,BB78*(1+BB$6/12)-BB$7))</f>
        <v/>
      </c>
      <c r="AS79" s="92">
        <f>IF(BC78&lt;0.005,0,MAX(0,BC78*(1+BC$6/12)-BC$7))</f>
        <v/>
      </c>
      <c r="AT79" s="92">
        <f>IF(BD78&lt;0.005,0,MAX(0,BD78*(1+BD$6/12)-BD$7))</f>
        <v/>
      </c>
      <c r="AU79" s="92">
        <f>IF(BE78&lt;0.005,0,MAX(0,BE78*(1+BE$6/12)-BE$7))</f>
        <v/>
      </c>
      <c r="AV79" s="92">
        <f>IF(BF78&lt;0.005,0,MAX(0,BF78*(1+BF$6/12)-BF$7))</f>
        <v/>
      </c>
      <c r="AW79" s="92">
        <f>IF(BG78&lt;0.005,0,MAX(0,BG78*(1+BG$6/12)-BG$7))</f>
        <v/>
      </c>
      <c r="AX79" s="92">
        <f>IF(BH78&lt;0.005,0,MAX(0,BH78*(1+BH$6/12)-BH$7))</f>
        <v/>
      </c>
      <c r="AY79" s="91">
        <f>MAX(0,AO79-MAX(0,BJ79-0))</f>
        <v/>
      </c>
      <c r="AZ79" s="91">
        <f>MAX(0,AP79-MAX(0,BJ79-SUM(AO79:AO79)))</f>
        <v/>
      </c>
      <c r="BA79" s="91">
        <f>MAX(0,AQ79-MAX(0,BJ79-SUM(AO79:AP79)))</f>
        <v/>
      </c>
      <c r="BB79" s="91">
        <f>MAX(0,AR79-MAX(0,BJ79-SUM(AO79:AQ79)))</f>
        <v/>
      </c>
      <c r="BC79" s="91">
        <f>MAX(0,AS79-MAX(0,BJ79-SUM(AO79:AR79)))</f>
        <v/>
      </c>
      <c r="BD79" s="91">
        <f>MAX(0,AT79-MAX(0,BJ79-SUM(AO79:AS79)))</f>
        <v/>
      </c>
      <c r="BE79" s="91">
        <f>MAX(0,AU79-MAX(0,BJ79-SUM(AO79:AT79)))</f>
        <v/>
      </c>
      <c r="BF79" s="91">
        <f>MAX(0,AV79-MAX(0,BJ79-SUM(AO79:AU79)))</f>
        <v/>
      </c>
      <c r="BG79" s="91">
        <f>MAX(0,AW79-MAX(0,BJ79-SUM(AO79:AV79)))</f>
        <v/>
      </c>
      <c r="BH79" s="91">
        <f>MAX(0,AX79-MAX(0,BJ79-SUM(AO79:AW79)))</f>
        <v/>
      </c>
      <c r="BI79" s="92">
        <f>SUM(AY78:BH78)+BK79</f>
        <v/>
      </c>
      <c r="BJ79" s="92">
        <f>$BJ$7-(BI79-SUM(AO79:AX79))</f>
        <v/>
      </c>
      <c r="BK79" s="91">
        <f>SUMPRODUCT(AY78:BH78,$AY$6:$BH$6)/12</f>
        <v/>
      </c>
      <c r="BL79" s="88">
        <f>SUM(AY79:BH79)</f>
        <v/>
      </c>
    </row>
    <row r="80">
      <c r="A80" s="24" t="n">
        <v>70</v>
      </c>
      <c r="B80" s="90">
        <f>DATE(YEAR(Settings!$C$11),MONTH(Settings!$C$11)+A80,1)</f>
        <v/>
      </c>
      <c r="C80" s="91">
        <f>IF(C79&lt;0.005,0,MAX(0,C79*(1+C$6/12)-C$7))</f>
        <v/>
      </c>
      <c r="D80" s="91">
        <f>IF(D79&lt;0.005,0,MAX(0,D79*(1+D$6/12)-D$7))</f>
        <v/>
      </c>
      <c r="E80" s="91">
        <f>IF(E79&lt;0.005,0,MAX(0,E79*(1+E$6/12)-E$7))</f>
        <v/>
      </c>
      <c r="F80" s="91">
        <f>IF(F79&lt;0.005,0,MAX(0,F79*(1+F$6/12)-F$7))</f>
        <v/>
      </c>
      <c r="G80" s="91">
        <f>IF(G79&lt;0.005,0,MAX(0,G79*(1+G$6/12)-G$7))</f>
        <v/>
      </c>
      <c r="H80" s="91">
        <f>IF(H79&lt;0.005,0,MAX(0,H79*(1+H$6/12)-H$7))</f>
        <v/>
      </c>
      <c r="I80" s="91">
        <f>IF(I79&lt;0.005,0,MAX(0,I79*(1+I$6/12)-I$7))</f>
        <v/>
      </c>
      <c r="J80" s="91">
        <f>IF(J79&lt;0.005,0,MAX(0,J79*(1+J$6/12)-J$7))</f>
        <v/>
      </c>
      <c r="K80" s="91">
        <f>IF(K79&lt;0.005,0,MAX(0,K79*(1+K$6/12)-K$7))</f>
        <v/>
      </c>
      <c r="L80" s="91">
        <f>IF(L79&lt;0.005,0,MAX(0,L79*(1+L$6/12)-L$7))</f>
        <v/>
      </c>
      <c r="M80" s="91">
        <f>SUMPRODUCT(C79:L79,$C$6:$L$6)/12</f>
        <v/>
      </c>
      <c r="N80" s="88">
        <f>SUM(C80:L80)</f>
        <v/>
      </c>
      <c r="P80" s="92">
        <f>IF(Z79&lt;0.005,0,MAX(0,Z79*(1+Z$6/12)-Z$7))</f>
        <v/>
      </c>
      <c r="Q80" s="92">
        <f>IF(AA79&lt;0.005,0,MAX(0,AA79*(1+AA$6/12)-AA$7))</f>
        <v/>
      </c>
      <c r="R80" s="92">
        <f>IF(AB79&lt;0.005,0,MAX(0,AB79*(1+AB$6/12)-AB$7))</f>
        <v/>
      </c>
      <c r="S80" s="92">
        <f>IF(AC79&lt;0.005,0,MAX(0,AC79*(1+AC$6/12)-AC$7))</f>
        <v/>
      </c>
      <c r="T80" s="92">
        <f>IF(AD79&lt;0.005,0,MAX(0,AD79*(1+AD$6/12)-AD$7))</f>
        <v/>
      </c>
      <c r="U80" s="92">
        <f>IF(AE79&lt;0.005,0,MAX(0,AE79*(1+AE$6/12)-AE$7))</f>
        <v/>
      </c>
      <c r="V80" s="92">
        <f>IF(AF79&lt;0.005,0,MAX(0,AF79*(1+AF$6/12)-AF$7))</f>
        <v/>
      </c>
      <c r="W80" s="92">
        <f>IF(AG79&lt;0.005,0,MAX(0,AG79*(1+AG$6/12)-AG$7))</f>
        <v/>
      </c>
      <c r="X80" s="92">
        <f>IF(AH79&lt;0.005,0,MAX(0,AH79*(1+AH$6/12)-AH$7))</f>
        <v/>
      </c>
      <c r="Y80" s="92">
        <f>IF(AI79&lt;0.005,0,MAX(0,AI79*(1+AI$6/12)-AI$7))</f>
        <v/>
      </c>
      <c r="Z80" s="91">
        <f>MAX(0,P80-MAX(0,AK80-0))</f>
        <v/>
      </c>
      <c r="AA80" s="91">
        <f>MAX(0,Q80-MAX(0,AK80-SUM(P80:P80)))</f>
        <v/>
      </c>
      <c r="AB80" s="91">
        <f>MAX(0,R80-MAX(0,AK80-SUM(P80:Q80)))</f>
        <v/>
      </c>
      <c r="AC80" s="91">
        <f>MAX(0,S80-MAX(0,AK80-SUM(P80:R80)))</f>
        <v/>
      </c>
      <c r="AD80" s="91">
        <f>MAX(0,T80-MAX(0,AK80-SUM(P80:S80)))</f>
        <v/>
      </c>
      <c r="AE80" s="91">
        <f>MAX(0,U80-MAX(0,AK80-SUM(P80:T80)))</f>
        <v/>
      </c>
      <c r="AF80" s="91">
        <f>MAX(0,V80-MAX(0,AK80-SUM(P80:U80)))</f>
        <v/>
      </c>
      <c r="AG80" s="91">
        <f>MAX(0,W80-MAX(0,AK80-SUM(P80:V80)))</f>
        <v/>
      </c>
      <c r="AH80" s="91">
        <f>MAX(0,X80-MAX(0,AK80-SUM(P80:W80)))</f>
        <v/>
      </c>
      <c r="AI80" s="91">
        <f>MAX(0,Y80-MAX(0,AK80-SUM(P80:X80)))</f>
        <v/>
      </c>
      <c r="AJ80" s="92">
        <f>SUM(Z79:AI79)+AL80</f>
        <v/>
      </c>
      <c r="AK80" s="92">
        <f>$AK$7-(AJ80-SUM(P80:Y80))</f>
        <v/>
      </c>
      <c r="AL80" s="91">
        <f>SUMPRODUCT(Z79:AI79,$Z$6:$AI$6)/12</f>
        <v/>
      </c>
      <c r="AM80" s="88">
        <f>SUM(Z80:AI80)</f>
        <v/>
      </c>
      <c r="AO80" s="92">
        <f>IF(AY79&lt;0.005,0,MAX(0,AY79*(1+AY$6/12)-AY$7))</f>
        <v/>
      </c>
      <c r="AP80" s="92">
        <f>IF(AZ79&lt;0.005,0,MAX(0,AZ79*(1+AZ$6/12)-AZ$7))</f>
        <v/>
      </c>
      <c r="AQ80" s="92">
        <f>IF(BA79&lt;0.005,0,MAX(0,BA79*(1+BA$6/12)-BA$7))</f>
        <v/>
      </c>
      <c r="AR80" s="92">
        <f>IF(BB79&lt;0.005,0,MAX(0,BB79*(1+BB$6/12)-BB$7))</f>
        <v/>
      </c>
      <c r="AS80" s="92">
        <f>IF(BC79&lt;0.005,0,MAX(0,BC79*(1+BC$6/12)-BC$7))</f>
        <v/>
      </c>
      <c r="AT80" s="92">
        <f>IF(BD79&lt;0.005,0,MAX(0,BD79*(1+BD$6/12)-BD$7))</f>
        <v/>
      </c>
      <c r="AU80" s="92">
        <f>IF(BE79&lt;0.005,0,MAX(0,BE79*(1+BE$6/12)-BE$7))</f>
        <v/>
      </c>
      <c r="AV80" s="92">
        <f>IF(BF79&lt;0.005,0,MAX(0,BF79*(1+BF$6/12)-BF$7))</f>
        <v/>
      </c>
      <c r="AW80" s="92">
        <f>IF(BG79&lt;0.005,0,MAX(0,BG79*(1+BG$6/12)-BG$7))</f>
        <v/>
      </c>
      <c r="AX80" s="92">
        <f>IF(BH79&lt;0.005,0,MAX(0,BH79*(1+BH$6/12)-BH$7))</f>
        <v/>
      </c>
      <c r="AY80" s="91">
        <f>MAX(0,AO80-MAX(0,BJ80-0))</f>
        <v/>
      </c>
      <c r="AZ80" s="91">
        <f>MAX(0,AP80-MAX(0,BJ80-SUM(AO80:AO80)))</f>
        <v/>
      </c>
      <c r="BA80" s="91">
        <f>MAX(0,AQ80-MAX(0,BJ80-SUM(AO80:AP80)))</f>
        <v/>
      </c>
      <c r="BB80" s="91">
        <f>MAX(0,AR80-MAX(0,BJ80-SUM(AO80:AQ80)))</f>
        <v/>
      </c>
      <c r="BC80" s="91">
        <f>MAX(0,AS80-MAX(0,BJ80-SUM(AO80:AR80)))</f>
        <v/>
      </c>
      <c r="BD80" s="91">
        <f>MAX(0,AT80-MAX(0,BJ80-SUM(AO80:AS80)))</f>
        <v/>
      </c>
      <c r="BE80" s="91">
        <f>MAX(0,AU80-MAX(0,BJ80-SUM(AO80:AT80)))</f>
        <v/>
      </c>
      <c r="BF80" s="91">
        <f>MAX(0,AV80-MAX(0,BJ80-SUM(AO80:AU80)))</f>
        <v/>
      </c>
      <c r="BG80" s="91">
        <f>MAX(0,AW80-MAX(0,BJ80-SUM(AO80:AV80)))</f>
        <v/>
      </c>
      <c r="BH80" s="91">
        <f>MAX(0,AX80-MAX(0,BJ80-SUM(AO80:AW80)))</f>
        <v/>
      </c>
      <c r="BI80" s="92">
        <f>SUM(AY79:BH79)+BK80</f>
        <v/>
      </c>
      <c r="BJ80" s="92">
        <f>$BJ$7-(BI80-SUM(AO80:AX80))</f>
        <v/>
      </c>
      <c r="BK80" s="91">
        <f>SUMPRODUCT(AY79:BH79,$AY$6:$BH$6)/12</f>
        <v/>
      </c>
      <c r="BL80" s="88">
        <f>SUM(AY80:BH80)</f>
        <v/>
      </c>
    </row>
    <row r="81">
      <c r="A81" s="24" t="n">
        <v>71</v>
      </c>
      <c r="B81" s="90">
        <f>DATE(YEAR(Settings!$C$11),MONTH(Settings!$C$11)+A81,1)</f>
        <v/>
      </c>
      <c r="C81" s="91">
        <f>IF(C80&lt;0.005,0,MAX(0,C80*(1+C$6/12)-C$7))</f>
        <v/>
      </c>
      <c r="D81" s="91">
        <f>IF(D80&lt;0.005,0,MAX(0,D80*(1+D$6/12)-D$7))</f>
        <v/>
      </c>
      <c r="E81" s="91">
        <f>IF(E80&lt;0.005,0,MAX(0,E80*(1+E$6/12)-E$7))</f>
        <v/>
      </c>
      <c r="F81" s="91">
        <f>IF(F80&lt;0.005,0,MAX(0,F80*(1+F$6/12)-F$7))</f>
        <v/>
      </c>
      <c r="G81" s="91">
        <f>IF(G80&lt;0.005,0,MAX(0,G80*(1+G$6/12)-G$7))</f>
        <v/>
      </c>
      <c r="H81" s="91">
        <f>IF(H80&lt;0.005,0,MAX(0,H80*(1+H$6/12)-H$7))</f>
        <v/>
      </c>
      <c r="I81" s="91">
        <f>IF(I80&lt;0.005,0,MAX(0,I80*(1+I$6/12)-I$7))</f>
        <v/>
      </c>
      <c r="J81" s="91">
        <f>IF(J80&lt;0.005,0,MAX(0,J80*(1+J$6/12)-J$7))</f>
        <v/>
      </c>
      <c r="K81" s="91">
        <f>IF(K80&lt;0.005,0,MAX(0,K80*(1+K$6/12)-K$7))</f>
        <v/>
      </c>
      <c r="L81" s="91">
        <f>IF(L80&lt;0.005,0,MAX(0,L80*(1+L$6/12)-L$7))</f>
        <v/>
      </c>
      <c r="M81" s="91">
        <f>SUMPRODUCT(C80:L80,$C$6:$L$6)/12</f>
        <v/>
      </c>
      <c r="N81" s="88">
        <f>SUM(C81:L81)</f>
        <v/>
      </c>
      <c r="P81" s="92">
        <f>IF(Z80&lt;0.005,0,MAX(0,Z80*(1+Z$6/12)-Z$7))</f>
        <v/>
      </c>
      <c r="Q81" s="92">
        <f>IF(AA80&lt;0.005,0,MAX(0,AA80*(1+AA$6/12)-AA$7))</f>
        <v/>
      </c>
      <c r="R81" s="92">
        <f>IF(AB80&lt;0.005,0,MAX(0,AB80*(1+AB$6/12)-AB$7))</f>
        <v/>
      </c>
      <c r="S81" s="92">
        <f>IF(AC80&lt;0.005,0,MAX(0,AC80*(1+AC$6/12)-AC$7))</f>
        <v/>
      </c>
      <c r="T81" s="92">
        <f>IF(AD80&lt;0.005,0,MAX(0,AD80*(1+AD$6/12)-AD$7))</f>
        <v/>
      </c>
      <c r="U81" s="92">
        <f>IF(AE80&lt;0.005,0,MAX(0,AE80*(1+AE$6/12)-AE$7))</f>
        <v/>
      </c>
      <c r="V81" s="92">
        <f>IF(AF80&lt;0.005,0,MAX(0,AF80*(1+AF$6/12)-AF$7))</f>
        <v/>
      </c>
      <c r="W81" s="92">
        <f>IF(AG80&lt;0.005,0,MAX(0,AG80*(1+AG$6/12)-AG$7))</f>
        <v/>
      </c>
      <c r="X81" s="92">
        <f>IF(AH80&lt;0.005,0,MAX(0,AH80*(1+AH$6/12)-AH$7))</f>
        <v/>
      </c>
      <c r="Y81" s="92">
        <f>IF(AI80&lt;0.005,0,MAX(0,AI80*(1+AI$6/12)-AI$7))</f>
        <v/>
      </c>
      <c r="Z81" s="91">
        <f>MAX(0,P81-MAX(0,AK81-0))</f>
        <v/>
      </c>
      <c r="AA81" s="91">
        <f>MAX(0,Q81-MAX(0,AK81-SUM(P81:P81)))</f>
        <v/>
      </c>
      <c r="AB81" s="91">
        <f>MAX(0,R81-MAX(0,AK81-SUM(P81:Q81)))</f>
        <v/>
      </c>
      <c r="AC81" s="91">
        <f>MAX(0,S81-MAX(0,AK81-SUM(P81:R81)))</f>
        <v/>
      </c>
      <c r="AD81" s="91">
        <f>MAX(0,T81-MAX(0,AK81-SUM(P81:S81)))</f>
        <v/>
      </c>
      <c r="AE81" s="91">
        <f>MAX(0,U81-MAX(0,AK81-SUM(P81:T81)))</f>
        <v/>
      </c>
      <c r="AF81" s="91">
        <f>MAX(0,V81-MAX(0,AK81-SUM(P81:U81)))</f>
        <v/>
      </c>
      <c r="AG81" s="91">
        <f>MAX(0,W81-MAX(0,AK81-SUM(P81:V81)))</f>
        <v/>
      </c>
      <c r="AH81" s="91">
        <f>MAX(0,X81-MAX(0,AK81-SUM(P81:W81)))</f>
        <v/>
      </c>
      <c r="AI81" s="91">
        <f>MAX(0,Y81-MAX(0,AK81-SUM(P81:X81)))</f>
        <v/>
      </c>
      <c r="AJ81" s="92">
        <f>SUM(Z80:AI80)+AL81</f>
        <v/>
      </c>
      <c r="AK81" s="92">
        <f>$AK$7-(AJ81-SUM(P81:Y81))</f>
        <v/>
      </c>
      <c r="AL81" s="91">
        <f>SUMPRODUCT(Z80:AI80,$Z$6:$AI$6)/12</f>
        <v/>
      </c>
      <c r="AM81" s="88">
        <f>SUM(Z81:AI81)</f>
        <v/>
      </c>
      <c r="AO81" s="92">
        <f>IF(AY80&lt;0.005,0,MAX(0,AY80*(1+AY$6/12)-AY$7))</f>
        <v/>
      </c>
      <c r="AP81" s="92">
        <f>IF(AZ80&lt;0.005,0,MAX(0,AZ80*(1+AZ$6/12)-AZ$7))</f>
        <v/>
      </c>
      <c r="AQ81" s="92">
        <f>IF(BA80&lt;0.005,0,MAX(0,BA80*(1+BA$6/12)-BA$7))</f>
        <v/>
      </c>
      <c r="AR81" s="92">
        <f>IF(BB80&lt;0.005,0,MAX(0,BB80*(1+BB$6/12)-BB$7))</f>
        <v/>
      </c>
      <c r="AS81" s="92">
        <f>IF(BC80&lt;0.005,0,MAX(0,BC80*(1+BC$6/12)-BC$7))</f>
        <v/>
      </c>
      <c r="AT81" s="92">
        <f>IF(BD80&lt;0.005,0,MAX(0,BD80*(1+BD$6/12)-BD$7))</f>
        <v/>
      </c>
      <c r="AU81" s="92">
        <f>IF(BE80&lt;0.005,0,MAX(0,BE80*(1+BE$6/12)-BE$7))</f>
        <v/>
      </c>
      <c r="AV81" s="92">
        <f>IF(BF80&lt;0.005,0,MAX(0,BF80*(1+BF$6/12)-BF$7))</f>
        <v/>
      </c>
      <c r="AW81" s="92">
        <f>IF(BG80&lt;0.005,0,MAX(0,BG80*(1+BG$6/12)-BG$7))</f>
        <v/>
      </c>
      <c r="AX81" s="92">
        <f>IF(BH80&lt;0.005,0,MAX(0,BH80*(1+BH$6/12)-BH$7))</f>
        <v/>
      </c>
      <c r="AY81" s="91">
        <f>MAX(0,AO81-MAX(0,BJ81-0))</f>
        <v/>
      </c>
      <c r="AZ81" s="91">
        <f>MAX(0,AP81-MAX(0,BJ81-SUM(AO81:AO81)))</f>
        <v/>
      </c>
      <c r="BA81" s="91">
        <f>MAX(0,AQ81-MAX(0,BJ81-SUM(AO81:AP81)))</f>
        <v/>
      </c>
      <c r="BB81" s="91">
        <f>MAX(0,AR81-MAX(0,BJ81-SUM(AO81:AQ81)))</f>
        <v/>
      </c>
      <c r="BC81" s="91">
        <f>MAX(0,AS81-MAX(0,BJ81-SUM(AO81:AR81)))</f>
        <v/>
      </c>
      <c r="BD81" s="91">
        <f>MAX(0,AT81-MAX(0,BJ81-SUM(AO81:AS81)))</f>
        <v/>
      </c>
      <c r="BE81" s="91">
        <f>MAX(0,AU81-MAX(0,BJ81-SUM(AO81:AT81)))</f>
        <v/>
      </c>
      <c r="BF81" s="91">
        <f>MAX(0,AV81-MAX(0,BJ81-SUM(AO81:AU81)))</f>
        <v/>
      </c>
      <c r="BG81" s="91">
        <f>MAX(0,AW81-MAX(0,BJ81-SUM(AO81:AV81)))</f>
        <v/>
      </c>
      <c r="BH81" s="91">
        <f>MAX(0,AX81-MAX(0,BJ81-SUM(AO81:AW81)))</f>
        <v/>
      </c>
      <c r="BI81" s="92">
        <f>SUM(AY80:BH80)+BK81</f>
        <v/>
      </c>
      <c r="BJ81" s="92">
        <f>$BJ$7-(BI81-SUM(AO81:AX81))</f>
        <v/>
      </c>
      <c r="BK81" s="91">
        <f>SUMPRODUCT(AY80:BH80,$AY$6:$BH$6)/12</f>
        <v/>
      </c>
      <c r="BL81" s="88">
        <f>SUM(AY81:BH81)</f>
        <v/>
      </c>
    </row>
    <row r="82">
      <c r="A82" s="24" t="n">
        <v>72</v>
      </c>
      <c r="B82" s="90">
        <f>DATE(YEAR(Settings!$C$11),MONTH(Settings!$C$11)+A82,1)</f>
        <v/>
      </c>
      <c r="C82" s="91">
        <f>IF(C81&lt;0.005,0,MAX(0,C81*(1+C$6/12)-C$7))</f>
        <v/>
      </c>
      <c r="D82" s="91">
        <f>IF(D81&lt;0.005,0,MAX(0,D81*(1+D$6/12)-D$7))</f>
        <v/>
      </c>
      <c r="E82" s="91">
        <f>IF(E81&lt;0.005,0,MAX(0,E81*(1+E$6/12)-E$7))</f>
        <v/>
      </c>
      <c r="F82" s="91">
        <f>IF(F81&lt;0.005,0,MAX(0,F81*(1+F$6/12)-F$7))</f>
        <v/>
      </c>
      <c r="G82" s="91">
        <f>IF(G81&lt;0.005,0,MAX(0,G81*(1+G$6/12)-G$7))</f>
        <v/>
      </c>
      <c r="H82" s="91">
        <f>IF(H81&lt;0.005,0,MAX(0,H81*(1+H$6/12)-H$7))</f>
        <v/>
      </c>
      <c r="I82" s="91">
        <f>IF(I81&lt;0.005,0,MAX(0,I81*(1+I$6/12)-I$7))</f>
        <v/>
      </c>
      <c r="J82" s="91">
        <f>IF(J81&lt;0.005,0,MAX(0,J81*(1+J$6/12)-J$7))</f>
        <v/>
      </c>
      <c r="K82" s="91">
        <f>IF(K81&lt;0.005,0,MAX(0,K81*(1+K$6/12)-K$7))</f>
        <v/>
      </c>
      <c r="L82" s="91">
        <f>IF(L81&lt;0.005,0,MAX(0,L81*(1+L$6/12)-L$7))</f>
        <v/>
      </c>
      <c r="M82" s="91">
        <f>SUMPRODUCT(C81:L81,$C$6:$L$6)/12</f>
        <v/>
      </c>
      <c r="N82" s="88">
        <f>SUM(C82:L82)</f>
        <v/>
      </c>
      <c r="P82" s="92">
        <f>IF(Z81&lt;0.005,0,MAX(0,Z81*(1+Z$6/12)-Z$7))</f>
        <v/>
      </c>
      <c r="Q82" s="92">
        <f>IF(AA81&lt;0.005,0,MAX(0,AA81*(1+AA$6/12)-AA$7))</f>
        <v/>
      </c>
      <c r="R82" s="92">
        <f>IF(AB81&lt;0.005,0,MAX(0,AB81*(1+AB$6/12)-AB$7))</f>
        <v/>
      </c>
      <c r="S82" s="92">
        <f>IF(AC81&lt;0.005,0,MAX(0,AC81*(1+AC$6/12)-AC$7))</f>
        <v/>
      </c>
      <c r="T82" s="92">
        <f>IF(AD81&lt;0.005,0,MAX(0,AD81*(1+AD$6/12)-AD$7))</f>
        <v/>
      </c>
      <c r="U82" s="92">
        <f>IF(AE81&lt;0.005,0,MAX(0,AE81*(1+AE$6/12)-AE$7))</f>
        <v/>
      </c>
      <c r="V82" s="92">
        <f>IF(AF81&lt;0.005,0,MAX(0,AF81*(1+AF$6/12)-AF$7))</f>
        <v/>
      </c>
      <c r="W82" s="92">
        <f>IF(AG81&lt;0.005,0,MAX(0,AG81*(1+AG$6/12)-AG$7))</f>
        <v/>
      </c>
      <c r="X82" s="92">
        <f>IF(AH81&lt;0.005,0,MAX(0,AH81*(1+AH$6/12)-AH$7))</f>
        <v/>
      </c>
      <c r="Y82" s="92">
        <f>IF(AI81&lt;0.005,0,MAX(0,AI81*(1+AI$6/12)-AI$7))</f>
        <v/>
      </c>
      <c r="Z82" s="91">
        <f>MAX(0,P82-MAX(0,AK82-0))</f>
        <v/>
      </c>
      <c r="AA82" s="91">
        <f>MAX(0,Q82-MAX(0,AK82-SUM(P82:P82)))</f>
        <v/>
      </c>
      <c r="AB82" s="91">
        <f>MAX(0,R82-MAX(0,AK82-SUM(P82:Q82)))</f>
        <v/>
      </c>
      <c r="AC82" s="91">
        <f>MAX(0,S82-MAX(0,AK82-SUM(P82:R82)))</f>
        <v/>
      </c>
      <c r="AD82" s="91">
        <f>MAX(0,T82-MAX(0,AK82-SUM(P82:S82)))</f>
        <v/>
      </c>
      <c r="AE82" s="91">
        <f>MAX(0,U82-MAX(0,AK82-SUM(P82:T82)))</f>
        <v/>
      </c>
      <c r="AF82" s="91">
        <f>MAX(0,V82-MAX(0,AK82-SUM(P82:U82)))</f>
        <v/>
      </c>
      <c r="AG82" s="91">
        <f>MAX(0,W82-MAX(0,AK82-SUM(P82:V82)))</f>
        <v/>
      </c>
      <c r="AH82" s="91">
        <f>MAX(0,X82-MAX(0,AK82-SUM(P82:W82)))</f>
        <v/>
      </c>
      <c r="AI82" s="91">
        <f>MAX(0,Y82-MAX(0,AK82-SUM(P82:X82)))</f>
        <v/>
      </c>
      <c r="AJ82" s="92">
        <f>SUM(Z81:AI81)+AL82</f>
        <v/>
      </c>
      <c r="AK82" s="92">
        <f>$AK$7-(AJ82-SUM(P82:Y82))</f>
        <v/>
      </c>
      <c r="AL82" s="91">
        <f>SUMPRODUCT(Z81:AI81,$Z$6:$AI$6)/12</f>
        <v/>
      </c>
      <c r="AM82" s="88">
        <f>SUM(Z82:AI82)</f>
        <v/>
      </c>
      <c r="AO82" s="92">
        <f>IF(AY81&lt;0.005,0,MAX(0,AY81*(1+AY$6/12)-AY$7))</f>
        <v/>
      </c>
      <c r="AP82" s="92">
        <f>IF(AZ81&lt;0.005,0,MAX(0,AZ81*(1+AZ$6/12)-AZ$7))</f>
        <v/>
      </c>
      <c r="AQ82" s="92">
        <f>IF(BA81&lt;0.005,0,MAX(0,BA81*(1+BA$6/12)-BA$7))</f>
        <v/>
      </c>
      <c r="AR82" s="92">
        <f>IF(BB81&lt;0.005,0,MAX(0,BB81*(1+BB$6/12)-BB$7))</f>
        <v/>
      </c>
      <c r="AS82" s="92">
        <f>IF(BC81&lt;0.005,0,MAX(0,BC81*(1+BC$6/12)-BC$7))</f>
        <v/>
      </c>
      <c r="AT82" s="92">
        <f>IF(BD81&lt;0.005,0,MAX(0,BD81*(1+BD$6/12)-BD$7))</f>
        <v/>
      </c>
      <c r="AU82" s="92">
        <f>IF(BE81&lt;0.005,0,MAX(0,BE81*(1+BE$6/12)-BE$7))</f>
        <v/>
      </c>
      <c r="AV82" s="92">
        <f>IF(BF81&lt;0.005,0,MAX(0,BF81*(1+BF$6/12)-BF$7))</f>
        <v/>
      </c>
      <c r="AW82" s="92">
        <f>IF(BG81&lt;0.005,0,MAX(0,BG81*(1+BG$6/12)-BG$7))</f>
        <v/>
      </c>
      <c r="AX82" s="92">
        <f>IF(BH81&lt;0.005,0,MAX(0,BH81*(1+BH$6/12)-BH$7))</f>
        <v/>
      </c>
      <c r="AY82" s="91">
        <f>MAX(0,AO82-MAX(0,BJ82-0))</f>
        <v/>
      </c>
      <c r="AZ82" s="91">
        <f>MAX(0,AP82-MAX(0,BJ82-SUM(AO82:AO82)))</f>
        <v/>
      </c>
      <c r="BA82" s="91">
        <f>MAX(0,AQ82-MAX(0,BJ82-SUM(AO82:AP82)))</f>
        <v/>
      </c>
      <c r="BB82" s="91">
        <f>MAX(0,AR82-MAX(0,BJ82-SUM(AO82:AQ82)))</f>
        <v/>
      </c>
      <c r="BC82" s="91">
        <f>MAX(0,AS82-MAX(0,BJ82-SUM(AO82:AR82)))</f>
        <v/>
      </c>
      <c r="BD82" s="91">
        <f>MAX(0,AT82-MAX(0,BJ82-SUM(AO82:AS82)))</f>
        <v/>
      </c>
      <c r="BE82" s="91">
        <f>MAX(0,AU82-MAX(0,BJ82-SUM(AO82:AT82)))</f>
        <v/>
      </c>
      <c r="BF82" s="91">
        <f>MAX(0,AV82-MAX(0,BJ82-SUM(AO82:AU82)))</f>
        <v/>
      </c>
      <c r="BG82" s="91">
        <f>MAX(0,AW82-MAX(0,BJ82-SUM(AO82:AV82)))</f>
        <v/>
      </c>
      <c r="BH82" s="91">
        <f>MAX(0,AX82-MAX(0,BJ82-SUM(AO82:AW82)))</f>
        <v/>
      </c>
      <c r="BI82" s="92">
        <f>SUM(AY81:BH81)+BK82</f>
        <v/>
      </c>
      <c r="BJ82" s="92">
        <f>$BJ$7-(BI82-SUM(AO82:AX82))</f>
        <v/>
      </c>
      <c r="BK82" s="91">
        <f>SUMPRODUCT(AY81:BH81,$AY$6:$BH$6)/12</f>
        <v/>
      </c>
      <c r="BL82" s="88">
        <f>SUM(AY82:BH82)</f>
        <v/>
      </c>
    </row>
    <row r="83">
      <c r="A83" s="24" t="n">
        <v>73</v>
      </c>
      <c r="B83" s="90">
        <f>DATE(YEAR(Settings!$C$11),MONTH(Settings!$C$11)+A83,1)</f>
        <v/>
      </c>
      <c r="C83" s="91">
        <f>IF(C82&lt;0.005,0,MAX(0,C82*(1+C$6/12)-C$7))</f>
        <v/>
      </c>
      <c r="D83" s="91">
        <f>IF(D82&lt;0.005,0,MAX(0,D82*(1+D$6/12)-D$7))</f>
        <v/>
      </c>
      <c r="E83" s="91">
        <f>IF(E82&lt;0.005,0,MAX(0,E82*(1+E$6/12)-E$7))</f>
        <v/>
      </c>
      <c r="F83" s="91">
        <f>IF(F82&lt;0.005,0,MAX(0,F82*(1+F$6/12)-F$7))</f>
        <v/>
      </c>
      <c r="G83" s="91">
        <f>IF(G82&lt;0.005,0,MAX(0,G82*(1+G$6/12)-G$7))</f>
        <v/>
      </c>
      <c r="H83" s="91">
        <f>IF(H82&lt;0.005,0,MAX(0,H82*(1+H$6/12)-H$7))</f>
        <v/>
      </c>
      <c r="I83" s="91">
        <f>IF(I82&lt;0.005,0,MAX(0,I82*(1+I$6/12)-I$7))</f>
        <v/>
      </c>
      <c r="J83" s="91">
        <f>IF(J82&lt;0.005,0,MAX(0,J82*(1+J$6/12)-J$7))</f>
        <v/>
      </c>
      <c r="K83" s="91">
        <f>IF(K82&lt;0.005,0,MAX(0,K82*(1+K$6/12)-K$7))</f>
        <v/>
      </c>
      <c r="L83" s="91">
        <f>IF(L82&lt;0.005,0,MAX(0,L82*(1+L$6/12)-L$7))</f>
        <v/>
      </c>
      <c r="M83" s="91">
        <f>SUMPRODUCT(C82:L82,$C$6:$L$6)/12</f>
        <v/>
      </c>
      <c r="N83" s="88">
        <f>SUM(C83:L83)</f>
        <v/>
      </c>
      <c r="P83" s="92">
        <f>IF(Z82&lt;0.005,0,MAX(0,Z82*(1+Z$6/12)-Z$7))</f>
        <v/>
      </c>
      <c r="Q83" s="92">
        <f>IF(AA82&lt;0.005,0,MAX(0,AA82*(1+AA$6/12)-AA$7))</f>
        <v/>
      </c>
      <c r="R83" s="92">
        <f>IF(AB82&lt;0.005,0,MAX(0,AB82*(1+AB$6/12)-AB$7))</f>
        <v/>
      </c>
      <c r="S83" s="92">
        <f>IF(AC82&lt;0.005,0,MAX(0,AC82*(1+AC$6/12)-AC$7))</f>
        <v/>
      </c>
      <c r="T83" s="92">
        <f>IF(AD82&lt;0.005,0,MAX(0,AD82*(1+AD$6/12)-AD$7))</f>
        <v/>
      </c>
      <c r="U83" s="92">
        <f>IF(AE82&lt;0.005,0,MAX(0,AE82*(1+AE$6/12)-AE$7))</f>
        <v/>
      </c>
      <c r="V83" s="92">
        <f>IF(AF82&lt;0.005,0,MAX(0,AF82*(1+AF$6/12)-AF$7))</f>
        <v/>
      </c>
      <c r="W83" s="92">
        <f>IF(AG82&lt;0.005,0,MAX(0,AG82*(1+AG$6/12)-AG$7))</f>
        <v/>
      </c>
      <c r="X83" s="92">
        <f>IF(AH82&lt;0.005,0,MAX(0,AH82*(1+AH$6/12)-AH$7))</f>
        <v/>
      </c>
      <c r="Y83" s="92">
        <f>IF(AI82&lt;0.005,0,MAX(0,AI82*(1+AI$6/12)-AI$7))</f>
        <v/>
      </c>
      <c r="Z83" s="91">
        <f>MAX(0,P83-MAX(0,AK83-0))</f>
        <v/>
      </c>
      <c r="AA83" s="91">
        <f>MAX(0,Q83-MAX(0,AK83-SUM(P83:P83)))</f>
        <v/>
      </c>
      <c r="AB83" s="91">
        <f>MAX(0,R83-MAX(0,AK83-SUM(P83:Q83)))</f>
        <v/>
      </c>
      <c r="AC83" s="91">
        <f>MAX(0,S83-MAX(0,AK83-SUM(P83:R83)))</f>
        <v/>
      </c>
      <c r="AD83" s="91">
        <f>MAX(0,T83-MAX(0,AK83-SUM(P83:S83)))</f>
        <v/>
      </c>
      <c r="AE83" s="91">
        <f>MAX(0,U83-MAX(0,AK83-SUM(P83:T83)))</f>
        <v/>
      </c>
      <c r="AF83" s="91">
        <f>MAX(0,V83-MAX(0,AK83-SUM(P83:U83)))</f>
        <v/>
      </c>
      <c r="AG83" s="91">
        <f>MAX(0,W83-MAX(0,AK83-SUM(P83:V83)))</f>
        <v/>
      </c>
      <c r="AH83" s="91">
        <f>MAX(0,X83-MAX(0,AK83-SUM(P83:W83)))</f>
        <v/>
      </c>
      <c r="AI83" s="91">
        <f>MAX(0,Y83-MAX(0,AK83-SUM(P83:X83)))</f>
        <v/>
      </c>
      <c r="AJ83" s="92">
        <f>SUM(Z82:AI82)+AL83</f>
        <v/>
      </c>
      <c r="AK83" s="92">
        <f>$AK$7-(AJ83-SUM(P83:Y83))</f>
        <v/>
      </c>
      <c r="AL83" s="91">
        <f>SUMPRODUCT(Z82:AI82,$Z$6:$AI$6)/12</f>
        <v/>
      </c>
      <c r="AM83" s="88">
        <f>SUM(Z83:AI83)</f>
        <v/>
      </c>
      <c r="AO83" s="92">
        <f>IF(AY82&lt;0.005,0,MAX(0,AY82*(1+AY$6/12)-AY$7))</f>
        <v/>
      </c>
      <c r="AP83" s="92">
        <f>IF(AZ82&lt;0.005,0,MAX(0,AZ82*(1+AZ$6/12)-AZ$7))</f>
        <v/>
      </c>
      <c r="AQ83" s="92">
        <f>IF(BA82&lt;0.005,0,MAX(0,BA82*(1+BA$6/12)-BA$7))</f>
        <v/>
      </c>
      <c r="AR83" s="92">
        <f>IF(BB82&lt;0.005,0,MAX(0,BB82*(1+BB$6/12)-BB$7))</f>
        <v/>
      </c>
      <c r="AS83" s="92">
        <f>IF(BC82&lt;0.005,0,MAX(0,BC82*(1+BC$6/12)-BC$7))</f>
        <v/>
      </c>
      <c r="AT83" s="92">
        <f>IF(BD82&lt;0.005,0,MAX(0,BD82*(1+BD$6/12)-BD$7))</f>
        <v/>
      </c>
      <c r="AU83" s="92">
        <f>IF(BE82&lt;0.005,0,MAX(0,BE82*(1+BE$6/12)-BE$7))</f>
        <v/>
      </c>
      <c r="AV83" s="92">
        <f>IF(BF82&lt;0.005,0,MAX(0,BF82*(1+BF$6/12)-BF$7))</f>
        <v/>
      </c>
      <c r="AW83" s="92">
        <f>IF(BG82&lt;0.005,0,MAX(0,BG82*(1+BG$6/12)-BG$7))</f>
        <v/>
      </c>
      <c r="AX83" s="92">
        <f>IF(BH82&lt;0.005,0,MAX(0,BH82*(1+BH$6/12)-BH$7))</f>
        <v/>
      </c>
      <c r="AY83" s="91">
        <f>MAX(0,AO83-MAX(0,BJ83-0))</f>
        <v/>
      </c>
      <c r="AZ83" s="91">
        <f>MAX(0,AP83-MAX(0,BJ83-SUM(AO83:AO83)))</f>
        <v/>
      </c>
      <c r="BA83" s="91">
        <f>MAX(0,AQ83-MAX(0,BJ83-SUM(AO83:AP83)))</f>
        <v/>
      </c>
      <c r="BB83" s="91">
        <f>MAX(0,AR83-MAX(0,BJ83-SUM(AO83:AQ83)))</f>
        <v/>
      </c>
      <c r="BC83" s="91">
        <f>MAX(0,AS83-MAX(0,BJ83-SUM(AO83:AR83)))</f>
        <v/>
      </c>
      <c r="BD83" s="91">
        <f>MAX(0,AT83-MAX(0,BJ83-SUM(AO83:AS83)))</f>
        <v/>
      </c>
      <c r="BE83" s="91">
        <f>MAX(0,AU83-MAX(0,BJ83-SUM(AO83:AT83)))</f>
        <v/>
      </c>
      <c r="BF83" s="91">
        <f>MAX(0,AV83-MAX(0,BJ83-SUM(AO83:AU83)))</f>
        <v/>
      </c>
      <c r="BG83" s="91">
        <f>MAX(0,AW83-MAX(0,BJ83-SUM(AO83:AV83)))</f>
        <v/>
      </c>
      <c r="BH83" s="91">
        <f>MAX(0,AX83-MAX(0,BJ83-SUM(AO83:AW83)))</f>
        <v/>
      </c>
      <c r="BI83" s="92">
        <f>SUM(AY82:BH82)+BK83</f>
        <v/>
      </c>
      <c r="BJ83" s="92">
        <f>$BJ$7-(BI83-SUM(AO83:AX83))</f>
        <v/>
      </c>
      <c r="BK83" s="91">
        <f>SUMPRODUCT(AY82:BH82,$AY$6:$BH$6)/12</f>
        <v/>
      </c>
      <c r="BL83" s="88">
        <f>SUM(AY83:BH83)</f>
        <v/>
      </c>
    </row>
    <row r="84">
      <c r="A84" s="24" t="n">
        <v>74</v>
      </c>
      <c r="B84" s="90">
        <f>DATE(YEAR(Settings!$C$11),MONTH(Settings!$C$11)+A84,1)</f>
        <v/>
      </c>
      <c r="C84" s="91">
        <f>IF(C83&lt;0.005,0,MAX(0,C83*(1+C$6/12)-C$7))</f>
        <v/>
      </c>
      <c r="D84" s="91">
        <f>IF(D83&lt;0.005,0,MAX(0,D83*(1+D$6/12)-D$7))</f>
        <v/>
      </c>
      <c r="E84" s="91">
        <f>IF(E83&lt;0.005,0,MAX(0,E83*(1+E$6/12)-E$7))</f>
        <v/>
      </c>
      <c r="F84" s="91">
        <f>IF(F83&lt;0.005,0,MAX(0,F83*(1+F$6/12)-F$7))</f>
        <v/>
      </c>
      <c r="G84" s="91">
        <f>IF(G83&lt;0.005,0,MAX(0,G83*(1+G$6/12)-G$7))</f>
        <v/>
      </c>
      <c r="H84" s="91">
        <f>IF(H83&lt;0.005,0,MAX(0,H83*(1+H$6/12)-H$7))</f>
        <v/>
      </c>
      <c r="I84" s="91">
        <f>IF(I83&lt;0.005,0,MAX(0,I83*(1+I$6/12)-I$7))</f>
        <v/>
      </c>
      <c r="J84" s="91">
        <f>IF(J83&lt;0.005,0,MAX(0,J83*(1+J$6/12)-J$7))</f>
        <v/>
      </c>
      <c r="K84" s="91">
        <f>IF(K83&lt;0.005,0,MAX(0,K83*(1+K$6/12)-K$7))</f>
        <v/>
      </c>
      <c r="L84" s="91">
        <f>IF(L83&lt;0.005,0,MAX(0,L83*(1+L$6/12)-L$7))</f>
        <v/>
      </c>
      <c r="M84" s="91">
        <f>SUMPRODUCT(C83:L83,$C$6:$L$6)/12</f>
        <v/>
      </c>
      <c r="N84" s="88">
        <f>SUM(C84:L84)</f>
        <v/>
      </c>
      <c r="P84" s="92">
        <f>IF(Z83&lt;0.005,0,MAX(0,Z83*(1+Z$6/12)-Z$7))</f>
        <v/>
      </c>
      <c r="Q84" s="92">
        <f>IF(AA83&lt;0.005,0,MAX(0,AA83*(1+AA$6/12)-AA$7))</f>
        <v/>
      </c>
      <c r="R84" s="92">
        <f>IF(AB83&lt;0.005,0,MAX(0,AB83*(1+AB$6/12)-AB$7))</f>
        <v/>
      </c>
      <c r="S84" s="92">
        <f>IF(AC83&lt;0.005,0,MAX(0,AC83*(1+AC$6/12)-AC$7))</f>
        <v/>
      </c>
      <c r="T84" s="92">
        <f>IF(AD83&lt;0.005,0,MAX(0,AD83*(1+AD$6/12)-AD$7))</f>
        <v/>
      </c>
      <c r="U84" s="92">
        <f>IF(AE83&lt;0.005,0,MAX(0,AE83*(1+AE$6/12)-AE$7))</f>
        <v/>
      </c>
      <c r="V84" s="92">
        <f>IF(AF83&lt;0.005,0,MAX(0,AF83*(1+AF$6/12)-AF$7))</f>
        <v/>
      </c>
      <c r="W84" s="92">
        <f>IF(AG83&lt;0.005,0,MAX(0,AG83*(1+AG$6/12)-AG$7))</f>
        <v/>
      </c>
      <c r="X84" s="92">
        <f>IF(AH83&lt;0.005,0,MAX(0,AH83*(1+AH$6/12)-AH$7))</f>
        <v/>
      </c>
      <c r="Y84" s="92">
        <f>IF(AI83&lt;0.005,0,MAX(0,AI83*(1+AI$6/12)-AI$7))</f>
        <v/>
      </c>
      <c r="Z84" s="91">
        <f>MAX(0,P84-MAX(0,AK84-0))</f>
        <v/>
      </c>
      <c r="AA84" s="91">
        <f>MAX(0,Q84-MAX(0,AK84-SUM(P84:P84)))</f>
        <v/>
      </c>
      <c r="AB84" s="91">
        <f>MAX(0,R84-MAX(0,AK84-SUM(P84:Q84)))</f>
        <v/>
      </c>
      <c r="AC84" s="91">
        <f>MAX(0,S84-MAX(0,AK84-SUM(P84:R84)))</f>
        <v/>
      </c>
      <c r="AD84" s="91">
        <f>MAX(0,T84-MAX(0,AK84-SUM(P84:S84)))</f>
        <v/>
      </c>
      <c r="AE84" s="91">
        <f>MAX(0,U84-MAX(0,AK84-SUM(P84:T84)))</f>
        <v/>
      </c>
      <c r="AF84" s="91">
        <f>MAX(0,V84-MAX(0,AK84-SUM(P84:U84)))</f>
        <v/>
      </c>
      <c r="AG84" s="91">
        <f>MAX(0,W84-MAX(0,AK84-SUM(P84:V84)))</f>
        <v/>
      </c>
      <c r="AH84" s="91">
        <f>MAX(0,X84-MAX(0,AK84-SUM(P84:W84)))</f>
        <v/>
      </c>
      <c r="AI84" s="91">
        <f>MAX(0,Y84-MAX(0,AK84-SUM(P84:X84)))</f>
        <v/>
      </c>
      <c r="AJ84" s="92">
        <f>SUM(Z83:AI83)+AL84</f>
        <v/>
      </c>
      <c r="AK84" s="92">
        <f>$AK$7-(AJ84-SUM(P84:Y84))</f>
        <v/>
      </c>
      <c r="AL84" s="91">
        <f>SUMPRODUCT(Z83:AI83,$Z$6:$AI$6)/12</f>
        <v/>
      </c>
      <c r="AM84" s="88">
        <f>SUM(Z84:AI84)</f>
        <v/>
      </c>
      <c r="AO84" s="92">
        <f>IF(AY83&lt;0.005,0,MAX(0,AY83*(1+AY$6/12)-AY$7))</f>
        <v/>
      </c>
      <c r="AP84" s="92">
        <f>IF(AZ83&lt;0.005,0,MAX(0,AZ83*(1+AZ$6/12)-AZ$7))</f>
        <v/>
      </c>
      <c r="AQ84" s="92">
        <f>IF(BA83&lt;0.005,0,MAX(0,BA83*(1+BA$6/12)-BA$7))</f>
        <v/>
      </c>
      <c r="AR84" s="92">
        <f>IF(BB83&lt;0.005,0,MAX(0,BB83*(1+BB$6/12)-BB$7))</f>
        <v/>
      </c>
      <c r="AS84" s="92">
        <f>IF(BC83&lt;0.005,0,MAX(0,BC83*(1+BC$6/12)-BC$7))</f>
        <v/>
      </c>
      <c r="AT84" s="92">
        <f>IF(BD83&lt;0.005,0,MAX(0,BD83*(1+BD$6/12)-BD$7))</f>
        <v/>
      </c>
      <c r="AU84" s="92">
        <f>IF(BE83&lt;0.005,0,MAX(0,BE83*(1+BE$6/12)-BE$7))</f>
        <v/>
      </c>
      <c r="AV84" s="92">
        <f>IF(BF83&lt;0.005,0,MAX(0,BF83*(1+BF$6/12)-BF$7))</f>
        <v/>
      </c>
      <c r="AW84" s="92">
        <f>IF(BG83&lt;0.005,0,MAX(0,BG83*(1+BG$6/12)-BG$7))</f>
        <v/>
      </c>
      <c r="AX84" s="92">
        <f>IF(BH83&lt;0.005,0,MAX(0,BH83*(1+BH$6/12)-BH$7))</f>
        <v/>
      </c>
      <c r="AY84" s="91">
        <f>MAX(0,AO84-MAX(0,BJ84-0))</f>
        <v/>
      </c>
      <c r="AZ84" s="91">
        <f>MAX(0,AP84-MAX(0,BJ84-SUM(AO84:AO84)))</f>
        <v/>
      </c>
      <c r="BA84" s="91">
        <f>MAX(0,AQ84-MAX(0,BJ84-SUM(AO84:AP84)))</f>
        <v/>
      </c>
      <c r="BB84" s="91">
        <f>MAX(0,AR84-MAX(0,BJ84-SUM(AO84:AQ84)))</f>
        <v/>
      </c>
      <c r="BC84" s="91">
        <f>MAX(0,AS84-MAX(0,BJ84-SUM(AO84:AR84)))</f>
        <v/>
      </c>
      <c r="BD84" s="91">
        <f>MAX(0,AT84-MAX(0,BJ84-SUM(AO84:AS84)))</f>
        <v/>
      </c>
      <c r="BE84" s="91">
        <f>MAX(0,AU84-MAX(0,BJ84-SUM(AO84:AT84)))</f>
        <v/>
      </c>
      <c r="BF84" s="91">
        <f>MAX(0,AV84-MAX(0,BJ84-SUM(AO84:AU84)))</f>
        <v/>
      </c>
      <c r="BG84" s="91">
        <f>MAX(0,AW84-MAX(0,BJ84-SUM(AO84:AV84)))</f>
        <v/>
      </c>
      <c r="BH84" s="91">
        <f>MAX(0,AX84-MAX(0,BJ84-SUM(AO84:AW84)))</f>
        <v/>
      </c>
      <c r="BI84" s="92">
        <f>SUM(AY83:BH83)+BK84</f>
        <v/>
      </c>
      <c r="BJ84" s="92">
        <f>$BJ$7-(BI84-SUM(AO84:AX84))</f>
        <v/>
      </c>
      <c r="BK84" s="91">
        <f>SUMPRODUCT(AY83:BH83,$AY$6:$BH$6)/12</f>
        <v/>
      </c>
      <c r="BL84" s="88">
        <f>SUM(AY84:BH84)</f>
        <v/>
      </c>
    </row>
    <row r="85">
      <c r="A85" s="24" t="n">
        <v>75</v>
      </c>
      <c r="B85" s="90">
        <f>DATE(YEAR(Settings!$C$11),MONTH(Settings!$C$11)+A85,1)</f>
        <v/>
      </c>
      <c r="C85" s="91">
        <f>IF(C84&lt;0.005,0,MAX(0,C84*(1+C$6/12)-C$7))</f>
        <v/>
      </c>
      <c r="D85" s="91">
        <f>IF(D84&lt;0.005,0,MAX(0,D84*(1+D$6/12)-D$7))</f>
        <v/>
      </c>
      <c r="E85" s="91">
        <f>IF(E84&lt;0.005,0,MAX(0,E84*(1+E$6/12)-E$7))</f>
        <v/>
      </c>
      <c r="F85" s="91">
        <f>IF(F84&lt;0.005,0,MAX(0,F84*(1+F$6/12)-F$7))</f>
        <v/>
      </c>
      <c r="G85" s="91">
        <f>IF(G84&lt;0.005,0,MAX(0,G84*(1+G$6/12)-G$7))</f>
        <v/>
      </c>
      <c r="H85" s="91">
        <f>IF(H84&lt;0.005,0,MAX(0,H84*(1+H$6/12)-H$7))</f>
        <v/>
      </c>
      <c r="I85" s="91">
        <f>IF(I84&lt;0.005,0,MAX(0,I84*(1+I$6/12)-I$7))</f>
        <v/>
      </c>
      <c r="J85" s="91">
        <f>IF(J84&lt;0.005,0,MAX(0,J84*(1+J$6/12)-J$7))</f>
        <v/>
      </c>
      <c r="K85" s="91">
        <f>IF(K84&lt;0.005,0,MAX(0,K84*(1+K$6/12)-K$7))</f>
        <v/>
      </c>
      <c r="L85" s="91">
        <f>IF(L84&lt;0.005,0,MAX(0,L84*(1+L$6/12)-L$7))</f>
        <v/>
      </c>
      <c r="M85" s="91">
        <f>SUMPRODUCT(C84:L84,$C$6:$L$6)/12</f>
        <v/>
      </c>
      <c r="N85" s="88">
        <f>SUM(C85:L85)</f>
        <v/>
      </c>
      <c r="P85" s="92">
        <f>IF(Z84&lt;0.005,0,MAX(0,Z84*(1+Z$6/12)-Z$7))</f>
        <v/>
      </c>
      <c r="Q85" s="92">
        <f>IF(AA84&lt;0.005,0,MAX(0,AA84*(1+AA$6/12)-AA$7))</f>
        <v/>
      </c>
      <c r="R85" s="92">
        <f>IF(AB84&lt;0.005,0,MAX(0,AB84*(1+AB$6/12)-AB$7))</f>
        <v/>
      </c>
      <c r="S85" s="92">
        <f>IF(AC84&lt;0.005,0,MAX(0,AC84*(1+AC$6/12)-AC$7))</f>
        <v/>
      </c>
      <c r="T85" s="92">
        <f>IF(AD84&lt;0.005,0,MAX(0,AD84*(1+AD$6/12)-AD$7))</f>
        <v/>
      </c>
      <c r="U85" s="92">
        <f>IF(AE84&lt;0.005,0,MAX(0,AE84*(1+AE$6/12)-AE$7))</f>
        <v/>
      </c>
      <c r="V85" s="92">
        <f>IF(AF84&lt;0.005,0,MAX(0,AF84*(1+AF$6/12)-AF$7))</f>
        <v/>
      </c>
      <c r="W85" s="92">
        <f>IF(AG84&lt;0.005,0,MAX(0,AG84*(1+AG$6/12)-AG$7))</f>
        <v/>
      </c>
      <c r="X85" s="92">
        <f>IF(AH84&lt;0.005,0,MAX(0,AH84*(1+AH$6/12)-AH$7))</f>
        <v/>
      </c>
      <c r="Y85" s="92">
        <f>IF(AI84&lt;0.005,0,MAX(0,AI84*(1+AI$6/12)-AI$7))</f>
        <v/>
      </c>
      <c r="Z85" s="91">
        <f>MAX(0,P85-MAX(0,AK85-0))</f>
        <v/>
      </c>
      <c r="AA85" s="91">
        <f>MAX(0,Q85-MAX(0,AK85-SUM(P85:P85)))</f>
        <v/>
      </c>
      <c r="AB85" s="91">
        <f>MAX(0,R85-MAX(0,AK85-SUM(P85:Q85)))</f>
        <v/>
      </c>
      <c r="AC85" s="91">
        <f>MAX(0,S85-MAX(0,AK85-SUM(P85:R85)))</f>
        <v/>
      </c>
      <c r="AD85" s="91">
        <f>MAX(0,T85-MAX(0,AK85-SUM(P85:S85)))</f>
        <v/>
      </c>
      <c r="AE85" s="91">
        <f>MAX(0,U85-MAX(0,AK85-SUM(P85:T85)))</f>
        <v/>
      </c>
      <c r="AF85" s="91">
        <f>MAX(0,V85-MAX(0,AK85-SUM(P85:U85)))</f>
        <v/>
      </c>
      <c r="AG85" s="91">
        <f>MAX(0,W85-MAX(0,AK85-SUM(P85:V85)))</f>
        <v/>
      </c>
      <c r="AH85" s="91">
        <f>MAX(0,X85-MAX(0,AK85-SUM(P85:W85)))</f>
        <v/>
      </c>
      <c r="AI85" s="91">
        <f>MAX(0,Y85-MAX(0,AK85-SUM(P85:X85)))</f>
        <v/>
      </c>
      <c r="AJ85" s="92">
        <f>SUM(Z84:AI84)+AL85</f>
        <v/>
      </c>
      <c r="AK85" s="92">
        <f>$AK$7-(AJ85-SUM(P85:Y85))</f>
        <v/>
      </c>
      <c r="AL85" s="91">
        <f>SUMPRODUCT(Z84:AI84,$Z$6:$AI$6)/12</f>
        <v/>
      </c>
      <c r="AM85" s="88">
        <f>SUM(Z85:AI85)</f>
        <v/>
      </c>
      <c r="AO85" s="92">
        <f>IF(AY84&lt;0.005,0,MAX(0,AY84*(1+AY$6/12)-AY$7))</f>
        <v/>
      </c>
      <c r="AP85" s="92">
        <f>IF(AZ84&lt;0.005,0,MAX(0,AZ84*(1+AZ$6/12)-AZ$7))</f>
        <v/>
      </c>
      <c r="AQ85" s="92">
        <f>IF(BA84&lt;0.005,0,MAX(0,BA84*(1+BA$6/12)-BA$7))</f>
        <v/>
      </c>
      <c r="AR85" s="92">
        <f>IF(BB84&lt;0.005,0,MAX(0,BB84*(1+BB$6/12)-BB$7))</f>
        <v/>
      </c>
      <c r="AS85" s="92">
        <f>IF(BC84&lt;0.005,0,MAX(0,BC84*(1+BC$6/12)-BC$7))</f>
        <v/>
      </c>
      <c r="AT85" s="92">
        <f>IF(BD84&lt;0.005,0,MAX(0,BD84*(1+BD$6/12)-BD$7))</f>
        <v/>
      </c>
      <c r="AU85" s="92">
        <f>IF(BE84&lt;0.005,0,MAX(0,BE84*(1+BE$6/12)-BE$7))</f>
        <v/>
      </c>
      <c r="AV85" s="92">
        <f>IF(BF84&lt;0.005,0,MAX(0,BF84*(1+BF$6/12)-BF$7))</f>
        <v/>
      </c>
      <c r="AW85" s="92">
        <f>IF(BG84&lt;0.005,0,MAX(0,BG84*(1+BG$6/12)-BG$7))</f>
        <v/>
      </c>
      <c r="AX85" s="92">
        <f>IF(BH84&lt;0.005,0,MAX(0,BH84*(1+BH$6/12)-BH$7))</f>
        <v/>
      </c>
      <c r="AY85" s="91">
        <f>MAX(0,AO85-MAX(0,BJ85-0))</f>
        <v/>
      </c>
      <c r="AZ85" s="91">
        <f>MAX(0,AP85-MAX(0,BJ85-SUM(AO85:AO85)))</f>
        <v/>
      </c>
      <c r="BA85" s="91">
        <f>MAX(0,AQ85-MAX(0,BJ85-SUM(AO85:AP85)))</f>
        <v/>
      </c>
      <c r="BB85" s="91">
        <f>MAX(0,AR85-MAX(0,BJ85-SUM(AO85:AQ85)))</f>
        <v/>
      </c>
      <c r="BC85" s="91">
        <f>MAX(0,AS85-MAX(0,BJ85-SUM(AO85:AR85)))</f>
        <v/>
      </c>
      <c r="BD85" s="91">
        <f>MAX(0,AT85-MAX(0,BJ85-SUM(AO85:AS85)))</f>
        <v/>
      </c>
      <c r="BE85" s="91">
        <f>MAX(0,AU85-MAX(0,BJ85-SUM(AO85:AT85)))</f>
        <v/>
      </c>
      <c r="BF85" s="91">
        <f>MAX(0,AV85-MAX(0,BJ85-SUM(AO85:AU85)))</f>
        <v/>
      </c>
      <c r="BG85" s="91">
        <f>MAX(0,AW85-MAX(0,BJ85-SUM(AO85:AV85)))</f>
        <v/>
      </c>
      <c r="BH85" s="91">
        <f>MAX(0,AX85-MAX(0,BJ85-SUM(AO85:AW85)))</f>
        <v/>
      </c>
      <c r="BI85" s="92">
        <f>SUM(AY84:BH84)+BK85</f>
        <v/>
      </c>
      <c r="BJ85" s="92">
        <f>$BJ$7-(BI85-SUM(AO85:AX85))</f>
        <v/>
      </c>
      <c r="BK85" s="91">
        <f>SUMPRODUCT(AY84:BH84,$AY$6:$BH$6)/12</f>
        <v/>
      </c>
      <c r="BL85" s="88">
        <f>SUM(AY85:BH85)</f>
        <v/>
      </c>
    </row>
    <row r="86">
      <c r="A86" s="24" t="n">
        <v>76</v>
      </c>
      <c r="B86" s="90">
        <f>DATE(YEAR(Settings!$C$11),MONTH(Settings!$C$11)+A86,1)</f>
        <v/>
      </c>
      <c r="C86" s="91">
        <f>IF(C85&lt;0.005,0,MAX(0,C85*(1+C$6/12)-C$7))</f>
        <v/>
      </c>
      <c r="D86" s="91">
        <f>IF(D85&lt;0.005,0,MAX(0,D85*(1+D$6/12)-D$7))</f>
        <v/>
      </c>
      <c r="E86" s="91">
        <f>IF(E85&lt;0.005,0,MAX(0,E85*(1+E$6/12)-E$7))</f>
        <v/>
      </c>
      <c r="F86" s="91">
        <f>IF(F85&lt;0.005,0,MAX(0,F85*(1+F$6/12)-F$7))</f>
        <v/>
      </c>
      <c r="G86" s="91">
        <f>IF(G85&lt;0.005,0,MAX(0,G85*(1+G$6/12)-G$7))</f>
        <v/>
      </c>
      <c r="H86" s="91">
        <f>IF(H85&lt;0.005,0,MAX(0,H85*(1+H$6/12)-H$7))</f>
        <v/>
      </c>
      <c r="I86" s="91">
        <f>IF(I85&lt;0.005,0,MAX(0,I85*(1+I$6/12)-I$7))</f>
        <v/>
      </c>
      <c r="J86" s="91">
        <f>IF(J85&lt;0.005,0,MAX(0,J85*(1+J$6/12)-J$7))</f>
        <v/>
      </c>
      <c r="K86" s="91">
        <f>IF(K85&lt;0.005,0,MAX(0,K85*(1+K$6/12)-K$7))</f>
        <v/>
      </c>
      <c r="L86" s="91">
        <f>IF(L85&lt;0.005,0,MAX(0,L85*(1+L$6/12)-L$7))</f>
        <v/>
      </c>
      <c r="M86" s="91">
        <f>SUMPRODUCT(C85:L85,$C$6:$L$6)/12</f>
        <v/>
      </c>
      <c r="N86" s="88">
        <f>SUM(C86:L86)</f>
        <v/>
      </c>
      <c r="P86" s="92">
        <f>IF(Z85&lt;0.005,0,MAX(0,Z85*(1+Z$6/12)-Z$7))</f>
        <v/>
      </c>
      <c r="Q86" s="92">
        <f>IF(AA85&lt;0.005,0,MAX(0,AA85*(1+AA$6/12)-AA$7))</f>
        <v/>
      </c>
      <c r="R86" s="92">
        <f>IF(AB85&lt;0.005,0,MAX(0,AB85*(1+AB$6/12)-AB$7))</f>
        <v/>
      </c>
      <c r="S86" s="92">
        <f>IF(AC85&lt;0.005,0,MAX(0,AC85*(1+AC$6/12)-AC$7))</f>
        <v/>
      </c>
      <c r="T86" s="92">
        <f>IF(AD85&lt;0.005,0,MAX(0,AD85*(1+AD$6/12)-AD$7))</f>
        <v/>
      </c>
      <c r="U86" s="92">
        <f>IF(AE85&lt;0.005,0,MAX(0,AE85*(1+AE$6/12)-AE$7))</f>
        <v/>
      </c>
      <c r="V86" s="92">
        <f>IF(AF85&lt;0.005,0,MAX(0,AF85*(1+AF$6/12)-AF$7))</f>
        <v/>
      </c>
      <c r="W86" s="92">
        <f>IF(AG85&lt;0.005,0,MAX(0,AG85*(1+AG$6/12)-AG$7))</f>
        <v/>
      </c>
      <c r="X86" s="92">
        <f>IF(AH85&lt;0.005,0,MAX(0,AH85*(1+AH$6/12)-AH$7))</f>
        <v/>
      </c>
      <c r="Y86" s="92">
        <f>IF(AI85&lt;0.005,0,MAX(0,AI85*(1+AI$6/12)-AI$7))</f>
        <v/>
      </c>
      <c r="Z86" s="91">
        <f>MAX(0,P86-MAX(0,AK86-0))</f>
        <v/>
      </c>
      <c r="AA86" s="91">
        <f>MAX(0,Q86-MAX(0,AK86-SUM(P86:P86)))</f>
        <v/>
      </c>
      <c r="AB86" s="91">
        <f>MAX(0,R86-MAX(0,AK86-SUM(P86:Q86)))</f>
        <v/>
      </c>
      <c r="AC86" s="91">
        <f>MAX(0,S86-MAX(0,AK86-SUM(P86:R86)))</f>
        <v/>
      </c>
      <c r="AD86" s="91">
        <f>MAX(0,T86-MAX(0,AK86-SUM(P86:S86)))</f>
        <v/>
      </c>
      <c r="AE86" s="91">
        <f>MAX(0,U86-MAX(0,AK86-SUM(P86:T86)))</f>
        <v/>
      </c>
      <c r="AF86" s="91">
        <f>MAX(0,V86-MAX(0,AK86-SUM(P86:U86)))</f>
        <v/>
      </c>
      <c r="AG86" s="91">
        <f>MAX(0,W86-MAX(0,AK86-SUM(P86:V86)))</f>
        <v/>
      </c>
      <c r="AH86" s="91">
        <f>MAX(0,X86-MAX(0,AK86-SUM(P86:W86)))</f>
        <v/>
      </c>
      <c r="AI86" s="91">
        <f>MAX(0,Y86-MAX(0,AK86-SUM(P86:X86)))</f>
        <v/>
      </c>
      <c r="AJ86" s="92">
        <f>SUM(Z85:AI85)+AL86</f>
        <v/>
      </c>
      <c r="AK86" s="92">
        <f>$AK$7-(AJ86-SUM(P86:Y86))</f>
        <v/>
      </c>
      <c r="AL86" s="91">
        <f>SUMPRODUCT(Z85:AI85,$Z$6:$AI$6)/12</f>
        <v/>
      </c>
      <c r="AM86" s="88">
        <f>SUM(Z86:AI86)</f>
        <v/>
      </c>
      <c r="AO86" s="92">
        <f>IF(AY85&lt;0.005,0,MAX(0,AY85*(1+AY$6/12)-AY$7))</f>
        <v/>
      </c>
      <c r="AP86" s="92">
        <f>IF(AZ85&lt;0.005,0,MAX(0,AZ85*(1+AZ$6/12)-AZ$7))</f>
        <v/>
      </c>
      <c r="AQ86" s="92">
        <f>IF(BA85&lt;0.005,0,MAX(0,BA85*(1+BA$6/12)-BA$7))</f>
        <v/>
      </c>
      <c r="AR86" s="92">
        <f>IF(BB85&lt;0.005,0,MAX(0,BB85*(1+BB$6/12)-BB$7))</f>
        <v/>
      </c>
      <c r="AS86" s="92">
        <f>IF(BC85&lt;0.005,0,MAX(0,BC85*(1+BC$6/12)-BC$7))</f>
        <v/>
      </c>
      <c r="AT86" s="92">
        <f>IF(BD85&lt;0.005,0,MAX(0,BD85*(1+BD$6/12)-BD$7))</f>
        <v/>
      </c>
      <c r="AU86" s="92">
        <f>IF(BE85&lt;0.005,0,MAX(0,BE85*(1+BE$6/12)-BE$7))</f>
        <v/>
      </c>
      <c r="AV86" s="92">
        <f>IF(BF85&lt;0.005,0,MAX(0,BF85*(1+BF$6/12)-BF$7))</f>
        <v/>
      </c>
      <c r="AW86" s="92">
        <f>IF(BG85&lt;0.005,0,MAX(0,BG85*(1+BG$6/12)-BG$7))</f>
        <v/>
      </c>
      <c r="AX86" s="92">
        <f>IF(BH85&lt;0.005,0,MAX(0,BH85*(1+BH$6/12)-BH$7))</f>
        <v/>
      </c>
      <c r="AY86" s="91">
        <f>MAX(0,AO86-MAX(0,BJ86-0))</f>
        <v/>
      </c>
      <c r="AZ86" s="91">
        <f>MAX(0,AP86-MAX(0,BJ86-SUM(AO86:AO86)))</f>
        <v/>
      </c>
      <c r="BA86" s="91">
        <f>MAX(0,AQ86-MAX(0,BJ86-SUM(AO86:AP86)))</f>
        <v/>
      </c>
      <c r="BB86" s="91">
        <f>MAX(0,AR86-MAX(0,BJ86-SUM(AO86:AQ86)))</f>
        <v/>
      </c>
      <c r="BC86" s="91">
        <f>MAX(0,AS86-MAX(0,BJ86-SUM(AO86:AR86)))</f>
        <v/>
      </c>
      <c r="BD86" s="91">
        <f>MAX(0,AT86-MAX(0,BJ86-SUM(AO86:AS86)))</f>
        <v/>
      </c>
      <c r="BE86" s="91">
        <f>MAX(0,AU86-MAX(0,BJ86-SUM(AO86:AT86)))</f>
        <v/>
      </c>
      <c r="BF86" s="91">
        <f>MAX(0,AV86-MAX(0,BJ86-SUM(AO86:AU86)))</f>
        <v/>
      </c>
      <c r="BG86" s="91">
        <f>MAX(0,AW86-MAX(0,BJ86-SUM(AO86:AV86)))</f>
        <v/>
      </c>
      <c r="BH86" s="91">
        <f>MAX(0,AX86-MAX(0,BJ86-SUM(AO86:AW86)))</f>
        <v/>
      </c>
      <c r="BI86" s="92">
        <f>SUM(AY85:BH85)+BK86</f>
        <v/>
      </c>
      <c r="BJ86" s="92">
        <f>$BJ$7-(BI86-SUM(AO86:AX86))</f>
        <v/>
      </c>
      <c r="BK86" s="91">
        <f>SUMPRODUCT(AY85:BH85,$AY$6:$BH$6)/12</f>
        <v/>
      </c>
      <c r="BL86" s="88">
        <f>SUM(AY86:BH86)</f>
        <v/>
      </c>
    </row>
    <row r="87">
      <c r="A87" s="24" t="n">
        <v>77</v>
      </c>
      <c r="B87" s="90">
        <f>DATE(YEAR(Settings!$C$11),MONTH(Settings!$C$11)+A87,1)</f>
        <v/>
      </c>
      <c r="C87" s="91">
        <f>IF(C86&lt;0.005,0,MAX(0,C86*(1+C$6/12)-C$7))</f>
        <v/>
      </c>
      <c r="D87" s="91">
        <f>IF(D86&lt;0.005,0,MAX(0,D86*(1+D$6/12)-D$7))</f>
        <v/>
      </c>
      <c r="E87" s="91">
        <f>IF(E86&lt;0.005,0,MAX(0,E86*(1+E$6/12)-E$7))</f>
        <v/>
      </c>
      <c r="F87" s="91">
        <f>IF(F86&lt;0.005,0,MAX(0,F86*(1+F$6/12)-F$7))</f>
        <v/>
      </c>
      <c r="G87" s="91">
        <f>IF(G86&lt;0.005,0,MAX(0,G86*(1+G$6/12)-G$7))</f>
        <v/>
      </c>
      <c r="H87" s="91">
        <f>IF(H86&lt;0.005,0,MAX(0,H86*(1+H$6/12)-H$7))</f>
        <v/>
      </c>
      <c r="I87" s="91">
        <f>IF(I86&lt;0.005,0,MAX(0,I86*(1+I$6/12)-I$7))</f>
        <v/>
      </c>
      <c r="J87" s="91">
        <f>IF(J86&lt;0.005,0,MAX(0,J86*(1+J$6/12)-J$7))</f>
        <v/>
      </c>
      <c r="K87" s="91">
        <f>IF(K86&lt;0.005,0,MAX(0,K86*(1+K$6/12)-K$7))</f>
        <v/>
      </c>
      <c r="L87" s="91">
        <f>IF(L86&lt;0.005,0,MAX(0,L86*(1+L$6/12)-L$7))</f>
        <v/>
      </c>
      <c r="M87" s="91">
        <f>SUMPRODUCT(C86:L86,$C$6:$L$6)/12</f>
        <v/>
      </c>
      <c r="N87" s="88">
        <f>SUM(C87:L87)</f>
        <v/>
      </c>
      <c r="P87" s="92">
        <f>IF(Z86&lt;0.005,0,MAX(0,Z86*(1+Z$6/12)-Z$7))</f>
        <v/>
      </c>
      <c r="Q87" s="92">
        <f>IF(AA86&lt;0.005,0,MAX(0,AA86*(1+AA$6/12)-AA$7))</f>
        <v/>
      </c>
      <c r="R87" s="92">
        <f>IF(AB86&lt;0.005,0,MAX(0,AB86*(1+AB$6/12)-AB$7))</f>
        <v/>
      </c>
      <c r="S87" s="92">
        <f>IF(AC86&lt;0.005,0,MAX(0,AC86*(1+AC$6/12)-AC$7))</f>
        <v/>
      </c>
      <c r="T87" s="92">
        <f>IF(AD86&lt;0.005,0,MAX(0,AD86*(1+AD$6/12)-AD$7))</f>
        <v/>
      </c>
      <c r="U87" s="92">
        <f>IF(AE86&lt;0.005,0,MAX(0,AE86*(1+AE$6/12)-AE$7))</f>
        <v/>
      </c>
      <c r="V87" s="92">
        <f>IF(AF86&lt;0.005,0,MAX(0,AF86*(1+AF$6/12)-AF$7))</f>
        <v/>
      </c>
      <c r="W87" s="92">
        <f>IF(AG86&lt;0.005,0,MAX(0,AG86*(1+AG$6/12)-AG$7))</f>
        <v/>
      </c>
      <c r="X87" s="92">
        <f>IF(AH86&lt;0.005,0,MAX(0,AH86*(1+AH$6/12)-AH$7))</f>
        <v/>
      </c>
      <c r="Y87" s="92">
        <f>IF(AI86&lt;0.005,0,MAX(0,AI86*(1+AI$6/12)-AI$7))</f>
        <v/>
      </c>
      <c r="Z87" s="91">
        <f>MAX(0,P87-MAX(0,AK87-0))</f>
        <v/>
      </c>
      <c r="AA87" s="91">
        <f>MAX(0,Q87-MAX(0,AK87-SUM(P87:P87)))</f>
        <v/>
      </c>
      <c r="AB87" s="91">
        <f>MAX(0,R87-MAX(0,AK87-SUM(P87:Q87)))</f>
        <v/>
      </c>
      <c r="AC87" s="91">
        <f>MAX(0,S87-MAX(0,AK87-SUM(P87:R87)))</f>
        <v/>
      </c>
      <c r="AD87" s="91">
        <f>MAX(0,T87-MAX(0,AK87-SUM(P87:S87)))</f>
        <v/>
      </c>
      <c r="AE87" s="91">
        <f>MAX(0,U87-MAX(0,AK87-SUM(P87:T87)))</f>
        <v/>
      </c>
      <c r="AF87" s="91">
        <f>MAX(0,V87-MAX(0,AK87-SUM(P87:U87)))</f>
        <v/>
      </c>
      <c r="AG87" s="91">
        <f>MAX(0,W87-MAX(0,AK87-SUM(P87:V87)))</f>
        <v/>
      </c>
      <c r="AH87" s="91">
        <f>MAX(0,X87-MAX(0,AK87-SUM(P87:W87)))</f>
        <v/>
      </c>
      <c r="AI87" s="91">
        <f>MAX(0,Y87-MAX(0,AK87-SUM(P87:X87)))</f>
        <v/>
      </c>
      <c r="AJ87" s="92">
        <f>SUM(Z86:AI86)+AL87</f>
        <v/>
      </c>
      <c r="AK87" s="92">
        <f>$AK$7-(AJ87-SUM(P87:Y87))</f>
        <v/>
      </c>
      <c r="AL87" s="91">
        <f>SUMPRODUCT(Z86:AI86,$Z$6:$AI$6)/12</f>
        <v/>
      </c>
      <c r="AM87" s="88">
        <f>SUM(Z87:AI87)</f>
        <v/>
      </c>
      <c r="AO87" s="92">
        <f>IF(AY86&lt;0.005,0,MAX(0,AY86*(1+AY$6/12)-AY$7))</f>
        <v/>
      </c>
      <c r="AP87" s="92">
        <f>IF(AZ86&lt;0.005,0,MAX(0,AZ86*(1+AZ$6/12)-AZ$7))</f>
        <v/>
      </c>
      <c r="AQ87" s="92">
        <f>IF(BA86&lt;0.005,0,MAX(0,BA86*(1+BA$6/12)-BA$7))</f>
        <v/>
      </c>
      <c r="AR87" s="92">
        <f>IF(BB86&lt;0.005,0,MAX(0,BB86*(1+BB$6/12)-BB$7))</f>
        <v/>
      </c>
      <c r="AS87" s="92">
        <f>IF(BC86&lt;0.005,0,MAX(0,BC86*(1+BC$6/12)-BC$7))</f>
        <v/>
      </c>
      <c r="AT87" s="92">
        <f>IF(BD86&lt;0.005,0,MAX(0,BD86*(1+BD$6/12)-BD$7))</f>
        <v/>
      </c>
      <c r="AU87" s="92">
        <f>IF(BE86&lt;0.005,0,MAX(0,BE86*(1+BE$6/12)-BE$7))</f>
        <v/>
      </c>
      <c r="AV87" s="92">
        <f>IF(BF86&lt;0.005,0,MAX(0,BF86*(1+BF$6/12)-BF$7))</f>
        <v/>
      </c>
      <c r="AW87" s="92">
        <f>IF(BG86&lt;0.005,0,MAX(0,BG86*(1+BG$6/12)-BG$7))</f>
        <v/>
      </c>
      <c r="AX87" s="92">
        <f>IF(BH86&lt;0.005,0,MAX(0,BH86*(1+BH$6/12)-BH$7))</f>
        <v/>
      </c>
      <c r="AY87" s="91">
        <f>MAX(0,AO87-MAX(0,BJ87-0))</f>
        <v/>
      </c>
      <c r="AZ87" s="91">
        <f>MAX(0,AP87-MAX(0,BJ87-SUM(AO87:AO87)))</f>
        <v/>
      </c>
      <c r="BA87" s="91">
        <f>MAX(0,AQ87-MAX(0,BJ87-SUM(AO87:AP87)))</f>
        <v/>
      </c>
      <c r="BB87" s="91">
        <f>MAX(0,AR87-MAX(0,BJ87-SUM(AO87:AQ87)))</f>
        <v/>
      </c>
      <c r="BC87" s="91">
        <f>MAX(0,AS87-MAX(0,BJ87-SUM(AO87:AR87)))</f>
        <v/>
      </c>
      <c r="BD87" s="91">
        <f>MAX(0,AT87-MAX(0,BJ87-SUM(AO87:AS87)))</f>
        <v/>
      </c>
      <c r="BE87" s="91">
        <f>MAX(0,AU87-MAX(0,BJ87-SUM(AO87:AT87)))</f>
        <v/>
      </c>
      <c r="BF87" s="91">
        <f>MAX(0,AV87-MAX(0,BJ87-SUM(AO87:AU87)))</f>
        <v/>
      </c>
      <c r="BG87" s="91">
        <f>MAX(0,AW87-MAX(0,BJ87-SUM(AO87:AV87)))</f>
        <v/>
      </c>
      <c r="BH87" s="91">
        <f>MAX(0,AX87-MAX(0,BJ87-SUM(AO87:AW87)))</f>
        <v/>
      </c>
      <c r="BI87" s="92">
        <f>SUM(AY86:BH86)+BK87</f>
        <v/>
      </c>
      <c r="BJ87" s="92">
        <f>$BJ$7-(BI87-SUM(AO87:AX87))</f>
        <v/>
      </c>
      <c r="BK87" s="91">
        <f>SUMPRODUCT(AY86:BH86,$AY$6:$BH$6)/12</f>
        <v/>
      </c>
      <c r="BL87" s="88">
        <f>SUM(AY87:BH87)</f>
        <v/>
      </c>
    </row>
    <row r="88">
      <c r="A88" s="24" t="n">
        <v>78</v>
      </c>
      <c r="B88" s="90">
        <f>DATE(YEAR(Settings!$C$11),MONTH(Settings!$C$11)+A88,1)</f>
        <v/>
      </c>
      <c r="C88" s="91">
        <f>IF(C87&lt;0.005,0,MAX(0,C87*(1+C$6/12)-C$7))</f>
        <v/>
      </c>
      <c r="D88" s="91">
        <f>IF(D87&lt;0.005,0,MAX(0,D87*(1+D$6/12)-D$7))</f>
        <v/>
      </c>
      <c r="E88" s="91">
        <f>IF(E87&lt;0.005,0,MAX(0,E87*(1+E$6/12)-E$7))</f>
        <v/>
      </c>
      <c r="F88" s="91">
        <f>IF(F87&lt;0.005,0,MAX(0,F87*(1+F$6/12)-F$7))</f>
        <v/>
      </c>
      <c r="G88" s="91">
        <f>IF(G87&lt;0.005,0,MAX(0,G87*(1+G$6/12)-G$7))</f>
        <v/>
      </c>
      <c r="H88" s="91">
        <f>IF(H87&lt;0.005,0,MAX(0,H87*(1+H$6/12)-H$7))</f>
        <v/>
      </c>
      <c r="I88" s="91">
        <f>IF(I87&lt;0.005,0,MAX(0,I87*(1+I$6/12)-I$7))</f>
        <v/>
      </c>
      <c r="J88" s="91">
        <f>IF(J87&lt;0.005,0,MAX(0,J87*(1+J$6/12)-J$7))</f>
        <v/>
      </c>
      <c r="K88" s="91">
        <f>IF(K87&lt;0.005,0,MAX(0,K87*(1+K$6/12)-K$7))</f>
        <v/>
      </c>
      <c r="L88" s="91">
        <f>IF(L87&lt;0.005,0,MAX(0,L87*(1+L$6/12)-L$7))</f>
        <v/>
      </c>
      <c r="M88" s="91">
        <f>SUMPRODUCT(C87:L87,$C$6:$L$6)/12</f>
        <v/>
      </c>
      <c r="N88" s="88">
        <f>SUM(C88:L88)</f>
        <v/>
      </c>
      <c r="P88" s="92">
        <f>IF(Z87&lt;0.005,0,MAX(0,Z87*(1+Z$6/12)-Z$7))</f>
        <v/>
      </c>
      <c r="Q88" s="92">
        <f>IF(AA87&lt;0.005,0,MAX(0,AA87*(1+AA$6/12)-AA$7))</f>
        <v/>
      </c>
      <c r="R88" s="92">
        <f>IF(AB87&lt;0.005,0,MAX(0,AB87*(1+AB$6/12)-AB$7))</f>
        <v/>
      </c>
      <c r="S88" s="92">
        <f>IF(AC87&lt;0.005,0,MAX(0,AC87*(1+AC$6/12)-AC$7))</f>
        <v/>
      </c>
      <c r="T88" s="92">
        <f>IF(AD87&lt;0.005,0,MAX(0,AD87*(1+AD$6/12)-AD$7))</f>
        <v/>
      </c>
      <c r="U88" s="92">
        <f>IF(AE87&lt;0.005,0,MAX(0,AE87*(1+AE$6/12)-AE$7))</f>
        <v/>
      </c>
      <c r="V88" s="92">
        <f>IF(AF87&lt;0.005,0,MAX(0,AF87*(1+AF$6/12)-AF$7))</f>
        <v/>
      </c>
      <c r="W88" s="92">
        <f>IF(AG87&lt;0.005,0,MAX(0,AG87*(1+AG$6/12)-AG$7))</f>
        <v/>
      </c>
      <c r="X88" s="92">
        <f>IF(AH87&lt;0.005,0,MAX(0,AH87*(1+AH$6/12)-AH$7))</f>
        <v/>
      </c>
      <c r="Y88" s="92">
        <f>IF(AI87&lt;0.005,0,MAX(0,AI87*(1+AI$6/12)-AI$7))</f>
        <v/>
      </c>
      <c r="Z88" s="91">
        <f>MAX(0,P88-MAX(0,AK88-0))</f>
        <v/>
      </c>
      <c r="AA88" s="91">
        <f>MAX(0,Q88-MAX(0,AK88-SUM(P88:P88)))</f>
        <v/>
      </c>
      <c r="AB88" s="91">
        <f>MAX(0,R88-MAX(0,AK88-SUM(P88:Q88)))</f>
        <v/>
      </c>
      <c r="AC88" s="91">
        <f>MAX(0,S88-MAX(0,AK88-SUM(P88:R88)))</f>
        <v/>
      </c>
      <c r="AD88" s="91">
        <f>MAX(0,T88-MAX(0,AK88-SUM(P88:S88)))</f>
        <v/>
      </c>
      <c r="AE88" s="91">
        <f>MAX(0,U88-MAX(0,AK88-SUM(P88:T88)))</f>
        <v/>
      </c>
      <c r="AF88" s="91">
        <f>MAX(0,V88-MAX(0,AK88-SUM(P88:U88)))</f>
        <v/>
      </c>
      <c r="AG88" s="91">
        <f>MAX(0,W88-MAX(0,AK88-SUM(P88:V88)))</f>
        <v/>
      </c>
      <c r="AH88" s="91">
        <f>MAX(0,X88-MAX(0,AK88-SUM(P88:W88)))</f>
        <v/>
      </c>
      <c r="AI88" s="91">
        <f>MAX(0,Y88-MAX(0,AK88-SUM(P88:X88)))</f>
        <v/>
      </c>
      <c r="AJ88" s="92">
        <f>SUM(Z87:AI87)+AL88</f>
        <v/>
      </c>
      <c r="AK88" s="92">
        <f>$AK$7-(AJ88-SUM(P88:Y88))</f>
        <v/>
      </c>
      <c r="AL88" s="91">
        <f>SUMPRODUCT(Z87:AI87,$Z$6:$AI$6)/12</f>
        <v/>
      </c>
      <c r="AM88" s="88">
        <f>SUM(Z88:AI88)</f>
        <v/>
      </c>
      <c r="AO88" s="92">
        <f>IF(AY87&lt;0.005,0,MAX(0,AY87*(1+AY$6/12)-AY$7))</f>
        <v/>
      </c>
      <c r="AP88" s="92">
        <f>IF(AZ87&lt;0.005,0,MAX(0,AZ87*(1+AZ$6/12)-AZ$7))</f>
        <v/>
      </c>
      <c r="AQ88" s="92">
        <f>IF(BA87&lt;0.005,0,MAX(0,BA87*(1+BA$6/12)-BA$7))</f>
        <v/>
      </c>
      <c r="AR88" s="92">
        <f>IF(BB87&lt;0.005,0,MAX(0,BB87*(1+BB$6/12)-BB$7))</f>
        <v/>
      </c>
      <c r="AS88" s="92">
        <f>IF(BC87&lt;0.005,0,MAX(0,BC87*(1+BC$6/12)-BC$7))</f>
        <v/>
      </c>
      <c r="AT88" s="92">
        <f>IF(BD87&lt;0.005,0,MAX(0,BD87*(1+BD$6/12)-BD$7))</f>
        <v/>
      </c>
      <c r="AU88" s="92">
        <f>IF(BE87&lt;0.005,0,MAX(0,BE87*(1+BE$6/12)-BE$7))</f>
        <v/>
      </c>
      <c r="AV88" s="92">
        <f>IF(BF87&lt;0.005,0,MAX(0,BF87*(1+BF$6/12)-BF$7))</f>
        <v/>
      </c>
      <c r="AW88" s="92">
        <f>IF(BG87&lt;0.005,0,MAX(0,BG87*(1+BG$6/12)-BG$7))</f>
        <v/>
      </c>
      <c r="AX88" s="92">
        <f>IF(BH87&lt;0.005,0,MAX(0,BH87*(1+BH$6/12)-BH$7))</f>
        <v/>
      </c>
      <c r="AY88" s="91">
        <f>MAX(0,AO88-MAX(0,BJ88-0))</f>
        <v/>
      </c>
      <c r="AZ88" s="91">
        <f>MAX(0,AP88-MAX(0,BJ88-SUM(AO88:AO88)))</f>
        <v/>
      </c>
      <c r="BA88" s="91">
        <f>MAX(0,AQ88-MAX(0,BJ88-SUM(AO88:AP88)))</f>
        <v/>
      </c>
      <c r="BB88" s="91">
        <f>MAX(0,AR88-MAX(0,BJ88-SUM(AO88:AQ88)))</f>
        <v/>
      </c>
      <c r="BC88" s="91">
        <f>MAX(0,AS88-MAX(0,BJ88-SUM(AO88:AR88)))</f>
        <v/>
      </c>
      <c r="BD88" s="91">
        <f>MAX(0,AT88-MAX(0,BJ88-SUM(AO88:AS88)))</f>
        <v/>
      </c>
      <c r="BE88" s="91">
        <f>MAX(0,AU88-MAX(0,BJ88-SUM(AO88:AT88)))</f>
        <v/>
      </c>
      <c r="BF88" s="91">
        <f>MAX(0,AV88-MAX(0,BJ88-SUM(AO88:AU88)))</f>
        <v/>
      </c>
      <c r="BG88" s="91">
        <f>MAX(0,AW88-MAX(0,BJ88-SUM(AO88:AV88)))</f>
        <v/>
      </c>
      <c r="BH88" s="91">
        <f>MAX(0,AX88-MAX(0,BJ88-SUM(AO88:AW88)))</f>
        <v/>
      </c>
      <c r="BI88" s="92">
        <f>SUM(AY87:BH87)+BK88</f>
        <v/>
      </c>
      <c r="BJ88" s="92">
        <f>$BJ$7-(BI88-SUM(AO88:AX88))</f>
        <v/>
      </c>
      <c r="BK88" s="91">
        <f>SUMPRODUCT(AY87:BH87,$AY$6:$BH$6)/12</f>
        <v/>
      </c>
      <c r="BL88" s="88">
        <f>SUM(AY88:BH88)</f>
        <v/>
      </c>
    </row>
    <row r="89">
      <c r="A89" s="24" t="n">
        <v>79</v>
      </c>
      <c r="B89" s="90">
        <f>DATE(YEAR(Settings!$C$11),MONTH(Settings!$C$11)+A89,1)</f>
        <v/>
      </c>
      <c r="C89" s="91">
        <f>IF(C88&lt;0.005,0,MAX(0,C88*(1+C$6/12)-C$7))</f>
        <v/>
      </c>
      <c r="D89" s="91">
        <f>IF(D88&lt;0.005,0,MAX(0,D88*(1+D$6/12)-D$7))</f>
        <v/>
      </c>
      <c r="E89" s="91">
        <f>IF(E88&lt;0.005,0,MAX(0,E88*(1+E$6/12)-E$7))</f>
        <v/>
      </c>
      <c r="F89" s="91">
        <f>IF(F88&lt;0.005,0,MAX(0,F88*(1+F$6/12)-F$7))</f>
        <v/>
      </c>
      <c r="G89" s="91">
        <f>IF(G88&lt;0.005,0,MAX(0,G88*(1+G$6/12)-G$7))</f>
        <v/>
      </c>
      <c r="H89" s="91">
        <f>IF(H88&lt;0.005,0,MAX(0,H88*(1+H$6/12)-H$7))</f>
        <v/>
      </c>
      <c r="I89" s="91">
        <f>IF(I88&lt;0.005,0,MAX(0,I88*(1+I$6/12)-I$7))</f>
        <v/>
      </c>
      <c r="J89" s="91">
        <f>IF(J88&lt;0.005,0,MAX(0,J88*(1+J$6/12)-J$7))</f>
        <v/>
      </c>
      <c r="K89" s="91">
        <f>IF(K88&lt;0.005,0,MAX(0,K88*(1+K$6/12)-K$7))</f>
        <v/>
      </c>
      <c r="L89" s="91">
        <f>IF(L88&lt;0.005,0,MAX(0,L88*(1+L$6/12)-L$7))</f>
        <v/>
      </c>
      <c r="M89" s="91">
        <f>SUMPRODUCT(C88:L88,$C$6:$L$6)/12</f>
        <v/>
      </c>
      <c r="N89" s="88">
        <f>SUM(C89:L89)</f>
        <v/>
      </c>
      <c r="P89" s="92">
        <f>IF(Z88&lt;0.005,0,MAX(0,Z88*(1+Z$6/12)-Z$7))</f>
        <v/>
      </c>
      <c r="Q89" s="92">
        <f>IF(AA88&lt;0.005,0,MAX(0,AA88*(1+AA$6/12)-AA$7))</f>
        <v/>
      </c>
      <c r="R89" s="92">
        <f>IF(AB88&lt;0.005,0,MAX(0,AB88*(1+AB$6/12)-AB$7))</f>
        <v/>
      </c>
      <c r="S89" s="92">
        <f>IF(AC88&lt;0.005,0,MAX(0,AC88*(1+AC$6/12)-AC$7))</f>
        <v/>
      </c>
      <c r="T89" s="92">
        <f>IF(AD88&lt;0.005,0,MAX(0,AD88*(1+AD$6/12)-AD$7))</f>
        <v/>
      </c>
      <c r="U89" s="92">
        <f>IF(AE88&lt;0.005,0,MAX(0,AE88*(1+AE$6/12)-AE$7))</f>
        <v/>
      </c>
      <c r="V89" s="92">
        <f>IF(AF88&lt;0.005,0,MAX(0,AF88*(1+AF$6/12)-AF$7))</f>
        <v/>
      </c>
      <c r="W89" s="92">
        <f>IF(AG88&lt;0.005,0,MAX(0,AG88*(1+AG$6/12)-AG$7))</f>
        <v/>
      </c>
      <c r="X89" s="92">
        <f>IF(AH88&lt;0.005,0,MAX(0,AH88*(1+AH$6/12)-AH$7))</f>
        <v/>
      </c>
      <c r="Y89" s="92">
        <f>IF(AI88&lt;0.005,0,MAX(0,AI88*(1+AI$6/12)-AI$7))</f>
        <v/>
      </c>
      <c r="Z89" s="91">
        <f>MAX(0,P89-MAX(0,AK89-0))</f>
        <v/>
      </c>
      <c r="AA89" s="91">
        <f>MAX(0,Q89-MAX(0,AK89-SUM(P89:P89)))</f>
        <v/>
      </c>
      <c r="AB89" s="91">
        <f>MAX(0,R89-MAX(0,AK89-SUM(P89:Q89)))</f>
        <v/>
      </c>
      <c r="AC89" s="91">
        <f>MAX(0,S89-MAX(0,AK89-SUM(P89:R89)))</f>
        <v/>
      </c>
      <c r="AD89" s="91">
        <f>MAX(0,T89-MAX(0,AK89-SUM(P89:S89)))</f>
        <v/>
      </c>
      <c r="AE89" s="91">
        <f>MAX(0,U89-MAX(0,AK89-SUM(P89:T89)))</f>
        <v/>
      </c>
      <c r="AF89" s="91">
        <f>MAX(0,V89-MAX(0,AK89-SUM(P89:U89)))</f>
        <v/>
      </c>
      <c r="AG89" s="91">
        <f>MAX(0,W89-MAX(0,AK89-SUM(P89:V89)))</f>
        <v/>
      </c>
      <c r="AH89" s="91">
        <f>MAX(0,X89-MAX(0,AK89-SUM(P89:W89)))</f>
        <v/>
      </c>
      <c r="AI89" s="91">
        <f>MAX(0,Y89-MAX(0,AK89-SUM(P89:X89)))</f>
        <v/>
      </c>
      <c r="AJ89" s="92">
        <f>SUM(Z88:AI88)+AL89</f>
        <v/>
      </c>
      <c r="AK89" s="92">
        <f>$AK$7-(AJ89-SUM(P89:Y89))</f>
        <v/>
      </c>
      <c r="AL89" s="91">
        <f>SUMPRODUCT(Z88:AI88,$Z$6:$AI$6)/12</f>
        <v/>
      </c>
      <c r="AM89" s="88">
        <f>SUM(Z89:AI89)</f>
        <v/>
      </c>
      <c r="AO89" s="92">
        <f>IF(AY88&lt;0.005,0,MAX(0,AY88*(1+AY$6/12)-AY$7))</f>
        <v/>
      </c>
      <c r="AP89" s="92">
        <f>IF(AZ88&lt;0.005,0,MAX(0,AZ88*(1+AZ$6/12)-AZ$7))</f>
        <v/>
      </c>
      <c r="AQ89" s="92">
        <f>IF(BA88&lt;0.005,0,MAX(0,BA88*(1+BA$6/12)-BA$7))</f>
        <v/>
      </c>
      <c r="AR89" s="92">
        <f>IF(BB88&lt;0.005,0,MAX(0,BB88*(1+BB$6/12)-BB$7))</f>
        <v/>
      </c>
      <c r="AS89" s="92">
        <f>IF(BC88&lt;0.005,0,MAX(0,BC88*(1+BC$6/12)-BC$7))</f>
        <v/>
      </c>
      <c r="AT89" s="92">
        <f>IF(BD88&lt;0.005,0,MAX(0,BD88*(1+BD$6/12)-BD$7))</f>
        <v/>
      </c>
      <c r="AU89" s="92">
        <f>IF(BE88&lt;0.005,0,MAX(0,BE88*(1+BE$6/12)-BE$7))</f>
        <v/>
      </c>
      <c r="AV89" s="92">
        <f>IF(BF88&lt;0.005,0,MAX(0,BF88*(1+BF$6/12)-BF$7))</f>
        <v/>
      </c>
      <c r="AW89" s="92">
        <f>IF(BG88&lt;0.005,0,MAX(0,BG88*(1+BG$6/12)-BG$7))</f>
        <v/>
      </c>
      <c r="AX89" s="92">
        <f>IF(BH88&lt;0.005,0,MAX(0,BH88*(1+BH$6/12)-BH$7))</f>
        <v/>
      </c>
      <c r="AY89" s="91">
        <f>MAX(0,AO89-MAX(0,BJ89-0))</f>
        <v/>
      </c>
      <c r="AZ89" s="91">
        <f>MAX(0,AP89-MAX(0,BJ89-SUM(AO89:AO89)))</f>
        <v/>
      </c>
      <c r="BA89" s="91">
        <f>MAX(0,AQ89-MAX(0,BJ89-SUM(AO89:AP89)))</f>
        <v/>
      </c>
      <c r="BB89" s="91">
        <f>MAX(0,AR89-MAX(0,BJ89-SUM(AO89:AQ89)))</f>
        <v/>
      </c>
      <c r="BC89" s="91">
        <f>MAX(0,AS89-MAX(0,BJ89-SUM(AO89:AR89)))</f>
        <v/>
      </c>
      <c r="BD89" s="91">
        <f>MAX(0,AT89-MAX(0,BJ89-SUM(AO89:AS89)))</f>
        <v/>
      </c>
      <c r="BE89" s="91">
        <f>MAX(0,AU89-MAX(0,BJ89-SUM(AO89:AT89)))</f>
        <v/>
      </c>
      <c r="BF89" s="91">
        <f>MAX(0,AV89-MAX(0,BJ89-SUM(AO89:AU89)))</f>
        <v/>
      </c>
      <c r="BG89" s="91">
        <f>MAX(0,AW89-MAX(0,BJ89-SUM(AO89:AV89)))</f>
        <v/>
      </c>
      <c r="BH89" s="91">
        <f>MAX(0,AX89-MAX(0,BJ89-SUM(AO89:AW89)))</f>
        <v/>
      </c>
      <c r="BI89" s="92">
        <f>SUM(AY88:BH88)+BK89</f>
        <v/>
      </c>
      <c r="BJ89" s="92">
        <f>$BJ$7-(BI89-SUM(AO89:AX89))</f>
        <v/>
      </c>
      <c r="BK89" s="91">
        <f>SUMPRODUCT(AY88:BH88,$AY$6:$BH$6)/12</f>
        <v/>
      </c>
      <c r="BL89" s="88">
        <f>SUM(AY89:BH89)</f>
        <v/>
      </c>
    </row>
    <row r="90">
      <c r="A90" s="24" t="n">
        <v>80</v>
      </c>
      <c r="B90" s="90">
        <f>DATE(YEAR(Settings!$C$11),MONTH(Settings!$C$11)+A90,1)</f>
        <v/>
      </c>
      <c r="C90" s="91">
        <f>IF(C89&lt;0.005,0,MAX(0,C89*(1+C$6/12)-C$7))</f>
        <v/>
      </c>
      <c r="D90" s="91">
        <f>IF(D89&lt;0.005,0,MAX(0,D89*(1+D$6/12)-D$7))</f>
        <v/>
      </c>
      <c r="E90" s="91">
        <f>IF(E89&lt;0.005,0,MAX(0,E89*(1+E$6/12)-E$7))</f>
        <v/>
      </c>
      <c r="F90" s="91">
        <f>IF(F89&lt;0.005,0,MAX(0,F89*(1+F$6/12)-F$7))</f>
        <v/>
      </c>
      <c r="G90" s="91">
        <f>IF(G89&lt;0.005,0,MAX(0,G89*(1+G$6/12)-G$7))</f>
        <v/>
      </c>
      <c r="H90" s="91">
        <f>IF(H89&lt;0.005,0,MAX(0,H89*(1+H$6/12)-H$7))</f>
        <v/>
      </c>
      <c r="I90" s="91">
        <f>IF(I89&lt;0.005,0,MAX(0,I89*(1+I$6/12)-I$7))</f>
        <v/>
      </c>
      <c r="J90" s="91">
        <f>IF(J89&lt;0.005,0,MAX(0,J89*(1+J$6/12)-J$7))</f>
        <v/>
      </c>
      <c r="K90" s="91">
        <f>IF(K89&lt;0.005,0,MAX(0,K89*(1+K$6/12)-K$7))</f>
        <v/>
      </c>
      <c r="L90" s="91">
        <f>IF(L89&lt;0.005,0,MAX(0,L89*(1+L$6/12)-L$7))</f>
        <v/>
      </c>
      <c r="M90" s="91">
        <f>SUMPRODUCT(C89:L89,$C$6:$L$6)/12</f>
        <v/>
      </c>
      <c r="N90" s="88">
        <f>SUM(C90:L90)</f>
        <v/>
      </c>
      <c r="P90" s="92">
        <f>IF(Z89&lt;0.005,0,MAX(0,Z89*(1+Z$6/12)-Z$7))</f>
        <v/>
      </c>
      <c r="Q90" s="92">
        <f>IF(AA89&lt;0.005,0,MAX(0,AA89*(1+AA$6/12)-AA$7))</f>
        <v/>
      </c>
      <c r="R90" s="92">
        <f>IF(AB89&lt;0.005,0,MAX(0,AB89*(1+AB$6/12)-AB$7))</f>
        <v/>
      </c>
      <c r="S90" s="92">
        <f>IF(AC89&lt;0.005,0,MAX(0,AC89*(1+AC$6/12)-AC$7))</f>
        <v/>
      </c>
      <c r="T90" s="92">
        <f>IF(AD89&lt;0.005,0,MAX(0,AD89*(1+AD$6/12)-AD$7))</f>
        <v/>
      </c>
      <c r="U90" s="92">
        <f>IF(AE89&lt;0.005,0,MAX(0,AE89*(1+AE$6/12)-AE$7))</f>
        <v/>
      </c>
      <c r="V90" s="92">
        <f>IF(AF89&lt;0.005,0,MAX(0,AF89*(1+AF$6/12)-AF$7))</f>
        <v/>
      </c>
      <c r="W90" s="92">
        <f>IF(AG89&lt;0.005,0,MAX(0,AG89*(1+AG$6/12)-AG$7))</f>
        <v/>
      </c>
      <c r="X90" s="92">
        <f>IF(AH89&lt;0.005,0,MAX(0,AH89*(1+AH$6/12)-AH$7))</f>
        <v/>
      </c>
      <c r="Y90" s="92">
        <f>IF(AI89&lt;0.005,0,MAX(0,AI89*(1+AI$6/12)-AI$7))</f>
        <v/>
      </c>
      <c r="Z90" s="91">
        <f>MAX(0,P90-MAX(0,AK90-0))</f>
        <v/>
      </c>
      <c r="AA90" s="91">
        <f>MAX(0,Q90-MAX(0,AK90-SUM(P90:P90)))</f>
        <v/>
      </c>
      <c r="AB90" s="91">
        <f>MAX(0,R90-MAX(0,AK90-SUM(P90:Q90)))</f>
        <v/>
      </c>
      <c r="AC90" s="91">
        <f>MAX(0,S90-MAX(0,AK90-SUM(P90:R90)))</f>
        <v/>
      </c>
      <c r="AD90" s="91">
        <f>MAX(0,T90-MAX(0,AK90-SUM(P90:S90)))</f>
        <v/>
      </c>
      <c r="AE90" s="91">
        <f>MAX(0,U90-MAX(0,AK90-SUM(P90:T90)))</f>
        <v/>
      </c>
      <c r="AF90" s="91">
        <f>MAX(0,V90-MAX(0,AK90-SUM(P90:U90)))</f>
        <v/>
      </c>
      <c r="AG90" s="91">
        <f>MAX(0,W90-MAX(0,AK90-SUM(P90:V90)))</f>
        <v/>
      </c>
      <c r="AH90" s="91">
        <f>MAX(0,X90-MAX(0,AK90-SUM(P90:W90)))</f>
        <v/>
      </c>
      <c r="AI90" s="91">
        <f>MAX(0,Y90-MAX(0,AK90-SUM(P90:X90)))</f>
        <v/>
      </c>
      <c r="AJ90" s="92">
        <f>SUM(Z89:AI89)+AL90</f>
        <v/>
      </c>
      <c r="AK90" s="92">
        <f>$AK$7-(AJ90-SUM(P90:Y90))</f>
        <v/>
      </c>
      <c r="AL90" s="91">
        <f>SUMPRODUCT(Z89:AI89,$Z$6:$AI$6)/12</f>
        <v/>
      </c>
      <c r="AM90" s="88">
        <f>SUM(Z90:AI90)</f>
        <v/>
      </c>
      <c r="AO90" s="92">
        <f>IF(AY89&lt;0.005,0,MAX(0,AY89*(1+AY$6/12)-AY$7))</f>
        <v/>
      </c>
      <c r="AP90" s="92">
        <f>IF(AZ89&lt;0.005,0,MAX(0,AZ89*(1+AZ$6/12)-AZ$7))</f>
        <v/>
      </c>
      <c r="AQ90" s="92">
        <f>IF(BA89&lt;0.005,0,MAX(0,BA89*(1+BA$6/12)-BA$7))</f>
        <v/>
      </c>
      <c r="AR90" s="92">
        <f>IF(BB89&lt;0.005,0,MAX(0,BB89*(1+BB$6/12)-BB$7))</f>
        <v/>
      </c>
      <c r="AS90" s="92">
        <f>IF(BC89&lt;0.005,0,MAX(0,BC89*(1+BC$6/12)-BC$7))</f>
        <v/>
      </c>
      <c r="AT90" s="92">
        <f>IF(BD89&lt;0.005,0,MAX(0,BD89*(1+BD$6/12)-BD$7))</f>
        <v/>
      </c>
      <c r="AU90" s="92">
        <f>IF(BE89&lt;0.005,0,MAX(0,BE89*(1+BE$6/12)-BE$7))</f>
        <v/>
      </c>
      <c r="AV90" s="92">
        <f>IF(BF89&lt;0.005,0,MAX(0,BF89*(1+BF$6/12)-BF$7))</f>
        <v/>
      </c>
      <c r="AW90" s="92">
        <f>IF(BG89&lt;0.005,0,MAX(0,BG89*(1+BG$6/12)-BG$7))</f>
        <v/>
      </c>
      <c r="AX90" s="92">
        <f>IF(BH89&lt;0.005,0,MAX(0,BH89*(1+BH$6/12)-BH$7))</f>
        <v/>
      </c>
      <c r="AY90" s="91">
        <f>MAX(0,AO90-MAX(0,BJ90-0))</f>
        <v/>
      </c>
      <c r="AZ90" s="91">
        <f>MAX(0,AP90-MAX(0,BJ90-SUM(AO90:AO90)))</f>
        <v/>
      </c>
      <c r="BA90" s="91">
        <f>MAX(0,AQ90-MAX(0,BJ90-SUM(AO90:AP90)))</f>
        <v/>
      </c>
      <c r="BB90" s="91">
        <f>MAX(0,AR90-MAX(0,BJ90-SUM(AO90:AQ90)))</f>
        <v/>
      </c>
      <c r="BC90" s="91">
        <f>MAX(0,AS90-MAX(0,BJ90-SUM(AO90:AR90)))</f>
        <v/>
      </c>
      <c r="BD90" s="91">
        <f>MAX(0,AT90-MAX(0,BJ90-SUM(AO90:AS90)))</f>
        <v/>
      </c>
      <c r="BE90" s="91">
        <f>MAX(0,AU90-MAX(0,BJ90-SUM(AO90:AT90)))</f>
        <v/>
      </c>
      <c r="BF90" s="91">
        <f>MAX(0,AV90-MAX(0,BJ90-SUM(AO90:AU90)))</f>
        <v/>
      </c>
      <c r="BG90" s="91">
        <f>MAX(0,AW90-MAX(0,BJ90-SUM(AO90:AV90)))</f>
        <v/>
      </c>
      <c r="BH90" s="91">
        <f>MAX(0,AX90-MAX(0,BJ90-SUM(AO90:AW90)))</f>
        <v/>
      </c>
      <c r="BI90" s="92">
        <f>SUM(AY89:BH89)+BK90</f>
        <v/>
      </c>
      <c r="BJ90" s="92">
        <f>$BJ$7-(BI90-SUM(AO90:AX90))</f>
        <v/>
      </c>
      <c r="BK90" s="91">
        <f>SUMPRODUCT(AY89:BH89,$AY$6:$BH$6)/12</f>
        <v/>
      </c>
      <c r="BL90" s="88">
        <f>SUM(AY90:BH90)</f>
        <v/>
      </c>
    </row>
    <row r="91">
      <c r="A91" s="24" t="n">
        <v>81</v>
      </c>
      <c r="B91" s="90">
        <f>DATE(YEAR(Settings!$C$11),MONTH(Settings!$C$11)+A91,1)</f>
        <v/>
      </c>
      <c r="C91" s="91">
        <f>IF(C90&lt;0.005,0,MAX(0,C90*(1+C$6/12)-C$7))</f>
        <v/>
      </c>
      <c r="D91" s="91">
        <f>IF(D90&lt;0.005,0,MAX(0,D90*(1+D$6/12)-D$7))</f>
        <v/>
      </c>
      <c r="E91" s="91">
        <f>IF(E90&lt;0.005,0,MAX(0,E90*(1+E$6/12)-E$7))</f>
        <v/>
      </c>
      <c r="F91" s="91">
        <f>IF(F90&lt;0.005,0,MAX(0,F90*(1+F$6/12)-F$7))</f>
        <v/>
      </c>
      <c r="G91" s="91">
        <f>IF(G90&lt;0.005,0,MAX(0,G90*(1+G$6/12)-G$7))</f>
        <v/>
      </c>
      <c r="H91" s="91">
        <f>IF(H90&lt;0.005,0,MAX(0,H90*(1+H$6/12)-H$7))</f>
        <v/>
      </c>
      <c r="I91" s="91">
        <f>IF(I90&lt;0.005,0,MAX(0,I90*(1+I$6/12)-I$7))</f>
        <v/>
      </c>
      <c r="J91" s="91">
        <f>IF(J90&lt;0.005,0,MAX(0,J90*(1+J$6/12)-J$7))</f>
        <v/>
      </c>
      <c r="K91" s="91">
        <f>IF(K90&lt;0.005,0,MAX(0,K90*(1+K$6/12)-K$7))</f>
        <v/>
      </c>
      <c r="L91" s="91">
        <f>IF(L90&lt;0.005,0,MAX(0,L90*(1+L$6/12)-L$7))</f>
        <v/>
      </c>
      <c r="M91" s="91">
        <f>SUMPRODUCT(C90:L90,$C$6:$L$6)/12</f>
        <v/>
      </c>
      <c r="N91" s="88">
        <f>SUM(C91:L91)</f>
        <v/>
      </c>
      <c r="P91" s="92">
        <f>IF(Z90&lt;0.005,0,MAX(0,Z90*(1+Z$6/12)-Z$7))</f>
        <v/>
      </c>
      <c r="Q91" s="92">
        <f>IF(AA90&lt;0.005,0,MAX(0,AA90*(1+AA$6/12)-AA$7))</f>
        <v/>
      </c>
      <c r="R91" s="92">
        <f>IF(AB90&lt;0.005,0,MAX(0,AB90*(1+AB$6/12)-AB$7))</f>
        <v/>
      </c>
      <c r="S91" s="92">
        <f>IF(AC90&lt;0.005,0,MAX(0,AC90*(1+AC$6/12)-AC$7))</f>
        <v/>
      </c>
      <c r="T91" s="92">
        <f>IF(AD90&lt;0.005,0,MAX(0,AD90*(1+AD$6/12)-AD$7))</f>
        <v/>
      </c>
      <c r="U91" s="92">
        <f>IF(AE90&lt;0.005,0,MAX(0,AE90*(1+AE$6/12)-AE$7))</f>
        <v/>
      </c>
      <c r="V91" s="92">
        <f>IF(AF90&lt;0.005,0,MAX(0,AF90*(1+AF$6/12)-AF$7))</f>
        <v/>
      </c>
      <c r="W91" s="92">
        <f>IF(AG90&lt;0.005,0,MAX(0,AG90*(1+AG$6/12)-AG$7))</f>
        <v/>
      </c>
      <c r="X91" s="92">
        <f>IF(AH90&lt;0.005,0,MAX(0,AH90*(1+AH$6/12)-AH$7))</f>
        <v/>
      </c>
      <c r="Y91" s="92">
        <f>IF(AI90&lt;0.005,0,MAX(0,AI90*(1+AI$6/12)-AI$7))</f>
        <v/>
      </c>
      <c r="Z91" s="91">
        <f>MAX(0,P91-MAX(0,AK91-0))</f>
        <v/>
      </c>
      <c r="AA91" s="91">
        <f>MAX(0,Q91-MAX(0,AK91-SUM(P91:P91)))</f>
        <v/>
      </c>
      <c r="AB91" s="91">
        <f>MAX(0,R91-MAX(0,AK91-SUM(P91:Q91)))</f>
        <v/>
      </c>
      <c r="AC91" s="91">
        <f>MAX(0,S91-MAX(0,AK91-SUM(P91:R91)))</f>
        <v/>
      </c>
      <c r="AD91" s="91">
        <f>MAX(0,T91-MAX(0,AK91-SUM(P91:S91)))</f>
        <v/>
      </c>
      <c r="AE91" s="91">
        <f>MAX(0,U91-MAX(0,AK91-SUM(P91:T91)))</f>
        <v/>
      </c>
      <c r="AF91" s="91">
        <f>MAX(0,V91-MAX(0,AK91-SUM(P91:U91)))</f>
        <v/>
      </c>
      <c r="AG91" s="91">
        <f>MAX(0,W91-MAX(0,AK91-SUM(P91:V91)))</f>
        <v/>
      </c>
      <c r="AH91" s="91">
        <f>MAX(0,X91-MAX(0,AK91-SUM(P91:W91)))</f>
        <v/>
      </c>
      <c r="AI91" s="91">
        <f>MAX(0,Y91-MAX(0,AK91-SUM(P91:X91)))</f>
        <v/>
      </c>
      <c r="AJ91" s="92">
        <f>SUM(Z90:AI90)+AL91</f>
        <v/>
      </c>
      <c r="AK91" s="92">
        <f>$AK$7-(AJ91-SUM(P91:Y91))</f>
        <v/>
      </c>
      <c r="AL91" s="91">
        <f>SUMPRODUCT(Z90:AI90,$Z$6:$AI$6)/12</f>
        <v/>
      </c>
      <c r="AM91" s="88">
        <f>SUM(Z91:AI91)</f>
        <v/>
      </c>
      <c r="AO91" s="92">
        <f>IF(AY90&lt;0.005,0,MAX(0,AY90*(1+AY$6/12)-AY$7))</f>
        <v/>
      </c>
      <c r="AP91" s="92">
        <f>IF(AZ90&lt;0.005,0,MAX(0,AZ90*(1+AZ$6/12)-AZ$7))</f>
        <v/>
      </c>
      <c r="AQ91" s="92">
        <f>IF(BA90&lt;0.005,0,MAX(0,BA90*(1+BA$6/12)-BA$7))</f>
        <v/>
      </c>
      <c r="AR91" s="92">
        <f>IF(BB90&lt;0.005,0,MAX(0,BB90*(1+BB$6/12)-BB$7))</f>
        <v/>
      </c>
      <c r="AS91" s="92">
        <f>IF(BC90&lt;0.005,0,MAX(0,BC90*(1+BC$6/12)-BC$7))</f>
        <v/>
      </c>
      <c r="AT91" s="92">
        <f>IF(BD90&lt;0.005,0,MAX(0,BD90*(1+BD$6/12)-BD$7))</f>
        <v/>
      </c>
      <c r="AU91" s="92">
        <f>IF(BE90&lt;0.005,0,MAX(0,BE90*(1+BE$6/12)-BE$7))</f>
        <v/>
      </c>
      <c r="AV91" s="92">
        <f>IF(BF90&lt;0.005,0,MAX(0,BF90*(1+BF$6/12)-BF$7))</f>
        <v/>
      </c>
      <c r="AW91" s="92">
        <f>IF(BG90&lt;0.005,0,MAX(0,BG90*(1+BG$6/12)-BG$7))</f>
        <v/>
      </c>
      <c r="AX91" s="92">
        <f>IF(BH90&lt;0.005,0,MAX(0,BH90*(1+BH$6/12)-BH$7))</f>
        <v/>
      </c>
      <c r="AY91" s="91">
        <f>MAX(0,AO91-MAX(0,BJ91-0))</f>
        <v/>
      </c>
      <c r="AZ91" s="91">
        <f>MAX(0,AP91-MAX(0,BJ91-SUM(AO91:AO91)))</f>
        <v/>
      </c>
      <c r="BA91" s="91">
        <f>MAX(0,AQ91-MAX(0,BJ91-SUM(AO91:AP91)))</f>
        <v/>
      </c>
      <c r="BB91" s="91">
        <f>MAX(0,AR91-MAX(0,BJ91-SUM(AO91:AQ91)))</f>
        <v/>
      </c>
      <c r="BC91" s="91">
        <f>MAX(0,AS91-MAX(0,BJ91-SUM(AO91:AR91)))</f>
        <v/>
      </c>
      <c r="BD91" s="91">
        <f>MAX(0,AT91-MAX(0,BJ91-SUM(AO91:AS91)))</f>
        <v/>
      </c>
      <c r="BE91" s="91">
        <f>MAX(0,AU91-MAX(0,BJ91-SUM(AO91:AT91)))</f>
        <v/>
      </c>
      <c r="BF91" s="91">
        <f>MAX(0,AV91-MAX(0,BJ91-SUM(AO91:AU91)))</f>
        <v/>
      </c>
      <c r="BG91" s="91">
        <f>MAX(0,AW91-MAX(0,BJ91-SUM(AO91:AV91)))</f>
        <v/>
      </c>
      <c r="BH91" s="91">
        <f>MAX(0,AX91-MAX(0,BJ91-SUM(AO91:AW91)))</f>
        <v/>
      </c>
      <c r="BI91" s="92">
        <f>SUM(AY90:BH90)+BK91</f>
        <v/>
      </c>
      <c r="BJ91" s="92">
        <f>$BJ$7-(BI91-SUM(AO91:AX91))</f>
        <v/>
      </c>
      <c r="BK91" s="91">
        <f>SUMPRODUCT(AY90:BH90,$AY$6:$BH$6)/12</f>
        <v/>
      </c>
      <c r="BL91" s="88">
        <f>SUM(AY91:BH91)</f>
        <v/>
      </c>
    </row>
    <row r="92">
      <c r="A92" s="24" t="n">
        <v>82</v>
      </c>
      <c r="B92" s="90">
        <f>DATE(YEAR(Settings!$C$11),MONTH(Settings!$C$11)+A92,1)</f>
        <v/>
      </c>
      <c r="C92" s="91">
        <f>IF(C91&lt;0.005,0,MAX(0,C91*(1+C$6/12)-C$7))</f>
        <v/>
      </c>
      <c r="D92" s="91">
        <f>IF(D91&lt;0.005,0,MAX(0,D91*(1+D$6/12)-D$7))</f>
        <v/>
      </c>
      <c r="E92" s="91">
        <f>IF(E91&lt;0.005,0,MAX(0,E91*(1+E$6/12)-E$7))</f>
        <v/>
      </c>
      <c r="F92" s="91">
        <f>IF(F91&lt;0.005,0,MAX(0,F91*(1+F$6/12)-F$7))</f>
        <v/>
      </c>
      <c r="G92" s="91">
        <f>IF(G91&lt;0.005,0,MAX(0,G91*(1+G$6/12)-G$7))</f>
        <v/>
      </c>
      <c r="H92" s="91">
        <f>IF(H91&lt;0.005,0,MAX(0,H91*(1+H$6/12)-H$7))</f>
        <v/>
      </c>
      <c r="I92" s="91">
        <f>IF(I91&lt;0.005,0,MAX(0,I91*(1+I$6/12)-I$7))</f>
        <v/>
      </c>
      <c r="J92" s="91">
        <f>IF(J91&lt;0.005,0,MAX(0,J91*(1+J$6/12)-J$7))</f>
        <v/>
      </c>
      <c r="K92" s="91">
        <f>IF(K91&lt;0.005,0,MAX(0,K91*(1+K$6/12)-K$7))</f>
        <v/>
      </c>
      <c r="L92" s="91">
        <f>IF(L91&lt;0.005,0,MAX(0,L91*(1+L$6/12)-L$7))</f>
        <v/>
      </c>
      <c r="M92" s="91">
        <f>SUMPRODUCT(C91:L91,$C$6:$L$6)/12</f>
        <v/>
      </c>
      <c r="N92" s="88">
        <f>SUM(C92:L92)</f>
        <v/>
      </c>
      <c r="P92" s="92">
        <f>IF(Z91&lt;0.005,0,MAX(0,Z91*(1+Z$6/12)-Z$7))</f>
        <v/>
      </c>
      <c r="Q92" s="92">
        <f>IF(AA91&lt;0.005,0,MAX(0,AA91*(1+AA$6/12)-AA$7))</f>
        <v/>
      </c>
      <c r="R92" s="92">
        <f>IF(AB91&lt;0.005,0,MAX(0,AB91*(1+AB$6/12)-AB$7))</f>
        <v/>
      </c>
      <c r="S92" s="92">
        <f>IF(AC91&lt;0.005,0,MAX(0,AC91*(1+AC$6/12)-AC$7))</f>
        <v/>
      </c>
      <c r="T92" s="92">
        <f>IF(AD91&lt;0.005,0,MAX(0,AD91*(1+AD$6/12)-AD$7))</f>
        <v/>
      </c>
      <c r="U92" s="92">
        <f>IF(AE91&lt;0.005,0,MAX(0,AE91*(1+AE$6/12)-AE$7))</f>
        <v/>
      </c>
      <c r="V92" s="92">
        <f>IF(AF91&lt;0.005,0,MAX(0,AF91*(1+AF$6/12)-AF$7))</f>
        <v/>
      </c>
      <c r="W92" s="92">
        <f>IF(AG91&lt;0.005,0,MAX(0,AG91*(1+AG$6/12)-AG$7))</f>
        <v/>
      </c>
      <c r="X92" s="92">
        <f>IF(AH91&lt;0.005,0,MAX(0,AH91*(1+AH$6/12)-AH$7))</f>
        <v/>
      </c>
      <c r="Y92" s="92">
        <f>IF(AI91&lt;0.005,0,MAX(0,AI91*(1+AI$6/12)-AI$7))</f>
        <v/>
      </c>
      <c r="Z92" s="91">
        <f>MAX(0,P92-MAX(0,AK92-0))</f>
        <v/>
      </c>
      <c r="AA92" s="91">
        <f>MAX(0,Q92-MAX(0,AK92-SUM(P92:P92)))</f>
        <v/>
      </c>
      <c r="AB92" s="91">
        <f>MAX(0,R92-MAX(0,AK92-SUM(P92:Q92)))</f>
        <v/>
      </c>
      <c r="AC92" s="91">
        <f>MAX(0,S92-MAX(0,AK92-SUM(P92:R92)))</f>
        <v/>
      </c>
      <c r="AD92" s="91">
        <f>MAX(0,T92-MAX(0,AK92-SUM(P92:S92)))</f>
        <v/>
      </c>
      <c r="AE92" s="91">
        <f>MAX(0,U92-MAX(0,AK92-SUM(P92:T92)))</f>
        <v/>
      </c>
      <c r="AF92" s="91">
        <f>MAX(0,V92-MAX(0,AK92-SUM(P92:U92)))</f>
        <v/>
      </c>
      <c r="AG92" s="91">
        <f>MAX(0,W92-MAX(0,AK92-SUM(P92:V92)))</f>
        <v/>
      </c>
      <c r="AH92" s="91">
        <f>MAX(0,X92-MAX(0,AK92-SUM(P92:W92)))</f>
        <v/>
      </c>
      <c r="AI92" s="91">
        <f>MAX(0,Y92-MAX(0,AK92-SUM(P92:X92)))</f>
        <v/>
      </c>
      <c r="AJ92" s="92">
        <f>SUM(Z91:AI91)+AL92</f>
        <v/>
      </c>
      <c r="AK92" s="92">
        <f>$AK$7-(AJ92-SUM(P92:Y92))</f>
        <v/>
      </c>
      <c r="AL92" s="91">
        <f>SUMPRODUCT(Z91:AI91,$Z$6:$AI$6)/12</f>
        <v/>
      </c>
      <c r="AM92" s="88">
        <f>SUM(Z92:AI92)</f>
        <v/>
      </c>
      <c r="AO92" s="92">
        <f>IF(AY91&lt;0.005,0,MAX(0,AY91*(1+AY$6/12)-AY$7))</f>
        <v/>
      </c>
      <c r="AP92" s="92">
        <f>IF(AZ91&lt;0.005,0,MAX(0,AZ91*(1+AZ$6/12)-AZ$7))</f>
        <v/>
      </c>
      <c r="AQ92" s="92">
        <f>IF(BA91&lt;0.005,0,MAX(0,BA91*(1+BA$6/12)-BA$7))</f>
        <v/>
      </c>
      <c r="AR92" s="92">
        <f>IF(BB91&lt;0.005,0,MAX(0,BB91*(1+BB$6/12)-BB$7))</f>
        <v/>
      </c>
      <c r="AS92" s="92">
        <f>IF(BC91&lt;0.005,0,MAX(0,BC91*(1+BC$6/12)-BC$7))</f>
        <v/>
      </c>
      <c r="AT92" s="92">
        <f>IF(BD91&lt;0.005,0,MAX(0,BD91*(1+BD$6/12)-BD$7))</f>
        <v/>
      </c>
      <c r="AU92" s="92">
        <f>IF(BE91&lt;0.005,0,MAX(0,BE91*(1+BE$6/12)-BE$7))</f>
        <v/>
      </c>
      <c r="AV92" s="92">
        <f>IF(BF91&lt;0.005,0,MAX(0,BF91*(1+BF$6/12)-BF$7))</f>
        <v/>
      </c>
      <c r="AW92" s="92">
        <f>IF(BG91&lt;0.005,0,MAX(0,BG91*(1+BG$6/12)-BG$7))</f>
        <v/>
      </c>
      <c r="AX92" s="92">
        <f>IF(BH91&lt;0.005,0,MAX(0,BH91*(1+BH$6/12)-BH$7))</f>
        <v/>
      </c>
      <c r="AY92" s="91">
        <f>MAX(0,AO92-MAX(0,BJ92-0))</f>
        <v/>
      </c>
      <c r="AZ92" s="91">
        <f>MAX(0,AP92-MAX(0,BJ92-SUM(AO92:AO92)))</f>
        <v/>
      </c>
      <c r="BA92" s="91">
        <f>MAX(0,AQ92-MAX(0,BJ92-SUM(AO92:AP92)))</f>
        <v/>
      </c>
      <c r="BB92" s="91">
        <f>MAX(0,AR92-MAX(0,BJ92-SUM(AO92:AQ92)))</f>
        <v/>
      </c>
      <c r="BC92" s="91">
        <f>MAX(0,AS92-MAX(0,BJ92-SUM(AO92:AR92)))</f>
        <v/>
      </c>
      <c r="BD92" s="91">
        <f>MAX(0,AT92-MAX(0,BJ92-SUM(AO92:AS92)))</f>
        <v/>
      </c>
      <c r="BE92" s="91">
        <f>MAX(0,AU92-MAX(0,BJ92-SUM(AO92:AT92)))</f>
        <v/>
      </c>
      <c r="BF92" s="91">
        <f>MAX(0,AV92-MAX(0,BJ92-SUM(AO92:AU92)))</f>
        <v/>
      </c>
      <c r="BG92" s="91">
        <f>MAX(0,AW92-MAX(0,BJ92-SUM(AO92:AV92)))</f>
        <v/>
      </c>
      <c r="BH92" s="91">
        <f>MAX(0,AX92-MAX(0,BJ92-SUM(AO92:AW92)))</f>
        <v/>
      </c>
      <c r="BI92" s="92">
        <f>SUM(AY91:BH91)+BK92</f>
        <v/>
      </c>
      <c r="BJ92" s="92">
        <f>$BJ$7-(BI92-SUM(AO92:AX92))</f>
        <v/>
      </c>
      <c r="BK92" s="91">
        <f>SUMPRODUCT(AY91:BH91,$AY$6:$BH$6)/12</f>
        <v/>
      </c>
      <c r="BL92" s="88">
        <f>SUM(AY92:BH92)</f>
        <v/>
      </c>
    </row>
    <row r="93">
      <c r="A93" s="24" t="n">
        <v>83</v>
      </c>
      <c r="B93" s="90">
        <f>DATE(YEAR(Settings!$C$11),MONTH(Settings!$C$11)+A93,1)</f>
        <v/>
      </c>
      <c r="C93" s="91">
        <f>IF(C92&lt;0.005,0,MAX(0,C92*(1+C$6/12)-C$7))</f>
        <v/>
      </c>
      <c r="D93" s="91">
        <f>IF(D92&lt;0.005,0,MAX(0,D92*(1+D$6/12)-D$7))</f>
        <v/>
      </c>
      <c r="E93" s="91">
        <f>IF(E92&lt;0.005,0,MAX(0,E92*(1+E$6/12)-E$7))</f>
        <v/>
      </c>
      <c r="F93" s="91">
        <f>IF(F92&lt;0.005,0,MAX(0,F92*(1+F$6/12)-F$7))</f>
        <v/>
      </c>
      <c r="G93" s="91">
        <f>IF(G92&lt;0.005,0,MAX(0,G92*(1+G$6/12)-G$7))</f>
        <v/>
      </c>
      <c r="H93" s="91">
        <f>IF(H92&lt;0.005,0,MAX(0,H92*(1+H$6/12)-H$7))</f>
        <v/>
      </c>
      <c r="I93" s="91">
        <f>IF(I92&lt;0.005,0,MAX(0,I92*(1+I$6/12)-I$7))</f>
        <v/>
      </c>
      <c r="J93" s="91">
        <f>IF(J92&lt;0.005,0,MAX(0,J92*(1+J$6/12)-J$7))</f>
        <v/>
      </c>
      <c r="K93" s="91">
        <f>IF(K92&lt;0.005,0,MAX(0,K92*(1+K$6/12)-K$7))</f>
        <v/>
      </c>
      <c r="L93" s="91">
        <f>IF(L92&lt;0.005,0,MAX(0,L92*(1+L$6/12)-L$7))</f>
        <v/>
      </c>
      <c r="M93" s="91">
        <f>SUMPRODUCT(C92:L92,$C$6:$L$6)/12</f>
        <v/>
      </c>
      <c r="N93" s="88">
        <f>SUM(C93:L93)</f>
        <v/>
      </c>
      <c r="P93" s="92">
        <f>IF(Z92&lt;0.005,0,MAX(0,Z92*(1+Z$6/12)-Z$7))</f>
        <v/>
      </c>
      <c r="Q93" s="92">
        <f>IF(AA92&lt;0.005,0,MAX(0,AA92*(1+AA$6/12)-AA$7))</f>
        <v/>
      </c>
      <c r="R93" s="92">
        <f>IF(AB92&lt;0.005,0,MAX(0,AB92*(1+AB$6/12)-AB$7))</f>
        <v/>
      </c>
      <c r="S93" s="92">
        <f>IF(AC92&lt;0.005,0,MAX(0,AC92*(1+AC$6/12)-AC$7))</f>
        <v/>
      </c>
      <c r="T93" s="92">
        <f>IF(AD92&lt;0.005,0,MAX(0,AD92*(1+AD$6/12)-AD$7))</f>
        <v/>
      </c>
      <c r="U93" s="92">
        <f>IF(AE92&lt;0.005,0,MAX(0,AE92*(1+AE$6/12)-AE$7))</f>
        <v/>
      </c>
      <c r="V93" s="92">
        <f>IF(AF92&lt;0.005,0,MAX(0,AF92*(1+AF$6/12)-AF$7))</f>
        <v/>
      </c>
      <c r="W93" s="92">
        <f>IF(AG92&lt;0.005,0,MAX(0,AG92*(1+AG$6/12)-AG$7))</f>
        <v/>
      </c>
      <c r="X93" s="92">
        <f>IF(AH92&lt;0.005,0,MAX(0,AH92*(1+AH$6/12)-AH$7))</f>
        <v/>
      </c>
      <c r="Y93" s="92">
        <f>IF(AI92&lt;0.005,0,MAX(0,AI92*(1+AI$6/12)-AI$7))</f>
        <v/>
      </c>
      <c r="Z93" s="91">
        <f>MAX(0,P93-MAX(0,AK93-0))</f>
        <v/>
      </c>
      <c r="AA93" s="91">
        <f>MAX(0,Q93-MAX(0,AK93-SUM(P93:P93)))</f>
        <v/>
      </c>
      <c r="AB93" s="91">
        <f>MAX(0,R93-MAX(0,AK93-SUM(P93:Q93)))</f>
        <v/>
      </c>
      <c r="AC93" s="91">
        <f>MAX(0,S93-MAX(0,AK93-SUM(P93:R93)))</f>
        <v/>
      </c>
      <c r="AD93" s="91">
        <f>MAX(0,T93-MAX(0,AK93-SUM(P93:S93)))</f>
        <v/>
      </c>
      <c r="AE93" s="91">
        <f>MAX(0,U93-MAX(0,AK93-SUM(P93:T93)))</f>
        <v/>
      </c>
      <c r="AF93" s="91">
        <f>MAX(0,V93-MAX(0,AK93-SUM(P93:U93)))</f>
        <v/>
      </c>
      <c r="AG93" s="91">
        <f>MAX(0,W93-MAX(0,AK93-SUM(P93:V93)))</f>
        <v/>
      </c>
      <c r="AH93" s="91">
        <f>MAX(0,X93-MAX(0,AK93-SUM(P93:W93)))</f>
        <v/>
      </c>
      <c r="AI93" s="91">
        <f>MAX(0,Y93-MAX(0,AK93-SUM(P93:X93)))</f>
        <v/>
      </c>
      <c r="AJ93" s="92">
        <f>SUM(Z92:AI92)+AL93</f>
        <v/>
      </c>
      <c r="AK93" s="92">
        <f>$AK$7-(AJ93-SUM(P93:Y93))</f>
        <v/>
      </c>
      <c r="AL93" s="91">
        <f>SUMPRODUCT(Z92:AI92,$Z$6:$AI$6)/12</f>
        <v/>
      </c>
      <c r="AM93" s="88">
        <f>SUM(Z93:AI93)</f>
        <v/>
      </c>
      <c r="AO93" s="92">
        <f>IF(AY92&lt;0.005,0,MAX(0,AY92*(1+AY$6/12)-AY$7))</f>
        <v/>
      </c>
      <c r="AP93" s="92">
        <f>IF(AZ92&lt;0.005,0,MAX(0,AZ92*(1+AZ$6/12)-AZ$7))</f>
        <v/>
      </c>
      <c r="AQ93" s="92">
        <f>IF(BA92&lt;0.005,0,MAX(0,BA92*(1+BA$6/12)-BA$7))</f>
        <v/>
      </c>
      <c r="AR93" s="92">
        <f>IF(BB92&lt;0.005,0,MAX(0,BB92*(1+BB$6/12)-BB$7))</f>
        <v/>
      </c>
      <c r="AS93" s="92">
        <f>IF(BC92&lt;0.005,0,MAX(0,BC92*(1+BC$6/12)-BC$7))</f>
        <v/>
      </c>
      <c r="AT93" s="92">
        <f>IF(BD92&lt;0.005,0,MAX(0,BD92*(1+BD$6/12)-BD$7))</f>
        <v/>
      </c>
      <c r="AU93" s="92">
        <f>IF(BE92&lt;0.005,0,MAX(0,BE92*(1+BE$6/12)-BE$7))</f>
        <v/>
      </c>
      <c r="AV93" s="92">
        <f>IF(BF92&lt;0.005,0,MAX(0,BF92*(1+BF$6/12)-BF$7))</f>
        <v/>
      </c>
      <c r="AW93" s="92">
        <f>IF(BG92&lt;0.005,0,MAX(0,BG92*(1+BG$6/12)-BG$7))</f>
        <v/>
      </c>
      <c r="AX93" s="92">
        <f>IF(BH92&lt;0.005,0,MAX(0,BH92*(1+BH$6/12)-BH$7))</f>
        <v/>
      </c>
      <c r="AY93" s="91">
        <f>MAX(0,AO93-MAX(0,BJ93-0))</f>
        <v/>
      </c>
      <c r="AZ93" s="91">
        <f>MAX(0,AP93-MAX(0,BJ93-SUM(AO93:AO93)))</f>
        <v/>
      </c>
      <c r="BA93" s="91">
        <f>MAX(0,AQ93-MAX(0,BJ93-SUM(AO93:AP93)))</f>
        <v/>
      </c>
      <c r="BB93" s="91">
        <f>MAX(0,AR93-MAX(0,BJ93-SUM(AO93:AQ93)))</f>
        <v/>
      </c>
      <c r="BC93" s="91">
        <f>MAX(0,AS93-MAX(0,BJ93-SUM(AO93:AR93)))</f>
        <v/>
      </c>
      <c r="BD93" s="91">
        <f>MAX(0,AT93-MAX(0,BJ93-SUM(AO93:AS93)))</f>
        <v/>
      </c>
      <c r="BE93" s="91">
        <f>MAX(0,AU93-MAX(0,BJ93-SUM(AO93:AT93)))</f>
        <v/>
      </c>
      <c r="BF93" s="91">
        <f>MAX(0,AV93-MAX(0,BJ93-SUM(AO93:AU93)))</f>
        <v/>
      </c>
      <c r="BG93" s="91">
        <f>MAX(0,AW93-MAX(0,BJ93-SUM(AO93:AV93)))</f>
        <v/>
      </c>
      <c r="BH93" s="91">
        <f>MAX(0,AX93-MAX(0,BJ93-SUM(AO93:AW93)))</f>
        <v/>
      </c>
      <c r="BI93" s="92">
        <f>SUM(AY92:BH92)+BK93</f>
        <v/>
      </c>
      <c r="BJ93" s="92">
        <f>$BJ$7-(BI93-SUM(AO93:AX93))</f>
        <v/>
      </c>
      <c r="BK93" s="91">
        <f>SUMPRODUCT(AY92:BH92,$AY$6:$BH$6)/12</f>
        <v/>
      </c>
      <c r="BL93" s="88">
        <f>SUM(AY93:BH93)</f>
        <v/>
      </c>
    </row>
    <row r="94">
      <c r="A94" s="24" t="n">
        <v>84</v>
      </c>
      <c r="B94" s="90">
        <f>DATE(YEAR(Settings!$C$11),MONTH(Settings!$C$11)+A94,1)</f>
        <v/>
      </c>
      <c r="C94" s="91">
        <f>IF(C93&lt;0.005,0,MAX(0,C93*(1+C$6/12)-C$7))</f>
        <v/>
      </c>
      <c r="D94" s="91">
        <f>IF(D93&lt;0.005,0,MAX(0,D93*(1+D$6/12)-D$7))</f>
        <v/>
      </c>
      <c r="E94" s="91">
        <f>IF(E93&lt;0.005,0,MAX(0,E93*(1+E$6/12)-E$7))</f>
        <v/>
      </c>
      <c r="F94" s="91">
        <f>IF(F93&lt;0.005,0,MAX(0,F93*(1+F$6/12)-F$7))</f>
        <v/>
      </c>
      <c r="G94" s="91">
        <f>IF(G93&lt;0.005,0,MAX(0,G93*(1+G$6/12)-G$7))</f>
        <v/>
      </c>
      <c r="H94" s="91">
        <f>IF(H93&lt;0.005,0,MAX(0,H93*(1+H$6/12)-H$7))</f>
        <v/>
      </c>
      <c r="I94" s="91">
        <f>IF(I93&lt;0.005,0,MAX(0,I93*(1+I$6/12)-I$7))</f>
        <v/>
      </c>
      <c r="J94" s="91">
        <f>IF(J93&lt;0.005,0,MAX(0,J93*(1+J$6/12)-J$7))</f>
        <v/>
      </c>
      <c r="K94" s="91">
        <f>IF(K93&lt;0.005,0,MAX(0,K93*(1+K$6/12)-K$7))</f>
        <v/>
      </c>
      <c r="L94" s="91">
        <f>IF(L93&lt;0.005,0,MAX(0,L93*(1+L$6/12)-L$7))</f>
        <v/>
      </c>
      <c r="M94" s="91">
        <f>SUMPRODUCT(C93:L93,$C$6:$L$6)/12</f>
        <v/>
      </c>
      <c r="N94" s="88">
        <f>SUM(C94:L94)</f>
        <v/>
      </c>
      <c r="P94" s="92">
        <f>IF(Z93&lt;0.005,0,MAX(0,Z93*(1+Z$6/12)-Z$7))</f>
        <v/>
      </c>
      <c r="Q94" s="92">
        <f>IF(AA93&lt;0.005,0,MAX(0,AA93*(1+AA$6/12)-AA$7))</f>
        <v/>
      </c>
      <c r="R94" s="92">
        <f>IF(AB93&lt;0.005,0,MAX(0,AB93*(1+AB$6/12)-AB$7))</f>
        <v/>
      </c>
      <c r="S94" s="92">
        <f>IF(AC93&lt;0.005,0,MAX(0,AC93*(1+AC$6/12)-AC$7))</f>
        <v/>
      </c>
      <c r="T94" s="92">
        <f>IF(AD93&lt;0.005,0,MAX(0,AD93*(1+AD$6/12)-AD$7))</f>
        <v/>
      </c>
      <c r="U94" s="92">
        <f>IF(AE93&lt;0.005,0,MAX(0,AE93*(1+AE$6/12)-AE$7))</f>
        <v/>
      </c>
      <c r="V94" s="92">
        <f>IF(AF93&lt;0.005,0,MAX(0,AF93*(1+AF$6/12)-AF$7))</f>
        <v/>
      </c>
      <c r="W94" s="92">
        <f>IF(AG93&lt;0.005,0,MAX(0,AG93*(1+AG$6/12)-AG$7))</f>
        <v/>
      </c>
      <c r="X94" s="92">
        <f>IF(AH93&lt;0.005,0,MAX(0,AH93*(1+AH$6/12)-AH$7))</f>
        <v/>
      </c>
      <c r="Y94" s="92">
        <f>IF(AI93&lt;0.005,0,MAX(0,AI93*(1+AI$6/12)-AI$7))</f>
        <v/>
      </c>
      <c r="Z94" s="91">
        <f>MAX(0,P94-MAX(0,AK94-0))</f>
        <v/>
      </c>
      <c r="AA94" s="91">
        <f>MAX(0,Q94-MAX(0,AK94-SUM(P94:P94)))</f>
        <v/>
      </c>
      <c r="AB94" s="91">
        <f>MAX(0,R94-MAX(0,AK94-SUM(P94:Q94)))</f>
        <v/>
      </c>
      <c r="AC94" s="91">
        <f>MAX(0,S94-MAX(0,AK94-SUM(P94:R94)))</f>
        <v/>
      </c>
      <c r="AD94" s="91">
        <f>MAX(0,T94-MAX(0,AK94-SUM(P94:S94)))</f>
        <v/>
      </c>
      <c r="AE94" s="91">
        <f>MAX(0,U94-MAX(0,AK94-SUM(P94:T94)))</f>
        <v/>
      </c>
      <c r="AF94" s="91">
        <f>MAX(0,V94-MAX(0,AK94-SUM(P94:U94)))</f>
        <v/>
      </c>
      <c r="AG94" s="91">
        <f>MAX(0,W94-MAX(0,AK94-SUM(P94:V94)))</f>
        <v/>
      </c>
      <c r="AH94" s="91">
        <f>MAX(0,X94-MAX(0,AK94-SUM(P94:W94)))</f>
        <v/>
      </c>
      <c r="AI94" s="91">
        <f>MAX(0,Y94-MAX(0,AK94-SUM(P94:X94)))</f>
        <v/>
      </c>
      <c r="AJ94" s="92">
        <f>SUM(Z93:AI93)+AL94</f>
        <v/>
      </c>
      <c r="AK94" s="92">
        <f>$AK$7-(AJ94-SUM(P94:Y94))</f>
        <v/>
      </c>
      <c r="AL94" s="91">
        <f>SUMPRODUCT(Z93:AI93,$Z$6:$AI$6)/12</f>
        <v/>
      </c>
      <c r="AM94" s="88">
        <f>SUM(Z94:AI94)</f>
        <v/>
      </c>
      <c r="AO94" s="92">
        <f>IF(AY93&lt;0.005,0,MAX(0,AY93*(1+AY$6/12)-AY$7))</f>
        <v/>
      </c>
      <c r="AP94" s="92">
        <f>IF(AZ93&lt;0.005,0,MAX(0,AZ93*(1+AZ$6/12)-AZ$7))</f>
        <v/>
      </c>
      <c r="AQ94" s="92">
        <f>IF(BA93&lt;0.005,0,MAX(0,BA93*(1+BA$6/12)-BA$7))</f>
        <v/>
      </c>
      <c r="AR94" s="92">
        <f>IF(BB93&lt;0.005,0,MAX(0,BB93*(1+BB$6/12)-BB$7))</f>
        <v/>
      </c>
      <c r="AS94" s="92">
        <f>IF(BC93&lt;0.005,0,MAX(0,BC93*(1+BC$6/12)-BC$7))</f>
        <v/>
      </c>
      <c r="AT94" s="92">
        <f>IF(BD93&lt;0.005,0,MAX(0,BD93*(1+BD$6/12)-BD$7))</f>
        <v/>
      </c>
      <c r="AU94" s="92">
        <f>IF(BE93&lt;0.005,0,MAX(0,BE93*(1+BE$6/12)-BE$7))</f>
        <v/>
      </c>
      <c r="AV94" s="92">
        <f>IF(BF93&lt;0.005,0,MAX(0,BF93*(1+BF$6/12)-BF$7))</f>
        <v/>
      </c>
      <c r="AW94" s="92">
        <f>IF(BG93&lt;0.005,0,MAX(0,BG93*(1+BG$6/12)-BG$7))</f>
        <v/>
      </c>
      <c r="AX94" s="92">
        <f>IF(BH93&lt;0.005,0,MAX(0,BH93*(1+BH$6/12)-BH$7))</f>
        <v/>
      </c>
      <c r="AY94" s="91">
        <f>MAX(0,AO94-MAX(0,BJ94-0))</f>
        <v/>
      </c>
      <c r="AZ94" s="91">
        <f>MAX(0,AP94-MAX(0,BJ94-SUM(AO94:AO94)))</f>
        <v/>
      </c>
      <c r="BA94" s="91">
        <f>MAX(0,AQ94-MAX(0,BJ94-SUM(AO94:AP94)))</f>
        <v/>
      </c>
      <c r="BB94" s="91">
        <f>MAX(0,AR94-MAX(0,BJ94-SUM(AO94:AQ94)))</f>
        <v/>
      </c>
      <c r="BC94" s="91">
        <f>MAX(0,AS94-MAX(0,BJ94-SUM(AO94:AR94)))</f>
        <v/>
      </c>
      <c r="BD94" s="91">
        <f>MAX(0,AT94-MAX(0,BJ94-SUM(AO94:AS94)))</f>
        <v/>
      </c>
      <c r="BE94" s="91">
        <f>MAX(0,AU94-MAX(0,BJ94-SUM(AO94:AT94)))</f>
        <v/>
      </c>
      <c r="BF94" s="91">
        <f>MAX(0,AV94-MAX(0,BJ94-SUM(AO94:AU94)))</f>
        <v/>
      </c>
      <c r="BG94" s="91">
        <f>MAX(0,AW94-MAX(0,BJ94-SUM(AO94:AV94)))</f>
        <v/>
      </c>
      <c r="BH94" s="91">
        <f>MAX(0,AX94-MAX(0,BJ94-SUM(AO94:AW94)))</f>
        <v/>
      </c>
      <c r="BI94" s="92">
        <f>SUM(AY93:BH93)+BK94</f>
        <v/>
      </c>
      <c r="BJ94" s="92">
        <f>$BJ$7-(BI94-SUM(AO94:AX94))</f>
        <v/>
      </c>
      <c r="BK94" s="91">
        <f>SUMPRODUCT(AY93:BH93,$AY$6:$BH$6)/12</f>
        <v/>
      </c>
      <c r="BL94" s="88">
        <f>SUM(AY94:BH94)</f>
        <v/>
      </c>
    </row>
    <row r="95">
      <c r="A95" s="24" t="n">
        <v>85</v>
      </c>
      <c r="B95" s="90">
        <f>DATE(YEAR(Settings!$C$11),MONTH(Settings!$C$11)+A95,1)</f>
        <v/>
      </c>
      <c r="C95" s="91">
        <f>IF(C94&lt;0.005,0,MAX(0,C94*(1+C$6/12)-C$7))</f>
        <v/>
      </c>
      <c r="D95" s="91">
        <f>IF(D94&lt;0.005,0,MAX(0,D94*(1+D$6/12)-D$7))</f>
        <v/>
      </c>
      <c r="E95" s="91">
        <f>IF(E94&lt;0.005,0,MAX(0,E94*(1+E$6/12)-E$7))</f>
        <v/>
      </c>
      <c r="F95" s="91">
        <f>IF(F94&lt;0.005,0,MAX(0,F94*(1+F$6/12)-F$7))</f>
        <v/>
      </c>
      <c r="G95" s="91">
        <f>IF(G94&lt;0.005,0,MAX(0,G94*(1+G$6/12)-G$7))</f>
        <v/>
      </c>
      <c r="H95" s="91">
        <f>IF(H94&lt;0.005,0,MAX(0,H94*(1+H$6/12)-H$7))</f>
        <v/>
      </c>
      <c r="I95" s="91">
        <f>IF(I94&lt;0.005,0,MAX(0,I94*(1+I$6/12)-I$7))</f>
        <v/>
      </c>
      <c r="J95" s="91">
        <f>IF(J94&lt;0.005,0,MAX(0,J94*(1+J$6/12)-J$7))</f>
        <v/>
      </c>
      <c r="K95" s="91">
        <f>IF(K94&lt;0.005,0,MAX(0,K94*(1+K$6/12)-K$7))</f>
        <v/>
      </c>
      <c r="L95" s="91">
        <f>IF(L94&lt;0.005,0,MAX(0,L94*(1+L$6/12)-L$7))</f>
        <v/>
      </c>
      <c r="M95" s="91">
        <f>SUMPRODUCT(C94:L94,$C$6:$L$6)/12</f>
        <v/>
      </c>
      <c r="N95" s="88">
        <f>SUM(C95:L95)</f>
        <v/>
      </c>
      <c r="P95" s="92">
        <f>IF(Z94&lt;0.005,0,MAX(0,Z94*(1+Z$6/12)-Z$7))</f>
        <v/>
      </c>
      <c r="Q95" s="92">
        <f>IF(AA94&lt;0.005,0,MAX(0,AA94*(1+AA$6/12)-AA$7))</f>
        <v/>
      </c>
      <c r="R95" s="92">
        <f>IF(AB94&lt;0.005,0,MAX(0,AB94*(1+AB$6/12)-AB$7))</f>
        <v/>
      </c>
      <c r="S95" s="92">
        <f>IF(AC94&lt;0.005,0,MAX(0,AC94*(1+AC$6/12)-AC$7))</f>
        <v/>
      </c>
      <c r="T95" s="92">
        <f>IF(AD94&lt;0.005,0,MAX(0,AD94*(1+AD$6/12)-AD$7))</f>
        <v/>
      </c>
      <c r="U95" s="92">
        <f>IF(AE94&lt;0.005,0,MAX(0,AE94*(1+AE$6/12)-AE$7))</f>
        <v/>
      </c>
      <c r="V95" s="92">
        <f>IF(AF94&lt;0.005,0,MAX(0,AF94*(1+AF$6/12)-AF$7))</f>
        <v/>
      </c>
      <c r="W95" s="92">
        <f>IF(AG94&lt;0.005,0,MAX(0,AG94*(1+AG$6/12)-AG$7))</f>
        <v/>
      </c>
      <c r="X95" s="92">
        <f>IF(AH94&lt;0.005,0,MAX(0,AH94*(1+AH$6/12)-AH$7))</f>
        <v/>
      </c>
      <c r="Y95" s="92">
        <f>IF(AI94&lt;0.005,0,MAX(0,AI94*(1+AI$6/12)-AI$7))</f>
        <v/>
      </c>
      <c r="Z95" s="91">
        <f>MAX(0,P95-MAX(0,AK95-0))</f>
        <v/>
      </c>
      <c r="AA95" s="91">
        <f>MAX(0,Q95-MAX(0,AK95-SUM(P95:P95)))</f>
        <v/>
      </c>
      <c r="AB95" s="91">
        <f>MAX(0,R95-MAX(0,AK95-SUM(P95:Q95)))</f>
        <v/>
      </c>
      <c r="AC95" s="91">
        <f>MAX(0,S95-MAX(0,AK95-SUM(P95:R95)))</f>
        <v/>
      </c>
      <c r="AD95" s="91">
        <f>MAX(0,T95-MAX(0,AK95-SUM(P95:S95)))</f>
        <v/>
      </c>
      <c r="AE95" s="91">
        <f>MAX(0,U95-MAX(0,AK95-SUM(P95:T95)))</f>
        <v/>
      </c>
      <c r="AF95" s="91">
        <f>MAX(0,V95-MAX(0,AK95-SUM(P95:U95)))</f>
        <v/>
      </c>
      <c r="AG95" s="91">
        <f>MAX(0,W95-MAX(0,AK95-SUM(P95:V95)))</f>
        <v/>
      </c>
      <c r="AH95" s="91">
        <f>MAX(0,X95-MAX(0,AK95-SUM(P95:W95)))</f>
        <v/>
      </c>
      <c r="AI95" s="91">
        <f>MAX(0,Y95-MAX(0,AK95-SUM(P95:X95)))</f>
        <v/>
      </c>
      <c r="AJ95" s="92">
        <f>SUM(Z94:AI94)+AL95</f>
        <v/>
      </c>
      <c r="AK95" s="92">
        <f>$AK$7-(AJ95-SUM(P95:Y95))</f>
        <v/>
      </c>
      <c r="AL95" s="91">
        <f>SUMPRODUCT(Z94:AI94,$Z$6:$AI$6)/12</f>
        <v/>
      </c>
      <c r="AM95" s="88">
        <f>SUM(Z95:AI95)</f>
        <v/>
      </c>
      <c r="AO95" s="92">
        <f>IF(AY94&lt;0.005,0,MAX(0,AY94*(1+AY$6/12)-AY$7))</f>
        <v/>
      </c>
      <c r="AP95" s="92">
        <f>IF(AZ94&lt;0.005,0,MAX(0,AZ94*(1+AZ$6/12)-AZ$7))</f>
        <v/>
      </c>
      <c r="AQ95" s="92">
        <f>IF(BA94&lt;0.005,0,MAX(0,BA94*(1+BA$6/12)-BA$7))</f>
        <v/>
      </c>
      <c r="AR95" s="92">
        <f>IF(BB94&lt;0.005,0,MAX(0,BB94*(1+BB$6/12)-BB$7))</f>
        <v/>
      </c>
      <c r="AS95" s="92">
        <f>IF(BC94&lt;0.005,0,MAX(0,BC94*(1+BC$6/12)-BC$7))</f>
        <v/>
      </c>
      <c r="AT95" s="92">
        <f>IF(BD94&lt;0.005,0,MAX(0,BD94*(1+BD$6/12)-BD$7))</f>
        <v/>
      </c>
      <c r="AU95" s="92">
        <f>IF(BE94&lt;0.005,0,MAX(0,BE94*(1+BE$6/12)-BE$7))</f>
        <v/>
      </c>
      <c r="AV95" s="92">
        <f>IF(BF94&lt;0.005,0,MAX(0,BF94*(1+BF$6/12)-BF$7))</f>
        <v/>
      </c>
      <c r="AW95" s="92">
        <f>IF(BG94&lt;0.005,0,MAX(0,BG94*(1+BG$6/12)-BG$7))</f>
        <v/>
      </c>
      <c r="AX95" s="92">
        <f>IF(BH94&lt;0.005,0,MAX(0,BH94*(1+BH$6/12)-BH$7))</f>
        <v/>
      </c>
      <c r="AY95" s="91">
        <f>MAX(0,AO95-MAX(0,BJ95-0))</f>
        <v/>
      </c>
      <c r="AZ95" s="91">
        <f>MAX(0,AP95-MAX(0,BJ95-SUM(AO95:AO95)))</f>
        <v/>
      </c>
      <c r="BA95" s="91">
        <f>MAX(0,AQ95-MAX(0,BJ95-SUM(AO95:AP95)))</f>
        <v/>
      </c>
      <c r="BB95" s="91">
        <f>MAX(0,AR95-MAX(0,BJ95-SUM(AO95:AQ95)))</f>
        <v/>
      </c>
      <c r="BC95" s="91">
        <f>MAX(0,AS95-MAX(0,BJ95-SUM(AO95:AR95)))</f>
        <v/>
      </c>
      <c r="BD95" s="91">
        <f>MAX(0,AT95-MAX(0,BJ95-SUM(AO95:AS95)))</f>
        <v/>
      </c>
      <c r="BE95" s="91">
        <f>MAX(0,AU95-MAX(0,BJ95-SUM(AO95:AT95)))</f>
        <v/>
      </c>
      <c r="BF95" s="91">
        <f>MAX(0,AV95-MAX(0,BJ95-SUM(AO95:AU95)))</f>
        <v/>
      </c>
      <c r="BG95" s="91">
        <f>MAX(0,AW95-MAX(0,BJ95-SUM(AO95:AV95)))</f>
        <v/>
      </c>
      <c r="BH95" s="91">
        <f>MAX(0,AX95-MAX(0,BJ95-SUM(AO95:AW95)))</f>
        <v/>
      </c>
      <c r="BI95" s="92">
        <f>SUM(AY94:BH94)+BK95</f>
        <v/>
      </c>
      <c r="BJ95" s="92">
        <f>$BJ$7-(BI95-SUM(AO95:AX95))</f>
        <v/>
      </c>
      <c r="BK95" s="91">
        <f>SUMPRODUCT(AY94:BH94,$AY$6:$BH$6)/12</f>
        <v/>
      </c>
      <c r="BL95" s="88">
        <f>SUM(AY95:BH95)</f>
        <v/>
      </c>
    </row>
    <row r="96">
      <c r="A96" s="24" t="n">
        <v>86</v>
      </c>
      <c r="B96" s="90">
        <f>DATE(YEAR(Settings!$C$11),MONTH(Settings!$C$11)+A96,1)</f>
        <v/>
      </c>
      <c r="C96" s="91">
        <f>IF(C95&lt;0.005,0,MAX(0,C95*(1+C$6/12)-C$7))</f>
        <v/>
      </c>
      <c r="D96" s="91">
        <f>IF(D95&lt;0.005,0,MAX(0,D95*(1+D$6/12)-D$7))</f>
        <v/>
      </c>
      <c r="E96" s="91">
        <f>IF(E95&lt;0.005,0,MAX(0,E95*(1+E$6/12)-E$7))</f>
        <v/>
      </c>
      <c r="F96" s="91">
        <f>IF(F95&lt;0.005,0,MAX(0,F95*(1+F$6/12)-F$7))</f>
        <v/>
      </c>
      <c r="G96" s="91">
        <f>IF(G95&lt;0.005,0,MAX(0,G95*(1+G$6/12)-G$7))</f>
        <v/>
      </c>
      <c r="H96" s="91">
        <f>IF(H95&lt;0.005,0,MAX(0,H95*(1+H$6/12)-H$7))</f>
        <v/>
      </c>
      <c r="I96" s="91">
        <f>IF(I95&lt;0.005,0,MAX(0,I95*(1+I$6/12)-I$7))</f>
        <v/>
      </c>
      <c r="J96" s="91">
        <f>IF(J95&lt;0.005,0,MAX(0,J95*(1+J$6/12)-J$7))</f>
        <v/>
      </c>
      <c r="K96" s="91">
        <f>IF(K95&lt;0.005,0,MAX(0,K95*(1+K$6/12)-K$7))</f>
        <v/>
      </c>
      <c r="L96" s="91">
        <f>IF(L95&lt;0.005,0,MAX(0,L95*(1+L$6/12)-L$7))</f>
        <v/>
      </c>
      <c r="M96" s="91">
        <f>SUMPRODUCT(C95:L95,$C$6:$L$6)/12</f>
        <v/>
      </c>
      <c r="N96" s="88">
        <f>SUM(C96:L96)</f>
        <v/>
      </c>
      <c r="P96" s="92">
        <f>IF(Z95&lt;0.005,0,MAX(0,Z95*(1+Z$6/12)-Z$7))</f>
        <v/>
      </c>
      <c r="Q96" s="92">
        <f>IF(AA95&lt;0.005,0,MAX(0,AA95*(1+AA$6/12)-AA$7))</f>
        <v/>
      </c>
      <c r="R96" s="92">
        <f>IF(AB95&lt;0.005,0,MAX(0,AB95*(1+AB$6/12)-AB$7))</f>
        <v/>
      </c>
      <c r="S96" s="92">
        <f>IF(AC95&lt;0.005,0,MAX(0,AC95*(1+AC$6/12)-AC$7))</f>
        <v/>
      </c>
      <c r="T96" s="92">
        <f>IF(AD95&lt;0.005,0,MAX(0,AD95*(1+AD$6/12)-AD$7))</f>
        <v/>
      </c>
      <c r="U96" s="92">
        <f>IF(AE95&lt;0.005,0,MAX(0,AE95*(1+AE$6/12)-AE$7))</f>
        <v/>
      </c>
      <c r="V96" s="92">
        <f>IF(AF95&lt;0.005,0,MAX(0,AF95*(1+AF$6/12)-AF$7))</f>
        <v/>
      </c>
      <c r="W96" s="92">
        <f>IF(AG95&lt;0.005,0,MAX(0,AG95*(1+AG$6/12)-AG$7))</f>
        <v/>
      </c>
      <c r="X96" s="92">
        <f>IF(AH95&lt;0.005,0,MAX(0,AH95*(1+AH$6/12)-AH$7))</f>
        <v/>
      </c>
      <c r="Y96" s="92">
        <f>IF(AI95&lt;0.005,0,MAX(0,AI95*(1+AI$6/12)-AI$7))</f>
        <v/>
      </c>
      <c r="Z96" s="91">
        <f>MAX(0,P96-MAX(0,AK96-0))</f>
        <v/>
      </c>
      <c r="AA96" s="91">
        <f>MAX(0,Q96-MAX(0,AK96-SUM(P96:P96)))</f>
        <v/>
      </c>
      <c r="AB96" s="91">
        <f>MAX(0,R96-MAX(0,AK96-SUM(P96:Q96)))</f>
        <v/>
      </c>
      <c r="AC96" s="91">
        <f>MAX(0,S96-MAX(0,AK96-SUM(P96:R96)))</f>
        <v/>
      </c>
      <c r="AD96" s="91">
        <f>MAX(0,T96-MAX(0,AK96-SUM(P96:S96)))</f>
        <v/>
      </c>
      <c r="AE96" s="91">
        <f>MAX(0,U96-MAX(0,AK96-SUM(P96:T96)))</f>
        <v/>
      </c>
      <c r="AF96" s="91">
        <f>MAX(0,V96-MAX(0,AK96-SUM(P96:U96)))</f>
        <v/>
      </c>
      <c r="AG96" s="91">
        <f>MAX(0,W96-MAX(0,AK96-SUM(P96:V96)))</f>
        <v/>
      </c>
      <c r="AH96" s="91">
        <f>MAX(0,X96-MAX(0,AK96-SUM(P96:W96)))</f>
        <v/>
      </c>
      <c r="AI96" s="91">
        <f>MAX(0,Y96-MAX(0,AK96-SUM(P96:X96)))</f>
        <v/>
      </c>
      <c r="AJ96" s="92">
        <f>SUM(Z95:AI95)+AL96</f>
        <v/>
      </c>
      <c r="AK96" s="92">
        <f>$AK$7-(AJ96-SUM(P96:Y96))</f>
        <v/>
      </c>
      <c r="AL96" s="91">
        <f>SUMPRODUCT(Z95:AI95,$Z$6:$AI$6)/12</f>
        <v/>
      </c>
      <c r="AM96" s="88">
        <f>SUM(Z96:AI96)</f>
        <v/>
      </c>
      <c r="AO96" s="92">
        <f>IF(AY95&lt;0.005,0,MAX(0,AY95*(1+AY$6/12)-AY$7))</f>
        <v/>
      </c>
      <c r="AP96" s="92">
        <f>IF(AZ95&lt;0.005,0,MAX(0,AZ95*(1+AZ$6/12)-AZ$7))</f>
        <v/>
      </c>
      <c r="AQ96" s="92">
        <f>IF(BA95&lt;0.005,0,MAX(0,BA95*(1+BA$6/12)-BA$7))</f>
        <v/>
      </c>
      <c r="AR96" s="92">
        <f>IF(BB95&lt;0.005,0,MAX(0,BB95*(1+BB$6/12)-BB$7))</f>
        <v/>
      </c>
      <c r="AS96" s="92">
        <f>IF(BC95&lt;0.005,0,MAX(0,BC95*(1+BC$6/12)-BC$7))</f>
        <v/>
      </c>
      <c r="AT96" s="92">
        <f>IF(BD95&lt;0.005,0,MAX(0,BD95*(1+BD$6/12)-BD$7))</f>
        <v/>
      </c>
      <c r="AU96" s="92">
        <f>IF(BE95&lt;0.005,0,MAX(0,BE95*(1+BE$6/12)-BE$7))</f>
        <v/>
      </c>
      <c r="AV96" s="92">
        <f>IF(BF95&lt;0.005,0,MAX(0,BF95*(1+BF$6/12)-BF$7))</f>
        <v/>
      </c>
      <c r="AW96" s="92">
        <f>IF(BG95&lt;0.005,0,MAX(0,BG95*(1+BG$6/12)-BG$7))</f>
        <v/>
      </c>
      <c r="AX96" s="92">
        <f>IF(BH95&lt;0.005,0,MAX(0,BH95*(1+BH$6/12)-BH$7))</f>
        <v/>
      </c>
      <c r="AY96" s="91">
        <f>MAX(0,AO96-MAX(0,BJ96-0))</f>
        <v/>
      </c>
      <c r="AZ96" s="91">
        <f>MAX(0,AP96-MAX(0,BJ96-SUM(AO96:AO96)))</f>
        <v/>
      </c>
      <c r="BA96" s="91">
        <f>MAX(0,AQ96-MAX(0,BJ96-SUM(AO96:AP96)))</f>
        <v/>
      </c>
      <c r="BB96" s="91">
        <f>MAX(0,AR96-MAX(0,BJ96-SUM(AO96:AQ96)))</f>
        <v/>
      </c>
      <c r="BC96" s="91">
        <f>MAX(0,AS96-MAX(0,BJ96-SUM(AO96:AR96)))</f>
        <v/>
      </c>
      <c r="BD96" s="91">
        <f>MAX(0,AT96-MAX(0,BJ96-SUM(AO96:AS96)))</f>
        <v/>
      </c>
      <c r="BE96" s="91">
        <f>MAX(0,AU96-MAX(0,BJ96-SUM(AO96:AT96)))</f>
        <v/>
      </c>
      <c r="BF96" s="91">
        <f>MAX(0,AV96-MAX(0,BJ96-SUM(AO96:AU96)))</f>
        <v/>
      </c>
      <c r="BG96" s="91">
        <f>MAX(0,AW96-MAX(0,BJ96-SUM(AO96:AV96)))</f>
        <v/>
      </c>
      <c r="BH96" s="91">
        <f>MAX(0,AX96-MAX(0,BJ96-SUM(AO96:AW96)))</f>
        <v/>
      </c>
      <c r="BI96" s="92">
        <f>SUM(AY95:BH95)+BK96</f>
        <v/>
      </c>
      <c r="BJ96" s="92">
        <f>$BJ$7-(BI96-SUM(AO96:AX96))</f>
        <v/>
      </c>
      <c r="BK96" s="91">
        <f>SUMPRODUCT(AY95:BH95,$AY$6:$BH$6)/12</f>
        <v/>
      </c>
      <c r="BL96" s="88">
        <f>SUM(AY96:BH96)</f>
        <v/>
      </c>
    </row>
    <row r="97">
      <c r="A97" s="24" t="n">
        <v>87</v>
      </c>
      <c r="B97" s="90">
        <f>DATE(YEAR(Settings!$C$11),MONTH(Settings!$C$11)+A97,1)</f>
        <v/>
      </c>
      <c r="C97" s="91">
        <f>IF(C96&lt;0.005,0,MAX(0,C96*(1+C$6/12)-C$7))</f>
        <v/>
      </c>
      <c r="D97" s="91">
        <f>IF(D96&lt;0.005,0,MAX(0,D96*(1+D$6/12)-D$7))</f>
        <v/>
      </c>
      <c r="E97" s="91">
        <f>IF(E96&lt;0.005,0,MAX(0,E96*(1+E$6/12)-E$7))</f>
        <v/>
      </c>
      <c r="F97" s="91">
        <f>IF(F96&lt;0.005,0,MAX(0,F96*(1+F$6/12)-F$7))</f>
        <v/>
      </c>
      <c r="G97" s="91">
        <f>IF(G96&lt;0.005,0,MAX(0,G96*(1+G$6/12)-G$7))</f>
        <v/>
      </c>
      <c r="H97" s="91">
        <f>IF(H96&lt;0.005,0,MAX(0,H96*(1+H$6/12)-H$7))</f>
        <v/>
      </c>
      <c r="I97" s="91">
        <f>IF(I96&lt;0.005,0,MAX(0,I96*(1+I$6/12)-I$7))</f>
        <v/>
      </c>
      <c r="J97" s="91">
        <f>IF(J96&lt;0.005,0,MAX(0,J96*(1+J$6/12)-J$7))</f>
        <v/>
      </c>
      <c r="K97" s="91">
        <f>IF(K96&lt;0.005,0,MAX(0,K96*(1+K$6/12)-K$7))</f>
        <v/>
      </c>
      <c r="L97" s="91">
        <f>IF(L96&lt;0.005,0,MAX(0,L96*(1+L$6/12)-L$7))</f>
        <v/>
      </c>
      <c r="M97" s="91">
        <f>SUMPRODUCT(C96:L96,$C$6:$L$6)/12</f>
        <v/>
      </c>
      <c r="N97" s="88">
        <f>SUM(C97:L97)</f>
        <v/>
      </c>
      <c r="P97" s="92">
        <f>IF(Z96&lt;0.005,0,MAX(0,Z96*(1+Z$6/12)-Z$7))</f>
        <v/>
      </c>
      <c r="Q97" s="92">
        <f>IF(AA96&lt;0.005,0,MAX(0,AA96*(1+AA$6/12)-AA$7))</f>
        <v/>
      </c>
      <c r="R97" s="92">
        <f>IF(AB96&lt;0.005,0,MAX(0,AB96*(1+AB$6/12)-AB$7))</f>
        <v/>
      </c>
      <c r="S97" s="92">
        <f>IF(AC96&lt;0.005,0,MAX(0,AC96*(1+AC$6/12)-AC$7))</f>
        <v/>
      </c>
      <c r="T97" s="92">
        <f>IF(AD96&lt;0.005,0,MAX(0,AD96*(1+AD$6/12)-AD$7))</f>
        <v/>
      </c>
      <c r="U97" s="92">
        <f>IF(AE96&lt;0.005,0,MAX(0,AE96*(1+AE$6/12)-AE$7))</f>
        <v/>
      </c>
      <c r="V97" s="92">
        <f>IF(AF96&lt;0.005,0,MAX(0,AF96*(1+AF$6/12)-AF$7))</f>
        <v/>
      </c>
      <c r="W97" s="92">
        <f>IF(AG96&lt;0.005,0,MAX(0,AG96*(1+AG$6/12)-AG$7))</f>
        <v/>
      </c>
      <c r="X97" s="92">
        <f>IF(AH96&lt;0.005,0,MAX(0,AH96*(1+AH$6/12)-AH$7))</f>
        <v/>
      </c>
      <c r="Y97" s="92">
        <f>IF(AI96&lt;0.005,0,MAX(0,AI96*(1+AI$6/12)-AI$7))</f>
        <v/>
      </c>
      <c r="Z97" s="91">
        <f>MAX(0,P97-MAX(0,AK97-0))</f>
        <v/>
      </c>
      <c r="AA97" s="91">
        <f>MAX(0,Q97-MAX(0,AK97-SUM(P97:P97)))</f>
        <v/>
      </c>
      <c r="AB97" s="91">
        <f>MAX(0,R97-MAX(0,AK97-SUM(P97:Q97)))</f>
        <v/>
      </c>
      <c r="AC97" s="91">
        <f>MAX(0,S97-MAX(0,AK97-SUM(P97:R97)))</f>
        <v/>
      </c>
      <c r="AD97" s="91">
        <f>MAX(0,T97-MAX(0,AK97-SUM(P97:S97)))</f>
        <v/>
      </c>
      <c r="AE97" s="91">
        <f>MAX(0,U97-MAX(0,AK97-SUM(P97:T97)))</f>
        <v/>
      </c>
      <c r="AF97" s="91">
        <f>MAX(0,V97-MAX(0,AK97-SUM(P97:U97)))</f>
        <v/>
      </c>
      <c r="AG97" s="91">
        <f>MAX(0,W97-MAX(0,AK97-SUM(P97:V97)))</f>
        <v/>
      </c>
      <c r="AH97" s="91">
        <f>MAX(0,X97-MAX(0,AK97-SUM(P97:W97)))</f>
        <v/>
      </c>
      <c r="AI97" s="91">
        <f>MAX(0,Y97-MAX(0,AK97-SUM(P97:X97)))</f>
        <v/>
      </c>
      <c r="AJ97" s="92">
        <f>SUM(Z96:AI96)+AL97</f>
        <v/>
      </c>
      <c r="AK97" s="92">
        <f>$AK$7-(AJ97-SUM(P97:Y97))</f>
        <v/>
      </c>
      <c r="AL97" s="91">
        <f>SUMPRODUCT(Z96:AI96,$Z$6:$AI$6)/12</f>
        <v/>
      </c>
      <c r="AM97" s="88">
        <f>SUM(Z97:AI97)</f>
        <v/>
      </c>
      <c r="AO97" s="92">
        <f>IF(AY96&lt;0.005,0,MAX(0,AY96*(1+AY$6/12)-AY$7))</f>
        <v/>
      </c>
      <c r="AP97" s="92">
        <f>IF(AZ96&lt;0.005,0,MAX(0,AZ96*(1+AZ$6/12)-AZ$7))</f>
        <v/>
      </c>
      <c r="AQ97" s="92">
        <f>IF(BA96&lt;0.005,0,MAX(0,BA96*(1+BA$6/12)-BA$7))</f>
        <v/>
      </c>
      <c r="AR97" s="92">
        <f>IF(BB96&lt;0.005,0,MAX(0,BB96*(1+BB$6/12)-BB$7))</f>
        <v/>
      </c>
      <c r="AS97" s="92">
        <f>IF(BC96&lt;0.005,0,MAX(0,BC96*(1+BC$6/12)-BC$7))</f>
        <v/>
      </c>
      <c r="AT97" s="92">
        <f>IF(BD96&lt;0.005,0,MAX(0,BD96*(1+BD$6/12)-BD$7))</f>
        <v/>
      </c>
      <c r="AU97" s="92">
        <f>IF(BE96&lt;0.005,0,MAX(0,BE96*(1+BE$6/12)-BE$7))</f>
        <v/>
      </c>
      <c r="AV97" s="92">
        <f>IF(BF96&lt;0.005,0,MAX(0,BF96*(1+BF$6/12)-BF$7))</f>
        <v/>
      </c>
      <c r="AW97" s="92">
        <f>IF(BG96&lt;0.005,0,MAX(0,BG96*(1+BG$6/12)-BG$7))</f>
        <v/>
      </c>
      <c r="AX97" s="92">
        <f>IF(BH96&lt;0.005,0,MAX(0,BH96*(1+BH$6/12)-BH$7))</f>
        <v/>
      </c>
      <c r="AY97" s="91">
        <f>MAX(0,AO97-MAX(0,BJ97-0))</f>
        <v/>
      </c>
      <c r="AZ97" s="91">
        <f>MAX(0,AP97-MAX(0,BJ97-SUM(AO97:AO97)))</f>
        <v/>
      </c>
      <c r="BA97" s="91">
        <f>MAX(0,AQ97-MAX(0,BJ97-SUM(AO97:AP97)))</f>
        <v/>
      </c>
      <c r="BB97" s="91">
        <f>MAX(0,AR97-MAX(0,BJ97-SUM(AO97:AQ97)))</f>
        <v/>
      </c>
      <c r="BC97" s="91">
        <f>MAX(0,AS97-MAX(0,BJ97-SUM(AO97:AR97)))</f>
        <v/>
      </c>
      <c r="BD97" s="91">
        <f>MAX(0,AT97-MAX(0,BJ97-SUM(AO97:AS97)))</f>
        <v/>
      </c>
      <c r="BE97" s="91">
        <f>MAX(0,AU97-MAX(0,BJ97-SUM(AO97:AT97)))</f>
        <v/>
      </c>
      <c r="BF97" s="91">
        <f>MAX(0,AV97-MAX(0,BJ97-SUM(AO97:AU97)))</f>
        <v/>
      </c>
      <c r="BG97" s="91">
        <f>MAX(0,AW97-MAX(0,BJ97-SUM(AO97:AV97)))</f>
        <v/>
      </c>
      <c r="BH97" s="91">
        <f>MAX(0,AX97-MAX(0,BJ97-SUM(AO97:AW97)))</f>
        <v/>
      </c>
      <c r="BI97" s="92">
        <f>SUM(AY96:BH96)+BK97</f>
        <v/>
      </c>
      <c r="BJ97" s="92">
        <f>$BJ$7-(BI97-SUM(AO97:AX97))</f>
        <v/>
      </c>
      <c r="BK97" s="91">
        <f>SUMPRODUCT(AY96:BH96,$AY$6:$BH$6)/12</f>
        <v/>
      </c>
      <c r="BL97" s="88">
        <f>SUM(AY97:BH97)</f>
        <v/>
      </c>
    </row>
    <row r="98">
      <c r="A98" s="24" t="n">
        <v>88</v>
      </c>
      <c r="B98" s="90">
        <f>DATE(YEAR(Settings!$C$11),MONTH(Settings!$C$11)+A98,1)</f>
        <v/>
      </c>
      <c r="C98" s="91">
        <f>IF(C97&lt;0.005,0,MAX(0,C97*(1+C$6/12)-C$7))</f>
        <v/>
      </c>
      <c r="D98" s="91">
        <f>IF(D97&lt;0.005,0,MAX(0,D97*(1+D$6/12)-D$7))</f>
        <v/>
      </c>
      <c r="E98" s="91">
        <f>IF(E97&lt;0.005,0,MAX(0,E97*(1+E$6/12)-E$7))</f>
        <v/>
      </c>
      <c r="F98" s="91">
        <f>IF(F97&lt;0.005,0,MAX(0,F97*(1+F$6/12)-F$7))</f>
        <v/>
      </c>
      <c r="G98" s="91">
        <f>IF(G97&lt;0.005,0,MAX(0,G97*(1+G$6/12)-G$7))</f>
        <v/>
      </c>
      <c r="H98" s="91">
        <f>IF(H97&lt;0.005,0,MAX(0,H97*(1+H$6/12)-H$7))</f>
        <v/>
      </c>
      <c r="I98" s="91">
        <f>IF(I97&lt;0.005,0,MAX(0,I97*(1+I$6/12)-I$7))</f>
        <v/>
      </c>
      <c r="J98" s="91">
        <f>IF(J97&lt;0.005,0,MAX(0,J97*(1+J$6/12)-J$7))</f>
        <v/>
      </c>
      <c r="K98" s="91">
        <f>IF(K97&lt;0.005,0,MAX(0,K97*(1+K$6/12)-K$7))</f>
        <v/>
      </c>
      <c r="L98" s="91">
        <f>IF(L97&lt;0.005,0,MAX(0,L97*(1+L$6/12)-L$7))</f>
        <v/>
      </c>
      <c r="M98" s="91">
        <f>SUMPRODUCT(C97:L97,$C$6:$L$6)/12</f>
        <v/>
      </c>
      <c r="N98" s="88">
        <f>SUM(C98:L98)</f>
        <v/>
      </c>
      <c r="P98" s="92">
        <f>IF(Z97&lt;0.005,0,MAX(0,Z97*(1+Z$6/12)-Z$7))</f>
        <v/>
      </c>
      <c r="Q98" s="92">
        <f>IF(AA97&lt;0.005,0,MAX(0,AA97*(1+AA$6/12)-AA$7))</f>
        <v/>
      </c>
      <c r="R98" s="92">
        <f>IF(AB97&lt;0.005,0,MAX(0,AB97*(1+AB$6/12)-AB$7))</f>
        <v/>
      </c>
      <c r="S98" s="92">
        <f>IF(AC97&lt;0.005,0,MAX(0,AC97*(1+AC$6/12)-AC$7))</f>
        <v/>
      </c>
      <c r="T98" s="92">
        <f>IF(AD97&lt;0.005,0,MAX(0,AD97*(1+AD$6/12)-AD$7))</f>
        <v/>
      </c>
      <c r="U98" s="92">
        <f>IF(AE97&lt;0.005,0,MAX(0,AE97*(1+AE$6/12)-AE$7))</f>
        <v/>
      </c>
      <c r="V98" s="92">
        <f>IF(AF97&lt;0.005,0,MAX(0,AF97*(1+AF$6/12)-AF$7))</f>
        <v/>
      </c>
      <c r="W98" s="92">
        <f>IF(AG97&lt;0.005,0,MAX(0,AG97*(1+AG$6/12)-AG$7))</f>
        <v/>
      </c>
      <c r="X98" s="92">
        <f>IF(AH97&lt;0.005,0,MAX(0,AH97*(1+AH$6/12)-AH$7))</f>
        <v/>
      </c>
      <c r="Y98" s="92">
        <f>IF(AI97&lt;0.005,0,MAX(0,AI97*(1+AI$6/12)-AI$7))</f>
        <v/>
      </c>
      <c r="Z98" s="91">
        <f>MAX(0,P98-MAX(0,AK98-0))</f>
        <v/>
      </c>
      <c r="AA98" s="91">
        <f>MAX(0,Q98-MAX(0,AK98-SUM(P98:P98)))</f>
        <v/>
      </c>
      <c r="AB98" s="91">
        <f>MAX(0,R98-MAX(0,AK98-SUM(P98:Q98)))</f>
        <v/>
      </c>
      <c r="AC98" s="91">
        <f>MAX(0,S98-MAX(0,AK98-SUM(P98:R98)))</f>
        <v/>
      </c>
      <c r="AD98" s="91">
        <f>MAX(0,T98-MAX(0,AK98-SUM(P98:S98)))</f>
        <v/>
      </c>
      <c r="AE98" s="91">
        <f>MAX(0,U98-MAX(0,AK98-SUM(P98:T98)))</f>
        <v/>
      </c>
      <c r="AF98" s="91">
        <f>MAX(0,V98-MAX(0,AK98-SUM(P98:U98)))</f>
        <v/>
      </c>
      <c r="AG98" s="91">
        <f>MAX(0,W98-MAX(0,AK98-SUM(P98:V98)))</f>
        <v/>
      </c>
      <c r="AH98" s="91">
        <f>MAX(0,X98-MAX(0,AK98-SUM(P98:W98)))</f>
        <v/>
      </c>
      <c r="AI98" s="91">
        <f>MAX(0,Y98-MAX(0,AK98-SUM(P98:X98)))</f>
        <v/>
      </c>
      <c r="AJ98" s="92">
        <f>SUM(Z97:AI97)+AL98</f>
        <v/>
      </c>
      <c r="AK98" s="92">
        <f>$AK$7-(AJ98-SUM(P98:Y98))</f>
        <v/>
      </c>
      <c r="AL98" s="91">
        <f>SUMPRODUCT(Z97:AI97,$Z$6:$AI$6)/12</f>
        <v/>
      </c>
      <c r="AM98" s="88">
        <f>SUM(Z98:AI98)</f>
        <v/>
      </c>
      <c r="AO98" s="92">
        <f>IF(AY97&lt;0.005,0,MAX(0,AY97*(1+AY$6/12)-AY$7))</f>
        <v/>
      </c>
      <c r="AP98" s="92">
        <f>IF(AZ97&lt;0.005,0,MAX(0,AZ97*(1+AZ$6/12)-AZ$7))</f>
        <v/>
      </c>
      <c r="AQ98" s="92">
        <f>IF(BA97&lt;0.005,0,MAX(0,BA97*(1+BA$6/12)-BA$7))</f>
        <v/>
      </c>
      <c r="AR98" s="92">
        <f>IF(BB97&lt;0.005,0,MAX(0,BB97*(1+BB$6/12)-BB$7))</f>
        <v/>
      </c>
      <c r="AS98" s="92">
        <f>IF(BC97&lt;0.005,0,MAX(0,BC97*(1+BC$6/12)-BC$7))</f>
        <v/>
      </c>
      <c r="AT98" s="92">
        <f>IF(BD97&lt;0.005,0,MAX(0,BD97*(1+BD$6/12)-BD$7))</f>
        <v/>
      </c>
      <c r="AU98" s="92">
        <f>IF(BE97&lt;0.005,0,MAX(0,BE97*(1+BE$6/12)-BE$7))</f>
        <v/>
      </c>
      <c r="AV98" s="92">
        <f>IF(BF97&lt;0.005,0,MAX(0,BF97*(1+BF$6/12)-BF$7))</f>
        <v/>
      </c>
      <c r="AW98" s="92">
        <f>IF(BG97&lt;0.005,0,MAX(0,BG97*(1+BG$6/12)-BG$7))</f>
        <v/>
      </c>
      <c r="AX98" s="92">
        <f>IF(BH97&lt;0.005,0,MAX(0,BH97*(1+BH$6/12)-BH$7))</f>
        <v/>
      </c>
      <c r="AY98" s="91">
        <f>MAX(0,AO98-MAX(0,BJ98-0))</f>
        <v/>
      </c>
      <c r="AZ98" s="91">
        <f>MAX(0,AP98-MAX(0,BJ98-SUM(AO98:AO98)))</f>
        <v/>
      </c>
      <c r="BA98" s="91">
        <f>MAX(0,AQ98-MAX(0,BJ98-SUM(AO98:AP98)))</f>
        <v/>
      </c>
      <c r="BB98" s="91">
        <f>MAX(0,AR98-MAX(0,BJ98-SUM(AO98:AQ98)))</f>
        <v/>
      </c>
      <c r="BC98" s="91">
        <f>MAX(0,AS98-MAX(0,BJ98-SUM(AO98:AR98)))</f>
        <v/>
      </c>
      <c r="BD98" s="91">
        <f>MAX(0,AT98-MAX(0,BJ98-SUM(AO98:AS98)))</f>
        <v/>
      </c>
      <c r="BE98" s="91">
        <f>MAX(0,AU98-MAX(0,BJ98-SUM(AO98:AT98)))</f>
        <v/>
      </c>
      <c r="BF98" s="91">
        <f>MAX(0,AV98-MAX(0,BJ98-SUM(AO98:AU98)))</f>
        <v/>
      </c>
      <c r="BG98" s="91">
        <f>MAX(0,AW98-MAX(0,BJ98-SUM(AO98:AV98)))</f>
        <v/>
      </c>
      <c r="BH98" s="91">
        <f>MAX(0,AX98-MAX(0,BJ98-SUM(AO98:AW98)))</f>
        <v/>
      </c>
      <c r="BI98" s="92">
        <f>SUM(AY97:BH97)+BK98</f>
        <v/>
      </c>
      <c r="BJ98" s="92">
        <f>$BJ$7-(BI98-SUM(AO98:AX98))</f>
        <v/>
      </c>
      <c r="BK98" s="91">
        <f>SUMPRODUCT(AY97:BH97,$AY$6:$BH$6)/12</f>
        <v/>
      </c>
      <c r="BL98" s="88">
        <f>SUM(AY98:BH98)</f>
        <v/>
      </c>
    </row>
    <row r="99">
      <c r="A99" s="24" t="n">
        <v>89</v>
      </c>
      <c r="B99" s="90">
        <f>DATE(YEAR(Settings!$C$11),MONTH(Settings!$C$11)+A99,1)</f>
        <v/>
      </c>
      <c r="C99" s="91">
        <f>IF(C98&lt;0.005,0,MAX(0,C98*(1+C$6/12)-C$7))</f>
        <v/>
      </c>
      <c r="D99" s="91">
        <f>IF(D98&lt;0.005,0,MAX(0,D98*(1+D$6/12)-D$7))</f>
        <v/>
      </c>
      <c r="E99" s="91">
        <f>IF(E98&lt;0.005,0,MAX(0,E98*(1+E$6/12)-E$7))</f>
        <v/>
      </c>
      <c r="F99" s="91">
        <f>IF(F98&lt;0.005,0,MAX(0,F98*(1+F$6/12)-F$7))</f>
        <v/>
      </c>
      <c r="G99" s="91">
        <f>IF(G98&lt;0.005,0,MAX(0,G98*(1+G$6/12)-G$7))</f>
        <v/>
      </c>
      <c r="H99" s="91">
        <f>IF(H98&lt;0.005,0,MAX(0,H98*(1+H$6/12)-H$7))</f>
        <v/>
      </c>
      <c r="I99" s="91">
        <f>IF(I98&lt;0.005,0,MAX(0,I98*(1+I$6/12)-I$7))</f>
        <v/>
      </c>
      <c r="J99" s="91">
        <f>IF(J98&lt;0.005,0,MAX(0,J98*(1+J$6/12)-J$7))</f>
        <v/>
      </c>
      <c r="K99" s="91">
        <f>IF(K98&lt;0.005,0,MAX(0,K98*(1+K$6/12)-K$7))</f>
        <v/>
      </c>
      <c r="L99" s="91">
        <f>IF(L98&lt;0.005,0,MAX(0,L98*(1+L$6/12)-L$7))</f>
        <v/>
      </c>
      <c r="M99" s="91">
        <f>SUMPRODUCT(C98:L98,$C$6:$L$6)/12</f>
        <v/>
      </c>
      <c r="N99" s="88">
        <f>SUM(C99:L99)</f>
        <v/>
      </c>
      <c r="P99" s="92">
        <f>IF(Z98&lt;0.005,0,MAX(0,Z98*(1+Z$6/12)-Z$7))</f>
        <v/>
      </c>
      <c r="Q99" s="92">
        <f>IF(AA98&lt;0.005,0,MAX(0,AA98*(1+AA$6/12)-AA$7))</f>
        <v/>
      </c>
      <c r="R99" s="92">
        <f>IF(AB98&lt;0.005,0,MAX(0,AB98*(1+AB$6/12)-AB$7))</f>
        <v/>
      </c>
      <c r="S99" s="92">
        <f>IF(AC98&lt;0.005,0,MAX(0,AC98*(1+AC$6/12)-AC$7))</f>
        <v/>
      </c>
      <c r="T99" s="92">
        <f>IF(AD98&lt;0.005,0,MAX(0,AD98*(1+AD$6/12)-AD$7))</f>
        <v/>
      </c>
      <c r="U99" s="92">
        <f>IF(AE98&lt;0.005,0,MAX(0,AE98*(1+AE$6/12)-AE$7))</f>
        <v/>
      </c>
      <c r="V99" s="92">
        <f>IF(AF98&lt;0.005,0,MAX(0,AF98*(1+AF$6/12)-AF$7))</f>
        <v/>
      </c>
      <c r="W99" s="92">
        <f>IF(AG98&lt;0.005,0,MAX(0,AG98*(1+AG$6/12)-AG$7))</f>
        <v/>
      </c>
      <c r="X99" s="92">
        <f>IF(AH98&lt;0.005,0,MAX(0,AH98*(1+AH$6/12)-AH$7))</f>
        <v/>
      </c>
      <c r="Y99" s="92">
        <f>IF(AI98&lt;0.005,0,MAX(0,AI98*(1+AI$6/12)-AI$7))</f>
        <v/>
      </c>
      <c r="Z99" s="91">
        <f>MAX(0,P99-MAX(0,AK99-0))</f>
        <v/>
      </c>
      <c r="AA99" s="91">
        <f>MAX(0,Q99-MAX(0,AK99-SUM(P99:P99)))</f>
        <v/>
      </c>
      <c r="AB99" s="91">
        <f>MAX(0,R99-MAX(0,AK99-SUM(P99:Q99)))</f>
        <v/>
      </c>
      <c r="AC99" s="91">
        <f>MAX(0,S99-MAX(0,AK99-SUM(P99:R99)))</f>
        <v/>
      </c>
      <c r="AD99" s="91">
        <f>MAX(0,T99-MAX(0,AK99-SUM(P99:S99)))</f>
        <v/>
      </c>
      <c r="AE99" s="91">
        <f>MAX(0,U99-MAX(0,AK99-SUM(P99:T99)))</f>
        <v/>
      </c>
      <c r="AF99" s="91">
        <f>MAX(0,V99-MAX(0,AK99-SUM(P99:U99)))</f>
        <v/>
      </c>
      <c r="AG99" s="91">
        <f>MAX(0,W99-MAX(0,AK99-SUM(P99:V99)))</f>
        <v/>
      </c>
      <c r="AH99" s="91">
        <f>MAX(0,X99-MAX(0,AK99-SUM(P99:W99)))</f>
        <v/>
      </c>
      <c r="AI99" s="91">
        <f>MAX(0,Y99-MAX(0,AK99-SUM(P99:X99)))</f>
        <v/>
      </c>
      <c r="AJ99" s="92">
        <f>SUM(Z98:AI98)+AL99</f>
        <v/>
      </c>
      <c r="AK99" s="92">
        <f>$AK$7-(AJ99-SUM(P99:Y99))</f>
        <v/>
      </c>
      <c r="AL99" s="91">
        <f>SUMPRODUCT(Z98:AI98,$Z$6:$AI$6)/12</f>
        <v/>
      </c>
      <c r="AM99" s="88">
        <f>SUM(Z99:AI99)</f>
        <v/>
      </c>
      <c r="AO99" s="92">
        <f>IF(AY98&lt;0.005,0,MAX(0,AY98*(1+AY$6/12)-AY$7))</f>
        <v/>
      </c>
      <c r="AP99" s="92">
        <f>IF(AZ98&lt;0.005,0,MAX(0,AZ98*(1+AZ$6/12)-AZ$7))</f>
        <v/>
      </c>
      <c r="AQ99" s="92">
        <f>IF(BA98&lt;0.005,0,MAX(0,BA98*(1+BA$6/12)-BA$7))</f>
        <v/>
      </c>
      <c r="AR99" s="92">
        <f>IF(BB98&lt;0.005,0,MAX(0,BB98*(1+BB$6/12)-BB$7))</f>
        <v/>
      </c>
      <c r="AS99" s="92">
        <f>IF(BC98&lt;0.005,0,MAX(0,BC98*(1+BC$6/12)-BC$7))</f>
        <v/>
      </c>
      <c r="AT99" s="92">
        <f>IF(BD98&lt;0.005,0,MAX(0,BD98*(1+BD$6/12)-BD$7))</f>
        <v/>
      </c>
      <c r="AU99" s="92">
        <f>IF(BE98&lt;0.005,0,MAX(0,BE98*(1+BE$6/12)-BE$7))</f>
        <v/>
      </c>
      <c r="AV99" s="92">
        <f>IF(BF98&lt;0.005,0,MAX(0,BF98*(1+BF$6/12)-BF$7))</f>
        <v/>
      </c>
      <c r="AW99" s="92">
        <f>IF(BG98&lt;0.005,0,MAX(0,BG98*(1+BG$6/12)-BG$7))</f>
        <v/>
      </c>
      <c r="AX99" s="92">
        <f>IF(BH98&lt;0.005,0,MAX(0,BH98*(1+BH$6/12)-BH$7))</f>
        <v/>
      </c>
      <c r="AY99" s="91">
        <f>MAX(0,AO99-MAX(0,BJ99-0))</f>
        <v/>
      </c>
      <c r="AZ99" s="91">
        <f>MAX(0,AP99-MAX(0,BJ99-SUM(AO99:AO99)))</f>
        <v/>
      </c>
      <c r="BA99" s="91">
        <f>MAX(0,AQ99-MAX(0,BJ99-SUM(AO99:AP99)))</f>
        <v/>
      </c>
      <c r="BB99" s="91">
        <f>MAX(0,AR99-MAX(0,BJ99-SUM(AO99:AQ99)))</f>
        <v/>
      </c>
      <c r="BC99" s="91">
        <f>MAX(0,AS99-MAX(0,BJ99-SUM(AO99:AR99)))</f>
        <v/>
      </c>
      <c r="BD99" s="91">
        <f>MAX(0,AT99-MAX(0,BJ99-SUM(AO99:AS99)))</f>
        <v/>
      </c>
      <c r="BE99" s="91">
        <f>MAX(0,AU99-MAX(0,BJ99-SUM(AO99:AT99)))</f>
        <v/>
      </c>
      <c r="BF99" s="91">
        <f>MAX(0,AV99-MAX(0,BJ99-SUM(AO99:AU99)))</f>
        <v/>
      </c>
      <c r="BG99" s="91">
        <f>MAX(0,AW99-MAX(0,BJ99-SUM(AO99:AV99)))</f>
        <v/>
      </c>
      <c r="BH99" s="91">
        <f>MAX(0,AX99-MAX(0,BJ99-SUM(AO99:AW99)))</f>
        <v/>
      </c>
      <c r="BI99" s="92">
        <f>SUM(AY98:BH98)+BK99</f>
        <v/>
      </c>
      <c r="BJ99" s="92">
        <f>$BJ$7-(BI99-SUM(AO99:AX99))</f>
        <v/>
      </c>
      <c r="BK99" s="91">
        <f>SUMPRODUCT(AY98:BH98,$AY$6:$BH$6)/12</f>
        <v/>
      </c>
      <c r="BL99" s="88">
        <f>SUM(AY99:BH99)</f>
        <v/>
      </c>
    </row>
    <row r="100">
      <c r="A100" s="24" t="n">
        <v>90</v>
      </c>
      <c r="B100" s="90">
        <f>DATE(YEAR(Settings!$C$11),MONTH(Settings!$C$11)+A100,1)</f>
        <v/>
      </c>
      <c r="C100" s="91">
        <f>IF(C99&lt;0.005,0,MAX(0,C99*(1+C$6/12)-C$7))</f>
        <v/>
      </c>
      <c r="D100" s="91">
        <f>IF(D99&lt;0.005,0,MAX(0,D99*(1+D$6/12)-D$7))</f>
        <v/>
      </c>
      <c r="E100" s="91">
        <f>IF(E99&lt;0.005,0,MAX(0,E99*(1+E$6/12)-E$7))</f>
        <v/>
      </c>
      <c r="F100" s="91">
        <f>IF(F99&lt;0.005,0,MAX(0,F99*(1+F$6/12)-F$7))</f>
        <v/>
      </c>
      <c r="G100" s="91">
        <f>IF(G99&lt;0.005,0,MAX(0,G99*(1+G$6/12)-G$7))</f>
        <v/>
      </c>
      <c r="H100" s="91">
        <f>IF(H99&lt;0.005,0,MAX(0,H99*(1+H$6/12)-H$7))</f>
        <v/>
      </c>
      <c r="I100" s="91">
        <f>IF(I99&lt;0.005,0,MAX(0,I99*(1+I$6/12)-I$7))</f>
        <v/>
      </c>
      <c r="J100" s="91">
        <f>IF(J99&lt;0.005,0,MAX(0,J99*(1+J$6/12)-J$7))</f>
        <v/>
      </c>
      <c r="K100" s="91">
        <f>IF(K99&lt;0.005,0,MAX(0,K99*(1+K$6/12)-K$7))</f>
        <v/>
      </c>
      <c r="L100" s="91">
        <f>IF(L99&lt;0.005,0,MAX(0,L99*(1+L$6/12)-L$7))</f>
        <v/>
      </c>
      <c r="M100" s="91">
        <f>SUMPRODUCT(C99:L99,$C$6:$L$6)/12</f>
        <v/>
      </c>
      <c r="N100" s="88">
        <f>SUM(C100:L100)</f>
        <v/>
      </c>
      <c r="P100" s="92">
        <f>IF(Z99&lt;0.005,0,MAX(0,Z99*(1+Z$6/12)-Z$7))</f>
        <v/>
      </c>
      <c r="Q100" s="92">
        <f>IF(AA99&lt;0.005,0,MAX(0,AA99*(1+AA$6/12)-AA$7))</f>
        <v/>
      </c>
      <c r="R100" s="92">
        <f>IF(AB99&lt;0.005,0,MAX(0,AB99*(1+AB$6/12)-AB$7))</f>
        <v/>
      </c>
      <c r="S100" s="92">
        <f>IF(AC99&lt;0.005,0,MAX(0,AC99*(1+AC$6/12)-AC$7))</f>
        <v/>
      </c>
      <c r="T100" s="92">
        <f>IF(AD99&lt;0.005,0,MAX(0,AD99*(1+AD$6/12)-AD$7))</f>
        <v/>
      </c>
      <c r="U100" s="92">
        <f>IF(AE99&lt;0.005,0,MAX(0,AE99*(1+AE$6/12)-AE$7))</f>
        <v/>
      </c>
      <c r="V100" s="92">
        <f>IF(AF99&lt;0.005,0,MAX(0,AF99*(1+AF$6/12)-AF$7))</f>
        <v/>
      </c>
      <c r="W100" s="92">
        <f>IF(AG99&lt;0.005,0,MAX(0,AG99*(1+AG$6/12)-AG$7))</f>
        <v/>
      </c>
      <c r="X100" s="92">
        <f>IF(AH99&lt;0.005,0,MAX(0,AH99*(1+AH$6/12)-AH$7))</f>
        <v/>
      </c>
      <c r="Y100" s="92">
        <f>IF(AI99&lt;0.005,0,MAX(0,AI99*(1+AI$6/12)-AI$7))</f>
        <v/>
      </c>
      <c r="Z100" s="91">
        <f>MAX(0,P100-MAX(0,AK100-0))</f>
        <v/>
      </c>
      <c r="AA100" s="91">
        <f>MAX(0,Q100-MAX(0,AK100-SUM(P100:P100)))</f>
        <v/>
      </c>
      <c r="AB100" s="91">
        <f>MAX(0,R100-MAX(0,AK100-SUM(P100:Q100)))</f>
        <v/>
      </c>
      <c r="AC100" s="91">
        <f>MAX(0,S100-MAX(0,AK100-SUM(P100:R100)))</f>
        <v/>
      </c>
      <c r="AD100" s="91">
        <f>MAX(0,T100-MAX(0,AK100-SUM(P100:S100)))</f>
        <v/>
      </c>
      <c r="AE100" s="91">
        <f>MAX(0,U100-MAX(0,AK100-SUM(P100:T100)))</f>
        <v/>
      </c>
      <c r="AF100" s="91">
        <f>MAX(0,V100-MAX(0,AK100-SUM(P100:U100)))</f>
        <v/>
      </c>
      <c r="AG100" s="91">
        <f>MAX(0,W100-MAX(0,AK100-SUM(P100:V100)))</f>
        <v/>
      </c>
      <c r="AH100" s="91">
        <f>MAX(0,X100-MAX(0,AK100-SUM(P100:W100)))</f>
        <v/>
      </c>
      <c r="AI100" s="91">
        <f>MAX(0,Y100-MAX(0,AK100-SUM(P100:X100)))</f>
        <v/>
      </c>
      <c r="AJ100" s="92">
        <f>SUM(Z99:AI99)+AL100</f>
        <v/>
      </c>
      <c r="AK100" s="92">
        <f>$AK$7-(AJ100-SUM(P100:Y100))</f>
        <v/>
      </c>
      <c r="AL100" s="91">
        <f>SUMPRODUCT(Z99:AI99,$Z$6:$AI$6)/12</f>
        <v/>
      </c>
      <c r="AM100" s="88">
        <f>SUM(Z100:AI100)</f>
        <v/>
      </c>
      <c r="AO100" s="92">
        <f>IF(AY99&lt;0.005,0,MAX(0,AY99*(1+AY$6/12)-AY$7))</f>
        <v/>
      </c>
      <c r="AP100" s="92">
        <f>IF(AZ99&lt;0.005,0,MAX(0,AZ99*(1+AZ$6/12)-AZ$7))</f>
        <v/>
      </c>
      <c r="AQ100" s="92">
        <f>IF(BA99&lt;0.005,0,MAX(0,BA99*(1+BA$6/12)-BA$7))</f>
        <v/>
      </c>
      <c r="AR100" s="92">
        <f>IF(BB99&lt;0.005,0,MAX(0,BB99*(1+BB$6/12)-BB$7))</f>
        <v/>
      </c>
      <c r="AS100" s="92">
        <f>IF(BC99&lt;0.005,0,MAX(0,BC99*(1+BC$6/12)-BC$7))</f>
        <v/>
      </c>
      <c r="AT100" s="92">
        <f>IF(BD99&lt;0.005,0,MAX(0,BD99*(1+BD$6/12)-BD$7))</f>
        <v/>
      </c>
      <c r="AU100" s="92">
        <f>IF(BE99&lt;0.005,0,MAX(0,BE99*(1+BE$6/12)-BE$7))</f>
        <v/>
      </c>
      <c r="AV100" s="92">
        <f>IF(BF99&lt;0.005,0,MAX(0,BF99*(1+BF$6/12)-BF$7))</f>
        <v/>
      </c>
      <c r="AW100" s="92">
        <f>IF(BG99&lt;0.005,0,MAX(0,BG99*(1+BG$6/12)-BG$7))</f>
        <v/>
      </c>
      <c r="AX100" s="92">
        <f>IF(BH99&lt;0.005,0,MAX(0,BH99*(1+BH$6/12)-BH$7))</f>
        <v/>
      </c>
      <c r="AY100" s="91">
        <f>MAX(0,AO100-MAX(0,BJ100-0))</f>
        <v/>
      </c>
      <c r="AZ100" s="91">
        <f>MAX(0,AP100-MAX(0,BJ100-SUM(AO100:AO100)))</f>
        <v/>
      </c>
      <c r="BA100" s="91">
        <f>MAX(0,AQ100-MAX(0,BJ100-SUM(AO100:AP100)))</f>
        <v/>
      </c>
      <c r="BB100" s="91">
        <f>MAX(0,AR100-MAX(0,BJ100-SUM(AO100:AQ100)))</f>
        <v/>
      </c>
      <c r="BC100" s="91">
        <f>MAX(0,AS100-MAX(0,BJ100-SUM(AO100:AR100)))</f>
        <v/>
      </c>
      <c r="BD100" s="91">
        <f>MAX(0,AT100-MAX(0,BJ100-SUM(AO100:AS100)))</f>
        <v/>
      </c>
      <c r="BE100" s="91">
        <f>MAX(0,AU100-MAX(0,BJ100-SUM(AO100:AT100)))</f>
        <v/>
      </c>
      <c r="BF100" s="91">
        <f>MAX(0,AV100-MAX(0,BJ100-SUM(AO100:AU100)))</f>
        <v/>
      </c>
      <c r="BG100" s="91">
        <f>MAX(0,AW100-MAX(0,BJ100-SUM(AO100:AV100)))</f>
        <v/>
      </c>
      <c r="BH100" s="91">
        <f>MAX(0,AX100-MAX(0,BJ100-SUM(AO100:AW100)))</f>
        <v/>
      </c>
      <c r="BI100" s="92">
        <f>SUM(AY99:BH99)+BK100</f>
        <v/>
      </c>
      <c r="BJ100" s="92">
        <f>$BJ$7-(BI100-SUM(AO100:AX100))</f>
        <v/>
      </c>
      <c r="BK100" s="91">
        <f>SUMPRODUCT(AY99:BH99,$AY$6:$BH$6)/12</f>
        <v/>
      </c>
      <c r="BL100" s="88">
        <f>SUM(AY100:BH100)</f>
        <v/>
      </c>
    </row>
    <row r="101">
      <c r="A101" s="24" t="n">
        <v>91</v>
      </c>
      <c r="B101" s="90">
        <f>DATE(YEAR(Settings!$C$11),MONTH(Settings!$C$11)+A101,1)</f>
        <v/>
      </c>
      <c r="C101" s="91">
        <f>IF(C100&lt;0.005,0,MAX(0,C100*(1+C$6/12)-C$7))</f>
        <v/>
      </c>
      <c r="D101" s="91">
        <f>IF(D100&lt;0.005,0,MAX(0,D100*(1+D$6/12)-D$7))</f>
        <v/>
      </c>
      <c r="E101" s="91">
        <f>IF(E100&lt;0.005,0,MAX(0,E100*(1+E$6/12)-E$7))</f>
        <v/>
      </c>
      <c r="F101" s="91">
        <f>IF(F100&lt;0.005,0,MAX(0,F100*(1+F$6/12)-F$7))</f>
        <v/>
      </c>
      <c r="G101" s="91">
        <f>IF(G100&lt;0.005,0,MAX(0,G100*(1+G$6/12)-G$7))</f>
        <v/>
      </c>
      <c r="H101" s="91">
        <f>IF(H100&lt;0.005,0,MAX(0,H100*(1+H$6/12)-H$7))</f>
        <v/>
      </c>
      <c r="I101" s="91">
        <f>IF(I100&lt;0.005,0,MAX(0,I100*(1+I$6/12)-I$7))</f>
        <v/>
      </c>
      <c r="J101" s="91">
        <f>IF(J100&lt;0.005,0,MAX(0,J100*(1+J$6/12)-J$7))</f>
        <v/>
      </c>
      <c r="K101" s="91">
        <f>IF(K100&lt;0.005,0,MAX(0,K100*(1+K$6/12)-K$7))</f>
        <v/>
      </c>
      <c r="L101" s="91">
        <f>IF(L100&lt;0.005,0,MAX(0,L100*(1+L$6/12)-L$7))</f>
        <v/>
      </c>
      <c r="M101" s="91">
        <f>SUMPRODUCT(C100:L100,$C$6:$L$6)/12</f>
        <v/>
      </c>
      <c r="N101" s="88">
        <f>SUM(C101:L101)</f>
        <v/>
      </c>
      <c r="P101" s="92">
        <f>IF(Z100&lt;0.005,0,MAX(0,Z100*(1+Z$6/12)-Z$7))</f>
        <v/>
      </c>
      <c r="Q101" s="92">
        <f>IF(AA100&lt;0.005,0,MAX(0,AA100*(1+AA$6/12)-AA$7))</f>
        <v/>
      </c>
      <c r="R101" s="92">
        <f>IF(AB100&lt;0.005,0,MAX(0,AB100*(1+AB$6/12)-AB$7))</f>
        <v/>
      </c>
      <c r="S101" s="92">
        <f>IF(AC100&lt;0.005,0,MAX(0,AC100*(1+AC$6/12)-AC$7))</f>
        <v/>
      </c>
      <c r="T101" s="92">
        <f>IF(AD100&lt;0.005,0,MAX(0,AD100*(1+AD$6/12)-AD$7))</f>
        <v/>
      </c>
      <c r="U101" s="92">
        <f>IF(AE100&lt;0.005,0,MAX(0,AE100*(1+AE$6/12)-AE$7))</f>
        <v/>
      </c>
      <c r="V101" s="92">
        <f>IF(AF100&lt;0.005,0,MAX(0,AF100*(1+AF$6/12)-AF$7))</f>
        <v/>
      </c>
      <c r="W101" s="92">
        <f>IF(AG100&lt;0.005,0,MAX(0,AG100*(1+AG$6/12)-AG$7))</f>
        <v/>
      </c>
      <c r="X101" s="92">
        <f>IF(AH100&lt;0.005,0,MAX(0,AH100*(1+AH$6/12)-AH$7))</f>
        <v/>
      </c>
      <c r="Y101" s="92">
        <f>IF(AI100&lt;0.005,0,MAX(0,AI100*(1+AI$6/12)-AI$7))</f>
        <v/>
      </c>
      <c r="Z101" s="91">
        <f>MAX(0,P101-MAX(0,AK101-0))</f>
        <v/>
      </c>
      <c r="AA101" s="91">
        <f>MAX(0,Q101-MAX(0,AK101-SUM(P101:P101)))</f>
        <v/>
      </c>
      <c r="AB101" s="91">
        <f>MAX(0,R101-MAX(0,AK101-SUM(P101:Q101)))</f>
        <v/>
      </c>
      <c r="AC101" s="91">
        <f>MAX(0,S101-MAX(0,AK101-SUM(P101:R101)))</f>
        <v/>
      </c>
      <c r="AD101" s="91">
        <f>MAX(0,T101-MAX(0,AK101-SUM(P101:S101)))</f>
        <v/>
      </c>
      <c r="AE101" s="91">
        <f>MAX(0,U101-MAX(0,AK101-SUM(P101:T101)))</f>
        <v/>
      </c>
      <c r="AF101" s="91">
        <f>MAX(0,V101-MAX(0,AK101-SUM(P101:U101)))</f>
        <v/>
      </c>
      <c r="AG101" s="91">
        <f>MAX(0,W101-MAX(0,AK101-SUM(P101:V101)))</f>
        <v/>
      </c>
      <c r="AH101" s="91">
        <f>MAX(0,X101-MAX(0,AK101-SUM(P101:W101)))</f>
        <v/>
      </c>
      <c r="AI101" s="91">
        <f>MAX(0,Y101-MAX(0,AK101-SUM(P101:X101)))</f>
        <v/>
      </c>
      <c r="AJ101" s="92">
        <f>SUM(Z100:AI100)+AL101</f>
        <v/>
      </c>
      <c r="AK101" s="92">
        <f>$AK$7-(AJ101-SUM(P101:Y101))</f>
        <v/>
      </c>
      <c r="AL101" s="91">
        <f>SUMPRODUCT(Z100:AI100,$Z$6:$AI$6)/12</f>
        <v/>
      </c>
      <c r="AM101" s="88">
        <f>SUM(Z101:AI101)</f>
        <v/>
      </c>
      <c r="AO101" s="92">
        <f>IF(AY100&lt;0.005,0,MAX(0,AY100*(1+AY$6/12)-AY$7))</f>
        <v/>
      </c>
      <c r="AP101" s="92">
        <f>IF(AZ100&lt;0.005,0,MAX(0,AZ100*(1+AZ$6/12)-AZ$7))</f>
        <v/>
      </c>
      <c r="AQ101" s="92">
        <f>IF(BA100&lt;0.005,0,MAX(0,BA100*(1+BA$6/12)-BA$7))</f>
        <v/>
      </c>
      <c r="AR101" s="92">
        <f>IF(BB100&lt;0.005,0,MAX(0,BB100*(1+BB$6/12)-BB$7))</f>
        <v/>
      </c>
      <c r="AS101" s="92">
        <f>IF(BC100&lt;0.005,0,MAX(0,BC100*(1+BC$6/12)-BC$7))</f>
        <v/>
      </c>
      <c r="AT101" s="92">
        <f>IF(BD100&lt;0.005,0,MAX(0,BD100*(1+BD$6/12)-BD$7))</f>
        <v/>
      </c>
      <c r="AU101" s="92">
        <f>IF(BE100&lt;0.005,0,MAX(0,BE100*(1+BE$6/12)-BE$7))</f>
        <v/>
      </c>
      <c r="AV101" s="92">
        <f>IF(BF100&lt;0.005,0,MAX(0,BF100*(1+BF$6/12)-BF$7))</f>
        <v/>
      </c>
      <c r="AW101" s="92">
        <f>IF(BG100&lt;0.005,0,MAX(0,BG100*(1+BG$6/12)-BG$7))</f>
        <v/>
      </c>
      <c r="AX101" s="92">
        <f>IF(BH100&lt;0.005,0,MAX(0,BH100*(1+BH$6/12)-BH$7))</f>
        <v/>
      </c>
      <c r="AY101" s="91">
        <f>MAX(0,AO101-MAX(0,BJ101-0))</f>
        <v/>
      </c>
      <c r="AZ101" s="91">
        <f>MAX(0,AP101-MAX(0,BJ101-SUM(AO101:AO101)))</f>
        <v/>
      </c>
      <c r="BA101" s="91">
        <f>MAX(0,AQ101-MAX(0,BJ101-SUM(AO101:AP101)))</f>
        <v/>
      </c>
      <c r="BB101" s="91">
        <f>MAX(0,AR101-MAX(0,BJ101-SUM(AO101:AQ101)))</f>
        <v/>
      </c>
      <c r="BC101" s="91">
        <f>MAX(0,AS101-MAX(0,BJ101-SUM(AO101:AR101)))</f>
        <v/>
      </c>
      <c r="BD101" s="91">
        <f>MAX(0,AT101-MAX(0,BJ101-SUM(AO101:AS101)))</f>
        <v/>
      </c>
      <c r="BE101" s="91">
        <f>MAX(0,AU101-MAX(0,BJ101-SUM(AO101:AT101)))</f>
        <v/>
      </c>
      <c r="BF101" s="91">
        <f>MAX(0,AV101-MAX(0,BJ101-SUM(AO101:AU101)))</f>
        <v/>
      </c>
      <c r="BG101" s="91">
        <f>MAX(0,AW101-MAX(0,BJ101-SUM(AO101:AV101)))</f>
        <v/>
      </c>
      <c r="BH101" s="91">
        <f>MAX(0,AX101-MAX(0,BJ101-SUM(AO101:AW101)))</f>
        <v/>
      </c>
      <c r="BI101" s="92">
        <f>SUM(AY100:BH100)+BK101</f>
        <v/>
      </c>
      <c r="BJ101" s="92">
        <f>$BJ$7-(BI101-SUM(AO101:AX101))</f>
        <v/>
      </c>
      <c r="BK101" s="91">
        <f>SUMPRODUCT(AY100:BH100,$AY$6:$BH$6)/12</f>
        <v/>
      </c>
      <c r="BL101" s="88">
        <f>SUM(AY101:BH101)</f>
        <v/>
      </c>
    </row>
    <row r="102">
      <c r="A102" s="24" t="n">
        <v>92</v>
      </c>
      <c r="B102" s="90">
        <f>DATE(YEAR(Settings!$C$11),MONTH(Settings!$C$11)+A102,1)</f>
        <v/>
      </c>
      <c r="C102" s="91">
        <f>IF(C101&lt;0.005,0,MAX(0,C101*(1+C$6/12)-C$7))</f>
        <v/>
      </c>
      <c r="D102" s="91">
        <f>IF(D101&lt;0.005,0,MAX(0,D101*(1+D$6/12)-D$7))</f>
        <v/>
      </c>
      <c r="E102" s="91">
        <f>IF(E101&lt;0.005,0,MAX(0,E101*(1+E$6/12)-E$7))</f>
        <v/>
      </c>
      <c r="F102" s="91">
        <f>IF(F101&lt;0.005,0,MAX(0,F101*(1+F$6/12)-F$7))</f>
        <v/>
      </c>
      <c r="G102" s="91">
        <f>IF(G101&lt;0.005,0,MAX(0,G101*(1+G$6/12)-G$7))</f>
        <v/>
      </c>
      <c r="H102" s="91">
        <f>IF(H101&lt;0.005,0,MAX(0,H101*(1+H$6/12)-H$7))</f>
        <v/>
      </c>
      <c r="I102" s="91">
        <f>IF(I101&lt;0.005,0,MAX(0,I101*(1+I$6/12)-I$7))</f>
        <v/>
      </c>
      <c r="J102" s="91">
        <f>IF(J101&lt;0.005,0,MAX(0,J101*(1+J$6/12)-J$7))</f>
        <v/>
      </c>
      <c r="K102" s="91">
        <f>IF(K101&lt;0.005,0,MAX(0,K101*(1+K$6/12)-K$7))</f>
        <v/>
      </c>
      <c r="L102" s="91">
        <f>IF(L101&lt;0.005,0,MAX(0,L101*(1+L$6/12)-L$7))</f>
        <v/>
      </c>
      <c r="M102" s="91">
        <f>SUMPRODUCT(C101:L101,$C$6:$L$6)/12</f>
        <v/>
      </c>
      <c r="N102" s="88">
        <f>SUM(C102:L102)</f>
        <v/>
      </c>
      <c r="P102" s="92">
        <f>IF(Z101&lt;0.005,0,MAX(0,Z101*(1+Z$6/12)-Z$7))</f>
        <v/>
      </c>
      <c r="Q102" s="92">
        <f>IF(AA101&lt;0.005,0,MAX(0,AA101*(1+AA$6/12)-AA$7))</f>
        <v/>
      </c>
      <c r="R102" s="92">
        <f>IF(AB101&lt;0.005,0,MAX(0,AB101*(1+AB$6/12)-AB$7))</f>
        <v/>
      </c>
      <c r="S102" s="92">
        <f>IF(AC101&lt;0.005,0,MAX(0,AC101*(1+AC$6/12)-AC$7))</f>
        <v/>
      </c>
      <c r="T102" s="92">
        <f>IF(AD101&lt;0.005,0,MAX(0,AD101*(1+AD$6/12)-AD$7))</f>
        <v/>
      </c>
      <c r="U102" s="92">
        <f>IF(AE101&lt;0.005,0,MAX(0,AE101*(1+AE$6/12)-AE$7))</f>
        <v/>
      </c>
      <c r="V102" s="92">
        <f>IF(AF101&lt;0.005,0,MAX(0,AF101*(1+AF$6/12)-AF$7))</f>
        <v/>
      </c>
      <c r="W102" s="92">
        <f>IF(AG101&lt;0.005,0,MAX(0,AG101*(1+AG$6/12)-AG$7))</f>
        <v/>
      </c>
      <c r="X102" s="92">
        <f>IF(AH101&lt;0.005,0,MAX(0,AH101*(1+AH$6/12)-AH$7))</f>
        <v/>
      </c>
      <c r="Y102" s="92">
        <f>IF(AI101&lt;0.005,0,MAX(0,AI101*(1+AI$6/12)-AI$7))</f>
        <v/>
      </c>
      <c r="Z102" s="91">
        <f>MAX(0,P102-MAX(0,AK102-0))</f>
        <v/>
      </c>
      <c r="AA102" s="91">
        <f>MAX(0,Q102-MAX(0,AK102-SUM(P102:P102)))</f>
        <v/>
      </c>
      <c r="AB102" s="91">
        <f>MAX(0,R102-MAX(0,AK102-SUM(P102:Q102)))</f>
        <v/>
      </c>
      <c r="AC102" s="91">
        <f>MAX(0,S102-MAX(0,AK102-SUM(P102:R102)))</f>
        <v/>
      </c>
      <c r="AD102" s="91">
        <f>MAX(0,T102-MAX(0,AK102-SUM(P102:S102)))</f>
        <v/>
      </c>
      <c r="AE102" s="91">
        <f>MAX(0,U102-MAX(0,AK102-SUM(P102:T102)))</f>
        <v/>
      </c>
      <c r="AF102" s="91">
        <f>MAX(0,V102-MAX(0,AK102-SUM(P102:U102)))</f>
        <v/>
      </c>
      <c r="AG102" s="91">
        <f>MAX(0,W102-MAX(0,AK102-SUM(P102:V102)))</f>
        <v/>
      </c>
      <c r="AH102" s="91">
        <f>MAX(0,X102-MAX(0,AK102-SUM(P102:W102)))</f>
        <v/>
      </c>
      <c r="AI102" s="91">
        <f>MAX(0,Y102-MAX(0,AK102-SUM(P102:X102)))</f>
        <v/>
      </c>
      <c r="AJ102" s="92">
        <f>SUM(Z101:AI101)+AL102</f>
        <v/>
      </c>
      <c r="AK102" s="92">
        <f>$AK$7-(AJ102-SUM(P102:Y102))</f>
        <v/>
      </c>
      <c r="AL102" s="91">
        <f>SUMPRODUCT(Z101:AI101,$Z$6:$AI$6)/12</f>
        <v/>
      </c>
      <c r="AM102" s="88">
        <f>SUM(Z102:AI102)</f>
        <v/>
      </c>
      <c r="AO102" s="92">
        <f>IF(AY101&lt;0.005,0,MAX(0,AY101*(1+AY$6/12)-AY$7))</f>
        <v/>
      </c>
      <c r="AP102" s="92">
        <f>IF(AZ101&lt;0.005,0,MAX(0,AZ101*(1+AZ$6/12)-AZ$7))</f>
        <v/>
      </c>
      <c r="AQ102" s="92">
        <f>IF(BA101&lt;0.005,0,MAX(0,BA101*(1+BA$6/12)-BA$7))</f>
        <v/>
      </c>
      <c r="AR102" s="92">
        <f>IF(BB101&lt;0.005,0,MAX(0,BB101*(1+BB$6/12)-BB$7))</f>
        <v/>
      </c>
      <c r="AS102" s="92">
        <f>IF(BC101&lt;0.005,0,MAX(0,BC101*(1+BC$6/12)-BC$7))</f>
        <v/>
      </c>
      <c r="AT102" s="92">
        <f>IF(BD101&lt;0.005,0,MAX(0,BD101*(1+BD$6/12)-BD$7))</f>
        <v/>
      </c>
      <c r="AU102" s="92">
        <f>IF(BE101&lt;0.005,0,MAX(0,BE101*(1+BE$6/12)-BE$7))</f>
        <v/>
      </c>
      <c r="AV102" s="92">
        <f>IF(BF101&lt;0.005,0,MAX(0,BF101*(1+BF$6/12)-BF$7))</f>
        <v/>
      </c>
      <c r="AW102" s="92">
        <f>IF(BG101&lt;0.005,0,MAX(0,BG101*(1+BG$6/12)-BG$7))</f>
        <v/>
      </c>
      <c r="AX102" s="92">
        <f>IF(BH101&lt;0.005,0,MAX(0,BH101*(1+BH$6/12)-BH$7))</f>
        <v/>
      </c>
      <c r="AY102" s="91">
        <f>MAX(0,AO102-MAX(0,BJ102-0))</f>
        <v/>
      </c>
      <c r="AZ102" s="91">
        <f>MAX(0,AP102-MAX(0,BJ102-SUM(AO102:AO102)))</f>
        <v/>
      </c>
      <c r="BA102" s="91">
        <f>MAX(0,AQ102-MAX(0,BJ102-SUM(AO102:AP102)))</f>
        <v/>
      </c>
      <c r="BB102" s="91">
        <f>MAX(0,AR102-MAX(0,BJ102-SUM(AO102:AQ102)))</f>
        <v/>
      </c>
      <c r="BC102" s="91">
        <f>MAX(0,AS102-MAX(0,BJ102-SUM(AO102:AR102)))</f>
        <v/>
      </c>
      <c r="BD102" s="91">
        <f>MAX(0,AT102-MAX(0,BJ102-SUM(AO102:AS102)))</f>
        <v/>
      </c>
      <c r="BE102" s="91">
        <f>MAX(0,AU102-MAX(0,BJ102-SUM(AO102:AT102)))</f>
        <v/>
      </c>
      <c r="BF102" s="91">
        <f>MAX(0,AV102-MAX(0,BJ102-SUM(AO102:AU102)))</f>
        <v/>
      </c>
      <c r="BG102" s="91">
        <f>MAX(0,AW102-MAX(0,BJ102-SUM(AO102:AV102)))</f>
        <v/>
      </c>
      <c r="BH102" s="91">
        <f>MAX(0,AX102-MAX(0,BJ102-SUM(AO102:AW102)))</f>
        <v/>
      </c>
      <c r="BI102" s="92">
        <f>SUM(AY101:BH101)+BK102</f>
        <v/>
      </c>
      <c r="BJ102" s="92">
        <f>$BJ$7-(BI102-SUM(AO102:AX102))</f>
        <v/>
      </c>
      <c r="BK102" s="91">
        <f>SUMPRODUCT(AY101:BH101,$AY$6:$BH$6)/12</f>
        <v/>
      </c>
      <c r="BL102" s="88">
        <f>SUM(AY102:BH102)</f>
        <v/>
      </c>
    </row>
    <row r="103">
      <c r="A103" s="24" t="n">
        <v>93</v>
      </c>
      <c r="B103" s="90">
        <f>DATE(YEAR(Settings!$C$11),MONTH(Settings!$C$11)+A103,1)</f>
        <v/>
      </c>
      <c r="C103" s="91">
        <f>IF(C102&lt;0.005,0,MAX(0,C102*(1+C$6/12)-C$7))</f>
        <v/>
      </c>
      <c r="D103" s="91">
        <f>IF(D102&lt;0.005,0,MAX(0,D102*(1+D$6/12)-D$7))</f>
        <v/>
      </c>
      <c r="E103" s="91">
        <f>IF(E102&lt;0.005,0,MAX(0,E102*(1+E$6/12)-E$7))</f>
        <v/>
      </c>
      <c r="F103" s="91">
        <f>IF(F102&lt;0.005,0,MAX(0,F102*(1+F$6/12)-F$7))</f>
        <v/>
      </c>
      <c r="G103" s="91">
        <f>IF(G102&lt;0.005,0,MAX(0,G102*(1+G$6/12)-G$7))</f>
        <v/>
      </c>
      <c r="H103" s="91">
        <f>IF(H102&lt;0.005,0,MAX(0,H102*(1+H$6/12)-H$7))</f>
        <v/>
      </c>
      <c r="I103" s="91">
        <f>IF(I102&lt;0.005,0,MAX(0,I102*(1+I$6/12)-I$7))</f>
        <v/>
      </c>
      <c r="J103" s="91">
        <f>IF(J102&lt;0.005,0,MAX(0,J102*(1+J$6/12)-J$7))</f>
        <v/>
      </c>
      <c r="K103" s="91">
        <f>IF(K102&lt;0.005,0,MAX(0,K102*(1+K$6/12)-K$7))</f>
        <v/>
      </c>
      <c r="L103" s="91">
        <f>IF(L102&lt;0.005,0,MAX(0,L102*(1+L$6/12)-L$7))</f>
        <v/>
      </c>
      <c r="M103" s="91">
        <f>SUMPRODUCT(C102:L102,$C$6:$L$6)/12</f>
        <v/>
      </c>
      <c r="N103" s="88">
        <f>SUM(C103:L103)</f>
        <v/>
      </c>
      <c r="P103" s="92">
        <f>IF(Z102&lt;0.005,0,MAX(0,Z102*(1+Z$6/12)-Z$7))</f>
        <v/>
      </c>
      <c r="Q103" s="92">
        <f>IF(AA102&lt;0.005,0,MAX(0,AA102*(1+AA$6/12)-AA$7))</f>
        <v/>
      </c>
      <c r="R103" s="92">
        <f>IF(AB102&lt;0.005,0,MAX(0,AB102*(1+AB$6/12)-AB$7))</f>
        <v/>
      </c>
      <c r="S103" s="92">
        <f>IF(AC102&lt;0.005,0,MAX(0,AC102*(1+AC$6/12)-AC$7))</f>
        <v/>
      </c>
      <c r="T103" s="92">
        <f>IF(AD102&lt;0.005,0,MAX(0,AD102*(1+AD$6/12)-AD$7))</f>
        <v/>
      </c>
      <c r="U103" s="92">
        <f>IF(AE102&lt;0.005,0,MAX(0,AE102*(1+AE$6/12)-AE$7))</f>
        <v/>
      </c>
      <c r="V103" s="92">
        <f>IF(AF102&lt;0.005,0,MAX(0,AF102*(1+AF$6/12)-AF$7))</f>
        <v/>
      </c>
      <c r="W103" s="92">
        <f>IF(AG102&lt;0.005,0,MAX(0,AG102*(1+AG$6/12)-AG$7))</f>
        <v/>
      </c>
      <c r="X103" s="92">
        <f>IF(AH102&lt;0.005,0,MAX(0,AH102*(1+AH$6/12)-AH$7))</f>
        <v/>
      </c>
      <c r="Y103" s="92">
        <f>IF(AI102&lt;0.005,0,MAX(0,AI102*(1+AI$6/12)-AI$7))</f>
        <v/>
      </c>
      <c r="Z103" s="91">
        <f>MAX(0,P103-MAX(0,AK103-0))</f>
        <v/>
      </c>
      <c r="AA103" s="91">
        <f>MAX(0,Q103-MAX(0,AK103-SUM(P103:P103)))</f>
        <v/>
      </c>
      <c r="AB103" s="91">
        <f>MAX(0,R103-MAX(0,AK103-SUM(P103:Q103)))</f>
        <v/>
      </c>
      <c r="AC103" s="91">
        <f>MAX(0,S103-MAX(0,AK103-SUM(P103:R103)))</f>
        <v/>
      </c>
      <c r="AD103" s="91">
        <f>MAX(0,T103-MAX(0,AK103-SUM(P103:S103)))</f>
        <v/>
      </c>
      <c r="AE103" s="91">
        <f>MAX(0,U103-MAX(0,AK103-SUM(P103:T103)))</f>
        <v/>
      </c>
      <c r="AF103" s="91">
        <f>MAX(0,V103-MAX(0,AK103-SUM(P103:U103)))</f>
        <v/>
      </c>
      <c r="AG103" s="91">
        <f>MAX(0,W103-MAX(0,AK103-SUM(P103:V103)))</f>
        <v/>
      </c>
      <c r="AH103" s="91">
        <f>MAX(0,X103-MAX(0,AK103-SUM(P103:W103)))</f>
        <v/>
      </c>
      <c r="AI103" s="91">
        <f>MAX(0,Y103-MAX(0,AK103-SUM(P103:X103)))</f>
        <v/>
      </c>
      <c r="AJ103" s="92">
        <f>SUM(Z102:AI102)+AL103</f>
        <v/>
      </c>
      <c r="AK103" s="92">
        <f>$AK$7-(AJ103-SUM(P103:Y103))</f>
        <v/>
      </c>
      <c r="AL103" s="91">
        <f>SUMPRODUCT(Z102:AI102,$Z$6:$AI$6)/12</f>
        <v/>
      </c>
      <c r="AM103" s="88">
        <f>SUM(Z103:AI103)</f>
        <v/>
      </c>
      <c r="AO103" s="92">
        <f>IF(AY102&lt;0.005,0,MAX(0,AY102*(1+AY$6/12)-AY$7))</f>
        <v/>
      </c>
      <c r="AP103" s="92">
        <f>IF(AZ102&lt;0.005,0,MAX(0,AZ102*(1+AZ$6/12)-AZ$7))</f>
        <v/>
      </c>
      <c r="AQ103" s="92">
        <f>IF(BA102&lt;0.005,0,MAX(0,BA102*(1+BA$6/12)-BA$7))</f>
        <v/>
      </c>
      <c r="AR103" s="92">
        <f>IF(BB102&lt;0.005,0,MAX(0,BB102*(1+BB$6/12)-BB$7))</f>
        <v/>
      </c>
      <c r="AS103" s="92">
        <f>IF(BC102&lt;0.005,0,MAX(0,BC102*(1+BC$6/12)-BC$7))</f>
        <v/>
      </c>
      <c r="AT103" s="92">
        <f>IF(BD102&lt;0.005,0,MAX(0,BD102*(1+BD$6/12)-BD$7))</f>
        <v/>
      </c>
      <c r="AU103" s="92">
        <f>IF(BE102&lt;0.005,0,MAX(0,BE102*(1+BE$6/12)-BE$7))</f>
        <v/>
      </c>
      <c r="AV103" s="92">
        <f>IF(BF102&lt;0.005,0,MAX(0,BF102*(1+BF$6/12)-BF$7))</f>
        <v/>
      </c>
      <c r="AW103" s="92">
        <f>IF(BG102&lt;0.005,0,MAX(0,BG102*(1+BG$6/12)-BG$7))</f>
        <v/>
      </c>
      <c r="AX103" s="92">
        <f>IF(BH102&lt;0.005,0,MAX(0,BH102*(1+BH$6/12)-BH$7))</f>
        <v/>
      </c>
      <c r="AY103" s="91">
        <f>MAX(0,AO103-MAX(0,BJ103-0))</f>
        <v/>
      </c>
      <c r="AZ103" s="91">
        <f>MAX(0,AP103-MAX(0,BJ103-SUM(AO103:AO103)))</f>
        <v/>
      </c>
      <c r="BA103" s="91">
        <f>MAX(0,AQ103-MAX(0,BJ103-SUM(AO103:AP103)))</f>
        <v/>
      </c>
      <c r="BB103" s="91">
        <f>MAX(0,AR103-MAX(0,BJ103-SUM(AO103:AQ103)))</f>
        <v/>
      </c>
      <c r="BC103" s="91">
        <f>MAX(0,AS103-MAX(0,BJ103-SUM(AO103:AR103)))</f>
        <v/>
      </c>
      <c r="BD103" s="91">
        <f>MAX(0,AT103-MAX(0,BJ103-SUM(AO103:AS103)))</f>
        <v/>
      </c>
      <c r="BE103" s="91">
        <f>MAX(0,AU103-MAX(0,BJ103-SUM(AO103:AT103)))</f>
        <v/>
      </c>
      <c r="BF103" s="91">
        <f>MAX(0,AV103-MAX(0,BJ103-SUM(AO103:AU103)))</f>
        <v/>
      </c>
      <c r="BG103" s="91">
        <f>MAX(0,AW103-MAX(0,BJ103-SUM(AO103:AV103)))</f>
        <v/>
      </c>
      <c r="BH103" s="91">
        <f>MAX(0,AX103-MAX(0,BJ103-SUM(AO103:AW103)))</f>
        <v/>
      </c>
      <c r="BI103" s="92">
        <f>SUM(AY102:BH102)+BK103</f>
        <v/>
      </c>
      <c r="BJ103" s="92">
        <f>$BJ$7-(BI103-SUM(AO103:AX103))</f>
        <v/>
      </c>
      <c r="BK103" s="91">
        <f>SUMPRODUCT(AY102:BH102,$AY$6:$BH$6)/12</f>
        <v/>
      </c>
      <c r="BL103" s="88">
        <f>SUM(AY103:BH103)</f>
        <v/>
      </c>
    </row>
    <row r="104">
      <c r="A104" s="24" t="n">
        <v>94</v>
      </c>
      <c r="B104" s="90">
        <f>DATE(YEAR(Settings!$C$11),MONTH(Settings!$C$11)+A104,1)</f>
        <v/>
      </c>
      <c r="C104" s="91">
        <f>IF(C103&lt;0.005,0,MAX(0,C103*(1+C$6/12)-C$7))</f>
        <v/>
      </c>
      <c r="D104" s="91">
        <f>IF(D103&lt;0.005,0,MAX(0,D103*(1+D$6/12)-D$7))</f>
        <v/>
      </c>
      <c r="E104" s="91">
        <f>IF(E103&lt;0.005,0,MAX(0,E103*(1+E$6/12)-E$7))</f>
        <v/>
      </c>
      <c r="F104" s="91">
        <f>IF(F103&lt;0.005,0,MAX(0,F103*(1+F$6/12)-F$7))</f>
        <v/>
      </c>
      <c r="G104" s="91">
        <f>IF(G103&lt;0.005,0,MAX(0,G103*(1+G$6/12)-G$7))</f>
        <v/>
      </c>
      <c r="H104" s="91">
        <f>IF(H103&lt;0.005,0,MAX(0,H103*(1+H$6/12)-H$7))</f>
        <v/>
      </c>
      <c r="I104" s="91">
        <f>IF(I103&lt;0.005,0,MAX(0,I103*(1+I$6/12)-I$7))</f>
        <v/>
      </c>
      <c r="J104" s="91">
        <f>IF(J103&lt;0.005,0,MAX(0,J103*(1+J$6/12)-J$7))</f>
        <v/>
      </c>
      <c r="K104" s="91">
        <f>IF(K103&lt;0.005,0,MAX(0,K103*(1+K$6/12)-K$7))</f>
        <v/>
      </c>
      <c r="L104" s="91">
        <f>IF(L103&lt;0.005,0,MAX(0,L103*(1+L$6/12)-L$7))</f>
        <v/>
      </c>
      <c r="M104" s="91">
        <f>SUMPRODUCT(C103:L103,$C$6:$L$6)/12</f>
        <v/>
      </c>
      <c r="N104" s="88">
        <f>SUM(C104:L104)</f>
        <v/>
      </c>
      <c r="P104" s="92">
        <f>IF(Z103&lt;0.005,0,MAX(0,Z103*(1+Z$6/12)-Z$7))</f>
        <v/>
      </c>
      <c r="Q104" s="92">
        <f>IF(AA103&lt;0.005,0,MAX(0,AA103*(1+AA$6/12)-AA$7))</f>
        <v/>
      </c>
      <c r="R104" s="92">
        <f>IF(AB103&lt;0.005,0,MAX(0,AB103*(1+AB$6/12)-AB$7))</f>
        <v/>
      </c>
      <c r="S104" s="92">
        <f>IF(AC103&lt;0.005,0,MAX(0,AC103*(1+AC$6/12)-AC$7))</f>
        <v/>
      </c>
      <c r="T104" s="92">
        <f>IF(AD103&lt;0.005,0,MAX(0,AD103*(1+AD$6/12)-AD$7))</f>
        <v/>
      </c>
      <c r="U104" s="92">
        <f>IF(AE103&lt;0.005,0,MAX(0,AE103*(1+AE$6/12)-AE$7))</f>
        <v/>
      </c>
      <c r="V104" s="92">
        <f>IF(AF103&lt;0.005,0,MAX(0,AF103*(1+AF$6/12)-AF$7))</f>
        <v/>
      </c>
      <c r="W104" s="92">
        <f>IF(AG103&lt;0.005,0,MAX(0,AG103*(1+AG$6/12)-AG$7))</f>
        <v/>
      </c>
      <c r="X104" s="92">
        <f>IF(AH103&lt;0.005,0,MAX(0,AH103*(1+AH$6/12)-AH$7))</f>
        <v/>
      </c>
      <c r="Y104" s="92">
        <f>IF(AI103&lt;0.005,0,MAX(0,AI103*(1+AI$6/12)-AI$7))</f>
        <v/>
      </c>
      <c r="Z104" s="91">
        <f>MAX(0,P104-MAX(0,AK104-0))</f>
        <v/>
      </c>
      <c r="AA104" s="91">
        <f>MAX(0,Q104-MAX(0,AK104-SUM(P104:P104)))</f>
        <v/>
      </c>
      <c r="AB104" s="91">
        <f>MAX(0,R104-MAX(0,AK104-SUM(P104:Q104)))</f>
        <v/>
      </c>
      <c r="AC104" s="91">
        <f>MAX(0,S104-MAX(0,AK104-SUM(P104:R104)))</f>
        <v/>
      </c>
      <c r="AD104" s="91">
        <f>MAX(0,T104-MAX(0,AK104-SUM(P104:S104)))</f>
        <v/>
      </c>
      <c r="AE104" s="91">
        <f>MAX(0,U104-MAX(0,AK104-SUM(P104:T104)))</f>
        <v/>
      </c>
      <c r="AF104" s="91">
        <f>MAX(0,V104-MAX(0,AK104-SUM(P104:U104)))</f>
        <v/>
      </c>
      <c r="AG104" s="91">
        <f>MAX(0,W104-MAX(0,AK104-SUM(P104:V104)))</f>
        <v/>
      </c>
      <c r="AH104" s="91">
        <f>MAX(0,X104-MAX(0,AK104-SUM(P104:W104)))</f>
        <v/>
      </c>
      <c r="AI104" s="91">
        <f>MAX(0,Y104-MAX(0,AK104-SUM(P104:X104)))</f>
        <v/>
      </c>
      <c r="AJ104" s="92">
        <f>SUM(Z103:AI103)+AL104</f>
        <v/>
      </c>
      <c r="AK104" s="92">
        <f>$AK$7-(AJ104-SUM(P104:Y104))</f>
        <v/>
      </c>
      <c r="AL104" s="91">
        <f>SUMPRODUCT(Z103:AI103,$Z$6:$AI$6)/12</f>
        <v/>
      </c>
      <c r="AM104" s="88">
        <f>SUM(Z104:AI104)</f>
        <v/>
      </c>
      <c r="AO104" s="92">
        <f>IF(AY103&lt;0.005,0,MAX(0,AY103*(1+AY$6/12)-AY$7))</f>
        <v/>
      </c>
      <c r="AP104" s="92">
        <f>IF(AZ103&lt;0.005,0,MAX(0,AZ103*(1+AZ$6/12)-AZ$7))</f>
        <v/>
      </c>
      <c r="AQ104" s="92">
        <f>IF(BA103&lt;0.005,0,MAX(0,BA103*(1+BA$6/12)-BA$7))</f>
        <v/>
      </c>
      <c r="AR104" s="92">
        <f>IF(BB103&lt;0.005,0,MAX(0,BB103*(1+BB$6/12)-BB$7))</f>
        <v/>
      </c>
      <c r="AS104" s="92">
        <f>IF(BC103&lt;0.005,0,MAX(0,BC103*(1+BC$6/12)-BC$7))</f>
        <v/>
      </c>
      <c r="AT104" s="92">
        <f>IF(BD103&lt;0.005,0,MAX(0,BD103*(1+BD$6/12)-BD$7))</f>
        <v/>
      </c>
      <c r="AU104" s="92">
        <f>IF(BE103&lt;0.005,0,MAX(0,BE103*(1+BE$6/12)-BE$7))</f>
        <v/>
      </c>
      <c r="AV104" s="92">
        <f>IF(BF103&lt;0.005,0,MAX(0,BF103*(1+BF$6/12)-BF$7))</f>
        <v/>
      </c>
      <c r="AW104" s="92">
        <f>IF(BG103&lt;0.005,0,MAX(0,BG103*(1+BG$6/12)-BG$7))</f>
        <v/>
      </c>
      <c r="AX104" s="92">
        <f>IF(BH103&lt;0.005,0,MAX(0,BH103*(1+BH$6/12)-BH$7))</f>
        <v/>
      </c>
      <c r="AY104" s="91">
        <f>MAX(0,AO104-MAX(0,BJ104-0))</f>
        <v/>
      </c>
      <c r="AZ104" s="91">
        <f>MAX(0,AP104-MAX(0,BJ104-SUM(AO104:AO104)))</f>
        <v/>
      </c>
      <c r="BA104" s="91">
        <f>MAX(0,AQ104-MAX(0,BJ104-SUM(AO104:AP104)))</f>
        <v/>
      </c>
      <c r="BB104" s="91">
        <f>MAX(0,AR104-MAX(0,BJ104-SUM(AO104:AQ104)))</f>
        <v/>
      </c>
      <c r="BC104" s="91">
        <f>MAX(0,AS104-MAX(0,BJ104-SUM(AO104:AR104)))</f>
        <v/>
      </c>
      <c r="BD104" s="91">
        <f>MAX(0,AT104-MAX(0,BJ104-SUM(AO104:AS104)))</f>
        <v/>
      </c>
      <c r="BE104" s="91">
        <f>MAX(0,AU104-MAX(0,BJ104-SUM(AO104:AT104)))</f>
        <v/>
      </c>
      <c r="BF104" s="91">
        <f>MAX(0,AV104-MAX(0,BJ104-SUM(AO104:AU104)))</f>
        <v/>
      </c>
      <c r="BG104" s="91">
        <f>MAX(0,AW104-MAX(0,BJ104-SUM(AO104:AV104)))</f>
        <v/>
      </c>
      <c r="BH104" s="91">
        <f>MAX(0,AX104-MAX(0,BJ104-SUM(AO104:AW104)))</f>
        <v/>
      </c>
      <c r="BI104" s="92">
        <f>SUM(AY103:BH103)+BK104</f>
        <v/>
      </c>
      <c r="BJ104" s="92">
        <f>$BJ$7-(BI104-SUM(AO104:AX104))</f>
        <v/>
      </c>
      <c r="BK104" s="91">
        <f>SUMPRODUCT(AY103:BH103,$AY$6:$BH$6)/12</f>
        <v/>
      </c>
      <c r="BL104" s="88">
        <f>SUM(AY104:BH104)</f>
        <v/>
      </c>
    </row>
    <row r="105">
      <c r="A105" s="24" t="n">
        <v>95</v>
      </c>
      <c r="B105" s="90">
        <f>DATE(YEAR(Settings!$C$11),MONTH(Settings!$C$11)+A105,1)</f>
        <v/>
      </c>
      <c r="C105" s="91">
        <f>IF(C104&lt;0.005,0,MAX(0,C104*(1+C$6/12)-C$7))</f>
        <v/>
      </c>
      <c r="D105" s="91">
        <f>IF(D104&lt;0.005,0,MAX(0,D104*(1+D$6/12)-D$7))</f>
        <v/>
      </c>
      <c r="E105" s="91">
        <f>IF(E104&lt;0.005,0,MAX(0,E104*(1+E$6/12)-E$7))</f>
        <v/>
      </c>
      <c r="F105" s="91">
        <f>IF(F104&lt;0.005,0,MAX(0,F104*(1+F$6/12)-F$7))</f>
        <v/>
      </c>
      <c r="G105" s="91">
        <f>IF(G104&lt;0.005,0,MAX(0,G104*(1+G$6/12)-G$7))</f>
        <v/>
      </c>
      <c r="H105" s="91">
        <f>IF(H104&lt;0.005,0,MAX(0,H104*(1+H$6/12)-H$7))</f>
        <v/>
      </c>
      <c r="I105" s="91">
        <f>IF(I104&lt;0.005,0,MAX(0,I104*(1+I$6/12)-I$7))</f>
        <v/>
      </c>
      <c r="J105" s="91">
        <f>IF(J104&lt;0.005,0,MAX(0,J104*(1+J$6/12)-J$7))</f>
        <v/>
      </c>
      <c r="K105" s="91">
        <f>IF(K104&lt;0.005,0,MAX(0,K104*(1+K$6/12)-K$7))</f>
        <v/>
      </c>
      <c r="L105" s="91">
        <f>IF(L104&lt;0.005,0,MAX(0,L104*(1+L$6/12)-L$7))</f>
        <v/>
      </c>
      <c r="M105" s="91">
        <f>SUMPRODUCT(C104:L104,$C$6:$L$6)/12</f>
        <v/>
      </c>
      <c r="N105" s="88">
        <f>SUM(C105:L105)</f>
        <v/>
      </c>
      <c r="P105" s="92">
        <f>IF(Z104&lt;0.005,0,MAX(0,Z104*(1+Z$6/12)-Z$7))</f>
        <v/>
      </c>
      <c r="Q105" s="92">
        <f>IF(AA104&lt;0.005,0,MAX(0,AA104*(1+AA$6/12)-AA$7))</f>
        <v/>
      </c>
      <c r="R105" s="92">
        <f>IF(AB104&lt;0.005,0,MAX(0,AB104*(1+AB$6/12)-AB$7))</f>
        <v/>
      </c>
      <c r="S105" s="92">
        <f>IF(AC104&lt;0.005,0,MAX(0,AC104*(1+AC$6/12)-AC$7))</f>
        <v/>
      </c>
      <c r="T105" s="92">
        <f>IF(AD104&lt;0.005,0,MAX(0,AD104*(1+AD$6/12)-AD$7))</f>
        <v/>
      </c>
      <c r="U105" s="92">
        <f>IF(AE104&lt;0.005,0,MAX(0,AE104*(1+AE$6/12)-AE$7))</f>
        <v/>
      </c>
      <c r="V105" s="92">
        <f>IF(AF104&lt;0.005,0,MAX(0,AF104*(1+AF$6/12)-AF$7))</f>
        <v/>
      </c>
      <c r="W105" s="92">
        <f>IF(AG104&lt;0.005,0,MAX(0,AG104*(1+AG$6/12)-AG$7))</f>
        <v/>
      </c>
      <c r="X105" s="92">
        <f>IF(AH104&lt;0.005,0,MAX(0,AH104*(1+AH$6/12)-AH$7))</f>
        <v/>
      </c>
      <c r="Y105" s="92">
        <f>IF(AI104&lt;0.005,0,MAX(0,AI104*(1+AI$6/12)-AI$7))</f>
        <v/>
      </c>
      <c r="Z105" s="91">
        <f>MAX(0,P105-MAX(0,AK105-0))</f>
        <v/>
      </c>
      <c r="AA105" s="91">
        <f>MAX(0,Q105-MAX(0,AK105-SUM(P105:P105)))</f>
        <v/>
      </c>
      <c r="AB105" s="91">
        <f>MAX(0,R105-MAX(0,AK105-SUM(P105:Q105)))</f>
        <v/>
      </c>
      <c r="AC105" s="91">
        <f>MAX(0,S105-MAX(0,AK105-SUM(P105:R105)))</f>
        <v/>
      </c>
      <c r="AD105" s="91">
        <f>MAX(0,T105-MAX(0,AK105-SUM(P105:S105)))</f>
        <v/>
      </c>
      <c r="AE105" s="91">
        <f>MAX(0,U105-MAX(0,AK105-SUM(P105:T105)))</f>
        <v/>
      </c>
      <c r="AF105" s="91">
        <f>MAX(0,V105-MAX(0,AK105-SUM(P105:U105)))</f>
        <v/>
      </c>
      <c r="AG105" s="91">
        <f>MAX(0,W105-MAX(0,AK105-SUM(P105:V105)))</f>
        <v/>
      </c>
      <c r="AH105" s="91">
        <f>MAX(0,X105-MAX(0,AK105-SUM(P105:W105)))</f>
        <v/>
      </c>
      <c r="AI105" s="91">
        <f>MAX(0,Y105-MAX(0,AK105-SUM(P105:X105)))</f>
        <v/>
      </c>
      <c r="AJ105" s="92">
        <f>SUM(Z104:AI104)+AL105</f>
        <v/>
      </c>
      <c r="AK105" s="92">
        <f>$AK$7-(AJ105-SUM(P105:Y105))</f>
        <v/>
      </c>
      <c r="AL105" s="91">
        <f>SUMPRODUCT(Z104:AI104,$Z$6:$AI$6)/12</f>
        <v/>
      </c>
      <c r="AM105" s="88">
        <f>SUM(Z105:AI105)</f>
        <v/>
      </c>
      <c r="AO105" s="92">
        <f>IF(AY104&lt;0.005,0,MAX(0,AY104*(1+AY$6/12)-AY$7))</f>
        <v/>
      </c>
      <c r="AP105" s="92">
        <f>IF(AZ104&lt;0.005,0,MAX(0,AZ104*(1+AZ$6/12)-AZ$7))</f>
        <v/>
      </c>
      <c r="AQ105" s="92">
        <f>IF(BA104&lt;0.005,0,MAX(0,BA104*(1+BA$6/12)-BA$7))</f>
        <v/>
      </c>
      <c r="AR105" s="92">
        <f>IF(BB104&lt;0.005,0,MAX(0,BB104*(1+BB$6/12)-BB$7))</f>
        <v/>
      </c>
      <c r="AS105" s="92">
        <f>IF(BC104&lt;0.005,0,MAX(0,BC104*(1+BC$6/12)-BC$7))</f>
        <v/>
      </c>
      <c r="AT105" s="92">
        <f>IF(BD104&lt;0.005,0,MAX(0,BD104*(1+BD$6/12)-BD$7))</f>
        <v/>
      </c>
      <c r="AU105" s="92">
        <f>IF(BE104&lt;0.005,0,MAX(0,BE104*(1+BE$6/12)-BE$7))</f>
        <v/>
      </c>
      <c r="AV105" s="92">
        <f>IF(BF104&lt;0.005,0,MAX(0,BF104*(1+BF$6/12)-BF$7))</f>
        <v/>
      </c>
      <c r="AW105" s="92">
        <f>IF(BG104&lt;0.005,0,MAX(0,BG104*(1+BG$6/12)-BG$7))</f>
        <v/>
      </c>
      <c r="AX105" s="92">
        <f>IF(BH104&lt;0.005,0,MAX(0,BH104*(1+BH$6/12)-BH$7))</f>
        <v/>
      </c>
      <c r="AY105" s="91">
        <f>MAX(0,AO105-MAX(0,BJ105-0))</f>
        <v/>
      </c>
      <c r="AZ105" s="91">
        <f>MAX(0,AP105-MAX(0,BJ105-SUM(AO105:AO105)))</f>
        <v/>
      </c>
      <c r="BA105" s="91">
        <f>MAX(0,AQ105-MAX(0,BJ105-SUM(AO105:AP105)))</f>
        <v/>
      </c>
      <c r="BB105" s="91">
        <f>MAX(0,AR105-MAX(0,BJ105-SUM(AO105:AQ105)))</f>
        <v/>
      </c>
      <c r="BC105" s="91">
        <f>MAX(0,AS105-MAX(0,BJ105-SUM(AO105:AR105)))</f>
        <v/>
      </c>
      <c r="BD105" s="91">
        <f>MAX(0,AT105-MAX(0,BJ105-SUM(AO105:AS105)))</f>
        <v/>
      </c>
      <c r="BE105" s="91">
        <f>MAX(0,AU105-MAX(0,BJ105-SUM(AO105:AT105)))</f>
        <v/>
      </c>
      <c r="BF105" s="91">
        <f>MAX(0,AV105-MAX(0,BJ105-SUM(AO105:AU105)))</f>
        <v/>
      </c>
      <c r="BG105" s="91">
        <f>MAX(0,AW105-MAX(0,BJ105-SUM(AO105:AV105)))</f>
        <v/>
      </c>
      <c r="BH105" s="91">
        <f>MAX(0,AX105-MAX(0,BJ105-SUM(AO105:AW105)))</f>
        <v/>
      </c>
      <c r="BI105" s="92">
        <f>SUM(AY104:BH104)+BK105</f>
        <v/>
      </c>
      <c r="BJ105" s="92">
        <f>$BJ$7-(BI105-SUM(AO105:AX105))</f>
        <v/>
      </c>
      <c r="BK105" s="91">
        <f>SUMPRODUCT(AY104:BH104,$AY$6:$BH$6)/12</f>
        <v/>
      </c>
      <c r="BL105" s="88">
        <f>SUM(AY105:BH105)</f>
        <v/>
      </c>
    </row>
    <row r="106">
      <c r="A106" s="24" t="n">
        <v>96</v>
      </c>
      <c r="B106" s="90">
        <f>DATE(YEAR(Settings!$C$11),MONTH(Settings!$C$11)+A106,1)</f>
        <v/>
      </c>
      <c r="C106" s="91">
        <f>IF(C105&lt;0.005,0,MAX(0,C105*(1+C$6/12)-C$7))</f>
        <v/>
      </c>
      <c r="D106" s="91">
        <f>IF(D105&lt;0.005,0,MAX(0,D105*(1+D$6/12)-D$7))</f>
        <v/>
      </c>
      <c r="E106" s="91">
        <f>IF(E105&lt;0.005,0,MAX(0,E105*(1+E$6/12)-E$7))</f>
        <v/>
      </c>
      <c r="F106" s="91">
        <f>IF(F105&lt;0.005,0,MAX(0,F105*(1+F$6/12)-F$7))</f>
        <v/>
      </c>
      <c r="G106" s="91">
        <f>IF(G105&lt;0.005,0,MAX(0,G105*(1+G$6/12)-G$7))</f>
        <v/>
      </c>
      <c r="H106" s="91">
        <f>IF(H105&lt;0.005,0,MAX(0,H105*(1+H$6/12)-H$7))</f>
        <v/>
      </c>
      <c r="I106" s="91">
        <f>IF(I105&lt;0.005,0,MAX(0,I105*(1+I$6/12)-I$7))</f>
        <v/>
      </c>
      <c r="J106" s="91">
        <f>IF(J105&lt;0.005,0,MAX(0,J105*(1+J$6/12)-J$7))</f>
        <v/>
      </c>
      <c r="K106" s="91">
        <f>IF(K105&lt;0.005,0,MAX(0,K105*(1+K$6/12)-K$7))</f>
        <v/>
      </c>
      <c r="L106" s="91">
        <f>IF(L105&lt;0.005,0,MAX(0,L105*(1+L$6/12)-L$7))</f>
        <v/>
      </c>
      <c r="M106" s="91">
        <f>SUMPRODUCT(C105:L105,$C$6:$L$6)/12</f>
        <v/>
      </c>
      <c r="N106" s="88">
        <f>SUM(C106:L106)</f>
        <v/>
      </c>
      <c r="P106" s="92">
        <f>IF(Z105&lt;0.005,0,MAX(0,Z105*(1+Z$6/12)-Z$7))</f>
        <v/>
      </c>
      <c r="Q106" s="92">
        <f>IF(AA105&lt;0.005,0,MAX(0,AA105*(1+AA$6/12)-AA$7))</f>
        <v/>
      </c>
      <c r="R106" s="92">
        <f>IF(AB105&lt;0.005,0,MAX(0,AB105*(1+AB$6/12)-AB$7))</f>
        <v/>
      </c>
      <c r="S106" s="92">
        <f>IF(AC105&lt;0.005,0,MAX(0,AC105*(1+AC$6/12)-AC$7))</f>
        <v/>
      </c>
      <c r="T106" s="92">
        <f>IF(AD105&lt;0.005,0,MAX(0,AD105*(1+AD$6/12)-AD$7))</f>
        <v/>
      </c>
      <c r="U106" s="92">
        <f>IF(AE105&lt;0.005,0,MAX(0,AE105*(1+AE$6/12)-AE$7))</f>
        <v/>
      </c>
      <c r="V106" s="92">
        <f>IF(AF105&lt;0.005,0,MAX(0,AF105*(1+AF$6/12)-AF$7))</f>
        <v/>
      </c>
      <c r="W106" s="92">
        <f>IF(AG105&lt;0.005,0,MAX(0,AG105*(1+AG$6/12)-AG$7))</f>
        <v/>
      </c>
      <c r="X106" s="92">
        <f>IF(AH105&lt;0.005,0,MAX(0,AH105*(1+AH$6/12)-AH$7))</f>
        <v/>
      </c>
      <c r="Y106" s="92">
        <f>IF(AI105&lt;0.005,0,MAX(0,AI105*(1+AI$6/12)-AI$7))</f>
        <v/>
      </c>
      <c r="Z106" s="91">
        <f>MAX(0,P106-MAX(0,AK106-0))</f>
        <v/>
      </c>
      <c r="AA106" s="91">
        <f>MAX(0,Q106-MAX(0,AK106-SUM(P106:P106)))</f>
        <v/>
      </c>
      <c r="AB106" s="91">
        <f>MAX(0,R106-MAX(0,AK106-SUM(P106:Q106)))</f>
        <v/>
      </c>
      <c r="AC106" s="91">
        <f>MAX(0,S106-MAX(0,AK106-SUM(P106:R106)))</f>
        <v/>
      </c>
      <c r="AD106" s="91">
        <f>MAX(0,T106-MAX(0,AK106-SUM(P106:S106)))</f>
        <v/>
      </c>
      <c r="AE106" s="91">
        <f>MAX(0,U106-MAX(0,AK106-SUM(P106:T106)))</f>
        <v/>
      </c>
      <c r="AF106" s="91">
        <f>MAX(0,V106-MAX(0,AK106-SUM(P106:U106)))</f>
        <v/>
      </c>
      <c r="AG106" s="91">
        <f>MAX(0,W106-MAX(0,AK106-SUM(P106:V106)))</f>
        <v/>
      </c>
      <c r="AH106" s="91">
        <f>MAX(0,X106-MAX(0,AK106-SUM(P106:W106)))</f>
        <v/>
      </c>
      <c r="AI106" s="91">
        <f>MAX(0,Y106-MAX(0,AK106-SUM(P106:X106)))</f>
        <v/>
      </c>
      <c r="AJ106" s="92">
        <f>SUM(Z105:AI105)+AL106</f>
        <v/>
      </c>
      <c r="AK106" s="92">
        <f>$AK$7-(AJ106-SUM(P106:Y106))</f>
        <v/>
      </c>
      <c r="AL106" s="91">
        <f>SUMPRODUCT(Z105:AI105,$Z$6:$AI$6)/12</f>
        <v/>
      </c>
      <c r="AM106" s="88">
        <f>SUM(Z106:AI106)</f>
        <v/>
      </c>
      <c r="AO106" s="92">
        <f>IF(AY105&lt;0.005,0,MAX(0,AY105*(1+AY$6/12)-AY$7))</f>
        <v/>
      </c>
      <c r="AP106" s="92">
        <f>IF(AZ105&lt;0.005,0,MAX(0,AZ105*(1+AZ$6/12)-AZ$7))</f>
        <v/>
      </c>
      <c r="AQ106" s="92">
        <f>IF(BA105&lt;0.005,0,MAX(0,BA105*(1+BA$6/12)-BA$7))</f>
        <v/>
      </c>
      <c r="AR106" s="92">
        <f>IF(BB105&lt;0.005,0,MAX(0,BB105*(1+BB$6/12)-BB$7))</f>
        <v/>
      </c>
      <c r="AS106" s="92">
        <f>IF(BC105&lt;0.005,0,MAX(0,BC105*(1+BC$6/12)-BC$7))</f>
        <v/>
      </c>
      <c r="AT106" s="92">
        <f>IF(BD105&lt;0.005,0,MAX(0,BD105*(1+BD$6/12)-BD$7))</f>
        <v/>
      </c>
      <c r="AU106" s="92">
        <f>IF(BE105&lt;0.005,0,MAX(0,BE105*(1+BE$6/12)-BE$7))</f>
        <v/>
      </c>
      <c r="AV106" s="92">
        <f>IF(BF105&lt;0.005,0,MAX(0,BF105*(1+BF$6/12)-BF$7))</f>
        <v/>
      </c>
      <c r="AW106" s="92">
        <f>IF(BG105&lt;0.005,0,MAX(0,BG105*(1+BG$6/12)-BG$7))</f>
        <v/>
      </c>
      <c r="AX106" s="92">
        <f>IF(BH105&lt;0.005,0,MAX(0,BH105*(1+BH$6/12)-BH$7))</f>
        <v/>
      </c>
      <c r="AY106" s="91">
        <f>MAX(0,AO106-MAX(0,BJ106-0))</f>
        <v/>
      </c>
      <c r="AZ106" s="91">
        <f>MAX(0,AP106-MAX(0,BJ106-SUM(AO106:AO106)))</f>
        <v/>
      </c>
      <c r="BA106" s="91">
        <f>MAX(0,AQ106-MAX(0,BJ106-SUM(AO106:AP106)))</f>
        <v/>
      </c>
      <c r="BB106" s="91">
        <f>MAX(0,AR106-MAX(0,BJ106-SUM(AO106:AQ106)))</f>
        <v/>
      </c>
      <c r="BC106" s="91">
        <f>MAX(0,AS106-MAX(0,BJ106-SUM(AO106:AR106)))</f>
        <v/>
      </c>
      <c r="BD106" s="91">
        <f>MAX(0,AT106-MAX(0,BJ106-SUM(AO106:AS106)))</f>
        <v/>
      </c>
      <c r="BE106" s="91">
        <f>MAX(0,AU106-MAX(0,BJ106-SUM(AO106:AT106)))</f>
        <v/>
      </c>
      <c r="BF106" s="91">
        <f>MAX(0,AV106-MAX(0,BJ106-SUM(AO106:AU106)))</f>
        <v/>
      </c>
      <c r="BG106" s="91">
        <f>MAX(0,AW106-MAX(0,BJ106-SUM(AO106:AV106)))</f>
        <v/>
      </c>
      <c r="BH106" s="91">
        <f>MAX(0,AX106-MAX(0,BJ106-SUM(AO106:AW106)))</f>
        <v/>
      </c>
      <c r="BI106" s="92">
        <f>SUM(AY105:BH105)+BK106</f>
        <v/>
      </c>
      <c r="BJ106" s="92">
        <f>$BJ$7-(BI106-SUM(AO106:AX106))</f>
        <v/>
      </c>
      <c r="BK106" s="91">
        <f>SUMPRODUCT(AY105:BH105,$AY$6:$BH$6)/12</f>
        <v/>
      </c>
      <c r="BL106" s="88">
        <f>SUM(AY106:BH106)</f>
        <v/>
      </c>
    </row>
    <row r="107">
      <c r="A107" s="24" t="n">
        <v>97</v>
      </c>
      <c r="B107" s="90">
        <f>DATE(YEAR(Settings!$C$11),MONTH(Settings!$C$11)+A107,1)</f>
        <v/>
      </c>
      <c r="C107" s="91">
        <f>IF(C106&lt;0.005,0,MAX(0,C106*(1+C$6/12)-C$7))</f>
        <v/>
      </c>
      <c r="D107" s="91">
        <f>IF(D106&lt;0.005,0,MAX(0,D106*(1+D$6/12)-D$7))</f>
        <v/>
      </c>
      <c r="E107" s="91">
        <f>IF(E106&lt;0.005,0,MAX(0,E106*(1+E$6/12)-E$7))</f>
        <v/>
      </c>
      <c r="F107" s="91">
        <f>IF(F106&lt;0.005,0,MAX(0,F106*(1+F$6/12)-F$7))</f>
        <v/>
      </c>
      <c r="G107" s="91">
        <f>IF(G106&lt;0.005,0,MAX(0,G106*(1+G$6/12)-G$7))</f>
        <v/>
      </c>
      <c r="H107" s="91">
        <f>IF(H106&lt;0.005,0,MAX(0,H106*(1+H$6/12)-H$7))</f>
        <v/>
      </c>
      <c r="I107" s="91">
        <f>IF(I106&lt;0.005,0,MAX(0,I106*(1+I$6/12)-I$7))</f>
        <v/>
      </c>
      <c r="J107" s="91">
        <f>IF(J106&lt;0.005,0,MAX(0,J106*(1+J$6/12)-J$7))</f>
        <v/>
      </c>
      <c r="K107" s="91">
        <f>IF(K106&lt;0.005,0,MAX(0,K106*(1+K$6/12)-K$7))</f>
        <v/>
      </c>
      <c r="L107" s="91">
        <f>IF(L106&lt;0.005,0,MAX(0,L106*(1+L$6/12)-L$7))</f>
        <v/>
      </c>
      <c r="M107" s="91">
        <f>SUMPRODUCT(C106:L106,$C$6:$L$6)/12</f>
        <v/>
      </c>
      <c r="N107" s="88">
        <f>SUM(C107:L107)</f>
        <v/>
      </c>
      <c r="P107" s="92">
        <f>IF(Z106&lt;0.005,0,MAX(0,Z106*(1+Z$6/12)-Z$7))</f>
        <v/>
      </c>
      <c r="Q107" s="92">
        <f>IF(AA106&lt;0.005,0,MAX(0,AA106*(1+AA$6/12)-AA$7))</f>
        <v/>
      </c>
      <c r="R107" s="92">
        <f>IF(AB106&lt;0.005,0,MAX(0,AB106*(1+AB$6/12)-AB$7))</f>
        <v/>
      </c>
      <c r="S107" s="92">
        <f>IF(AC106&lt;0.005,0,MAX(0,AC106*(1+AC$6/12)-AC$7))</f>
        <v/>
      </c>
      <c r="T107" s="92">
        <f>IF(AD106&lt;0.005,0,MAX(0,AD106*(1+AD$6/12)-AD$7))</f>
        <v/>
      </c>
      <c r="U107" s="92">
        <f>IF(AE106&lt;0.005,0,MAX(0,AE106*(1+AE$6/12)-AE$7))</f>
        <v/>
      </c>
      <c r="V107" s="92">
        <f>IF(AF106&lt;0.005,0,MAX(0,AF106*(1+AF$6/12)-AF$7))</f>
        <v/>
      </c>
      <c r="W107" s="92">
        <f>IF(AG106&lt;0.005,0,MAX(0,AG106*(1+AG$6/12)-AG$7))</f>
        <v/>
      </c>
      <c r="X107" s="92">
        <f>IF(AH106&lt;0.005,0,MAX(0,AH106*(1+AH$6/12)-AH$7))</f>
        <v/>
      </c>
      <c r="Y107" s="92">
        <f>IF(AI106&lt;0.005,0,MAX(0,AI106*(1+AI$6/12)-AI$7))</f>
        <v/>
      </c>
      <c r="Z107" s="91">
        <f>MAX(0,P107-MAX(0,AK107-0))</f>
        <v/>
      </c>
      <c r="AA107" s="91">
        <f>MAX(0,Q107-MAX(0,AK107-SUM(P107:P107)))</f>
        <v/>
      </c>
      <c r="AB107" s="91">
        <f>MAX(0,R107-MAX(0,AK107-SUM(P107:Q107)))</f>
        <v/>
      </c>
      <c r="AC107" s="91">
        <f>MAX(0,S107-MAX(0,AK107-SUM(P107:R107)))</f>
        <v/>
      </c>
      <c r="AD107" s="91">
        <f>MAX(0,T107-MAX(0,AK107-SUM(P107:S107)))</f>
        <v/>
      </c>
      <c r="AE107" s="91">
        <f>MAX(0,U107-MAX(0,AK107-SUM(P107:T107)))</f>
        <v/>
      </c>
      <c r="AF107" s="91">
        <f>MAX(0,V107-MAX(0,AK107-SUM(P107:U107)))</f>
        <v/>
      </c>
      <c r="AG107" s="91">
        <f>MAX(0,W107-MAX(0,AK107-SUM(P107:V107)))</f>
        <v/>
      </c>
      <c r="AH107" s="91">
        <f>MAX(0,X107-MAX(0,AK107-SUM(P107:W107)))</f>
        <v/>
      </c>
      <c r="AI107" s="91">
        <f>MAX(0,Y107-MAX(0,AK107-SUM(P107:X107)))</f>
        <v/>
      </c>
      <c r="AJ107" s="92">
        <f>SUM(Z106:AI106)+AL107</f>
        <v/>
      </c>
      <c r="AK107" s="92">
        <f>$AK$7-(AJ107-SUM(P107:Y107))</f>
        <v/>
      </c>
      <c r="AL107" s="91">
        <f>SUMPRODUCT(Z106:AI106,$Z$6:$AI$6)/12</f>
        <v/>
      </c>
      <c r="AM107" s="88">
        <f>SUM(Z107:AI107)</f>
        <v/>
      </c>
      <c r="AO107" s="92">
        <f>IF(AY106&lt;0.005,0,MAX(0,AY106*(1+AY$6/12)-AY$7))</f>
        <v/>
      </c>
      <c r="AP107" s="92">
        <f>IF(AZ106&lt;0.005,0,MAX(0,AZ106*(1+AZ$6/12)-AZ$7))</f>
        <v/>
      </c>
      <c r="AQ107" s="92">
        <f>IF(BA106&lt;0.005,0,MAX(0,BA106*(1+BA$6/12)-BA$7))</f>
        <v/>
      </c>
      <c r="AR107" s="92">
        <f>IF(BB106&lt;0.005,0,MAX(0,BB106*(1+BB$6/12)-BB$7))</f>
        <v/>
      </c>
      <c r="AS107" s="92">
        <f>IF(BC106&lt;0.005,0,MAX(0,BC106*(1+BC$6/12)-BC$7))</f>
        <v/>
      </c>
      <c r="AT107" s="92">
        <f>IF(BD106&lt;0.005,0,MAX(0,BD106*(1+BD$6/12)-BD$7))</f>
        <v/>
      </c>
      <c r="AU107" s="92">
        <f>IF(BE106&lt;0.005,0,MAX(0,BE106*(1+BE$6/12)-BE$7))</f>
        <v/>
      </c>
      <c r="AV107" s="92">
        <f>IF(BF106&lt;0.005,0,MAX(0,BF106*(1+BF$6/12)-BF$7))</f>
        <v/>
      </c>
      <c r="AW107" s="92">
        <f>IF(BG106&lt;0.005,0,MAX(0,BG106*(1+BG$6/12)-BG$7))</f>
        <v/>
      </c>
      <c r="AX107" s="92">
        <f>IF(BH106&lt;0.005,0,MAX(0,BH106*(1+BH$6/12)-BH$7))</f>
        <v/>
      </c>
      <c r="AY107" s="91">
        <f>MAX(0,AO107-MAX(0,BJ107-0))</f>
        <v/>
      </c>
      <c r="AZ107" s="91">
        <f>MAX(0,AP107-MAX(0,BJ107-SUM(AO107:AO107)))</f>
        <v/>
      </c>
      <c r="BA107" s="91">
        <f>MAX(0,AQ107-MAX(0,BJ107-SUM(AO107:AP107)))</f>
        <v/>
      </c>
      <c r="BB107" s="91">
        <f>MAX(0,AR107-MAX(0,BJ107-SUM(AO107:AQ107)))</f>
        <v/>
      </c>
      <c r="BC107" s="91">
        <f>MAX(0,AS107-MAX(0,BJ107-SUM(AO107:AR107)))</f>
        <v/>
      </c>
      <c r="BD107" s="91">
        <f>MAX(0,AT107-MAX(0,BJ107-SUM(AO107:AS107)))</f>
        <v/>
      </c>
      <c r="BE107" s="91">
        <f>MAX(0,AU107-MAX(0,BJ107-SUM(AO107:AT107)))</f>
        <v/>
      </c>
      <c r="BF107" s="91">
        <f>MAX(0,AV107-MAX(0,BJ107-SUM(AO107:AU107)))</f>
        <v/>
      </c>
      <c r="BG107" s="91">
        <f>MAX(0,AW107-MAX(0,BJ107-SUM(AO107:AV107)))</f>
        <v/>
      </c>
      <c r="BH107" s="91">
        <f>MAX(0,AX107-MAX(0,BJ107-SUM(AO107:AW107)))</f>
        <v/>
      </c>
      <c r="BI107" s="92">
        <f>SUM(AY106:BH106)+BK107</f>
        <v/>
      </c>
      <c r="BJ107" s="92">
        <f>$BJ$7-(BI107-SUM(AO107:AX107))</f>
        <v/>
      </c>
      <c r="BK107" s="91">
        <f>SUMPRODUCT(AY106:BH106,$AY$6:$BH$6)/12</f>
        <v/>
      </c>
      <c r="BL107" s="88">
        <f>SUM(AY107:BH107)</f>
        <v/>
      </c>
    </row>
    <row r="108">
      <c r="A108" s="24" t="n">
        <v>98</v>
      </c>
      <c r="B108" s="90">
        <f>DATE(YEAR(Settings!$C$11),MONTH(Settings!$C$11)+A108,1)</f>
        <v/>
      </c>
      <c r="C108" s="91">
        <f>IF(C107&lt;0.005,0,MAX(0,C107*(1+C$6/12)-C$7))</f>
        <v/>
      </c>
      <c r="D108" s="91">
        <f>IF(D107&lt;0.005,0,MAX(0,D107*(1+D$6/12)-D$7))</f>
        <v/>
      </c>
      <c r="E108" s="91">
        <f>IF(E107&lt;0.005,0,MAX(0,E107*(1+E$6/12)-E$7))</f>
        <v/>
      </c>
      <c r="F108" s="91">
        <f>IF(F107&lt;0.005,0,MAX(0,F107*(1+F$6/12)-F$7))</f>
        <v/>
      </c>
      <c r="G108" s="91">
        <f>IF(G107&lt;0.005,0,MAX(0,G107*(1+G$6/12)-G$7))</f>
        <v/>
      </c>
      <c r="H108" s="91">
        <f>IF(H107&lt;0.005,0,MAX(0,H107*(1+H$6/12)-H$7))</f>
        <v/>
      </c>
      <c r="I108" s="91">
        <f>IF(I107&lt;0.005,0,MAX(0,I107*(1+I$6/12)-I$7))</f>
        <v/>
      </c>
      <c r="J108" s="91">
        <f>IF(J107&lt;0.005,0,MAX(0,J107*(1+J$6/12)-J$7))</f>
        <v/>
      </c>
      <c r="K108" s="91">
        <f>IF(K107&lt;0.005,0,MAX(0,K107*(1+K$6/12)-K$7))</f>
        <v/>
      </c>
      <c r="L108" s="91">
        <f>IF(L107&lt;0.005,0,MAX(0,L107*(1+L$6/12)-L$7))</f>
        <v/>
      </c>
      <c r="M108" s="91">
        <f>SUMPRODUCT(C107:L107,$C$6:$L$6)/12</f>
        <v/>
      </c>
      <c r="N108" s="88">
        <f>SUM(C108:L108)</f>
        <v/>
      </c>
      <c r="P108" s="92">
        <f>IF(Z107&lt;0.005,0,MAX(0,Z107*(1+Z$6/12)-Z$7))</f>
        <v/>
      </c>
      <c r="Q108" s="92">
        <f>IF(AA107&lt;0.005,0,MAX(0,AA107*(1+AA$6/12)-AA$7))</f>
        <v/>
      </c>
      <c r="R108" s="92">
        <f>IF(AB107&lt;0.005,0,MAX(0,AB107*(1+AB$6/12)-AB$7))</f>
        <v/>
      </c>
      <c r="S108" s="92">
        <f>IF(AC107&lt;0.005,0,MAX(0,AC107*(1+AC$6/12)-AC$7))</f>
        <v/>
      </c>
      <c r="T108" s="92">
        <f>IF(AD107&lt;0.005,0,MAX(0,AD107*(1+AD$6/12)-AD$7))</f>
        <v/>
      </c>
      <c r="U108" s="92">
        <f>IF(AE107&lt;0.005,0,MAX(0,AE107*(1+AE$6/12)-AE$7))</f>
        <v/>
      </c>
      <c r="V108" s="92">
        <f>IF(AF107&lt;0.005,0,MAX(0,AF107*(1+AF$6/12)-AF$7))</f>
        <v/>
      </c>
      <c r="W108" s="92">
        <f>IF(AG107&lt;0.005,0,MAX(0,AG107*(1+AG$6/12)-AG$7))</f>
        <v/>
      </c>
      <c r="X108" s="92">
        <f>IF(AH107&lt;0.005,0,MAX(0,AH107*(1+AH$6/12)-AH$7))</f>
        <v/>
      </c>
      <c r="Y108" s="92">
        <f>IF(AI107&lt;0.005,0,MAX(0,AI107*(1+AI$6/12)-AI$7))</f>
        <v/>
      </c>
      <c r="Z108" s="91">
        <f>MAX(0,P108-MAX(0,AK108-0))</f>
        <v/>
      </c>
      <c r="AA108" s="91">
        <f>MAX(0,Q108-MAX(0,AK108-SUM(P108:P108)))</f>
        <v/>
      </c>
      <c r="AB108" s="91">
        <f>MAX(0,R108-MAX(0,AK108-SUM(P108:Q108)))</f>
        <v/>
      </c>
      <c r="AC108" s="91">
        <f>MAX(0,S108-MAX(0,AK108-SUM(P108:R108)))</f>
        <v/>
      </c>
      <c r="AD108" s="91">
        <f>MAX(0,T108-MAX(0,AK108-SUM(P108:S108)))</f>
        <v/>
      </c>
      <c r="AE108" s="91">
        <f>MAX(0,U108-MAX(0,AK108-SUM(P108:T108)))</f>
        <v/>
      </c>
      <c r="AF108" s="91">
        <f>MAX(0,V108-MAX(0,AK108-SUM(P108:U108)))</f>
        <v/>
      </c>
      <c r="AG108" s="91">
        <f>MAX(0,W108-MAX(0,AK108-SUM(P108:V108)))</f>
        <v/>
      </c>
      <c r="AH108" s="91">
        <f>MAX(0,X108-MAX(0,AK108-SUM(P108:W108)))</f>
        <v/>
      </c>
      <c r="AI108" s="91">
        <f>MAX(0,Y108-MAX(0,AK108-SUM(P108:X108)))</f>
        <v/>
      </c>
      <c r="AJ108" s="92">
        <f>SUM(Z107:AI107)+AL108</f>
        <v/>
      </c>
      <c r="AK108" s="92">
        <f>$AK$7-(AJ108-SUM(P108:Y108))</f>
        <v/>
      </c>
      <c r="AL108" s="91">
        <f>SUMPRODUCT(Z107:AI107,$Z$6:$AI$6)/12</f>
        <v/>
      </c>
      <c r="AM108" s="88">
        <f>SUM(Z108:AI108)</f>
        <v/>
      </c>
      <c r="AO108" s="92">
        <f>IF(AY107&lt;0.005,0,MAX(0,AY107*(1+AY$6/12)-AY$7))</f>
        <v/>
      </c>
      <c r="AP108" s="92">
        <f>IF(AZ107&lt;0.005,0,MAX(0,AZ107*(1+AZ$6/12)-AZ$7))</f>
        <v/>
      </c>
      <c r="AQ108" s="92">
        <f>IF(BA107&lt;0.005,0,MAX(0,BA107*(1+BA$6/12)-BA$7))</f>
        <v/>
      </c>
      <c r="AR108" s="92">
        <f>IF(BB107&lt;0.005,0,MAX(0,BB107*(1+BB$6/12)-BB$7))</f>
        <v/>
      </c>
      <c r="AS108" s="92">
        <f>IF(BC107&lt;0.005,0,MAX(0,BC107*(1+BC$6/12)-BC$7))</f>
        <v/>
      </c>
      <c r="AT108" s="92">
        <f>IF(BD107&lt;0.005,0,MAX(0,BD107*(1+BD$6/12)-BD$7))</f>
        <v/>
      </c>
      <c r="AU108" s="92">
        <f>IF(BE107&lt;0.005,0,MAX(0,BE107*(1+BE$6/12)-BE$7))</f>
        <v/>
      </c>
      <c r="AV108" s="92">
        <f>IF(BF107&lt;0.005,0,MAX(0,BF107*(1+BF$6/12)-BF$7))</f>
        <v/>
      </c>
      <c r="AW108" s="92">
        <f>IF(BG107&lt;0.005,0,MAX(0,BG107*(1+BG$6/12)-BG$7))</f>
        <v/>
      </c>
      <c r="AX108" s="92">
        <f>IF(BH107&lt;0.005,0,MAX(0,BH107*(1+BH$6/12)-BH$7))</f>
        <v/>
      </c>
      <c r="AY108" s="91">
        <f>MAX(0,AO108-MAX(0,BJ108-0))</f>
        <v/>
      </c>
      <c r="AZ108" s="91">
        <f>MAX(0,AP108-MAX(0,BJ108-SUM(AO108:AO108)))</f>
        <v/>
      </c>
      <c r="BA108" s="91">
        <f>MAX(0,AQ108-MAX(0,BJ108-SUM(AO108:AP108)))</f>
        <v/>
      </c>
      <c r="BB108" s="91">
        <f>MAX(0,AR108-MAX(0,BJ108-SUM(AO108:AQ108)))</f>
        <v/>
      </c>
      <c r="BC108" s="91">
        <f>MAX(0,AS108-MAX(0,BJ108-SUM(AO108:AR108)))</f>
        <v/>
      </c>
      <c r="BD108" s="91">
        <f>MAX(0,AT108-MAX(0,BJ108-SUM(AO108:AS108)))</f>
        <v/>
      </c>
      <c r="BE108" s="91">
        <f>MAX(0,AU108-MAX(0,BJ108-SUM(AO108:AT108)))</f>
        <v/>
      </c>
      <c r="BF108" s="91">
        <f>MAX(0,AV108-MAX(0,BJ108-SUM(AO108:AU108)))</f>
        <v/>
      </c>
      <c r="BG108" s="91">
        <f>MAX(0,AW108-MAX(0,BJ108-SUM(AO108:AV108)))</f>
        <v/>
      </c>
      <c r="BH108" s="91">
        <f>MAX(0,AX108-MAX(0,BJ108-SUM(AO108:AW108)))</f>
        <v/>
      </c>
      <c r="BI108" s="92">
        <f>SUM(AY107:BH107)+BK108</f>
        <v/>
      </c>
      <c r="BJ108" s="92">
        <f>$BJ$7-(BI108-SUM(AO108:AX108))</f>
        <v/>
      </c>
      <c r="BK108" s="91">
        <f>SUMPRODUCT(AY107:BH107,$AY$6:$BH$6)/12</f>
        <v/>
      </c>
      <c r="BL108" s="88">
        <f>SUM(AY108:BH108)</f>
        <v/>
      </c>
    </row>
    <row r="109">
      <c r="A109" s="24" t="n">
        <v>99</v>
      </c>
      <c r="B109" s="90">
        <f>DATE(YEAR(Settings!$C$11),MONTH(Settings!$C$11)+A109,1)</f>
        <v/>
      </c>
      <c r="C109" s="91">
        <f>IF(C108&lt;0.005,0,MAX(0,C108*(1+C$6/12)-C$7))</f>
        <v/>
      </c>
      <c r="D109" s="91">
        <f>IF(D108&lt;0.005,0,MAX(0,D108*(1+D$6/12)-D$7))</f>
        <v/>
      </c>
      <c r="E109" s="91">
        <f>IF(E108&lt;0.005,0,MAX(0,E108*(1+E$6/12)-E$7))</f>
        <v/>
      </c>
      <c r="F109" s="91">
        <f>IF(F108&lt;0.005,0,MAX(0,F108*(1+F$6/12)-F$7))</f>
        <v/>
      </c>
      <c r="G109" s="91">
        <f>IF(G108&lt;0.005,0,MAX(0,G108*(1+G$6/12)-G$7))</f>
        <v/>
      </c>
      <c r="H109" s="91">
        <f>IF(H108&lt;0.005,0,MAX(0,H108*(1+H$6/12)-H$7))</f>
        <v/>
      </c>
      <c r="I109" s="91">
        <f>IF(I108&lt;0.005,0,MAX(0,I108*(1+I$6/12)-I$7))</f>
        <v/>
      </c>
      <c r="J109" s="91">
        <f>IF(J108&lt;0.005,0,MAX(0,J108*(1+J$6/12)-J$7))</f>
        <v/>
      </c>
      <c r="K109" s="91">
        <f>IF(K108&lt;0.005,0,MAX(0,K108*(1+K$6/12)-K$7))</f>
        <v/>
      </c>
      <c r="L109" s="91">
        <f>IF(L108&lt;0.005,0,MAX(0,L108*(1+L$6/12)-L$7))</f>
        <v/>
      </c>
      <c r="M109" s="91">
        <f>SUMPRODUCT(C108:L108,$C$6:$L$6)/12</f>
        <v/>
      </c>
      <c r="N109" s="88">
        <f>SUM(C109:L109)</f>
        <v/>
      </c>
      <c r="P109" s="92">
        <f>IF(Z108&lt;0.005,0,MAX(0,Z108*(1+Z$6/12)-Z$7))</f>
        <v/>
      </c>
      <c r="Q109" s="92">
        <f>IF(AA108&lt;0.005,0,MAX(0,AA108*(1+AA$6/12)-AA$7))</f>
        <v/>
      </c>
      <c r="R109" s="92">
        <f>IF(AB108&lt;0.005,0,MAX(0,AB108*(1+AB$6/12)-AB$7))</f>
        <v/>
      </c>
      <c r="S109" s="92">
        <f>IF(AC108&lt;0.005,0,MAX(0,AC108*(1+AC$6/12)-AC$7))</f>
        <v/>
      </c>
      <c r="T109" s="92">
        <f>IF(AD108&lt;0.005,0,MAX(0,AD108*(1+AD$6/12)-AD$7))</f>
        <v/>
      </c>
      <c r="U109" s="92">
        <f>IF(AE108&lt;0.005,0,MAX(0,AE108*(1+AE$6/12)-AE$7))</f>
        <v/>
      </c>
      <c r="V109" s="92">
        <f>IF(AF108&lt;0.005,0,MAX(0,AF108*(1+AF$6/12)-AF$7))</f>
        <v/>
      </c>
      <c r="W109" s="92">
        <f>IF(AG108&lt;0.005,0,MAX(0,AG108*(1+AG$6/12)-AG$7))</f>
        <v/>
      </c>
      <c r="X109" s="92">
        <f>IF(AH108&lt;0.005,0,MAX(0,AH108*(1+AH$6/12)-AH$7))</f>
        <v/>
      </c>
      <c r="Y109" s="92">
        <f>IF(AI108&lt;0.005,0,MAX(0,AI108*(1+AI$6/12)-AI$7))</f>
        <v/>
      </c>
      <c r="Z109" s="91">
        <f>MAX(0,P109-MAX(0,AK109-0))</f>
        <v/>
      </c>
      <c r="AA109" s="91">
        <f>MAX(0,Q109-MAX(0,AK109-SUM(P109:P109)))</f>
        <v/>
      </c>
      <c r="AB109" s="91">
        <f>MAX(0,R109-MAX(0,AK109-SUM(P109:Q109)))</f>
        <v/>
      </c>
      <c r="AC109" s="91">
        <f>MAX(0,S109-MAX(0,AK109-SUM(P109:R109)))</f>
        <v/>
      </c>
      <c r="AD109" s="91">
        <f>MAX(0,T109-MAX(0,AK109-SUM(P109:S109)))</f>
        <v/>
      </c>
      <c r="AE109" s="91">
        <f>MAX(0,U109-MAX(0,AK109-SUM(P109:T109)))</f>
        <v/>
      </c>
      <c r="AF109" s="91">
        <f>MAX(0,V109-MAX(0,AK109-SUM(P109:U109)))</f>
        <v/>
      </c>
      <c r="AG109" s="91">
        <f>MAX(0,W109-MAX(0,AK109-SUM(P109:V109)))</f>
        <v/>
      </c>
      <c r="AH109" s="91">
        <f>MAX(0,X109-MAX(0,AK109-SUM(P109:W109)))</f>
        <v/>
      </c>
      <c r="AI109" s="91">
        <f>MAX(0,Y109-MAX(0,AK109-SUM(P109:X109)))</f>
        <v/>
      </c>
      <c r="AJ109" s="92">
        <f>SUM(Z108:AI108)+AL109</f>
        <v/>
      </c>
      <c r="AK109" s="92">
        <f>$AK$7-(AJ109-SUM(P109:Y109))</f>
        <v/>
      </c>
      <c r="AL109" s="91">
        <f>SUMPRODUCT(Z108:AI108,$Z$6:$AI$6)/12</f>
        <v/>
      </c>
      <c r="AM109" s="88">
        <f>SUM(Z109:AI109)</f>
        <v/>
      </c>
      <c r="AO109" s="92">
        <f>IF(AY108&lt;0.005,0,MAX(0,AY108*(1+AY$6/12)-AY$7))</f>
        <v/>
      </c>
      <c r="AP109" s="92">
        <f>IF(AZ108&lt;0.005,0,MAX(0,AZ108*(1+AZ$6/12)-AZ$7))</f>
        <v/>
      </c>
      <c r="AQ109" s="92">
        <f>IF(BA108&lt;0.005,0,MAX(0,BA108*(1+BA$6/12)-BA$7))</f>
        <v/>
      </c>
      <c r="AR109" s="92">
        <f>IF(BB108&lt;0.005,0,MAX(0,BB108*(1+BB$6/12)-BB$7))</f>
        <v/>
      </c>
      <c r="AS109" s="92">
        <f>IF(BC108&lt;0.005,0,MAX(0,BC108*(1+BC$6/12)-BC$7))</f>
        <v/>
      </c>
      <c r="AT109" s="92">
        <f>IF(BD108&lt;0.005,0,MAX(0,BD108*(1+BD$6/12)-BD$7))</f>
        <v/>
      </c>
      <c r="AU109" s="92">
        <f>IF(BE108&lt;0.005,0,MAX(0,BE108*(1+BE$6/12)-BE$7))</f>
        <v/>
      </c>
      <c r="AV109" s="92">
        <f>IF(BF108&lt;0.005,0,MAX(0,BF108*(1+BF$6/12)-BF$7))</f>
        <v/>
      </c>
      <c r="AW109" s="92">
        <f>IF(BG108&lt;0.005,0,MAX(0,BG108*(1+BG$6/12)-BG$7))</f>
        <v/>
      </c>
      <c r="AX109" s="92">
        <f>IF(BH108&lt;0.005,0,MAX(0,BH108*(1+BH$6/12)-BH$7))</f>
        <v/>
      </c>
      <c r="AY109" s="91">
        <f>MAX(0,AO109-MAX(0,BJ109-0))</f>
        <v/>
      </c>
      <c r="AZ109" s="91">
        <f>MAX(0,AP109-MAX(0,BJ109-SUM(AO109:AO109)))</f>
        <v/>
      </c>
      <c r="BA109" s="91">
        <f>MAX(0,AQ109-MAX(0,BJ109-SUM(AO109:AP109)))</f>
        <v/>
      </c>
      <c r="BB109" s="91">
        <f>MAX(0,AR109-MAX(0,BJ109-SUM(AO109:AQ109)))</f>
        <v/>
      </c>
      <c r="BC109" s="91">
        <f>MAX(0,AS109-MAX(0,BJ109-SUM(AO109:AR109)))</f>
        <v/>
      </c>
      <c r="BD109" s="91">
        <f>MAX(0,AT109-MAX(0,BJ109-SUM(AO109:AS109)))</f>
        <v/>
      </c>
      <c r="BE109" s="91">
        <f>MAX(0,AU109-MAX(0,BJ109-SUM(AO109:AT109)))</f>
        <v/>
      </c>
      <c r="BF109" s="91">
        <f>MAX(0,AV109-MAX(0,BJ109-SUM(AO109:AU109)))</f>
        <v/>
      </c>
      <c r="BG109" s="91">
        <f>MAX(0,AW109-MAX(0,BJ109-SUM(AO109:AV109)))</f>
        <v/>
      </c>
      <c r="BH109" s="91">
        <f>MAX(0,AX109-MAX(0,BJ109-SUM(AO109:AW109)))</f>
        <v/>
      </c>
      <c r="BI109" s="92">
        <f>SUM(AY108:BH108)+BK109</f>
        <v/>
      </c>
      <c r="BJ109" s="92">
        <f>$BJ$7-(BI109-SUM(AO109:AX109))</f>
        <v/>
      </c>
      <c r="BK109" s="91">
        <f>SUMPRODUCT(AY108:BH108,$AY$6:$BH$6)/12</f>
        <v/>
      </c>
      <c r="BL109" s="88">
        <f>SUM(AY109:BH109)</f>
        <v/>
      </c>
    </row>
    <row r="110">
      <c r="A110" s="24" t="n">
        <v>100</v>
      </c>
      <c r="B110" s="90">
        <f>DATE(YEAR(Settings!$C$11),MONTH(Settings!$C$11)+A110,1)</f>
        <v/>
      </c>
      <c r="C110" s="91">
        <f>IF(C109&lt;0.005,0,MAX(0,C109*(1+C$6/12)-C$7))</f>
        <v/>
      </c>
      <c r="D110" s="91">
        <f>IF(D109&lt;0.005,0,MAX(0,D109*(1+D$6/12)-D$7))</f>
        <v/>
      </c>
      <c r="E110" s="91">
        <f>IF(E109&lt;0.005,0,MAX(0,E109*(1+E$6/12)-E$7))</f>
        <v/>
      </c>
      <c r="F110" s="91">
        <f>IF(F109&lt;0.005,0,MAX(0,F109*(1+F$6/12)-F$7))</f>
        <v/>
      </c>
      <c r="G110" s="91">
        <f>IF(G109&lt;0.005,0,MAX(0,G109*(1+G$6/12)-G$7))</f>
        <v/>
      </c>
      <c r="H110" s="91">
        <f>IF(H109&lt;0.005,0,MAX(0,H109*(1+H$6/12)-H$7))</f>
        <v/>
      </c>
      <c r="I110" s="91">
        <f>IF(I109&lt;0.005,0,MAX(0,I109*(1+I$6/12)-I$7))</f>
        <v/>
      </c>
      <c r="J110" s="91">
        <f>IF(J109&lt;0.005,0,MAX(0,J109*(1+J$6/12)-J$7))</f>
        <v/>
      </c>
      <c r="K110" s="91">
        <f>IF(K109&lt;0.005,0,MAX(0,K109*(1+K$6/12)-K$7))</f>
        <v/>
      </c>
      <c r="L110" s="91">
        <f>IF(L109&lt;0.005,0,MAX(0,L109*(1+L$6/12)-L$7))</f>
        <v/>
      </c>
      <c r="M110" s="91">
        <f>SUMPRODUCT(C109:L109,$C$6:$L$6)/12</f>
        <v/>
      </c>
      <c r="N110" s="88">
        <f>SUM(C110:L110)</f>
        <v/>
      </c>
      <c r="P110" s="92">
        <f>IF(Z109&lt;0.005,0,MAX(0,Z109*(1+Z$6/12)-Z$7))</f>
        <v/>
      </c>
      <c r="Q110" s="92">
        <f>IF(AA109&lt;0.005,0,MAX(0,AA109*(1+AA$6/12)-AA$7))</f>
        <v/>
      </c>
      <c r="R110" s="92">
        <f>IF(AB109&lt;0.005,0,MAX(0,AB109*(1+AB$6/12)-AB$7))</f>
        <v/>
      </c>
      <c r="S110" s="92">
        <f>IF(AC109&lt;0.005,0,MAX(0,AC109*(1+AC$6/12)-AC$7))</f>
        <v/>
      </c>
      <c r="T110" s="92">
        <f>IF(AD109&lt;0.005,0,MAX(0,AD109*(1+AD$6/12)-AD$7))</f>
        <v/>
      </c>
      <c r="U110" s="92">
        <f>IF(AE109&lt;0.005,0,MAX(0,AE109*(1+AE$6/12)-AE$7))</f>
        <v/>
      </c>
      <c r="V110" s="92">
        <f>IF(AF109&lt;0.005,0,MAX(0,AF109*(1+AF$6/12)-AF$7))</f>
        <v/>
      </c>
      <c r="W110" s="92">
        <f>IF(AG109&lt;0.005,0,MAX(0,AG109*(1+AG$6/12)-AG$7))</f>
        <v/>
      </c>
      <c r="X110" s="92">
        <f>IF(AH109&lt;0.005,0,MAX(0,AH109*(1+AH$6/12)-AH$7))</f>
        <v/>
      </c>
      <c r="Y110" s="92">
        <f>IF(AI109&lt;0.005,0,MAX(0,AI109*(1+AI$6/12)-AI$7))</f>
        <v/>
      </c>
      <c r="Z110" s="91">
        <f>MAX(0,P110-MAX(0,AK110-0))</f>
        <v/>
      </c>
      <c r="AA110" s="91">
        <f>MAX(0,Q110-MAX(0,AK110-SUM(P110:P110)))</f>
        <v/>
      </c>
      <c r="AB110" s="91">
        <f>MAX(0,R110-MAX(0,AK110-SUM(P110:Q110)))</f>
        <v/>
      </c>
      <c r="AC110" s="91">
        <f>MAX(0,S110-MAX(0,AK110-SUM(P110:R110)))</f>
        <v/>
      </c>
      <c r="AD110" s="91">
        <f>MAX(0,T110-MAX(0,AK110-SUM(P110:S110)))</f>
        <v/>
      </c>
      <c r="AE110" s="91">
        <f>MAX(0,U110-MAX(0,AK110-SUM(P110:T110)))</f>
        <v/>
      </c>
      <c r="AF110" s="91">
        <f>MAX(0,V110-MAX(0,AK110-SUM(P110:U110)))</f>
        <v/>
      </c>
      <c r="AG110" s="91">
        <f>MAX(0,W110-MAX(0,AK110-SUM(P110:V110)))</f>
        <v/>
      </c>
      <c r="AH110" s="91">
        <f>MAX(0,X110-MAX(0,AK110-SUM(P110:W110)))</f>
        <v/>
      </c>
      <c r="AI110" s="91">
        <f>MAX(0,Y110-MAX(0,AK110-SUM(P110:X110)))</f>
        <v/>
      </c>
      <c r="AJ110" s="92">
        <f>SUM(Z109:AI109)+AL110</f>
        <v/>
      </c>
      <c r="AK110" s="92">
        <f>$AK$7-(AJ110-SUM(P110:Y110))</f>
        <v/>
      </c>
      <c r="AL110" s="91">
        <f>SUMPRODUCT(Z109:AI109,$Z$6:$AI$6)/12</f>
        <v/>
      </c>
      <c r="AM110" s="88">
        <f>SUM(Z110:AI110)</f>
        <v/>
      </c>
      <c r="AO110" s="92">
        <f>IF(AY109&lt;0.005,0,MAX(0,AY109*(1+AY$6/12)-AY$7))</f>
        <v/>
      </c>
      <c r="AP110" s="92">
        <f>IF(AZ109&lt;0.005,0,MAX(0,AZ109*(1+AZ$6/12)-AZ$7))</f>
        <v/>
      </c>
      <c r="AQ110" s="92">
        <f>IF(BA109&lt;0.005,0,MAX(0,BA109*(1+BA$6/12)-BA$7))</f>
        <v/>
      </c>
      <c r="AR110" s="92">
        <f>IF(BB109&lt;0.005,0,MAX(0,BB109*(1+BB$6/12)-BB$7))</f>
        <v/>
      </c>
      <c r="AS110" s="92">
        <f>IF(BC109&lt;0.005,0,MAX(0,BC109*(1+BC$6/12)-BC$7))</f>
        <v/>
      </c>
      <c r="AT110" s="92">
        <f>IF(BD109&lt;0.005,0,MAX(0,BD109*(1+BD$6/12)-BD$7))</f>
        <v/>
      </c>
      <c r="AU110" s="92">
        <f>IF(BE109&lt;0.005,0,MAX(0,BE109*(1+BE$6/12)-BE$7))</f>
        <v/>
      </c>
      <c r="AV110" s="92">
        <f>IF(BF109&lt;0.005,0,MAX(0,BF109*(1+BF$6/12)-BF$7))</f>
        <v/>
      </c>
      <c r="AW110" s="92">
        <f>IF(BG109&lt;0.005,0,MAX(0,BG109*(1+BG$6/12)-BG$7))</f>
        <v/>
      </c>
      <c r="AX110" s="92">
        <f>IF(BH109&lt;0.005,0,MAX(0,BH109*(1+BH$6/12)-BH$7))</f>
        <v/>
      </c>
      <c r="AY110" s="91">
        <f>MAX(0,AO110-MAX(0,BJ110-0))</f>
        <v/>
      </c>
      <c r="AZ110" s="91">
        <f>MAX(0,AP110-MAX(0,BJ110-SUM(AO110:AO110)))</f>
        <v/>
      </c>
      <c r="BA110" s="91">
        <f>MAX(0,AQ110-MAX(0,BJ110-SUM(AO110:AP110)))</f>
        <v/>
      </c>
      <c r="BB110" s="91">
        <f>MAX(0,AR110-MAX(0,BJ110-SUM(AO110:AQ110)))</f>
        <v/>
      </c>
      <c r="BC110" s="91">
        <f>MAX(0,AS110-MAX(0,BJ110-SUM(AO110:AR110)))</f>
        <v/>
      </c>
      <c r="BD110" s="91">
        <f>MAX(0,AT110-MAX(0,BJ110-SUM(AO110:AS110)))</f>
        <v/>
      </c>
      <c r="BE110" s="91">
        <f>MAX(0,AU110-MAX(0,BJ110-SUM(AO110:AT110)))</f>
        <v/>
      </c>
      <c r="BF110" s="91">
        <f>MAX(0,AV110-MAX(0,BJ110-SUM(AO110:AU110)))</f>
        <v/>
      </c>
      <c r="BG110" s="91">
        <f>MAX(0,AW110-MAX(0,BJ110-SUM(AO110:AV110)))</f>
        <v/>
      </c>
      <c r="BH110" s="91">
        <f>MAX(0,AX110-MAX(0,BJ110-SUM(AO110:AW110)))</f>
        <v/>
      </c>
      <c r="BI110" s="92">
        <f>SUM(AY109:BH109)+BK110</f>
        <v/>
      </c>
      <c r="BJ110" s="92">
        <f>$BJ$7-(BI110-SUM(AO110:AX110))</f>
        <v/>
      </c>
      <c r="BK110" s="91">
        <f>SUMPRODUCT(AY109:BH109,$AY$6:$BH$6)/12</f>
        <v/>
      </c>
      <c r="BL110" s="88">
        <f>SUM(AY110:BH110)</f>
        <v/>
      </c>
    </row>
    <row r="111">
      <c r="A111" s="24" t="n">
        <v>101</v>
      </c>
      <c r="B111" s="90">
        <f>DATE(YEAR(Settings!$C$11),MONTH(Settings!$C$11)+A111,1)</f>
        <v/>
      </c>
      <c r="C111" s="91">
        <f>IF(C110&lt;0.005,0,MAX(0,C110*(1+C$6/12)-C$7))</f>
        <v/>
      </c>
      <c r="D111" s="91">
        <f>IF(D110&lt;0.005,0,MAX(0,D110*(1+D$6/12)-D$7))</f>
        <v/>
      </c>
      <c r="E111" s="91">
        <f>IF(E110&lt;0.005,0,MAX(0,E110*(1+E$6/12)-E$7))</f>
        <v/>
      </c>
      <c r="F111" s="91">
        <f>IF(F110&lt;0.005,0,MAX(0,F110*(1+F$6/12)-F$7))</f>
        <v/>
      </c>
      <c r="G111" s="91">
        <f>IF(G110&lt;0.005,0,MAX(0,G110*(1+G$6/12)-G$7))</f>
        <v/>
      </c>
      <c r="H111" s="91">
        <f>IF(H110&lt;0.005,0,MAX(0,H110*(1+H$6/12)-H$7))</f>
        <v/>
      </c>
      <c r="I111" s="91">
        <f>IF(I110&lt;0.005,0,MAX(0,I110*(1+I$6/12)-I$7))</f>
        <v/>
      </c>
      <c r="J111" s="91">
        <f>IF(J110&lt;0.005,0,MAX(0,J110*(1+J$6/12)-J$7))</f>
        <v/>
      </c>
      <c r="K111" s="91">
        <f>IF(K110&lt;0.005,0,MAX(0,K110*(1+K$6/12)-K$7))</f>
        <v/>
      </c>
      <c r="L111" s="91">
        <f>IF(L110&lt;0.005,0,MAX(0,L110*(1+L$6/12)-L$7))</f>
        <v/>
      </c>
      <c r="M111" s="91">
        <f>SUMPRODUCT(C110:L110,$C$6:$L$6)/12</f>
        <v/>
      </c>
      <c r="N111" s="88">
        <f>SUM(C111:L111)</f>
        <v/>
      </c>
      <c r="P111" s="92">
        <f>IF(Z110&lt;0.005,0,MAX(0,Z110*(1+Z$6/12)-Z$7))</f>
        <v/>
      </c>
      <c r="Q111" s="92">
        <f>IF(AA110&lt;0.005,0,MAX(0,AA110*(1+AA$6/12)-AA$7))</f>
        <v/>
      </c>
      <c r="R111" s="92">
        <f>IF(AB110&lt;0.005,0,MAX(0,AB110*(1+AB$6/12)-AB$7))</f>
        <v/>
      </c>
      <c r="S111" s="92">
        <f>IF(AC110&lt;0.005,0,MAX(0,AC110*(1+AC$6/12)-AC$7))</f>
        <v/>
      </c>
      <c r="T111" s="92">
        <f>IF(AD110&lt;0.005,0,MAX(0,AD110*(1+AD$6/12)-AD$7))</f>
        <v/>
      </c>
      <c r="U111" s="92">
        <f>IF(AE110&lt;0.005,0,MAX(0,AE110*(1+AE$6/12)-AE$7))</f>
        <v/>
      </c>
      <c r="V111" s="92">
        <f>IF(AF110&lt;0.005,0,MAX(0,AF110*(1+AF$6/12)-AF$7))</f>
        <v/>
      </c>
      <c r="W111" s="92">
        <f>IF(AG110&lt;0.005,0,MAX(0,AG110*(1+AG$6/12)-AG$7))</f>
        <v/>
      </c>
      <c r="X111" s="92">
        <f>IF(AH110&lt;0.005,0,MAX(0,AH110*(1+AH$6/12)-AH$7))</f>
        <v/>
      </c>
      <c r="Y111" s="92">
        <f>IF(AI110&lt;0.005,0,MAX(0,AI110*(1+AI$6/12)-AI$7))</f>
        <v/>
      </c>
      <c r="Z111" s="91">
        <f>MAX(0,P111-MAX(0,AK111-0))</f>
        <v/>
      </c>
      <c r="AA111" s="91">
        <f>MAX(0,Q111-MAX(0,AK111-SUM(P111:P111)))</f>
        <v/>
      </c>
      <c r="AB111" s="91">
        <f>MAX(0,R111-MAX(0,AK111-SUM(P111:Q111)))</f>
        <v/>
      </c>
      <c r="AC111" s="91">
        <f>MAX(0,S111-MAX(0,AK111-SUM(P111:R111)))</f>
        <v/>
      </c>
      <c r="AD111" s="91">
        <f>MAX(0,T111-MAX(0,AK111-SUM(P111:S111)))</f>
        <v/>
      </c>
      <c r="AE111" s="91">
        <f>MAX(0,U111-MAX(0,AK111-SUM(P111:T111)))</f>
        <v/>
      </c>
      <c r="AF111" s="91">
        <f>MAX(0,V111-MAX(0,AK111-SUM(P111:U111)))</f>
        <v/>
      </c>
      <c r="AG111" s="91">
        <f>MAX(0,W111-MAX(0,AK111-SUM(P111:V111)))</f>
        <v/>
      </c>
      <c r="AH111" s="91">
        <f>MAX(0,X111-MAX(0,AK111-SUM(P111:W111)))</f>
        <v/>
      </c>
      <c r="AI111" s="91">
        <f>MAX(0,Y111-MAX(0,AK111-SUM(P111:X111)))</f>
        <v/>
      </c>
      <c r="AJ111" s="92">
        <f>SUM(Z110:AI110)+AL111</f>
        <v/>
      </c>
      <c r="AK111" s="92">
        <f>$AK$7-(AJ111-SUM(P111:Y111))</f>
        <v/>
      </c>
      <c r="AL111" s="91">
        <f>SUMPRODUCT(Z110:AI110,$Z$6:$AI$6)/12</f>
        <v/>
      </c>
      <c r="AM111" s="88">
        <f>SUM(Z111:AI111)</f>
        <v/>
      </c>
      <c r="AO111" s="92">
        <f>IF(AY110&lt;0.005,0,MAX(0,AY110*(1+AY$6/12)-AY$7))</f>
        <v/>
      </c>
      <c r="AP111" s="92">
        <f>IF(AZ110&lt;0.005,0,MAX(0,AZ110*(1+AZ$6/12)-AZ$7))</f>
        <v/>
      </c>
      <c r="AQ111" s="92">
        <f>IF(BA110&lt;0.005,0,MAX(0,BA110*(1+BA$6/12)-BA$7))</f>
        <v/>
      </c>
      <c r="AR111" s="92">
        <f>IF(BB110&lt;0.005,0,MAX(0,BB110*(1+BB$6/12)-BB$7))</f>
        <v/>
      </c>
      <c r="AS111" s="92">
        <f>IF(BC110&lt;0.005,0,MAX(0,BC110*(1+BC$6/12)-BC$7))</f>
        <v/>
      </c>
      <c r="AT111" s="92">
        <f>IF(BD110&lt;0.005,0,MAX(0,BD110*(1+BD$6/12)-BD$7))</f>
        <v/>
      </c>
      <c r="AU111" s="92">
        <f>IF(BE110&lt;0.005,0,MAX(0,BE110*(1+BE$6/12)-BE$7))</f>
        <v/>
      </c>
      <c r="AV111" s="92">
        <f>IF(BF110&lt;0.005,0,MAX(0,BF110*(1+BF$6/12)-BF$7))</f>
        <v/>
      </c>
      <c r="AW111" s="92">
        <f>IF(BG110&lt;0.005,0,MAX(0,BG110*(1+BG$6/12)-BG$7))</f>
        <v/>
      </c>
      <c r="AX111" s="92">
        <f>IF(BH110&lt;0.005,0,MAX(0,BH110*(1+BH$6/12)-BH$7))</f>
        <v/>
      </c>
      <c r="AY111" s="91">
        <f>MAX(0,AO111-MAX(0,BJ111-0))</f>
        <v/>
      </c>
      <c r="AZ111" s="91">
        <f>MAX(0,AP111-MAX(0,BJ111-SUM(AO111:AO111)))</f>
        <v/>
      </c>
      <c r="BA111" s="91">
        <f>MAX(0,AQ111-MAX(0,BJ111-SUM(AO111:AP111)))</f>
        <v/>
      </c>
      <c r="BB111" s="91">
        <f>MAX(0,AR111-MAX(0,BJ111-SUM(AO111:AQ111)))</f>
        <v/>
      </c>
      <c r="BC111" s="91">
        <f>MAX(0,AS111-MAX(0,BJ111-SUM(AO111:AR111)))</f>
        <v/>
      </c>
      <c r="BD111" s="91">
        <f>MAX(0,AT111-MAX(0,BJ111-SUM(AO111:AS111)))</f>
        <v/>
      </c>
      <c r="BE111" s="91">
        <f>MAX(0,AU111-MAX(0,BJ111-SUM(AO111:AT111)))</f>
        <v/>
      </c>
      <c r="BF111" s="91">
        <f>MAX(0,AV111-MAX(0,BJ111-SUM(AO111:AU111)))</f>
        <v/>
      </c>
      <c r="BG111" s="91">
        <f>MAX(0,AW111-MAX(0,BJ111-SUM(AO111:AV111)))</f>
        <v/>
      </c>
      <c r="BH111" s="91">
        <f>MAX(0,AX111-MAX(0,BJ111-SUM(AO111:AW111)))</f>
        <v/>
      </c>
      <c r="BI111" s="92">
        <f>SUM(AY110:BH110)+BK111</f>
        <v/>
      </c>
      <c r="BJ111" s="92">
        <f>$BJ$7-(BI111-SUM(AO111:AX111))</f>
        <v/>
      </c>
      <c r="BK111" s="91">
        <f>SUMPRODUCT(AY110:BH110,$AY$6:$BH$6)/12</f>
        <v/>
      </c>
      <c r="BL111" s="88">
        <f>SUM(AY111:BH111)</f>
        <v/>
      </c>
    </row>
    <row r="112">
      <c r="A112" s="24" t="n">
        <v>102</v>
      </c>
      <c r="B112" s="90">
        <f>DATE(YEAR(Settings!$C$11),MONTH(Settings!$C$11)+A112,1)</f>
        <v/>
      </c>
      <c r="C112" s="91">
        <f>IF(C111&lt;0.005,0,MAX(0,C111*(1+C$6/12)-C$7))</f>
        <v/>
      </c>
      <c r="D112" s="91">
        <f>IF(D111&lt;0.005,0,MAX(0,D111*(1+D$6/12)-D$7))</f>
        <v/>
      </c>
      <c r="E112" s="91">
        <f>IF(E111&lt;0.005,0,MAX(0,E111*(1+E$6/12)-E$7))</f>
        <v/>
      </c>
      <c r="F112" s="91">
        <f>IF(F111&lt;0.005,0,MAX(0,F111*(1+F$6/12)-F$7))</f>
        <v/>
      </c>
      <c r="G112" s="91">
        <f>IF(G111&lt;0.005,0,MAX(0,G111*(1+G$6/12)-G$7))</f>
        <v/>
      </c>
      <c r="H112" s="91">
        <f>IF(H111&lt;0.005,0,MAX(0,H111*(1+H$6/12)-H$7))</f>
        <v/>
      </c>
      <c r="I112" s="91">
        <f>IF(I111&lt;0.005,0,MAX(0,I111*(1+I$6/12)-I$7))</f>
        <v/>
      </c>
      <c r="J112" s="91">
        <f>IF(J111&lt;0.005,0,MAX(0,J111*(1+J$6/12)-J$7))</f>
        <v/>
      </c>
      <c r="K112" s="91">
        <f>IF(K111&lt;0.005,0,MAX(0,K111*(1+K$6/12)-K$7))</f>
        <v/>
      </c>
      <c r="L112" s="91">
        <f>IF(L111&lt;0.005,0,MAX(0,L111*(1+L$6/12)-L$7))</f>
        <v/>
      </c>
      <c r="M112" s="91">
        <f>SUMPRODUCT(C111:L111,$C$6:$L$6)/12</f>
        <v/>
      </c>
      <c r="N112" s="88">
        <f>SUM(C112:L112)</f>
        <v/>
      </c>
      <c r="P112" s="92">
        <f>IF(Z111&lt;0.005,0,MAX(0,Z111*(1+Z$6/12)-Z$7))</f>
        <v/>
      </c>
      <c r="Q112" s="92">
        <f>IF(AA111&lt;0.005,0,MAX(0,AA111*(1+AA$6/12)-AA$7))</f>
        <v/>
      </c>
      <c r="R112" s="92">
        <f>IF(AB111&lt;0.005,0,MAX(0,AB111*(1+AB$6/12)-AB$7))</f>
        <v/>
      </c>
      <c r="S112" s="92">
        <f>IF(AC111&lt;0.005,0,MAX(0,AC111*(1+AC$6/12)-AC$7))</f>
        <v/>
      </c>
      <c r="T112" s="92">
        <f>IF(AD111&lt;0.005,0,MAX(0,AD111*(1+AD$6/12)-AD$7))</f>
        <v/>
      </c>
      <c r="U112" s="92">
        <f>IF(AE111&lt;0.005,0,MAX(0,AE111*(1+AE$6/12)-AE$7))</f>
        <v/>
      </c>
      <c r="V112" s="92">
        <f>IF(AF111&lt;0.005,0,MAX(0,AF111*(1+AF$6/12)-AF$7))</f>
        <v/>
      </c>
      <c r="W112" s="92">
        <f>IF(AG111&lt;0.005,0,MAX(0,AG111*(1+AG$6/12)-AG$7))</f>
        <v/>
      </c>
      <c r="X112" s="92">
        <f>IF(AH111&lt;0.005,0,MAX(0,AH111*(1+AH$6/12)-AH$7))</f>
        <v/>
      </c>
      <c r="Y112" s="92">
        <f>IF(AI111&lt;0.005,0,MAX(0,AI111*(1+AI$6/12)-AI$7))</f>
        <v/>
      </c>
      <c r="Z112" s="91">
        <f>MAX(0,P112-MAX(0,AK112-0))</f>
        <v/>
      </c>
      <c r="AA112" s="91">
        <f>MAX(0,Q112-MAX(0,AK112-SUM(P112:P112)))</f>
        <v/>
      </c>
      <c r="AB112" s="91">
        <f>MAX(0,R112-MAX(0,AK112-SUM(P112:Q112)))</f>
        <v/>
      </c>
      <c r="AC112" s="91">
        <f>MAX(0,S112-MAX(0,AK112-SUM(P112:R112)))</f>
        <v/>
      </c>
      <c r="AD112" s="91">
        <f>MAX(0,T112-MAX(0,AK112-SUM(P112:S112)))</f>
        <v/>
      </c>
      <c r="AE112" s="91">
        <f>MAX(0,U112-MAX(0,AK112-SUM(P112:T112)))</f>
        <v/>
      </c>
      <c r="AF112" s="91">
        <f>MAX(0,V112-MAX(0,AK112-SUM(P112:U112)))</f>
        <v/>
      </c>
      <c r="AG112" s="91">
        <f>MAX(0,W112-MAX(0,AK112-SUM(P112:V112)))</f>
        <v/>
      </c>
      <c r="AH112" s="91">
        <f>MAX(0,X112-MAX(0,AK112-SUM(P112:W112)))</f>
        <v/>
      </c>
      <c r="AI112" s="91">
        <f>MAX(0,Y112-MAX(0,AK112-SUM(P112:X112)))</f>
        <v/>
      </c>
      <c r="AJ112" s="92">
        <f>SUM(Z111:AI111)+AL112</f>
        <v/>
      </c>
      <c r="AK112" s="92">
        <f>$AK$7-(AJ112-SUM(P112:Y112))</f>
        <v/>
      </c>
      <c r="AL112" s="91">
        <f>SUMPRODUCT(Z111:AI111,$Z$6:$AI$6)/12</f>
        <v/>
      </c>
      <c r="AM112" s="88">
        <f>SUM(Z112:AI112)</f>
        <v/>
      </c>
      <c r="AO112" s="92">
        <f>IF(AY111&lt;0.005,0,MAX(0,AY111*(1+AY$6/12)-AY$7))</f>
        <v/>
      </c>
      <c r="AP112" s="92">
        <f>IF(AZ111&lt;0.005,0,MAX(0,AZ111*(1+AZ$6/12)-AZ$7))</f>
        <v/>
      </c>
      <c r="AQ112" s="92">
        <f>IF(BA111&lt;0.005,0,MAX(0,BA111*(1+BA$6/12)-BA$7))</f>
        <v/>
      </c>
      <c r="AR112" s="92">
        <f>IF(BB111&lt;0.005,0,MAX(0,BB111*(1+BB$6/12)-BB$7))</f>
        <v/>
      </c>
      <c r="AS112" s="92">
        <f>IF(BC111&lt;0.005,0,MAX(0,BC111*(1+BC$6/12)-BC$7))</f>
        <v/>
      </c>
      <c r="AT112" s="92">
        <f>IF(BD111&lt;0.005,0,MAX(0,BD111*(1+BD$6/12)-BD$7))</f>
        <v/>
      </c>
      <c r="AU112" s="92">
        <f>IF(BE111&lt;0.005,0,MAX(0,BE111*(1+BE$6/12)-BE$7))</f>
        <v/>
      </c>
      <c r="AV112" s="92">
        <f>IF(BF111&lt;0.005,0,MAX(0,BF111*(1+BF$6/12)-BF$7))</f>
        <v/>
      </c>
      <c r="AW112" s="92">
        <f>IF(BG111&lt;0.005,0,MAX(0,BG111*(1+BG$6/12)-BG$7))</f>
        <v/>
      </c>
      <c r="AX112" s="92">
        <f>IF(BH111&lt;0.005,0,MAX(0,BH111*(1+BH$6/12)-BH$7))</f>
        <v/>
      </c>
      <c r="AY112" s="91">
        <f>MAX(0,AO112-MAX(0,BJ112-0))</f>
        <v/>
      </c>
      <c r="AZ112" s="91">
        <f>MAX(0,AP112-MAX(0,BJ112-SUM(AO112:AO112)))</f>
        <v/>
      </c>
      <c r="BA112" s="91">
        <f>MAX(0,AQ112-MAX(0,BJ112-SUM(AO112:AP112)))</f>
        <v/>
      </c>
      <c r="BB112" s="91">
        <f>MAX(0,AR112-MAX(0,BJ112-SUM(AO112:AQ112)))</f>
        <v/>
      </c>
      <c r="BC112" s="91">
        <f>MAX(0,AS112-MAX(0,BJ112-SUM(AO112:AR112)))</f>
        <v/>
      </c>
      <c r="BD112" s="91">
        <f>MAX(0,AT112-MAX(0,BJ112-SUM(AO112:AS112)))</f>
        <v/>
      </c>
      <c r="BE112" s="91">
        <f>MAX(0,AU112-MAX(0,BJ112-SUM(AO112:AT112)))</f>
        <v/>
      </c>
      <c r="BF112" s="91">
        <f>MAX(0,AV112-MAX(0,BJ112-SUM(AO112:AU112)))</f>
        <v/>
      </c>
      <c r="BG112" s="91">
        <f>MAX(0,AW112-MAX(0,BJ112-SUM(AO112:AV112)))</f>
        <v/>
      </c>
      <c r="BH112" s="91">
        <f>MAX(0,AX112-MAX(0,BJ112-SUM(AO112:AW112)))</f>
        <v/>
      </c>
      <c r="BI112" s="92">
        <f>SUM(AY111:BH111)+BK112</f>
        <v/>
      </c>
      <c r="BJ112" s="92">
        <f>$BJ$7-(BI112-SUM(AO112:AX112))</f>
        <v/>
      </c>
      <c r="BK112" s="91">
        <f>SUMPRODUCT(AY111:BH111,$AY$6:$BH$6)/12</f>
        <v/>
      </c>
      <c r="BL112" s="88">
        <f>SUM(AY112:BH112)</f>
        <v/>
      </c>
    </row>
    <row r="113">
      <c r="A113" s="24" t="n">
        <v>103</v>
      </c>
      <c r="B113" s="90">
        <f>DATE(YEAR(Settings!$C$11),MONTH(Settings!$C$11)+A113,1)</f>
        <v/>
      </c>
      <c r="C113" s="91">
        <f>IF(C112&lt;0.005,0,MAX(0,C112*(1+C$6/12)-C$7))</f>
        <v/>
      </c>
      <c r="D113" s="91">
        <f>IF(D112&lt;0.005,0,MAX(0,D112*(1+D$6/12)-D$7))</f>
        <v/>
      </c>
      <c r="E113" s="91">
        <f>IF(E112&lt;0.005,0,MAX(0,E112*(1+E$6/12)-E$7))</f>
        <v/>
      </c>
      <c r="F113" s="91">
        <f>IF(F112&lt;0.005,0,MAX(0,F112*(1+F$6/12)-F$7))</f>
        <v/>
      </c>
      <c r="G113" s="91">
        <f>IF(G112&lt;0.005,0,MAX(0,G112*(1+G$6/12)-G$7))</f>
        <v/>
      </c>
      <c r="H113" s="91">
        <f>IF(H112&lt;0.005,0,MAX(0,H112*(1+H$6/12)-H$7))</f>
        <v/>
      </c>
      <c r="I113" s="91">
        <f>IF(I112&lt;0.005,0,MAX(0,I112*(1+I$6/12)-I$7))</f>
        <v/>
      </c>
      <c r="J113" s="91">
        <f>IF(J112&lt;0.005,0,MAX(0,J112*(1+J$6/12)-J$7))</f>
        <v/>
      </c>
      <c r="K113" s="91">
        <f>IF(K112&lt;0.005,0,MAX(0,K112*(1+K$6/12)-K$7))</f>
        <v/>
      </c>
      <c r="L113" s="91">
        <f>IF(L112&lt;0.005,0,MAX(0,L112*(1+L$6/12)-L$7))</f>
        <v/>
      </c>
      <c r="M113" s="91">
        <f>SUMPRODUCT(C112:L112,$C$6:$L$6)/12</f>
        <v/>
      </c>
      <c r="N113" s="88">
        <f>SUM(C113:L113)</f>
        <v/>
      </c>
      <c r="P113" s="92">
        <f>IF(Z112&lt;0.005,0,MAX(0,Z112*(1+Z$6/12)-Z$7))</f>
        <v/>
      </c>
      <c r="Q113" s="92">
        <f>IF(AA112&lt;0.005,0,MAX(0,AA112*(1+AA$6/12)-AA$7))</f>
        <v/>
      </c>
      <c r="R113" s="92">
        <f>IF(AB112&lt;0.005,0,MAX(0,AB112*(1+AB$6/12)-AB$7))</f>
        <v/>
      </c>
      <c r="S113" s="92">
        <f>IF(AC112&lt;0.005,0,MAX(0,AC112*(1+AC$6/12)-AC$7))</f>
        <v/>
      </c>
      <c r="T113" s="92">
        <f>IF(AD112&lt;0.005,0,MAX(0,AD112*(1+AD$6/12)-AD$7))</f>
        <v/>
      </c>
      <c r="U113" s="92">
        <f>IF(AE112&lt;0.005,0,MAX(0,AE112*(1+AE$6/12)-AE$7))</f>
        <v/>
      </c>
      <c r="V113" s="92">
        <f>IF(AF112&lt;0.005,0,MAX(0,AF112*(1+AF$6/12)-AF$7))</f>
        <v/>
      </c>
      <c r="W113" s="92">
        <f>IF(AG112&lt;0.005,0,MAX(0,AG112*(1+AG$6/12)-AG$7))</f>
        <v/>
      </c>
      <c r="X113" s="92">
        <f>IF(AH112&lt;0.005,0,MAX(0,AH112*(1+AH$6/12)-AH$7))</f>
        <v/>
      </c>
      <c r="Y113" s="92">
        <f>IF(AI112&lt;0.005,0,MAX(0,AI112*(1+AI$6/12)-AI$7))</f>
        <v/>
      </c>
      <c r="Z113" s="91">
        <f>MAX(0,P113-MAX(0,AK113-0))</f>
        <v/>
      </c>
      <c r="AA113" s="91">
        <f>MAX(0,Q113-MAX(0,AK113-SUM(P113:P113)))</f>
        <v/>
      </c>
      <c r="AB113" s="91">
        <f>MAX(0,R113-MAX(0,AK113-SUM(P113:Q113)))</f>
        <v/>
      </c>
      <c r="AC113" s="91">
        <f>MAX(0,S113-MAX(0,AK113-SUM(P113:R113)))</f>
        <v/>
      </c>
      <c r="AD113" s="91">
        <f>MAX(0,T113-MAX(0,AK113-SUM(P113:S113)))</f>
        <v/>
      </c>
      <c r="AE113" s="91">
        <f>MAX(0,U113-MAX(0,AK113-SUM(P113:T113)))</f>
        <v/>
      </c>
      <c r="AF113" s="91">
        <f>MAX(0,V113-MAX(0,AK113-SUM(P113:U113)))</f>
        <v/>
      </c>
      <c r="AG113" s="91">
        <f>MAX(0,W113-MAX(0,AK113-SUM(P113:V113)))</f>
        <v/>
      </c>
      <c r="AH113" s="91">
        <f>MAX(0,X113-MAX(0,AK113-SUM(P113:W113)))</f>
        <v/>
      </c>
      <c r="AI113" s="91">
        <f>MAX(0,Y113-MAX(0,AK113-SUM(P113:X113)))</f>
        <v/>
      </c>
      <c r="AJ113" s="92">
        <f>SUM(Z112:AI112)+AL113</f>
        <v/>
      </c>
      <c r="AK113" s="92">
        <f>$AK$7-(AJ113-SUM(P113:Y113))</f>
        <v/>
      </c>
      <c r="AL113" s="91">
        <f>SUMPRODUCT(Z112:AI112,$Z$6:$AI$6)/12</f>
        <v/>
      </c>
      <c r="AM113" s="88">
        <f>SUM(Z113:AI113)</f>
        <v/>
      </c>
      <c r="AO113" s="92">
        <f>IF(AY112&lt;0.005,0,MAX(0,AY112*(1+AY$6/12)-AY$7))</f>
        <v/>
      </c>
      <c r="AP113" s="92">
        <f>IF(AZ112&lt;0.005,0,MAX(0,AZ112*(1+AZ$6/12)-AZ$7))</f>
        <v/>
      </c>
      <c r="AQ113" s="92">
        <f>IF(BA112&lt;0.005,0,MAX(0,BA112*(1+BA$6/12)-BA$7))</f>
        <v/>
      </c>
      <c r="AR113" s="92">
        <f>IF(BB112&lt;0.005,0,MAX(0,BB112*(1+BB$6/12)-BB$7))</f>
        <v/>
      </c>
      <c r="AS113" s="92">
        <f>IF(BC112&lt;0.005,0,MAX(0,BC112*(1+BC$6/12)-BC$7))</f>
        <v/>
      </c>
      <c r="AT113" s="92">
        <f>IF(BD112&lt;0.005,0,MAX(0,BD112*(1+BD$6/12)-BD$7))</f>
        <v/>
      </c>
      <c r="AU113" s="92">
        <f>IF(BE112&lt;0.005,0,MAX(0,BE112*(1+BE$6/12)-BE$7))</f>
        <v/>
      </c>
      <c r="AV113" s="92">
        <f>IF(BF112&lt;0.005,0,MAX(0,BF112*(1+BF$6/12)-BF$7))</f>
        <v/>
      </c>
      <c r="AW113" s="92">
        <f>IF(BG112&lt;0.005,0,MAX(0,BG112*(1+BG$6/12)-BG$7))</f>
        <v/>
      </c>
      <c r="AX113" s="92">
        <f>IF(BH112&lt;0.005,0,MAX(0,BH112*(1+BH$6/12)-BH$7))</f>
        <v/>
      </c>
      <c r="AY113" s="91">
        <f>MAX(0,AO113-MAX(0,BJ113-0))</f>
        <v/>
      </c>
      <c r="AZ113" s="91">
        <f>MAX(0,AP113-MAX(0,BJ113-SUM(AO113:AO113)))</f>
        <v/>
      </c>
      <c r="BA113" s="91">
        <f>MAX(0,AQ113-MAX(0,BJ113-SUM(AO113:AP113)))</f>
        <v/>
      </c>
      <c r="BB113" s="91">
        <f>MAX(0,AR113-MAX(0,BJ113-SUM(AO113:AQ113)))</f>
        <v/>
      </c>
      <c r="BC113" s="91">
        <f>MAX(0,AS113-MAX(0,BJ113-SUM(AO113:AR113)))</f>
        <v/>
      </c>
      <c r="BD113" s="91">
        <f>MAX(0,AT113-MAX(0,BJ113-SUM(AO113:AS113)))</f>
        <v/>
      </c>
      <c r="BE113" s="91">
        <f>MAX(0,AU113-MAX(0,BJ113-SUM(AO113:AT113)))</f>
        <v/>
      </c>
      <c r="BF113" s="91">
        <f>MAX(0,AV113-MAX(0,BJ113-SUM(AO113:AU113)))</f>
        <v/>
      </c>
      <c r="BG113" s="91">
        <f>MAX(0,AW113-MAX(0,BJ113-SUM(AO113:AV113)))</f>
        <v/>
      </c>
      <c r="BH113" s="91">
        <f>MAX(0,AX113-MAX(0,BJ113-SUM(AO113:AW113)))</f>
        <v/>
      </c>
      <c r="BI113" s="92">
        <f>SUM(AY112:BH112)+BK113</f>
        <v/>
      </c>
      <c r="BJ113" s="92">
        <f>$BJ$7-(BI113-SUM(AO113:AX113))</f>
        <v/>
      </c>
      <c r="BK113" s="91">
        <f>SUMPRODUCT(AY112:BH112,$AY$6:$BH$6)/12</f>
        <v/>
      </c>
      <c r="BL113" s="88">
        <f>SUM(AY113:BH113)</f>
        <v/>
      </c>
    </row>
    <row r="114">
      <c r="A114" s="24" t="n">
        <v>104</v>
      </c>
      <c r="B114" s="90">
        <f>DATE(YEAR(Settings!$C$11),MONTH(Settings!$C$11)+A114,1)</f>
        <v/>
      </c>
      <c r="C114" s="91">
        <f>IF(C113&lt;0.005,0,MAX(0,C113*(1+C$6/12)-C$7))</f>
        <v/>
      </c>
      <c r="D114" s="91">
        <f>IF(D113&lt;0.005,0,MAX(0,D113*(1+D$6/12)-D$7))</f>
        <v/>
      </c>
      <c r="E114" s="91">
        <f>IF(E113&lt;0.005,0,MAX(0,E113*(1+E$6/12)-E$7))</f>
        <v/>
      </c>
      <c r="F114" s="91">
        <f>IF(F113&lt;0.005,0,MAX(0,F113*(1+F$6/12)-F$7))</f>
        <v/>
      </c>
      <c r="G114" s="91">
        <f>IF(G113&lt;0.005,0,MAX(0,G113*(1+G$6/12)-G$7))</f>
        <v/>
      </c>
      <c r="H114" s="91">
        <f>IF(H113&lt;0.005,0,MAX(0,H113*(1+H$6/12)-H$7))</f>
        <v/>
      </c>
      <c r="I114" s="91">
        <f>IF(I113&lt;0.005,0,MAX(0,I113*(1+I$6/12)-I$7))</f>
        <v/>
      </c>
      <c r="J114" s="91">
        <f>IF(J113&lt;0.005,0,MAX(0,J113*(1+J$6/12)-J$7))</f>
        <v/>
      </c>
      <c r="K114" s="91">
        <f>IF(K113&lt;0.005,0,MAX(0,K113*(1+K$6/12)-K$7))</f>
        <v/>
      </c>
      <c r="L114" s="91">
        <f>IF(L113&lt;0.005,0,MAX(0,L113*(1+L$6/12)-L$7))</f>
        <v/>
      </c>
      <c r="M114" s="91">
        <f>SUMPRODUCT(C113:L113,$C$6:$L$6)/12</f>
        <v/>
      </c>
      <c r="N114" s="88">
        <f>SUM(C114:L114)</f>
        <v/>
      </c>
      <c r="P114" s="92">
        <f>IF(Z113&lt;0.005,0,MAX(0,Z113*(1+Z$6/12)-Z$7))</f>
        <v/>
      </c>
      <c r="Q114" s="92">
        <f>IF(AA113&lt;0.005,0,MAX(0,AA113*(1+AA$6/12)-AA$7))</f>
        <v/>
      </c>
      <c r="R114" s="92">
        <f>IF(AB113&lt;0.005,0,MAX(0,AB113*(1+AB$6/12)-AB$7))</f>
        <v/>
      </c>
      <c r="S114" s="92">
        <f>IF(AC113&lt;0.005,0,MAX(0,AC113*(1+AC$6/12)-AC$7))</f>
        <v/>
      </c>
      <c r="T114" s="92">
        <f>IF(AD113&lt;0.005,0,MAX(0,AD113*(1+AD$6/12)-AD$7))</f>
        <v/>
      </c>
      <c r="U114" s="92">
        <f>IF(AE113&lt;0.005,0,MAX(0,AE113*(1+AE$6/12)-AE$7))</f>
        <v/>
      </c>
      <c r="V114" s="92">
        <f>IF(AF113&lt;0.005,0,MAX(0,AF113*(1+AF$6/12)-AF$7))</f>
        <v/>
      </c>
      <c r="W114" s="92">
        <f>IF(AG113&lt;0.005,0,MAX(0,AG113*(1+AG$6/12)-AG$7))</f>
        <v/>
      </c>
      <c r="X114" s="92">
        <f>IF(AH113&lt;0.005,0,MAX(0,AH113*(1+AH$6/12)-AH$7))</f>
        <v/>
      </c>
      <c r="Y114" s="92">
        <f>IF(AI113&lt;0.005,0,MAX(0,AI113*(1+AI$6/12)-AI$7))</f>
        <v/>
      </c>
      <c r="Z114" s="91">
        <f>MAX(0,P114-MAX(0,AK114-0))</f>
        <v/>
      </c>
      <c r="AA114" s="91">
        <f>MAX(0,Q114-MAX(0,AK114-SUM(P114:P114)))</f>
        <v/>
      </c>
      <c r="AB114" s="91">
        <f>MAX(0,R114-MAX(0,AK114-SUM(P114:Q114)))</f>
        <v/>
      </c>
      <c r="AC114" s="91">
        <f>MAX(0,S114-MAX(0,AK114-SUM(P114:R114)))</f>
        <v/>
      </c>
      <c r="AD114" s="91">
        <f>MAX(0,T114-MAX(0,AK114-SUM(P114:S114)))</f>
        <v/>
      </c>
      <c r="AE114" s="91">
        <f>MAX(0,U114-MAX(0,AK114-SUM(P114:T114)))</f>
        <v/>
      </c>
      <c r="AF114" s="91">
        <f>MAX(0,V114-MAX(0,AK114-SUM(P114:U114)))</f>
        <v/>
      </c>
      <c r="AG114" s="91">
        <f>MAX(0,W114-MAX(0,AK114-SUM(P114:V114)))</f>
        <v/>
      </c>
      <c r="AH114" s="91">
        <f>MAX(0,X114-MAX(0,AK114-SUM(P114:W114)))</f>
        <v/>
      </c>
      <c r="AI114" s="91">
        <f>MAX(0,Y114-MAX(0,AK114-SUM(P114:X114)))</f>
        <v/>
      </c>
      <c r="AJ114" s="92">
        <f>SUM(Z113:AI113)+AL114</f>
        <v/>
      </c>
      <c r="AK114" s="92">
        <f>$AK$7-(AJ114-SUM(P114:Y114))</f>
        <v/>
      </c>
      <c r="AL114" s="91">
        <f>SUMPRODUCT(Z113:AI113,$Z$6:$AI$6)/12</f>
        <v/>
      </c>
      <c r="AM114" s="88">
        <f>SUM(Z114:AI114)</f>
        <v/>
      </c>
      <c r="AO114" s="92">
        <f>IF(AY113&lt;0.005,0,MAX(0,AY113*(1+AY$6/12)-AY$7))</f>
        <v/>
      </c>
      <c r="AP114" s="92">
        <f>IF(AZ113&lt;0.005,0,MAX(0,AZ113*(1+AZ$6/12)-AZ$7))</f>
        <v/>
      </c>
      <c r="AQ114" s="92">
        <f>IF(BA113&lt;0.005,0,MAX(0,BA113*(1+BA$6/12)-BA$7))</f>
        <v/>
      </c>
      <c r="AR114" s="92">
        <f>IF(BB113&lt;0.005,0,MAX(0,BB113*(1+BB$6/12)-BB$7))</f>
        <v/>
      </c>
      <c r="AS114" s="92">
        <f>IF(BC113&lt;0.005,0,MAX(0,BC113*(1+BC$6/12)-BC$7))</f>
        <v/>
      </c>
      <c r="AT114" s="92">
        <f>IF(BD113&lt;0.005,0,MAX(0,BD113*(1+BD$6/12)-BD$7))</f>
        <v/>
      </c>
      <c r="AU114" s="92">
        <f>IF(BE113&lt;0.005,0,MAX(0,BE113*(1+BE$6/12)-BE$7))</f>
        <v/>
      </c>
      <c r="AV114" s="92">
        <f>IF(BF113&lt;0.005,0,MAX(0,BF113*(1+BF$6/12)-BF$7))</f>
        <v/>
      </c>
      <c r="AW114" s="92">
        <f>IF(BG113&lt;0.005,0,MAX(0,BG113*(1+BG$6/12)-BG$7))</f>
        <v/>
      </c>
      <c r="AX114" s="92">
        <f>IF(BH113&lt;0.005,0,MAX(0,BH113*(1+BH$6/12)-BH$7))</f>
        <v/>
      </c>
      <c r="AY114" s="91">
        <f>MAX(0,AO114-MAX(0,BJ114-0))</f>
        <v/>
      </c>
      <c r="AZ114" s="91">
        <f>MAX(0,AP114-MAX(0,BJ114-SUM(AO114:AO114)))</f>
        <v/>
      </c>
      <c r="BA114" s="91">
        <f>MAX(0,AQ114-MAX(0,BJ114-SUM(AO114:AP114)))</f>
        <v/>
      </c>
      <c r="BB114" s="91">
        <f>MAX(0,AR114-MAX(0,BJ114-SUM(AO114:AQ114)))</f>
        <v/>
      </c>
      <c r="BC114" s="91">
        <f>MAX(0,AS114-MAX(0,BJ114-SUM(AO114:AR114)))</f>
        <v/>
      </c>
      <c r="BD114" s="91">
        <f>MAX(0,AT114-MAX(0,BJ114-SUM(AO114:AS114)))</f>
        <v/>
      </c>
      <c r="BE114" s="91">
        <f>MAX(0,AU114-MAX(0,BJ114-SUM(AO114:AT114)))</f>
        <v/>
      </c>
      <c r="BF114" s="91">
        <f>MAX(0,AV114-MAX(0,BJ114-SUM(AO114:AU114)))</f>
        <v/>
      </c>
      <c r="BG114" s="91">
        <f>MAX(0,AW114-MAX(0,BJ114-SUM(AO114:AV114)))</f>
        <v/>
      </c>
      <c r="BH114" s="91">
        <f>MAX(0,AX114-MAX(0,BJ114-SUM(AO114:AW114)))</f>
        <v/>
      </c>
      <c r="BI114" s="92">
        <f>SUM(AY113:BH113)+BK114</f>
        <v/>
      </c>
      <c r="BJ114" s="92">
        <f>$BJ$7-(BI114-SUM(AO114:AX114))</f>
        <v/>
      </c>
      <c r="BK114" s="91">
        <f>SUMPRODUCT(AY113:BH113,$AY$6:$BH$6)/12</f>
        <v/>
      </c>
      <c r="BL114" s="88">
        <f>SUM(AY114:BH114)</f>
        <v/>
      </c>
    </row>
    <row r="115">
      <c r="A115" s="24" t="n">
        <v>105</v>
      </c>
      <c r="B115" s="90">
        <f>DATE(YEAR(Settings!$C$11),MONTH(Settings!$C$11)+A115,1)</f>
        <v/>
      </c>
      <c r="C115" s="91">
        <f>IF(C114&lt;0.005,0,MAX(0,C114*(1+C$6/12)-C$7))</f>
        <v/>
      </c>
      <c r="D115" s="91">
        <f>IF(D114&lt;0.005,0,MAX(0,D114*(1+D$6/12)-D$7))</f>
        <v/>
      </c>
      <c r="E115" s="91">
        <f>IF(E114&lt;0.005,0,MAX(0,E114*(1+E$6/12)-E$7))</f>
        <v/>
      </c>
      <c r="F115" s="91">
        <f>IF(F114&lt;0.005,0,MAX(0,F114*(1+F$6/12)-F$7))</f>
        <v/>
      </c>
      <c r="G115" s="91">
        <f>IF(G114&lt;0.005,0,MAX(0,G114*(1+G$6/12)-G$7))</f>
        <v/>
      </c>
      <c r="H115" s="91">
        <f>IF(H114&lt;0.005,0,MAX(0,H114*(1+H$6/12)-H$7))</f>
        <v/>
      </c>
      <c r="I115" s="91">
        <f>IF(I114&lt;0.005,0,MAX(0,I114*(1+I$6/12)-I$7))</f>
        <v/>
      </c>
      <c r="J115" s="91">
        <f>IF(J114&lt;0.005,0,MAX(0,J114*(1+J$6/12)-J$7))</f>
        <v/>
      </c>
      <c r="K115" s="91">
        <f>IF(K114&lt;0.005,0,MAX(0,K114*(1+K$6/12)-K$7))</f>
        <v/>
      </c>
      <c r="L115" s="91">
        <f>IF(L114&lt;0.005,0,MAX(0,L114*(1+L$6/12)-L$7))</f>
        <v/>
      </c>
      <c r="M115" s="91">
        <f>SUMPRODUCT(C114:L114,$C$6:$L$6)/12</f>
        <v/>
      </c>
      <c r="N115" s="88">
        <f>SUM(C115:L115)</f>
        <v/>
      </c>
      <c r="P115" s="92">
        <f>IF(Z114&lt;0.005,0,MAX(0,Z114*(1+Z$6/12)-Z$7))</f>
        <v/>
      </c>
      <c r="Q115" s="92">
        <f>IF(AA114&lt;0.005,0,MAX(0,AA114*(1+AA$6/12)-AA$7))</f>
        <v/>
      </c>
      <c r="R115" s="92">
        <f>IF(AB114&lt;0.005,0,MAX(0,AB114*(1+AB$6/12)-AB$7))</f>
        <v/>
      </c>
      <c r="S115" s="92">
        <f>IF(AC114&lt;0.005,0,MAX(0,AC114*(1+AC$6/12)-AC$7))</f>
        <v/>
      </c>
      <c r="T115" s="92">
        <f>IF(AD114&lt;0.005,0,MAX(0,AD114*(1+AD$6/12)-AD$7))</f>
        <v/>
      </c>
      <c r="U115" s="92">
        <f>IF(AE114&lt;0.005,0,MAX(0,AE114*(1+AE$6/12)-AE$7))</f>
        <v/>
      </c>
      <c r="V115" s="92">
        <f>IF(AF114&lt;0.005,0,MAX(0,AF114*(1+AF$6/12)-AF$7))</f>
        <v/>
      </c>
      <c r="W115" s="92">
        <f>IF(AG114&lt;0.005,0,MAX(0,AG114*(1+AG$6/12)-AG$7))</f>
        <v/>
      </c>
      <c r="X115" s="92">
        <f>IF(AH114&lt;0.005,0,MAX(0,AH114*(1+AH$6/12)-AH$7))</f>
        <v/>
      </c>
      <c r="Y115" s="92">
        <f>IF(AI114&lt;0.005,0,MAX(0,AI114*(1+AI$6/12)-AI$7))</f>
        <v/>
      </c>
      <c r="Z115" s="91">
        <f>MAX(0,P115-MAX(0,AK115-0))</f>
        <v/>
      </c>
      <c r="AA115" s="91">
        <f>MAX(0,Q115-MAX(0,AK115-SUM(P115:P115)))</f>
        <v/>
      </c>
      <c r="AB115" s="91">
        <f>MAX(0,R115-MAX(0,AK115-SUM(P115:Q115)))</f>
        <v/>
      </c>
      <c r="AC115" s="91">
        <f>MAX(0,S115-MAX(0,AK115-SUM(P115:R115)))</f>
        <v/>
      </c>
      <c r="AD115" s="91">
        <f>MAX(0,T115-MAX(0,AK115-SUM(P115:S115)))</f>
        <v/>
      </c>
      <c r="AE115" s="91">
        <f>MAX(0,U115-MAX(0,AK115-SUM(P115:T115)))</f>
        <v/>
      </c>
      <c r="AF115" s="91">
        <f>MAX(0,V115-MAX(0,AK115-SUM(P115:U115)))</f>
        <v/>
      </c>
      <c r="AG115" s="91">
        <f>MAX(0,W115-MAX(0,AK115-SUM(P115:V115)))</f>
        <v/>
      </c>
      <c r="AH115" s="91">
        <f>MAX(0,X115-MAX(0,AK115-SUM(P115:W115)))</f>
        <v/>
      </c>
      <c r="AI115" s="91">
        <f>MAX(0,Y115-MAX(0,AK115-SUM(P115:X115)))</f>
        <v/>
      </c>
      <c r="AJ115" s="92">
        <f>SUM(Z114:AI114)+AL115</f>
        <v/>
      </c>
      <c r="AK115" s="92">
        <f>$AK$7-(AJ115-SUM(P115:Y115))</f>
        <v/>
      </c>
      <c r="AL115" s="91">
        <f>SUMPRODUCT(Z114:AI114,$Z$6:$AI$6)/12</f>
        <v/>
      </c>
      <c r="AM115" s="88">
        <f>SUM(Z115:AI115)</f>
        <v/>
      </c>
      <c r="AO115" s="92">
        <f>IF(AY114&lt;0.005,0,MAX(0,AY114*(1+AY$6/12)-AY$7))</f>
        <v/>
      </c>
      <c r="AP115" s="92">
        <f>IF(AZ114&lt;0.005,0,MAX(0,AZ114*(1+AZ$6/12)-AZ$7))</f>
        <v/>
      </c>
      <c r="AQ115" s="92">
        <f>IF(BA114&lt;0.005,0,MAX(0,BA114*(1+BA$6/12)-BA$7))</f>
        <v/>
      </c>
      <c r="AR115" s="92">
        <f>IF(BB114&lt;0.005,0,MAX(0,BB114*(1+BB$6/12)-BB$7))</f>
        <v/>
      </c>
      <c r="AS115" s="92">
        <f>IF(BC114&lt;0.005,0,MAX(0,BC114*(1+BC$6/12)-BC$7))</f>
        <v/>
      </c>
      <c r="AT115" s="92">
        <f>IF(BD114&lt;0.005,0,MAX(0,BD114*(1+BD$6/12)-BD$7))</f>
        <v/>
      </c>
      <c r="AU115" s="92">
        <f>IF(BE114&lt;0.005,0,MAX(0,BE114*(1+BE$6/12)-BE$7))</f>
        <v/>
      </c>
      <c r="AV115" s="92">
        <f>IF(BF114&lt;0.005,0,MAX(0,BF114*(1+BF$6/12)-BF$7))</f>
        <v/>
      </c>
      <c r="AW115" s="92">
        <f>IF(BG114&lt;0.005,0,MAX(0,BG114*(1+BG$6/12)-BG$7))</f>
        <v/>
      </c>
      <c r="AX115" s="92">
        <f>IF(BH114&lt;0.005,0,MAX(0,BH114*(1+BH$6/12)-BH$7))</f>
        <v/>
      </c>
      <c r="AY115" s="91">
        <f>MAX(0,AO115-MAX(0,BJ115-0))</f>
        <v/>
      </c>
      <c r="AZ115" s="91">
        <f>MAX(0,AP115-MAX(0,BJ115-SUM(AO115:AO115)))</f>
        <v/>
      </c>
      <c r="BA115" s="91">
        <f>MAX(0,AQ115-MAX(0,BJ115-SUM(AO115:AP115)))</f>
        <v/>
      </c>
      <c r="BB115" s="91">
        <f>MAX(0,AR115-MAX(0,BJ115-SUM(AO115:AQ115)))</f>
        <v/>
      </c>
      <c r="BC115" s="91">
        <f>MAX(0,AS115-MAX(0,BJ115-SUM(AO115:AR115)))</f>
        <v/>
      </c>
      <c r="BD115" s="91">
        <f>MAX(0,AT115-MAX(0,BJ115-SUM(AO115:AS115)))</f>
        <v/>
      </c>
      <c r="BE115" s="91">
        <f>MAX(0,AU115-MAX(0,BJ115-SUM(AO115:AT115)))</f>
        <v/>
      </c>
      <c r="BF115" s="91">
        <f>MAX(0,AV115-MAX(0,BJ115-SUM(AO115:AU115)))</f>
        <v/>
      </c>
      <c r="BG115" s="91">
        <f>MAX(0,AW115-MAX(0,BJ115-SUM(AO115:AV115)))</f>
        <v/>
      </c>
      <c r="BH115" s="91">
        <f>MAX(0,AX115-MAX(0,BJ115-SUM(AO115:AW115)))</f>
        <v/>
      </c>
      <c r="BI115" s="92">
        <f>SUM(AY114:BH114)+BK115</f>
        <v/>
      </c>
      <c r="BJ115" s="92">
        <f>$BJ$7-(BI115-SUM(AO115:AX115))</f>
        <v/>
      </c>
      <c r="BK115" s="91">
        <f>SUMPRODUCT(AY114:BH114,$AY$6:$BH$6)/12</f>
        <v/>
      </c>
      <c r="BL115" s="88">
        <f>SUM(AY115:BH115)</f>
        <v/>
      </c>
    </row>
    <row r="116">
      <c r="A116" s="24" t="n">
        <v>106</v>
      </c>
      <c r="B116" s="90">
        <f>DATE(YEAR(Settings!$C$11),MONTH(Settings!$C$11)+A116,1)</f>
        <v/>
      </c>
      <c r="C116" s="91">
        <f>IF(C115&lt;0.005,0,MAX(0,C115*(1+C$6/12)-C$7))</f>
        <v/>
      </c>
      <c r="D116" s="91">
        <f>IF(D115&lt;0.005,0,MAX(0,D115*(1+D$6/12)-D$7))</f>
        <v/>
      </c>
      <c r="E116" s="91">
        <f>IF(E115&lt;0.005,0,MAX(0,E115*(1+E$6/12)-E$7))</f>
        <v/>
      </c>
      <c r="F116" s="91">
        <f>IF(F115&lt;0.005,0,MAX(0,F115*(1+F$6/12)-F$7))</f>
        <v/>
      </c>
      <c r="G116" s="91">
        <f>IF(G115&lt;0.005,0,MAX(0,G115*(1+G$6/12)-G$7))</f>
        <v/>
      </c>
      <c r="H116" s="91">
        <f>IF(H115&lt;0.005,0,MAX(0,H115*(1+H$6/12)-H$7))</f>
        <v/>
      </c>
      <c r="I116" s="91">
        <f>IF(I115&lt;0.005,0,MAX(0,I115*(1+I$6/12)-I$7))</f>
        <v/>
      </c>
      <c r="J116" s="91">
        <f>IF(J115&lt;0.005,0,MAX(0,J115*(1+J$6/12)-J$7))</f>
        <v/>
      </c>
      <c r="K116" s="91">
        <f>IF(K115&lt;0.005,0,MAX(0,K115*(1+K$6/12)-K$7))</f>
        <v/>
      </c>
      <c r="L116" s="91">
        <f>IF(L115&lt;0.005,0,MAX(0,L115*(1+L$6/12)-L$7))</f>
        <v/>
      </c>
      <c r="M116" s="91">
        <f>SUMPRODUCT(C115:L115,$C$6:$L$6)/12</f>
        <v/>
      </c>
      <c r="N116" s="88">
        <f>SUM(C116:L116)</f>
        <v/>
      </c>
      <c r="P116" s="92">
        <f>IF(Z115&lt;0.005,0,MAX(0,Z115*(1+Z$6/12)-Z$7))</f>
        <v/>
      </c>
      <c r="Q116" s="92">
        <f>IF(AA115&lt;0.005,0,MAX(0,AA115*(1+AA$6/12)-AA$7))</f>
        <v/>
      </c>
      <c r="R116" s="92">
        <f>IF(AB115&lt;0.005,0,MAX(0,AB115*(1+AB$6/12)-AB$7))</f>
        <v/>
      </c>
      <c r="S116" s="92">
        <f>IF(AC115&lt;0.005,0,MAX(0,AC115*(1+AC$6/12)-AC$7))</f>
        <v/>
      </c>
      <c r="T116" s="92">
        <f>IF(AD115&lt;0.005,0,MAX(0,AD115*(1+AD$6/12)-AD$7))</f>
        <v/>
      </c>
      <c r="U116" s="92">
        <f>IF(AE115&lt;0.005,0,MAX(0,AE115*(1+AE$6/12)-AE$7))</f>
        <v/>
      </c>
      <c r="V116" s="92">
        <f>IF(AF115&lt;0.005,0,MAX(0,AF115*(1+AF$6/12)-AF$7))</f>
        <v/>
      </c>
      <c r="W116" s="92">
        <f>IF(AG115&lt;0.005,0,MAX(0,AG115*(1+AG$6/12)-AG$7))</f>
        <v/>
      </c>
      <c r="X116" s="92">
        <f>IF(AH115&lt;0.005,0,MAX(0,AH115*(1+AH$6/12)-AH$7))</f>
        <v/>
      </c>
      <c r="Y116" s="92">
        <f>IF(AI115&lt;0.005,0,MAX(0,AI115*(1+AI$6/12)-AI$7))</f>
        <v/>
      </c>
      <c r="Z116" s="91">
        <f>MAX(0,P116-MAX(0,AK116-0))</f>
        <v/>
      </c>
      <c r="AA116" s="91">
        <f>MAX(0,Q116-MAX(0,AK116-SUM(P116:P116)))</f>
        <v/>
      </c>
      <c r="AB116" s="91">
        <f>MAX(0,R116-MAX(0,AK116-SUM(P116:Q116)))</f>
        <v/>
      </c>
      <c r="AC116" s="91">
        <f>MAX(0,S116-MAX(0,AK116-SUM(P116:R116)))</f>
        <v/>
      </c>
      <c r="AD116" s="91">
        <f>MAX(0,T116-MAX(0,AK116-SUM(P116:S116)))</f>
        <v/>
      </c>
      <c r="AE116" s="91">
        <f>MAX(0,U116-MAX(0,AK116-SUM(P116:T116)))</f>
        <v/>
      </c>
      <c r="AF116" s="91">
        <f>MAX(0,V116-MAX(0,AK116-SUM(P116:U116)))</f>
        <v/>
      </c>
      <c r="AG116" s="91">
        <f>MAX(0,W116-MAX(0,AK116-SUM(P116:V116)))</f>
        <v/>
      </c>
      <c r="AH116" s="91">
        <f>MAX(0,X116-MAX(0,AK116-SUM(P116:W116)))</f>
        <v/>
      </c>
      <c r="AI116" s="91">
        <f>MAX(0,Y116-MAX(0,AK116-SUM(P116:X116)))</f>
        <v/>
      </c>
      <c r="AJ116" s="92">
        <f>SUM(Z115:AI115)+AL116</f>
        <v/>
      </c>
      <c r="AK116" s="92">
        <f>$AK$7-(AJ116-SUM(P116:Y116))</f>
        <v/>
      </c>
      <c r="AL116" s="91">
        <f>SUMPRODUCT(Z115:AI115,$Z$6:$AI$6)/12</f>
        <v/>
      </c>
      <c r="AM116" s="88">
        <f>SUM(Z116:AI116)</f>
        <v/>
      </c>
      <c r="AO116" s="92">
        <f>IF(AY115&lt;0.005,0,MAX(0,AY115*(1+AY$6/12)-AY$7))</f>
        <v/>
      </c>
      <c r="AP116" s="92">
        <f>IF(AZ115&lt;0.005,0,MAX(0,AZ115*(1+AZ$6/12)-AZ$7))</f>
        <v/>
      </c>
      <c r="AQ116" s="92">
        <f>IF(BA115&lt;0.005,0,MAX(0,BA115*(1+BA$6/12)-BA$7))</f>
        <v/>
      </c>
      <c r="AR116" s="92">
        <f>IF(BB115&lt;0.005,0,MAX(0,BB115*(1+BB$6/12)-BB$7))</f>
        <v/>
      </c>
      <c r="AS116" s="92">
        <f>IF(BC115&lt;0.005,0,MAX(0,BC115*(1+BC$6/12)-BC$7))</f>
        <v/>
      </c>
      <c r="AT116" s="92">
        <f>IF(BD115&lt;0.005,0,MAX(0,BD115*(1+BD$6/12)-BD$7))</f>
        <v/>
      </c>
      <c r="AU116" s="92">
        <f>IF(BE115&lt;0.005,0,MAX(0,BE115*(1+BE$6/12)-BE$7))</f>
        <v/>
      </c>
      <c r="AV116" s="92">
        <f>IF(BF115&lt;0.005,0,MAX(0,BF115*(1+BF$6/12)-BF$7))</f>
        <v/>
      </c>
      <c r="AW116" s="92">
        <f>IF(BG115&lt;0.005,0,MAX(0,BG115*(1+BG$6/12)-BG$7))</f>
        <v/>
      </c>
      <c r="AX116" s="92">
        <f>IF(BH115&lt;0.005,0,MAX(0,BH115*(1+BH$6/12)-BH$7))</f>
        <v/>
      </c>
      <c r="AY116" s="91">
        <f>MAX(0,AO116-MAX(0,BJ116-0))</f>
        <v/>
      </c>
      <c r="AZ116" s="91">
        <f>MAX(0,AP116-MAX(0,BJ116-SUM(AO116:AO116)))</f>
        <v/>
      </c>
      <c r="BA116" s="91">
        <f>MAX(0,AQ116-MAX(0,BJ116-SUM(AO116:AP116)))</f>
        <v/>
      </c>
      <c r="BB116" s="91">
        <f>MAX(0,AR116-MAX(0,BJ116-SUM(AO116:AQ116)))</f>
        <v/>
      </c>
      <c r="BC116" s="91">
        <f>MAX(0,AS116-MAX(0,BJ116-SUM(AO116:AR116)))</f>
        <v/>
      </c>
      <c r="BD116" s="91">
        <f>MAX(0,AT116-MAX(0,BJ116-SUM(AO116:AS116)))</f>
        <v/>
      </c>
      <c r="BE116" s="91">
        <f>MAX(0,AU116-MAX(0,BJ116-SUM(AO116:AT116)))</f>
        <v/>
      </c>
      <c r="BF116" s="91">
        <f>MAX(0,AV116-MAX(0,BJ116-SUM(AO116:AU116)))</f>
        <v/>
      </c>
      <c r="BG116" s="91">
        <f>MAX(0,AW116-MAX(0,BJ116-SUM(AO116:AV116)))</f>
        <v/>
      </c>
      <c r="BH116" s="91">
        <f>MAX(0,AX116-MAX(0,BJ116-SUM(AO116:AW116)))</f>
        <v/>
      </c>
      <c r="BI116" s="92">
        <f>SUM(AY115:BH115)+BK116</f>
        <v/>
      </c>
      <c r="BJ116" s="92">
        <f>$BJ$7-(BI116-SUM(AO116:AX116))</f>
        <v/>
      </c>
      <c r="BK116" s="91">
        <f>SUMPRODUCT(AY115:BH115,$AY$6:$BH$6)/12</f>
        <v/>
      </c>
      <c r="BL116" s="88">
        <f>SUM(AY116:BH116)</f>
        <v/>
      </c>
    </row>
    <row r="117">
      <c r="A117" s="24" t="n">
        <v>107</v>
      </c>
      <c r="B117" s="90">
        <f>DATE(YEAR(Settings!$C$11),MONTH(Settings!$C$11)+A117,1)</f>
        <v/>
      </c>
      <c r="C117" s="91">
        <f>IF(C116&lt;0.005,0,MAX(0,C116*(1+C$6/12)-C$7))</f>
        <v/>
      </c>
      <c r="D117" s="91">
        <f>IF(D116&lt;0.005,0,MAX(0,D116*(1+D$6/12)-D$7))</f>
        <v/>
      </c>
      <c r="E117" s="91">
        <f>IF(E116&lt;0.005,0,MAX(0,E116*(1+E$6/12)-E$7))</f>
        <v/>
      </c>
      <c r="F117" s="91">
        <f>IF(F116&lt;0.005,0,MAX(0,F116*(1+F$6/12)-F$7))</f>
        <v/>
      </c>
      <c r="G117" s="91">
        <f>IF(G116&lt;0.005,0,MAX(0,G116*(1+G$6/12)-G$7))</f>
        <v/>
      </c>
      <c r="H117" s="91">
        <f>IF(H116&lt;0.005,0,MAX(0,H116*(1+H$6/12)-H$7))</f>
        <v/>
      </c>
      <c r="I117" s="91">
        <f>IF(I116&lt;0.005,0,MAX(0,I116*(1+I$6/12)-I$7))</f>
        <v/>
      </c>
      <c r="J117" s="91">
        <f>IF(J116&lt;0.005,0,MAX(0,J116*(1+J$6/12)-J$7))</f>
        <v/>
      </c>
      <c r="K117" s="91">
        <f>IF(K116&lt;0.005,0,MAX(0,K116*(1+K$6/12)-K$7))</f>
        <v/>
      </c>
      <c r="L117" s="91">
        <f>IF(L116&lt;0.005,0,MAX(0,L116*(1+L$6/12)-L$7))</f>
        <v/>
      </c>
      <c r="M117" s="91">
        <f>SUMPRODUCT(C116:L116,$C$6:$L$6)/12</f>
        <v/>
      </c>
      <c r="N117" s="88">
        <f>SUM(C117:L117)</f>
        <v/>
      </c>
      <c r="P117" s="92">
        <f>IF(Z116&lt;0.005,0,MAX(0,Z116*(1+Z$6/12)-Z$7))</f>
        <v/>
      </c>
      <c r="Q117" s="92">
        <f>IF(AA116&lt;0.005,0,MAX(0,AA116*(1+AA$6/12)-AA$7))</f>
        <v/>
      </c>
      <c r="R117" s="92">
        <f>IF(AB116&lt;0.005,0,MAX(0,AB116*(1+AB$6/12)-AB$7))</f>
        <v/>
      </c>
      <c r="S117" s="92">
        <f>IF(AC116&lt;0.005,0,MAX(0,AC116*(1+AC$6/12)-AC$7))</f>
        <v/>
      </c>
      <c r="T117" s="92">
        <f>IF(AD116&lt;0.005,0,MAX(0,AD116*(1+AD$6/12)-AD$7))</f>
        <v/>
      </c>
      <c r="U117" s="92">
        <f>IF(AE116&lt;0.005,0,MAX(0,AE116*(1+AE$6/12)-AE$7))</f>
        <v/>
      </c>
      <c r="V117" s="92">
        <f>IF(AF116&lt;0.005,0,MAX(0,AF116*(1+AF$6/12)-AF$7))</f>
        <v/>
      </c>
      <c r="W117" s="92">
        <f>IF(AG116&lt;0.005,0,MAX(0,AG116*(1+AG$6/12)-AG$7))</f>
        <v/>
      </c>
      <c r="X117" s="92">
        <f>IF(AH116&lt;0.005,0,MAX(0,AH116*(1+AH$6/12)-AH$7))</f>
        <v/>
      </c>
      <c r="Y117" s="92">
        <f>IF(AI116&lt;0.005,0,MAX(0,AI116*(1+AI$6/12)-AI$7))</f>
        <v/>
      </c>
      <c r="Z117" s="91">
        <f>MAX(0,P117-MAX(0,AK117-0))</f>
        <v/>
      </c>
      <c r="AA117" s="91">
        <f>MAX(0,Q117-MAX(0,AK117-SUM(P117:P117)))</f>
        <v/>
      </c>
      <c r="AB117" s="91">
        <f>MAX(0,R117-MAX(0,AK117-SUM(P117:Q117)))</f>
        <v/>
      </c>
      <c r="AC117" s="91">
        <f>MAX(0,S117-MAX(0,AK117-SUM(P117:R117)))</f>
        <v/>
      </c>
      <c r="AD117" s="91">
        <f>MAX(0,T117-MAX(0,AK117-SUM(P117:S117)))</f>
        <v/>
      </c>
      <c r="AE117" s="91">
        <f>MAX(0,U117-MAX(0,AK117-SUM(P117:T117)))</f>
        <v/>
      </c>
      <c r="AF117" s="91">
        <f>MAX(0,V117-MAX(0,AK117-SUM(P117:U117)))</f>
        <v/>
      </c>
      <c r="AG117" s="91">
        <f>MAX(0,W117-MAX(0,AK117-SUM(P117:V117)))</f>
        <v/>
      </c>
      <c r="AH117" s="91">
        <f>MAX(0,X117-MAX(0,AK117-SUM(P117:W117)))</f>
        <v/>
      </c>
      <c r="AI117" s="91">
        <f>MAX(0,Y117-MAX(0,AK117-SUM(P117:X117)))</f>
        <v/>
      </c>
      <c r="AJ117" s="92">
        <f>SUM(Z116:AI116)+AL117</f>
        <v/>
      </c>
      <c r="AK117" s="92">
        <f>$AK$7-(AJ117-SUM(P117:Y117))</f>
        <v/>
      </c>
      <c r="AL117" s="91">
        <f>SUMPRODUCT(Z116:AI116,$Z$6:$AI$6)/12</f>
        <v/>
      </c>
      <c r="AM117" s="88">
        <f>SUM(Z117:AI117)</f>
        <v/>
      </c>
      <c r="AO117" s="92">
        <f>IF(AY116&lt;0.005,0,MAX(0,AY116*(1+AY$6/12)-AY$7))</f>
        <v/>
      </c>
      <c r="AP117" s="92">
        <f>IF(AZ116&lt;0.005,0,MAX(0,AZ116*(1+AZ$6/12)-AZ$7))</f>
        <v/>
      </c>
      <c r="AQ117" s="92">
        <f>IF(BA116&lt;0.005,0,MAX(0,BA116*(1+BA$6/12)-BA$7))</f>
        <v/>
      </c>
      <c r="AR117" s="92">
        <f>IF(BB116&lt;0.005,0,MAX(0,BB116*(1+BB$6/12)-BB$7))</f>
        <v/>
      </c>
      <c r="AS117" s="92">
        <f>IF(BC116&lt;0.005,0,MAX(0,BC116*(1+BC$6/12)-BC$7))</f>
        <v/>
      </c>
      <c r="AT117" s="92">
        <f>IF(BD116&lt;0.005,0,MAX(0,BD116*(1+BD$6/12)-BD$7))</f>
        <v/>
      </c>
      <c r="AU117" s="92">
        <f>IF(BE116&lt;0.005,0,MAX(0,BE116*(1+BE$6/12)-BE$7))</f>
        <v/>
      </c>
      <c r="AV117" s="92">
        <f>IF(BF116&lt;0.005,0,MAX(0,BF116*(1+BF$6/12)-BF$7))</f>
        <v/>
      </c>
      <c r="AW117" s="92">
        <f>IF(BG116&lt;0.005,0,MAX(0,BG116*(1+BG$6/12)-BG$7))</f>
        <v/>
      </c>
      <c r="AX117" s="92">
        <f>IF(BH116&lt;0.005,0,MAX(0,BH116*(1+BH$6/12)-BH$7))</f>
        <v/>
      </c>
      <c r="AY117" s="91">
        <f>MAX(0,AO117-MAX(0,BJ117-0))</f>
        <v/>
      </c>
      <c r="AZ117" s="91">
        <f>MAX(0,AP117-MAX(0,BJ117-SUM(AO117:AO117)))</f>
        <v/>
      </c>
      <c r="BA117" s="91">
        <f>MAX(0,AQ117-MAX(0,BJ117-SUM(AO117:AP117)))</f>
        <v/>
      </c>
      <c r="BB117" s="91">
        <f>MAX(0,AR117-MAX(0,BJ117-SUM(AO117:AQ117)))</f>
        <v/>
      </c>
      <c r="BC117" s="91">
        <f>MAX(0,AS117-MAX(0,BJ117-SUM(AO117:AR117)))</f>
        <v/>
      </c>
      <c r="BD117" s="91">
        <f>MAX(0,AT117-MAX(0,BJ117-SUM(AO117:AS117)))</f>
        <v/>
      </c>
      <c r="BE117" s="91">
        <f>MAX(0,AU117-MAX(0,BJ117-SUM(AO117:AT117)))</f>
        <v/>
      </c>
      <c r="BF117" s="91">
        <f>MAX(0,AV117-MAX(0,BJ117-SUM(AO117:AU117)))</f>
        <v/>
      </c>
      <c r="BG117" s="91">
        <f>MAX(0,AW117-MAX(0,BJ117-SUM(AO117:AV117)))</f>
        <v/>
      </c>
      <c r="BH117" s="91">
        <f>MAX(0,AX117-MAX(0,BJ117-SUM(AO117:AW117)))</f>
        <v/>
      </c>
      <c r="BI117" s="92">
        <f>SUM(AY116:BH116)+BK117</f>
        <v/>
      </c>
      <c r="BJ117" s="92">
        <f>$BJ$7-(BI117-SUM(AO117:AX117))</f>
        <v/>
      </c>
      <c r="BK117" s="91">
        <f>SUMPRODUCT(AY116:BH116,$AY$6:$BH$6)/12</f>
        <v/>
      </c>
      <c r="BL117" s="88">
        <f>SUM(AY117:BH117)</f>
        <v/>
      </c>
    </row>
    <row r="118">
      <c r="A118" s="24" t="n">
        <v>108</v>
      </c>
      <c r="B118" s="90">
        <f>DATE(YEAR(Settings!$C$11),MONTH(Settings!$C$11)+A118,1)</f>
        <v/>
      </c>
      <c r="C118" s="91">
        <f>IF(C117&lt;0.005,0,MAX(0,C117*(1+C$6/12)-C$7))</f>
        <v/>
      </c>
      <c r="D118" s="91">
        <f>IF(D117&lt;0.005,0,MAX(0,D117*(1+D$6/12)-D$7))</f>
        <v/>
      </c>
      <c r="E118" s="91">
        <f>IF(E117&lt;0.005,0,MAX(0,E117*(1+E$6/12)-E$7))</f>
        <v/>
      </c>
      <c r="F118" s="91">
        <f>IF(F117&lt;0.005,0,MAX(0,F117*(1+F$6/12)-F$7))</f>
        <v/>
      </c>
      <c r="G118" s="91">
        <f>IF(G117&lt;0.005,0,MAX(0,G117*(1+G$6/12)-G$7))</f>
        <v/>
      </c>
      <c r="H118" s="91">
        <f>IF(H117&lt;0.005,0,MAX(0,H117*(1+H$6/12)-H$7))</f>
        <v/>
      </c>
      <c r="I118" s="91">
        <f>IF(I117&lt;0.005,0,MAX(0,I117*(1+I$6/12)-I$7))</f>
        <v/>
      </c>
      <c r="J118" s="91">
        <f>IF(J117&lt;0.005,0,MAX(0,J117*(1+J$6/12)-J$7))</f>
        <v/>
      </c>
      <c r="K118" s="91">
        <f>IF(K117&lt;0.005,0,MAX(0,K117*(1+K$6/12)-K$7))</f>
        <v/>
      </c>
      <c r="L118" s="91">
        <f>IF(L117&lt;0.005,0,MAX(0,L117*(1+L$6/12)-L$7))</f>
        <v/>
      </c>
      <c r="M118" s="91">
        <f>SUMPRODUCT(C117:L117,$C$6:$L$6)/12</f>
        <v/>
      </c>
      <c r="N118" s="88">
        <f>SUM(C118:L118)</f>
        <v/>
      </c>
      <c r="P118" s="92">
        <f>IF(Z117&lt;0.005,0,MAX(0,Z117*(1+Z$6/12)-Z$7))</f>
        <v/>
      </c>
      <c r="Q118" s="92">
        <f>IF(AA117&lt;0.005,0,MAX(0,AA117*(1+AA$6/12)-AA$7))</f>
        <v/>
      </c>
      <c r="R118" s="92">
        <f>IF(AB117&lt;0.005,0,MAX(0,AB117*(1+AB$6/12)-AB$7))</f>
        <v/>
      </c>
      <c r="S118" s="92">
        <f>IF(AC117&lt;0.005,0,MAX(0,AC117*(1+AC$6/12)-AC$7))</f>
        <v/>
      </c>
      <c r="T118" s="92">
        <f>IF(AD117&lt;0.005,0,MAX(0,AD117*(1+AD$6/12)-AD$7))</f>
        <v/>
      </c>
      <c r="U118" s="92">
        <f>IF(AE117&lt;0.005,0,MAX(0,AE117*(1+AE$6/12)-AE$7))</f>
        <v/>
      </c>
      <c r="V118" s="92">
        <f>IF(AF117&lt;0.005,0,MAX(0,AF117*(1+AF$6/12)-AF$7))</f>
        <v/>
      </c>
      <c r="W118" s="92">
        <f>IF(AG117&lt;0.005,0,MAX(0,AG117*(1+AG$6/12)-AG$7))</f>
        <v/>
      </c>
      <c r="X118" s="92">
        <f>IF(AH117&lt;0.005,0,MAX(0,AH117*(1+AH$6/12)-AH$7))</f>
        <v/>
      </c>
      <c r="Y118" s="92">
        <f>IF(AI117&lt;0.005,0,MAX(0,AI117*(1+AI$6/12)-AI$7))</f>
        <v/>
      </c>
      <c r="Z118" s="91">
        <f>MAX(0,P118-MAX(0,AK118-0))</f>
        <v/>
      </c>
      <c r="AA118" s="91">
        <f>MAX(0,Q118-MAX(0,AK118-SUM(P118:P118)))</f>
        <v/>
      </c>
      <c r="AB118" s="91">
        <f>MAX(0,R118-MAX(0,AK118-SUM(P118:Q118)))</f>
        <v/>
      </c>
      <c r="AC118" s="91">
        <f>MAX(0,S118-MAX(0,AK118-SUM(P118:R118)))</f>
        <v/>
      </c>
      <c r="AD118" s="91">
        <f>MAX(0,T118-MAX(0,AK118-SUM(P118:S118)))</f>
        <v/>
      </c>
      <c r="AE118" s="91">
        <f>MAX(0,U118-MAX(0,AK118-SUM(P118:T118)))</f>
        <v/>
      </c>
      <c r="AF118" s="91">
        <f>MAX(0,V118-MAX(0,AK118-SUM(P118:U118)))</f>
        <v/>
      </c>
      <c r="AG118" s="91">
        <f>MAX(0,W118-MAX(0,AK118-SUM(P118:V118)))</f>
        <v/>
      </c>
      <c r="AH118" s="91">
        <f>MAX(0,X118-MAX(0,AK118-SUM(P118:W118)))</f>
        <v/>
      </c>
      <c r="AI118" s="91">
        <f>MAX(0,Y118-MAX(0,AK118-SUM(P118:X118)))</f>
        <v/>
      </c>
      <c r="AJ118" s="92">
        <f>SUM(Z117:AI117)+AL118</f>
        <v/>
      </c>
      <c r="AK118" s="92">
        <f>$AK$7-(AJ118-SUM(P118:Y118))</f>
        <v/>
      </c>
      <c r="AL118" s="91">
        <f>SUMPRODUCT(Z117:AI117,$Z$6:$AI$6)/12</f>
        <v/>
      </c>
      <c r="AM118" s="88">
        <f>SUM(Z118:AI118)</f>
        <v/>
      </c>
      <c r="AO118" s="92">
        <f>IF(AY117&lt;0.005,0,MAX(0,AY117*(1+AY$6/12)-AY$7))</f>
        <v/>
      </c>
      <c r="AP118" s="92">
        <f>IF(AZ117&lt;0.005,0,MAX(0,AZ117*(1+AZ$6/12)-AZ$7))</f>
        <v/>
      </c>
      <c r="AQ118" s="92">
        <f>IF(BA117&lt;0.005,0,MAX(0,BA117*(1+BA$6/12)-BA$7))</f>
        <v/>
      </c>
      <c r="AR118" s="92">
        <f>IF(BB117&lt;0.005,0,MAX(0,BB117*(1+BB$6/12)-BB$7))</f>
        <v/>
      </c>
      <c r="AS118" s="92">
        <f>IF(BC117&lt;0.005,0,MAX(0,BC117*(1+BC$6/12)-BC$7))</f>
        <v/>
      </c>
      <c r="AT118" s="92">
        <f>IF(BD117&lt;0.005,0,MAX(0,BD117*(1+BD$6/12)-BD$7))</f>
        <v/>
      </c>
      <c r="AU118" s="92">
        <f>IF(BE117&lt;0.005,0,MAX(0,BE117*(1+BE$6/12)-BE$7))</f>
        <v/>
      </c>
      <c r="AV118" s="92">
        <f>IF(BF117&lt;0.005,0,MAX(0,BF117*(1+BF$6/12)-BF$7))</f>
        <v/>
      </c>
      <c r="AW118" s="92">
        <f>IF(BG117&lt;0.005,0,MAX(0,BG117*(1+BG$6/12)-BG$7))</f>
        <v/>
      </c>
      <c r="AX118" s="92">
        <f>IF(BH117&lt;0.005,0,MAX(0,BH117*(1+BH$6/12)-BH$7))</f>
        <v/>
      </c>
      <c r="AY118" s="91">
        <f>MAX(0,AO118-MAX(0,BJ118-0))</f>
        <v/>
      </c>
      <c r="AZ118" s="91">
        <f>MAX(0,AP118-MAX(0,BJ118-SUM(AO118:AO118)))</f>
        <v/>
      </c>
      <c r="BA118" s="91">
        <f>MAX(0,AQ118-MAX(0,BJ118-SUM(AO118:AP118)))</f>
        <v/>
      </c>
      <c r="BB118" s="91">
        <f>MAX(0,AR118-MAX(0,BJ118-SUM(AO118:AQ118)))</f>
        <v/>
      </c>
      <c r="BC118" s="91">
        <f>MAX(0,AS118-MAX(0,BJ118-SUM(AO118:AR118)))</f>
        <v/>
      </c>
      <c r="BD118" s="91">
        <f>MAX(0,AT118-MAX(0,BJ118-SUM(AO118:AS118)))</f>
        <v/>
      </c>
      <c r="BE118" s="91">
        <f>MAX(0,AU118-MAX(0,BJ118-SUM(AO118:AT118)))</f>
        <v/>
      </c>
      <c r="BF118" s="91">
        <f>MAX(0,AV118-MAX(0,BJ118-SUM(AO118:AU118)))</f>
        <v/>
      </c>
      <c r="BG118" s="91">
        <f>MAX(0,AW118-MAX(0,BJ118-SUM(AO118:AV118)))</f>
        <v/>
      </c>
      <c r="BH118" s="91">
        <f>MAX(0,AX118-MAX(0,BJ118-SUM(AO118:AW118)))</f>
        <v/>
      </c>
      <c r="BI118" s="92">
        <f>SUM(AY117:BH117)+BK118</f>
        <v/>
      </c>
      <c r="BJ118" s="92">
        <f>$BJ$7-(BI118-SUM(AO118:AX118))</f>
        <v/>
      </c>
      <c r="BK118" s="91">
        <f>SUMPRODUCT(AY117:BH117,$AY$6:$BH$6)/12</f>
        <v/>
      </c>
      <c r="BL118" s="88">
        <f>SUM(AY118:BH118)</f>
        <v/>
      </c>
    </row>
    <row r="119">
      <c r="A119" s="24" t="n">
        <v>109</v>
      </c>
      <c r="B119" s="90">
        <f>DATE(YEAR(Settings!$C$11),MONTH(Settings!$C$11)+A119,1)</f>
        <v/>
      </c>
      <c r="C119" s="91">
        <f>IF(C118&lt;0.005,0,MAX(0,C118*(1+C$6/12)-C$7))</f>
        <v/>
      </c>
      <c r="D119" s="91">
        <f>IF(D118&lt;0.005,0,MAX(0,D118*(1+D$6/12)-D$7))</f>
        <v/>
      </c>
      <c r="E119" s="91">
        <f>IF(E118&lt;0.005,0,MAX(0,E118*(1+E$6/12)-E$7))</f>
        <v/>
      </c>
      <c r="F119" s="91">
        <f>IF(F118&lt;0.005,0,MAX(0,F118*(1+F$6/12)-F$7))</f>
        <v/>
      </c>
      <c r="G119" s="91">
        <f>IF(G118&lt;0.005,0,MAX(0,G118*(1+G$6/12)-G$7))</f>
        <v/>
      </c>
      <c r="H119" s="91">
        <f>IF(H118&lt;0.005,0,MAX(0,H118*(1+H$6/12)-H$7))</f>
        <v/>
      </c>
      <c r="I119" s="91">
        <f>IF(I118&lt;0.005,0,MAX(0,I118*(1+I$6/12)-I$7))</f>
        <v/>
      </c>
      <c r="J119" s="91">
        <f>IF(J118&lt;0.005,0,MAX(0,J118*(1+J$6/12)-J$7))</f>
        <v/>
      </c>
      <c r="K119" s="91">
        <f>IF(K118&lt;0.005,0,MAX(0,K118*(1+K$6/12)-K$7))</f>
        <v/>
      </c>
      <c r="L119" s="91">
        <f>IF(L118&lt;0.005,0,MAX(0,L118*(1+L$6/12)-L$7))</f>
        <v/>
      </c>
      <c r="M119" s="91">
        <f>SUMPRODUCT(C118:L118,$C$6:$L$6)/12</f>
        <v/>
      </c>
      <c r="N119" s="88">
        <f>SUM(C119:L119)</f>
        <v/>
      </c>
      <c r="P119" s="92">
        <f>IF(Z118&lt;0.005,0,MAX(0,Z118*(1+Z$6/12)-Z$7))</f>
        <v/>
      </c>
      <c r="Q119" s="92">
        <f>IF(AA118&lt;0.005,0,MAX(0,AA118*(1+AA$6/12)-AA$7))</f>
        <v/>
      </c>
      <c r="R119" s="92">
        <f>IF(AB118&lt;0.005,0,MAX(0,AB118*(1+AB$6/12)-AB$7))</f>
        <v/>
      </c>
      <c r="S119" s="92">
        <f>IF(AC118&lt;0.005,0,MAX(0,AC118*(1+AC$6/12)-AC$7))</f>
        <v/>
      </c>
      <c r="T119" s="92">
        <f>IF(AD118&lt;0.005,0,MAX(0,AD118*(1+AD$6/12)-AD$7))</f>
        <v/>
      </c>
      <c r="U119" s="92">
        <f>IF(AE118&lt;0.005,0,MAX(0,AE118*(1+AE$6/12)-AE$7))</f>
        <v/>
      </c>
      <c r="V119" s="92">
        <f>IF(AF118&lt;0.005,0,MAX(0,AF118*(1+AF$6/12)-AF$7))</f>
        <v/>
      </c>
      <c r="W119" s="92">
        <f>IF(AG118&lt;0.005,0,MAX(0,AG118*(1+AG$6/12)-AG$7))</f>
        <v/>
      </c>
      <c r="X119" s="92">
        <f>IF(AH118&lt;0.005,0,MAX(0,AH118*(1+AH$6/12)-AH$7))</f>
        <v/>
      </c>
      <c r="Y119" s="92">
        <f>IF(AI118&lt;0.005,0,MAX(0,AI118*(1+AI$6/12)-AI$7))</f>
        <v/>
      </c>
      <c r="Z119" s="91">
        <f>MAX(0,P119-MAX(0,AK119-0))</f>
        <v/>
      </c>
      <c r="AA119" s="91">
        <f>MAX(0,Q119-MAX(0,AK119-SUM(P119:P119)))</f>
        <v/>
      </c>
      <c r="AB119" s="91">
        <f>MAX(0,R119-MAX(0,AK119-SUM(P119:Q119)))</f>
        <v/>
      </c>
      <c r="AC119" s="91">
        <f>MAX(0,S119-MAX(0,AK119-SUM(P119:R119)))</f>
        <v/>
      </c>
      <c r="AD119" s="91">
        <f>MAX(0,T119-MAX(0,AK119-SUM(P119:S119)))</f>
        <v/>
      </c>
      <c r="AE119" s="91">
        <f>MAX(0,U119-MAX(0,AK119-SUM(P119:T119)))</f>
        <v/>
      </c>
      <c r="AF119" s="91">
        <f>MAX(0,V119-MAX(0,AK119-SUM(P119:U119)))</f>
        <v/>
      </c>
      <c r="AG119" s="91">
        <f>MAX(0,W119-MAX(0,AK119-SUM(P119:V119)))</f>
        <v/>
      </c>
      <c r="AH119" s="91">
        <f>MAX(0,X119-MAX(0,AK119-SUM(P119:W119)))</f>
        <v/>
      </c>
      <c r="AI119" s="91">
        <f>MAX(0,Y119-MAX(0,AK119-SUM(P119:X119)))</f>
        <v/>
      </c>
      <c r="AJ119" s="92">
        <f>SUM(Z118:AI118)+AL119</f>
        <v/>
      </c>
      <c r="AK119" s="92">
        <f>$AK$7-(AJ119-SUM(P119:Y119))</f>
        <v/>
      </c>
      <c r="AL119" s="91">
        <f>SUMPRODUCT(Z118:AI118,$Z$6:$AI$6)/12</f>
        <v/>
      </c>
      <c r="AM119" s="88">
        <f>SUM(Z119:AI119)</f>
        <v/>
      </c>
      <c r="AO119" s="92">
        <f>IF(AY118&lt;0.005,0,MAX(0,AY118*(1+AY$6/12)-AY$7))</f>
        <v/>
      </c>
      <c r="AP119" s="92">
        <f>IF(AZ118&lt;0.005,0,MAX(0,AZ118*(1+AZ$6/12)-AZ$7))</f>
        <v/>
      </c>
      <c r="AQ119" s="92">
        <f>IF(BA118&lt;0.005,0,MAX(0,BA118*(1+BA$6/12)-BA$7))</f>
        <v/>
      </c>
      <c r="AR119" s="92">
        <f>IF(BB118&lt;0.005,0,MAX(0,BB118*(1+BB$6/12)-BB$7))</f>
        <v/>
      </c>
      <c r="AS119" s="92">
        <f>IF(BC118&lt;0.005,0,MAX(0,BC118*(1+BC$6/12)-BC$7))</f>
        <v/>
      </c>
      <c r="AT119" s="92">
        <f>IF(BD118&lt;0.005,0,MAX(0,BD118*(1+BD$6/12)-BD$7))</f>
        <v/>
      </c>
      <c r="AU119" s="92">
        <f>IF(BE118&lt;0.005,0,MAX(0,BE118*(1+BE$6/12)-BE$7))</f>
        <v/>
      </c>
      <c r="AV119" s="92">
        <f>IF(BF118&lt;0.005,0,MAX(0,BF118*(1+BF$6/12)-BF$7))</f>
        <v/>
      </c>
      <c r="AW119" s="92">
        <f>IF(BG118&lt;0.005,0,MAX(0,BG118*(1+BG$6/12)-BG$7))</f>
        <v/>
      </c>
      <c r="AX119" s="92">
        <f>IF(BH118&lt;0.005,0,MAX(0,BH118*(1+BH$6/12)-BH$7))</f>
        <v/>
      </c>
      <c r="AY119" s="91">
        <f>MAX(0,AO119-MAX(0,BJ119-0))</f>
        <v/>
      </c>
      <c r="AZ119" s="91">
        <f>MAX(0,AP119-MAX(0,BJ119-SUM(AO119:AO119)))</f>
        <v/>
      </c>
      <c r="BA119" s="91">
        <f>MAX(0,AQ119-MAX(0,BJ119-SUM(AO119:AP119)))</f>
        <v/>
      </c>
      <c r="BB119" s="91">
        <f>MAX(0,AR119-MAX(0,BJ119-SUM(AO119:AQ119)))</f>
        <v/>
      </c>
      <c r="BC119" s="91">
        <f>MAX(0,AS119-MAX(0,BJ119-SUM(AO119:AR119)))</f>
        <v/>
      </c>
      <c r="BD119" s="91">
        <f>MAX(0,AT119-MAX(0,BJ119-SUM(AO119:AS119)))</f>
        <v/>
      </c>
      <c r="BE119" s="91">
        <f>MAX(0,AU119-MAX(0,BJ119-SUM(AO119:AT119)))</f>
        <v/>
      </c>
      <c r="BF119" s="91">
        <f>MAX(0,AV119-MAX(0,BJ119-SUM(AO119:AU119)))</f>
        <v/>
      </c>
      <c r="BG119" s="91">
        <f>MAX(0,AW119-MAX(0,BJ119-SUM(AO119:AV119)))</f>
        <v/>
      </c>
      <c r="BH119" s="91">
        <f>MAX(0,AX119-MAX(0,BJ119-SUM(AO119:AW119)))</f>
        <v/>
      </c>
      <c r="BI119" s="92">
        <f>SUM(AY118:BH118)+BK119</f>
        <v/>
      </c>
      <c r="BJ119" s="92">
        <f>$BJ$7-(BI119-SUM(AO119:AX119))</f>
        <v/>
      </c>
      <c r="BK119" s="91">
        <f>SUMPRODUCT(AY118:BH118,$AY$6:$BH$6)/12</f>
        <v/>
      </c>
      <c r="BL119" s="88">
        <f>SUM(AY119:BH119)</f>
        <v/>
      </c>
    </row>
    <row r="120">
      <c r="A120" s="24" t="n">
        <v>110</v>
      </c>
      <c r="B120" s="90">
        <f>DATE(YEAR(Settings!$C$11),MONTH(Settings!$C$11)+A120,1)</f>
        <v/>
      </c>
      <c r="C120" s="91">
        <f>IF(C119&lt;0.005,0,MAX(0,C119*(1+C$6/12)-C$7))</f>
        <v/>
      </c>
      <c r="D120" s="91">
        <f>IF(D119&lt;0.005,0,MAX(0,D119*(1+D$6/12)-D$7))</f>
        <v/>
      </c>
      <c r="E120" s="91">
        <f>IF(E119&lt;0.005,0,MAX(0,E119*(1+E$6/12)-E$7))</f>
        <v/>
      </c>
      <c r="F120" s="91">
        <f>IF(F119&lt;0.005,0,MAX(0,F119*(1+F$6/12)-F$7))</f>
        <v/>
      </c>
      <c r="G120" s="91">
        <f>IF(G119&lt;0.005,0,MAX(0,G119*(1+G$6/12)-G$7))</f>
        <v/>
      </c>
      <c r="H120" s="91">
        <f>IF(H119&lt;0.005,0,MAX(0,H119*(1+H$6/12)-H$7))</f>
        <v/>
      </c>
      <c r="I120" s="91">
        <f>IF(I119&lt;0.005,0,MAX(0,I119*(1+I$6/12)-I$7))</f>
        <v/>
      </c>
      <c r="J120" s="91">
        <f>IF(J119&lt;0.005,0,MAX(0,J119*(1+J$6/12)-J$7))</f>
        <v/>
      </c>
      <c r="K120" s="91">
        <f>IF(K119&lt;0.005,0,MAX(0,K119*(1+K$6/12)-K$7))</f>
        <v/>
      </c>
      <c r="L120" s="91">
        <f>IF(L119&lt;0.005,0,MAX(0,L119*(1+L$6/12)-L$7))</f>
        <v/>
      </c>
      <c r="M120" s="91">
        <f>SUMPRODUCT(C119:L119,$C$6:$L$6)/12</f>
        <v/>
      </c>
      <c r="N120" s="88">
        <f>SUM(C120:L120)</f>
        <v/>
      </c>
      <c r="P120" s="92">
        <f>IF(Z119&lt;0.005,0,MAX(0,Z119*(1+Z$6/12)-Z$7))</f>
        <v/>
      </c>
      <c r="Q120" s="92">
        <f>IF(AA119&lt;0.005,0,MAX(0,AA119*(1+AA$6/12)-AA$7))</f>
        <v/>
      </c>
      <c r="R120" s="92">
        <f>IF(AB119&lt;0.005,0,MAX(0,AB119*(1+AB$6/12)-AB$7))</f>
        <v/>
      </c>
      <c r="S120" s="92">
        <f>IF(AC119&lt;0.005,0,MAX(0,AC119*(1+AC$6/12)-AC$7))</f>
        <v/>
      </c>
      <c r="T120" s="92">
        <f>IF(AD119&lt;0.005,0,MAX(0,AD119*(1+AD$6/12)-AD$7))</f>
        <v/>
      </c>
      <c r="U120" s="92">
        <f>IF(AE119&lt;0.005,0,MAX(0,AE119*(1+AE$6/12)-AE$7))</f>
        <v/>
      </c>
      <c r="V120" s="92">
        <f>IF(AF119&lt;0.005,0,MAX(0,AF119*(1+AF$6/12)-AF$7))</f>
        <v/>
      </c>
      <c r="W120" s="92">
        <f>IF(AG119&lt;0.005,0,MAX(0,AG119*(1+AG$6/12)-AG$7))</f>
        <v/>
      </c>
      <c r="X120" s="92">
        <f>IF(AH119&lt;0.005,0,MAX(0,AH119*(1+AH$6/12)-AH$7))</f>
        <v/>
      </c>
      <c r="Y120" s="92">
        <f>IF(AI119&lt;0.005,0,MAX(0,AI119*(1+AI$6/12)-AI$7))</f>
        <v/>
      </c>
      <c r="Z120" s="91">
        <f>MAX(0,P120-MAX(0,AK120-0))</f>
        <v/>
      </c>
      <c r="AA120" s="91">
        <f>MAX(0,Q120-MAX(0,AK120-SUM(P120:P120)))</f>
        <v/>
      </c>
      <c r="AB120" s="91">
        <f>MAX(0,R120-MAX(0,AK120-SUM(P120:Q120)))</f>
        <v/>
      </c>
      <c r="AC120" s="91">
        <f>MAX(0,S120-MAX(0,AK120-SUM(P120:R120)))</f>
        <v/>
      </c>
      <c r="AD120" s="91">
        <f>MAX(0,T120-MAX(0,AK120-SUM(P120:S120)))</f>
        <v/>
      </c>
      <c r="AE120" s="91">
        <f>MAX(0,U120-MAX(0,AK120-SUM(P120:T120)))</f>
        <v/>
      </c>
      <c r="AF120" s="91">
        <f>MAX(0,V120-MAX(0,AK120-SUM(P120:U120)))</f>
        <v/>
      </c>
      <c r="AG120" s="91">
        <f>MAX(0,W120-MAX(0,AK120-SUM(P120:V120)))</f>
        <v/>
      </c>
      <c r="AH120" s="91">
        <f>MAX(0,X120-MAX(0,AK120-SUM(P120:W120)))</f>
        <v/>
      </c>
      <c r="AI120" s="91">
        <f>MAX(0,Y120-MAX(0,AK120-SUM(P120:X120)))</f>
        <v/>
      </c>
      <c r="AJ120" s="92">
        <f>SUM(Z119:AI119)+AL120</f>
        <v/>
      </c>
      <c r="AK120" s="92">
        <f>$AK$7-(AJ120-SUM(P120:Y120))</f>
        <v/>
      </c>
      <c r="AL120" s="91">
        <f>SUMPRODUCT(Z119:AI119,$Z$6:$AI$6)/12</f>
        <v/>
      </c>
      <c r="AM120" s="88">
        <f>SUM(Z120:AI120)</f>
        <v/>
      </c>
      <c r="AO120" s="92">
        <f>IF(AY119&lt;0.005,0,MAX(0,AY119*(1+AY$6/12)-AY$7))</f>
        <v/>
      </c>
      <c r="AP120" s="92">
        <f>IF(AZ119&lt;0.005,0,MAX(0,AZ119*(1+AZ$6/12)-AZ$7))</f>
        <v/>
      </c>
      <c r="AQ120" s="92">
        <f>IF(BA119&lt;0.005,0,MAX(0,BA119*(1+BA$6/12)-BA$7))</f>
        <v/>
      </c>
      <c r="AR120" s="92">
        <f>IF(BB119&lt;0.005,0,MAX(0,BB119*(1+BB$6/12)-BB$7))</f>
        <v/>
      </c>
      <c r="AS120" s="92">
        <f>IF(BC119&lt;0.005,0,MAX(0,BC119*(1+BC$6/12)-BC$7))</f>
        <v/>
      </c>
      <c r="AT120" s="92">
        <f>IF(BD119&lt;0.005,0,MAX(0,BD119*(1+BD$6/12)-BD$7))</f>
        <v/>
      </c>
      <c r="AU120" s="92">
        <f>IF(BE119&lt;0.005,0,MAX(0,BE119*(1+BE$6/12)-BE$7))</f>
        <v/>
      </c>
      <c r="AV120" s="92">
        <f>IF(BF119&lt;0.005,0,MAX(0,BF119*(1+BF$6/12)-BF$7))</f>
        <v/>
      </c>
      <c r="AW120" s="92">
        <f>IF(BG119&lt;0.005,0,MAX(0,BG119*(1+BG$6/12)-BG$7))</f>
        <v/>
      </c>
      <c r="AX120" s="92">
        <f>IF(BH119&lt;0.005,0,MAX(0,BH119*(1+BH$6/12)-BH$7))</f>
        <v/>
      </c>
      <c r="AY120" s="91">
        <f>MAX(0,AO120-MAX(0,BJ120-0))</f>
        <v/>
      </c>
      <c r="AZ120" s="91">
        <f>MAX(0,AP120-MAX(0,BJ120-SUM(AO120:AO120)))</f>
        <v/>
      </c>
      <c r="BA120" s="91">
        <f>MAX(0,AQ120-MAX(0,BJ120-SUM(AO120:AP120)))</f>
        <v/>
      </c>
      <c r="BB120" s="91">
        <f>MAX(0,AR120-MAX(0,BJ120-SUM(AO120:AQ120)))</f>
        <v/>
      </c>
      <c r="BC120" s="91">
        <f>MAX(0,AS120-MAX(0,BJ120-SUM(AO120:AR120)))</f>
        <v/>
      </c>
      <c r="BD120" s="91">
        <f>MAX(0,AT120-MAX(0,BJ120-SUM(AO120:AS120)))</f>
        <v/>
      </c>
      <c r="BE120" s="91">
        <f>MAX(0,AU120-MAX(0,BJ120-SUM(AO120:AT120)))</f>
        <v/>
      </c>
      <c r="BF120" s="91">
        <f>MAX(0,AV120-MAX(0,BJ120-SUM(AO120:AU120)))</f>
        <v/>
      </c>
      <c r="BG120" s="91">
        <f>MAX(0,AW120-MAX(0,BJ120-SUM(AO120:AV120)))</f>
        <v/>
      </c>
      <c r="BH120" s="91">
        <f>MAX(0,AX120-MAX(0,BJ120-SUM(AO120:AW120)))</f>
        <v/>
      </c>
      <c r="BI120" s="92">
        <f>SUM(AY119:BH119)+BK120</f>
        <v/>
      </c>
      <c r="BJ120" s="92">
        <f>$BJ$7-(BI120-SUM(AO120:AX120))</f>
        <v/>
      </c>
      <c r="BK120" s="91">
        <f>SUMPRODUCT(AY119:BH119,$AY$6:$BH$6)/12</f>
        <v/>
      </c>
      <c r="BL120" s="88">
        <f>SUM(AY120:BH120)</f>
        <v/>
      </c>
    </row>
    <row r="121">
      <c r="A121" s="24" t="n">
        <v>111</v>
      </c>
      <c r="B121" s="90">
        <f>DATE(YEAR(Settings!$C$11),MONTH(Settings!$C$11)+A121,1)</f>
        <v/>
      </c>
      <c r="C121" s="91">
        <f>IF(C120&lt;0.005,0,MAX(0,C120*(1+C$6/12)-C$7))</f>
        <v/>
      </c>
      <c r="D121" s="91">
        <f>IF(D120&lt;0.005,0,MAX(0,D120*(1+D$6/12)-D$7))</f>
        <v/>
      </c>
      <c r="E121" s="91">
        <f>IF(E120&lt;0.005,0,MAX(0,E120*(1+E$6/12)-E$7))</f>
        <v/>
      </c>
      <c r="F121" s="91">
        <f>IF(F120&lt;0.005,0,MAX(0,F120*(1+F$6/12)-F$7))</f>
        <v/>
      </c>
      <c r="G121" s="91">
        <f>IF(G120&lt;0.005,0,MAX(0,G120*(1+G$6/12)-G$7))</f>
        <v/>
      </c>
      <c r="H121" s="91">
        <f>IF(H120&lt;0.005,0,MAX(0,H120*(1+H$6/12)-H$7))</f>
        <v/>
      </c>
      <c r="I121" s="91">
        <f>IF(I120&lt;0.005,0,MAX(0,I120*(1+I$6/12)-I$7))</f>
        <v/>
      </c>
      <c r="J121" s="91">
        <f>IF(J120&lt;0.005,0,MAX(0,J120*(1+J$6/12)-J$7))</f>
        <v/>
      </c>
      <c r="K121" s="91">
        <f>IF(K120&lt;0.005,0,MAX(0,K120*(1+K$6/12)-K$7))</f>
        <v/>
      </c>
      <c r="L121" s="91">
        <f>IF(L120&lt;0.005,0,MAX(0,L120*(1+L$6/12)-L$7))</f>
        <v/>
      </c>
      <c r="M121" s="91">
        <f>SUMPRODUCT(C120:L120,$C$6:$L$6)/12</f>
        <v/>
      </c>
      <c r="N121" s="88">
        <f>SUM(C121:L121)</f>
        <v/>
      </c>
      <c r="P121" s="92">
        <f>IF(Z120&lt;0.005,0,MAX(0,Z120*(1+Z$6/12)-Z$7))</f>
        <v/>
      </c>
      <c r="Q121" s="92">
        <f>IF(AA120&lt;0.005,0,MAX(0,AA120*(1+AA$6/12)-AA$7))</f>
        <v/>
      </c>
      <c r="R121" s="92">
        <f>IF(AB120&lt;0.005,0,MAX(0,AB120*(1+AB$6/12)-AB$7))</f>
        <v/>
      </c>
      <c r="S121" s="92">
        <f>IF(AC120&lt;0.005,0,MAX(0,AC120*(1+AC$6/12)-AC$7))</f>
        <v/>
      </c>
      <c r="T121" s="92">
        <f>IF(AD120&lt;0.005,0,MAX(0,AD120*(1+AD$6/12)-AD$7))</f>
        <v/>
      </c>
      <c r="U121" s="92">
        <f>IF(AE120&lt;0.005,0,MAX(0,AE120*(1+AE$6/12)-AE$7))</f>
        <v/>
      </c>
      <c r="V121" s="92">
        <f>IF(AF120&lt;0.005,0,MAX(0,AF120*(1+AF$6/12)-AF$7))</f>
        <v/>
      </c>
      <c r="W121" s="92">
        <f>IF(AG120&lt;0.005,0,MAX(0,AG120*(1+AG$6/12)-AG$7))</f>
        <v/>
      </c>
      <c r="X121" s="92">
        <f>IF(AH120&lt;0.005,0,MAX(0,AH120*(1+AH$6/12)-AH$7))</f>
        <v/>
      </c>
      <c r="Y121" s="92">
        <f>IF(AI120&lt;0.005,0,MAX(0,AI120*(1+AI$6/12)-AI$7))</f>
        <v/>
      </c>
      <c r="Z121" s="91">
        <f>MAX(0,P121-MAX(0,AK121-0))</f>
        <v/>
      </c>
      <c r="AA121" s="91">
        <f>MAX(0,Q121-MAX(0,AK121-SUM(P121:P121)))</f>
        <v/>
      </c>
      <c r="AB121" s="91">
        <f>MAX(0,R121-MAX(0,AK121-SUM(P121:Q121)))</f>
        <v/>
      </c>
      <c r="AC121" s="91">
        <f>MAX(0,S121-MAX(0,AK121-SUM(P121:R121)))</f>
        <v/>
      </c>
      <c r="AD121" s="91">
        <f>MAX(0,T121-MAX(0,AK121-SUM(P121:S121)))</f>
        <v/>
      </c>
      <c r="AE121" s="91">
        <f>MAX(0,U121-MAX(0,AK121-SUM(P121:T121)))</f>
        <v/>
      </c>
      <c r="AF121" s="91">
        <f>MAX(0,V121-MAX(0,AK121-SUM(P121:U121)))</f>
        <v/>
      </c>
      <c r="AG121" s="91">
        <f>MAX(0,W121-MAX(0,AK121-SUM(P121:V121)))</f>
        <v/>
      </c>
      <c r="AH121" s="91">
        <f>MAX(0,X121-MAX(0,AK121-SUM(P121:W121)))</f>
        <v/>
      </c>
      <c r="AI121" s="91">
        <f>MAX(0,Y121-MAX(0,AK121-SUM(P121:X121)))</f>
        <v/>
      </c>
      <c r="AJ121" s="92">
        <f>SUM(Z120:AI120)+AL121</f>
        <v/>
      </c>
      <c r="AK121" s="92">
        <f>$AK$7-(AJ121-SUM(P121:Y121))</f>
        <v/>
      </c>
      <c r="AL121" s="91">
        <f>SUMPRODUCT(Z120:AI120,$Z$6:$AI$6)/12</f>
        <v/>
      </c>
      <c r="AM121" s="88">
        <f>SUM(Z121:AI121)</f>
        <v/>
      </c>
      <c r="AO121" s="92">
        <f>IF(AY120&lt;0.005,0,MAX(0,AY120*(1+AY$6/12)-AY$7))</f>
        <v/>
      </c>
      <c r="AP121" s="92">
        <f>IF(AZ120&lt;0.005,0,MAX(0,AZ120*(1+AZ$6/12)-AZ$7))</f>
        <v/>
      </c>
      <c r="AQ121" s="92">
        <f>IF(BA120&lt;0.005,0,MAX(0,BA120*(1+BA$6/12)-BA$7))</f>
        <v/>
      </c>
      <c r="AR121" s="92">
        <f>IF(BB120&lt;0.005,0,MAX(0,BB120*(1+BB$6/12)-BB$7))</f>
        <v/>
      </c>
      <c r="AS121" s="92">
        <f>IF(BC120&lt;0.005,0,MAX(0,BC120*(1+BC$6/12)-BC$7))</f>
        <v/>
      </c>
      <c r="AT121" s="92">
        <f>IF(BD120&lt;0.005,0,MAX(0,BD120*(1+BD$6/12)-BD$7))</f>
        <v/>
      </c>
      <c r="AU121" s="92">
        <f>IF(BE120&lt;0.005,0,MAX(0,BE120*(1+BE$6/12)-BE$7))</f>
        <v/>
      </c>
      <c r="AV121" s="92">
        <f>IF(BF120&lt;0.005,0,MAX(0,BF120*(1+BF$6/12)-BF$7))</f>
        <v/>
      </c>
      <c r="AW121" s="92">
        <f>IF(BG120&lt;0.005,0,MAX(0,BG120*(1+BG$6/12)-BG$7))</f>
        <v/>
      </c>
      <c r="AX121" s="92">
        <f>IF(BH120&lt;0.005,0,MAX(0,BH120*(1+BH$6/12)-BH$7))</f>
        <v/>
      </c>
      <c r="AY121" s="91">
        <f>MAX(0,AO121-MAX(0,BJ121-0))</f>
        <v/>
      </c>
      <c r="AZ121" s="91">
        <f>MAX(0,AP121-MAX(0,BJ121-SUM(AO121:AO121)))</f>
        <v/>
      </c>
      <c r="BA121" s="91">
        <f>MAX(0,AQ121-MAX(0,BJ121-SUM(AO121:AP121)))</f>
        <v/>
      </c>
      <c r="BB121" s="91">
        <f>MAX(0,AR121-MAX(0,BJ121-SUM(AO121:AQ121)))</f>
        <v/>
      </c>
      <c r="BC121" s="91">
        <f>MAX(0,AS121-MAX(0,BJ121-SUM(AO121:AR121)))</f>
        <v/>
      </c>
      <c r="BD121" s="91">
        <f>MAX(0,AT121-MAX(0,BJ121-SUM(AO121:AS121)))</f>
        <v/>
      </c>
      <c r="BE121" s="91">
        <f>MAX(0,AU121-MAX(0,BJ121-SUM(AO121:AT121)))</f>
        <v/>
      </c>
      <c r="BF121" s="91">
        <f>MAX(0,AV121-MAX(0,BJ121-SUM(AO121:AU121)))</f>
        <v/>
      </c>
      <c r="BG121" s="91">
        <f>MAX(0,AW121-MAX(0,BJ121-SUM(AO121:AV121)))</f>
        <v/>
      </c>
      <c r="BH121" s="91">
        <f>MAX(0,AX121-MAX(0,BJ121-SUM(AO121:AW121)))</f>
        <v/>
      </c>
      <c r="BI121" s="92">
        <f>SUM(AY120:BH120)+BK121</f>
        <v/>
      </c>
      <c r="BJ121" s="92">
        <f>$BJ$7-(BI121-SUM(AO121:AX121))</f>
        <v/>
      </c>
      <c r="BK121" s="91">
        <f>SUMPRODUCT(AY120:BH120,$AY$6:$BH$6)/12</f>
        <v/>
      </c>
      <c r="BL121" s="88">
        <f>SUM(AY121:BH121)</f>
        <v/>
      </c>
    </row>
    <row r="122">
      <c r="A122" s="24" t="n">
        <v>112</v>
      </c>
      <c r="B122" s="90">
        <f>DATE(YEAR(Settings!$C$11),MONTH(Settings!$C$11)+A122,1)</f>
        <v/>
      </c>
      <c r="C122" s="91">
        <f>IF(C121&lt;0.005,0,MAX(0,C121*(1+C$6/12)-C$7))</f>
        <v/>
      </c>
      <c r="D122" s="91">
        <f>IF(D121&lt;0.005,0,MAX(0,D121*(1+D$6/12)-D$7))</f>
        <v/>
      </c>
      <c r="E122" s="91">
        <f>IF(E121&lt;0.005,0,MAX(0,E121*(1+E$6/12)-E$7))</f>
        <v/>
      </c>
      <c r="F122" s="91">
        <f>IF(F121&lt;0.005,0,MAX(0,F121*(1+F$6/12)-F$7))</f>
        <v/>
      </c>
      <c r="G122" s="91">
        <f>IF(G121&lt;0.005,0,MAX(0,G121*(1+G$6/12)-G$7))</f>
        <v/>
      </c>
      <c r="H122" s="91">
        <f>IF(H121&lt;0.005,0,MAX(0,H121*(1+H$6/12)-H$7))</f>
        <v/>
      </c>
      <c r="I122" s="91">
        <f>IF(I121&lt;0.005,0,MAX(0,I121*(1+I$6/12)-I$7))</f>
        <v/>
      </c>
      <c r="J122" s="91">
        <f>IF(J121&lt;0.005,0,MAX(0,J121*(1+J$6/12)-J$7))</f>
        <v/>
      </c>
      <c r="K122" s="91">
        <f>IF(K121&lt;0.005,0,MAX(0,K121*(1+K$6/12)-K$7))</f>
        <v/>
      </c>
      <c r="L122" s="91">
        <f>IF(L121&lt;0.005,0,MAX(0,L121*(1+L$6/12)-L$7))</f>
        <v/>
      </c>
      <c r="M122" s="91">
        <f>SUMPRODUCT(C121:L121,$C$6:$L$6)/12</f>
        <v/>
      </c>
      <c r="N122" s="88">
        <f>SUM(C122:L122)</f>
        <v/>
      </c>
      <c r="P122" s="92">
        <f>IF(Z121&lt;0.005,0,MAX(0,Z121*(1+Z$6/12)-Z$7))</f>
        <v/>
      </c>
      <c r="Q122" s="92">
        <f>IF(AA121&lt;0.005,0,MAX(0,AA121*(1+AA$6/12)-AA$7))</f>
        <v/>
      </c>
      <c r="R122" s="92">
        <f>IF(AB121&lt;0.005,0,MAX(0,AB121*(1+AB$6/12)-AB$7))</f>
        <v/>
      </c>
      <c r="S122" s="92">
        <f>IF(AC121&lt;0.005,0,MAX(0,AC121*(1+AC$6/12)-AC$7))</f>
        <v/>
      </c>
      <c r="T122" s="92">
        <f>IF(AD121&lt;0.005,0,MAX(0,AD121*(1+AD$6/12)-AD$7))</f>
        <v/>
      </c>
      <c r="U122" s="92">
        <f>IF(AE121&lt;0.005,0,MAX(0,AE121*(1+AE$6/12)-AE$7))</f>
        <v/>
      </c>
      <c r="V122" s="92">
        <f>IF(AF121&lt;0.005,0,MAX(0,AF121*(1+AF$6/12)-AF$7))</f>
        <v/>
      </c>
      <c r="W122" s="92">
        <f>IF(AG121&lt;0.005,0,MAX(0,AG121*(1+AG$6/12)-AG$7))</f>
        <v/>
      </c>
      <c r="X122" s="92">
        <f>IF(AH121&lt;0.005,0,MAX(0,AH121*(1+AH$6/12)-AH$7))</f>
        <v/>
      </c>
      <c r="Y122" s="92">
        <f>IF(AI121&lt;0.005,0,MAX(0,AI121*(1+AI$6/12)-AI$7))</f>
        <v/>
      </c>
      <c r="Z122" s="91">
        <f>MAX(0,P122-MAX(0,AK122-0))</f>
        <v/>
      </c>
      <c r="AA122" s="91">
        <f>MAX(0,Q122-MAX(0,AK122-SUM(P122:P122)))</f>
        <v/>
      </c>
      <c r="AB122" s="91">
        <f>MAX(0,R122-MAX(0,AK122-SUM(P122:Q122)))</f>
        <v/>
      </c>
      <c r="AC122" s="91">
        <f>MAX(0,S122-MAX(0,AK122-SUM(P122:R122)))</f>
        <v/>
      </c>
      <c r="AD122" s="91">
        <f>MAX(0,T122-MAX(0,AK122-SUM(P122:S122)))</f>
        <v/>
      </c>
      <c r="AE122" s="91">
        <f>MAX(0,U122-MAX(0,AK122-SUM(P122:T122)))</f>
        <v/>
      </c>
      <c r="AF122" s="91">
        <f>MAX(0,V122-MAX(0,AK122-SUM(P122:U122)))</f>
        <v/>
      </c>
      <c r="AG122" s="91">
        <f>MAX(0,W122-MAX(0,AK122-SUM(P122:V122)))</f>
        <v/>
      </c>
      <c r="AH122" s="91">
        <f>MAX(0,X122-MAX(0,AK122-SUM(P122:W122)))</f>
        <v/>
      </c>
      <c r="AI122" s="91">
        <f>MAX(0,Y122-MAX(0,AK122-SUM(P122:X122)))</f>
        <v/>
      </c>
      <c r="AJ122" s="92">
        <f>SUM(Z121:AI121)+AL122</f>
        <v/>
      </c>
      <c r="AK122" s="92">
        <f>$AK$7-(AJ122-SUM(P122:Y122))</f>
        <v/>
      </c>
      <c r="AL122" s="91">
        <f>SUMPRODUCT(Z121:AI121,$Z$6:$AI$6)/12</f>
        <v/>
      </c>
      <c r="AM122" s="88">
        <f>SUM(Z122:AI122)</f>
        <v/>
      </c>
      <c r="AO122" s="92">
        <f>IF(AY121&lt;0.005,0,MAX(0,AY121*(1+AY$6/12)-AY$7))</f>
        <v/>
      </c>
      <c r="AP122" s="92">
        <f>IF(AZ121&lt;0.005,0,MAX(0,AZ121*(1+AZ$6/12)-AZ$7))</f>
        <v/>
      </c>
      <c r="AQ122" s="92">
        <f>IF(BA121&lt;0.005,0,MAX(0,BA121*(1+BA$6/12)-BA$7))</f>
        <v/>
      </c>
      <c r="AR122" s="92">
        <f>IF(BB121&lt;0.005,0,MAX(0,BB121*(1+BB$6/12)-BB$7))</f>
        <v/>
      </c>
      <c r="AS122" s="92">
        <f>IF(BC121&lt;0.005,0,MAX(0,BC121*(1+BC$6/12)-BC$7))</f>
        <v/>
      </c>
      <c r="AT122" s="92">
        <f>IF(BD121&lt;0.005,0,MAX(0,BD121*(1+BD$6/12)-BD$7))</f>
        <v/>
      </c>
      <c r="AU122" s="92">
        <f>IF(BE121&lt;0.005,0,MAX(0,BE121*(1+BE$6/12)-BE$7))</f>
        <v/>
      </c>
      <c r="AV122" s="92">
        <f>IF(BF121&lt;0.005,0,MAX(0,BF121*(1+BF$6/12)-BF$7))</f>
        <v/>
      </c>
      <c r="AW122" s="92">
        <f>IF(BG121&lt;0.005,0,MAX(0,BG121*(1+BG$6/12)-BG$7))</f>
        <v/>
      </c>
      <c r="AX122" s="92">
        <f>IF(BH121&lt;0.005,0,MAX(0,BH121*(1+BH$6/12)-BH$7))</f>
        <v/>
      </c>
      <c r="AY122" s="91">
        <f>MAX(0,AO122-MAX(0,BJ122-0))</f>
        <v/>
      </c>
      <c r="AZ122" s="91">
        <f>MAX(0,AP122-MAX(0,BJ122-SUM(AO122:AO122)))</f>
        <v/>
      </c>
      <c r="BA122" s="91">
        <f>MAX(0,AQ122-MAX(0,BJ122-SUM(AO122:AP122)))</f>
        <v/>
      </c>
      <c r="BB122" s="91">
        <f>MAX(0,AR122-MAX(0,BJ122-SUM(AO122:AQ122)))</f>
        <v/>
      </c>
      <c r="BC122" s="91">
        <f>MAX(0,AS122-MAX(0,BJ122-SUM(AO122:AR122)))</f>
        <v/>
      </c>
      <c r="BD122" s="91">
        <f>MAX(0,AT122-MAX(0,BJ122-SUM(AO122:AS122)))</f>
        <v/>
      </c>
      <c r="BE122" s="91">
        <f>MAX(0,AU122-MAX(0,BJ122-SUM(AO122:AT122)))</f>
        <v/>
      </c>
      <c r="BF122" s="91">
        <f>MAX(0,AV122-MAX(0,BJ122-SUM(AO122:AU122)))</f>
        <v/>
      </c>
      <c r="BG122" s="91">
        <f>MAX(0,AW122-MAX(0,BJ122-SUM(AO122:AV122)))</f>
        <v/>
      </c>
      <c r="BH122" s="91">
        <f>MAX(0,AX122-MAX(0,BJ122-SUM(AO122:AW122)))</f>
        <v/>
      </c>
      <c r="BI122" s="92">
        <f>SUM(AY121:BH121)+BK122</f>
        <v/>
      </c>
      <c r="BJ122" s="92">
        <f>$BJ$7-(BI122-SUM(AO122:AX122))</f>
        <v/>
      </c>
      <c r="BK122" s="91">
        <f>SUMPRODUCT(AY121:BH121,$AY$6:$BH$6)/12</f>
        <v/>
      </c>
      <c r="BL122" s="88">
        <f>SUM(AY122:BH122)</f>
        <v/>
      </c>
    </row>
    <row r="123">
      <c r="A123" s="24" t="n">
        <v>113</v>
      </c>
      <c r="B123" s="90">
        <f>DATE(YEAR(Settings!$C$11),MONTH(Settings!$C$11)+A123,1)</f>
        <v/>
      </c>
      <c r="C123" s="91">
        <f>IF(C122&lt;0.005,0,MAX(0,C122*(1+C$6/12)-C$7))</f>
        <v/>
      </c>
      <c r="D123" s="91">
        <f>IF(D122&lt;0.005,0,MAX(0,D122*(1+D$6/12)-D$7))</f>
        <v/>
      </c>
      <c r="E123" s="91">
        <f>IF(E122&lt;0.005,0,MAX(0,E122*(1+E$6/12)-E$7))</f>
        <v/>
      </c>
      <c r="F123" s="91">
        <f>IF(F122&lt;0.005,0,MAX(0,F122*(1+F$6/12)-F$7))</f>
        <v/>
      </c>
      <c r="G123" s="91">
        <f>IF(G122&lt;0.005,0,MAX(0,G122*(1+G$6/12)-G$7))</f>
        <v/>
      </c>
      <c r="H123" s="91">
        <f>IF(H122&lt;0.005,0,MAX(0,H122*(1+H$6/12)-H$7))</f>
        <v/>
      </c>
      <c r="I123" s="91">
        <f>IF(I122&lt;0.005,0,MAX(0,I122*(1+I$6/12)-I$7))</f>
        <v/>
      </c>
      <c r="J123" s="91">
        <f>IF(J122&lt;0.005,0,MAX(0,J122*(1+J$6/12)-J$7))</f>
        <v/>
      </c>
      <c r="K123" s="91">
        <f>IF(K122&lt;0.005,0,MAX(0,K122*(1+K$6/12)-K$7))</f>
        <v/>
      </c>
      <c r="L123" s="91">
        <f>IF(L122&lt;0.005,0,MAX(0,L122*(1+L$6/12)-L$7))</f>
        <v/>
      </c>
      <c r="M123" s="91">
        <f>SUMPRODUCT(C122:L122,$C$6:$L$6)/12</f>
        <v/>
      </c>
      <c r="N123" s="88">
        <f>SUM(C123:L123)</f>
        <v/>
      </c>
      <c r="P123" s="92">
        <f>IF(Z122&lt;0.005,0,MAX(0,Z122*(1+Z$6/12)-Z$7))</f>
        <v/>
      </c>
      <c r="Q123" s="92">
        <f>IF(AA122&lt;0.005,0,MAX(0,AA122*(1+AA$6/12)-AA$7))</f>
        <v/>
      </c>
      <c r="R123" s="92">
        <f>IF(AB122&lt;0.005,0,MAX(0,AB122*(1+AB$6/12)-AB$7))</f>
        <v/>
      </c>
      <c r="S123" s="92">
        <f>IF(AC122&lt;0.005,0,MAX(0,AC122*(1+AC$6/12)-AC$7))</f>
        <v/>
      </c>
      <c r="T123" s="92">
        <f>IF(AD122&lt;0.005,0,MAX(0,AD122*(1+AD$6/12)-AD$7))</f>
        <v/>
      </c>
      <c r="U123" s="92">
        <f>IF(AE122&lt;0.005,0,MAX(0,AE122*(1+AE$6/12)-AE$7))</f>
        <v/>
      </c>
      <c r="V123" s="92">
        <f>IF(AF122&lt;0.005,0,MAX(0,AF122*(1+AF$6/12)-AF$7))</f>
        <v/>
      </c>
      <c r="W123" s="92">
        <f>IF(AG122&lt;0.005,0,MAX(0,AG122*(1+AG$6/12)-AG$7))</f>
        <v/>
      </c>
      <c r="X123" s="92">
        <f>IF(AH122&lt;0.005,0,MAX(0,AH122*(1+AH$6/12)-AH$7))</f>
        <v/>
      </c>
      <c r="Y123" s="92">
        <f>IF(AI122&lt;0.005,0,MAX(0,AI122*(1+AI$6/12)-AI$7))</f>
        <v/>
      </c>
      <c r="Z123" s="91">
        <f>MAX(0,P123-MAX(0,AK123-0))</f>
        <v/>
      </c>
      <c r="AA123" s="91">
        <f>MAX(0,Q123-MAX(0,AK123-SUM(P123:P123)))</f>
        <v/>
      </c>
      <c r="AB123" s="91">
        <f>MAX(0,R123-MAX(0,AK123-SUM(P123:Q123)))</f>
        <v/>
      </c>
      <c r="AC123" s="91">
        <f>MAX(0,S123-MAX(0,AK123-SUM(P123:R123)))</f>
        <v/>
      </c>
      <c r="AD123" s="91">
        <f>MAX(0,T123-MAX(0,AK123-SUM(P123:S123)))</f>
        <v/>
      </c>
      <c r="AE123" s="91">
        <f>MAX(0,U123-MAX(0,AK123-SUM(P123:T123)))</f>
        <v/>
      </c>
      <c r="AF123" s="91">
        <f>MAX(0,V123-MAX(0,AK123-SUM(P123:U123)))</f>
        <v/>
      </c>
      <c r="AG123" s="91">
        <f>MAX(0,W123-MAX(0,AK123-SUM(P123:V123)))</f>
        <v/>
      </c>
      <c r="AH123" s="91">
        <f>MAX(0,X123-MAX(0,AK123-SUM(P123:W123)))</f>
        <v/>
      </c>
      <c r="AI123" s="91">
        <f>MAX(0,Y123-MAX(0,AK123-SUM(P123:X123)))</f>
        <v/>
      </c>
      <c r="AJ123" s="92">
        <f>SUM(Z122:AI122)+AL123</f>
        <v/>
      </c>
      <c r="AK123" s="92">
        <f>$AK$7-(AJ123-SUM(P123:Y123))</f>
        <v/>
      </c>
      <c r="AL123" s="91">
        <f>SUMPRODUCT(Z122:AI122,$Z$6:$AI$6)/12</f>
        <v/>
      </c>
      <c r="AM123" s="88">
        <f>SUM(Z123:AI123)</f>
        <v/>
      </c>
      <c r="AO123" s="92">
        <f>IF(AY122&lt;0.005,0,MAX(0,AY122*(1+AY$6/12)-AY$7))</f>
        <v/>
      </c>
      <c r="AP123" s="92">
        <f>IF(AZ122&lt;0.005,0,MAX(0,AZ122*(1+AZ$6/12)-AZ$7))</f>
        <v/>
      </c>
      <c r="AQ123" s="92">
        <f>IF(BA122&lt;0.005,0,MAX(0,BA122*(1+BA$6/12)-BA$7))</f>
        <v/>
      </c>
      <c r="AR123" s="92">
        <f>IF(BB122&lt;0.005,0,MAX(0,BB122*(1+BB$6/12)-BB$7))</f>
        <v/>
      </c>
      <c r="AS123" s="92">
        <f>IF(BC122&lt;0.005,0,MAX(0,BC122*(1+BC$6/12)-BC$7))</f>
        <v/>
      </c>
      <c r="AT123" s="92">
        <f>IF(BD122&lt;0.005,0,MAX(0,BD122*(1+BD$6/12)-BD$7))</f>
        <v/>
      </c>
      <c r="AU123" s="92">
        <f>IF(BE122&lt;0.005,0,MAX(0,BE122*(1+BE$6/12)-BE$7))</f>
        <v/>
      </c>
      <c r="AV123" s="92">
        <f>IF(BF122&lt;0.005,0,MAX(0,BF122*(1+BF$6/12)-BF$7))</f>
        <v/>
      </c>
      <c r="AW123" s="92">
        <f>IF(BG122&lt;0.005,0,MAX(0,BG122*(1+BG$6/12)-BG$7))</f>
        <v/>
      </c>
      <c r="AX123" s="92">
        <f>IF(BH122&lt;0.005,0,MAX(0,BH122*(1+BH$6/12)-BH$7))</f>
        <v/>
      </c>
      <c r="AY123" s="91">
        <f>MAX(0,AO123-MAX(0,BJ123-0))</f>
        <v/>
      </c>
      <c r="AZ123" s="91">
        <f>MAX(0,AP123-MAX(0,BJ123-SUM(AO123:AO123)))</f>
        <v/>
      </c>
      <c r="BA123" s="91">
        <f>MAX(0,AQ123-MAX(0,BJ123-SUM(AO123:AP123)))</f>
        <v/>
      </c>
      <c r="BB123" s="91">
        <f>MAX(0,AR123-MAX(0,BJ123-SUM(AO123:AQ123)))</f>
        <v/>
      </c>
      <c r="BC123" s="91">
        <f>MAX(0,AS123-MAX(0,BJ123-SUM(AO123:AR123)))</f>
        <v/>
      </c>
      <c r="BD123" s="91">
        <f>MAX(0,AT123-MAX(0,BJ123-SUM(AO123:AS123)))</f>
        <v/>
      </c>
      <c r="BE123" s="91">
        <f>MAX(0,AU123-MAX(0,BJ123-SUM(AO123:AT123)))</f>
        <v/>
      </c>
      <c r="BF123" s="91">
        <f>MAX(0,AV123-MAX(0,BJ123-SUM(AO123:AU123)))</f>
        <v/>
      </c>
      <c r="BG123" s="91">
        <f>MAX(0,AW123-MAX(0,BJ123-SUM(AO123:AV123)))</f>
        <v/>
      </c>
      <c r="BH123" s="91">
        <f>MAX(0,AX123-MAX(0,BJ123-SUM(AO123:AW123)))</f>
        <v/>
      </c>
      <c r="BI123" s="92">
        <f>SUM(AY122:BH122)+BK123</f>
        <v/>
      </c>
      <c r="BJ123" s="92">
        <f>$BJ$7-(BI123-SUM(AO123:AX123))</f>
        <v/>
      </c>
      <c r="BK123" s="91">
        <f>SUMPRODUCT(AY122:BH122,$AY$6:$BH$6)/12</f>
        <v/>
      </c>
      <c r="BL123" s="88">
        <f>SUM(AY123:BH123)</f>
        <v/>
      </c>
    </row>
    <row r="124">
      <c r="A124" s="24" t="n">
        <v>114</v>
      </c>
      <c r="B124" s="90">
        <f>DATE(YEAR(Settings!$C$11),MONTH(Settings!$C$11)+A124,1)</f>
        <v/>
      </c>
      <c r="C124" s="91">
        <f>IF(C123&lt;0.005,0,MAX(0,C123*(1+C$6/12)-C$7))</f>
        <v/>
      </c>
      <c r="D124" s="91">
        <f>IF(D123&lt;0.005,0,MAX(0,D123*(1+D$6/12)-D$7))</f>
        <v/>
      </c>
      <c r="E124" s="91">
        <f>IF(E123&lt;0.005,0,MAX(0,E123*(1+E$6/12)-E$7))</f>
        <v/>
      </c>
      <c r="F124" s="91">
        <f>IF(F123&lt;0.005,0,MAX(0,F123*(1+F$6/12)-F$7))</f>
        <v/>
      </c>
      <c r="G124" s="91">
        <f>IF(G123&lt;0.005,0,MAX(0,G123*(1+G$6/12)-G$7))</f>
        <v/>
      </c>
      <c r="H124" s="91">
        <f>IF(H123&lt;0.005,0,MAX(0,H123*(1+H$6/12)-H$7))</f>
        <v/>
      </c>
      <c r="I124" s="91">
        <f>IF(I123&lt;0.005,0,MAX(0,I123*(1+I$6/12)-I$7))</f>
        <v/>
      </c>
      <c r="J124" s="91">
        <f>IF(J123&lt;0.005,0,MAX(0,J123*(1+J$6/12)-J$7))</f>
        <v/>
      </c>
      <c r="K124" s="91">
        <f>IF(K123&lt;0.005,0,MAX(0,K123*(1+K$6/12)-K$7))</f>
        <v/>
      </c>
      <c r="L124" s="91">
        <f>IF(L123&lt;0.005,0,MAX(0,L123*(1+L$6/12)-L$7))</f>
        <v/>
      </c>
      <c r="M124" s="91">
        <f>SUMPRODUCT(C123:L123,$C$6:$L$6)/12</f>
        <v/>
      </c>
      <c r="N124" s="88">
        <f>SUM(C124:L124)</f>
        <v/>
      </c>
      <c r="P124" s="92">
        <f>IF(Z123&lt;0.005,0,MAX(0,Z123*(1+Z$6/12)-Z$7))</f>
        <v/>
      </c>
      <c r="Q124" s="92">
        <f>IF(AA123&lt;0.005,0,MAX(0,AA123*(1+AA$6/12)-AA$7))</f>
        <v/>
      </c>
      <c r="R124" s="92">
        <f>IF(AB123&lt;0.005,0,MAX(0,AB123*(1+AB$6/12)-AB$7))</f>
        <v/>
      </c>
      <c r="S124" s="92">
        <f>IF(AC123&lt;0.005,0,MAX(0,AC123*(1+AC$6/12)-AC$7))</f>
        <v/>
      </c>
      <c r="T124" s="92">
        <f>IF(AD123&lt;0.005,0,MAX(0,AD123*(1+AD$6/12)-AD$7))</f>
        <v/>
      </c>
      <c r="U124" s="92">
        <f>IF(AE123&lt;0.005,0,MAX(0,AE123*(1+AE$6/12)-AE$7))</f>
        <v/>
      </c>
      <c r="V124" s="92">
        <f>IF(AF123&lt;0.005,0,MAX(0,AF123*(1+AF$6/12)-AF$7))</f>
        <v/>
      </c>
      <c r="W124" s="92">
        <f>IF(AG123&lt;0.005,0,MAX(0,AG123*(1+AG$6/12)-AG$7))</f>
        <v/>
      </c>
      <c r="X124" s="92">
        <f>IF(AH123&lt;0.005,0,MAX(0,AH123*(1+AH$6/12)-AH$7))</f>
        <v/>
      </c>
      <c r="Y124" s="92">
        <f>IF(AI123&lt;0.005,0,MAX(0,AI123*(1+AI$6/12)-AI$7))</f>
        <v/>
      </c>
      <c r="Z124" s="91">
        <f>MAX(0,P124-MAX(0,AK124-0))</f>
        <v/>
      </c>
      <c r="AA124" s="91">
        <f>MAX(0,Q124-MAX(0,AK124-SUM(P124:P124)))</f>
        <v/>
      </c>
      <c r="AB124" s="91">
        <f>MAX(0,R124-MAX(0,AK124-SUM(P124:Q124)))</f>
        <v/>
      </c>
      <c r="AC124" s="91">
        <f>MAX(0,S124-MAX(0,AK124-SUM(P124:R124)))</f>
        <v/>
      </c>
      <c r="AD124" s="91">
        <f>MAX(0,T124-MAX(0,AK124-SUM(P124:S124)))</f>
        <v/>
      </c>
      <c r="AE124" s="91">
        <f>MAX(0,U124-MAX(0,AK124-SUM(P124:T124)))</f>
        <v/>
      </c>
      <c r="AF124" s="91">
        <f>MAX(0,V124-MAX(0,AK124-SUM(P124:U124)))</f>
        <v/>
      </c>
      <c r="AG124" s="91">
        <f>MAX(0,W124-MAX(0,AK124-SUM(P124:V124)))</f>
        <v/>
      </c>
      <c r="AH124" s="91">
        <f>MAX(0,X124-MAX(0,AK124-SUM(P124:W124)))</f>
        <v/>
      </c>
      <c r="AI124" s="91">
        <f>MAX(0,Y124-MAX(0,AK124-SUM(P124:X124)))</f>
        <v/>
      </c>
      <c r="AJ124" s="92">
        <f>SUM(Z123:AI123)+AL124</f>
        <v/>
      </c>
      <c r="AK124" s="92">
        <f>$AK$7-(AJ124-SUM(P124:Y124))</f>
        <v/>
      </c>
      <c r="AL124" s="91">
        <f>SUMPRODUCT(Z123:AI123,$Z$6:$AI$6)/12</f>
        <v/>
      </c>
      <c r="AM124" s="88">
        <f>SUM(Z124:AI124)</f>
        <v/>
      </c>
      <c r="AO124" s="92">
        <f>IF(AY123&lt;0.005,0,MAX(0,AY123*(1+AY$6/12)-AY$7))</f>
        <v/>
      </c>
      <c r="AP124" s="92">
        <f>IF(AZ123&lt;0.005,0,MAX(0,AZ123*(1+AZ$6/12)-AZ$7))</f>
        <v/>
      </c>
      <c r="AQ124" s="92">
        <f>IF(BA123&lt;0.005,0,MAX(0,BA123*(1+BA$6/12)-BA$7))</f>
        <v/>
      </c>
      <c r="AR124" s="92">
        <f>IF(BB123&lt;0.005,0,MAX(0,BB123*(1+BB$6/12)-BB$7))</f>
        <v/>
      </c>
      <c r="AS124" s="92">
        <f>IF(BC123&lt;0.005,0,MAX(0,BC123*(1+BC$6/12)-BC$7))</f>
        <v/>
      </c>
      <c r="AT124" s="92">
        <f>IF(BD123&lt;0.005,0,MAX(0,BD123*(1+BD$6/12)-BD$7))</f>
        <v/>
      </c>
      <c r="AU124" s="92">
        <f>IF(BE123&lt;0.005,0,MAX(0,BE123*(1+BE$6/12)-BE$7))</f>
        <v/>
      </c>
      <c r="AV124" s="92">
        <f>IF(BF123&lt;0.005,0,MAX(0,BF123*(1+BF$6/12)-BF$7))</f>
        <v/>
      </c>
      <c r="AW124" s="92">
        <f>IF(BG123&lt;0.005,0,MAX(0,BG123*(1+BG$6/12)-BG$7))</f>
        <v/>
      </c>
      <c r="AX124" s="92">
        <f>IF(BH123&lt;0.005,0,MAX(0,BH123*(1+BH$6/12)-BH$7))</f>
        <v/>
      </c>
      <c r="AY124" s="91">
        <f>MAX(0,AO124-MAX(0,BJ124-0))</f>
        <v/>
      </c>
      <c r="AZ124" s="91">
        <f>MAX(0,AP124-MAX(0,BJ124-SUM(AO124:AO124)))</f>
        <v/>
      </c>
      <c r="BA124" s="91">
        <f>MAX(0,AQ124-MAX(0,BJ124-SUM(AO124:AP124)))</f>
        <v/>
      </c>
      <c r="BB124" s="91">
        <f>MAX(0,AR124-MAX(0,BJ124-SUM(AO124:AQ124)))</f>
        <v/>
      </c>
      <c r="BC124" s="91">
        <f>MAX(0,AS124-MAX(0,BJ124-SUM(AO124:AR124)))</f>
        <v/>
      </c>
      <c r="BD124" s="91">
        <f>MAX(0,AT124-MAX(0,BJ124-SUM(AO124:AS124)))</f>
        <v/>
      </c>
      <c r="BE124" s="91">
        <f>MAX(0,AU124-MAX(0,BJ124-SUM(AO124:AT124)))</f>
        <v/>
      </c>
      <c r="BF124" s="91">
        <f>MAX(0,AV124-MAX(0,BJ124-SUM(AO124:AU124)))</f>
        <v/>
      </c>
      <c r="BG124" s="91">
        <f>MAX(0,AW124-MAX(0,BJ124-SUM(AO124:AV124)))</f>
        <v/>
      </c>
      <c r="BH124" s="91">
        <f>MAX(0,AX124-MAX(0,BJ124-SUM(AO124:AW124)))</f>
        <v/>
      </c>
      <c r="BI124" s="92">
        <f>SUM(AY123:BH123)+BK124</f>
        <v/>
      </c>
      <c r="BJ124" s="92">
        <f>$BJ$7-(BI124-SUM(AO124:AX124))</f>
        <v/>
      </c>
      <c r="BK124" s="91">
        <f>SUMPRODUCT(AY123:BH123,$AY$6:$BH$6)/12</f>
        <v/>
      </c>
      <c r="BL124" s="88">
        <f>SUM(AY124:BH124)</f>
        <v/>
      </c>
    </row>
    <row r="125">
      <c r="A125" s="24" t="n">
        <v>115</v>
      </c>
      <c r="B125" s="90">
        <f>DATE(YEAR(Settings!$C$11),MONTH(Settings!$C$11)+A125,1)</f>
        <v/>
      </c>
      <c r="C125" s="91">
        <f>IF(C124&lt;0.005,0,MAX(0,C124*(1+C$6/12)-C$7))</f>
        <v/>
      </c>
      <c r="D125" s="91">
        <f>IF(D124&lt;0.005,0,MAX(0,D124*(1+D$6/12)-D$7))</f>
        <v/>
      </c>
      <c r="E125" s="91">
        <f>IF(E124&lt;0.005,0,MAX(0,E124*(1+E$6/12)-E$7))</f>
        <v/>
      </c>
      <c r="F125" s="91">
        <f>IF(F124&lt;0.005,0,MAX(0,F124*(1+F$6/12)-F$7))</f>
        <v/>
      </c>
      <c r="G125" s="91">
        <f>IF(G124&lt;0.005,0,MAX(0,G124*(1+G$6/12)-G$7))</f>
        <v/>
      </c>
      <c r="H125" s="91">
        <f>IF(H124&lt;0.005,0,MAX(0,H124*(1+H$6/12)-H$7))</f>
        <v/>
      </c>
      <c r="I125" s="91">
        <f>IF(I124&lt;0.005,0,MAX(0,I124*(1+I$6/12)-I$7))</f>
        <v/>
      </c>
      <c r="J125" s="91">
        <f>IF(J124&lt;0.005,0,MAX(0,J124*(1+J$6/12)-J$7))</f>
        <v/>
      </c>
      <c r="K125" s="91">
        <f>IF(K124&lt;0.005,0,MAX(0,K124*(1+K$6/12)-K$7))</f>
        <v/>
      </c>
      <c r="L125" s="91">
        <f>IF(L124&lt;0.005,0,MAX(0,L124*(1+L$6/12)-L$7))</f>
        <v/>
      </c>
      <c r="M125" s="91">
        <f>SUMPRODUCT(C124:L124,$C$6:$L$6)/12</f>
        <v/>
      </c>
      <c r="N125" s="88">
        <f>SUM(C125:L125)</f>
        <v/>
      </c>
      <c r="P125" s="92">
        <f>IF(Z124&lt;0.005,0,MAX(0,Z124*(1+Z$6/12)-Z$7))</f>
        <v/>
      </c>
      <c r="Q125" s="92">
        <f>IF(AA124&lt;0.005,0,MAX(0,AA124*(1+AA$6/12)-AA$7))</f>
        <v/>
      </c>
      <c r="R125" s="92">
        <f>IF(AB124&lt;0.005,0,MAX(0,AB124*(1+AB$6/12)-AB$7))</f>
        <v/>
      </c>
      <c r="S125" s="92">
        <f>IF(AC124&lt;0.005,0,MAX(0,AC124*(1+AC$6/12)-AC$7))</f>
        <v/>
      </c>
      <c r="T125" s="92">
        <f>IF(AD124&lt;0.005,0,MAX(0,AD124*(1+AD$6/12)-AD$7))</f>
        <v/>
      </c>
      <c r="U125" s="92">
        <f>IF(AE124&lt;0.005,0,MAX(0,AE124*(1+AE$6/12)-AE$7))</f>
        <v/>
      </c>
      <c r="V125" s="92">
        <f>IF(AF124&lt;0.005,0,MAX(0,AF124*(1+AF$6/12)-AF$7))</f>
        <v/>
      </c>
      <c r="W125" s="92">
        <f>IF(AG124&lt;0.005,0,MAX(0,AG124*(1+AG$6/12)-AG$7))</f>
        <v/>
      </c>
      <c r="X125" s="92">
        <f>IF(AH124&lt;0.005,0,MAX(0,AH124*(1+AH$6/12)-AH$7))</f>
        <v/>
      </c>
      <c r="Y125" s="92">
        <f>IF(AI124&lt;0.005,0,MAX(0,AI124*(1+AI$6/12)-AI$7))</f>
        <v/>
      </c>
      <c r="Z125" s="91">
        <f>MAX(0,P125-MAX(0,AK125-0))</f>
        <v/>
      </c>
      <c r="AA125" s="91">
        <f>MAX(0,Q125-MAX(0,AK125-SUM(P125:P125)))</f>
        <v/>
      </c>
      <c r="AB125" s="91">
        <f>MAX(0,R125-MAX(0,AK125-SUM(P125:Q125)))</f>
        <v/>
      </c>
      <c r="AC125" s="91">
        <f>MAX(0,S125-MAX(0,AK125-SUM(P125:R125)))</f>
        <v/>
      </c>
      <c r="AD125" s="91">
        <f>MAX(0,T125-MAX(0,AK125-SUM(P125:S125)))</f>
        <v/>
      </c>
      <c r="AE125" s="91">
        <f>MAX(0,U125-MAX(0,AK125-SUM(P125:T125)))</f>
        <v/>
      </c>
      <c r="AF125" s="91">
        <f>MAX(0,V125-MAX(0,AK125-SUM(P125:U125)))</f>
        <v/>
      </c>
      <c r="AG125" s="91">
        <f>MAX(0,W125-MAX(0,AK125-SUM(P125:V125)))</f>
        <v/>
      </c>
      <c r="AH125" s="91">
        <f>MAX(0,X125-MAX(0,AK125-SUM(P125:W125)))</f>
        <v/>
      </c>
      <c r="AI125" s="91">
        <f>MAX(0,Y125-MAX(0,AK125-SUM(P125:X125)))</f>
        <v/>
      </c>
      <c r="AJ125" s="92">
        <f>SUM(Z124:AI124)+AL125</f>
        <v/>
      </c>
      <c r="AK125" s="92">
        <f>$AK$7-(AJ125-SUM(P125:Y125))</f>
        <v/>
      </c>
      <c r="AL125" s="91">
        <f>SUMPRODUCT(Z124:AI124,$Z$6:$AI$6)/12</f>
        <v/>
      </c>
      <c r="AM125" s="88">
        <f>SUM(Z125:AI125)</f>
        <v/>
      </c>
      <c r="AO125" s="92">
        <f>IF(AY124&lt;0.005,0,MAX(0,AY124*(1+AY$6/12)-AY$7))</f>
        <v/>
      </c>
      <c r="AP125" s="92">
        <f>IF(AZ124&lt;0.005,0,MAX(0,AZ124*(1+AZ$6/12)-AZ$7))</f>
        <v/>
      </c>
      <c r="AQ125" s="92">
        <f>IF(BA124&lt;0.005,0,MAX(0,BA124*(1+BA$6/12)-BA$7))</f>
        <v/>
      </c>
      <c r="AR125" s="92">
        <f>IF(BB124&lt;0.005,0,MAX(0,BB124*(1+BB$6/12)-BB$7))</f>
        <v/>
      </c>
      <c r="AS125" s="92">
        <f>IF(BC124&lt;0.005,0,MAX(0,BC124*(1+BC$6/12)-BC$7))</f>
        <v/>
      </c>
      <c r="AT125" s="92">
        <f>IF(BD124&lt;0.005,0,MAX(0,BD124*(1+BD$6/12)-BD$7))</f>
        <v/>
      </c>
      <c r="AU125" s="92">
        <f>IF(BE124&lt;0.005,0,MAX(0,BE124*(1+BE$6/12)-BE$7))</f>
        <v/>
      </c>
      <c r="AV125" s="92">
        <f>IF(BF124&lt;0.005,0,MAX(0,BF124*(1+BF$6/12)-BF$7))</f>
        <v/>
      </c>
      <c r="AW125" s="92">
        <f>IF(BG124&lt;0.005,0,MAX(0,BG124*(1+BG$6/12)-BG$7))</f>
        <v/>
      </c>
      <c r="AX125" s="92">
        <f>IF(BH124&lt;0.005,0,MAX(0,BH124*(1+BH$6/12)-BH$7))</f>
        <v/>
      </c>
      <c r="AY125" s="91">
        <f>MAX(0,AO125-MAX(0,BJ125-0))</f>
        <v/>
      </c>
      <c r="AZ125" s="91">
        <f>MAX(0,AP125-MAX(0,BJ125-SUM(AO125:AO125)))</f>
        <v/>
      </c>
      <c r="BA125" s="91">
        <f>MAX(0,AQ125-MAX(0,BJ125-SUM(AO125:AP125)))</f>
        <v/>
      </c>
      <c r="BB125" s="91">
        <f>MAX(0,AR125-MAX(0,BJ125-SUM(AO125:AQ125)))</f>
        <v/>
      </c>
      <c r="BC125" s="91">
        <f>MAX(0,AS125-MAX(0,BJ125-SUM(AO125:AR125)))</f>
        <v/>
      </c>
      <c r="BD125" s="91">
        <f>MAX(0,AT125-MAX(0,BJ125-SUM(AO125:AS125)))</f>
        <v/>
      </c>
      <c r="BE125" s="91">
        <f>MAX(0,AU125-MAX(0,BJ125-SUM(AO125:AT125)))</f>
        <v/>
      </c>
      <c r="BF125" s="91">
        <f>MAX(0,AV125-MAX(0,BJ125-SUM(AO125:AU125)))</f>
        <v/>
      </c>
      <c r="BG125" s="91">
        <f>MAX(0,AW125-MAX(0,BJ125-SUM(AO125:AV125)))</f>
        <v/>
      </c>
      <c r="BH125" s="91">
        <f>MAX(0,AX125-MAX(0,BJ125-SUM(AO125:AW125)))</f>
        <v/>
      </c>
      <c r="BI125" s="92">
        <f>SUM(AY124:BH124)+BK125</f>
        <v/>
      </c>
      <c r="BJ125" s="92">
        <f>$BJ$7-(BI125-SUM(AO125:AX125))</f>
        <v/>
      </c>
      <c r="BK125" s="91">
        <f>SUMPRODUCT(AY124:BH124,$AY$6:$BH$6)/12</f>
        <v/>
      </c>
      <c r="BL125" s="88">
        <f>SUM(AY125:BH125)</f>
        <v/>
      </c>
    </row>
    <row r="126">
      <c r="A126" s="24" t="n">
        <v>116</v>
      </c>
      <c r="B126" s="90">
        <f>DATE(YEAR(Settings!$C$11),MONTH(Settings!$C$11)+A126,1)</f>
        <v/>
      </c>
      <c r="C126" s="91">
        <f>IF(C125&lt;0.005,0,MAX(0,C125*(1+C$6/12)-C$7))</f>
        <v/>
      </c>
      <c r="D126" s="91">
        <f>IF(D125&lt;0.005,0,MAX(0,D125*(1+D$6/12)-D$7))</f>
        <v/>
      </c>
      <c r="E126" s="91">
        <f>IF(E125&lt;0.005,0,MAX(0,E125*(1+E$6/12)-E$7))</f>
        <v/>
      </c>
      <c r="F126" s="91">
        <f>IF(F125&lt;0.005,0,MAX(0,F125*(1+F$6/12)-F$7))</f>
        <v/>
      </c>
      <c r="G126" s="91">
        <f>IF(G125&lt;0.005,0,MAX(0,G125*(1+G$6/12)-G$7))</f>
        <v/>
      </c>
      <c r="H126" s="91">
        <f>IF(H125&lt;0.005,0,MAX(0,H125*(1+H$6/12)-H$7))</f>
        <v/>
      </c>
      <c r="I126" s="91">
        <f>IF(I125&lt;0.005,0,MAX(0,I125*(1+I$6/12)-I$7))</f>
        <v/>
      </c>
      <c r="J126" s="91">
        <f>IF(J125&lt;0.005,0,MAX(0,J125*(1+J$6/12)-J$7))</f>
        <v/>
      </c>
      <c r="K126" s="91">
        <f>IF(K125&lt;0.005,0,MAX(0,K125*(1+K$6/12)-K$7))</f>
        <v/>
      </c>
      <c r="L126" s="91">
        <f>IF(L125&lt;0.005,0,MAX(0,L125*(1+L$6/12)-L$7))</f>
        <v/>
      </c>
      <c r="M126" s="91">
        <f>SUMPRODUCT(C125:L125,$C$6:$L$6)/12</f>
        <v/>
      </c>
      <c r="N126" s="88">
        <f>SUM(C126:L126)</f>
        <v/>
      </c>
      <c r="P126" s="92">
        <f>IF(Z125&lt;0.005,0,MAX(0,Z125*(1+Z$6/12)-Z$7))</f>
        <v/>
      </c>
      <c r="Q126" s="92">
        <f>IF(AA125&lt;0.005,0,MAX(0,AA125*(1+AA$6/12)-AA$7))</f>
        <v/>
      </c>
      <c r="R126" s="92">
        <f>IF(AB125&lt;0.005,0,MAX(0,AB125*(1+AB$6/12)-AB$7))</f>
        <v/>
      </c>
      <c r="S126" s="92">
        <f>IF(AC125&lt;0.005,0,MAX(0,AC125*(1+AC$6/12)-AC$7))</f>
        <v/>
      </c>
      <c r="T126" s="92">
        <f>IF(AD125&lt;0.005,0,MAX(0,AD125*(1+AD$6/12)-AD$7))</f>
        <v/>
      </c>
      <c r="U126" s="92">
        <f>IF(AE125&lt;0.005,0,MAX(0,AE125*(1+AE$6/12)-AE$7))</f>
        <v/>
      </c>
      <c r="V126" s="92">
        <f>IF(AF125&lt;0.005,0,MAX(0,AF125*(1+AF$6/12)-AF$7))</f>
        <v/>
      </c>
      <c r="W126" s="92">
        <f>IF(AG125&lt;0.005,0,MAX(0,AG125*(1+AG$6/12)-AG$7))</f>
        <v/>
      </c>
      <c r="X126" s="92">
        <f>IF(AH125&lt;0.005,0,MAX(0,AH125*(1+AH$6/12)-AH$7))</f>
        <v/>
      </c>
      <c r="Y126" s="92">
        <f>IF(AI125&lt;0.005,0,MAX(0,AI125*(1+AI$6/12)-AI$7))</f>
        <v/>
      </c>
      <c r="Z126" s="91">
        <f>MAX(0,P126-MAX(0,AK126-0))</f>
        <v/>
      </c>
      <c r="AA126" s="91">
        <f>MAX(0,Q126-MAX(0,AK126-SUM(P126:P126)))</f>
        <v/>
      </c>
      <c r="AB126" s="91">
        <f>MAX(0,R126-MAX(0,AK126-SUM(P126:Q126)))</f>
        <v/>
      </c>
      <c r="AC126" s="91">
        <f>MAX(0,S126-MAX(0,AK126-SUM(P126:R126)))</f>
        <v/>
      </c>
      <c r="AD126" s="91">
        <f>MAX(0,T126-MAX(0,AK126-SUM(P126:S126)))</f>
        <v/>
      </c>
      <c r="AE126" s="91">
        <f>MAX(0,U126-MAX(0,AK126-SUM(P126:T126)))</f>
        <v/>
      </c>
      <c r="AF126" s="91">
        <f>MAX(0,V126-MAX(0,AK126-SUM(P126:U126)))</f>
        <v/>
      </c>
      <c r="AG126" s="91">
        <f>MAX(0,W126-MAX(0,AK126-SUM(P126:V126)))</f>
        <v/>
      </c>
      <c r="AH126" s="91">
        <f>MAX(0,X126-MAX(0,AK126-SUM(P126:W126)))</f>
        <v/>
      </c>
      <c r="AI126" s="91">
        <f>MAX(0,Y126-MAX(0,AK126-SUM(P126:X126)))</f>
        <v/>
      </c>
      <c r="AJ126" s="92">
        <f>SUM(Z125:AI125)+AL126</f>
        <v/>
      </c>
      <c r="AK126" s="92">
        <f>$AK$7-(AJ126-SUM(P126:Y126))</f>
        <v/>
      </c>
      <c r="AL126" s="91">
        <f>SUMPRODUCT(Z125:AI125,$Z$6:$AI$6)/12</f>
        <v/>
      </c>
      <c r="AM126" s="88">
        <f>SUM(Z126:AI126)</f>
        <v/>
      </c>
      <c r="AO126" s="92">
        <f>IF(AY125&lt;0.005,0,MAX(0,AY125*(1+AY$6/12)-AY$7))</f>
        <v/>
      </c>
      <c r="AP126" s="92">
        <f>IF(AZ125&lt;0.005,0,MAX(0,AZ125*(1+AZ$6/12)-AZ$7))</f>
        <v/>
      </c>
      <c r="AQ126" s="92">
        <f>IF(BA125&lt;0.005,0,MAX(0,BA125*(1+BA$6/12)-BA$7))</f>
        <v/>
      </c>
      <c r="AR126" s="92">
        <f>IF(BB125&lt;0.005,0,MAX(0,BB125*(1+BB$6/12)-BB$7))</f>
        <v/>
      </c>
      <c r="AS126" s="92">
        <f>IF(BC125&lt;0.005,0,MAX(0,BC125*(1+BC$6/12)-BC$7))</f>
        <v/>
      </c>
      <c r="AT126" s="92">
        <f>IF(BD125&lt;0.005,0,MAX(0,BD125*(1+BD$6/12)-BD$7))</f>
        <v/>
      </c>
      <c r="AU126" s="92">
        <f>IF(BE125&lt;0.005,0,MAX(0,BE125*(1+BE$6/12)-BE$7))</f>
        <v/>
      </c>
      <c r="AV126" s="92">
        <f>IF(BF125&lt;0.005,0,MAX(0,BF125*(1+BF$6/12)-BF$7))</f>
        <v/>
      </c>
      <c r="AW126" s="92">
        <f>IF(BG125&lt;0.005,0,MAX(0,BG125*(1+BG$6/12)-BG$7))</f>
        <v/>
      </c>
      <c r="AX126" s="92">
        <f>IF(BH125&lt;0.005,0,MAX(0,BH125*(1+BH$6/12)-BH$7))</f>
        <v/>
      </c>
      <c r="AY126" s="91">
        <f>MAX(0,AO126-MAX(0,BJ126-0))</f>
        <v/>
      </c>
      <c r="AZ126" s="91">
        <f>MAX(0,AP126-MAX(0,BJ126-SUM(AO126:AO126)))</f>
        <v/>
      </c>
      <c r="BA126" s="91">
        <f>MAX(0,AQ126-MAX(0,BJ126-SUM(AO126:AP126)))</f>
        <v/>
      </c>
      <c r="BB126" s="91">
        <f>MAX(0,AR126-MAX(0,BJ126-SUM(AO126:AQ126)))</f>
        <v/>
      </c>
      <c r="BC126" s="91">
        <f>MAX(0,AS126-MAX(0,BJ126-SUM(AO126:AR126)))</f>
        <v/>
      </c>
      <c r="BD126" s="91">
        <f>MAX(0,AT126-MAX(0,BJ126-SUM(AO126:AS126)))</f>
        <v/>
      </c>
      <c r="BE126" s="91">
        <f>MAX(0,AU126-MAX(0,BJ126-SUM(AO126:AT126)))</f>
        <v/>
      </c>
      <c r="BF126" s="91">
        <f>MAX(0,AV126-MAX(0,BJ126-SUM(AO126:AU126)))</f>
        <v/>
      </c>
      <c r="BG126" s="91">
        <f>MAX(0,AW126-MAX(0,BJ126-SUM(AO126:AV126)))</f>
        <v/>
      </c>
      <c r="BH126" s="91">
        <f>MAX(0,AX126-MAX(0,BJ126-SUM(AO126:AW126)))</f>
        <v/>
      </c>
      <c r="BI126" s="92">
        <f>SUM(AY125:BH125)+BK126</f>
        <v/>
      </c>
      <c r="BJ126" s="92">
        <f>$BJ$7-(BI126-SUM(AO126:AX126))</f>
        <v/>
      </c>
      <c r="BK126" s="91">
        <f>SUMPRODUCT(AY125:BH125,$AY$6:$BH$6)/12</f>
        <v/>
      </c>
      <c r="BL126" s="88">
        <f>SUM(AY126:BH126)</f>
        <v/>
      </c>
    </row>
    <row r="127">
      <c r="A127" s="24" t="n">
        <v>117</v>
      </c>
      <c r="B127" s="90">
        <f>DATE(YEAR(Settings!$C$11),MONTH(Settings!$C$11)+A127,1)</f>
        <v/>
      </c>
      <c r="C127" s="91">
        <f>IF(C126&lt;0.005,0,MAX(0,C126*(1+C$6/12)-C$7))</f>
        <v/>
      </c>
      <c r="D127" s="91">
        <f>IF(D126&lt;0.005,0,MAX(0,D126*(1+D$6/12)-D$7))</f>
        <v/>
      </c>
      <c r="E127" s="91">
        <f>IF(E126&lt;0.005,0,MAX(0,E126*(1+E$6/12)-E$7))</f>
        <v/>
      </c>
      <c r="F127" s="91">
        <f>IF(F126&lt;0.005,0,MAX(0,F126*(1+F$6/12)-F$7))</f>
        <v/>
      </c>
      <c r="G127" s="91">
        <f>IF(G126&lt;0.005,0,MAX(0,G126*(1+G$6/12)-G$7))</f>
        <v/>
      </c>
      <c r="H127" s="91">
        <f>IF(H126&lt;0.005,0,MAX(0,H126*(1+H$6/12)-H$7))</f>
        <v/>
      </c>
      <c r="I127" s="91">
        <f>IF(I126&lt;0.005,0,MAX(0,I126*(1+I$6/12)-I$7))</f>
        <v/>
      </c>
      <c r="J127" s="91">
        <f>IF(J126&lt;0.005,0,MAX(0,J126*(1+J$6/12)-J$7))</f>
        <v/>
      </c>
      <c r="K127" s="91">
        <f>IF(K126&lt;0.005,0,MAX(0,K126*(1+K$6/12)-K$7))</f>
        <v/>
      </c>
      <c r="L127" s="91">
        <f>IF(L126&lt;0.005,0,MAX(0,L126*(1+L$6/12)-L$7))</f>
        <v/>
      </c>
      <c r="M127" s="91">
        <f>SUMPRODUCT(C126:L126,$C$6:$L$6)/12</f>
        <v/>
      </c>
      <c r="N127" s="88">
        <f>SUM(C127:L127)</f>
        <v/>
      </c>
      <c r="P127" s="92">
        <f>IF(Z126&lt;0.005,0,MAX(0,Z126*(1+Z$6/12)-Z$7))</f>
        <v/>
      </c>
      <c r="Q127" s="92">
        <f>IF(AA126&lt;0.005,0,MAX(0,AA126*(1+AA$6/12)-AA$7))</f>
        <v/>
      </c>
      <c r="R127" s="92">
        <f>IF(AB126&lt;0.005,0,MAX(0,AB126*(1+AB$6/12)-AB$7))</f>
        <v/>
      </c>
      <c r="S127" s="92">
        <f>IF(AC126&lt;0.005,0,MAX(0,AC126*(1+AC$6/12)-AC$7))</f>
        <v/>
      </c>
      <c r="T127" s="92">
        <f>IF(AD126&lt;0.005,0,MAX(0,AD126*(1+AD$6/12)-AD$7))</f>
        <v/>
      </c>
      <c r="U127" s="92">
        <f>IF(AE126&lt;0.005,0,MAX(0,AE126*(1+AE$6/12)-AE$7))</f>
        <v/>
      </c>
      <c r="V127" s="92">
        <f>IF(AF126&lt;0.005,0,MAX(0,AF126*(1+AF$6/12)-AF$7))</f>
        <v/>
      </c>
      <c r="W127" s="92">
        <f>IF(AG126&lt;0.005,0,MAX(0,AG126*(1+AG$6/12)-AG$7))</f>
        <v/>
      </c>
      <c r="X127" s="92">
        <f>IF(AH126&lt;0.005,0,MAX(0,AH126*(1+AH$6/12)-AH$7))</f>
        <v/>
      </c>
      <c r="Y127" s="92">
        <f>IF(AI126&lt;0.005,0,MAX(0,AI126*(1+AI$6/12)-AI$7))</f>
        <v/>
      </c>
      <c r="Z127" s="91">
        <f>MAX(0,P127-MAX(0,AK127-0))</f>
        <v/>
      </c>
      <c r="AA127" s="91">
        <f>MAX(0,Q127-MAX(0,AK127-SUM(P127:P127)))</f>
        <v/>
      </c>
      <c r="AB127" s="91">
        <f>MAX(0,R127-MAX(0,AK127-SUM(P127:Q127)))</f>
        <v/>
      </c>
      <c r="AC127" s="91">
        <f>MAX(0,S127-MAX(0,AK127-SUM(P127:R127)))</f>
        <v/>
      </c>
      <c r="AD127" s="91">
        <f>MAX(0,T127-MAX(0,AK127-SUM(P127:S127)))</f>
        <v/>
      </c>
      <c r="AE127" s="91">
        <f>MAX(0,U127-MAX(0,AK127-SUM(P127:T127)))</f>
        <v/>
      </c>
      <c r="AF127" s="91">
        <f>MAX(0,V127-MAX(0,AK127-SUM(P127:U127)))</f>
        <v/>
      </c>
      <c r="AG127" s="91">
        <f>MAX(0,W127-MAX(0,AK127-SUM(P127:V127)))</f>
        <v/>
      </c>
      <c r="AH127" s="91">
        <f>MAX(0,X127-MAX(0,AK127-SUM(P127:W127)))</f>
        <v/>
      </c>
      <c r="AI127" s="91">
        <f>MAX(0,Y127-MAX(0,AK127-SUM(P127:X127)))</f>
        <v/>
      </c>
      <c r="AJ127" s="92">
        <f>SUM(Z126:AI126)+AL127</f>
        <v/>
      </c>
      <c r="AK127" s="92">
        <f>$AK$7-(AJ127-SUM(P127:Y127))</f>
        <v/>
      </c>
      <c r="AL127" s="91">
        <f>SUMPRODUCT(Z126:AI126,$Z$6:$AI$6)/12</f>
        <v/>
      </c>
      <c r="AM127" s="88">
        <f>SUM(Z127:AI127)</f>
        <v/>
      </c>
      <c r="AO127" s="92">
        <f>IF(AY126&lt;0.005,0,MAX(0,AY126*(1+AY$6/12)-AY$7))</f>
        <v/>
      </c>
      <c r="AP127" s="92">
        <f>IF(AZ126&lt;0.005,0,MAX(0,AZ126*(1+AZ$6/12)-AZ$7))</f>
        <v/>
      </c>
      <c r="AQ127" s="92">
        <f>IF(BA126&lt;0.005,0,MAX(0,BA126*(1+BA$6/12)-BA$7))</f>
        <v/>
      </c>
      <c r="AR127" s="92">
        <f>IF(BB126&lt;0.005,0,MAX(0,BB126*(1+BB$6/12)-BB$7))</f>
        <v/>
      </c>
      <c r="AS127" s="92">
        <f>IF(BC126&lt;0.005,0,MAX(0,BC126*(1+BC$6/12)-BC$7))</f>
        <v/>
      </c>
      <c r="AT127" s="92">
        <f>IF(BD126&lt;0.005,0,MAX(0,BD126*(1+BD$6/12)-BD$7))</f>
        <v/>
      </c>
      <c r="AU127" s="92">
        <f>IF(BE126&lt;0.005,0,MAX(0,BE126*(1+BE$6/12)-BE$7))</f>
        <v/>
      </c>
      <c r="AV127" s="92">
        <f>IF(BF126&lt;0.005,0,MAX(0,BF126*(1+BF$6/12)-BF$7))</f>
        <v/>
      </c>
      <c r="AW127" s="92">
        <f>IF(BG126&lt;0.005,0,MAX(0,BG126*(1+BG$6/12)-BG$7))</f>
        <v/>
      </c>
      <c r="AX127" s="92">
        <f>IF(BH126&lt;0.005,0,MAX(0,BH126*(1+BH$6/12)-BH$7))</f>
        <v/>
      </c>
      <c r="AY127" s="91">
        <f>MAX(0,AO127-MAX(0,BJ127-0))</f>
        <v/>
      </c>
      <c r="AZ127" s="91">
        <f>MAX(0,AP127-MAX(0,BJ127-SUM(AO127:AO127)))</f>
        <v/>
      </c>
      <c r="BA127" s="91">
        <f>MAX(0,AQ127-MAX(0,BJ127-SUM(AO127:AP127)))</f>
        <v/>
      </c>
      <c r="BB127" s="91">
        <f>MAX(0,AR127-MAX(0,BJ127-SUM(AO127:AQ127)))</f>
        <v/>
      </c>
      <c r="BC127" s="91">
        <f>MAX(0,AS127-MAX(0,BJ127-SUM(AO127:AR127)))</f>
        <v/>
      </c>
      <c r="BD127" s="91">
        <f>MAX(0,AT127-MAX(0,BJ127-SUM(AO127:AS127)))</f>
        <v/>
      </c>
      <c r="BE127" s="91">
        <f>MAX(0,AU127-MAX(0,BJ127-SUM(AO127:AT127)))</f>
        <v/>
      </c>
      <c r="BF127" s="91">
        <f>MAX(0,AV127-MAX(0,BJ127-SUM(AO127:AU127)))</f>
        <v/>
      </c>
      <c r="BG127" s="91">
        <f>MAX(0,AW127-MAX(0,BJ127-SUM(AO127:AV127)))</f>
        <v/>
      </c>
      <c r="BH127" s="91">
        <f>MAX(0,AX127-MAX(0,BJ127-SUM(AO127:AW127)))</f>
        <v/>
      </c>
      <c r="BI127" s="92">
        <f>SUM(AY126:BH126)+BK127</f>
        <v/>
      </c>
      <c r="BJ127" s="92">
        <f>$BJ$7-(BI127-SUM(AO127:AX127))</f>
        <v/>
      </c>
      <c r="BK127" s="91">
        <f>SUMPRODUCT(AY126:BH126,$AY$6:$BH$6)/12</f>
        <v/>
      </c>
      <c r="BL127" s="88">
        <f>SUM(AY127:BH127)</f>
        <v/>
      </c>
    </row>
    <row r="128">
      <c r="A128" s="24" t="n">
        <v>118</v>
      </c>
      <c r="B128" s="90">
        <f>DATE(YEAR(Settings!$C$11),MONTH(Settings!$C$11)+A128,1)</f>
        <v/>
      </c>
      <c r="C128" s="91">
        <f>IF(C127&lt;0.005,0,MAX(0,C127*(1+C$6/12)-C$7))</f>
        <v/>
      </c>
      <c r="D128" s="91">
        <f>IF(D127&lt;0.005,0,MAX(0,D127*(1+D$6/12)-D$7))</f>
        <v/>
      </c>
      <c r="E128" s="91">
        <f>IF(E127&lt;0.005,0,MAX(0,E127*(1+E$6/12)-E$7))</f>
        <v/>
      </c>
      <c r="F128" s="91">
        <f>IF(F127&lt;0.005,0,MAX(0,F127*(1+F$6/12)-F$7))</f>
        <v/>
      </c>
      <c r="G128" s="91">
        <f>IF(G127&lt;0.005,0,MAX(0,G127*(1+G$6/12)-G$7))</f>
        <v/>
      </c>
      <c r="H128" s="91">
        <f>IF(H127&lt;0.005,0,MAX(0,H127*(1+H$6/12)-H$7))</f>
        <v/>
      </c>
      <c r="I128" s="91">
        <f>IF(I127&lt;0.005,0,MAX(0,I127*(1+I$6/12)-I$7))</f>
        <v/>
      </c>
      <c r="J128" s="91">
        <f>IF(J127&lt;0.005,0,MAX(0,J127*(1+J$6/12)-J$7))</f>
        <v/>
      </c>
      <c r="K128" s="91">
        <f>IF(K127&lt;0.005,0,MAX(0,K127*(1+K$6/12)-K$7))</f>
        <v/>
      </c>
      <c r="L128" s="91">
        <f>IF(L127&lt;0.005,0,MAX(0,L127*(1+L$6/12)-L$7))</f>
        <v/>
      </c>
      <c r="M128" s="91">
        <f>SUMPRODUCT(C127:L127,$C$6:$L$6)/12</f>
        <v/>
      </c>
      <c r="N128" s="88">
        <f>SUM(C128:L128)</f>
        <v/>
      </c>
      <c r="P128" s="92">
        <f>IF(Z127&lt;0.005,0,MAX(0,Z127*(1+Z$6/12)-Z$7))</f>
        <v/>
      </c>
      <c r="Q128" s="92">
        <f>IF(AA127&lt;0.005,0,MAX(0,AA127*(1+AA$6/12)-AA$7))</f>
        <v/>
      </c>
      <c r="R128" s="92">
        <f>IF(AB127&lt;0.005,0,MAX(0,AB127*(1+AB$6/12)-AB$7))</f>
        <v/>
      </c>
      <c r="S128" s="92">
        <f>IF(AC127&lt;0.005,0,MAX(0,AC127*(1+AC$6/12)-AC$7))</f>
        <v/>
      </c>
      <c r="T128" s="92">
        <f>IF(AD127&lt;0.005,0,MAX(0,AD127*(1+AD$6/12)-AD$7))</f>
        <v/>
      </c>
      <c r="U128" s="92">
        <f>IF(AE127&lt;0.005,0,MAX(0,AE127*(1+AE$6/12)-AE$7))</f>
        <v/>
      </c>
      <c r="V128" s="92">
        <f>IF(AF127&lt;0.005,0,MAX(0,AF127*(1+AF$6/12)-AF$7))</f>
        <v/>
      </c>
      <c r="W128" s="92">
        <f>IF(AG127&lt;0.005,0,MAX(0,AG127*(1+AG$6/12)-AG$7))</f>
        <v/>
      </c>
      <c r="X128" s="92">
        <f>IF(AH127&lt;0.005,0,MAX(0,AH127*(1+AH$6/12)-AH$7))</f>
        <v/>
      </c>
      <c r="Y128" s="92">
        <f>IF(AI127&lt;0.005,0,MAX(0,AI127*(1+AI$6/12)-AI$7))</f>
        <v/>
      </c>
      <c r="Z128" s="91">
        <f>MAX(0,P128-MAX(0,AK128-0))</f>
        <v/>
      </c>
      <c r="AA128" s="91">
        <f>MAX(0,Q128-MAX(0,AK128-SUM(P128:P128)))</f>
        <v/>
      </c>
      <c r="AB128" s="91">
        <f>MAX(0,R128-MAX(0,AK128-SUM(P128:Q128)))</f>
        <v/>
      </c>
      <c r="AC128" s="91">
        <f>MAX(0,S128-MAX(0,AK128-SUM(P128:R128)))</f>
        <v/>
      </c>
      <c r="AD128" s="91">
        <f>MAX(0,T128-MAX(0,AK128-SUM(P128:S128)))</f>
        <v/>
      </c>
      <c r="AE128" s="91">
        <f>MAX(0,U128-MAX(0,AK128-SUM(P128:T128)))</f>
        <v/>
      </c>
      <c r="AF128" s="91">
        <f>MAX(0,V128-MAX(0,AK128-SUM(P128:U128)))</f>
        <v/>
      </c>
      <c r="AG128" s="91">
        <f>MAX(0,W128-MAX(0,AK128-SUM(P128:V128)))</f>
        <v/>
      </c>
      <c r="AH128" s="91">
        <f>MAX(0,X128-MAX(0,AK128-SUM(P128:W128)))</f>
        <v/>
      </c>
      <c r="AI128" s="91">
        <f>MAX(0,Y128-MAX(0,AK128-SUM(P128:X128)))</f>
        <v/>
      </c>
      <c r="AJ128" s="92">
        <f>SUM(Z127:AI127)+AL128</f>
        <v/>
      </c>
      <c r="AK128" s="92">
        <f>$AK$7-(AJ128-SUM(P128:Y128))</f>
        <v/>
      </c>
      <c r="AL128" s="91">
        <f>SUMPRODUCT(Z127:AI127,$Z$6:$AI$6)/12</f>
        <v/>
      </c>
      <c r="AM128" s="88">
        <f>SUM(Z128:AI128)</f>
        <v/>
      </c>
      <c r="AO128" s="92">
        <f>IF(AY127&lt;0.005,0,MAX(0,AY127*(1+AY$6/12)-AY$7))</f>
        <v/>
      </c>
      <c r="AP128" s="92">
        <f>IF(AZ127&lt;0.005,0,MAX(0,AZ127*(1+AZ$6/12)-AZ$7))</f>
        <v/>
      </c>
      <c r="AQ128" s="92">
        <f>IF(BA127&lt;0.005,0,MAX(0,BA127*(1+BA$6/12)-BA$7))</f>
        <v/>
      </c>
      <c r="AR128" s="92">
        <f>IF(BB127&lt;0.005,0,MAX(0,BB127*(1+BB$6/12)-BB$7))</f>
        <v/>
      </c>
      <c r="AS128" s="92">
        <f>IF(BC127&lt;0.005,0,MAX(0,BC127*(1+BC$6/12)-BC$7))</f>
        <v/>
      </c>
      <c r="AT128" s="92">
        <f>IF(BD127&lt;0.005,0,MAX(0,BD127*(1+BD$6/12)-BD$7))</f>
        <v/>
      </c>
      <c r="AU128" s="92">
        <f>IF(BE127&lt;0.005,0,MAX(0,BE127*(1+BE$6/12)-BE$7))</f>
        <v/>
      </c>
      <c r="AV128" s="92">
        <f>IF(BF127&lt;0.005,0,MAX(0,BF127*(1+BF$6/12)-BF$7))</f>
        <v/>
      </c>
      <c r="AW128" s="92">
        <f>IF(BG127&lt;0.005,0,MAX(0,BG127*(1+BG$6/12)-BG$7))</f>
        <v/>
      </c>
      <c r="AX128" s="92">
        <f>IF(BH127&lt;0.005,0,MAX(0,BH127*(1+BH$6/12)-BH$7))</f>
        <v/>
      </c>
      <c r="AY128" s="91">
        <f>MAX(0,AO128-MAX(0,BJ128-0))</f>
        <v/>
      </c>
      <c r="AZ128" s="91">
        <f>MAX(0,AP128-MAX(0,BJ128-SUM(AO128:AO128)))</f>
        <v/>
      </c>
      <c r="BA128" s="91">
        <f>MAX(0,AQ128-MAX(0,BJ128-SUM(AO128:AP128)))</f>
        <v/>
      </c>
      <c r="BB128" s="91">
        <f>MAX(0,AR128-MAX(0,BJ128-SUM(AO128:AQ128)))</f>
        <v/>
      </c>
      <c r="BC128" s="91">
        <f>MAX(0,AS128-MAX(0,BJ128-SUM(AO128:AR128)))</f>
        <v/>
      </c>
      <c r="BD128" s="91">
        <f>MAX(0,AT128-MAX(0,BJ128-SUM(AO128:AS128)))</f>
        <v/>
      </c>
      <c r="BE128" s="91">
        <f>MAX(0,AU128-MAX(0,BJ128-SUM(AO128:AT128)))</f>
        <v/>
      </c>
      <c r="BF128" s="91">
        <f>MAX(0,AV128-MAX(0,BJ128-SUM(AO128:AU128)))</f>
        <v/>
      </c>
      <c r="BG128" s="91">
        <f>MAX(0,AW128-MAX(0,BJ128-SUM(AO128:AV128)))</f>
        <v/>
      </c>
      <c r="BH128" s="91">
        <f>MAX(0,AX128-MAX(0,BJ128-SUM(AO128:AW128)))</f>
        <v/>
      </c>
      <c r="BI128" s="92">
        <f>SUM(AY127:BH127)+BK128</f>
        <v/>
      </c>
      <c r="BJ128" s="92">
        <f>$BJ$7-(BI128-SUM(AO128:AX128))</f>
        <v/>
      </c>
      <c r="BK128" s="91">
        <f>SUMPRODUCT(AY127:BH127,$AY$6:$BH$6)/12</f>
        <v/>
      </c>
      <c r="BL128" s="88">
        <f>SUM(AY128:BH128)</f>
        <v/>
      </c>
    </row>
    <row r="129">
      <c r="A129" s="24" t="n">
        <v>119</v>
      </c>
      <c r="B129" s="90">
        <f>DATE(YEAR(Settings!$C$11),MONTH(Settings!$C$11)+A129,1)</f>
        <v/>
      </c>
      <c r="C129" s="91">
        <f>IF(C128&lt;0.005,0,MAX(0,C128*(1+C$6/12)-C$7))</f>
        <v/>
      </c>
      <c r="D129" s="91">
        <f>IF(D128&lt;0.005,0,MAX(0,D128*(1+D$6/12)-D$7))</f>
        <v/>
      </c>
      <c r="E129" s="91">
        <f>IF(E128&lt;0.005,0,MAX(0,E128*(1+E$6/12)-E$7))</f>
        <v/>
      </c>
      <c r="F129" s="91">
        <f>IF(F128&lt;0.005,0,MAX(0,F128*(1+F$6/12)-F$7))</f>
        <v/>
      </c>
      <c r="G129" s="91">
        <f>IF(G128&lt;0.005,0,MAX(0,G128*(1+G$6/12)-G$7))</f>
        <v/>
      </c>
      <c r="H129" s="91">
        <f>IF(H128&lt;0.005,0,MAX(0,H128*(1+H$6/12)-H$7))</f>
        <v/>
      </c>
      <c r="I129" s="91">
        <f>IF(I128&lt;0.005,0,MAX(0,I128*(1+I$6/12)-I$7))</f>
        <v/>
      </c>
      <c r="J129" s="91">
        <f>IF(J128&lt;0.005,0,MAX(0,J128*(1+J$6/12)-J$7))</f>
        <v/>
      </c>
      <c r="K129" s="91">
        <f>IF(K128&lt;0.005,0,MAX(0,K128*(1+K$6/12)-K$7))</f>
        <v/>
      </c>
      <c r="L129" s="91">
        <f>IF(L128&lt;0.005,0,MAX(0,L128*(1+L$6/12)-L$7))</f>
        <v/>
      </c>
      <c r="M129" s="91">
        <f>SUMPRODUCT(C128:L128,$C$6:$L$6)/12</f>
        <v/>
      </c>
      <c r="N129" s="88">
        <f>SUM(C129:L129)</f>
        <v/>
      </c>
      <c r="P129" s="92">
        <f>IF(Z128&lt;0.005,0,MAX(0,Z128*(1+Z$6/12)-Z$7))</f>
        <v/>
      </c>
      <c r="Q129" s="92">
        <f>IF(AA128&lt;0.005,0,MAX(0,AA128*(1+AA$6/12)-AA$7))</f>
        <v/>
      </c>
      <c r="R129" s="92">
        <f>IF(AB128&lt;0.005,0,MAX(0,AB128*(1+AB$6/12)-AB$7))</f>
        <v/>
      </c>
      <c r="S129" s="92">
        <f>IF(AC128&lt;0.005,0,MAX(0,AC128*(1+AC$6/12)-AC$7))</f>
        <v/>
      </c>
      <c r="T129" s="92">
        <f>IF(AD128&lt;0.005,0,MAX(0,AD128*(1+AD$6/12)-AD$7))</f>
        <v/>
      </c>
      <c r="U129" s="92">
        <f>IF(AE128&lt;0.005,0,MAX(0,AE128*(1+AE$6/12)-AE$7))</f>
        <v/>
      </c>
      <c r="V129" s="92">
        <f>IF(AF128&lt;0.005,0,MAX(0,AF128*(1+AF$6/12)-AF$7))</f>
        <v/>
      </c>
      <c r="W129" s="92">
        <f>IF(AG128&lt;0.005,0,MAX(0,AG128*(1+AG$6/12)-AG$7))</f>
        <v/>
      </c>
      <c r="X129" s="92">
        <f>IF(AH128&lt;0.005,0,MAX(0,AH128*(1+AH$6/12)-AH$7))</f>
        <v/>
      </c>
      <c r="Y129" s="92">
        <f>IF(AI128&lt;0.005,0,MAX(0,AI128*(1+AI$6/12)-AI$7))</f>
        <v/>
      </c>
      <c r="Z129" s="91">
        <f>MAX(0,P129-MAX(0,AK129-0))</f>
        <v/>
      </c>
      <c r="AA129" s="91">
        <f>MAX(0,Q129-MAX(0,AK129-SUM(P129:P129)))</f>
        <v/>
      </c>
      <c r="AB129" s="91">
        <f>MAX(0,R129-MAX(0,AK129-SUM(P129:Q129)))</f>
        <v/>
      </c>
      <c r="AC129" s="91">
        <f>MAX(0,S129-MAX(0,AK129-SUM(P129:R129)))</f>
        <v/>
      </c>
      <c r="AD129" s="91">
        <f>MAX(0,T129-MAX(0,AK129-SUM(P129:S129)))</f>
        <v/>
      </c>
      <c r="AE129" s="91">
        <f>MAX(0,U129-MAX(0,AK129-SUM(P129:T129)))</f>
        <v/>
      </c>
      <c r="AF129" s="91">
        <f>MAX(0,V129-MAX(0,AK129-SUM(P129:U129)))</f>
        <v/>
      </c>
      <c r="AG129" s="91">
        <f>MAX(0,W129-MAX(0,AK129-SUM(P129:V129)))</f>
        <v/>
      </c>
      <c r="AH129" s="91">
        <f>MAX(0,X129-MAX(0,AK129-SUM(P129:W129)))</f>
        <v/>
      </c>
      <c r="AI129" s="91">
        <f>MAX(0,Y129-MAX(0,AK129-SUM(P129:X129)))</f>
        <v/>
      </c>
      <c r="AJ129" s="92">
        <f>SUM(Z128:AI128)+AL129</f>
        <v/>
      </c>
      <c r="AK129" s="92">
        <f>$AK$7-(AJ129-SUM(P129:Y129))</f>
        <v/>
      </c>
      <c r="AL129" s="91">
        <f>SUMPRODUCT(Z128:AI128,$Z$6:$AI$6)/12</f>
        <v/>
      </c>
      <c r="AM129" s="88">
        <f>SUM(Z129:AI129)</f>
        <v/>
      </c>
      <c r="AO129" s="92">
        <f>IF(AY128&lt;0.005,0,MAX(0,AY128*(1+AY$6/12)-AY$7))</f>
        <v/>
      </c>
      <c r="AP129" s="92">
        <f>IF(AZ128&lt;0.005,0,MAX(0,AZ128*(1+AZ$6/12)-AZ$7))</f>
        <v/>
      </c>
      <c r="AQ129" s="92">
        <f>IF(BA128&lt;0.005,0,MAX(0,BA128*(1+BA$6/12)-BA$7))</f>
        <v/>
      </c>
      <c r="AR129" s="92">
        <f>IF(BB128&lt;0.005,0,MAX(0,BB128*(1+BB$6/12)-BB$7))</f>
        <v/>
      </c>
      <c r="AS129" s="92">
        <f>IF(BC128&lt;0.005,0,MAX(0,BC128*(1+BC$6/12)-BC$7))</f>
        <v/>
      </c>
      <c r="AT129" s="92">
        <f>IF(BD128&lt;0.005,0,MAX(0,BD128*(1+BD$6/12)-BD$7))</f>
        <v/>
      </c>
      <c r="AU129" s="92">
        <f>IF(BE128&lt;0.005,0,MAX(0,BE128*(1+BE$6/12)-BE$7))</f>
        <v/>
      </c>
      <c r="AV129" s="92">
        <f>IF(BF128&lt;0.005,0,MAX(0,BF128*(1+BF$6/12)-BF$7))</f>
        <v/>
      </c>
      <c r="AW129" s="92">
        <f>IF(BG128&lt;0.005,0,MAX(0,BG128*(1+BG$6/12)-BG$7))</f>
        <v/>
      </c>
      <c r="AX129" s="92">
        <f>IF(BH128&lt;0.005,0,MAX(0,BH128*(1+BH$6/12)-BH$7))</f>
        <v/>
      </c>
      <c r="AY129" s="91">
        <f>MAX(0,AO129-MAX(0,BJ129-0))</f>
        <v/>
      </c>
      <c r="AZ129" s="91">
        <f>MAX(0,AP129-MAX(0,BJ129-SUM(AO129:AO129)))</f>
        <v/>
      </c>
      <c r="BA129" s="91">
        <f>MAX(0,AQ129-MAX(0,BJ129-SUM(AO129:AP129)))</f>
        <v/>
      </c>
      <c r="BB129" s="91">
        <f>MAX(0,AR129-MAX(0,BJ129-SUM(AO129:AQ129)))</f>
        <v/>
      </c>
      <c r="BC129" s="91">
        <f>MAX(0,AS129-MAX(0,BJ129-SUM(AO129:AR129)))</f>
        <v/>
      </c>
      <c r="BD129" s="91">
        <f>MAX(0,AT129-MAX(0,BJ129-SUM(AO129:AS129)))</f>
        <v/>
      </c>
      <c r="BE129" s="91">
        <f>MAX(0,AU129-MAX(0,BJ129-SUM(AO129:AT129)))</f>
        <v/>
      </c>
      <c r="BF129" s="91">
        <f>MAX(0,AV129-MAX(0,BJ129-SUM(AO129:AU129)))</f>
        <v/>
      </c>
      <c r="BG129" s="91">
        <f>MAX(0,AW129-MAX(0,BJ129-SUM(AO129:AV129)))</f>
        <v/>
      </c>
      <c r="BH129" s="91">
        <f>MAX(0,AX129-MAX(0,BJ129-SUM(AO129:AW129)))</f>
        <v/>
      </c>
      <c r="BI129" s="92">
        <f>SUM(AY128:BH128)+BK129</f>
        <v/>
      </c>
      <c r="BJ129" s="92">
        <f>$BJ$7-(BI129-SUM(AO129:AX129))</f>
        <v/>
      </c>
      <c r="BK129" s="91">
        <f>SUMPRODUCT(AY128:BH128,$AY$6:$BH$6)/12</f>
        <v/>
      </c>
      <c r="BL129" s="88">
        <f>SUM(AY129:BH129)</f>
        <v/>
      </c>
    </row>
    <row r="130">
      <c r="A130" s="24" t="n">
        <v>120</v>
      </c>
      <c r="B130" s="90">
        <f>DATE(YEAR(Settings!$C$11),MONTH(Settings!$C$11)+A130,1)</f>
        <v/>
      </c>
      <c r="C130" s="91">
        <f>IF(C129&lt;0.005,0,MAX(0,C129*(1+C$6/12)-C$7))</f>
        <v/>
      </c>
      <c r="D130" s="91">
        <f>IF(D129&lt;0.005,0,MAX(0,D129*(1+D$6/12)-D$7))</f>
        <v/>
      </c>
      <c r="E130" s="91">
        <f>IF(E129&lt;0.005,0,MAX(0,E129*(1+E$6/12)-E$7))</f>
        <v/>
      </c>
      <c r="F130" s="91">
        <f>IF(F129&lt;0.005,0,MAX(0,F129*(1+F$6/12)-F$7))</f>
        <v/>
      </c>
      <c r="G130" s="91">
        <f>IF(G129&lt;0.005,0,MAX(0,G129*(1+G$6/12)-G$7))</f>
        <v/>
      </c>
      <c r="H130" s="91">
        <f>IF(H129&lt;0.005,0,MAX(0,H129*(1+H$6/12)-H$7))</f>
        <v/>
      </c>
      <c r="I130" s="91">
        <f>IF(I129&lt;0.005,0,MAX(0,I129*(1+I$6/12)-I$7))</f>
        <v/>
      </c>
      <c r="J130" s="91">
        <f>IF(J129&lt;0.005,0,MAX(0,J129*(1+J$6/12)-J$7))</f>
        <v/>
      </c>
      <c r="K130" s="91">
        <f>IF(K129&lt;0.005,0,MAX(0,K129*(1+K$6/12)-K$7))</f>
        <v/>
      </c>
      <c r="L130" s="91">
        <f>IF(L129&lt;0.005,0,MAX(0,L129*(1+L$6/12)-L$7))</f>
        <v/>
      </c>
      <c r="M130" s="91">
        <f>SUMPRODUCT(C129:L129,$C$6:$L$6)/12</f>
        <v/>
      </c>
      <c r="N130" s="88">
        <f>SUM(C130:L130)</f>
        <v/>
      </c>
      <c r="P130" s="92">
        <f>IF(Z129&lt;0.005,0,MAX(0,Z129*(1+Z$6/12)-Z$7))</f>
        <v/>
      </c>
      <c r="Q130" s="92">
        <f>IF(AA129&lt;0.005,0,MAX(0,AA129*(1+AA$6/12)-AA$7))</f>
        <v/>
      </c>
      <c r="R130" s="92">
        <f>IF(AB129&lt;0.005,0,MAX(0,AB129*(1+AB$6/12)-AB$7))</f>
        <v/>
      </c>
      <c r="S130" s="92">
        <f>IF(AC129&lt;0.005,0,MAX(0,AC129*(1+AC$6/12)-AC$7))</f>
        <v/>
      </c>
      <c r="T130" s="92">
        <f>IF(AD129&lt;0.005,0,MAX(0,AD129*(1+AD$6/12)-AD$7))</f>
        <v/>
      </c>
      <c r="U130" s="92">
        <f>IF(AE129&lt;0.005,0,MAX(0,AE129*(1+AE$6/12)-AE$7))</f>
        <v/>
      </c>
      <c r="V130" s="92">
        <f>IF(AF129&lt;0.005,0,MAX(0,AF129*(1+AF$6/12)-AF$7))</f>
        <v/>
      </c>
      <c r="W130" s="92">
        <f>IF(AG129&lt;0.005,0,MAX(0,AG129*(1+AG$6/12)-AG$7))</f>
        <v/>
      </c>
      <c r="X130" s="92">
        <f>IF(AH129&lt;0.005,0,MAX(0,AH129*(1+AH$6/12)-AH$7))</f>
        <v/>
      </c>
      <c r="Y130" s="92">
        <f>IF(AI129&lt;0.005,0,MAX(0,AI129*(1+AI$6/12)-AI$7))</f>
        <v/>
      </c>
      <c r="Z130" s="91">
        <f>MAX(0,P130-MAX(0,AK130-0))</f>
        <v/>
      </c>
      <c r="AA130" s="91">
        <f>MAX(0,Q130-MAX(0,AK130-SUM(P130:P130)))</f>
        <v/>
      </c>
      <c r="AB130" s="91">
        <f>MAX(0,R130-MAX(0,AK130-SUM(P130:Q130)))</f>
        <v/>
      </c>
      <c r="AC130" s="91">
        <f>MAX(0,S130-MAX(0,AK130-SUM(P130:R130)))</f>
        <v/>
      </c>
      <c r="AD130" s="91">
        <f>MAX(0,T130-MAX(0,AK130-SUM(P130:S130)))</f>
        <v/>
      </c>
      <c r="AE130" s="91">
        <f>MAX(0,U130-MAX(0,AK130-SUM(P130:T130)))</f>
        <v/>
      </c>
      <c r="AF130" s="91">
        <f>MAX(0,V130-MAX(0,AK130-SUM(P130:U130)))</f>
        <v/>
      </c>
      <c r="AG130" s="91">
        <f>MAX(0,W130-MAX(0,AK130-SUM(P130:V130)))</f>
        <v/>
      </c>
      <c r="AH130" s="91">
        <f>MAX(0,X130-MAX(0,AK130-SUM(P130:W130)))</f>
        <v/>
      </c>
      <c r="AI130" s="91">
        <f>MAX(0,Y130-MAX(0,AK130-SUM(P130:X130)))</f>
        <v/>
      </c>
      <c r="AJ130" s="92">
        <f>SUM(Z129:AI129)+AL130</f>
        <v/>
      </c>
      <c r="AK130" s="92">
        <f>$AK$7-(AJ130-SUM(P130:Y130))</f>
        <v/>
      </c>
      <c r="AL130" s="91">
        <f>SUMPRODUCT(Z129:AI129,$Z$6:$AI$6)/12</f>
        <v/>
      </c>
      <c r="AM130" s="88">
        <f>SUM(Z130:AI130)</f>
        <v/>
      </c>
      <c r="AO130" s="92">
        <f>IF(AY129&lt;0.005,0,MAX(0,AY129*(1+AY$6/12)-AY$7))</f>
        <v/>
      </c>
      <c r="AP130" s="92">
        <f>IF(AZ129&lt;0.005,0,MAX(0,AZ129*(1+AZ$6/12)-AZ$7))</f>
        <v/>
      </c>
      <c r="AQ130" s="92">
        <f>IF(BA129&lt;0.005,0,MAX(0,BA129*(1+BA$6/12)-BA$7))</f>
        <v/>
      </c>
      <c r="AR130" s="92">
        <f>IF(BB129&lt;0.005,0,MAX(0,BB129*(1+BB$6/12)-BB$7))</f>
        <v/>
      </c>
      <c r="AS130" s="92">
        <f>IF(BC129&lt;0.005,0,MAX(0,BC129*(1+BC$6/12)-BC$7))</f>
        <v/>
      </c>
      <c r="AT130" s="92">
        <f>IF(BD129&lt;0.005,0,MAX(0,BD129*(1+BD$6/12)-BD$7))</f>
        <v/>
      </c>
      <c r="AU130" s="92">
        <f>IF(BE129&lt;0.005,0,MAX(0,BE129*(1+BE$6/12)-BE$7))</f>
        <v/>
      </c>
      <c r="AV130" s="92">
        <f>IF(BF129&lt;0.005,0,MAX(0,BF129*(1+BF$6/12)-BF$7))</f>
        <v/>
      </c>
      <c r="AW130" s="92">
        <f>IF(BG129&lt;0.005,0,MAX(0,BG129*(1+BG$6/12)-BG$7))</f>
        <v/>
      </c>
      <c r="AX130" s="92">
        <f>IF(BH129&lt;0.005,0,MAX(0,BH129*(1+BH$6/12)-BH$7))</f>
        <v/>
      </c>
      <c r="AY130" s="91">
        <f>MAX(0,AO130-MAX(0,BJ130-0))</f>
        <v/>
      </c>
      <c r="AZ130" s="91">
        <f>MAX(0,AP130-MAX(0,BJ130-SUM(AO130:AO130)))</f>
        <v/>
      </c>
      <c r="BA130" s="91">
        <f>MAX(0,AQ130-MAX(0,BJ130-SUM(AO130:AP130)))</f>
        <v/>
      </c>
      <c r="BB130" s="91">
        <f>MAX(0,AR130-MAX(0,BJ130-SUM(AO130:AQ130)))</f>
        <v/>
      </c>
      <c r="BC130" s="91">
        <f>MAX(0,AS130-MAX(0,BJ130-SUM(AO130:AR130)))</f>
        <v/>
      </c>
      <c r="BD130" s="91">
        <f>MAX(0,AT130-MAX(0,BJ130-SUM(AO130:AS130)))</f>
        <v/>
      </c>
      <c r="BE130" s="91">
        <f>MAX(0,AU130-MAX(0,BJ130-SUM(AO130:AT130)))</f>
        <v/>
      </c>
      <c r="BF130" s="91">
        <f>MAX(0,AV130-MAX(0,BJ130-SUM(AO130:AU130)))</f>
        <v/>
      </c>
      <c r="BG130" s="91">
        <f>MAX(0,AW130-MAX(0,BJ130-SUM(AO130:AV130)))</f>
        <v/>
      </c>
      <c r="BH130" s="91">
        <f>MAX(0,AX130-MAX(0,BJ130-SUM(AO130:AW130)))</f>
        <v/>
      </c>
      <c r="BI130" s="92">
        <f>SUM(AY129:BH129)+BK130</f>
        <v/>
      </c>
      <c r="BJ130" s="92">
        <f>$BJ$7-(BI130-SUM(AO130:AX130))</f>
        <v/>
      </c>
      <c r="BK130" s="91">
        <f>SUMPRODUCT(AY129:BH129,$AY$6:$BH$6)/12</f>
        <v/>
      </c>
      <c r="BL130" s="88">
        <f>SUM(AY130:BH130)</f>
        <v/>
      </c>
    </row>
    <row r="131">
      <c r="A131" s="24" t="n">
        <v>121</v>
      </c>
      <c r="B131" s="90">
        <f>DATE(YEAR(Settings!$C$11),MONTH(Settings!$C$11)+A131,1)</f>
        <v/>
      </c>
      <c r="C131" s="91">
        <f>IF(C130&lt;0.005,0,MAX(0,C130*(1+C$6/12)-C$7))</f>
        <v/>
      </c>
      <c r="D131" s="91">
        <f>IF(D130&lt;0.005,0,MAX(0,D130*(1+D$6/12)-D$7))</f>
        <v/>
      </c>
      <c r="E131" s="91">
        <f>IF(E130&lt;0.005,0,MAX(0,E130*(1+E$6/12)-E$7))</f>
        <v/>
      </c>
      <c r="F131" s="91">
        <f>IF(F130&lt;0.005,0,MAX(0,F130*(1+F$6/12)-F$7))</f>
        <v/>
      </c>
      <c r="G131" s="91">
        <f>IF(G130&lt;0.005,0,MAX(0,G130*(1+G$6/12)-G$7))</f>
        <v/>
      </c>
      <c r="H131" s="91">
        <f>IF(H130&lt;0.005,0,MAX(0,H130*(1+H$6/12)-H$7))</f>
        <v/>
      </c>
      <c r="I131" s="91">
        <f>IF(I130&lt;0.005,0,MAX(0,I130*(1+I$6/12)-I$7))</f>
        <v/>
      </c>
      <c r="J131" s="91">
        <f>IF(J130&lt;0.005,0,MAX(0,J130*(1+J$6/12)-J$7))</f>
        <v/>
      </c>
      <c r="K131" s="91">
        <f>IF(K130&lt;0.005,0,MAX(0,K130*(1+K$6/12)-K$7))</f>
        <v/>
      </c>
      <c r="L131" s="91">
        <f>IF(L130&lt;0.005,0,MAX(0,L130*(1+L$6/12)-L$7))</f>
        <v/>
      </c>
      <c r="M131" s="91">
        <f>SUMPRODUCT(C130:L130,$C$6:$L$6)/12</f>
        <v/>
      </c>
      <c r="N131" s="88">
        <f>SUM(C131:L131)</f>
        <v/>
      </c>
      <c r="P131" s="92">
        <f>IF(Z130&lt;0.005,0,MAX(0,Z130*(1+Z$6/12)-Z$7))</f>
        <v/>
      </c>
      <c r="Q131" s="92">
        <f>IF(AA130&lt;0.005,0,MAX(0,AA130*(1+AA$6/12)-AA$7))</f>
        <v/>
      </c>
      <c r="R131" s="92">
        <f>IF(AB130&lt;0.005,0,MAX(0,AB130*(1+AB$6/12)-AB$7))</f>
        <v/>
      </c>
      <c r="S131" s="92">
        <f>IF(AC130&lt;0.005,0,MAX(0,AC130*(1+AC$6/12)-AC$7))</f>
        <v/>
      </c>
      <c r="T131" s="92">
        <f>IF(AD130&lt;0.005,0,MAX(0,AD130*(1+AD$6/12)-AD$7))</f>
        <v/>
      </c>
      <c r="U131" s="92">
        <f>IF(AE130&lt;0.005,0,MAX(0,AE130*(1+AE$6/12)-AE$7))</f>
        <v/>
      </c>
      <c r="V131" s="92">
        <f>IF(AF130&lt;0.005,0,MAX(0,AF130*(1+AF$6/12)-AF$7))</f>
        <v/>
      </c>
      <c r="W131" s="92">
        <f>IF(AG130&lt;0.005,0,MAX(0,AG130*(1+AG$6/12)-AG$7))</f>
        <v/>
      </c>
      <c r="X131" s="92">
        <f>IF(AH130&lt;0.005,0,MAX(0,AH130*(1+AH$6/12)-AH$7))</f>
        <v/>
      </c>
      <c r="Y131" s="92">
        <f>IF(AI130&lt;0.005,0,MAX(0,AI130*(1+AI$6/12)-AI$7))</f>
        <v/>
      </c>
      <c r="Z131" s="91">
        <f>MAX(0,P131-MAX(0,AK131-0))</f>
        <v/>
      </c>
      <c r="AA131" s="91">
        <f>MAX(0,Q131-MAX(0,AK131-SUM(P131:P131)))</f>
        <v/>
      </c>
      <c r="AB131" s="91">
        <f>MAX(0,R131-MAX(0,AK131-SUM(P131:Q131)))</f>
        <v/>
      </c>
      <c r="AC131" s="91">
        <f>MAX(0,S131-MAX(0,AK131-SUM(P131:R131)))</f>
        <v/>
      </c>
      <c r="AD131" s="91">
        <f>MAX(0,T131-MAX(0,AK131-SUM(P131:S131)))</f>
        <v/>
      </c>
      <c r="AE131" s="91">
        <f>MAX(0,U131-MAX(0,AK131-SUM(P131:T131)))</f>
        <v/>
      </c>
      <c r="AF131" s="91">
        <f>MAX(0,V131-MAX(0,AK131-SUM(P131:U131)))</f>
        <v/>
      </c>
      <c r="AG131" s="91">
        <f>MAX(0,W131-MAX(0,AK131-SUM(P131:V131)))</f>
        <v/>
      </c>
      <c r="AH131" s="91">
        <f>MAX(0,X131-MAX(0,AK131-SUM(P131:W131)))</f>
        <v/>
      </c>
      <c r="AI131" s="91">
        <f>MAX(0,Y131-MAX(0,AK131-SUM(P131:X131)))</f>
        <v/>
      </c>
      <c r="AJ131" s="92">
        <f>SUM(Z130:AI130)+AL131</f>
        <v/>
      </c>
      <c r="AK131" s="92">
        <f>$AK$7-(AJ131-SUM(P131:Y131))</f>
        <v/>
      </c>
      <c r="AL131" s="91">
        <f>SUMPRODUCT(Z130:AI130,$Z$6:$AI$6)/12</f>
        <v/>
      </c>
      <c r="AM131" s="88">
        <f>SUM(Z131:AI131)</f>
        <v/>
      </c>
      <c r="AO131" s="92">
        <f>IF(AY130&lt;0.005,0,MAX(0,AY130*(1+AY$6/12)-AY$7))</f>
        <v/>
      </c>
      <c r="AP131" s="92">
        <f>IF(AZ130&lt;0.005,0,MAX(0,AZ130*(1+AZ$6/12)-AZ$7))</f>
        <v/>
      </c>
      <c r="AQ131" s="92">
        <f>IF(BA130&lt;0.005,0,MAX(0,BA130*(1+BA$6/12)-BA$7))</f>
        <v/>
      </c>
      <c r="AR131" s="92">
        <f>IF(BB130&lt;0.005,0,MAX(0,BB130*(1+BB$6/12)-BB$7))</f>
        <v/>
      </c>
      <c r="AS131" s="92">
        <f>IF(BC130&lt;0.005,0,MAX(0,BC130*(1+BC$6/12)-BC$7))</f>
        <v/>
      </c>
      <c r="AT131" s="92">
        <f>IF(BD130&lt;0.005,0,MAX(0,BD130*(1+BD$6/12)-BD$7))</f>
        <v/>
      </c>
      <c r="AU131" s="92">
        <f>IF(BE130&lt;0.005,0,MAX(0,BE130*(1+BE$6/12)-BE$7))</f>
        <v/>
      </c>
      <c r="AV131" s="92">
        <f>IF(BF130&lt;0.005,0,MAX(0,BF130*(1+BF$6/12)-BF$7))</f>
        <v/>
      </c>
      <c r="AW131" s="92">
        <f>IF(BG130&lt;0.005,0,MAX(0,BG130*(1+BG$6/12)-BG$7))</f>
        <v/>
      </c>
      <c r="AX131" s="92">
        <f>IF(BH130&lt;0.005,0,MAX(0,BH130*(1+BH$6/12)-BH$7))</f>
        <v/>
      </c>
      <c r="AY131" s="91">
        <f>MAX(0,AO131-MAX(0,BJ131-0))</f>
        <v/>
      </c>
      <c r="AZ131" s="91">
        <f>MAX(0,AP131-MAX(0,BJ131-SUM(AO131:AO131)))</f>
        <v/>
      </c>
      <c r="BA131" s="91">
        <f>MAX(0,AQ131-MAX(0,BJ131-SUM(AO131:AP131)))</f>
        <v/>
      </c>
      <c r="BB131" s="91">
        <f>MAX(0,AR131-MAX(0,BJ131-SUM(AO131:AQ131)))</f>
        <v/>
      </c>
      <c r="BC131" s="91">
        <f>MAX(0,AS131-MAX(0,BJ131-SUM(AO131:AR131)))</f>
        <v/>
      </c>
      <c r="BD131" s="91">
        <f>MAX(0,AT131-MAX(0,BJ131-SUM(AO131:AS131)))</f>
        <v/>
      </c>
      <c r="BE131" s="91">
        <f>MAX(0,AU131-MAX(0,BJ131-SUM(AO131:AT131)))</f>
        <v/>
      </c>
      <c r="BF131" s="91">
        <f>MAX(0,AV131-MAX(0,BJ131-SUM(AO131:AU131)))</f>
        <v/>
      </c>
      <c r="BG131" s="91">
        <f>MAX(0,AW131-MAX(0,BJ131-SUM(AO131:AV131)))</f>
        <v/>
      </c>
      <c r="BH131" s="91">
        <f>MAX(0,AX131-MAX(0,BJ131-SUM(AO131:AW131)))</f>
        <v/>
      </c>
      <c r="BI131" s="92">
        <f>SUM(AY130:BH130)+BK131</f>
        <v/>
      </c>
      <c r="BJ131" s="92">
        <f>$BJ$7-(BI131-SUM(AO131:AX131))</f>
        <v/>
      </c>
      <c r="BK131" s="91">
        <f>SUMPRODUCT(AY130:BH130,$AY$6:$BH$6)/12</f>
        <v/>
      </c>
      <c r="BL131" s="88">
        <f>SUM(AY131:BH131)</f>
        <v/>
      </c>
    </row>
    <row r="132">
      <c r="A132" s="24" t="n">
        <v>122</v>
      </c>
      <c r="B132" s="90">
        <f>DATE(YEAR(Settings!$C$11),MONTH(Settings!$C$11)+A132,1)</f>
        <v/>
      </c>
      <c r="C132" s="91">
        <f>IF(C131&lt;0.005,0,MAX(0,C131*(1+C$6/12)-C$7))</f>
        <v/>
      </c>
      <c r="D132" s="91">
        <f>IF(D131&lt;0.005,0,MAX(0,D131*(1+D$6/12)-D$7))</f>
        <v/>
      </c>
      <c r="E132" s="91">
        <f>IF(E131&lt;0.005,0,MAX(0,E131*(1+E$6/12)-E$7))</f>
        <v/>
      </c>
      <c r="F132" s="91">
        <f>IF(F131&lt;0.005,0,MAX(0,F131*(1+F$6/12)-F$7))</f>
        <v/>
      </c>
      <c r="G132" s="91">
        <f>IF(G131&lt;0.005,0,MAX(0,G131*(1+G$6/12)-G$7))</f>
        <v/>
      </c>
      <c r="H132" s="91">
        <f>IF(H131&lt;0.005,0,MAX(0,H131*(1+H$6/12)-H$7))</f>
        <v/>
      </c>
      <c r="I132" s="91">
        <f>IF(I131&lt;0.005,0,MAX(0,I131*(1+I$6/12)-I$7))</f>
        <v/>
      </c>
      <c r="J132" s="91">
        <f>IF(J131&lt;0.005,0,MAX(0,J131*(1+J$6/12)-J$7))</f>
        <v/>
      </c>
      <c r="K132" s="91">
        <f>IF(K131&lt;0.005,0,MAX(0,K131*(1+K$6/12)-K$7))</f>
        <v/>
      </c>
      <c r="L132" s="91">
        <f>IF(L131&lt;0.005,0,MAX(0,L131*(1+L$6/12)-L$7))</f>
        <v/>
      </c>
      <c r="M132" s="91">
        <f>SUMPRODUCT(C131:L131,$C$6:$L$6)/12</f>
        <v/>
      </c>
      <c r="N132" s="88">
        <f>SUM(C132:L132)</f>
        <v/>
      </c>
      <c r="P132" s="92">
        <f>IF(Z131&lt;0.005,0,MAX(0,Z131*(1+Z$6/12)-Z$7))</f>
        <v/>
      </c>
      <c r="Q132" s="92">
        <f>IF(AA131&lt;0.005,0,MAX(0,AA131*(1+AA$6/12)-AA$7))</f>
        <v/>
      </c>
      <c r="R132" s="92">
        <f>IF(AB131&lt;0.005,0,MAX(0,AB131*(1+AB$6/12)-AB$7))</f>
        <v/>
      </c>
      <c r="S132" s="92">
        <f>IF(AC131&lt;0.005,0,MAX(0,AC131*(1+AC$6/12)-AC$7))</f>
        <v/>
      </c>
      <c r="T132" s="92">
        <f>IF(AD131&lt;0.005,0,MAX(0,AD131*(1+AD$6/12)-AD$7))</f>
        <v/>
      </c>
      <c r="U132" s="92">
        <f>IF(AE131&lt;0.005,0,MAX(0,AE131*(1+AE$6/12)-AE$7))</f>
        <v/>
      </c>
      <c r="V132" s="92">
        <f>IF(AF131&lt;0.005,0,MAX(0,AF131*(1+AF$6/12)-AF$7))</f>
        <v/>
      </c>
      <c r="W132" s="92">
        <f>IF(AG131&lt;0.005,0,MAX(0,AG131*(1+AG$6/12)-AG$7))</f>
        <v/>
      </c>
      <c r="X132" s="92">
        <f>IF(AH131&lt;0.005,0,MAX(0,AH131*(1+AH$6/12)-AH$7))</f>
        <v/>
      </c>
      <c r="Y132" s="92">
        <f>IF(AI131&lt;0.005,0,MAX(0,AI131*(1+AI$6/12)-AI$7))</f>
        <v/>
      </c>
      <c r="Z132" s="91">
        <f>MAX(0,P132-MAX(0,AK132-0))</f>
        <v/>
      </c>
      <c r="AA132" s="91">
        <f>MAX(0,Q132-MAX(0,AK132-SUM(P132:P132)))</f>
        <v/>
      </c>
      <c r="AB132" s="91">
        <f>MAX(0,R132-MAX(0,AK132-SUM(P132:Q132)))</f>
        <v/>
      </c>
      <c r="AC132" s="91">
        <f>MAX(0,S132-MAX(0,AK132-SUM(P132:R132)))</f>
        <v/>
      </c>
      <c r="AD132" s="91">
        <f>MAX(0,T132-MAX(0,AK132-SUM(P132:S132)))</f>
        <v/>
      </c>
      <c r="AE132" s="91">
        <f>MAX(0,U132-MAX(0,AK132-SUM(P132:T132)))</f>
        <v/>
      </c>
      <c r="AF132" s="91">
        <f>MAX(0,V132-MAX(0,AK132-SUM(P132:U132)))</f>
        <v/>
      </c>
      <c r="AG132" s="91">
        <f>MAX(0,W132-MAX(0,AK132-SUM(P132:V132)))</f>
        <v/>
      </c>
      <c r="AH132" s="91">
        <f>MAX(0,X132-MAX(0,AK132-SUM(P132:W132)))</f>
        <v/>
      </c>
      <c r="AI132" s="91">
        <f>MAX(0,Y132-MAX(0,AK132-SUM(P132:X132)))</f>
        <v/>
      </c>
      <c r="AJ132" s="92">
        <f>SUM(Z131:AI131)+AL132</f>
        <v/>
      </c>
      <c r="AK132" s="92">
        <f>$AK$7-(AJ132-SUM(P132:Y132))</f>
        <v/>
      </c>
      <c r="AL132" s="91">
        <f>SUMPRODUCT(Z131:AI131,$Z$6:$AI$6)/12</f>
        <v/>
      </c>
      <c r="AM132" s="88">
        <f>SUM(Z132:AI132)</f>
        <v/>
      </c>
      <c r="AO132" s="92">
        <f>IF(AY131&lt;0.005,0,MAX(0,AY131*(1+AY$6/12)-AY$7))</f>
        <v/>
      </c>
      <c r="AP132" s="92">
        <f>IF(AZ131&lt;0.005,0,MAX(0,AZ131*(1+AZ$6/12)-AZ$7))</f>
        <v/>
      </c>
      <c r="AQ132" s="92">
        <f>IF(BA131&lt;0.005,0,MAX(0,BA131*(1+BA$6/12)-BA$7))</f>
        <v/>
      </c>
      <c r="AR132" s="92">
        <f>IF(BB131&lt;0.005,0,MAX(0,BB131*(1+BB$6/12)-BB$7))</f>
        <v/>
      </c>
      <c r="AS132" s="92">
        <f>IF(BC131&lt;0.005,0,MAX(0,BC131*(1+BC$6/12)-BC$7))</f>
        <v/>
      </c>
      <c r="AT132" s="92">
        <f>IF(BD131&lt;0.005,0,MAX(0,BD131*(1+BD$6/12)-BD$7))</f>
        <v/>
      </c>
      <c r="AU132" s="92">
        <f>IF(BE131&lt;0.005,0,MAX(0,BE131*(1+BE$6/12)-BE$7))</f>
        <v/>
      </c>
      <c r="AV132" s="92">
        <f>IF(BF131&lt;0.005,0,MAX(0,BF131*(1+BF$6/12)-BF$7))</f>
        <v/>
      </c>
      <c r="AW132" s="92">
        <f>IF(BG131&lt;0.005,0,MAX(0,BG131*(1+BG$6/12)-BG$7))</f>
        <v/>
      </c>
      <c r="AX132" s="92">
        <f>IF(BH131&lt;0.005,0,MAX(0,BH131*(1+BH$6/12)-BH$7))</f>
        <v/>
      </c>
      <c r="AY132" s="91">
        <f>MAX(0,AO132-MAX(0,BJ132-0))</f>
        <v/>
      </c>
      <c r="AZ132" s="91">
        <f>MAX(0,AP132-MAX(0,BJ132-SUM(AO132:AO132)))</f>
        <v/>
      </c>
      <c r="BA132" s="91">
        <f>MAX(0,AQ132-MAX(0,BJ132-SUM(AO132:AP132)))</f>
        <v/>
      </c>
      <c r="BB132" s="91">
        <f>MAX(0,AR132-MAX(0,BJ132-SUM(AO132:AQ132)))</f>
        <v/>
      </c>
      <c r="BC132" s="91">
        <f>MAX(0,AS132-MAX(0,BJ132-SUM(AO132:AR132)))</f>
        <v/>
      </c>
      <c r="BD132" s="91">
        <f>MAX(0,AT132-MAX(0,BJ132-SUM(AO132:AS132)))</f>
        <v/>
      </c>
      <c r="BE132" s="91">
        <f>MAX(0,AU132-MAX(0,BJ132-SUM(AO132:AT132)))</f>
        <v/>
      </c>
      <c r="BF132" s="91">
        <f>MAX(0,AV132-MAX(0,BJ132-SUM(AO132:AU132)))</f>
        <v/>
      </c>
      <c r="BG132" s="91">
        <f>MAX(0,AW132-MAX(0,BJ132-SUM(AO132:AV132)))</f>
        <v/>
      </c>
      <c r="BH132" s="91">
        <f>MAX(0,AX132-MAX(0,BJ132-SUM(AO132:AW132)))</f>
        <v/>
      </c>
      <c r="BI132" s="92">
        <f>SUM(AY131:BH131)+BK132</f>
        <v/>
      </c>
      <c r="BJ132" s="92">
        <f>$BJ$7-(BI132-SUM(AO132:AX132))</f>
        <v/>
      </c>
      <c r="BK132" s="91">
        <f>SUMPRODUCT(AY131:BH131,$AY$6:$BH$6)/12</f>
        <v/>
      </c>
      <c r="BL132" s="88">
        <f>SUM(AY132:BH132)</f>
        <v/>
      </c>
    </row>
    <row r="133">
      <c r="A133" s="24" t="n">
        <v>123</v>
      </c>
      <c r="B133" s="90">
        <f>DATE(YEAR(Settings!$C$11),MONTH(Settings!$C$11)+A133,1)</f>
        <v/>
      </c>
      <c r="C133" s="91">
        <f>IF(C132&lt;0.005,0,MAX(0,C132*(1+C$6/12)-C$7))</f>
        <v/>
      </c>
      <c r="D133" s="91">
        <f>IF(D132&lt;0.005,0,MAX(0,D132*(1+D$6/12)-D$7))</f>
        <v/>
      </c>
      <c r="E133" s="91">
        <f>IF(E132&lt;0.005,0,MAX(0,E132*(1+E$6/12)-E$7))</f>
        <v/>
      </c>
      <c r="F133" s="91">
        <f>IF(F132&lt;0.005,0,MAX(0,F132*(1+F$6/12)-F$7))</f>
        <v/>
      </c>
      <c r="G133" s="91">
        <f>IF(G132&lt;0.005,0,MAX(0,G132*(1+G$6/12)-G$7))</f>
        <v/>
      </c>
      <c r="H133" s="91">
        <f>IF(H132&lt;0.005,0,MAX(0,H132*(1+H$6/12)-H$7))</f>
        <v/>
      </c>
      <c r="I133" s="91">
        <f>IF(I132&lt;0.005,0,MAX(0,I132*(1+I$6/12)-I$7))</f>
        <v/>
      </c>
      <c r="J133" s="91">
        <f>IF(J132&lt;0.005,0,MAX(0,J132*(1+J$6/12)-J$7))</f>
        <v/>
      </c>
      <c r="K133" s="91">
        <f>IF(K132&lt;0.005,0,MAX(0,K132*(1+K$6/12)-K$7))</f>
        <v/>
      </c>
      <c r="L133" s="91">
        <f>IF(L132&lt;0.005,0,MAX(0,L132*(1+L$6/12)-L$7))</f>
        <v/>
      </c>
      <c r="M133" s="91">
        <f>SUMPRODUCT(C132:L132,$C$6:$L$6)/12</f>
        <v/>
      </c>
      <c r="N133" s="88">
        <f>SUM(C133:L133)</f>
        <v/>
      </c>
      <c r="P133" s="92">
        <f>IF(Z132&lt;0.005,0,MAX(0,Z132*(1+Z$6/12)-Z$7))</f>
        <v/>
      </c>
      <c r="Q133" s="92">
        <f>IF(AA132&lt;0.005,0,MAX(0,AA132*(1+AA$6/12)-AA$7))</f>
        <v/>
      </c>
      <c r="R133" s="92">
        <f>IF(AB132&lt;0.005,0,MAX(0,AB132*(1+AB$6/12)-AB$7))</f>
        <v/>
      </c>
      <c r="S133" s="92">
        <f>IF(AC132&lt;0.005,0,MAX(0,AC132*(1+AC$6/12)-AC$7))</f>
        <v/>
      </c>
      <c r="T133" s="92">
        <f>IF(AD132&lt;0.005,0,MAX(0,AD132*(1+AD$6/12)-AD$7))</f>
        <v/>
      </c>
      <c r="U133" s="92">
        <f>IF(AE132&lt;0.005,0,MAX(0,AE132*(1+AE$6/12)-AE$7))</f>
        <v/>
      </c>
      <c r="V133" s="92">
        <f>IF(AF132&lt;0.005,0,MAX(0,AF132*(1+AF$6/12)-AF$7))</f>
        <v/>
      </c>
      <c r="W133" s="92">
        <f>IF(AG132&lt;0.005,0,MAX(0,AG132*(1+AG$6/12)-AG$7))</f>
        <v/>
      </c>
      <c r="X133" s="92">
        <f>IF(AH132&lt;0.005,0,MAX(0,AH132*(1+AH$6/12)-AH$7))</f>
        <v/>
      </c>
      <c r="Y133" s="92">
        <f>IF(AI132&lt;0.005,0,MAX(0,AI132*(1+AI$6/12)-AI$7))</f>
        <v/>
      </c>
      <c r="Z133" s="91">
        <f>MAX(0,P133-MAX(0,AK133-0))</f>
        <v/>
      </c>
      <c r="AA133" s="91">
        <f>MAX(0,Q133-MAX(0,AK133-SUM(P133:P133)))</f>
        <v/>
      </c>
      <c r="AB133" s="91">
        <f>MAX(0,R133-MAX(0,AK133-SUM(P133:Q133)))</f>
        <v/>
      </c>
      <c r="AC133" s="91">
        <f>MAX(0,S133-MAX(0,AK133-SUM(P133:R133)))</f>
        <v/>
      </c>
      <c r="AD133" s="91">
        <f>MAX(0,T133-MAX(0,AK133-SUM(P133:S133)))</f>
        <v/>
      </c>
      <c r="AE133" s="91">
        <f>MAX(0,U133-MAX(0,AK133-SUM(P133:T133)))</f>
        <v/>
      </c>
      <c r="AF133" s="91">
        <f>MAX(0,V133-MAX(0,AK133-SUM(P133:U133)))</f>
        <v/>
      </c>
      <c r="AG133" s="91">
        <f>MAX(0,W133-MAX(0,AK133-SUM(P133:V133)))</f>
        <v/>
      </c>
      <c r="AH133" s="91">
        <f>MAX(0,X133-MAX(0,AK133-SUM(P133:W133)))</f>
        <v/>
      </c>
      <c r="AI133" s="91">
        <f>MAX(0,Y133-MAX(0,AK133-SUM(P133:X133)))</f>
        <v/>
      </c>
      <c r="AJ133" s="92">
        <f>SUM(Z132:AI132)+AL133</f>
        <v/>
      </c>
      <c r="AK133" s="92">
        <f>$AK$7-(AJ133-SUM(P133:Y133))</f>
        <v/>
      </c>
      <c r="AL133" s="91">
        <f>SUMPRODUCT(Z132:AI132,$Z$6:$AI$6)/12</f>
        <v/>
      </c>
      <c r="AM133" s="88">
        <f>SUM(Z133:AI133)</f>
        <v/>
      </c>
      <c r="AO133" s="92">
        <f>IF(AY132&lt;0.005,0,MAX(0,AY132*(1+AY$6/12)-AY$7))</f>
        <v/>
      </c>
      <c r="AP133" s="92">
        <f>IF(AZ132&lt;0.005,0,MAX(0,AZ132*(1+AZ$6/12)-AZ$7))</f>
        <v/>
      </c>
      <c r="AQ133" s="92">
        <f>IF(BA132&lt;0.005,0,MAX(0,BA132*(1+BA$6/12)-BA$7))</f>
        <v/>
      </c>
      <c r="AR133" s="92">
        <f>IF(BB132&lt;0.005,0,MAX(0,BB132*(1+BB$6/12)-BB$7))</f>
        <v/>
      </c>
      <c r="AS133" s="92">
        <f>IF(BC132&lt;0.005,0,MAX(0,BC132*(1+BC$6/12)-BC$7))</f>
        <v/>
      </c>
      <c r="AT133" s="92">
        <f>IF(BD132&lt;0.005,0,MAX(0,BD132*(1+BD$6/12)-BD$7))</f>
        <v/>
      </c>
      <c r="AU133" s="92">
        <f>IF(BE132&lt;0.005,0,MAX(0,BE132*(1+BE$6/12)-BE$7))</f>
        <v/>
      </c>
      <c r="AV133" s="92">
        <f>IF(BF132&lt;0.005,0,MAX(0,BF132*(1+BF$6/12)-BF$7))</f>
        <v/>
      </c>
      <c r="AW133" s="92">
        <f>IF(BG132&lt;0.005,0,MAX(0,BG132*(1+BG$6/12)-BG$7))</f>
        <v/>
      </c>
      <c r="AX133" s="92">
        <f>IF(BH132&lt;0.005,0,MAX(0,BH132*(1+BH$6/12)-BH$7))</f>
        <v/>
      </c>
      <c r="AY133" s="91">
        <f>MAX(0,AO133-MAX(0,BJ133-0))</f>
        <v/>
      </c>
      <c r="AZ133" s="91">
        <f>MAX(0,AP133-MAX(0,BJ133-SUM(AO133:AO133)))</f>
        <v/>
      </c>
      <c r="BA133" s="91">
        <f>MAX(0,AQ133-MAX(0,BJ133-SUM(AO133:AP133)))</f>
        <v/>
      </c>
      <c r="BB133" s="91">
        <f>MAX(0,AR133-MAX(0,BJ133-SUM(AO133:AQ133)))</f>
        <v/>
      </c>
      <c r="BC133" s="91">
        <f>MAX(0,AS133-MAX(0,BJ133-SUM(AO133:AR133)))</f>
        <v/>
      </c>
      <c r="BD133" s="91">
        <f>MAX(0,AT133-MAX(0,BJ133-SUM(AO133:AS133)))</f>
        <v/>
      </c>
      <c r="BE133" s="91">
        <f>MAX(0,AU133-MAX(0,BJ133-SUM(AO133:AT133)))</f>
        <v/>
      </c>
      <c r="BF133" s="91">
        <f>MAX(0,AV133-MAX(0,BJ133-SUM(AO133:AU133)))</f>
        <v/>
      </c>
      <c r="BG133" s="91">
        <f>MAX(0,AW133-MAX(0,BJ133-SUM(AO133:AV133)))</f>
        <v/>
      </c>
      <c r="BH133" s="91">
        <f>MAX(0,AX133-MAX(0,BJ133-SUM(AO133:AW133)))</f>
        <v/>
      </c>
      <c r="BI133" s="92">
        <f>SUM(AY132:BH132)+BK133</f>
        <v/>
      </c>
      <c r="BJ133" s="92">
        <f>$BJ$7-(BI133-SUM(AO133:AX133))</f>
        <v/>
      </c>
      <c r="BK133" s="91">
        <f>SUMPRODUCT(AY132:BH132,$AY$6:$BH$6)/12</f>
        <v/>
      </c>
      <c r="BL133" s="88">
        <f>SUM(AY133:BH133)</f>
        <v/>
      </c>
    </row>
    <row r="134">
      <c r="A134" s="24" t="n">
        <v>124</v>
      </c>
      <c r="B134" s="90">
        <f>DATE(YEAR(Settings!$C$11),MONTH(Settings!$C$11)+A134,1)</f>
        <v/>
      </c>
      <c r="C134" s="91">
        <f>IF(C133&lt;0.005,0,MAX(0,C133*(1+C$6/12)-C$7))</f>
        <v/>
      </c>
      <c r="D134" s="91">
        <f>IF(D133&lt;0.005,0,MAX(0,D133*(1+D$6/12)-D$7))</f>
        <v/>
      </c>
      <c r="E134" s="91">
        <f>IF(E133&lt;0.005,0,MAX(0,E133*(1+E$6/12)-E$7))</f>
        <v/>
      </c>
      <c r="F134" s="91">
        <f>IF(F133&lt;0.005,0,MAX(0,F133*(1+F$6/12)-F$7))</f>
        <v/>
      </c>
      <c r="G134" s="91">
        <f>IF(G133&lt;0.005,0,MAX(0,G133*(1+G$6/12)-G$7))</f>
        <v/>
      </c>
      <c r="H134" s="91">
        <f>IF(H133&lt;0.005,0,MAX(0,H133*(1+H$6/12)-H$7))</f>
        <v/>
      </c>
      <c r="I134" s="91">
        <f>IF(I133&lt;0.005,0,MAX(0,I133*(1+I$6/12)-I$7))</f>
        <v/>
      </c>
      <c r="J134" s="91">
        <f>IF(J133&lt;0.005,0,MAX(0,J133*(1+J$6/12)-J$7))</f>
        <v/>
      </c>
      <c r="K134" s="91">
        <f>IF(K133&lt;0.005,0,MAX(0,K133*(1+K$6/12)-K$7))</f>
        <v/>
      </c>
      <c r="L134" s="91">
        <f>IF(L133&lt;0.005,0,MAX(0,L133*(1+L$6/12)-L$7))</f>
        <v/>
      </c>
      <c r="M134" s="91">
        <f>SUMPRODUCT(C133:L133,$C$6:$L$6)/12</f>
        <v/>
      </c>
      <c r="N134" s="88">
        <f>SUM(C134:L134)</f>
        <v/>
      </c>
      <c r="P134" s="92">
        <f>IF(Z133&lt;0.005,0,MAX(0,Z133*(1+Z$6/12)-Z$7))</f>
        <v/>
      </c>
      <c r="Q134" s="92">
        <f>IF(AA133&lt;0.005,0,MAX(0,AA133*(1+AA$6/12)-AA$7))</f>
        <v/>
      </c>
      <c r="R134" s="92">
        <f>IF(AB133&lt;0.005,0,MAX(0,AB133*(1+AB$6/12)-AB$7))</f>
        <v/>
      </c>
      <c r="S134" s="92">
        <f>IF(AC133&lt;0.005,0,MAX(0,AC133*(1+AC$6/12)-AC$7))</f>
        <v/>
      </c>
      <c r="T134" s="92">
        <f>IF(AD133&lt;0.005,0,MAX(0,AD133*(1+AD$6/12)-AD$7))</f>
        <v/>
      </c>
      <c r="U134" s="92">
        <f>IF(AE133&lt;0.005,0,MAX(0,AE133*(1+AE$6/12)-AE$7))</f>
        <v/>
      </c>
      <c r="V134" s="92">
        <f>IF(AF133&lt;0.005,0,MAX(0,AF133*(1+AF$6/12)-AF$7))</f>
        <v/>
      </c>
      <c r="W134" s="92">
        <f>IF(AG133&lt;0.005,0,MAX(0,AG133*(1+AG$6/12)-AG$7))</f>
        <v/>
      </c>
      <c r="X134" s="92">
        <f>IF(AH133&lt;0.005,0,MAX(0,AH133*(1+AH$6/12)-AH$7))</f>
        <v/>
      </c>
      <c r="Y134" s="92">
        <f>IF(AI133&lt;0.005,0,MAX(0,AI133*(1+AI$6/12)-AI$7))</f>
        <v/>
      </c>
      <c r="Z134" s="91">
        <f>MAX(0,P134-MAX(0,AK134-0))</f>
        <v/>
      </c>
      <c r="AA134" s="91">
        <f>MAX(0,Q134-MAX(0,AK134-SUM(P134:P134)))</f>
        <v/>
      </c>
      <c r="AB134" s="91">
        <f>MAX(0,R134-MAX(0,AK134-SUM(P134:Q134)))</f>
        <v/>
      </c>
      <c r="AC134" s="91">
        <f>MAX(0,S134-MAX(0,AK134-SUM(P134:R134)))</f>
        <v/>
      </c>
      <c r="AD134" s="91">
        <f>MAX(0,T134-MAX(0,AK134-SUM(P134:S134)))</f>
        <v/>
      </c>
      <c r="AE134" s="91">
        <f>MAX(0,U134-MAX(0,AK134-SUM(P134:T134)))</f>
        <v/>
      </c>
      <c r="AF134" s="91">
        <f>MAX(0,V134-MAX(0,AK134-SUM(P134:U134)))</f>
        <v/>
      </c>
      <c r="AG134" s="91">
        <f>MAX(0,W134-MAX(0,AK134-SUM(P134:V134)))</f>
        <v/>
      </c>
      <c r="AH134" s="91">
        <f>MAX(0,X134-MAX(0,AK134-SUM(P134:W134)))</f>
        <v/>
      </c>
      <c r="AI134" s="91">
        <f>MAX(0,Y134-MAX(0,AK134-SUM(P134:X134)))</f>
        <v/>
      </c>
      <c r="AJ134" s="92">
        <f>SUM(Z133:AI133)+AL134</f>
        <v/>
      </c>
      <c r="AK134" s="92">
        <f>$AK$7-(AJ134-SUM(P134:Y134))</f>
        <v/>
      </c>
      <c r="AL134" s="91">
        <f>SUMPRODUCT(Z133:AI133,$Z$6:$AI$6)/12</f>
        <v/>
      </c>
      <c r="AM134" s="88">
        <f>SUM(Z134:AI134)</f>
        <v/>
      </c>
      <c r="AO134" s="92">
        <f>IF(AY133&lt;0.005,0,MAX(0,AY133*(1+AY$6/12)-AY$7))</f>
        <v/>
      </c>
      <c r="AP134" s="92">
        <f>IF(AZ133&lt;0.005,0,MAX(0,AZ133*(1+AZ$6/12)-AZ$7))</f>
        <v/>
      </c>
      <c r="AQ134" s="92">
        <f>IF(BA133&lt;0.005,0,MAX(0,BA133*(1+BA$6/12)-BA$7))</f>
        <v/>
      </c>
      <c r="AR134" s="92">
        <f>IF(BB133&lt;0.005,0,MAX(0,BB133*(1+BB$6/12)-BB$7))</f>
        <v/>
      </c>
      <c r="AS134" s="92">
        <f>IF(BC133&lt;0.005,0,MAX(0,BC133*(1+BC$6/12)-BC$7))</f>
        <v/>
      </c>
      <c r="AT134" s="92">
        <f>IF(BD133&lt;0.005,0,MAX(0,BD133*(1+BD$6/12)-BD$7))</f>
        <v/>
      </c>
      <c r="AU134" s="92">
        <f>IF(BE133&lt;0.005,0,MAX(0,BE133*(1+BE$6/12)-BE$7))</f>
        <v/>
      </c>
      <c r="AV134" s="92">
        <f>IF(BF133&lt;0.005,0,MAX(0,BF133*(1+BF$6/12)-BF$7))</f>
        <v/>
      </c>
      <c r="AW134" s="92">
        <f>IF(BG133&lt;0.005,0,MAX(0,BG133*(1+BG$6/12)-BG$7))</f>
        <v/>
      </c>
      <c r="AX134" s="92">
        <f>IF(BH133&lt;0.005,0,MAX(0,BH133*(1+BH$6/12)-BH$7))</f>
        <v/>
      </c>
      <c r="AY134" s="91">
        <f>MAX(0,AO134-MAX(0,BJ134-0))</f>
        <v/>
      </c>
      <c r="AZ134" s="91">
        <f>MAX(0,AP134-MAX(0,BJ134-SUM(AO134:AO134)))</f>
        <v/>
      </c>
      <c r="BA134" s="91">
        <f>MAX(0,AQ134-MAX(0,BJ134-SUM(AO134:AP134)))</f>
        <v/>
      </c>
      <c r="BB134" s="91">
        <f>MAX(0,AR134-MAX(0,BJ134-SUM(AO134:AQ134)))</f>
        <v/>
      </c>
      <c r="BC134" s="91">
        <f>MAX(0,AS134-MAX(0,BJ134-SUM(AO134:AR134)))</f>
        <v/>
      </c>
      <c r="BD134" s="91">
        <f>MAX(0,AT134-MAX(0,BJ134-SUM(AO134:AS134)))</f>
        <v/>
      </c>
      <c r="BE134" s="91">
        <f>MAX(0,AU134-MAX(0,BJ134-SUM(AO134:AT134)))</f>
        <v/>
      </c>
      <c r="BF134" s="91">
        <f>MAX(0,AV134-MAX(0,BJ134-SUM(AO134:AU134)))</f>
        <v/>
      </c>
      <c r="BG134" s="91">
        <f>MAX(0,AW134-MAX(0,BJ134-SUM(AO134:AV134)))</f>
        <v/>
      </c>
      <c r="BH134" s="91">
        <f>MAX(0,AX134-MAX(0,BJ134-SUM(AO134:AW134)))</f>
        <v/>
      </c>
      <c r="BI134" s="92">
        <f>SUM(AY133:BH133)+BK134</f>
        <v/>
      </c>
      <c r="BJ134" s="92">
        <f>$BJ$7-(BI134-SUM(AO134:AX134))</f>
        <v/>
      </c>
      <c r="BK134" s="91">
        <f>SUMPRODUCT(AY133:BH133,$AY$6:$BH$6)/12</f>
        <v/>
      </c>
      <c r="BL134" s="88">
        <f>SUM(AY134:BH134)</f>
        <v/>
      </c>
    </row>
    <row r="135">
      <c r="A135" s="24" t="n">
        <v>125</v>
      </c>
      <c r="B135" s="90">
        <f>DATE(YEAR(Settings!$C$11),MONTH(Settings!$C$11)+A135,1)</f>
        <v/>
      </c>
      <c r="C135" s="91">
        <f>IF(C134&lt;0.005,0,MAX(0,C134*(1+C$6/12)-C$7))</f>
        <v/>
      </c>
      <c r="D135" s="91">
        <f>IF(D134&lt;0.005,0,MAX(0,D134*(1+D$6/12)-D$7))</f>
        <v/>
      </c>
      <c r="E135" s="91">
        <f>IF(E134&lt;0.005,0,MAX(0,E134*(1+E$6/12)-E$7))</f>
        <v/>
      </c>
      <c r="F135" s="91">
        <f>IF(F134&lt;0.005,0,MAX(0,F134*(1+F$6/12)-F$7))</f>
        <v/>
      </c>
      <c r="G135" s="91">
        <f>IF(G134&lt;0.005,0,MAX(0,G134*(1+G$6/12)-G$7))</f>
        <v/>
      </c>
      <c r="H135" s="91">
        <f>IF(H134&lt;0.005,0,MAX(0,H134*(1+H$6/12)-H$7))</f>
        <v/>
      </c>
      <c r="I135" s="91">
        <f>IF(I134&lt;0.005,0,MAX(0,I134*(1+I$6/12)-I$7))</f>
        <v/>
      </c>
      <c r="J135" s="91">
        <f>IF(J134&lt;0.005,0,MAX(0,J134*(1+J$6/12)-J$7))</f>
        <v/>
      </c>
      <c r="K135" s="91">
        <f>IF(K134&lt;0.005,0,MAX(0,K134*(1+K$6/12)-K$7))</f>
        <v/>
      </c>
      <c r="L135" s="91">
        <f>IF(L134&lt;0.005,0,MAX(0,L134*(1+L$6/12)-L$7))</f>
        <v/>
      </c>
      <c r="M135" s="91">
        <f>SUMPRODUCT(C134:L134,$C$6:$L$6)/12</f>
        <v/>
      </c>
      <c r="N135" s="88">
        <f>SUM(C135:L135)</f>
        <v/>
      </c>
      <c r="P135" s="92">
        <f>IF(Z134&lt;0.005,0,MAX(0,Z134*(1+Z$6/12)-Z$7))</f>
        <v/>
      </c>
      <c r="Q135" s="92">
        <f>IF(AA134&lt;0.005,0,MAX(0,AA134*(1+AA$6/12)-AA$7))</f>
        <v/>
      </c>
      <c r="R135" s="92">
        <f>IF(AB134&lt;0.005,0,MAX(0,AB134*(1+AB$6/12)-AB$7))</f>
        <v/>
      </c>
      <c r="S135" s="92">
        <f>IF(AC134&lt;0.005,0,MAX(0,AC134*(1+AC$6/12)-AC$7))</f>
        <v/>
      </c>
      <c r="T135" s="92">
        <f>IF(AD134&lt;0.005,0,MAX(0,AD134*(1+AD$6/12)-AD$7))</f>
        <v/>
      </c>
      <c r="U135" s="92">
        <f>IF(AE134&lt;0.005,0,MAX(0,AE134*(1+AE$6/12)-AE$7))</f>
        <v/>
      </c>
      <c r="V135" s="92">
        <f>IF(AF134&lt;0.005,0,MAX(0,AF134*(1+AF$6/12)-AF$7))</f>
        <v/>
      </c>
      <c r="W135" s="92">
        <f>IF(AG134&lt;0.005,0,MAX(0,AG134*(1+AG$6/12)-AG$7))</f>
        <v/>
      </c>
      <c r="X135" s="92">
        <f>IF(AH134&lt;0.005,0,MAX(0,AH134*(1+AH$6/12)-AH$7))</f>
        <v/>
      </c>
      <c r="Y135" s="92">
        <f>IF(AI134&lt;0.005,0,MAX(0,AI134*(1+AI$6/12)-AI$7))</f>
        <v/>
      </c>
      <c r="Z135" s="91">
        <f>MAX(0,P135-MAX(0,AK135-0))</f>
        <v/>
      </c>
      <c r="AA135" s="91">
        <f>MAX(0,Q135-MAX(0,AK135-SUM(P135:P135)))</f>
        <v/>
      </c>
      <c r="AB135" s="91">
        <f>MAX(0,R135-MAX(0,AK135-SUM(P135:Q135)))</f>
        <v/>
      </c>
      <c r="AC135" s="91">
        <f>MAX(0,S135-MAX(0,AK135-SUM(P135:R135)))</f>
        <v/>
      </c>
      <c r="AD135" s="91">
        <f>MAX(0,T135-MAX(0,AK135-SUM(P135:S135)))</f>
        <v/>
      </c>
      <c r="AE135" s="91">
        <f>MAX(0,U135-MAX(0,AK135-SUM(P135:T135)))</f>
        <v/>
      </c>
      <c r="AF135" s="91">
        <f>MAX(0,V135-MAX(0,AK135-SUM(P135:U135)))</f>
        <v/>
      </c>
      <c r="AG135" s="91">
        <f>MAX(0,W135-MAX(0,AK135-SUM(P135:V135)))</f>
        <v/>
      </c>
      <c r="AH135" s="91">
        <f>MAX(0,X135-MAX(0,AK135-SUM(P135:W135)))</f>
        <v/>
      </c>
      <c r="AI135" s="91">
        <f>MAX(0,Y135-MAX(0,AK135-SUM(P135:X135)))</f>
        <v/>
      </c>
      <c r="AJ135" s="92">
        <f>SUM(Z134:AI134)+AL135</f>
        <v/>
      </c>
      <c r="AK135" s="92">
        <f>$AK$7-(AJ135-SUM(P135:Y135))</f>
        <v/>
      </c>
      <c r="AL135" s="91">
        <f>SUMPRODUCT(Z134:AI134,$Z$6:$AI$6)/12</f>
        <v/>
      </c>
      <c r="AM135" s="88">
        <f>SUM(Z135:AI135)</f>
        <v/>
      </c>
      <c r="AO135" s="92">
        <f>IF(AY134&lt;0.005,0,MAX(0,AY134*(1+AY$6/12)-AY$7))</f>
        <v/>
      </c>
      <c r="AP135" s="92">
        <f>IF(AZ134&lt;0.005,0,MAX(0,AZ134*(1+AZ$6/12)-AZ$7))</f>
        <v/>
      </c>
      <c r="AQ135" s="92">
        <f>IF(BA134&lt;0.005,0,MAX(0,BA134*(1+BA$6/12)-BA$7))</f>
        <v/>
      </c>
      <c r="AR135" s="92">
        <f>IF(BB134&lt;0.005,0,MAX(0,BB134*(1+BB$6/12)-BB$7))</f>
        <v/>
      </c>
      <c r="AS135" s="92">
        <f>IF(BC134&lt;0.005,0,MAX(0,BC134*(1+BC$6/12)-BC$7))</f>
        <v/>
      </c>
      <c r="AT135" s="92">
        <f>IF(BD134&lt;0.005,0,MAX(0,BD134*(1+BD$6/12)-BD$7))</f>
        <v/>
      </c>
      <c r="AU135" s="92">
        <f>IF(BE134&lt;0.005,0,MAX(0,BE134*(1+BE$6/12)-BE$7))</f>
        <v/>
      </c>
      <c r="AV135" s="92">
        <f>IF(BF134&lt;0.005,0,MAX(0,BF134*(1+BF$6/12)-BF$7))</f>
        <v/>
      </c>
      <c r="AW135" s="92">
        <f>IF(BG134&lt;0.005,0,MAX(0,BG134*(1+BG$6/12)-BG$7))</f>
        <v/>
      </c>
      <c r="AX135" s="92">
        <f>IF(BH134&lt;0.005,0,MAX(0,BH134*(1+BH$6/12)-BH$7))</f>
        <v/>
      </c>
      <c r="AY135" s="91">
        <f>MAX(0,AO135-MAX(0,BJ135-0))</f>
        <v/>
      </c>
      <c r="AZ135" s="91">
        <f>MAX(0,AP135-MAX(0,BJ135-SUM(AO135:AO135)))</f>
        <v/>
      </c>
      <c r="BA135" s="91">
        <f>MAX(0,AQ135-MAX(0,BJ135-SUM(AO135:AP135)))</f>
        <v/>
      </c>
      <c r="BB135" s="91">
        <f>MAX(0,AR135-MAX(0,BJ135-SUM(AO135:AQ135)))</f>
        <v/>
      </c>
      <c r="BC135" s="91">
        <f>MAX(0,AS135-MAX(0,BJ135-SUM(AO135:AR135)))</f>
        <v/>
      </c>
      <c r="BD135" s="91">
        <f>MAX(0,AT135-MAX(0,BJ135-SUM(AO135:AS135)))</f>
        <v/>
      </c>
      <c r="BE135" s="91">
        <f>MAX(0,AU135-MAX(0,BJ135-SUM(AO135:AT135)))</f>
        <v/>
      </c>
      <c r="BF135" s="91">
        <f>MAX(0,AV135-MAX(0,BJ135-SUM(AO135:AU135)))</f>
        <v/>
      </c>
      <c r="BG135" s="91">
        <f>MAX(0,AW135-MAX(0,BJ135-SUM(AO135:AV135)))</f>
        <v/>
      </c>
      <c r="BH135" s="91">
        <f>MAX(0,AX135-MAX(0,BJ135-SUM(AO135:AW135)))</f>
        <v/>
      </c>
      <c r="BI135" s="92">
        <f>SUM(AY134:BH134)+BK135</f>
        <v/>
      </c>
      <c r="BJ135" s="92">
        <f>$BJ$7-(BI135-SUM(AO135:AX135))</f>
        <v/>
      </c>
      <c r="BK135" s="91">
        <f>SUMPRODUCT(AY134:BH134,$AY$6:$BH$6)/12</f>
        <v/>
      </c>
      <c r="BL135" s="88">
        <f>SUM(AY135:BH135)</f>
        <v/>
      </c>
    </row>
    <row r="136">
      <c r="A136" s="24" t="n">
        <v>126</v>
      </c>
      <c r="B136" s="90">
        <f>DATE(YEAR(Settings!$C$11),MONTH(Settings!$C$11)+A136,1)</f>
        <v/>
      </c>
      <c r="C136" s="91">
        <f>IF(C135&lt;0.005,0,MAX(0,C135*(1+C$6/12)-C$7))</f>
        <v/>
      </c>
      <c r="D136" s="91">
        <f>IF(D135&lt;0.005,0,MAX(0,D135*(1+D$6/12)-D$7))</f>
        <v/>
      </c>
      <c r="E136" s="91">
        <f>IF(E135&lt;0.005,0,MAX(0,E135*(1+E$6/12)-E$7))</f>
        <v/>
      </c>
      <c r="F136" s="91">
        <f>IF(F135&lt;0.005,0,MAX(0,F135*(1+F$6/12)-F$7))</f>
        <v/>
      </c>
      <c r="G136" s="91">
        <f>IF(G135&lt;0.005,0,MAX(0,G135*(1+G$6/12)-G$7))</f>
        <v/>
      </c>
      <c r="H136" s="91">
        <f>IF(H135&lt;0.005,0,MAX(0,H135*(1+H$6/12)-H$7))</f>
        <v/>
      </c>
      <c r="I136" s="91">
        <f>IF(I135&lt;0.005,0,MAX(0,I135*(1+I$6/12)-I$7))</f>
        <v/>
      </c>
      <c r="J136" s="91">
        <f>IF(J135&lt;0.005,0,MAX(0,J135*(1+J$6/12)-J$7))</f>
        <v/>
      </c>
      <c r="K136" s="91">
        <f>IF(K135&lt;0.005,0,MAX(0,K135*(1+K$6/12)-K$7))</f>
        <v/>
      </c>
      <c r="L136" s="91">
        <f>IF(L135&lt;0.005,0,MAX(0,L135*(1+L$6/12)-L$7))</f>
        <v/>
      </c>
      <c r="M136" s="91">
        <f>SUMPRODUCT(C135:L135,$C$6:$L$6)/12</f>
        <v/>
      </c>
      <c r="N136" s="88">
        <f>SUM(C136:L136)</f>
        <v/>
      </c>
      <c r="P136" s="92">
        <f>IF(Z135&lt;0.005,0,MAX(0,Z135*(1+Z$6/12)-Z$7))</f>
        <v/>
      </c>
      <c r="Q136" s="92">
        <f>IF(AA135&lt;0.005,0,MAX(0,AA135*(1+AA$6/12)-AA$7))</f>
        <v/>
      </c>
      <c r="R136" s="92">
        <f>IF(AB135&lt;0.005,0,MAX(0,AB135*(1+AB$6/12)-AB$7))</f>
        <v/>
      </c>
      <c r="S136" s="92">
        <f>IF(AC135&lt;0.005,0,MAX(0,AC135*(1+AC$6/12)-AC$7))</f>
        <v/>
      </c>
      <c r="T136" s="92">
        <f>IF(AD135&lt;0.005,0,MAX(0,AD135*(1+AD$6/12)-AD$7))</f>
        <v/>
      </c>
      <c r="U136" s="92">
        <f>IF(AE135&lt;0.005,0,MAX(0,AE135*(1+AE$6/12)-AE$7))</f>
        <v/>
      </c>
      <c r="V136" s="92">
        <f>IF(AF135&lt;0.005,0,MAX(0,AF135*(1+AF$6/12)-AF$7))</f>
        <v/>
      </c>
      <c r="W136" s="92">
        <f>IF(AG135&lt;0.005,0,MAX(0,AG135*(1+AG$6/12)-AG$7))</f>
        <v/>
      </c>
      <c r="X136" s="92">
        <f>IF(AH135&lt;0.005,0,MAX(0,AH135*(1+AH$6/12)-AH$7))</f>
        <v/>
      </c>
      <c r="Y136" s="92">
        <f>IF(AI135&lt;0.005,0,MAX(0,AI135*(1+AI$6/12)-AI$7))</f>
        <v/>
      </c>
      <c r="Z136" s="91">
        <f>MAX(0,P136-MAX(0,AK136-0))</f>
        <v/>
      </c>
      <c r="AA136" s="91">
        <f>MAX(0,Q136-MAX(0,AK136-SUM(P136:P136)))</f>
        <v/>
      </c>
      <c r="AB136" s="91">
        <f>MAX(0,R136-MAX(0,AK136-SUM(P136:Q136)))</f>
        <v/>
      </c>
      <c r="AC136" s="91">
        <f>MAX(0,S136-MAX(0,AK136-SUM(P136:R136)))</f>
        <v/>
      </c>
      <c r="AD136" s="91">
        <f>MAX(0,T136-MAX(0,AK136-SUM(P136:S136)))</f>
        <v/>
      </c>
      <c r="AE136" s="91">
        <f>MAX(0,U136-MAX(0,AK136-SUM(P136:T136)))</f>
        <v/>
      </c>
      <c r="AF136" s="91">
        <f>MAX(0,V136-MAX(0,AK136-SUM(P136:U136)))</f>
        <v/>
      </c>
      <c r="AG136" s="91">
        <f>MAX(0,W136-MAX(0,AK136-SUM(P136:V136)))</f>
        <v/>
      </c>
      <c r="AH136" s="91">
        <f>MAX(0,X136-MAX(0,AK136-SUM(P136:W136)))</f>
        <v/>
      </c>
      <c r="AI136" s="91">
        <f>MAX(0,Y136-MAX(0,AK136-SUM(P136:X136)))</f>
        <v/>
      </c>
      <c r="AJ136" s="92">
        <f>SUM(Z135:AI135)+AL136</f>
        <v/>
      </c>
      <c r="AK136" s="92">
        <f>$AK$7-(AJ136-SUM(P136:Y136))</f>
        <v/>
      </c>
      <c r="AL136" s="91">
        <f>SUMPRODUCT(Z135:AI135,$Z$6:$AI$6)/12</f>
        <v/>
      </c>
      <c r="AM136" s="88">
        <f>SUM(Z136:AI136)</f>
        <v/>
      </c>
      <c r="AO136" s="92">
        <f>IF(AY135&lt;0.005,0,MAX(0,AY135*(1+AY$6/12)-AY$7))</f>
        <v/>
      </c>
      <c r="AP136" s="92">
        <f>IF(AZ135&lt;0.005,0,MAX(0,AZ135*(1+AZ$6/12)-AZ$7))</f>
        <v/>
      </c>
      <c r="AQ136" s="92">
        <f>IF(BA135&lt;0.005,0,MAX(0,BA135*(1+BA$6/12)-BA$7))</f>
        <v/>
      </c>
      <c r="AR136" s="92">
        <f>IF(BB135&lt;0.005,0,MAX(0,BB135*(1+BB$6/12)-BB$7))</f>
        <v/>
      </c>
      <c r="AS136" s="92">
        <f>IF(BC135&lt;0.005,0,MAX(0,BC135*(1+BC$6/12)-BC$7))</f>
        <v/>
      </c>
      <c r="AT136" s="92">
        <f>IF(BD135&lt;0.005,0,MAX(0,BD135*(1+BD$6/12)-BD$7))</f>
        <v/>
      </c>
      <c r="AU136" s="92">
        <f>IF(BE135&lt;0.005,0,MAX(0,BE135*(1+BE$6/12)-BE$7))</f>
        <v/>
      </c>
      <c r="AV136" s="92">
        <f>IF(BF135&lt;0.005,0,MAX(0,BF135*(1+BF$6/12)-BF$7))</f>
        <v/>
      </c>
      <c r="AW136" s="92">
        <f>IF(BG135&lt;0.005,0,MAX(0,BG135*(1+BG$6/12)-BG$7))</f>
        <v/>
      </c>
      <c r="AX136" s="92">
        <f>IF(BH135&lt;0.005,0,MAX(0,BH135*(1+BH$6/12)-BH$7))</f>
        <v/>
      </c>
      <c r="AY136" s="91">
        <f>MAX(0,AO136-MAX(0,BJ136-0))</f>
        <v/>
      </c>
      <c r="AZ136" s="91">
        <f>MAX(0,AP136-MAX(0,BJ136-SUM(AO136:AO136)))</f>
        <v/>
      </c>
      <c r="BA136" s="91">
        <f>MAX(0,AQ136-MAX(0,BJ136-SUM(AO136:AP136)))</f>
        <v/>
      </c>
      <c r="BB136" s="91">
        <f>MAX(0,AR136-MAX(0,BJ136-SUM(AO136:AQ136)))</f>
        <v/>
      </c>
      <c r="BC136" s="91">
        <f>MAX(0,AS136-MAX(0,BJ136-SUM(AO136:AR136)))</f>
        <v/>
      </c>
      <c r="BD136" s="91">
        <f>MAX(0,AT136-MAX(0,BJ136-SUM(AO136:AS136)))</f>
        <v/>
      </c>
      <c r="BE136" s="91">
        <f>MAX(0,AU136-MAX(0,BJ136-SUM(AO136:AT136)))</f>
        <v/>
      </c>
      <c r="BF136" s="91">
        <f>MAX(0,AV136-MAX(0,BJ136-SUM(AO136:AU136)))</f>
        <v/>
      </c>
      <c r="BG136" s="91">
        <f>MAX(0,AW136-MAX(0,BJ136-SUM(AO136:AV136)))</f>
        <v/>
      </c>
      <c r="BH136" s="91">
        <f>MAX(0,AX136-MAX(0,BJ136-SUM(AO136:AW136)))</f>
        <v/>
      </c>
      <c r="BI136" s="92">
        <f>SUM(AY135:BH135)+BK136</f>
        <v/>
      </c>
      <c r="BJ136" s="92">
        <f>$BJ$7-(BI136-SUM(AO136:AX136))</f>
        <v/>
      </c>
      <c r="BK136" s="91">
        <f>SUMPRODUCT(AY135:BH135,$AY$6:$BH$6)/12</f>
        <v/>
      </c>
      <c r="BL136" s="88">
        <f>SUM(AY136:BH136)</f>
        <v/>
      </c>
    </row>
    <row r="137">
      <c r="A137" s="24" t="n">
        <v>127</v>
      </c>
      <c r="B137" s="90">
        <f>DATE(YEAR(Settings!$C$11),MONTH(Settings!$C$11)+A137,1)</f>
        <v/>
      </c>
      <c r="C137" s="91">
        <f>IF(C136&lt;0.005,0,MAX(0,C136*(1+C$6/12)-C$7))</f>
        <v/>
      </c>
      <c r="D137" s="91">
        <f>IF(D136&lt;0.005,0,MAX(0,D136*(1+D$6/12)-D$7))</f>
        <v/>
      </c>
      <c r="E137" s="91">
        <f>IF(E136&lt;0.005,0,MAX(0,E136*(1+E$6/12)-E$7))</f>
        <v/>
      </c>
      <c r="F137" s="91">
        <f>IF(F136&lt;0.005,0,MAX(0,F136*(1+F$6/12)-F$7))</f>
        <v/>
      </c>
      <c r="G137" s="91">
        <f>IF(G136&lt;0.005,0,MAX(0,G136*(1+G$6/12)-G$7))</f>
        <v/>
      </c>
      <c r="H137" s="91">
        <f>IF(H136&lt;0.005,0,MAX(0,H136*(1+H$6/12)-H$7))</f>
        <v/>
      </c>
      <c r="I137" s="91">
        <f>IF(I136&lt;0.005,0,MAX(0,I136*(1+I$6/12)-I$7))</f>
        <v/>
      </c>
      <c r="J137" s="91">
        <f>IF(J136&lt;0.005,0,MAX(0,J136*(1+J$6/12)-J$7))</f>
        <v/>
      </c>
      <c r="K137" s="91">
        <f>IF(K136&lt;0.005,0,MAX(0,K136*(1+K$6/12)-K$7))</f>
        <v/>
      </c>
      <c r="L137" s="91">
        <f>IF(L136&lt;0.005,0,MAX(0,L136*(1+L$6/12)-L$7))</f>
        <v/>
      </c>
      <c r="M137" s="91">
        <f>SUMPRODUCT(C136:L136,$C$6:$L$6)/12</f>
        <v/>
      </c>
      <c r="N137" s="88">
        <f>SUM(C137:L137)</f>
        <v/>
      </c>
      <c r="P137" s="92">
        <f>IF(Z136&lt;0.005,0,MAX(0,Z136*(1+Z$6/12)-Z$7))</f>
        <v/>
      </c>
      <c r="Q137" s="92">
        <f>IF(AA136&lt;0.005,0,MAX(0,AA136*(1+AA$6/12)-AA$7))</f>
        <v/>
      </c>
      <c r="R137" s="92">
        <f>IF(AB136&lt;0.005,0,MAX(0,AB136*(1+AB$6/12)-AB$7))</f>
        <v/>
      </c>
      <c r="S137" s="92">
        <f>IF(AC136&lt;0.005,0,MAX(0,AC136*(1+AC$6/12)-AC$7))</f>
        <v/>
      </c>
      <c r="T137" s="92">
        <f>IF(AD136&lt;0.005,0,MAX(0,AD136*(1+AD$6/12)-AD$7))</f>
        <v/>
      </c>
      <c r="U137" s="92">
        <f>IF(AE136&lt;0.005,0,MAX(0,AE136*(1+AE$6/12)-AE$7))</f>
        <v/>
      </c>
      <c r="V137" s="92">
        <f>IF(AF136&lt;0.005,0,MAX(0,AF136*(1+AF$6/12)-AF$7))</f>
        <v/>
      </c>
      <c r="W137" s="92">
        <f>IF(AG136&lt;0.005,0,MAX(0,AG136*(1+AG$6/12)-AG$7))</f>
        <v/>
      </c>
      <c r="X137" s="92">
        <f>IF(AH136&lt;0.005,0,MAX(0,AH136*(1+AH$6/12)-AH$7))</f>
        <v/>
      </c>
      <c r="Y137" s="92">
        <f>IF(AI136&lt;0.005,0,MAX(0,AI136*(1+AI$6/12)-AI$7))</f>
        <v/>
      </c>
      <c r="Z137" s="91">
        <f>MAX(0,P137-MAX(0,AK137-0))</f>
        <v/>
      </c>
      <c r="AA137" s="91">
        <f>MAX(0,Q137-MAX(0,AK137-SUM(P137:P137)))</f>
        <v/>
      </c>
      <c r="AB137" s="91">
        <f>MAX(0,R137-MAX(0,AK137-SUM(P137:Q137)))</f>
        <v/>
      </c>
      <c r="AC137" s="91">
        <f>MAX(0,S137-MAX(0,AK137-SUM(P137:R137)))</f>
        <v/>
      </c>
      <c r="AD137" s="91">
        <f>MAX(0,T137-MAX(0,AK137-SUM(P137:S137)))</f>
        <v/>
      </c>
      <c r="AE137" s="91">
        <f>MAX(0,U137-MAX(0,AK137-SUM(P137:T137)))</f>
        <v/>
      </c>
      <c r="AF137" s="91">
        <f>MAX(0,V137-MAX(0,AK137-SUM(P137:U137)))</f>
        <v/>
      </c>
      <c r="AG137" s="91">
        <f>MAX(0,W137-MAX(0,AK137-SUM(P137:V137)))</f>
        <v/>
      </c>
      <c r="AH137" s="91">
        <f>MAX(0,X137-MAX(0,AK137-SUM(P137:W137)))</f>
        <v/>
      </c>
      <c r="AI137" s="91">
        <f>MAX(0,Y137-MAX(0,AK137-SUM(P137:X137)))</f>
        <v/>
      </c>
      <c r="AJ137" s="92">
        <f>SUM(Z136:AI136)+AL137</f>
        <v/>
      </c>
      <c r="AK137" s="92">
        <f>$AK$7-(AJ137-SUM(P137:Y137))</f>
        <v/>
      </c>
      <c r="AL137" s="91">
        <f>SUMPRODUCT(Z136:AI136,$Z$6:$AI$6)/12</f>
        <v/>
      </c>
      <c r="AM137" s="88">
        <f>SUM(Z137:AI137)</f>
        <v/>
      </c>
      <c r="AO137" s="92">
        <f>IF(AY136&lt;0.005,0,MAX(0,AY136*(1+AY$6/12)-AY$7))</f>
        <v/>
      </c>
      <c r="AP137" s="92">
        <f>IF(AZ136&lt;0.005,0,MAX(0,AZ136*(1+AZ$6/12)-AZ$7))</f>
        <v/>
      </c>
      <c r="AQ137" s="92">
        <f>IF(BA136&lt;0.005,0,MAX(0,BA136*(1+BA$6/12)-BA$7))</f>
        <v/>
      </c>
      <c r="AR137" s="92">
        <f>IF(BB136&lt;0.005,0,MAX(0,BB136*(1+BB$6/12)-BB$7))</f>
        <v/>
      </c>
      <c r="AS137" s="92">
        <f>IF(BC136&lt;0.005,0,MAX(0,BC136*(1+BC$6/12)-BC$7))</f>
        <v/>
      </c>
      <c r="AT137" s="92">
        <f>IF(BD136&lt;0.005,0,MAX(0,BD136*(1+BD$6/12)-BD$7))</f>
        <v/>
      </c>
      <c r="AU137" s="92">
        <f>IF(BE136&lt;0.005,0,MAX(0,BE136*(1+BE$6/12)-BE$7))</f>
        <v/>
      </c>
      <c r="AV137" s="92">
        <f>IF(BF136&lt;0.005,0,MAX(0,BF136*(1+BF$6/12)-BF$7))</f>
        <v/>
      </c>
      <c r="AW137" s="92">
        <f>IF(BG136&lt;0.005,0,MAX(0,BG136*(1+BG$6/12)-BG$7))</f>
        <v/>
      </c>
      <c r="AX137" s="92">
        <f>IF(BH136&lt;0.005,0,MAX(0,BH136*(1+BH$6/12)-BH$7))</f>
        <v/>
      </c>
      <c r="AY137" s="91">
        <f>MAX(0,AO137-MAX(0,BJ137-0))</f>
        <v/>
      </c>
      <c r="AZ137" s="91">
        <f>MAX(0,AP137-MAX(0,BJ137-SUM(AO137:AO137)))</f>
        <v/>
      </c>
      <c r="BA137" s="91">
        <f>MAX(0,AQ137-MAX(0,BJ137-SUM(AO137:AP137)))</f>
        <v/>
      </c>
      <c r="BB137" s="91">
        <f>MAX(0,AR137-MAX(0,BJ137-SUM(AO137:AQ137)))</f>
        <v/>
      </c>
      <c r="BC137" s="91">
        <f>MAX(0,AS137-MAX(0,BJ137-SUM(AO137:AR137)))</f>
        <v/>
      </c>
      <c r="BD137" s="91">
        <f>MAX(0,AT137-MAX(0,BJ137-SUM(AO137:AS137)))</f>
        <v/>
      </c>
      <c r="BE137" s="91">
        <f>MAX(0,AU137-MAX(0,BJ137-SUM(AO137:AT137)))</f>
        <v/>
      </c>
      <c r="BF137" s="91">
        <f>MAX(0,AV137-MAX(0,BJ137-SUM(AO137:AU137)))</f>
        <v/>
      </c>
      <c r="BG137" s="91">
        <f>MAX(0,AW137-MAX(0,BJ137-SUM(AO137:AV137)))</f>
        <v/>
      </c>
      <c r="BH137" s="91">
        <f>MAX(0,AX137-MAX(0,BJ137-SUM(AO137:AW137)))</f>
        <v/>
      </c>
      <c r="BI137" s="92">
        <f>SUM(AY136:BH136)+BK137</f>
        <v/>
      </c>
      <c r="BJ137" s="92">
        <f>$BJ$7-(BI137-SUM(AO137:AX137))</f>
        <v/>
      </c>
      <c r="BK137" s="91">
        <f>SUMPRODUCT(AY136:BH136,$AY$6:$BH$6)/12</f>
        <v/>
      </c>
      <c r="BL137" s="88">
        <f>SUM(AY137:BH137)</f>
        <v/>
      </c>
    </row>
    <row r="138">
      <c r="A138" s="24" t="n">
        <v>128</v>
      </c>
      <c r="B138" s="90">
        <f>DATE(YEAR(Settings!$C$11),MONTH(Settings!$C$11)+A138,1)</f>
        <v/>
      </c>
      <c r="C138" s="91">
        <f>IF(C137&lt;0.005,0,MAX(0,C137*(1+C$6/12)-C$7))</f>
        <v/>
      </c>
      <c r="D138" s="91">
        <f>IF(D137&lt;0.005,0,MAX(0,D137*(1+D$6/12)-D$7))</f>
        <v/>
      </c>
      <c r="E138" s="91">
        <f>IF(E137&lt;0.005,0,MAX(0,E137*(1+E$6/12)-E$7))</f>
        <v/>
      </c>
      <c r="F138" s="91">
        <f>IF(F137&lt;0.005,0,MAX(0,F137*(1+F$6/12)-F$7))</f>
        <v/>
      </c>
      <c r="G138" s="91">
        <f>IF(G137&lt;0.005,0,MAX(0,G137*(1+G$6/12)-G$7))</f>
        <v/>
      </c>
      <c r="H138" s="91">
        <f>IF(H137&lt;0.005,0,MAX(0,H137*(1+H$6/12)-H$7))</f>
        <v/>
      </c>
      <c r="I138" s="91">
        <f>IF(I137&lt;0.005,0,MAX(0,I137*(1+I$6/12)-I$7))</f>
        <v/>
      </c>
      <c r="J138" s="91">
        <f>IF(J137&lt;0.005,0,MAX(0,J137*(1+J$6/12)-J$7))</f>
        <v/>
      </c>
      <c r="K138" s="91">
        <f>IF(K137&lt;0.005,0,MAX(0,K137*(1+K$6/12)-K$7))</f>
        <v/>
      </c>
      <c r="L138" s="91">
        <f>IF(L137&lt;0.005,0,MAX(0,L137*(1+L$6/12)-L$7))</f>
        <v/>
      </c>
      <c r="M138" s="91">
        <f>SUMPRODUCT(C137:L137,$C$6:$L$6)/12</f>
        <v/>
      </c>
      <c r="N138" s="88">
        <f>SUM(C138:L138)</f>
        <v/>
      </c>
      <c r="P138" s="92">
        <f>IF(Z137&lt;0.005,0,MAX(0,Z137*(1+Z$6/12)-Z$7))</f>
        <v/>
      </c>
      <c r="Q138" s="92">
        <f>IF(AA137&lt;0.005,0,MAX(0,AA137*(1+AA$6/12)-AA$7))</f>
        <v/>
      </c>
      <c r="R138" s="92">
        <f>IF(AB137&lt;0.005,0,MAX(0,AB137*(1+AB$6/12)-AB$7))</f>
        <v/>
      </c>
      <c r="S138" s="92">
        <f>IF(AC137&lt;0.005,0,MAX(0,AC137*(1+AC$6/12)-AC$7))</f>
        <v/>
      </c>
      <c r="T138" s="92">
        <f>IF(AD137&lt;0.005,0,MAX(0,AD137*(1+AD$6/12)-AD$7))</f>
        <v/>
      </c>
      <c r="U138" s="92">
        <f>IF(AE137&lt;0.005,0,MAX(0,AE137*(1+AE$6/12)-AE$7))</f>
        <v/>
      </c>
      <c r="V138" s="92">
        <f>IF(AF137&lt;0.005,0,MAX(0,AF137*(1+AF$6/12)-AF$7))</f>
        <v/>
      </c>
      <c r="W138" s="92">
        <f>IF(AG137&lt;0.005,0,MAX(0,AG137*(1+AG$6/12)-AG$7))</f>
        <v/>
      </c>
      <c r="X138" s="92">
        <f>IF(AH137&lt;0.005,0,MAX(0,AH137*(1+AH$6/12)-AH$7))</f>
        <v/>
      </c>
      <c r="Y138" s="92">
        <f>IF(AI137&lt;0.005,0,MAX(0,AI137*(1+AI$6/12)-AI$7))</f>
        <v/>
      </c>
      <c r="Z138" s="91">
        <f>MAX(0,P138-MAX(0,AK138-0))</f>
        <v/>
      </c>
      <c r="AA138" s="91">
        <f>MAX(0,Q138-MAX(0,AK138-SUM(P138:P138)))</f>
        <v/>
      </c>
      <c r="AB138" s="91">
        <f>MAX(0,R138-MAX(0,AK138-SUM(P138:Q138)))</f>
        <v/>
      </c>
      <c r="AC138" s="91">
        <f>MAX(0,S138-MAX(0,AK138-SUM(P138:R138)))</f>
        <v/>
      </c>
      <c r="AD138" s="91">
        <f>MAX(0,T138-MAX(0,AK138-SUM(P138:S138)))</f>
        <v/>
      </c>
      <c r="AE138" s="91">
        <f>MAX(0,U138-MAX(0,AK138-SUM(P138:T138)))</f>
        <v/>
      </c>
      <c r="AF138" s="91">
        <f>MAX(0,V138-MAX(0,AK138-SUM(P138:U138)))</f>
        <v/>
      </c>
      <c r="AG138" s="91">
        <f>MAX(0,W138-MAX(0,AK138-SUM(P138:V138)))</f>
        <v/>
      </c>
      <c r="AH138" s="91">
        <f>MAX(0,X138-MAX(0,AK138-SUM(P138:W138)))</f>
        <v/>
      </c>
      <c r="AI138" s="91">
        <f>MAX(0,Y138-MAX(0,AK138-SUM(P138:X138)))</f>
        <v/>
      </c>
      <c r="AJ138" s="92">
        <f>SUM(Z137:AI137)+AL138</f>
        <v/>
      </c>
      <c r="AK138" s="92">
        <f>$AK$7-(AJ138-SUM(P138:Y138))</f>
        <v/>
      </c>
      <c r="AL138" s="91">
        <f>SUMPRODUCT(Z137:AI137,$Z$6:$AI$6)/12</f>
        <v/>
      </c>
      <c r="AM138" s="88">
        <f>SUM(Z138:AI138)</f>
        <v/>
      </c>
      <c r="AO138" s="92">
        <f>IF(AY137&lt;0.005,0,MAX(0,AY137*(1+AY$6/12)-AY$7))</f>
        <v/>
      </c>
      <c r="AP138" s="92">
        <f>IF(AZ137&lt;0.005,0,MAX(0,AZ137*(1+AZ$6/12)-AZ$7))</f>
        <v/>
      </c>
      <c r="AQ138" s="92">
        <f>IF(BA137&lt;0.005,0,MAX(0,BA137*(1+BA$6/12)-BA$7))</f>
        <v/>
      </c>
      <c r="AR138" s="92">
        <f>IF(BB137&lt;0.005,0,MAX(0,BB137*(1+BB$6/12)-BB$7))</f>
        <v/>
      </c>
      <c r="AS138" s="92">
        <f>IF(BC137&lt;0.005,0,MAX(0,BC137*(1+BC$6/12)-BC$7))</f>
        <v/>
      </c>
      <c r="AT138" s="92">
        <f>IF(BD137&lt;0.005,0,MAX(0,BD137*(1+BD$6/12)-BD$7))</f>
        <v/>
      </c>
      <c r="AU138" s="92">
        <f>IF(BE137&lt;0.005,0,MAX(0,BE137*(1+BE$6/12)-BE$7))</f>
        <v/>
      </c>
      <c r="AV138" s="92">
        <f>IF(BF137&lt;0.005,0,MAX(0,BF137*(1+BF$6/12)-BF$7))</f>
        <v/>
      </c>
      <c r="AW138" s="92">
        <f>IF(BG137&lt;0.005,0,MAX(0,BG137*(1+BG$6/12)-BG$7))</f>
        <v/>
      </c>
      <c r="AX138" s="92">
        <f>IF(BH137&lt;0.005,0,MAX(0,BH137*(1+BH$6/12)-BH$7))</f>
        <v/>
      </c>
      <c r="AY138" s="91">
        <f>MAX(0,AO138-MAX(0,BJ138-0))</f>
        <v/>
      </c>
      <c r="AZ138" s="91">
        <f>MAX(0,AP138-MAX(0,BJ138-SUM(AO138:AO138)))</f>
        <v/>
      </c>
      <c r="BA138" s="91">
        <f>MAX(0,AQ138-MAX(0,BJ138-SUM(AO138:AP138)))</f>
        <v/>
      </c>
      <c r="BB138" s="91">
        <f>MAX(0,AR138-MAX(0,BJ138-SUM(AO138:AQ138)))</f>
        <v/>
      </c>
      <c r="BC138" s="91">
        <f>MAX(0,AS138-MAX(0,BJ138-SUM(AO138:AR138)))</f>
        <v/>
      </c>
      <c r="BD138" s="91">
        <f>MAX(0,AT138-MAX(0,BJ138-SUM(AO138:AS138)))</f>
        <v/>
      </c>
      <c r="BE138" s="91">
        <f>MAX(0,AU138-MAX(0,BJ138-SUM(AO138:AT138)))</f>
        <v/>
      </c>
      <c r="BF138" s="91">
        <f>MAX(0,AV138-MAX(0,BJ138-SUM(AO138:AU138)))</f>
        <v/>
      </c>
      <c r="BG138" s="91">
        <f>MAX(0,AW138-MAX(0,BJ138-SUM(AO138:AV138)))</f>
        <v/>
      </c>
      <c r="BH138" s="91">
        <f>MAX(0,AX138-MAX(0,BJ138-SUM(AO138:AW138)))</f>
        <v/>
      </c>
      <c r="BI138" s="92">
        <f>SUM(AY137:BH137)+BK138</f>
        <v/>
      </c>
      <c r="BJ138" s="92">
        <f>$BJ$7-(BI138-SUM(AO138:AX138))</f>
        <v/>
      </c>
      <c r="BK138" s="91">
        <f>SUMPRODUCT(AY137:BH137,$AY$6:$BH$6)/12</f>
        <v/>
      </c>
      <c r="BL138" s="88">
        <f>SUM(AY138:BH138)</f>
        <v/>
      </c>
    </row>
    <row r="139">
      <c r="A139" s="24" t="n">
        <v>129</v>
      </c>
      <c r="B139" s="90">
        <f>DATE(YEAR(Settings!$C$11),MONTH(Settings!$C$11)+A139,1)</f>
        <v/>
      </c>
      <c r="C139" s="91">
        <f>IF(C138&lt;0.005,0,MAX(0,C138*(1+C$6/12)-C$7))</f>
        <v/>
      </c>
      <c r="D139" s="91">
        <f>IF(D138&lt;0.005,0,MAX(0,D138*(1+D$6/12)-D$7))</f>
        <v/>
      </c>
      <c r="E139" s="91">
        <f>IF(E138&lt;0.005,0,MAX(0,E138*(1+E$6/12)-E$7))</f>
        <v/>
      </c>
      <c r="F139" s="91">
        <f>IF(F138&lt;0.005,0,MAX(0,F138*(1+F$6/12)-F$7))</f>
        <v/>
      </c>
      <c r="G139" s="91">
        <f>IF(G138&lt;0.005,0,MAX(0,G138*(1+G$6/12)-G$7))</f>
        <v/>
      </c>
      <c r="H139" s="91">
        <f>IF(H138&lt;0.005,0,MAX(0,H138*(1+H$6/12)-H$7))</f>
        <v/>
      </c>
      <c r="I139" s="91">
        <f>IF(I138&lt;0.005,0,MAX(0,I138*(1+I$6/12)-I$7))</f>
        <v/>
      </c>
      <c r="J139" s="91">
        <f>IF(J138&lt;0.005,0,MAX(0,J138*(1+J$6/12)-J$7))</f>
        <v/>
      </c>
      <c r="K139" s="91">
        <f>IF(K138&lt;0.005,0,MAX(0,K138*(1+K$6/12)-K$7))</f>
        <v/>
      </c>
      <c r="L139" s="91">
        <f>IF(L138&lt;0.005,0,MAX(0,L138*(1+L$6/12)-L$7))</f>
        <v/>
      </c>
      <c r="M139" s="91">
        <f>SUMPRODUCT(C138:L138,$C$6:$L$6)/12</f>
        <v/>
      </c>
      <c r="N139" s="88">
        <f>SUM(C139:L139)</f>
        <v/>
      </c>
      <c r="P139" s="92">
        <f>IF(Z138&lt;0.005,0,MAX(0,Z138*(1+Z$6/12)-Z$7))</f>
        <v/>
      </c>
      <c r="Q139" s="92">
        <f>IF(AA138&lt;0.005,0,MAX(0,AA138*(1+AA$6/12)-AA$7))</f>
        <v/>
      </c>
      <c r="R139" s="92">
        <f>IF(AB138&lt;0.005,0,MAX(0,AB138*(1+AB$6/12)-AB$7))</f>
        <v/>
      </c>
      <c r="S139" s="92">
        <f>IF(AC138&lt;0.005,0,MAX(0,AC138*(1+AC$6/12)-AC$7))</f>
        <v/>
      </c>
      <c r="T139" s="92">
        <f>IF(AD138&lt;0.005,0,MAX(0,AD138*(1+AD$6/12)-AD$7))</f>
        <v/>
      </c>
      <c r="U139" s="92">
        <f>IF(AE138&lt;0.005,0,MAX(0,AE138*(1+AE$6/12)-AE$7))</f>
        <v/>
      </c>
      <c r="V139" s="92">
        <f>IF(AF138&lt;0.005,0,MAX(0,AF138*(1+AF$6/12)-AF$7))</f>
        <v/>
      </c>
      <c r="W139" s="92">
        <f>IF(AG138&lt;0.005,0,MAX(0,AG138*(1+AG$6/12)-AG$7))</f>
        <v/>
      </c>
      <c r="X139" s="92">
        <f>IF(AH138&lt;0.005,0,MAX(0,AH138*(1+AH$6/12)-AH$7))</f>
        <v/>
      </c>
      <c r="Y139" s="92">
        <f>IF(AI138&lt;0.005,0,MAX(0,AI138*(1+AI$6/12)-AI$7))</f>
        <v/>
      </c>
      <c r="Z139" s="91">
        <f>MAX(0,P139-MAX(0,AK139-0))</f>
        <v/>
      </c>
      <c r="AA139" s="91">
        <f>MAX(0,Q139-MAX(0,AK139-SUM(P139:P139)))</f>
        <v/>
      </c>
      <c r="AB139" s="91">
        <f>MAX(0,R139-MAX(0,AK139-SUM(P139:Q139)))</f>
        <v/>
      </c>
      <c r="AC139" s="91">
        <f>MAX(0,S139-MAX(0,AK139-SUM(P139:R139)))</f>
        <v/>
      </c>
      <c r="AD139" s="91">
        <f>MAX(0,T139-MAX(0,AK139-SUM(P139:S139)))</f>
        <v/>
      </c>
      <c r="AE139" s="91">
        <f>MAX(0,U139-MAX(0,AK139-SUM(P139:T139)))</f>
        <v/>
      </c>
      <c r="AF139" s="91">
        <f>MAX(0,V139-MAX(0,AK139-SUM(P139:U139)))</f>
        <v/>
      </c>
      <c r="AG139" s="91">
        <f>MAX(0,W139-MAX(0,AK139-SUM(P139:V139)))</f>
        <v/>
      </c>
      <c r="AH139" s="91">
        <f>MAX(0,X139-MAX(0,AK139-SUM(P139:W139)))</f>
        <v/>
      </c>
      <c r="AI139" s="91">
        <f>MAX(0,Y139-MAX(0,AK139-SUM(P139:X139)))</f>
        <v/>
      </c>
      <c r="AJ139" s="92">
        <f>SUM(Z138:AI138)+AL139</f>
        <v/>
      </c>
      <c r="AK139" s="92">
        <f>$AK$7-(AJ139-SUM(P139:Y139))</f>
        <v/>
      </c>
      <c r="AL139" s="91">
        <f>SUMPRODUCT(Z138:AI138,$Z$6:$AI$6)/12</f>
        <v/>
      </c>
      <c r="AM139" s="88">
        <f>SUM(Z139:AI139)</f>
        <v/>
      </c>
      <c r="AO139" s="92">
        <f>IF(AY138&lt;0.005,0,MAX(0,AY138*(1+AY$6/12)-AY$7))</f>
        <v/>
      </c>
      <c r="AP139" s="92">
        <f>IF(AZ138&lt;0.005,0,MAX(0,AZ138*(1+AZ$6/12)-AZ$7))</f>
        <v/>
      </c>
      <c r="AQ139" s="92">
        <f>IF(BA138&lt;0.005,0,MAX(0,BA138*(1+BA$6/12)-BA$7))</f>
        <v/>
      </c>
      <c r="AR139" s="92">
        <f>IF(BB138&lt;0.005,0,MAX(0,BB138*(1+BB$6/12)-BB$7))</f>
        <v/>
      </c>
      <c r="AS139" s="92">
        <f>IF(BC138&lt;0.005,0,MAX(0,BC138*(1+BC$6/12)-BC$7))</f>
        <v/>
      </c>
      <c r="AT139" s="92">
        <f>IF(BD138&lt;0.005,0,MAX(0,BD138*(1+BD$6/12)-BD$7))</f>
        <v/>
      </c>
      <c r="AU139" s="92">
        <f>IF(BE138&lt;0.005,0,MAX(0,BE138*(1+BE$6/12)-BE$7))</f>
        <v/>
      </c>
      <c r="AV139" s="92">
        <f>IF(BF138&lt;0.005,0,MAX(0,BF138*(1+BF$6/12)-BF$7))</f>
        <v/>
      </c>
      <c r="AW139" s="92">
        <f>IF(BG138&lt;0.005,0,MAX(0,BG138*(1+BG$6/12)-BG$7))</f>
        <v/>
      </c>
      <c r="AX139" s="92">
        <f>IF(BH138&lt;0.005,0,MAX(0,BH138*(1+BH$6/12)-BH$7))</f>
        <v/>
      </c>
      <c r="AY139" s="91">
        <f>MAX(0,AO139-MAX(0,BJ139-0))</f>
        <v/>
      </c>
      <c r="AZ139" s="91">
        <f>MAX(0,AP139-MAX(0,BJ139-SUM(AO139:AO139)))</f>
        <v/>
      </c>
      <c r="BA139" s="91">
        <f>MAX(0,AQ139-MAX(0,BJ139-SUM(AO139:AP139)))</f>
        <v/>
      </c>
      <c r="BB139" s="91">
        <f>MAX(0,AR139-MAX(0,BJ139-SUM(AO139:AQ139)))</f>
        <v/>
      </c>
      <c r="BC139" s="91">
        <f>MAX(0,AS139-MAX(0,BJ139-SUM(AO139:AR139)))</f>
        <v/>
      </c>
      <c r="BD139" s="91">
        <f>MAX(0,AT139-MAX(0,BJ139-SUM(AO139:AS139)))</f>
        <v/>
      </c>
      <c r="BE139" s="91">
        <f>MAX(0,AU139-MAX(0,BJ139-SUM(AO139:AT139)))</f>
        <v/>
      </c>
      <c r="BF139" s="91">
        <f>MAX(0,AV139-MAX(0,BJ139-SUM(AO139:AU139)))</f>
        <v/>
      </c>
      <c r="BG139" s="91">
        <f>MAX(0,AW139-MAX(0,BJ139-SUM(AO139:AV139)))</f>
        <v/>
      </c>
      <c r="BH139" s="91">
        <f>MAX(0,AX139-MAX(0,BJ139-SUM(AO139:AW139)))</f>
        <v/>
      </c>
      <c r="BI139" s="92">
        <f>SUM(AY138:BH138)+BK139</f>
        <v/>
      </c>
      <c r="BJ139" s="92">
        <f>$BJ$7-(BI139-SUM(AO139:AX139))</f>
        <v/>
      </c>
      <c r="BK139" s="91">
        <f>SUMPRODUCT(AY138:BH138,$AY$6:$BH$6)/12</f>
        <v/>
      </c>
      <c r="BL139" s="88">
        <f>SUM(AY139:BH139)</f>
        <v/>
      </c>
    </row>
    <row r="140">
      <c r="A140" s="24" t="n">
        <v>130</v>
      </c>
      <c r="B140" s="90">
        <f>DATE(YEAR(Settings!$C$11),MONTH(Settings!$C$11)+A140,1)</f>
        <v/>
      </c>
      <c r="C140" s="91">
        <f>IF(C139&lt;0.005,0,MAX(0,C139*(1+C$6/12)-C$7))</f>
        <v/>
      </c>
      <c r="D140" s="91">
        <f>IF(D139&lt;0.005,0,MAX(0,D139*(1+D$6/12)-D$7))</f>
        <v/>
      </c>
      <c r="E140" s="91">
        <f>IF(E139&lt;0.005,0,MAX(0,E139*(1+E$6/12)-E$7))</f>
        <v/>
      </c>
      <c r="F140" s="91">
        <f>IF(F139&lt;0.005,0,MAX(0,F139*(1+F$6/12)-F$7))</f>
        <v/>
      </c>
      <c r="G140" s="91">
        <f>IF(G139&lt;0.005,0,MAX(0,G139*(1+G$6/12)-G$7))</f>
        <v/>
      </c>
      <c r="H140" s="91">
        <f>IF(H139&lt;0.005,0,MAX(0,H139*(1+H$6/12)-H$7))</f>
        <v/>
      </c>
      <c r="I140" s="91">
        <f>IF(I139&lt;0.005,0,MAX(0,I139*(1+I$6/12)-I$7))</f>
        <v/>
      </c>
      <c r="J140" s="91">
        <f>IF(J139&lt;0.005,0,MAX(0,J139*(1+J$6/12)-J$7))</f>
        <v/>
      </c>
      <c r="K140" s="91">
        <f>IF(K139&lt;0.005,0,MAX(0,K139*(1+K$6/12)-K$7))</f>
        <v/>
      </c>
      <c r="L140" s="91">
        <f>IF(L139&lt;0.005,0,MAX(0,L139*(1+L$6/12)-L$7))</f>
        <v/>
      </c>
      <c r="M140" s="91">
        <f>SUMPRODUCT(C139:L139,$C$6:$L$6)/12</f>
        <v/>
      </c>
      <c r="N140" s="88">
        <f>SUM(C140:L140)</f>
        <v/>
      </c>
      <c r="P140" s="92">
        <f>IF(Z139&lt;0.005,0,MAX(0,Z139*(1+Z$6/12)-Z$7))</f>
        <v/>
      </c>
      <c r="Q140" s="92">
        <f>IF(AA139&lt;0.005,0,MAX(0,AA139*(1+AA$6/12)-AA$7))</f>
        <v/>
      </c>
      <c r="R140" s="92">
        <f>IF(AB139&lt;0.005,0,MAX(0,AB139*(1+AB$6/12)-AB$7))</f>
        <v/>
      </c>
      <c r="S140" s="92">
        <f>IF(AC139&lt;0.005,0,MAX(0,AC139*(1+AC$6/12)-AC$7))</f>
        <v/>
      </c>
      <c r="T140" s="92">
        <f>IF(AD139&lt;0.005,0,MAX(0,AD139*(1+AD$6/12)-AD$7))</f>
        <v/>
      </c>
      <c r="U140" s="92">
        <f>IF(AE139&lt;0.005,0,MAX(0,AE139*(1+AE$6/12)-AE$7))</f>
        <v/>
      </c>
      <c r="V140" s="92">
        <f>IF(AF139&lt;0.005,0,MAX(0,AF139*(1+AF$6/12)-AF$7))</f>
        <v/>
      </c>
      <c r="W140" s="92">
        <f>IF(AG139&lt;0.005,0,MAX(0,AG139*(1+AG$6/12)-AG$7))</f>
        <v/>
      </c>
      <c r="X140" s="92">
        <f>IF(AH139&lt;0.005,0,MAX(0,AH139*(1+AH$6/12)-AH$7))</f>
        <v/>
      </c>
      <c r="Y140" s="92">
        <f>IF(AI139&lt;0.005,0,MAX(0,AI139*(1+AI$6/12)-AI$7))</f>
        <v/>
      </c>
      <c r="Z140" s="91">
        <f>MAX(0,P140-MAX(0,AK140-0))</f>
        <v/>
      </c>
      <c r="AA140" s="91">
        <f>MAX(0,Q140-MAX(0,AK140-SUM(P140:P140)))</f>
        <v/>
      </c>
      <c r="AB140" s="91">
        <f>MAX(0,R140-MAX(0,AK140-SUM(P140:Q140)))</f>
        <v/>
      </c>
      <c r="AC140" s="91">
        <f>MAX(0,S140-MAX(0,AK140-SUM(P140:R140)))</f>
        <v/>
      </c>
      <c r="AD140" s="91">
        <f>MAX(0,T140-MAX(0,AK140-SUM(P140:S140)))</f>
        <v/>
      </c>
      <c r="AE140" s="91">
        <f>MAX(0,U140-MAX(0,AK140-SUM(P140:T140)))</f>
        <v/>
      </c>
      <c r="AF140" s="91">
        <f>MAX(0,V140-MAX(0,AK140-SUM(P140:U140)))</f>
        <v/>
      </c>
      <c r="AG140" s="91">
        <f>MAX(0,W140-MAX(0,AK140-SUM(P140:V140)))</f>
        <v/>
      </c>
      <c r="AH140" s="91">
        <f>MAX(0,X140-MAX(0,AK140-SUM(P140:W140)))</f>
        <v/>
      </c>
      <c r="AI140" s="91">
        <f>MAX(0,Y140-MAX(0,AK140-SUM(P140:X140)))</f>
        <v/>
      </c>
      <c r="AJ140" s="92">
        <f>SUM(Z139:AI139)+AL140</f>
        <v/>
      </c>
      <c r="AK140" s="92">
        <f>$AK$7-(AJ140-SUM(P140:Y140))</f>
        <v/>
      </c>
      <c r="AL140" s="91">
        <f>SUMPRODUCT(Z139:AI139,$Z$6:$AI$6)/12</f>
        <v/>
      </c>
      <c r="AM140" s="88">
        <f>SUM(Z140:AI140)</f>
        <v/>
      </c>
      <c r="AO140" s="92">
        <f>IF(AY139&lt;0.005,0,MAX(0,AY139*(1+AY$6/12)-AY$7))</f>
        <v/>
      </c>
      <c r="AP140" s="92">
        <f>IF(AZ139&lt;0.005,0,MAX(0,AZ139*(1+AZ$6/12)-AZ$7))</f>
        <v/>
      </c>
      <c r="AQ140" s="92">
        <f>IF(BA139&lt;0.005,0,MAX(0,BA139*(1+BA$6/12)-BA$7))</f>
        <v/>
      </c>
      <c r="AR140" s="92">
        <f>IF(BB139&lt;0.005,0,MAX(0,BB139*(1+BB$6/12)-BB$7))</f>
        <v/>
      </c>
      <c r="AS140" s="92">
        <f>IF(BC139&lt;0.005,0,MAX(0,BC139*(1+BC$6/12)-BC$7))</f>
        <v/>
      </c>
      <c r="AT140" s="92">
        <f>IF(BD139&lt;0.005,0,MAX(0,BD139*(1+BD$6/12)-BD$7))</f>
        <v/>
      </c>
      <c r="AU140" s="92">
        <f>IF(BE139&lt;0.005,0,MAX(0,BE139*(1+BE$6/12)-BE$7))</f>
        <v/>
      </c>
      <c r="AV140" s="92">
        <f>IF(BF139&lt;0.005,0,MAX(0,BF139*(1+BF$6/12)-BF$7))</f>
        <v/>
      </c>
      <c r="AW140" s="92">
        <f>IF(BG139&lt;0.005,0,MAX(0,BG139*(1+BG$6/12)-BG$7))</f>
        <v/>
      </c>
      <c r="AX140" s="92">
        <f>IF(BH139&lt;0.005,0,MAX(0,BH139*(1+BH$6/12)-BH$7))</f>
        <v/>
      </c>
      <c r="AY140" s="91">
        <f>MAX(0,AO140-MAX(0,BJ140-0))</f>
        <v/>
      </c>
      <c r="AZ140" s="91">
        <f>MAX(0,AP140-MAX(0,BJ140-SUM(AO140:AO140)))</f>
        <v/>
      </c>
      <c r="BA140" s="91">
        <f>MAX(0,AQ140-MAX(0,BJ140-SUM(AO140:AP140)))</f>
        <v/>
      </c>
      <c r="BB140" s="91">
        <f>MAX(0,AR140-MAX(0,BJ140-SUM(AO140:AQ140)))</f>
        <v/>
      </c>
      <c r="BC140" s="91">
        <f>MAX(0,AS140-MAX(0,BJ140-SUM(AO140:AR140)))</f>
        <v/>
      </c>
      <c r="BD140" s="91">
        <f>MAX(0,AT140-MAX(0,BJ140-SUM(AO140:AS140)))</f>
        <v/>
      </c>
      <c r="BE140" s="91">
        <f>MAX(0,AU140-MAX(0,BJ140-SUM(AO140:AT140)))</f>
        <v/>
      </c>
      <c r="BF140" s="91">
        <f>MAX(0,AV140-MAX(0,BJ140-SUM(AO140:AU140)))</f>
        <v/>
      </c>
      <c r="BG140" s="91">
        <f>MAX(0,AW140-MAX(0,BJ140-SUM(AO140:AV140)))</f>
        <v/>
      </c>
      <c r="BH140" s="91">
        <f>MAX(0,AX140-MAX(0,BJ140-SUM(AO140:AW140)))</f>
        <v/>
      </c>
      <c r="BI140" s="92">
        <f>SUM(AY139:BH139)+BK140</f>
        <v/>
      </c>
      <c r="BJ140" s="92">
        <f>$BJ$7-(BI140-SUM(AO140:AX140))</f>
        <v/>
      </c>
      <c r="BK140" s="91">
        <f>SUMPRODUCT(AY139:BH139,$AY$6:$BH$6)/12</f>
        <v/>
      </c>
      <c r="BL140" s="88">
        <f>SUM(AY140:BH140)</f>
        <v/>
      </c>
    </row>
    <row r="141">
      <c r="A141" s="24" t="n">
        <v>131</v>
      </c>
      <c r="B141" s="90">
        <f>DATE(YEAR(Settings!$C$11),MONTH(Settings!$C$11)+A141,1)</f>
        <v/>
      </c>
      <c r="C141" s="91">
        <f>IF(C140&lt;0.005,0,MAX(0,C140*(1+C$6/12)-C$7))</f>
        <v/>
      </c>
      <c r="D141" s="91">
        <f>IF(D140&lt;0.005,0,MAX(0,D140*(1+D$6/12)-D$7))</f>
        <v/>
      </c>
      <c r="E141" s="91">
        <f>IF(E140&lt;0.005,0,MAX(0,E140*(1+E$6/12)-E$7))</f>
        <v/>
      </c>
      <c r="F141" s="91">
        <f>IF(F140&lt;0.005,0,MAX(0,F140*(1+F$6/12)-F$7))</f>
        <v/>
      </c>
      <c r="G141" s="91">
        <f>IF(G140&lt;0.005,0,MAX(0,G140*(1+G$6/12)-G$7))</f>
        <v/>
      </c>
      <c r="H141" s="91">
        <f>IF(H140&lt;0.005,0,MAX(0,H140*(1+H$6/12)-H$7))</f>
        <v/>
      </c>
      <c r="I141" s="91">
        <f>IF(I140&lt;0.005,0,MAX(0,I140*(1+I$6/12)-I$7))</f>
        <v/>
      </c>
      <c r="J141" s="91">
        <f>IF(J140&lt;0.005,0,MAX(0,J140*(1+J$6/12)-J$7))</f>
        <v/>
      </c>
      <c r="K141" s="91">
        <f>IF(K140&lt;0.005,0,MAX(0,K140*(1+K$6/12)-K$7))</f>
        <v/>
      </c>
      <c r="L141" s="91">
        <f>IF(L140&lt;0.005,0,MAX(0,L140*(1+L$6/12)-L$7))</f>
        <v/>
      </c>
      <c r="M141" s="91">
        <f>SUMPRODUCT(C140:L140,$C$6:$L$6)/12</f>
        <v/>
      </c>
      <c r="N141" s="88">
        <f>SUM(C141:L141)</f>
        <v/>
      </c>
      <c r="P141" s="92">
        <f>IF(Z140&lt;0.005,0,MAX(0,Z140*(1+Z$6/12)-Z$7))</f>
        <v/>
      </c>
      <c r="Q141" s="92">
        <f>IF(AA140&lt;0.005,0,MAX(0,AA140*(1+AA$6/12)-AA$7))</f>
        <v/>
      </c>
      <c r="R141" s="92">
        <f>IF(AB140&lt;0.005,0,MAX(0,AB140*(1+AB$6/12)-AB$7))</f>
        <v/>
      </c>
      <c r="S141" s="92">
        <f>IF(AC140&lt;0.005,0,MAX(0,AC140*(1+AC$6/12)-AC$7))</f>
        <v/>
      </c>
      <c r="T141" s="92">
        <f>IF(AD140&lt;0.005,0,MAX(0,AD140*(1+AD$6/12)-AD$7))</f>
        <v/>
      </c>
      <c r="U141" s="92">
        <f>IF(AE140&lt;0.005,0,MAX(0,AE140*(1+AE$6/12)-AE$7))</f>
        <v/>
      </c>
      <c r="V141" s="92">
        <f>IF(AF140&lt;0.005,0,MAX(0,AF140*(1+AF$6/12)-AF$7))</f>
        <v/>
      </c>
      <c r="W141" s="92">
        <f>IF(AG140&lt;0.005,0,MAX(0,AG140*(1+AG$6/12)-AG$7))</f>
        <v/>
      </c>
      <c r="X141" s="92">
        <f>IF(AH140&lt;0.005,0,MAX(0,AH140*(1+AH$6/12)-AH$7))</f>
        <v/>
      </c>
      <c r="Y141" s="92">
        <f>IF(AI140&lt;0.005,0,MAX(0,AI140*(1+AI$6/12)-AI$7))</f>
        <v/>
      </c>
      <c r="Z141" s="91">
        <f>MAX(0,P141-MAX(0,AK141-0))</f>
        <v/>
      </c>
      <c r="AA141" s="91">
        <f>MAX(0,Q141-MAX(0,AK141-SUM(P141:P141)))</f>
        <v/>
      </c>
      <c r="AB141" s="91">
        <f>MAX(0,R141-MAX(0,AK141-SUM(P141:Q141)))</f>
        <v/>
      </c>
      <c r="AC141" s="91">
        <f>MAX(0,S141-MAX(0,AK141-SUM(P141:R141)))</f>
        <v/>
      </c>
      <c r="AD141" s="91">
        <f>MAX(0,T141-MAX(0,AK141-SUM(P141:S141)))</f>
        <v/>
      </c>
      <c r="AE141" s="91">
        <f>MAX(0,U141-MAX(0,AK141-SUM(P141:T141)))</f>
        <v/>
      </c>
      <c r="AF141" s="91">
        <f>MAX(0,V141-MAX(0,AK141-SUM(P141:U141)))</f>
        <v/>
      </c>
      <c r="AG141" s="91">
        <f>MAX(0,W141-MAX(0,AK141-SUM(P141:V141)))</f>
        <v/>
      </c>
      <c r="AH141" s="91">
        <f>MAX(0,X141-MAX(0,AK141-SUM(P141:W141)))</f>
        <v/>
      </c>
      <c r="AI141" s="91">
        <f>MAX(0,Y141-MAX(0,AK141-SUM(P141:X141)))</f>
        <v/>
      </c>
      <c r="AJ141" s="92">
        <f>SUM(Z140:AI140)+AL141</f>
        <v/>
      </c>
      <c r="AK141" s="92">
        <f>$AK$7-(AJ141-SUM(P141:Y141))</f>
        <v/>
      </c>
      <c r="AL141" s="91">
        <f>SUMPRODUCT(Z140:AI140,$Z$6:$AI$6)/12</f>
        <v/>
      </c>
      <c r="AM141" s="88">
        <f>SUM(Z141:AI141)</f>
        <v/>
      </c>
      <c r="AO141" s="92">
        <f>IF(AY140&lt;0.005,0,MAX(0,AY140*(1+AY$6/12)-AY$7))</f>
        <v/>
      </c>
      <c r="AP141" s="92">
        <f>IF(AZ140&lt;0.005,0,MAX(0,AZ140*(1+AZ$6/12)-AZ$7))</f>
        <v/>
      </c>
      <c r="AQ141" s="92">
        <f>IF(BA140&lt;0.005,0,MAX(0,BA140*(1+BA$6/12)-BA$7))</f>
        <v/>
      </c>
      <c r="AR141" s="92">
        <f>IF(BB140&lt;0.005,0,MAX(0,BB140*(1+BB$6/12)-BB$7))</f>
        <v/>
      </c>
      <c r="AS141" s="92">
        <f>IF(BC140&lt;0.005,0,MAX(0,BC140*(1+BC$6/12)-BC$7))</f>
        <v/>
      </c>
      <c r="AT141" s="92">
        <f>IF(BD140&lt;0.005,0,MAX(0,BD140*(1+BD$6/12)-BD$7))</f>
        <v/>
      </c>
      <c r="AU141" s="92">
        <f>IF(BE140&lt;0.005,0,MAX(0,BE140*(1+BE$6/12)-BE$7))</f>
        <v/>
      </c>
      <c r="AV141" s="92">
        <f>IF(BF140&lt;0.005,0,MAX(0,BF140*(1+BF$6/12)-BF$7))</f>
        <v/>
      </c>
      <c r="AW141" s="92">
        <f>IF(BG140&lt;0.005,0,MAX(0,BG140*(1+BG$6/12)-BG$7))</f>
        <v/>
      </c>
      <c r="AX141" s="92">
        <f>IF(BH140&lt;0.005,0,MAX(0,BH140*(1+BH$6/12)-BH$7))</f>
        <v/>
      </c>
      <c r="AY141" s="91">
        <f>MAX(0,AO141-MAX(0,BJ141-0))</f>
        <v/>
      </c>
      <c r="AZ141" s="91">
        <f>MAX(0,AP141-MAX(0,BJ141-SUM(AO141:AO141)))</f>
        <v/>
      </c>
      <c r="BA141" s="91">
        <f>MAX(0,AQ141-MAX(0,BJ141-SUM(AO141:AP141)))</f>
        <v/>
      </c>
      <c r="BB141" s="91">
        <f>MAX(0,AR141-MAX(0,BJ141-SUM(AO141:AQ141)))</f>
        <v/>
      </c>
      <c r="BC141" s="91">
        <f>MAX(0,AS141-MAX(0,BJ141-SUM(AO141:AR141)))</f>
        <v/>
      </c>
      <c r="BD141" s="91">
        <f>MAX(0,AT141-MAX(0,BJ141-SUM(AO141:AS141)))</f>
        <v/>
      </c>
      <c r="BE141" s="91">
        <f>MAX(0,AU141-MAX(0,BJ141-SUM(AO141:AT141)))</f>
        <v/>
      </c>
      <c r="BF141" s="91">
        <f>MAX(0,AV141-MAX(0,BJ141-SUM(AO141:AU141)))</f>
        <v/>
      </c>
      <c r="BG141" s="91">
        <f>MAX(0,AW141-MAX(0,BJ141-SUM(AO141:AV141)))</f>
        <v/>
      </c>
      <c r="BH141" s="91">
        <f>MAX(0,AX141-MAX(0,BJ141-SUM(AO141:AW141)))</f>
        <v/>
      </c>
      <c r="BI141" s="92">
        <f>SUM(AY140:BH140)+BK141</f>
        <v/>
      </c>
      <c r="BJ141" s="92">
        <f>$BJ$7-(BI141-SUM(AO141:AX141))</f>
        <v/>
      </c>
      <c r="BK141" s="91">
        <f>SUMPRODUCT(AY140:BH140,$AY$6:$BH$6)/12</f>
        <v/>
      </c>
      <c r="BL141" s="88">
        <f>SUM(AY141:BH141)</f>
        <v/>
      </c>
    </row>
    <row r="142">
      <c r="A142" s="24" t="n">
        <v>132</v>
      </c>
      <c r="B142" s="90">
        <f>DATE(YEAR(Settings!$C$11),MONTH(Settings!$C$11)+A142,1)</f>
        <v/>
      </c>
      <c r="C142" s="91">
        <f>IF(C141&lt;0.005,0,MAX(0,C141*(1+C$6/12)-C$7))</f>
        <v/>
      </c>
      <c r="D142" s="91">
        <f>IF(D141&lt;0.005,0,MAX(0,D141*(1+D$6/12)-D$7))</f>
        <v/>
      </c>
      <c r="E142" s="91">
        <f>IF(E141&lt;0.005,0,MAX(0,E141*(1+E$6/12)-E$7))</f>
        <v/>
      </c>
      <c r="F142" s="91">
        <f>IF(F141&lt;0.005,0,MAX(0,F141*(1+F$6/12)-F$7))</f>
        <v/>
      </c>
      <c r="G142" s="91">
        <f>IF(G141&lt;0.005,0,MAX(0,G141*(1+G$6/12)-G$7))</f>
        <v/>
      </c>
      <c r="H142" s="91">
        <f>IF(H141&lt;0.005,0,MAX(0,H141*(1+H$6/12)-H$7))</f>
        <v/>
      </c>
      <c r="I142" s="91">
        <f>IF(I141&lt;0.005,0,MAX(0,I141*(1+I$6/12)-I$7))</f>
        <v/>
      </c>
      <c r="J142" s="91">
        <f>IF(J141&lt;0.005,0,MAX(0,J141*(1+J$6/12)-J$7))</f>
        <v/>
      </c>
      <c r="K142" s="91">
        <f>IF(K141&lt;0.005,0,MAX(0,K141*(1+K$6/12)-K$7))</f>
        <v/>
      </c>
      <c r="L142" s="91">
        <f>IF(L141&lt;0.005,0,MAX(0,L141*(1+L$6/12)-L$7))</f>
        <v/>
      </c>
      <c r="M142" s="91">
        <f>SUMPRODUCT(C141:L141,$C$6:$L$6)/12</f>
        <v/>
      </c>
      <c r="N142" s="88">
        <f>SUM(C142:L142)</f>
        <v/>
      </c>
      <c r="P142" s="92">
        <f>IF(Z141&lt;0.005,0,MAX(0,Z141*(1+Z$6/12)-Z$7))</f>
        <v/>
      </c>
      <c r="Q142" s="92">
        <f>IF(AA141&lt;0.005,0,MAX(0,AA141*(1+AA$6/12)-AA$7))</f>
        <v/>
      </c>
      <c r="R142" s="92">
        <f>IF(AB141&lt;0.005,0,MAX(0,AB141*(1+AB$6/12)-AB$7))</f>
        <v/>
      </c>
      <c r="S142" s="92">
        <f>IF(AC141&lt;0.005,0,MAX(0,AC141*(1+AC$6/12)-AC$7))</f>
        <v/>
      </c>
      <c r="T142" s="92">
        <f>IF(AD141&lt;0.005,0,MAX(0,AD141*(1+AD$6/12)-AD$7))</f>
        <v/>
      </c>
      <c r="U142" s="92">
        <f>IF(AE141&lt;0.005,0,MAX(0,AE141*(1+AE$6/12)-AE$7))</f>
        <v/>
      </c>
      <c r="V142" s="92">
        <f>IF(AF141&lt;0.005,0,MAX(0,AF141*(1+AF$6/12)-AF$7))</f>
        <v/>
      </c>
      <c r="W142" s="92">
        <f>IF(AG141&lt;0.005,0,MAX(0,AG141*(1+AG$6/12)-AG$7))</f>
        <v/>
      </c>
      <c r="X142" s="92">
        <f>IF(AH141&lt;0.005,0,MAX(0,AH141*(1+AH$6/12)-AH$7))</f>
        <v/>
      </c>
      <c r="Y142" s="92">
        <f>IF(AI141&lt;0.005,0,MAX(0,AI141*(1+AI$6/12)-AI$7))</f>
        <v/>
      </c>
      <c r="Z142" s="91">
        <f>MAX(0,P142-MAX(0,AK142-0))</f>
        <v/>
      </c>
      <c r="AA142" s="91">
        <f>MAX(0,Q142-MAX(0,AK142-SUM(P142:P142)))</f>
        <v/>
      </c>
      <c r="AB142" s="91">
        <f>MAX(0,R142-MAX(0,AK142-SUM(P142:Q142)))</f>
        <v/>
      </c>
      <c r="AC142" s="91">
        <f>MAX(0,S142-MAX(0,AK142-SUM(P142:R142)))</f>
        <v/>
      </c>
      <c r="AD142" s="91">
        <f>MAX(0,T142-MAX(0,AK142-SUM(P142:S142)))</f>
        <v/>
      </c>
      <c r="AE142" s="91">
        <f>MAX(0,U142-MAX(0,AK142-SUM(P142:T142)))</f>
        <v/>
      </c>
      <c r="AF142" s="91">
        <f>MAX(0,V142-MAX(0,AK142-SUM(P142:U142)))</f>
        <v/>
      </c>
      <c r="AG142" s="91">
        <f>MAX(0,W142-MAX(0,AK142-SUM(P142:V142)))</f>
        <v/>
      </c>
      <c r="AH142" s="91">
        <f>MAX(0,X142-MAX(0,AK142-SUM(P142:W142)))</f>
        <v/>
      </c>
      <c r="AI142" s="91">
        <f>MAX(0,Y142-MAX(0,AK142-SUM(P142:X142)))</f>
        <v/>
      </c>
      <c r="AJ142" s="92">
        <f>SUM(Z141:AI141)+AL142</f>
        <v/>
      </c>
      <c r="AK142" s="92">
        <f>$AK$7-(AJ142-SUM(P142:Y142))</f>
        <v/>
      </c>
      <c r="AL142" s="91">
        <f>SUMPRODUCT(Z141:AI141,$Z$6:$AI$6)/12</f>
        <v/>
      </c>
      <c r="AM142" s="88">
        <f>SUM(Z142:AI142)</f>
        <v/>
      </c>
      <c r="AO142" s="92">
        <f>IF(AY141&lt;0.005,0,MAX(0,AY141*(1+AY$6/12)-AY$7))</f>
        <v/>
      </c>
      <c r="AP142" s="92">
        <f>IF(AZ141&lt;0.005,0,MAX(0,AZ141*(1+AZ$6/12)-AZ$7))</f>
        <v/>
      </c>
      <c r="AQ142" s="92">
        <f>IF(BA141&lt;0.005,0,MAX(0,BA141*(1+BA$6/12)-BA$7))</f>
        <v/>
      </c>
      <c r="AR142" s="92">
        <f>IF(BB141&lt;0.005,0,MAX(0,BB141*(1+BB$6/12)-BB$7))</f>
        <v/>
      </c>
      <c r="AS142" s="92">
        <f>IF(BC141&lt;0.005,0,MAX(0,BC141*(1+BC$6/12)-BC$7))</f>
        <v/>
      </c>
      <c r="AT142" s="92">
        <f>IF(BD141&lt;0.005,0,MAX(0,BD141*(1+BD$6/12)-BD$7))</f>
        <v/>
      </c>
      <c r="AU142" s="92">
        <f>IF(BE141&lt;0.005,0,MAX(0,BE141*(1+BE$6/12)-BE$7))</f>
        <v/>
      </c>
      <c r="AV142" s="92">
        <f>IF(BF141&lt;0.005,0,MAX(0,BF141*(1+BF$6/12)-BF$7))</f>
        <v/>
      </c>
      <c r="AW142" s="92">
        <f>IF(BG141&lt;0.005,0,MAX(0,BG141*(1+BG$6/12)-BG$7))</f>
        <v/>
      </c>
      <c r="AX142" s="92">
        <f>IF(BH141&lt;0.005,0,MAX(0,BH141*(1+BH$6/12)-BH$7))</f>
        <v/>
      </c>
      <c r="AY142" s="91">
        <f>MAX(0,AO142-MAX(0,BJ142-0))</f>
        <v/>
      </c>
      <c r="AZ142" s="91">
        <f>MAX(0,AP142-MAX(0,BJ142-SUM(AO142:AO142)))</f>
        <v/>
      </c>
      <c r="BA142" s="91">
        <f>MAX(0,AQ142-MAX(0,BJ142-SUM(AO142:AP142)))</f>
        <v/>
      </c>
      <c r="BB142" s="91">
        <f>MAX(0,AR142-MAX(0,BJ142-SUM(AO142:AQ142)))</f>
        <v/>
      </c>
      <c r="BC142" s="91">
        <f>MAX(0,AS142-MAX(0,BJ142-SUM(AO142:AR142)))</f>
        <v/>
      </c>
      <c r="BD142" s="91">
        <f>MAX(0,AT142-MAX(0,BJ142-SUM(AO142:AS142)))</f>
        <v/>
      </c>
      <c r="BE142" s="91">
        <f>MAX(0,AU142-MAX(0,BJ142-SUM(AO142:AT142)))</f>
        <v/>
      </c>
      <c r="BF142" s="91">
        <f>MAX(0,AV142-MAX(0,BJ142-SUM(AO142:AU142)))</f>
        <v/>
      </c>
      <c r="BG142" s="91">
        <f>MAX(0,AW142-MAX(0,BJ142-SUM(AO142:AV142)))</f>
        <v/>
      </c>
      <c r="BH142" s="91">
        <f>MAX(0,AX142-MAX(0,BJ142-SUM(AO142:AW142)))</f>
        <v/>
      </c>
      <c r="BI142" s="92">
        <f>SUM(AY141:BH141)+BK142</f>
        <v/>
      </c>
      <c r="BJ142" s="92">
        <f>$BJ$7-(BI142-SUM(AO142:AX142))</f>
        <v/>
      </c>
      <c r="BK142" s="91">
        <f>SUMPRODUCT(AY141:BH141,$AY$6:$BH$6)/12</f>
        <v/>
      </c>
      <c r="BL142" s="88">
        <f>SUM(AY142:BH142)</f>
        <v/>
      </c>
    </row>
    <row r="143">
      <c r="A143" s="24" t="n">
        <v>133</v>
      </c>
      <c r="B143" s="90">
        <f>DATE(YEAR(Settings!$C$11),MONTH(Settings!$C$11)+A143,1)</f>
        <v/>
      </c>
      <c r="C143" s="91">
        <f>IF(C142&lt;0.005,0,MAX(0,C142*(1+C$6/12)-C$7))</f>
        <v/>
      </c>
      <c r="D143" s="91">
        <f>IF(D142&lt;0.005,0,MAX(0,D142*(1+D$6/12)-D$7))</f>
        <v/>
      </c>
      <c r="E143" s="91">
        <f>IF(E142&lt;0.005,0,MAX(0,E142*(1+E$6/12)-E$7))</f>
        <v/>
      </c>
      <c r="F143" s="91">
        <f>IF(F142&lt;0.005,0,MAX(0,F142*(1+F$6/12)-F$7))</f>
        <v/>
      </c>
      <c r="G143" s="91">
        <f>IF(G142&lt;0.005,0,MAX(0,G142*(1+G$6/12)-G$7))</f>
        <v/>
      </c>
      <c r="H143" s="91">
        <f>IF(H142&lt;0.005,0,MAX(0,H142*(1+H$6/12)-H$7))</f>
        <v/>
      </c>
      <c r="I143" s="91">
        <f>IF(I142&lt;0.005,0,MAX(0,I142*(1+I$6/12)-I$7))</f>
        <v/>
      </c>
      <c r="J143" s="91">
        <f>IF(J142&lt;0.005,0,MAX(0,J142*(1+J$6/12)-J$7))</f>
        <v/>
      </c>
      <c r="K143" s="91">
        <f>IF(K142&lt;0.005,0,MAX(0,K142*(1+K$6/12)-K$7))</f>
        <v/>
      </c>
      <c r="L143" s="91">
        <f>IF(L142&lt;0.005,0,MAX(0,L142*(1+L$6/12)-L$7))</f>
        <v/>
      </c>
      <c r="M143" s="91">
        <f>SUMPRODUCT(C142:L142,$C$6:$L$6)/12</f>
        <v/>
      </c>
      <c r="N143" s="88">
        <f>SUM(C143:L143)</f>
        <v/>
      </c>
      <c r="P143" s="92">
        <f>IF(Z142&lt;0.005,0,MAX(0,Z142*(1+Z$6/12)-Z$7))</f>
        <v/>
      </c>
      <c r="Q143" s="92">
        <f>IF(AA142&lt;0.005,0,MAX(0,AA142*(1+AA$6/12)-AA$7))</f>
        <v/>
      </c>
      <c r="R143" s="92">
        <f>IF(AB142&lt;0.005,0,MAX(0,AB142*(1+AB$6/12)-AB$7))</f>
        <v/>
      </c>
      <c r="S143" s="92">
        <f>IF(AC142&lt;0.005,0,MAX(0,AC142*(1+AC$6/12)-AC$7))</f>
        <v/>
      </c>
      <c r="T143" s="92">
        <f>IF(AD142&lt;0.005,0,MAX(0,AD142*(1+AD$6/12)-AD$7))</f>
        <v/>
      </c>
      <c r="U143" s="92">
        <f>IF(AE142&lt;0.005,0,MAX(0,AE142*(1+AE$6/12)-AE$7))</f>
        <v/>
      </c>
      <c r="V143" s="92">
        <f>IF(AF142&lt;0.005,0,MAX(0,AF142*(1+AF$6/12)-AF$7))</f>
        <v/>
      </c>
      <c r="W143" s="92">
        <f>IF(AG142&lt;0.005,0,MAX(0,AG142*(1+AG$6/12)-AG$7))</f>
        <v/>
      </c>
      <c r="X143" s="92">
        <f>IF(AH142&lt;0.005,0,MAX(0,AH142*(1+AH$6/12)-AH$7))</f>
        <v/>
      </c>
      <c r="Y143" s="92">
        <f>IF(AI142&lt;0.005,0,MAX(0,AI142*(1+AI$6/12)-AI$7))</f>
        <v/>
      </c>
      <c r="Z143" s="91">
        <f>MAX(0,P143-MAX(0,AK143-0))</f>
        <v/>
      </c>
      <c r="AA143" s="91">
        <f>MAX(0,Q143-MAX(0,AK143-SUM(P143:P143)))</f>
        <v/>
      </c>
      <c r="AB143" s="91">
        <f>MAX(0,R143-MAX(0,AK143-SUM(P143:Q143)))</f>
        <v/>
      </c>
      <c r="AC143" s="91">
        <f>MAX(0,S143-MAX(0,AK143-SUM(P143:R143)))</f>
        <v/>
      </c>
      <c r="AD143" s="91">
        <f>MAX(0,T143-MAX(0,AK143-SUM(P143:S143)))</f>
        <v/>
      </c>
      <c r="AE143" s="91">
        <f>MAX(0,U143-MAX(0,AK143-SUM(P143:T143)))</f>
        <v/>
      </c>
      <c r="AF143" s="91">
        <f>MAX(0,V143-MAX(0,AK143-SUM(P143:U143)))</f>
        <v/>
      </c>
      <c r="AG143" s="91">
        <f>MAX(0,W143-MAX(0,AK143-SUM(P143:V143)))</f>
        <v/>
      </c>
      <c r="AH143" s="91">
        <f>MAX(0,X143-MAX(0,AK143-SUM(P143:W143)))</f>
        <v/>
      </c>
      <c r="AI143" s="91">
        <f>MAX(0,Y143-MAX(0,AK143-SUM(P143:X143)))</f>
        <v/>
      </c>
      <c r="AJ143" s="92">
        <f>SUM(Z142:AI142)+AL143</f>
        <v/>
      </c>
      <c r="AK143" s="92">
        <f>$AK$7-(AJ143-SUM(P143:Y143))</f>
        <v/>
      </c>
      <c r="AL143" s="91">
        <f>SUMPRODUCT(Z142:AI142,$Z$6:$AI$6)/12</f>
        <v/>
      </c>
      <c r="AM143" s="88">
        <f>SUM(Z143:AI143)</f>
        <v/>
      </c>
      <c r="AO143" s="92">
        <f>IF(AY142&lt;0.005,0,MAX(0,AY142*(1+AY$6/12)-AY$7))</f>
        <v/>
      </c>
      <c r="AP143" s="92">
        <f>IF(AZ142&lt;0.005,0,MAX(0,AZ142*(1+AZ$6/12)-AZ$7))</f>
        <v/>
      </c>
      <c r="AQ143" s="92">
        <f>IF(BA142&lt;0.005,0,MAX(0,BA142*(1+BA$6/12)-BA$7))</f>
        <v/>
      </c>
      <c r="AR143" s="92">
        <f>IF(BB142&lt;0.005,0,MAX(0,BB142*(1+BB$6/12)-BB$7))</f>
        <v/>
      </c>
      <c r="AS143" s="92">
        <f>IF(BC142&lt;0.005,0,MAX(0,BC142*(1+BC$6/12)-BC$7))</f>
        <v/>
      </c>
      <c r="AT143" s="92">
        <f>IF(BD142&lt;0.005,0,MAX(0,BD142*(1+BD$6/12)-BD$7))</f>
        <v/>
      </c>
      <c r="AU143" s="92">
        <f>IF(BE142&lt;0.005,0,MAX(0,BE142*(1+BE$6/12)-BE$7))</f>
        <v/>
      </c>
      <c r="AV143" s="92">
        <f>IF(BF142&lt;0.005,0,MAX(0,BF142*(1+BF$6/12)-BF$7))</f>
        <v/>
      </c>
      <c r="AW143" s="92">
        <f>IF(BG142&lt;0.005,0,MAX(0,BG142*(1+BG$6/12)-BG$7))</f>
        <v/>
      </c>
      <c r="AX143" s="92">
        <f>IF(BH142&lt;0.005,0,MAX(0,BH142*(1+BH$6/12)-BH$7))</f>
        <v/>
      </c>
      <c r="AY143" s="91">
        <f>MAX(0,AO143-MAX(0,BJ143-0))</f>
        <v/>
      </c>
      <c r="AZ143" s="91">
        <f>MAX(0,AP143-MAX(0,BJ143-SUM(AO143:AO143)))</f>
        <v/>
      </c>
      <c r="BA143" s="91">
        <f>MAX(0,AQ143-MAX(0,BJ143-SUM(AO143:AP143)))</f>
        <v/>
      </c>
      <c r="BB143" s="91">
        <f>MAX(0,AR143-MAX(0,BJ143-SUM(AO143:AQ143)))</f>
        <v/>
      </c>
      <c r="BC143" s="91">
        <f>MAX(0,AS143-MAX(0,BJ143-SUM(AO143:AR143)))</f>
        <v/>
      </c>
      <c r="BD143" s="91">
        <f>MAX(0,AT143-MAX(0,BJ143-SUM(AO143:AS143)))</f>
        <v/>
      </c>
      <c r="BE143" s="91">
        <f>MAX(0,AU143-MAX(0,BJ143-SUM(AO143:AT143)))</f>
        <v/>
      </c>
      <c r="BF143" s="91">
        <f>MAX(0,AV143-MAX(0,BJ143-SUM(AO143:AU143)))</f>
        <v/>
      </c>
      <c r="BG143" s="91">
        <f>MAX(0,AW143-MAX(0,BJ143-SUM(AO143:AV143)))</f>
        <v/>
      </c>
      <c r="BH143" s="91">
        <f>MAX(0,AX143-MAX(0,BJ143-SUM(AO143:AW143)))</f>
        <v/>
      </c>
      <c r="BI143" s="92">
        <f>SUM(AY142:BH142)+BK143</f>
        <v/>
      </c>
      <c r="BJ143" s="92">
        <f>$BJ$7-(BI143-SUM(AO143:AX143))</f>
        <v/>
      </c>
      <c r="BK143" s="91">
        <f>SUMPRODUCT(AY142:BH142,$AY$6:$BH$6)/12</f>
        <v/>
      </c>
      <c r="BL143" s="88">
        <f>SUM(AY143:BH143)</f>
        <v/>
      </c>
    </row>
    <row r="144">
      <c r="A144" s="24" t="n">
        <v>134</v>
      </c>
      <c r="B144" s="90">
        <f>DATE(YEAR(Settings!$C$11),MONTH(Settings!$C$11)+A144,1)</f>
        <v/>
      </c>
      <c r="C144" s="91">
        <f>IF(C143&lt;0.005,0,MAX(0,C143*(1+C$6/12)-C$7))</f>
        <v/>
      </c>
      <c r="D144" s="91">
        <f>IF(D143&lt;0.005,0,MAX(0,D143*(1+D$6/12)-D$7))</f>
        <v/>
      </c>
      <c r="E144" s="91">
        <f>IF(E143&lt;0.005,0,MAX(0,E143*(1+E$6/12)-E$7))</f>
        <v/>
      </c>
      <c r="F144" s="91">
        <f>IF(F143&lt;0.005,0,MAX(0,F143*(1+F$6/12)-F$7))</f>
        <v/>
      </c>
      <c r="G144" s="91">
        <f>IF(G143&lt;0.005,0,MAX(0,G143*(1+G$6/12)-G$7))</f>
        <v/>
      </c>
      <c r="H144" s="91">
        <f>IF(H143&lt;0.005,0,MAX(0,H143*(1+H$6/12)-H$7))</f>
        <v/>
      </c>
      <c r="I144" s="91">
        <f>IF(I143&lt;0.005,0,MAX(0,I143*(1+I$6/12)-I$7))</f>
        <v/>
      </c>
      <c r="J144" s="91">
        <f>IF(J143&lt;0.005,0,MAX(0,J143*(1+J$6/12)-J$7))</f>
        <v/>
      </c>
      <c r="K144" s="91">
        <f>IF(K143&lt;0.005,0,MAX(0,K143*(1+K$6/12)-K$7))</f>
        <v/>
      </c>
      <c r="L144" s="91">
        <f>IF(L143&lt;0.005,0,MAX(0,L143*(1+L$6/12)-L$7))</f>
        <v/>
      </c>
      <c r="M144" s="91">
        <f>SUMPRODUCT(C143:L143,$C$6:$L$6)/12</f>
        <v/>
      </c>
      <c r="N144" s="88">
        <f>SUM(C144:L144)</f>
        <v/>
      </c>
      <c r="P144" s="92">
        <f>IF(Z143&lt;0.005,0,MAX(0,Z143*(1+Z$6/12)-Z$7))</f>
        <v/>
      </c>
      <c r="Q144" s="92">
        <f>IF(AA143&lt;0.005,0,MAX(0,AA143*(1+AA$6/12)-AA$7))</f>
        <v/>
      </c>
      <c r="R144" s="92">
        <f>IF(AB143&lt;0.005,0,MAX(0,AB143*(1+AB$6/12)-AB$7))</f>
        <v/>
      </c>
      <c r="S144" s="92">
        <f>IF(AC143&lt;0.005,0,MAX(0,AC143*(1+AC$6/12)-AC$7))</f>
        <v/>
      </c>
      <c r="T144" s="92">
        <f>IF(AD143&lt;0.005,0,MAX(0,AD143*(1+AD$6/12)-AD$7))</f>
        <v/>
      </c>
      <c r="U144" s="92">
        <f>IF(AE143&lt;0.005,0,MAX(0,AE143*(1+AE$6/12)-AE$7))</f>
        <v/>
      </c>
      <c r="V144" s="92">
        <f>IF(AF143&lt;0.005,0,MAX(0,AF143*(1+AF$6/12)-AF$7))</f>
        <v/>
      </c>
      <c r="W144" s="92">
        <f>IF(AG143&lt;0.005,0,MAX(0,AG143*(1+AG$6/12)-AG$7))</f>
        <v/>
      </c>
      <c r="X144" s="92">
        <f>IF(AH143&lt;0.005,0,MAX(0,AH143*(1+AH$6/12)-AH$7))</f>
        <v/>
      </c>
      <c r="Y144" s="92">
        <f>IF(AI143&lt;0.005,0,MAX(0,AI143*(1+AI$6/12)-AI$7))</f>
        <v/>
      </c>
      <c r="Z144" s="91">
        <f>MAX(0,P144-MAX(0,AK144-0))</f>
        <v/>
      </c>
      <c r="AA144" s="91">
        <f>MAX(0,Q144-MAX(0,AK144-SUM(P144:P144)))</f>
        <v/>
      </c>
      <c r="AB144" s="91">
        <f>MAX(0,R144-MAX(0,AK144-SUM(P144:Q144)))</f>
        <v/>
      </c>
      <c r="AC144" s="91">
        <f>MAX(0,S144-MAX(0,AK144-SUM(P144:R144)))</f>
        <v/>
      </c>
      <c r="AD144" s="91">
        <f>MAX(0,T144-MAX(0,AK144-SUM(P144:S144)))</f>
        <v/>
      </c>
      <c r="AE144" s="91">
        <f>MAX(0,U144-MAX(0,AK144-SUM(P144:T144)))</f>
        <v/>
      </c>
      <c r="AF144" s="91">
        <f>MAX(0,V144-MAX(0,AK144-SUM(P144:U144)))</f>
        <v/>
      </c>
      <c r="AG144" s="91">
        <f>MAX(0,W144-MAX(0,AK144-SUM(P144:V144)))</f>
        <v/>
      </c>
      <c r="AH144" s="91">
        <f>MAX(0,X144-MAX(0,AK144-SUM(P144:W144)))</f>
        <v/>
      </c>
      <c r="AI144" s="91">
        <f>MAX(0,Y144-MAX(0,AK144-SUM(P144:X144)))</f>
        <v/>
      </c>
      <c r="AJ144" s="92">
        <f>SUM(Z143:AI143)+AL144</f>
        <v/>
      </c>
      <c r="AK144" s="92">
        <f>$AK$7-(AJ144-SUM(P144:Y144))</f>
        <v/>
      </c>
      <c r="AL144" s="91">
        <f>SUMPRODUCT(Z143:AI143,$Z$6:$AI$6)/12</f>
        <v/>
      </c>
      <c r="AM144" s="88">
        <f>SUM(Z144:AI144)</f>
        <v/>
      </c>
      <c r="AO144" s="92">
        <f>IF(AY143&lt;0.005,0,MAX(0,AY143*(1+AY$6/12)-AY$7))</f>
        <v/>
      </c>
      <c r="AP144" s="92">
        <f>IF(AZ143&lt;0.005,0,MAX(0,AZ143*(1+AZ$6/12)-AZ$7))</f>
        <v/>
      </c>
      <c r="AQ144" s="92">
        <f>IF(BA143&lt;0.005,0,MAX(0,BA143*(1+BA$6/12)-BA$7))</f>
        <v/>
      </c>
      <c r="AR144" s="92">
        <f>IF(BB143&lt;0.005,0,MAX(0,BB143*(1+BB$6/12)-BB$7))</f>
        <v/>
      </c>
      <c r="AS144" s="92">
        <f>IF(BC143&lt;0.005,0,MAX(0,BC143*(1+BC$6/12)-BC$7))</f>
        <v/>
      </c>
      <c r="AT144" s="92">
        <f>IF(BD143&lt;0.005,0,MAX(0,BD143*(1+BD$6/12)-BD$7))</f>
        <v/>
      </c>
      <c r="AU144" s="92">
        <f>IF(BE143&lt;0.005,0,MAX(0,BE143*(1+BE$6/12)-BE$7))</f>
        <v/>
      </c>
      <c r="AV144" s="92">
        <f>IF(BF143&lt;0.005,0,MAX(0,BF143*(1+BF$6/12)-BF$7))</f>
        <v/>
      </c>
      <c r="AW144" s="92">
        <f>IF(BG143&lt;0.005,0,MAX(0,BG143*(1+BG$6/12)-BG$7))</f>
        <v/>
      </c>
      <c r="AX144" s="92">
        <f>IF(BH143&lt;0.005,0,MAX(0,BH143*(1+BH$6/12)-BH$7))</f>
        <v/>
      </c>
      <c r="AY144" s="91">
        <f>MAX(0,AO144-MAX(0,BJ144-0))</f>
        <v/>
      </c>
      <c r="AZ144" s="91">
        <f>MAX(0,AP144-MAX(0,BJ144-SUM(AO144:AO144)))</f>
        <v/>
      </c>
      <c r="BA144" s="91">
        <f>MAX(0,AQ144-MAX(0,BJ144-SUM(AO144:AP144)))</f>
        <v/>
      </c>
      <c r="BB144" s="91">
        <f>MAX(0,AR144-MAX(0,BJ144-SUM(AO144:AQ144)))</f>
        <v/>
      </c>
      <c r="BC144" s="91">
        <f>MAX(0,AS144-MAX(0,BJ144-SUM(AO144:AR144)))</f>
        <v/>
      </c>
      <c r="BD144" s="91">
        <f>MAX(0,AT144-MAX(0,BJ144-SUM(AO144:AS144)))</f>
        <v/>
      </c>
      <c r="BE144" s="91">
        <f>MAX(0,AU144-MAX(0,BJ144-SUM(AO144:AT144)))</f>
        <v/>
      </c>
      <c r="BF144" s="91">
        <f>MAX(0,AV144-MAX(0,BJ144-SUM(AO144:AU144)))</f>
        <v/>
      </c>
      <c r="BG144" s="91">
        <f>MAX(0,AW144-MAX(0,BJ144-SUM(AO144:AV144)))</f>
        <v/>
      </c>
      <c r="BH144" s="91">
        <f>MAX(0,AX144-MAX(0,BJ144-SUM(AO144:AW144)))</f>
        <v/>
      </c>
      <c r="BI144" s="92">
        <f>SUM(AY143:BH143)+BK144</f>
        <v/>
      </c>
      <c r="BJ144" s="92">
        <f>$BJ$7-(BI144-SUM(AO144:AX144))</f>
        <v/>
      </c>
      <c r="BK144" s="91">
        <f>SUMPRODUCT(AY143:BH143,$AY$6:$BH$6)/12</f>
        <v/>
      </c>
      <c r="BL144" s="88">
        <f>SUM(AY144:BH144)</f>
        <v/>
      </c>
    </row>
    <row r="145">
      <c r="A145" s="24" t="n">
        <v>135</v>
      </c>
      <c r="B145" s="90">
        <f>DATE(YEAR(Settings!$C$11),MONTH(Settings!$C$11)+A145,1)</f>
        <v/>
      </c>
      <c r="C145" s="91">
        <f>IF(C144&lt;0.005,0,MAX(0,C144*(1+C$6/12)-C$7))</f>
        <v/>
      </c>
      <c r="D145" s="91">
        <f>IF(D144&lt;0.005,0,MAX(0,D144*(1+D$6/12)-D$7))</f>
        <v/>
      </c>
      <c r="E145" s="91">
        <f>IF(E144&lt;0.005,0,MAX(0,E144*(1+E$6/12)-E$7))</f>
        <v/>
      </c>
      <c r="F145" s="91">
        <f>IF(F144&lt;0.005,0,MAX(0,F144*(1+F$6/12)-F$7))</f>
        <v/>
      </c>
      <c r="G145" s="91">
        <f>IF(G144&lt;0.005,0,MAX(0,G144*(1+G$6/12)-G$7))</f>
        <v/>
      </c>
      <c r="H145" s="91">
        <f>IF(H144&lt;0.005,0,MAX(0,H144*(1+H$6/12)-H$7))</f>
        <v/>
      </c>
      <c r="I145" s="91">
        <f>IF(I144&lt;0.005,0,MAX(0,I144*(1+I$6/12)-I$7))</f>
        <v/>
      </c>
      <c r="J145" s="91">
        <f>IF(J144&lt;0.005,0,MAX(0,J144*(1+J$6/12)-J$7))</f>
        <v/>
      </c>
      <c r="K145" s="91">
        <f>IF(K144&lt;0.005,0,MAX(0,K144*(1+K$6/12)-K$7))</f>
        <v/>
      </c>
      <c r="L145" s="91">
        <f>IF(L144&lt;0.005,0,MAX(0,L144*(1+L$6/12)-L$7))</f>
        <v/>
      </c>
      <c r="M145" s="91">
        <f>SUMPRODUCT(C144:L144,$C$6:$L$6)/12</f>
        <v/>
      </c>
      <c r="N145" s="88">
        <f>SUM(C145:L145)</f>
        <v/>
      </c>
      <c r="P145" s="92">
        <f>IF(Z144&lt;0.005,0,MAX(0,Z144*(1+Z$6/12)-Z$7))</f>
        <v/>
      </c>
      <c r="Q145" s="92">
        <f>IF(AA144&lt;0.005,0,MAX(0,AA144*(1+AA$6/12)-AA$7))</f>
        <v/>
      </c>
      <c r="R145" s="92">
        <f>IF(AB144&lt;0.005,0,MAX(0,AB144*(1+AB$6/12)-AB$7))</f>
        <v/>
      </c>
      <c r="S145" s="92">
        <f>IF(AC144&lt;0.005,0,MAX(0,AC144*(1+AC$6/12)-AC$7))</f>
        <v/>
      </c>
      <c r="T145" s="92">
        <f>IF(AD144&lt;0.005,0,MAX(0,AD144*(1+AD$6/12)-AD$7))</f>
        <v/>
      </c>
      <c r="U145" s="92">
        <f>IF(AE144&lt;0.005,0,MAX(0,AE144*(1+AE$6/12)-AE$7))</f>
        <v/>
      </c>
      <c r="V145" s="92">
        <f>IF(AF144&lt;0.005,0,MAX(0,AF144*(1+AF$6/12)-AF$7))</f>
        <v/>
      </c>
      <c r="W145" s="92">
        <f>IF(AG144&lt;0.005,0,MAX(0,AG144*(1+AG$6/12)-AG$7))</f>
        <v/>
      </c>
      <c r="X145" s="92">
        <f>IF(AH144&lt;0.005,0,MAX(0,AH144*(1+AH$6/12)-AH$7))</f>
        <v/>
      </c>
      <c r="Y145" s="92">
        <f>IF(AI144&lt;0.005,0,MAX(0,AI144*(1+AI$6/12)-AI$7))</f>
        <v/>
      </c>
      <c r="Z145" s="91">
        <f>MAX(0,P145-MAX(0,AK145-0))</f>
        <v/>
      </c>
      <c r="AA145" s="91">
        <f>MAX(0,Q145-MAX(0,AK145-SUM(P145:P145)))</f>
        <v/>
      </c>
      <c r="AB145" s="91">
        <f>MAX(0,R145-MAX(0,AK145-SUM(P145:Q145)))</f>
        <v/>
      </c>
      <c r="AC145" s="91">
        <f>MAX(0,S145-MAX(0,AK145-SUM(P145:R145)))</f>
        <v/>
      </c>
      <c r="AD145" s="91">
        <f>MAX(0,T145-MAX(0,AK145-SUM(P145:S145)))</f>
        <v/>
      </c>
      <c r="AE145" s="91">
        <f>MAX(0,U145-MAX(0,AK145-SUM(P145:T145)))</f>
        <v/>
      </c>
      <c r="AF145" s="91">
        <f>MAX(0,V145-MAX(0,AK145-SUM(P145:U145)))</f>
        <v/>
      </c>
      <c r="AG145" s="91">
        <f>MAX(0,W145-MAX(0,AK145-SUM(P145:V145)))</f>
        <v/>
      </c>
      <c r="AH145" s="91">
        <f>MAX(0,X145-MAX(0,AK145-SUM(P145:W145)))</f>
        <v/>
      </c>
      <c r="AI145" s="91">
        <f>MAX(0,Y145-MAX(0,AK145-SUM(P145:X145)))</f>
        <v/>
      </c>
      <c r="AJ145" s="92">
        <f>SUM(Z144:AI144)+AL145</f>
        <v/>
      </c>
      <c r="AK145" s="92">
        <f>$AK$7-(AJ145-SUM(P145:Y145))</f>
        <v/>
      </c>
      <c r="AL145" s="91">
        <f>SUMPRODUCT(Z144:AI144,$Z$6:$AI$6)/12</f>
        <v/>
      </c>
      <c r="AM145" s="88">
        <f>SUM(Z145:AI145)</f>
        <v/>
      </c>
      <c r="AO145" s="92">
        <f>IF(AY144&lt;0.005,0,MAX(0,AY144*(1+AY$6/12)-AY$7))</f>
        <v/>
      </c>
      <c r="AP145" s="92">
        <f>IF(AZ144&lt;0.005,0,MAX(0,AZ144*(1+AZ$6/12)-AZ$7))</f>
        <v/>
      </c>
      <c r="AQ145" s="92">
        <f>IF(BA144&lt;0.005,0,MAX(0,BA144*(1+BA$6/12)-BA$7))</f>
        <v/>
      </c>
      <c r="AR145" s="92">
        <f>IF(BB144&lt;0.005,0,MAX(0,BB144*(1+BB$6/12)-BB$7))</f>
        <v/>
      </c>
      <c r="AS145" s="92">
        <f>IF(BC144&lt;0.005,0,MAX(0,BC144*(1+BC$6/12)-BC$7))</f>
        <v/>
      </c>
      <c r="AT145" s="92">
        <f>IF(BD144&lt;0.005,0,MAX(0,BD144*(1+BD$6/12)-BD$7))</f>
        <v/>
      </c>
      <c r="AU145" s="92">
        <f>IF(BE144&lt;0.005,0,MAX(0,BE144*(1+BE$6/12)-BE$7))</f>
        <v/>
      </c>
      <c r="AV145" s="92">
        <f>IF(BF144&lt;0.005,0,MAX(0,BF144*(1+BF$6/12)-BF$7))</f>
        <v/>
      </c>
      <c r="AW145" s="92">
        <f>IF(BG144&lt;0.005,0,MAX(0,BG144*(1+BG$6/12)-BG$7))</f>
        <v/>
      </c>
      <c r="AX145" s="92">
        <f>IF(BH144&lt;0.005,0,MAX(0,BH144*(1+BH$6/12)-BH$7))</f>
        <v/>
      </c>
      <c r="AY145" s="91">
        <f>MAX(0,AO145-MAX(0,BJ145-0))</f>
        <v/>
      </c>
      <c r="AZ145" s="91">
        <f>MAX(0,AP145-MAX(0,BJ145-SUM(AO145:AO145)))</f>
        <v/>
      </c>
      <c r="BA145" s="91">
        <f>MAX(0,AQ145-MAX(0,BJ145-SUM(AO145:AP145)))</f>
        <v/>
      </c>
      <c r="BB145" s="91">
        <f>MAX(0,AR145-MAX(0,BJ145-SUM(AO145:AQ145)))</f>
        <v/>
      </c>
      <c r="BC145" s="91">
        <f>MAX(0,AS145-MAX(0,BJ145-SUM(AO145:AR145)))</f>
        <v/>
      </c>
      <c r="BD145" s="91">
        <f>MAX(0,AT145-MAX(0,BJ145-SUM(AO145:AS145)))</f>
        <v/>
      </c>
      <c r="BE145" s="91">
        <f>MAX(0,AU145-MAX(0,BJ145-SUM(AO145:AT145)))</f>
        <v/>
      </c>
      <c r="BF145" s="91">
        <f>MAX(0,AV145-MAX(0,BJ145-SUM(AO145:AU145)))</f>
        <v/>
      </c>
      <c r="BG145" s="91">
        <f>MAX(0,AW145-MAX(0,BJ145-SUM(AO145:AV145)))</f>
        <v/>
      </c>
      <c r="BH145" s="91">
        <f>MAX(0,AX145-MAX(0,BJ145-SUM(AO145:AW145)))</f>
        <v/>
      </c>
      <c r="BI145" s="92">
        <f>SUM(AY144:BH144)+BK145</f>
        <v/>
      </c>
      <c r="BJ145" s="92">
        <f>$BJ$7-(BI145-SUM(AO145:AX145))</f>
        <v/>
      </c>
      <c r="BK145" s="91">
        <f>SUMPRODUCT(AY144:BH144,$AY$6:$BH$6)/12</f>
        <v/>
      </c>
      <c r="BL145" s="88">
        <f>SUM(AY145:BH145)</f>
        <v/>
      </c>
    </row>
    <row r="146">
      <c r="A146" s="24" t="n">
        <v>136</v>
      </c>
      <c r="B146" s="90">
        <f>DATE(YEAR(Settings!$C$11),MONTH(Settings!$C$11)+A146,1)</f>
        <v/>
      </c>
      <c r="C146" s="91">
        <f>IF(C145&lt;0.005,0,MAX(0,C145*(1+C$6/12)-C$7))</f>
        <v/>
      </c>
      <c r="D146" s="91">
        <f>IF(D145&lt;0.005,0,MAX(0,D145*(1+D$6/12)-D$7))</f>
        <v/>
      </c>
      <c r="E146" s="91">
        <f>IF(E145&lt;0.005,0,MAX(0,E145*(1+E$6/12)-E$7))</f>
        <v/>
      </c>
      <c r="F146" s="91">
        <f>IF(F145&lt;0.005,0,MAX(0,F145*(1+F$6/12)-F$7))</f>
        <v/>
      </c>
      <c r="G146" s="91">
        <f>IF(G145&lt;0.005,0,MAX(0,G145*(1+G$6/12)-G$7))</f>
        <v/>
      </c>
      <c r="H146" s="91">
        <f>IF(H145&lt;0.005,0,MAX(0,H145*(1+H$6/12)-H$7))</f>
        <v/>
      </c>
      <c r="I146" s="91">
        <f>IF(I145&lt;0.005,0,MAX(0,I145*(1+I$6/12)-I$7))</f>
        <v/>
      </c>
      <c r="J146" s="91">
        <f>IF(J145&lt;0.005,0,MAX(0,J145*(1+J$6/12)-J$7))</f>
        <v/>
      </c>
      <c r="K146" s="91">
        <f>IF(K145&lt;0.005,0,MAX(0,K145*(1+K$6/12)-K$7))</f>
        <v/>
      </c>
      <c r="L146" s="91">
        <f>IF(L145&lt;0.005,0,MAX(0,L145*(1+L$6/12)-L$7))</f>
        <v/>
      </c>
      <c r="M146" s="91">
        <f>SUMPRODUCT(C145:L145,$C$6:$L$6)/12</f>
        <v/>
      </c>
      <c r="N146" s="88">
        <f>SUM(C146:L146)</f>
        <v/>
      </c>
      <c r="P146" s="92">
        <f>IF(Z145&lt;0.005,0,MAX(0,Z145*(1+Z$6/12)-Z$7))</f>
        <v/>
      </c>
      <c r="Q146" s="92">
        <f>IF(AA145&lt;0.005,0,MAX(0,AA145*(1+AA$6/12)-AA$7))</f>
        <v/>
      </c>
      <c r="R146" s="92">
        <f>IF(AB145&lt;0.005,0,MAX(0,AB145*(1+AB$6/12)-AB$7))</f>
        <v/>
      </c>
      <c r="S146" s="92">
        <f>IF(AC145&lt;0.005,0,MAX(0,AC145*(1+AC$6/12)-AC$7))</f>
        <v/>
      </c>
      <c r="T146" s="92">
        <f>IF(AD145&lt;0.005,0,MAX(0,AD145*(1+AD$6/12)-AD$7))</f>
        <v/>
      </c>
      <c r="U146" s="92">
        <f>IF(AE145&lt;0.005,0,MAX(0,AE145*(1+AE$6/12)-AE$7))</f>
        <v/>
      </c>
      <c r="V146" s="92">
        <f>IF(AF145&lt;0.005,0,MAX(0,AF145*(1+AF$6/12)-AF$7))</f>
        <v/>
      </c>
      <c r="W146" s="92">
        <f>IF(AG145&lt;0.005,0,MAX(0,AG145*(1+AG$6/12)-AG$7))</f>
        <v/>
      </c>
      <c r="X146" s="92">
        <f>IF(AH145&lt;0.005,0,MAX(0,AH145*(1+AH$6/12)-AH$7))</f>
        <v/>
      </c>
      <c r="Y146" s="92">
        <f>IF(AI145&lt;0.005,0,MAX(0,AI145*(1+AI$6/12)-AI$7))</f>
        <v/>
      </c>
      <c r="Z146" s="91">
        <f>MAX(0,P146-MAX(0,AK146-0))</f>
        <v/>
      </c>
      <c r="AA146" s="91">
        <f>MAX(0,Q146-MAX(0,AK146-SUM(P146:P146)))</f>
        <v/>
      </c>
      <c r="AB146" s="91">
        <f>MAX(0,R146-MAX(0,AK146-SUM(P146:Q146)))</f>
        <v/>
      </c>
      <c r="AC146" s="91">
        <f>MAX(0,S146-MAX(0,AK146-SUM(P146:R146)))</f>
        <v/>
      </c>
      <c r="AD146" s="91">
        <f>MAX(0,T146-MAX(0,AK146-SUM(P146:S146)))</f>
        <v/>
      </c>
      <c r="AE146" s="91">
        <f>MAX(0,U146-MAX(0,AK146-SUM(P146:T146)))</f>
        <v/>
      </c>
      <c r="AF146" s="91">
        <f>MAX(0,V146-MAX(0,AK146-SUM(P146:U146)))</f>
        <v/>
      </c>
      <c r="AG146" s="91">
        <f>MAX(0,W146-MAX(0,AK146-SUM(P146:V146)))</f>
        <v/>
      </c>
      <c r="AH146" s="91">
        <f>MAX(0,X146-MAX(0,AK146-SUM(P146:W146)))</f>
        <v/>
      </c>
      <c r="AI146" s="91">
        <f>MAX(0,Y146-MAX(0,AK146-SUM(P146:X146)))</f>
        <v/>
      </c>
      <c r="AJ146" s="92">
        <f>SUM(Z145:AI145)+AL146</f>
        <v/>
      </c>
      <c r="AK146" s="92">
        <f>$AK$7-(AJ146-SUM(P146:Y146))</f>
        <v/>
      </c>
      <c r="AL146" s="91">
        <f>SUMPRODUCT(Z145:AI145,$Z$6:$AI$6)/12</f>
        <v/>
      </c>
      <c r="AM146" s="88">
        <f>SUM(Z146:AI146)</f>
        <v/>
      </c>
      <c r="AO146" s="92">
        <f>IF(AY145&lt;0.005,0,MAX(0,AY145*(1+AY$6/12)-AY$7))</f>
        <v/>
      </c>
      <c r="AP146" s="92">
        <f>IF(AZ145&lt;0.005,0,MAX(0,AZ145*(1+AZ$6/12)-AZ$7))</f>
        <v/>
      </c>
      <c r="AQ146" s="92">
        <f>IF(BA145&lt;0.005,0,MAX(0,BA145*(1+BA$6/12)-BA$7))</f>
        <v/>
      </c>
      <c r="AR146" s="92">
        <f>IF(BB145&lt;0.005,0,MAX(0,BB145*(1+BB$6/12)-BB$7))</f>
        <v/>
      </c>
      <c r="AS146" s="92">
        <f>IF(BC145&lt;0.005,0,MAX(0,BC145*(1+BC$6/12)-BC$7))</f>
        <v/>
      </c>
      <c r="AT146" s="92">
        <f>IF(BD145&lt;0.005,0,MAX(0,BD145*(1+BD$6/12)-BD$7))</f>
        <v/>
      </c>
      <c r="AU146" s="92">
        <f>IF(BE145&lt;0.005,0,MAX(0,BE145*(1+BE$6/12)-BE$7))</f>
        <v/>
      </c>
      <c r="AV146" s="92">
        <f>IF(BF145&lt;0.005,0,MAX(0,BF145*(1+BF$6/12)-BF$7))</f>
        <v/>
      </c>
      <c r="AW146" s="92">
        <f>IF(BG145&lt;0.005,0,MAX(0,BG145*(1+BG$6/12)-BG$7))</f>
        <v/>
      </c>
      <c r="AX146" s="92">
        <f>IF(BH145&lt;0.005,0,MAX(0,BH145*(1+BH$6/12)-BH$7))</f>
        <v/>
      </c>
      <c r="AY146" s="91">
        <f>MAX(0,AO146-MAX(0,BJ146-0))</f>
        <v/>
      </c>
      <c r="AZ146" s="91">
        <f>MAX(0,AP146-MAX(0,BJ146-SUM(AO146:AO146)))</f>
        <v/>
      </c>
      <c r="BA146" s="91">
        <f>MAX(0,AQ146-MAX(0,BJ146-SUM(AO146:AP146)))</f>
        <v/>
      </c>
      <c r="BB146" s="91">
        <f>MAX(0,AR146-MAX(0,BJ146-SUM(AO146:AQ146)))</f>
        <v/>
      </c>
      <c r="BC146" s="91">
        <f>MAX(0,AS146-MAX(0,BJ146-SUM(AO146:AR146)))</f>
        <v/>
      </c>
      <c r="BD146" s="91">
        <f>MAX(0,AT146-MAX(0,BJ146-SUM(AO146:AS146)))</f>
        <v/>
      </c>
      <c r="BE146" s="91">
        <f>MAX(0,AU146-MAX(0,BJ146-SUM(AO146:AT146)))</f>
        <v/>
      </c>
      <c r="BF146" s="91">
        <f>MAX(0,AV146-MAX(0,BJ146-SUM(AO146:AU146)))</f>
        <v/>
      </c>
      <c r="BG146" s="91">
        <f>MAX(0,AW146-MAX(0,BJ146-SUM(AO146:AV146)))</f>
        <v/>
      </c>
      <c r="BH146" s="91">
        <f>MAX(0,AX146-MAX(0,BJ146-SUM(AO146:AW146)))</f>
        <v/>
      </c>
      <c r="BI146" s="92">
        <f>SUM(AY145:BH145)+BK146</f>
        <v/>
      </c>
      <c r="BJ146" s="92">
        <f>$BJ$7-(BI146-SUM(AO146:AX146))</f>
        <v/>
      </c>
      <c r="BK146" s="91">
        <f>SUMPRODUCT(AY145:BH145,$AY$6:$BH$6)/12</f>
        <v/>
      </c>
      <c r="BL146" s="88">
        <f>SUM(AY146:BH146)</f>
        <v/>
      </c>
    </row>
    <row r="147">
      <c r="A147" s="24" t="n">
        <v>137</v>
      </c>
      <c r="B147" s="90">
        <f>DATE(YEAR(Settings!$C$11),MONTH(Settings!$C$11)+A147,1)</f>
        <v/>
      </c>
      <c r="C147" s="91">
        <f>IF(C146&lt;0.005,0,MAX(0,C146*(1+C$6/12)-C$7))</f>
        <v/>
      </c>
      <c r="D147" s="91">
        <f>IF(D146&lt;0.005,0,MAX(0,D146*(1+D$6/12)-D$7))</f>
        <v/>
      </c>
      <c r="E147" s="91">
        <f>IF(E146&lt;0.005,0,MAX(0,E146*(1+E$6/12)-E$7))</f>
        <v/>
      </c>
      <c r="F147" s="91">
        <f>IF(F146&lt;0.005,0,MAX(0,F146*(1+F$6/12)-F$7))</f>
        <v/>
      </c>
      <c r="G147" s="91">
        <f>IF(G146&lt;0.005,0,MAX(0,G146*(1+G$6/12)-G$7))</f>
        <v/>
      </c>
      <c r="H147" s="91">
        <f>IF(H146&lt;0.005,0,MAX(0,H146*(1+H$6/12)-H$7))</f>
        <v/>
      </c>
      <c r="I147" s="91">
        <f>IF(I146&lt;0.005,0,MAX(0,I146*(1+I$6/12)-I$7))</f>
        <v/>
      </c>
      <c r="J147" s="91">
        <f>IF(J146&lt;0.005,0,MAX(0,J146*(1+J$6/12)-J$7))</f>
        <v/>
      </c>
      <c r="K147" s="91">
        <f>IF(K146&lt;0.005,0,MAX(0,K146*(1+K$6/12)-K$7))</f>
        <v/>
      </c>
      <c r="L147" s="91">
        <f>IF(L146&lt;0.005,0,MAX(0,L146*(1+L$6/12)-L$7))</f>
        <v/>
      </c>
      <c r="M147" s="91">
        <f>SUMPRODUCT(C146:L146,$C$6:$L$6)/12</f>
        <v/>
      </c>
      <c r="N147" s="88">
        <f>SUM(C147:L147)</f>
        <v/>
      </c>
      <c r="P147" s="92">
        <f>IF(Z146&lt;0.005,0,MAX(0,Z146*(1+Z$6/12)-Z$7))</f>
        <v/>
      </c>
      <c r="Q147" s="92">
        <f>IF(AA146&lt;0.005,0,MAX(0,AA146*(1+AA$6/12)-AA$7))</f>
        <v/>
      </c>
      <c r="R147" s="92">
        <f>IF(AB146&lt;0.005,0,MAX(0,AB146*(1+AB$6/12)-AB$7))</f>
        <v/>
      </c>
      <c r="S147" s="92">
        <f>IF(AC146&lt;0.005,0,MAX(0,AC146*(1+AC$6/12)-AC$7))</f>
        <v/>
      </c>
      <c r="T147" s="92">
        <f>IF(AD146&lt;0.005,0,MAX(0,AD146*(1+AD$6/12)-AD$7))</f>
        <v/>
      </c>
      <c r="U147" s="92">
        <f>IF(AE146&lt;0.005,0,MAX(0,AE146*(1+AE$6/12)-AE$7))</f>
        <v/>
      </c>
      <c r="V147" s="92">
        <f>IF(AF146&lt;0.005,0,MAX(0,AF146*(1+AF$6/12)-AF$7))</f>
        <v/>
      </c>
      <c r="W147" s="92">
        <f>IF(AG146&lt;0.005,0,MAX(0,AG146*(1+AG$6/12)-AG$7))</f>
        <v/>
      </c>
      <c r="X147" s="92">
        <f>IF(AH146&lt;0.005,0,MAX(0,AH146*(1+AH$6/12)-AH$7))</f>
        <v/>
      </c>
      <c r="Y147" s="92">
        <f>IF(AI146&lt;0.005,0,MAX(0,AI146*(1+AI$6/12)-AI$7))</f>
        <v/>
      </c>
      <c r="Z147" s="91">
        <f>MAX(0,P147-MAX(0,AK147-0))</f>
        <v/>
      </c>
      <c r="AA147" s="91">
        <f>MAX(0,Q147-MAX(0,AK147-SUM(P147:P147)))</f>
        <v/>
      </c>
      <c r="AB147" s="91">
        <f>MAX(0,R147-MAX(0,AK147-SUM(P147:Q147)))</f>
        <v/>
      </c>
      <c r="AC147" s="91">
        <f>MAX(0,S147-MAX(0,AK147-SUM(P147:R147)))</f>
        <v/>
      </c>
      <c r="AD147" s="91">
        <f>MAX(0,T147-MAX(0,AK147-SUM(P147:S147)))</f>
        <v/>
      </c>
      <c r="AE147" s="91">
        <f>MAX(0,U147-MAX(0,AK147-SUM(P147:T147)))</f>
        <v/>
      </c>
      <c r="AF147" s="91">
        <f>MAX(0,V147-MAX(0,AK147-SUM(P147:U147)))</f>
        <v/>
      </c>
      <c r="AG147" s="91">
        <f>MAX(0,W147-MAX(0,AK147-SUM(P147:V147)))</f>
        <v/>
      </c>
      <c r="AH147" s="91">
        <f>MAX(0,X147-MAX(0,AK147-SUM(P147:W147)))</f>
        <v/>
      </c>
      <c r="AI147" s="91">
        <f>MAX(0,Y147-MAX(0,AK147-SUM(P147:X147)))</f>
        <v/>
      </c>
      <c r="AJ147" s="92">
        <f>SUM(Z146:AI146)+AL147</f>
        <v/>
      </c>
      <c r="AK147" s="92">
        <f>$AK$7-(AJ147-SUM(P147:Y147))</f>
        <v/>
      </c>
      <c r="AL147" s="91">
        <f>SUMPRODUCT(Z146:AI146,$Z$6:$AI$6)/12</f>
        <v/>
      </c>
      <c r="AM147" s="88">
        <f>SUM(Z147:AI147)</f>
        <v/>
      </c>
      <c r="AO147" s="92">
        <f>IF(AY146&lt;0.005,0,MAX(0,AY146*(1+AY$6/12)-AY$7))</f>
        <v/>
      </c>
      <c r="AP147" s="92">
        <f>IF(AZ146&lt;0.005,0,MAX(0,AZ146*(1+AZ$6/12)-AZ$7))</f>
        <v/>
      </c>
      <c r="AQ147" s="92">
        <f>IF(BA146&lt;0.005,0,MAX(0,BA146*(1+BA$6/12)-BA$7))</f>
        <v/>
      </c>
      <c r="AR147" s="92">
        <f>IF(BB146&lt;0.005,0,MAX(0,BB146*(1+BB$6/12)-BB$7))</f>
        <v/>
      </c>
      <c r="AS147" s="92">
        <f>IF(BC146&lt;0.005,0,MAX(0,BC146*(1+BC$6/12)-BC$7))</f>
        <v/>
      </c>
      <c r="AT147" s="92">
        <f>IF(BD146&lt;0.005,0,MAX(0,BD146*(1+BD$6/12)-BD$7))</f>
        <v/>
      </c>
      <c r="AU147" s="92">
        <f>IF(BE146&lt;0.005,0,MAX(0,BE146*(1+BE$6/12)-BE$7))</f>
        <v/>
      </c>
      <c r="AV147" s="92">
        <f>IF(BF146&lt;0.005,0,MAX(0,BF146*(1+BF$6/12)-BF$7))</f>
        <v/>
      </c>
      <c r="AW147" s="92">
        <f>IF(BG146&lt;0.005,0,MAX(0,BG146*(1+BG$6/12)-BG$7))</f>
        <v/>
      </c>
      <c r="AX147" s="92">
        <f>IF(BH146&lt;0.005,0,MAX(0,BH146*(1+BH$6/12)-BH$7))</f>
        <v/>
      </c>
      <c r="AY147" s="91">
        <f>MAX(0,AO147-MAX(0,BJ147-0))</f>
        <v/>
      </c>
      <c r="AZ147" s="91">
        <f>MAX(0,AP147-MAX(0,BJ147-SUM(AO147:AO147)))</f>
        <v/>
      </c>
      <c r="BA147" s="91">
        <f>MAX(0,AQ147-MAX(0,BJ147-SUM(AO147:AP147)))</f>
        <v/>
      </c>
      <c r="BB147" s="91">
        <f>MAX(0,AR147-MAX(0,BJ147-SUM(AO147:AQ147)))</f>
        <v/>
      </c>
      <c r="BC147" s="91">
        <f>MAX(0,AS147-MAX(0,BJ147-SUM(AO147:AR147)))</f>
        <v/>
      </c>
      <c r="BD147" s="91">
        <f>MAX(0,AT147-MAX(0,BJ147-SUM(AO147:AS147)))</f>
        <v/>
      </c>
      <c r="BE147" s="91">
        <f>MAX(0,AU147-MAX(0,BJ147-SUM(AO147:AT147)))</f>
        <v/>
      </c>
      <c r="BF147" s="91">
        <f>MAX(0,AV147-MAX(0,BJ147-SUM(AO147:AU147)))</f>
        <v/>
      </c>
      <c r="BG147" s="91">
        <f>MAX(0,AW147-MAX(0,BJ147-SUM(AO147:AV147)))</f>
        <v/>
      </c>
      <c r="BH147" s="91">
        <f>MAX(0,AX147-MAX(0,BJ147-SUM(AO147:AW147)))</f>
        <v/>
      </c>
      <c r="BI147" s="92">
        <f>SUM(AY146:BH146)+BK147</f>
        <v/>
      </c>
      <c r="BJ147" s="92">
        <f>$BJ$7-(BI147-SUM(AO147:AX147))</f>
        <v/>
      </c>
      <c r="BK147" s="91">
        <f>SUMPRODUCT(AY146:BH146,$AY$6:$BH$6)/12</f>
        <v/>
      </c>
      <c r="BL147" s="88">
        <f>SUM(AY147:BH147)</f>
        <v/>
      </c>
    </row>
    <row r="148">
      <c r="A148" s="24" t="n">
        <v>138</v>
      </c>
      <c r="B148" s="90">
        <f>DATE(YEAR(Settings!$C$11),MONTH(Settings!$C$11)+A148,1)</f>
        <v/>
      </c>
      <c r="C148" s="91">
        <f>IF(C147&lt;0.005,0,MAX(0,C147*(1+C$6/12)-C$7))</f>
        <v/>
      </c>
      <c r="D148" s="91">
        <f>IF(D147&lt;0.005,0,MAX(0,D147*(1+D$6/12)-D$7))</f>
        <v/>
      </c>
      <c r="E148" s="91">
        <f>IF(E147&lt;0.005,0,MAX(0,E147*(1+E$6/12)-E$7))</f>
        <v/>
      </c>
      <c r="F148" s="91">
        <f>IF(F147&lt;0.005,0,MAX(0,F147*(1+F$6/12)-F$7))</f>
        <v/>
      </c>
      <c r="G148" s="91">
        <f>IF(G147&lt;0.005,0,MAX(0,G147*(1+G$6/12)-G$7))</f>
        <v/>
      </c>
      <c r="H148" s="91">
        <f>IF(H147&lt;0.005,0,MAX(0,H147*(1+H$6/12)-H$7))</f>
        <v/>
      </c>
      <c r="I148" s="91">
        <f>IF(I147&lt;0.005,0,MAX(0,I147*(1+I$6/12)-I$7))</f>
        <v/>
      </c>
      <c r="J148" s="91">
        <f>IF(J147&lt;0.005,0,MAX(0,J147*(1+J$6/12)-J$7))</f>
        <v/>
      </c>
      <c r="K148" s="91">
        <f>IF(K147&lt;0.005,0,MAX(0,K147*(1+K$6/12)-K$7))</f>
        <v/>
      </c>
      <c r="L148" s="91">
        <f>IF(L147&lt;0.005,0,MAX(0,L147*(1+L$6/12)-L$7))</f>
        <v/>
      </c>
      <c r="M148" s="91">
        <f>SUMPRODUCT(C147:L147,$C$6:$L$6)/12</f>
        <v/>
      </c>
      <c r="N148" s="88">
        <f>SUM(C148:L148)</f>
        <v/>
      </c>
      <c r="P148" s="92">
        <f>IF(Z147&lt;0.005,0,MAX(0,Z147*(1+Z$6/12)-Z$7))</f>
        <v/>
      </c>
      <c r="Q148" s="92">
        <f>IF(AA147&lt;0.005,0,MAX(0,AA147*(1+AA$6/12)-AA$7))</f>
        <v/>
      </c>
      <c r="R148" s="92">
        <f>IF(AB147&lt;0.005,0,MAX(0,AB147*(1+AB$6/12)-AB$7))</f>
        <v/>
      </c>
      <c r="S148" s="92">
        <f>IF(AC147&lt;0.005,0,MAX(0,AC147*(1+AC$6/12)-AC$7))</f>
        <v/>
      </c>
      <c r="T148" s="92">
        <f>IF(AD147&lt;0.005,0,MAX(0,AD147*(1+AD$6/12)-AD$7))</f>
        <v/>
      </c>
      <c r="U148" s="92">
        <f>IF(AE147&lt;0.005,0,MAX(0,AE147*(1+AE$6/12)-AE$7))</f>
        <v/>
      </c>
      <c r="V148" s="92">
        <f>IF(AF147&lt;0.005,0,MAX(0,AF147*(1+AF$6/12)-AF$7))</f>
        <v/>
      </c>
      <c r="W148" s="92">
        <f>IF(AG147&lt;0.005,0,MAX(0,AG147*(1+AG$6/12)-AG$7))</f>
        <v/>
      </c>
      <c r="X148" s="92">
        <f>IF(AH147&lt;0.005,0,MAX(0,AH147*(1+AH$6/12)-AH$7))</f>
        <v/>
      </c>
      <c r="Y148" s="92">
        <f>IF(AI147&lt;0.005,0,MAX(0,AI147*(1+AI$6/12)-AI$7))</f>
        <v/>
      </c>
      <c r="Z148" s="91">
        <f>MAX(0,P148-MAX(0,AK148-0))</f>
        <v/>
      </c>
      <c r="AA148" s="91">
        <f>MAX(0,Q148-MAX(0,AK148-SUM(P148:P148)))</f>
        <v/>
      </c>
      <c r="AB148" s="91">
        <f>MAX(0,R148-MAX(0,AK148-SUM(P148:Q148)))</f>
        <v/>
      </c>
      <c r="AC148" s="91">
        <f>MAX(0,S148-MAX(0,AK148-SUM(P148:R148)))</f>
        <v/>
      </c>
      <c r="AD148" s="91">
        <f>MAX(0,T148-MAX(0,AK148-SUM(P148:S148)))</f>
        <v/>
      </c>
      <c r="AE148" s="91">
        <f>MAX(0,U148-MAX(0,AK148-SUM(P148:T148)))</f>
        <v/>
      </c>
      <c r="AF148" s="91">
        <f>MAX(0,V148-MAX(0,AK148-SUM(P148:U148)))</f>
        <v/>
      </c>
      <c r="AG148" s="91">
        <f>MAX(0,W148-MAX(0,AK148-SUM(P148:V148)))</f>
        <v/>
      </c>
      <c r="AH148" s="91">
        <f>MAX(0,X148-MAX(0,AK148-SUM(P148:W148)))</f>
        <v/>
      </c>
      <c r="AI148" s="91">
        <f>MAX(0,Y148-MAX(0,AK148-SUM(P148:X148)))</f>
        <v/>
      </c>
      <c r="AJ148" s="92">
        <f>SUM(Z147:AI147)+AL148</f>
        <v/>
      </c>
      <c r="AK148" s="92">
        <f>$AK$7-(AJ148-SUM(P148:Y148))</f>
        <v/>
      </c>
      <c r="AL148" s="91">
        <f>SUMPRODUCT(Z147:AI147,$Z$6:$AI$6)/12</f>
        <v/>
      </c>
      <c r="AM148" s="88">
        <f>SUM(Z148:AI148)</f>
        <v/>
      </c>
      <c r="AO148" s="92">
        <f>IF(AY147&lt;0.005,0,MAX(0,AY147*(1+AY$6/12)-AY$7))</f>
        <v/>
      </c>
      <c r="AP148" s="92">
        <f>IF(AZ147&lt;0.005,0,MAX(0,AZ147*(1+AZ$6/12)-AZ$7))</f>
        <v/>
      </c>
      <c r="AQ148" s="92">
        <f>IF(BA147&lt;0.005,0,MAX(0,BA147*(1+BA$6/12)-BA$7))</f>
        <v/>
      </c>
      <c r="AR148" s="92">
        <f>IF(BB147&lt;0.005,0,MAX(0,BB147*(1+BB$6/12)-BB$7))</f>
        <v/>
      </c>
      <c r="AS148" s="92">
        <f>IF(BC147&lt;0.005,0,MAX(0,BC147*(1+BC$6/12)-BC$7))</f>
        <v/>
      </c>
      <c r="AT148" s="92">
        <f>IF(BD147&lt;0.005,0,MAX(0,BD147*(1+BD$6/12)-BD$7))</f>
        <v/>
      </c>
      <c r="AU148" s="92">
        <f>IF(BE147&lt;0.005,0,MAX(0,BE147*(1+BE$6/12)-BE$7))</f>
        <v/>
      </c>
      <c r="AV148" s="92">
        <f>IF(BF147&lt;0.005,0,MAX(0,BF147*(1+BF$6/12)-BF$7))</f>
        <v/>
      </c>
      <c r="AW148" s="92">
        <f>IF(BG147&lt;0.005,0,MAX(0,BG147*(1+BG$6/12)-BG$7))</f>
        <v/>
      </c>
      <c r="AX148" s="92">
        <f>IF(BH147&lt;0.005,0,MAX(0,BH147*(1+BH$6/12)-BH$7))</f>
        <v/>
      </c>
      <c r="AY148" s="91">
        <f>MAX(0,AO148-MAX(0,BJ148-0))</f>
        <v/>
      </c>
      <c r="AZ148" s="91">
        <f>MAX(0,AP148-MAX(0,BJ148-SUM(AO148:AO148)))</f>
        <v/>
      </c>
      <c r="BA148" s="91">
        <f>MAX(0,AQ148-MAX(0,BJ148-SUM(AO148:AP148)))</f>
        <v/>
      </c>
      <c r="BB148" s="91">
        <f>MAX(0,AR148-MAX(0,BJ148-SUM(AO148:AQ148)))</f>
        <v/>
      </c>
      <c r="BC148" s="91">
        <f>MAX(0,AS148-MAX(0,BJ148-SUM(AO148:AR148)))</f>
        <v/>
      </c>
      <c r="BD148" s="91">
        <f>MAX(0,AT148-MAX(0,BJ148-SUM(AO148:AS148)))</f>
        <v/>
      </c>
      <c r="BE148" s="91">
        <f>MAX(0,AU148-MAX(0,BJ148-SUM(AO148:AT148)))</f>
        <v/>
      </c>
      <c r="BF148" s="91">
        <f>MAX(0,AV148-MAX(0,BJ148-SUM(AO148:AU148)))</f>
        <v/>
      </c>
      <c r="BG148" s="91">
        <f>MAX(0,AW148-MAX(0,BJ148-SUM(AO148:AV148)))</f>
        <v/>
      </c>
      <c r="BH148" s="91">
        <f>MAX(0,AX148-MAX(0,BJ148-SUM(AO148:AW148)))</f>
        <v/>
      </c>
      <c r="BI148" s="92">
        <f>SUM(AY147:BH147)+BK148</f>
        <v/>
      </c>
      <c r="BJ148" s="92">
        <f>$BJ$7-(BI148-SUM(AO148:AX148))</f>
        <v/>
      </c>
      <c r="BK148" s="91">
        <f>SUMPRODUCT(AY147:BH147,$AY$6:$BH$6)/12</f>
        <v/>
      </c>
      <c r="BL148" s="88">
        <f>SUM(AY148:BH148)</f>
        <v/>
      </c>
    </row>
    <row r="149">
      <c r="A149" s="24" t="n">
        <v>139</v>
      </c>
      <c r="B149" s="90">
        <f>DATE(YEAR(Settings!$C$11),MONTH(Settings!$C$11)+A149,1)</f>
        <v/>
      </c>
      <c r="C149" s="91">
        <f>IF(C148&lt;0.005,0,MAX(0,C148*(1+C$6/12)-C$7))</f>
        <v/>
      </c>
      <c r="D149" s="91">
        <f>IF(D148&lt;0.005,0,MAX(0,D148*(1+D$6/12)-D$7))</f>
        <v/>
      </c>
      <c r="E149" s="91">
        <f>IF(E148&lt;0.005,0,MAX(0,E148*(1+E$6/12)-E$7))</f>
        <v/>
      </c>
      <c r="F149" s="91">
        <f>IF(F148&lt;0.005,0,MAX(0,F148*(1+F$6/12)-F$7))</f>
        <v/>
      </c>
      <c r="G149" s="91">
        <f>IF(G148&lt;0.005,0,MAX(0,G148*(1+G$6/12)-G$7))</f>
        <v/>
      </c>
      <c r="H149" s="91">
        <f>IF(H148&lt;0.005,0,MAX(0,H148*(1+H$6/12)-H$7))</f>
        <v/>
      </c>
      <c r="I149" s="91">
        <f>IF(I148&lt;0.005,0,MAX(0,I148*(1+I$6/12)-I$7))</f>
        <v/>
      </c>
      <c r="J149" s="91">
        <f>IF(J148&lt;0.005,0,MAX(0,J148*(1+J$6/12)-J$7))</f>
        <v/>
      </c>
      <c r="K149" s="91">
        <f>IF(K148&lt;0.005,0,MAX(0,K148*(1+K$6/12)-K$7))</f>
        <v/>
      </c>
      <c r="L149" s="91">
        <f>IF(L148&lt;0.005,0,MAX(0,L148*(1+L$6/12)-L$7))</f>
        <v/>
      </c>
      <c r="M149" s="91">
        <f>SUMPRODUCT(C148:L148,$C$6:$L$6)/12</f>
        <v/>
      </c>
      <c r="N149" s="88">
        <f>SUM(C149:L149)</f>
        <v/>
      </c>
      <c r="P149" s="92">
        <f>IF(Z148&lt;0.005,0,MAX(0,Z148*(1+Z$6/12)-Z$7))</f>
        <v/>
      </c>
      <c r="Q149" s="92">
        <f>IF(AA148&lt;0.005,0,MAX(0,AA148*(1+AA$6/12)-AA$7))</f>
        <v/>
      </c>
      <c r="R149" s="92">
        <f>IF(AB148&lt;0.005,0,MAX(0,AB148*(1+AB$6/12)-AB$7))</f>
        <v/>
      </c>
      <c r="S149" s="92">
        <f>IF(AC148&lt;0.005,0,MAX(0,AC148*(1+AC$6/12)-AC$7))</f>
        <v/>
      </c>
      <c r="T149" s="92">
        <f>IF(AD148&lt;0.005,0,MAX(0,AD148*(1+AD$6/12)-AD$7))</f>
        <v/>
      </c>
      <c r="U149" s="92">
        <f>IF(AE148&lt;0.005,0,MAX(0,AE148*(1+AE$6/12)-AE$7))</f>
        <v/>
      </c>
      <c r="V149" s="92">
        <f>IF(AF148&lt;0.005,0,MAX(0,AF148*(1+AF$6/12)-AF$7))</f>
        <v/>
      </c>
      <c r="W149" s="92">
        <f>IF(AG148&lt;0.005,0,MAX(0,AG148*(1+AG$6/12)-AG$7))</f>
        <v/>
      </c>
      <c r="X149" s="92">
        <f>IF(AH148&lt;0.005,0,MAX(0,AH148*(1+AH$6/12)-AH$7))</f>
        <v/>
      </c>
      <c r="Y149" s="92">
        <f>IF(AI148&lt;0.005,0,MAX(0,AI148*(1+AI$6/12)-AI$7))</f>
        <v/>
      </c>
      <c r="Z149" s="91">
        <f>MAX(0,P149-MAX(0,AK149-0))</f>
        <v/>
      </c>
      <c r="AA149" s="91">
        <f>MAX(0,Q149-MAX(0,AK149-SUM(P149:P149)))</f>
        <v/>
      </c>
      <c r="AB149" s="91">
        <f>MAX(0,R149-MAX(0,AK149-SUM(P149:Q149)))</f>
        <v/>
      </c>
      <c r="AC149" s="91">
        <f>MAX(0,S149-MAX(0,AK149-SUM(P149:R149)))</f>
        <v/>
      </c>
      <c r="AD149" s="91">
        <f>MAX(0,T149-MAX(0,AK149-SUM(P149:S149)))</f>
        <v/>
      </c>
      <c r="AE149" s="91">
        <f>MAX(0,U149-MAX(0,AK149-SUM(P149:T149)))</f>
        <v/>
      </c>
      <c r="AF149" s="91">
        <f>MAX(0,V149-MAX(0,AK149-SUM(P149:U149)))</f>
        <v/>
      </c>
      <c r="AG149" s="91">
        <f>MAX(0,W149-MAX(0,AK149-SUM(P149:V149)))</f>
        <v/>
      </c>
      <c r="AH149" s="91">
        <f>MAX(0,X149-MAX(0,AK149-SUM(P149:W149)))</f>
        <v/>
      </c>
      <c r="AI149" s="91">
        <f>MAX(0,Y149-MAX(0,AK149-SUM(P149:X149)))</f>
        <v/>
      </c>
      <c r="AJ149" s="92">
        <f>SUM(Z148:AI148)+AL149</f>
        <v/>
      </c>
      <c r="AK149" s="92">
        <f>$AK$7-(AJ149-SUM(P149:Y149))</f>
        <v/>
      </c>
      <c r="AL149" s="91">
        <f>SUMPRODUCT(Z148:AI148,$Z$6:$AI$6)/12</f>
        <v/>
      </c>
      <c r="AM149" s="88">
        <f>SUM(Z149:AI149)</f>
        <v/>
      </c>
      <c r="AO149" s="92">
        <f>IF(AY148&lt;0.005,0,MAX(0,AY148*(1+AY$6/12)-AY$7))</f>
        <v/>
      </c>
      <c r="AP149" s="92">
        <f>IF(AZ148&lt;0.005,0,MAX(0,AZ148*(1+AZ$6/12)-AZ$7))</f>
        <v/>
      </c>
      <c r="AQ149" s="92">
        <f>IF(BA148&lt;0.005,0,MAX(0,BA148*(1+BA$6/12)-BA$7))</f>
        <v/>
      </c>
      <c r="AR149" s="92">
        <f>IF(BB148&lt;0.005,0,MAX(0,BB148*(1+BB$6/12)-BB$7))</f>
        <v/>
      </c>
      <c r="AS149" s="92">
        <f>IF(BC148&lt;0.005,0,MAX(0,BC148*(1+BC$6/12)-BC$7))</f>
        <v/>
      </c>
      <c r="AT149" s="92">
        <f>IF(BD148&lt;0.005,0,MAX(0,BD148*(1+BD$6/12)-BD$7))</f>
        <v/>
      </c>
      <c r="AU149" s="92">
        <f>IF(BE148&lt;0.005,0,MAX(0,BE148*(1+BE$6/12)-BE$7))</f>
        <v/>
      </c>
      <c r="AV149" s="92">
        <f>IF(BF148&lt;0.005,0,MAX(0,BF148*(1+BF$6/12)-BF$7))</f>
        <v/>
      </c>
      <c r="AW149" s="92">
        <f>IF(BG148&lt;0.005,0,MAX(0,BG148*(1+BG$6/12)-BG$7))</f>
        <v/>
      </c>
      <c r="AX149" s="92">
        <f>IF(BH148&lt;0.005,0,MAX(0,BH148*(1+BH$6/12)-BH$7))</f>
        <v/>
      </c>
      <c r="AY149" s="91">
        <f>MAX(0,AO149-MAX(0,BJ149-0))</f>
        <v/>
      </c>
      <c r="AZ149" s="91">
        <f>MAX(0,AP149-MAX(0,BJ149-SUM(AO149:AO149)))</f>
        <v/>
      </c>
      <c r="BA149" s="91">
        <f>MAX(0,AQ149-MAX(0,BJ149-SUM(AO149:AP149)))</f>
        <v/>
      </c>
      <c r="BB149" s="91">
        <f>MAX(0,AR149-MAX(0,BJ149-SUM(AO149:AQ149)))</f>
        <v/>
      </c>
      <c r="BC149" s="91">
        <f>MAX(0,AS149-MAX(0,BJ149-SUM(AO149:AR149)))</f>
        <v/>
      </c>
      <c r="BD149" s="91">
        <f>MAX(0,AT149-MAX(0,BJ149-SUM(AO149:AS149)))</f>
        <v/>
      </c>
      <c r="BE149" s="91">
        <f>MAX(0,AU149-MAX(0,BJ149-SUM(AO149:AT149)))</f>
        <v/>
      </c>
      <c r="BF149" s="91">
        <f>MAX(0,AV149-MAX(0,BJ149-SUM(AO149:AU149)))</f>
        <v/>
      </c>
      <c r="BG149" s="91">
        <f>MAX(0,AW149-MAX(0,BJ149-SUM(AO149:AV149)))</f>
        <v/>
      </c>
      <c r="BH149" s="91">
        <f>MAX(0,AX149-MAX(0,BJ149-SUM(AO149:AW149)))</f>
        <v/>
      </c>
      <c r="BI149" s="92">
        <f>SUM(AY148:BH148)+BK149</f>
        <v/>
      </c>
      <c r="BJ149" s="92">
        <f>$BJ$7-(BI149-SUM(AO149:AX149))</f>
        <v/>
      </c>
      <c r="BK149" s="91">
        <f>SUMPRODUCT(AY148:BH148,$AY$6:$BH$6)/12</f>
        <v/>
      </c>
      <c r="BL149" s="88">
        <f>SUM(AY149:BH149)</f>
        <v/>
      </c>
    </row>
    <row r="150">
      <c r="A150" s="24" t="n">
        <v>140</v>
      </c>
      <c r="B150" s="90">
        <f>DATE(YEAR(Settings!$C$11),MONTH(Settings!$C$11)+A150,1)</f>
        <v/>
      </c>
      <c r="C150" s="91">
        <f>IF(C149&lt;0.005,0,MAX(0,C149*(1+C$6/12)-C$7))</f>
        <v/>
      </c>
      <c r="D150" s="91">
        <f>IF(D149&lt;0.005,0,MAX(0,D149*(1+D$6/12)-D$7))</f>
        <v/>
      </c>
      <c r="E150" s="91">
        <f>IF(E149&lt;0.005,0,MAX(0,E149*(1+E$6/12)-E$7))</f>
        <v/>
      </c>
      <c r="F150" s="91">
        <f>IF(F149&lt;0.005,0,MAX(0,F149*(1+F$6/12)-F$7))</f>
        <v/>
      </c>
      <c r="G150" s="91">
        <f>IF(G149&lt;0.005,0,MAX(0,G149*(1+G$6/12)-G$7))</f>
        <v/>
      </c>
      <c r="H150" s="91">
        <f>IF(H149&lt;0.005,0,MAX(0,H149*(1+H$6/12)-H$7))</f>
        <v/>
      </c>
      <c r="I150" s="91">
        <f>IF(I149&lt;0.005,0,MAX(0,I149*(1+I$6/12)-I$7))</f>
        <v/>
      </c>
      <c r="J150" s="91">
        <f>IF(J149&lt;0.005,0,MAX(0,J149*(1+J$6/12)-J$7))</f>
        <v/>
      </c>
      <c r="K150" s="91">
        <f>IF(K149&lt;0.005,0,MAX(0,K149*(1+K$6/12)-K$7))</f>
        <v/>
      </c>
      <c r="L150" s="91">
        <f>IF(L149&lt;0.005,0,MAX(0,L149*(1+L$6/12)-L$7))</f>
        <v/>
      </c>
      <c r="M150" s="91">
        <f>SUMPRODUCT(C149:L149,$C$6:$L$6)/12</f>
        <v/>
      </c>
      <c r="N150" s="88">
        <f>SUM(C150:L150)</f>
        <v/>
      </c>
      <c r="P150" s="92">
        <f>IF(Z149&lt;0.005,0,MAX(0,Z149*(1+Z$6/12)-Z$7))</f>
        <v/>
      </c>
      <c r="Q150" s="92">
        <f>IF(AA149&lt;0.005,0,MAX(0,AA149*(1+AA$6/12)-AA$7))</f>
        <v/>
      </c>
      <c r="R150" s="92">
        <f>IF(AB149&lt;0.005,0,MAX(0,AB149*(1+AB$6/12)-AB$7))</f>
        <v/>
      </c>
      <c r="S150" s="92">
        <f>IF(AC149&lt;0.005,0,MAX(0,AC149*(1+AC$6/12)-AC$7))</f>
        <v/>
      </c>
      <c r="T150" s="92">
        <f>IF(AD149&lt;0.005,0,MAX(0,AD149*(1+AD$6/12)-AD$7))</f>
        <v/>
      </c>
      <c r="U150" s="92">
        <f>IF(AE149&lt;0.005,0,MAX(0,AE149*(1+AE$6/12)-AE$7))</f>
        <v/>
      </c>
      <c r="V150" s="92">
        <f>IF(AF149&lt;0.005,0,MAX(0,AF149*(1+AF$6/12)-AF$7))</f>
        <v/>
      </c>
      <c r="W150" s="92">
        <f>IF(AG149&lt;0.005,0,MAX(0,AG149*(1+AG$6/12)-AG$7))</f>
        <v/>
      </c>
      <c r="X150" s="92">
        <f>IF(AH149&lt;0.005,0,MAX(0,AH149*(1+AH$6/12)-AH$7))</f>
        <v/>
      </c>
      <c r="Y150" s="92">
        <f>IF(AI149&lt;0.005,0,MAX(0,AI149*(1+AI$6/12)-AI$7))</f>
        <v/>
      </c>
      <c r="Z150" s="91">
        <f>MAX(0,P150-MAX(0,AK150-0))</f>
        <v/>
      </c>
      <c r="AA150" s="91">
        <f>MAX(0,Q150-MAX(0,AK150-SUM(P150:P150)))</f>
        <v/>
      </c>
      <c r="AB150" s="91">
        <f>MAX(0,R150-MAX(0,AK150-SUM(P150:Q150)))</f>
        <v/>
      </c>
      <c r="AC150" s="91">
        <f>MAX(0,S150-MAX(0,AK150-SUM(P150:R150)))</f>
        <v/>
      </c>
      <c r="AD150" s="91">
        <f>MAX(0,T150-MAX(0,AK150-SUM(P150:S150)))</f>
        <v/>
      </c>
      <c r="AE150" s="91">
        <f>MAX(0,U150-MAX(0,AK150-SUM(P150:T150)))</f>
        <v/>
      </c>
      <c r="AF150" s="91">
        <f>MAX(0,V150-MAX(0,AK150-SUM(P150:U150)))</f>
        <v/>
      </c>
      <c r="AG150" s="91">
        <f>MAX(0,W150-MAX(0,AK150-SUM(P150:V150)))</f>
        <v/>
      </c>
      <c r="AH150" s="91">
        <f>MAX(0,X150-MAX(0,AK150-SUM(P150:W150)))</f>
        <v/>
      </c>
      <c r="AI150" s="91">
        <f>MAX(0,Y150-MAX(0,AK150-SUM(P150:X150)))</f>
        <v/>
      </c>
      <c r="AJ150" s="92">
        <f>SUM(Z149:AI149)+AL150</f>
        <v/>
      </c>
      <c r="AK150" s="92">
        <f>$AK$7-(AJ150-SUM(P150:Y150))</f>
        <v/>
      </c>
      <c r="AL150" s="91">
        <f>SUMPRODUCT(Z149:AI149,$Z$6:$AI$6)/12</f>
        <v/>
      </c>
      <c r="AM150" s="88">
        <f>SUM(Z150:AI150)</f>
        <v/>
      </c>
      <c r="AO150" s="92">
        <f>IF(AY149&lt;0.005,0,MAX(0,AY149*(1+AY$6/12)-AY$7))</f>
        <v/>
      </c>
      <c r="AP150" s="92">
        <f>IF(AZ149&lt;0.005,0,MAX(0,AZ149*(1+AZ$6/12)-AZ$7))</f>
        <v/>
      </c>
      <c r="AQ150" s="92">
        <f>IF(BA149&lt;0.005,0,MAX(0,BA149*(1+BA$6/12)-BA$7))</f>
        <v/>
      </c>
      <c r="AR150" s="92">
        <f>IF(BB149&lt;0.005,0,MAX(0,BB149*(1+BB$6/12)-BB$7))</f>
        <v/>
      </c>
      <c r="AS150" s="92">
        <f>IF(BC149&lt;0.005,0,MAX(0,BC149*(1+BC$6/12)-BC$7))</f>
        <v/>
      </c>
      <c r="AT150" s="92">
        <f>IF(BD149&lt;0.005,0,MAX(0,BD149*(1+BD$6/12)-BD$7))</f>
        <v/>
      </c>
      <c r="AU150" s="92">
        <f>IF(BE149&lt;0.005,0,MAX(0,BE149*(1+BE$6/12)-BE$7))</f>
        <v/>
      </c>
      <c r="AV150" s="92">
        <f>IF(BF149&lt;0.005,0,MAX(0,BF149*(1+BF$6/12)-BF$7))</f>
        <v/>
      </c>
      <c r="AW150" s="92">
        <f>IF(BG149&lt;0.005,0,MAX(0,BG149*(1+BG$6/12)-BG$7))</f>
        <v/>
      </c>
      <c r="AX150" s="92">
        <f>IF(BH149&lt;0.005,0,MAX(0,BH149*(1+BH$6/12)-BH$7))</f>
        <v/>
      </c>
      <c r="AY150" s="91">
        <f>MAX(0,AO150-MAX(0,BJ150-0))</f>
        <v/>
      </c>
      <c r="AZ150" s="91">
        <f>MAX(0,AP150-MAX(0,BJ150-SUM(AO150:AO150)))</f>
        <v/>
      </c>
      <c r="BA150" s="91">
        <f>MAX(0,AQ150-MAX(0,BJ150-SUM(AO150:AP150)))</f>
        <v/>
      </c>
      <c r="BB150" s="91">
        <f>MAX(0,AR150-MAX(0,BJ150-SUM(AO150:AQ150)))</f>
        <v/>
      </c>
      <c r="BC150" s="91">
        <f>MAX(0,AS150-MAX(0,BJ150-SUM(AO150:AR150)))</f>
        <v/>
      </c>
      <c r="BD150" s="91">
        <f>MAX(0,AT150-MAX(0,BJ150-SUM(AO150:AS150)))</f>
        <v/>
      </c>
      <c r="BE150" s="91">
        <f>MAX(0,AU150-MAX(0,BJ150-SUM(AO150:AT150)))</f>
        <v/>
      </c>
      <c r="BF150" s="91">
        <f>MAX(0,AV150-MAX(0,BJ150-SUM(AO150:AU150)))</f>
        <v/>
      </c>
      <c r="BG150" s="91">
        <f>MAX(0,AW150-MAX(0,BJ150-SUM(AO150:AV150)))</f>
        <v/>
      </c>
      <c r="BH150" s="91">
        <f>MAX(0,AX150-MAX(0,BJ150-SUM(AO150:AW150)))</f>
        <v/>
      </c>
      <c r="BI150" s="92">
        <f>SUM(AY149:BH149)+BK150</f>
        <v/>
      </c>
      <c r="BJ150" s="92">
        <f>$BJ$7-(BI150-SUM(AO150:AX150))</f>
        <v/>
      </c>
      <c r="BK150" s="91">
        <f>SUMPRODUCT(AY149:BH149,$AY$6:$BH$6)/12</f>
        <v/>
      </c>
      <c r="BL150" s="88">
        <f>SUM(AY150:BH150)</f>
        <v/>
      </c>
    </row>
    <row r="151">
      <c r="A151" s="24" t="n">
        <v>141</v>
      </c>
      <c r="B151" s="90">
        <f>DATE(YEAR(Settings!$C$11),MONTH(Settings!$C$11)+A151,1)</f>
        <v/>
      </c>
      <c r="C151" s="91">
        <f>IF(C150&lt;0.005,0,MAX(0,C150*(1+C$6/12)-C$7))</f>
        <v/>
      </c>
      <c r="D151" s="91">
        <f>IF(D150&lt;0.005,0,MAX(0,D150*(1+D$6/12)-D$7))</f>
        <v/>
      </c>
      <c r="E151" s="91">
        <f>IF(E150&lt;0.005,0,MAX(0,E150*(1+E$6/12)-E$7))</f>
        <v/>
      </c>
      <c r="F151" s="91">
        <f>IF(F150&lt;0.005,0,MAX(0,F150*(1+F$6/12)-F$7))</f>
        <v/>
      </c>
      <c r="G151" s="91">
        <f>IF(G150&lt;0.005,0,MAX(0,G150*(1+G$6/12)-G$7))</f>
        <v/>
      </c>
      <c r="H151" s="91">
        <f>IF(H150&lt;0.005,0,MAX(0,H150*(1+H$6/12)-H$7))</f>
        <v/>
      </c>
      <c r="I151" s="91">
        <f>IF(I150&lt;0.005,0,MAX(0,I150*(1+I$6/12)-I$7))</f>
        <v/>
      </c>
      <c r="J151" s="91">
        <f>IF(J150&lt;0.005,0,MAX(0,J150*(1+J$6/12)-J$7))</f>
        <v/>
      </c>
      <c r="K151" s="91">
        <f>IF(K150&lt;0.005,0,MAX(0,K150*(1+K$6/12)-K$7))</f>
        <v/>
      </c>
      <c r="L151" s="91">
        <f>IF(L150&lt;0.005,0,MAX(0,L150*(1+L$6/12)-L$7))</f>
        <v/>
      </c>
      <c r="M151" s="91">
        <f>SUMPRODUCT(C150:L150,$C$6:$L$6)/12</f>
        <v/>
      </c>
      <c r="N151" s="88">
        <f>SUM(C151:L151)</f>
        <v/>
      </c>
      <c r="P151" s="92">
        <f>IF(Z150&lt;0.005,0,MAX(0,Z150*(1+Z$6/12)-Z$7))</f>
        <v/>
      </c>
      <c r="Q151" s="92">
        <f>IF(AA150&lt;0.005,0,MAX(0,AA150*(1+AA$6/12)-AA$7))</f>
        <v/>
      </c>
      <c r="R151" s="92">
        <f>IF(AB150&lt;0.005,0,MAX(0,AB150*(1+AB$6/12)-AB$7))</f>
        <v/>
      </c>
      <c r="S151" s="92">
        <f>IF(AC150&lt;0.005,0,MAX(0,AC150*(1+AC$6/12)-AC$7))</f>
        <v/>
      </c>
      <c r="T151" s="92">
        <f>IF(AD150&lt;0.005,0,MAX(0,AD150*(1+AD$6/12)-AD$7))</f>
        <v/>
      </c>
      <c r="U151" s="92">
        <f>IF(AE150&lt;0.005,0,MAX(0,AE150*(1+AE$6/12)-AE$7))</f>
        <v/>
      </c>
      <c r="V151" s="92">
        <f>IF(AF150&lt;0.005,0,MAX(0,AF150*(1+AF$6/12)-AF$7))</f>
        <v/>
      </c>
      <c r="W151" s="92">
        <f>IF(AG150&lt;0.005,0,MAX(0,AG150*(1+AG$6/12)-AG$7))</f>
        <v/>
      </c>
      <c r="X151" s="92">
        <f>IF(AH150&lt;0.005,0,MAX(0,AH150*(1+AH$6/12)-AH$7))</f>
        <v/>
      </c>
      <c r="Y151" s="92">
        <f>IF(AI150&lt;0.005,0,MAX(0,AI150*(1+AI$6/12)-AI$7))</f>
        <v/>
      </c>
      <c r="Z151" s="91">
        <f>MAX(0,P151-MAX(0,AK151-0))</f>
        <v/>
      </c>
      <c r="AA151" s="91">
        <f>MAX(0,Q151-MAX(0,AK151-SUM(P151:P151)))</f>
        <v/>
      </c>
      <c r="AB151" s="91">
        <f>MAX(0,R151-MAX(0,AK151-SUM(P151:Q151)))</f>
        <v/>
      </c>
      <c r="AC151" s="91">
        <f>MAX(0,S151-MAX(0,AK151-SUM(P151:R151)))</f>
        <v/>
      </c>
      <c r="AD151" s="91">
        <f>MAX(0,T151-MAX(0,AK151-SUM(P151:S151)))</f>
        <v/>
      </c>
      <c r="AE151" s="91">
        <f>MAX(0,U151-MAX(0,AK151-SUM(P151:T151)))</f>
        <v/>
      </c>
      <c r="AF151" s="91">
        <f>MAX(0,V151-MAX(0,AK151-SUM(P151:U151)))</f>
        <v/>
      </c>
      <c r="AG151" s="91">
        <f>MAX(0,W151-MAX(0,AK151-SUM(P151:V151)))</f>
        <v/>
      </c>
      <c r="AH151" s="91">
        <f>MAX(0,X151-MAX(0,AK151-SUM(P151:W151)))</f>
        <v/>
      </c>
      <c r="AI151" s="91">
        <f>MAX(0,Y151-MAX(0,AK151-SUM(P151:X151)))</f>
        <v/>
      </c>
      <c r="AJ151" s="92">
        <f>SUM(Z150:AI150)+AL151</f>
        <v/>
      </c>
      <c r="AK151" s="92">
        <f>$AK$7-(AJ151-SUM(P151:Y151))</f>
        <v/>
      </c>
      <c r="AL151" s="91">
        <f>SUMPRODUCT(Z150:AI150,$Z$6:$AI$6)/12</f>
        <v/>
      </c>
      <c r="AM151" s="88">
        <f>SUM(Z151:AI151)</f>
        <v/>
      </c>
      <c r="AO151" s="92">
        <f>IF(AY150&lt;0.005,0,MAX(0,AY150*(1+AY$6/12)-AY$7))</f>
        <v/>
      </c>
      <c r="AP151" s="92">
        <f>IF(AZ150&lt;0.005,0,MAX(0,AZ150*(1+AZ$6/12)-AZ$7))</f>
        <v/>
      </c>
      <c r="AQ151" s="92">
        <f>IF(BA150&lt;0.005,0,MAX(0,BA150*(1+BA$6/12)-BA$7))</f>
        <v/>
      </c>
      <c r="AR151" s="92">
        <f>IF(BB150&lt;0.005,0,MAX(0,BB150*(1+BB$6/12)-BB$7))</f>
        <v/>
      </c>
      <c r="AS151" s="92">
        <f>IF(BC150&lt;0.005,0,MAX(0,BC150*(1+BC$6/12)-BC$7))</f>
        <v/>
      </c>
      <c r="AT151" s="92">
        <f>IF(BD150&lt;0.005,0,MAX(0,BD150*(1+BD$6/12)-BD$7))</f>
        <v/>
      </c>
      <c r="AU151" s="92">
        <f>IF(BE150&lt;0.005,0,MAX(0,BE150*(1+BE$6/12)-BE$7))</f>
        <v/>
      </c>
      <c r="AV151" s="92">
        <f>IF(BF150&lt;0.005,0,MAX(0,BF150*(1+BF$6/12)-BF$7))</f>
        <v/>
      </c>
      <c r="AW151" s="92">
        <f>IF(BG150&lt;0.005,0,MAX(0,BG150*(1+BG$6/12)-BG$7))</f>
        <v/>
      </c>
      <c r="AX151" s="92">
        <f>IF(BH150&lt;0.005,0,MAX(0,BH150*(1+BH$6/12)-BH$7))</f>
        <v/>
      </c>
      <c r="AY151" s="91">
        <f>MAX(0,AO151-MAX(0,BJ151-0))</f>
        <v/>
      </c>
      <c r="AZ151" s="91">
        <f>MAX(0,AP151-MAX(0,BJ151-SUM(AO151:AO151)))</f>
        <v/>
      </c>
      <c r="BA151" s="91">
        <f>MAX(0,AQ151-MAX(0,BJ151-SUM(AO151:AP151)))</f>
        <v/>
      </c>
      <c r="BB151" s="91">
        <f>MAX(0,AR151-MAX(0,BJ151-SUM(AO151:AQ151)))</f>
        <v/>
      </c>
      <c r="BC151" s="91">
        <f>MAX(0,AS151-MAX(0,BJ151-SUM(AO151:AR151)))</f>
        <v/>
      </c>
      <c r="BD151" s="91">
        <f>MAX(0,AT151-MAX(0,BJ151-SUM(AO151:AS151)))</f>
        <v/>
      </c>
      <c r="BE151" s="91">
        <f>MAX(0,AU151-MAX(0,BJ151-SUM(AO151:AT151)))</f>
        <v/>
      </c>
      <c r="BF151" s="91">
        <f>MAX(0,AV151-MAX(0,BJ151-SUM(AO151:AU151)))</f>
        <v/>
      </c>
      <c r="BG151" s="91">
        <f>MAX(0,AW151-MAX(0,BJ151-SUM(AO151:AV151)))</f>
        <v/>
      </c>
      <c r="BH151" s="91">
        <f>MAX(0,AX151-MAX(0,BJ151-SUM(AO151:AW151)))</f>
        <v/>
      </c>
      <c r="BI151" s="92">
        <f>SUM(AY150:BH150)+BK151</f>
        <v/>
      </c>
      <c r="BJ151" s="92">
        <f>$BJ$7-(BI151-SUM(AO151:AX151))</f>
        <v/>
      </c>
      <c r="BK151" s="91">
        <f>SUMPRODUCT(AY150:BH150,$AY$6:$BH$6)/12</f>
        <v/>
      </c>
      <c r="BL151" s="88">
        <f>SUM(AY151:BH151)</f>
        <v/>
      </c>
    </row>
    <row r="152">
      <c r="A152" s="24" t="n">
        <v>142</v>
      </c>
      <c r="B152" s="90">
        <f>DATE(YEAR(Settings!$C$11),MONTH(Settings!$C$11)+A152,1)</f>
        <v/>
      </c>
      <c r="C152" s="91">
        <f>IF(C151&lt;0.005,0,MAX(0,C151*(1+C$6/12)-C$7))</f>
        <v/>
      </c>
      <c r="D152" s="91">
        <f>IF(D151&lt;0.005,0,MAX(0,D151*(1+D$6/12)-D$7))</f>
        <v/>
      </c>
      <c r="E152" s="91">
        <f>IF(E151&lt;0.005,0,MAX(0,E151*(1+E$6/12)-E$7))</f>
        <v/>
      </c>
      <c r="F152" s="91">
        <f>IF(F151&lt;0.005,0,MAX(0,F151*(1+F$6/12)-F$7))</f>
        <v/>
      </c>
      <c r="G152" s="91">
        <f>IF(G151&lt;0.005,0,MAX(0,G151*(1+G$6/12)-G$7))</f>
        <v/>
      </c>
      <c r="H152" s="91">
        <f>IF(H151&lt;0.005,0,MAX(0,H151*(1+H$6/12)-H$7))</f>
        <v/>
      </c>
      <c r="I152" s="91">
        <f>IF(I151&lt;0.005,0,MAX(0,I151*(1+I$6/12)-I$7))</f>
        <v/>
      </c>
      <c r="J152" s="91">
        <f>IF(J151&lt;0.005,0,MAX(0,J151*(1+J$6/12)-J$7))</f>
        <v/>
      </c>
      <c r="K152" s="91">
        <f>IF(K151&lt;0.005,0,MAX(0,K151*(1+K$6/12)-K$7))</f>
        <v/>
      </c>
      <c r="L152" s="91">
        <f>IF(L151&lt;0.005,0,MAX(0,L151*(1+L$6/12)-L$7))</f>
        <v/>
      </c>
      <c r="M152" s="91">
        <f>SUMPRODUCT(C151:L151,$C$6:$L$6)/12</f>
        <v/>
      </c>
      <c r="N152" s="88">
        <f>SUM(C152:L152)</f>
        <v/>
      </c>
      <c r="P152" s="92">
        <f>IF(Z151&lt;0.005,0,MAX(0,Z151*(1+Z$6/12)-Z$7))</f>
        <v/>
      </c>
      <c r="Q152" s="92">
        <f>IF(AA151&lt;0.005,0,MAX(0,AA151*(1+AA$6/12)-AA$7))</f>
        <v/>
      </c>
      <c r="R152" s="92">
        <f>IF(AB151&lt;0.005,0,MAX(0,AB151*(1+AB$6/12)-AB$7))</f>
        <v/>
      </c>
      <c r="S152" s="92">
        <f>IF(AC151&lt;0.005,0,MAX(0,AC151*(1+AC$6/12)-AC$7))</f>
        <v/>
      </c>
      <c r="T152" s="92">
        <f>IF(AD151&lt;0.005,0,MAX(0,AD151*(1+AD$6/12)-AD$7))</f>
        <v/>
      </c>
      <c r="U152" s="92">
        <f>IF(AE151&lt;0.005,0,MAX(0,AE151*(1+AE$6/12)-AE$7))</f>
        <v/>
      </c>
      <c r="V152" s="92">
        <f>IF(AF151&lt;0.005,0,MAX(0,AF151*(1+AF$6/12)-AF$7))</f>
        <v/>
      </c>
      <c r="W152" s="92">
        <f>IF(AG151&lt;0.005,0,MAX(0,AG151*(1+AG$6/12)-AG$7))</f>
        <v/>
      </c>
      <c r="X152" s="92">
        <f>IF(AH151&lt;0.005,0,MAX(0,AH151*(1+AH$6/12)-AH$7))</f>
        <v/>
      </c>
      <c r="Y152" s="92">
        <f>IF(AI151&lt;0.005,0,MAX(0,AI151*(1+AI$6/12)-AI$7))</f>
        <v/>
      </c>
      <c r="Z152" s="91">
        <f>MAX(0,P152-MAX(0,AK152-0))</f>
        <v/>
      </c>
      <c r="AA152" s="91">
        <f>MAX(0,Q152-MAX(0,AK152-SUM(P152:P152)))</f>
        <v/>
      </c>
      <c r="AB152" s="91">
        <f>MAX(0,R152-MAX(0,AK152-SUM(P152:Q152)))</f>
        <v/>
      </c>
      <c r="AC152" s="91">
        <f>MAX(0,S152-MAX(0,AK152-SUM(P152:R152)))</f>
        <v/>
      </c>
      <c r="AD152" s="91">
        <f>MAX(0,T152-MAX(0,AK152-SUM(P152:S152)))</f>
        <v/>
      </c>
      <c r="AE152" s="91">
        <f>MAX(0,U152-MAX(0,AK152-SUM(P152:T152)))</f>
        <v/>
      </c>
      <c r="AF152" s="91">
        <f>MAX(0,V152-MAX(0,AK152-SUM(P152:U152)))</f>
        <v/>
      </c>
      <c r="AG152" s="91">
        <f>MAX(0,W152-MAX(0,AK152-SUM(P152:V152)))</f>
        <v/>
      </c>
      <c r="AH152" s="91">
        <f>MAX(0,X152-MAX(0,AK152-SUM(P152:W152)))</f>
        <v/>
      </c>
      <c r="AI152" s="91">
        <f>MAX(0,Y152-MAX(0,AK152-SUM(P152:X152)))</f>
        <v/>
      </c>
      <c r="AJ152" s="92">
        <f>SUM(Z151:AI151)+AL152</f>
        <v/>
      </c>
      <c r="AK152" s="92">
        <f>$AK$7-(AJ152-SUM(P152:Y152))</f>
        <v/>
      </c>
      <c r="AL152" s="91">
        <f>SUMPRODUCT(Z151:AI151,$Z$6:$AI$6)/12</f>
        <v/>
      </c>
      <c r="AM152" s="88">
        <f>SUM(Z152:AI152)</f>
        <v/>
      </c>
      <c r="AO152" s="92">
        <f>IF(AY151&lt;0.005,0,MAX(0,AY151*(1+AY$6/12)-AY$7))</f>
        <v/>
      </c>
      <c r="AP152" s="92">
        <f>IF(AZ151&lt;0.005,0,MAX(0,AZ151*(1+AZ$6/12)-AZ$7))</f>
        <v/>
      </c>
      <c r="AQ152" s="92">
        <f>IF(BA151&lt;0.005,0,MAX(0,BA151*(1+BA$6/12)-BA$7))</f>
        <v/>
      </c>
      <c r="AR152" s="92">
        <f>IF(BB151&lt;0.005,0,MAX(0,BB151*(1+BB$6/12)-BB$7))</f>
        <v/>
      </c>
      <c r="AS152" s="92">
        <f>IF(BC151&lt;0.005,0,MAX(0,BC151*(1+BC$6/12)-BC$7))</f>
        <v/>
      </c>
      <c r="AT152" s="92">
        <f>IF(BD151&lt;0.005,0,MAX(0,BD151*(1+BD$6/12)-BD$7))</f>
        <v/>
      </c>
      <c r="AU152" s="92">
        <f>IF(BE151&lt;0.005,0,MAX(0,BE151*(1+BE$6/12)-BE$7))</f>
        <v/>
      </c>
      <c r="AV152" s="92">
        <f>IF(BF151&lt;0.005,0,MAX(0,BF151*(1+BF$6/12)-BF$7))</f>
        <v/>
      </c>
      <c r="AW152" s="92">
        <f>IF(BG151&lt;0.005,0,MAX(0,BG151*(1+BG$6/12)-BG$7))</f>
        <v/>
      </c>
      <c r="AX152" s="92">
        <f>IF(BH151&lt;0.005,0,MAX(0,BH151*(1+BH$6/12)-BH$7))</f>
        <v/>
      </c>
      <c r="AY152" s="91">
        <f>MAX(0,AO152-MAX(0,BJ152-0))</f>
        <v/>
      </c>
      <c r="AZ152" s="91">
        <f>MAX(0,AP152-MAX(0,BJ152-SUM(AO152:AO152)))</f>
        <v/>
      </c>
      <c r="BA152" s="91">
        <f>MAX(0,AQ152-MAX(0,BJ152-SUM(AO152:AP152)))</f>
        <v/>
      </c>
      <c r="BB152" s="91">
        <f>MAX(0,AR152-MAX(0,BJ152-SUM(AO152:AQ152)))</f>
        <v/>
      </c>
      <c r="BC152" s="91">
        <f>MAX(0,AS152-MAX(0,BJ152-SUM(AO152:AR152)))</f>
        <v/>
      </c>
      <c r="BD152" s="91">
        <f>MAX(0,AT152-MAX(0,BJ152-SUM(AO152:AS152)))</f>
        <v/>
      </c>
      <c r="BE152" s="91">
        <f>MAX(0,AU152-MAX(0,BJ152-SUM(AO152:AT152)))</f>
        <v/>
      </c>
      <c r="BF152" s="91">
        <f>MAX(0,AV152-MAX(0,BJ152-SUM(AO152:AU152)))</f>
        <v/>
      </c>
      <c r="BG152" s="91">
        <f>MAX(0,AW152-MAX(0,BJ152-SUM(AO152:AV152)))</f>
        <v/>
      </c>
      <c r="BH152" s="91">
        <f>MAX(0,AX152-MAX(0,BJ152-SUM(AO152:AW152)))</f>
        <v/>
      </c>
      <c r="BI152" s="92">
        <f>SUM(AY151:BH151)+BK152</f>
        <v/>
      </c>
      <c r="BJ152" s="92">
        <f>$BJ$7-(BI152-SUM(AO152:AX152))</f>
        <v/>
      </c>
      <c r="BK152" s="91">
        <f>SUMPRODUCT(AY151:BH151,$AY$6:$BH$6)/12</f>
        <v/>
      </c>
      <c r="BL152" s="88">
        <f>SUM(AY152:BH152)</f>
        <v/>
      </c>
    </row>
    <row r="153">
      <c r="A153" s="24" t="n">
        <v>143</v>
      </c>
      <c r="B153" s="90">
        <f>DATE(YEAR(Settings!$C$11),MONTH(Settings!$C$11)+A153,1)</f>
        <v/>
      </c>
      <c r="C153" s="91">
        <f>IF(C152&lt;0.005,0,MAX(0,C152*(1+C$6/12)-C$7))</f>
        <v/>
      </c>
      <c r="D153" s="91">
        <f>IF(D152&lt;0.005,0,MAX(0,D152*(1+D$6/12)-D$7))</f>
        <v/>
      </c>
      <c r="E153" s="91">
        <f>IF(E152&lt;0.005,0,MAX(0,E152*(1+E$6/12)-E$7))</f>
        <v/>
      </c>
      <c r="F153" s="91">
        <f>IF(F152&lt;0.005,0,MAX(0,F152*(1+F$6/12)-F$7))</f>
        <v/>
      </c>
      <c r="G153" s="91">
        <f>IF(G152&lt;0.005,0,MAX(0,G152*(1+G$6/12)-G$7))</f>
        <v/>
      </c>
      <c r="H153" s="91">
        <f>IF(H152&lt;0.005,0,MAX(0,H152*(1+H$6/12)-H$7))</f>
        <v/>
      </c>
      <c r="I153" s="91">
        <f>IF(I152&lt;0.005,0,MAX(0,I152*(1+I$6/12)-I$7))</f>
        <v/>
      </c>
      <c r="J153" s="91">
        <f>IF(J152&lt;0.005,0,MAX(0,J152*(1+J$6/12)-J$7))</f>
        <v/>
      </c>
      <c r="K153" s="91">
        <f>IF(K152&lt;0.005,0,MAX(0,K152*(1+K$6/12)-K$7))</f>
        <v/>
      </c>
      <c r="L153" s="91">
        <f>IF(L152&lt;0.005,0,MAX(0,L152*(1+L$6/12)-L$7))</f>
        <v/>
      </c>
      <c r="M153" s="91">
        <f>SUMPRODUCT(C152:L152,$C$6:$L$6)/12</f>
        <v/>
      </c>
      <c r="N153" s="88">
        <f>SUM(C153:L153)</f>
        <v/>
      </c>
      <c r="P153" s="92">
        <f>IF(Z152&lt;0.005,0,MAX(0,Z152*(1+Z$6/12)-Z$7))</f>
        <v/>
      </c>
      <c r="Q153" s="92">
        <f>IF(AA152&lt;0.005,0,MAX(0,AA152*(1+AA$6/12)-AA$7))</f>
        <v/>
      </c>
      <c r="R153" s="92">
        <f>IF(AB152&lt;0.005,0,MAX(0,AB152*(1+AB$6/12)-AB$7))</f>
        <v/>
      </c>
      <c r="S153" s="92">
        <f>IF(AC152&lt;0.005,0,MAX(0,AC152*(1+AC$6/12)-AC$7))</f>
        <v/>
      </c>
      <c r="T153" s="92">
        <f>IF(AD152&lt;0.005,0,MAX(0,AD152*(1+AD$6/12)-AD$7))</f>
        <v/>
      </c>
      <c r="U153" s="92">
        <f>IF(AE152&lt;0.005,0,MAX(0,AE152*(1+AE$6/12)-AE$7))</f>
        <v/>
      </c>
      <c r="V153" s="92">
        <f>IF(AF152&lt;0.005,0,MAX(0,AF152*(1+AF$6/12)-AF$7))</f>
        <v/>
      </c>
      <c r="W153" s="92">
        <f>IF(AG152&lt;0.005,0,MAX(0,AG152*(1+AG$6/12)-AG$7))</f>
        <v/>
      </c>
      <c r="X153" s="92">
        <f>IF(AH152&lt;0.005,0,MAX(0,AH152*(1+AH$6/12)-AH$7))</f>
        <v/>
      </c>
      <c r="Y153" s="92">
        <f>IF(AI152&lt;0.005,0,MAX(0,AI152*(1+AI$6/12)-AI$7))</f>
        <v/>
      </c>
      <c r="Z153" s="91">
        <f>MAX(0,P153-MAX(0,AK153-0))</f>
        <v/>
      </c>
      <c r="AA153" s="91">
        <f>MAX(0,Q153-MAX(0,AK153-SUM(P153:P153)))</f>
        <v/>
      </c>
      <c r="AB153" s="91">
        <f>MAX(0,R153-MAX(0,AK153-SUM(P153:Q153)))</f>
        <v/>
      </c>
      <c r="AC153" s="91">
        <f>MAX(0,S153-MAX(0,AK153-SUM(P153:R153)))</f>
        <v/>
      </c>
      <c r="AD153" s="91">
        <f>MAX(0,T153-MAX(0,AK153-SUM(P153:S153)))</f>
        <v/>
      </c>
      <c r="AE153" s="91">
        <f>MAX(0,U153-MAX(0,AK153-SUM(P153:T153)))</f>
        <v/>
      </c>
      <c r="AF153" s="91">
        <f>MAX(0,V153-MAX(0,AK153-SUM(P153:U153)))</f>
        <v/>
      </c>
      <c r="AG153" s="91">
        <f>MAX(0,W153-MAX(0,AK153-SUM(P153:V153)))</f>
        <v/>
      </c>
      <c r="AH153" s="91">
        <f>MAX(0,X153-MAX(0,AK153-SUM(P153:W153)))</f>
        <v/>
      </c>
      <c r="AI153" s="91">
        <f>MAX(0,Y153-MAX(0,AK153-SUM(P153:X153)))</f>
        <v/>
      </c>
      <c r="AJ153" s="92">
        <f>SUM(Z152:AI152)+AL153</f>
        <v/>
      </c>
      <c r="AK153" s="92">
        <f>$AK$7-(AJ153-SUM(P153:Y153))</f>
        <v/>
      </c>
      <c r="AL153" s="91">
        <f>SUMPRODUCT(Z152:AI152,$Z$6:$AI$6)/12</f>
        <v/>
      </c>
      <c r="AM153" s="88">
        <f>SUM(Z153:AI153)</f>
        <v/>
      </c>
      <c r="AO153" s="92">
        <f>IF(AY152&lt;0.005,0,MAX(0,AY152*(1+AY$6/12)-AY$7))</f>
        <v/>
      </c>
      <c r="AP153" s="92">
        <f>IF(AZ152&lt;0.005,0,MAX(0,AZ152*(1+AZ$6/12)-AZ$7))</f>
        <v/>
      </c>
      <c r="AQ153" s="92">
        <f>IF(BA152&lt;0.005,0,MAX(0,BA152*(1+BA$6/12)-BA$7))</f>
        <v/>
      </c>
      <c r="AR153" s="92">
        <f>IF(BB152&lt;0.005,0,MAX(0,BB152*(1+BB$6/12)-BB$7))</f>
        <v/>
      </c>
      <c r="AS153" s="92">
        <f>IF(BC152&lt;0.005,0,MAX(0,BC152*(1+BC$6/12)-BC$7))</f>
        <v/>
      </c>
      <c r="AT153" s="92">
        <f>IF(BD152&lt;0.005,0,MAX(0,BD152*(1+BD$6/12)-BD$7))</f>
        <v/>
      </c>
      <c r="AU153" s="92">
        <f>IF(BE152&lt;0.005,0,MAX(0,BE152*(1+BE$6/12)-BE$7))</f>
        <v/>
      </c>
      <c r="AV153" s="92">
        <f>IF(BF152&lt;0.005,0,MAX(0,BF152*(1+BF$6/12)-BF$7))</f>
        <v/>
      </c>
      <c r="AW153" s="92">
        <f>IF(BG152&lt;0.005,0,MAX(0,BG152*(1+BG$6/12)-BG$7))</f>
        <v/>
      </c>
      <c r="AX153" s="92">
        <f>IF(BH152&lt;0.005,0,MAX(0,BH152*(1+BH$6/12)-BH$7))</f>
        <v/>
      </c>
      <c r="AY153" s="91">
        <f>MAX(0,AO153-MAX(0,BJ153-0))</f>
        <v/>
      </c>
      <c r="AZ153" s="91">
        <f>MAX(0,AP153-MAX(0,BJ153-SUM(AO153:AO153)))</f>
        <v/>
      </c>
      <c r="BA153" s="91">
        <f>MAX(0,AQ153-MAX(0,BJ153-SUM(AO153:AP153)))</f>
        <v/>
      </c>
      <c r="BB153" s="91">
        <f>MAX(0,AR153-MAX(0,BJ153-SUM(AO153:AQ153)))</f>
        <v/>
      </c>
      <c r="BC153" s="91">
        <f>MAX(0,AS153-MAX(0,BJ153-SUM(AO153:AR153)))</f>
        <v/>
      </c>
      <c r="BD153" s="91">
        <f>MAX(0,AT153-MAX(0,BJ153-SUM(AO153:AS153)))</f>
        <v/>
      </c>
      <c r="BE153" s="91">
        <f>MAX(0,AU153-MAX(0,BJ153-SUM(AO153:AT153)))</f>
        <v/>
      </c>
      <c r="BF153" s="91">
        <f>MAX(0,AV153-MAX(0,BJ153-SUM(AO153:AU153)))</f>
        <v/>
      </c>
      <c r="BG153" s="91">
        <f>MAX(0,AW153-MAX(0,BJ153-SUM(AO153:AV153)))</f>
        <v/>
      </c>
      <c r="BH153" s="91">
        <f>MAX(0,AX153-MAX(0,BJ153-SUM(AO153:AW153)))</f>
        <v/>
      </c>
      <c r="BI153" s="92">
        <f>SUM(AY152:BH152)+BK153</f>
        <v/>
      </c>
      <c r="BJ153" s="92">
        <f>$BJ$7-(BI153-SUM(AO153:AX153))</f>
        <v/>
      </c>
      <c r="BK153" s="91">
        <f>SUMPRODUCT(AY152:BH152,$AY$6:$BH$6)/12</f>
        <v/>
      </c>
      <c r="BL153" s="88">
        <f>SUM(AY153:BH153)</f>
        <v/>
      </c>
    </row>
    <row r="154">
      <c r="A154" s="24" t="n">
        <v>144</v>
      </c>
      <c r="B154" s="90">
        <f>DATE(YEAR(Settings!$C$11),MONTH(Settings!$C$11)+A154,1)</f>
        <v/>
      </c>
      <c r="C154" s="91">
        <f>IF(C153&lt;0.005,0,MAX(0,C153*(1+C$6/12)-C$7))</f>
        <v/>
      </c>
      <c r="D154" s="91">
        <f>IF(D153&lt;0.005,0,MAX(0,D153*(1+D$6/12)-D$7))</f>
        <v/>
      </c>
      <c r="E154" s="91">
        <f>IF(E153&lt;0.005,0,MAX(0,E153*(1+E$6/12)-E$7))</f>
        <v/>
      </c>
      <c r="F154" s="91">
        <f>IF(F153&lt;0.005,0,MAX(0,F153*(1+F$6/12)-F$7))</f>
        <v/>
      </c>
      <c r="G154" s="91">
        <f>IF(G153&lt;0.005,0,MAX(0,G153*(1+G$6/12)-G$7))</f>
        <v/>
      </c>
      <c r="H154" s="91">
        <f>IF(H153&lt;0.005,0,MAX(0,H153*(1+H$6/12)-H$7))</f>
        <v/>
      </c>
      <c r="I154" s="91">
        <f>IF(I153&lt;0.005,0,MAX(0,I153*(1+I$6/12)-I$7))</f>
        <v/>
      </c>
      <c r="J154" s="91">
        <f>IF(J153&lt;0.005,0,MAX(0,J153*(1+J$6/12)-J$7))</f>
        <v/>
      </c>
      <c r="K154" s="91">
        <f>IF(K153&lt;0.005,0,MAX(0,K153*(1+K$6/12)-K$7))</f>
        <v/>
      </c>
      <c r="L154" s="91">
        <f>IF(L153&lt;0.005,0,MAX(0,L153*(1+L$6/12)-L$7))</f>
        <v/>
      </c>
      <c r="M154" s="91">
        <f>SUMPRODUCT(C153:L153,$C$6:$L$6)/12</f>
        <v/>
      </c>
      <c r="N154" s="88">
        <f>SUM(C154:L154)</f>
        <v/>
      </c>
      <c r="P154" s="92">
        <f>IF(Z153&lt;0.005,0,MAX(0,Z153*(1+Z$6/12)-Z$7))</f>
        <v/>
      </c>
      <c r="Q154" s="92">
        <f>IF(AA153&lt;0.005,0,MAX(0,AA153*(1+AA$6/12)-AA$7))</f>
        <v/>
      </c>
      <c r="R154" s="92">
        <f>IF(AB153&lt;0.005,0,MAX(0,AB153*(1+AB$6/12)-AB$7))</f>
        <v/>
      </c>
      <c r="S154" s="92">
        <f>IF(AC153&lt;0.005,0,MAX(0,AC153*(1+AC$6/12)-AC$7))</f>
        <v/>
      </c>
      <c r="T154" s="92">
        <f>IF(AD153&lt;0.005,0,MAX(0,AD153*(1+AD$6/12)-AD$7))</f>
        <v/>
      </c>
      <c r="U154" s="92">
        <f>IF(AE153&lt;0.005,0,MAX(0,AE153*(1+AE$6/12)-AE$7))</f>
        <v/>
      </c>
      <c r="V154" s="92">
        <f>IF(AF153&lt;0.005,0,MAX(0,AF153*(1+AF$6/12)-AF$7))</f>
        <v/>
      </c>
      <c r="W154" s="92">
        <f>IF(AG153&lt;0.005,0,MAX(0,AG153*(1+AG$6/12)-AG$7))</f>
        <v/>
      </c>
      <c r="X154" s="92">
        <f>IF(AH153&lt;0.005,0,MAX(0,AH153*(1+AH$6/12)-AH$7))</f>
        <v/>
      </c>
      <c r="Y154" s="92">
        <f>IF(AI153&lt;0.005,0,MAX(0,AI153*(1+AI$6/12)-AI$7))</f>
        <v/>
      </c>
      <c r="Z154" s="91">
        <f>MAX(0,P154-MAX(0,AK154-0))</f>
        <v/>
      </c>
      <c r="AA154" s="91">
        <f>MAX(0,Q154-MAX(0,AK154-SUM(P154:P154)))</f>
        <v/>
      </c>
      <c r="AB154" s="91">
        <f>MAX(0,R154-MAX(0,AK154-SUM(P154:Q154)))</f>
        <v/>
      </c>
      <c r="AC154" s="91">
        <f>MAX(0,S154-MAX(0,AK154-SUM(P154:R154)))</f>
        <v/>
      </c>
      <c r="AD154" s="91">
        <f>MAX(0,T154-MAX(0,AK154-SUM(P154:S154)))</f>
        <v/>
      </c>
      <c r="AE154" s="91">
        <f>MAX(0,U154-MAX(0,AK154-SUM(P154:T154)))</f>
        <v/>
      </c>
      <c r="AF154" s="91">
        <f>MAX(0,V154-MAX(0,AK154-SUM(P154:U154)))</f>
        <v/>
      </c>
      <c r="AG154" s="91">
        <f>MAX(0,W154-MAX(0,AK154-SUM(P154:V154)))</f>
        <v/>
      </c>
      <c r="AH154" s="91">
        <f>MAX(0,X154-MAX(0,AK154-SUM(P154:W154)))</f>
        <v/>
      </c>
      <c r="AI154" s="91">
        <f>MAX(0,Y154-MAX(0,AK154-SUM(P154:X154)))</f>
        <v/>
      </c>
      <c r="AJ154" s="92">
        <f>SUM(Z153:AI153)+AL154</f>
        <v/>
      </c>
      <c r="AK154" s="92">
        <f>$AK$7-(AJ154-SUM(P154:Y154))</f>
        <v/>
      </c>
      <c r="AL154" s="91">
        <f>SUMPRODUCT(Z153:AI153,$Z$6:$AI$6)/12</f>
        <v/>
      </c>
      <c r="AM154" s="88">
        <f>SUM(Z154:AI154)</f>
        <v/>
      </c>
      <c r="AO154" s="92">
        <f>IF(AY153&lt;0.005,0,MAX(0,AY153*(1+AY$6/12)-AY$7))</f>
        <v/>
      </c>
      <c r="AP154" s="92">
        <f>IF(AZ153&lt;0.005,0,MAX(0,AZ153*(1+AZ$6/12)-AZ$7))</f>
        <v/>
      </c>
      <c r="AQ154" s="92">
        <f>IF(BA153&lt;0.005,0,MAX(0,BA153*(1+BA$6/12)-BA$7))</f>
        <v/>
      </c>
      <c r="AR154" s="92">
        <f>IF(BB153&lt;0.005,0,MAX(0,BB153*(1+BB$6/12)-BB$7))</f>
        <v/>
      </c>
      <c r="AS154" s="92">
        <f>IF(BC153&lt;0.005,0,MAX(0,BC153*(1+BC$6/12)-BC$7))</f>
        <v/>
      </c>
      <c r="AT154" s="92">
        <f>IF(BD153&lt;0.005,0,MAX(0,BD153*(1+BD$6/12)-BD$7))</f>
        <v/>
      </c>
      <c r="AU154" s="92">
        <f>IF(BE153&lt;0.005,0,MAX(0,BE153*(1+BE$6/12)-BE$7))</f>
        <v/>
      </c>
      <c r="AV154" s="92">
        <f>IF(BF153&lt;0.005,0,MAX(0,BF153*(1+BF$6/12)-BF$7))</f>
        <v/>
      </c>
      <c r="AW154" s="92">
        <f>IF(BG153&lt;0.005,0,MAX(0,BG153*(1+BG$6/12)-BG$7))</f>
        <v/>
      </c>
      <c r="AX154" s="92">
        <f>IF(BH153&lt;0.005,0,MAX(0,BH153*(1+BH$6/12)-BH$7))</f>
        <v/>
      </c>
      <c r="AY154" s="91">
        <f>MAX(0,AO154-MAX(0,BJ154-0))</f>
        <v/>
      </c>
      <c r="AZ154" s="91">
        <f>MAX(0,AP154-MAX(0,BJ154-SUM(AO154:AO154)))</f>
        <v/>
      </c>
      <c r="BA154" s="91">
        <f>MAX(0,AQ154-MAX(0,BJ154-SUM(AO154:AP154)))</f>
        <v/>
      </c>
      <c r="BB154" s="91">
        <f>MAX(0,AR154-MAX(0,BJ154-SUM(AO154:AQ154)))</f>
        <v/>
      </c>
      <c r="BC154" s="91">
        <f>MAX(0,AS154-MAX(0,BJ154-SUM(AO154:AR154)))</f>
        <v/>
      </c>
      <c r="BD154" s="91">
        <f>MAX(0,AT154-MAX(0,BJ154-SUM(AO154:AS154)))</f>
        <v/>
      </c>
      <c r="BE154" s="91">
        <f>MAX(0,AU154-MAX(0,BJ154-SUM(AO154:AT154)))</f>
        <v/>
      </c>
      <c r="BF154" s="91">
        <f>MAX(0,AV154-MAX(0,BJ154-SUM(AO154:AU154)))</f>
        <v/>
      </c>
      <c r="BG154" s="91">
        <f>MAX(0,AW154-MAX(0,BJ154-SUM(AO154:AV154)))</f>
        <v/>
      </c>
      <c r="BH154" s="91">
        <f>MAX(0,AX154-MAX(0,BJ154-SUM(AO154:AW154)))</f>
        <v/>
      </c>
      <c r="BI154" s="92">
        <f>SUM(AY153:BH153)+BK154</f>
        <v/>
      </c>
      <c r="BJ154" s="92">
        <f>$BJ$7-(BI154-SUM(AO154:AX154))</f>
        <v/>
      </c>
      <c r="BK154" s="91">
        <f>SUMPRODUCT(AY153:BH153,$AY$6:$BH$6)/12</f>
        <v/>
      </c>
      <c r="BL154" s="88">
        <f>SUM(AY154:BH154)</f>
        <v/>
      </c>
    </row>
    <row r="155">
      <c r="A155" s="24" t="n">
        <v>145</v>
      </c>
      <c r="B155" s="90">
        <f>DATE(YEAR(Settings!$C$11),MONTH(Settings!$C$11)+A155,1)</f>
        <v/>
      </c>
      <c r="C155" s="91">
        <f>IF(C154&lt;0.005,0,MAX(0,C154*(1+C$6/12)-C$7))</f>
        <v/>
      </c>
      <c r="D155" s="91">
        <f>IF(D154&lt;0.005,0,MAX(0,D154*(1+D$6/12)-D$7))</f>
        <v/>
      </c>
      <c r="E155" s="91">
        <f>IF(E154&lt;0.005,0,MAX(0,E154*(1+E$6/12)-E$7))</f>
        <v/>
      </c>
      <c r="F155" s="91">
        <f>IF(F154&lt;0.005,0,MAX(0,F154*(1+F$6/12)-F$7))</f>
        <v/>
      </c>
      <c r="G155" s="91">
        <f>IF(G154&lt;0.005,0,MAX(0,G154*(1+G$6/12)-G$7))</f>
        <v/>
      </c>
      <c r="H155" s="91">
        <f>IF(H154&lt;0.005,0,MAX(0,H154*(1+H$6/12)-H$7))</f>
        <v/>
      </c>
      <c r="I155" s="91">
        <f>IF(I154&lt;0.005,0,MAX(0,I154*(1+I$6/12)-I$7))</f>
        <v/>
      </c>
      <c r="J155" s="91">
        <f>IF(J154&lt;0.005,0,MAX(0,J154*(1+J$6/12)-J$7))</f>
        <v/>
      </c>
      <c r="K155" s="91">
        <f>IF(K154&lt;0.005,0,MAX(0,K154*(1+K$6/12)-K$7))</f>
        <v/>
      </c>
      <c r="L155" s="91">
        <f>IF(L154&lt;0.005,0,MAX(0,L154*(1+L$6/12)-L$7))</f>
        <v/>
      </c>
      <c r="M155" s="91">
        <f>SUMPRODUCT(C154:L154,$C$6:$L$6)/12</f>
        <v/>
      </c>
      <c r="N155" s="88">
        <f>SUM(C155:L155)</f>
        <v/>
      </c>
      <c r="P155" s="92">
        <f>IF(Z154&lt;0.005,0,MAX(0,Z154*(1+Z$6/12)-Z$7))</f>
        <v/>
      </c>
      <c r="Q155" s="92">
        <f>IF(AA154&lt;0.005,0,MAX(0,AA154*(1+AA$6/12)-AA$7))</f>
        <v/>
      </c>
      <c r="R155" s="92">
        <f>IF(AB154&lt;0.005,0,MAX(0,AB154*(1+AB$6/12)-AB$7))</f>
        <v/>
      </c>
      <c r="S155" s="92">
        <f>IF(AC154&lt;0.005,0,MAX(0,AC154*(1+AC$6/12)-AC$7))</f>
        <v/>
      </c>
      <c r="T155" s="92">
        <f>IF(AD154&lt;0.005,0,MAX(0,AD154*(1+AD$6/12)-AD$7))</f>
        <v/>
      </c>
      <c r="U155" s="92">
        <f>IF(AE154&lt;0.005,0,MAX(0,AE154*(1+AE$6/12)-AE$7))</f>
        <v/>
      </c>
      <c r="V155" s="92">
        <f>IF(AF154&lt;0.005,0,MAX(0,AF154*(1+AF$6/12)-AF$7))</f>
        <v/>
      </c>
      <c r="W155" s="92">
        <f>IF(AG154&lt;0.005,0,MAX(0,AG154*(1+AG$6/12)-AG$7))</f>
        <v/>
      </c>
      <c r="X155" s="92">
        <f>IF(AH154&lt;0.005,0,MAX(0,AH154*(1+AH$6/12)-AH$7))</f>
        <v/>
      </c>
      <c r="Y155" s="92">
        <f>IF(AI154&lt;0.005,0,MAX(0,AI154*(1+AI$6/12)-AI$7))</f>
        <v/>
      </c>
      <c r="Z155" s="91">
        <f>MAX(0,P155-MAX(0,AK155-0))</f>
        <v/>
      </c>
      <c r="AA155" s="91">
        <f>MAX(0,Q155-MAX(0,AK155-SUM(P155:P155)))</f>
        <v/>
      </c>
      <c r="AB155" s="91">
        <f>MAX(0,R155-MAX(0,AK155-SUM(P155:Q155)))</f>
        <v/>
      </c>
      <c r="AC155" s="91">
        <f>MAX(0,S155-MAX(0,AK155-SUM(P155:R155)))</f>
        <v/>
      </c>
      <c r="AD155" s="91">
        <f>MAX(0,T155-MAX(0,AK155-SUM(P155:S155)))</f>
        <v/>
      </c>
      <c r="AE155" s="91">
        <f>MAX(0,U155-MAX(0,AK155-SUM(P155:T155)))</f>
        <v/>
      </c>
      <c r="AF155" s="91">
        <f>MAX(0,V155-MAX(0,AK155-SUM(P155:U155)))</f>
        <v/>
      </c>
      <c r="AG155" s="91">
        <f>MAX(0,W155-MAX(0,AK155-SUM(P155:V155)))</f>
        <v/>
      </c>
      <c r="AH155" s="91">
        <f>MAX(0,X155-MAX(0,AK155-SUM(P155:W155)))</f>
        <v/>
      </c>
      <c r="AI155" s="91">
        <f>MAX(0,Y155-MAX(0,AK155-SUM(P155:X155)))</f>
        <v/>
      </c>
      <c r="AJ155" s="92">
        <f>SUM(Z154:AI154)+AL155</f>
        <v/>
      </c>
      <c r="AK155" s="92">
        <f>$AK$7-(AJ155-SUM(P155:Y155))</f>
        <v/>
      </c>
      <c r="AL155" s="91">
        <f>SUMPRODUCT(Z154:AI154,$Z$6:$AI$6)/12</f>
        <v/>
      </c>
      <c r="AM155" s="88">
        <f>SUM(Z155:AI155)</f>
        <v/>
      </c>
      <c r="AO155" s="92">
        <f>IF(AY154&lt;0.005,0,MAX(0,AY154*(1+AY$6/12)-AY$7))</f>
        <v/>
      </c>
      <c r="AP155" s="92">
        <f>IF(AZ154&lt;0.005,0,MAX(0,AZ154*(1+AZ$6/12)-AZ$7))</f>
        <v/>
      </c>
      <c r="AQ155" s="92">
        <f>IF(BA154&lt;0.005,0,MAX(0,BA154*(1+BA$6/12)-BA$7))</f>
        <v/>
      </c>
      <c r="AR155" s="92">
        <f>IF(BB154&lt;0.005,0,MAX(0,BB154*(1+BB$6/12)-BB$7))</f>
        <v/>
      </c>
      <c r="AS155" s="92">
        <f>IF(BC154&lt;0.005,0,MAX(0,BC154*(1+BC$6/12)-BC$7))</f>
        <v/>
      </c>
      <c r="AT155" s="92">
        <f>IF(BD154&lt;0.005,0,MAX(0,BD154*(1+BD$6/12)-BD$7))</f>
        <v/>
      </c>
      <c r="AU155" s="92">
        <f>IF(BE154&lt;0.005,0,MAX(0,BE154*(1+BE$6/12)-BE$7))</f>
        <v/>
      </c>
      <c r="AV155" s="92">
        <f>IF(BF154&lt;0.005,0,MAX(0,BF154*(1+BF$6/12)-BF$7))</f>
        <v/>
      </c>
      <c r="AW155" s="92">
        <f>IF(BG154&lt;0.005,0,MAX(0,BG154*(1+BG$6/12)-BG$7))</f>
        <v/>
      </c>
      <c r="AX155" s="92">
        <f>IF(BH154&lt;0.005,0,MAX(0,BH154*(1+BH$6/12)-BH$7))</f>
        <v/>
      </c>
      <c r="AY155" s="91">
        <f>MAX(0,AO155-MAX(0,BJ155-0))</f>
        <v/>
      </c>
      <c r="AZ155" s="91">
        <f>MAX(0,AP155-MAX(0,BJ155-SUM(AO155:AO155)))</f>
        <v/>
      </c>
      <c r="BA155" s="91">
        <f>MAX(0,AQ155-MAX(0,BJ155-SUM(AO155:AP155)))</f>
        <v/>
      </c>
      <c r="BB155" s="91">
        <f>MAX(0,AR155-MAX(0,BJ155-SUM(AO155:AQ155)))</f>
        <v/>
      </c>
      <c r="BC155" s="91">
        <f>MAX(0,AS155-MAX(0,BJ155-SUM(AO155:AR155)))</f>
        <v/>
      </c>
      <c r="BD155" s="91">
        <f>MAX(0,AT155-MAX(0,BJ155-SUM(AO155:AS155)))</f>
        <v/>
      </c>
      <c r="BE155" s="91">
        <f>MAX(0,AU155-MAX(0,BJ155-SUM(AO155:AT155)))</f>
        <v/>
      </c>
      <c r="BF155" s="91">
        <f>MAX(0,AV155-MAX(0,BJ155-SUM(AO155:AU155)))</f>
        <v/>
      </c>
      <c r="BG155" s="91">
        <f>MAX(0,AW155-MAX(0,BJ155-SUM(AO155:AV155)))</f>
        <v/>
      </c>
      <c r="BH155" s="91">
        <f>MAX(0,AX155-MAX(0,BJ155-SUM(AO155:AW155)))</f>
        <v/>
      </c>
      <c r="BI155" s="92">
        <f>SUM(AY154:BH154)+BK155</f>
        <v/>
      </c>
      <c r="BJ155" s="92">
        <f>$BJ$7-(BI155-SUM(AO155:AX155))</f>
        <v/>
      </c>
      <c r="BK155" s="91">
        <f>SUMPRODUCT(AY154:BH154,$AY$6:$BH$6)/12</f>
        <v/>
      </c>
      <c r="BL155" s="88">
        <f>SUM(AY155:BH155)</f>
        <v/>
      </c>
    </row>
    <row r="156">
      <c r="A156" s="24" t="n">
        <v>146</v>
      </c>
      <c r="B156" s="90">
        <f>DATE(YEAR(Settings!$C$11),MONTH(Settings!$C$11)+A156,1)</f>
        <v/>
      </c>
      <c r="C156" s="91">
        <f>IF(C155&lt;0.005,0,MAX(0,C155*(1+C$6/12)-C$7))</f>
        <v/>
      </c>
      <c r="D156" s="91">
        <f>IF(D155&lt;0.005,0,MAX(0,D155*(1+D$6/12)-D$7))</f>
        <v/>
      </c>
      <c r="E156" s="91">
        <f>IF(E155&lt;0.005,0,MAX(0,E155*(1+E$6/12)-E$7))</f>
        <v/>
      </c>
      <c r="F156" s="91">
        <f>IF(F155&lt;0.005,0,MAX(0,F155*(1+F$6/12)-F$7))</f>
        <v/>
      </c>
      <c r="G156" s="91">
        <f>IF(G155&lt;0.005,0,MAX(0,G155*(1+G$6/12)-G$7))</f>
        <v/>
      </c>
      <c r="H156" s="91">
        <f>IF(H155&lt;0.005,0,MAX(0,H155*(1+H$6/12)-H$7))</f>
        <v/>
      </c>
      <c r="I156" s="91">
        <f>IF(I155&lt;0.005,0,MAX(0,I155*(1+I$6/12)-I$7))</f>
        <v/>
      </c>
      <c r="J156" s="91">
        <f>IF(J155&lt;0.005,0,MAX(0,J155*(1+J$6/12)-J$7))</f>
        <v/>
      </c>
      <c r="K156" s="91">
        <f>IF(K155&lt;0.005,0,MAX(0,K155*(1+K$6/12)-K$7))</f>
        <v/>
      </c>
      <c r="L156" s="91">
        <f>IF(L155&lt;0.005,0,MAX(0,L155*(1+L$6/12)-L$7))</f>
        <v/>
      </c>
      <c r="M156" s="91">
        <f>SUMPRODUCT(C155:L155,$C$6:$L$6)/12</f>
        <v/>
      </c>
      <c r="N156" s="88">
        <f>SUM(C156:L156)</f>
        <v/>
      </c>
      <c r="P156" s="92">
        <f>IF(Z155&lt;0.005,0,MAX(0,Z155*(1+Z$6/12)-Z$7))</f>
        <v/>
      </c>
      <c r="Q156" s="92">
        <f>IF(AA155&lt;0.005,0,MAX(0,AA155*(1+AA$6/12)-AA$7))</f>
        <v/>
      </c>
      <c r="R156" s="92">
        <f>IF(AB155&lt;0.005,0,MAX(0,AB155*(1+AB$6/12)-AB$7))</f>
        <v/>
      </c>
      <c r="S156" s="92">
        <f>IF(AC155&lt;0.005,0,MAX(0,AC155*(1+AC$6/12)-AC$7))</f>
        <v/>
      </c>
      <c r="T156" s="92">
        <f>IF(AD155&lt;0.005,0,MAX(0,AD155*(1+AD$6/12)-AD$7))</f>
        <v/>
      </c>
      <c r="U156" s="92">
        <f>IF(AE155&lt;0.005,0,MAX(0,AE155*(1+AE$6/12)-AE$7))</f>
        <v/>
      </c>
      <c r="V156" s="92">
        <f>IF(AF155&lt;0.005,0,MAX(0,AF155*(1+AF$6/12)-AF$7))</f>
        <v/>
      </c>
      <c r="W156" s="92">
        <f>IF(AG155&lt;0.005,0,MAX(0,AG155*(1+AG$6/12)-AG$7))</f>
        <v/>
      </c>
      <c r="X156" s="92">
        <f>IF(AH155&lt;0.005,0,MAX(0,AH155*(1+AH$6/12)-AH$7))</f>
        <v/>
      </c>
      <c r="Y156" s="92">
        <f>IF(AI155&lt;0.005,0,MAX(0,AI155*(1+AI$6/12)-AI$7))</f>
        <v/>
      </c>
      <c r="Z156" s="91">
        <f>MAX(0,P156-MAX(0,AK156-0))</f>
        <v/>
      </c>
      <c r="AA156" s="91">
        <f>MAX(0,Q156-MAX(0,AK156-SUM(P156:P156)))</f>
        <v/>
      </c>
      <c r="AB156" s="91">
        <f>MAX(0,R156-MAX(0,AK156-SUM(P156:Q156)))</f>
        <v/>
      </c>
      <c r="AC156" s="91">
        <f>MAX(0,S156-MAX(0,AK156-SUM(P156:R156)))</f>
        <v/>
      </c>
      <c r="AD156" s="91">
        <f>MAX(0,T156-MAX(0,AK156-SUM(P156:S156)))</f>
        <v/>
      </c>
      <c r="AE156" s="91">
        <f>MAX(0,U156-MAX(0,AK156-SUM(P156:T156)))</f>
        <v/>
      </c>
      <c r="AF156" s="91">
        <f>MAX(0,V156-MAX(0,AK156-SUM(P156:U156)))</f>
        <v/>
      </c>
      <c r="AG156" s="91">
        <f>MAX(0,W156-MAX(0,AK156-SUM(P156:V156)))</f>
        <v/>
      </c>
      <c r="AH156" s="91">
        <f>MAX(0,X156-MAX(0,AK156-SUM(P156:W156)))</f>
        <v/>
      </c>
      <c r="AI156" s="91">
        <f>MAX(0,Y156-MAX(0,AK156-SUM(P156:X156)))</f>
        <v/>
      </c>
      <c r="AJ156" s="92">
        <f>SUM(Z155:AI155)+AL156</f>
        <v/>
      </c>
      <c r="AK156" s="92">
        <f>$AK$7-(AJ156-SUM(P156:Y156))</f>
        <v/>
      </c>
      <c r="AL156" s="91">
        <f>SUMPRODUCT(Z155:AI155,$Z$6:$AI$6)/12</f>
        <v/>
      </c>
      <c r="AM156" s="88">
        <f>SUM(Z156:AI156)</f>
        <v/>
      </c>
      <c r="AO156" s="92">
        <f>IF(AY155&lt;0.005,0,MAX(0,AY155*(1+AY$6/12)-AY$7))</f>
        <v/>
      </c>
      <c r="AP156" s="92">
        <f>IF(AZ155&lt;0.005,0,MAX(0,AZ155*(1+AZ$6/12)-AZ$7))</f>
        <v/>
      </c>
      <c r="AQ156" s="92">
        <f>IF(BA155&lt;0.005,0,MAX(0,BA155*(1+BA$6/12)-BA$7))</f>
        <v/>
      </c>
      <c r="AR156" s="92">
        <f>IF(BB155&lt;0.005,0,MAX(0,BB155*(1+BB$6/12)-BB$7))</f>
        <v/>
      </c>
      <c r="AS156" s="92">
        <f>IF(BC155&lt;0.005,0,MAX(0,BC155*(1+BC$6/12)-BC$7))</f>
        <v/>
      </c>
      <c r="AT156" s="92">
        <f>IF(BD155&lt;0.005,0,MAX(0,BD155*(1+BD$6/12)-BD$7))</f>
        <v/>
      </c>
      <c r="AU156" s="92">
        <f>IF(BE155&lt;0.005,0,MAX(0,BE155*(1+BE$6/12)-BE$7))</f>
        <v/>
      </c>
      <c r="AV156" s="92">
        <f>IF(BF155&lt;0.005,0,MAX(0,BF155*(1+BF$6/12)-BF$7))</f>
        <v/>
      </c>
      <c r="AW156" s="92">
        <f>IF(BG155&lt;0.005,0,MAX(0,BG155*(1+BG$6/12)-BG$7))</f>
        <v/>
      </c>
      <c r="AX156" s="92">
        <f>IF(BH155&lt;0.005,0,MAX(0,BH155*(1+BH$6/12)-BH$7))</f>
        <v/>
      </c>
      <c r="AY156" s="91">
        <f>MAX(0,AO156-MAX(0,BJ156-0))</f>
        <v/>
      </c>
      <c r="AZ156" s="91">
        <f>MAX(0,AP156-MAX(0,BJ156-SUM(AO156:AO156)))</f>
        <v/>
      </c>
      <c r="BA156" s="91">
        <f>MAX(0,AQ156-MAX(0,BJ156-SUM(AO156:AP156)))</f>
        <v/>
      </c>
      <c r="BB156" s="91">
        <f>MAX(0,AR156-MAX(0,BJ156-SUM(AO156:AQ156)))</f>
        <v/>
      </c>
      <c r="BC156" s="91">
        <f>MAX(0,AS156-MAX(0,BJ156-SUM(AO156:AR156)))</f>
        <v/>
      </c>
      <c r="BD156" s="91">
        <f>MAX(0,AT156-MAX(0,BJ156-SUM(AO156:AS156)))</f>
        <v/>
      </c>
      <c r="BE156" s="91">
        <f>MAX(0,AU156-MAX(0,BJ156-SUM(AO156:AT156)))</f>
        <v/>
      </c>
      <c r="BF156" s="91">
        <f>MAX(0,AV156-MAX(0,BJ156-SUM(AO156:AU156)))</f>
        <v/>
      </c>
      <c r="BG156" s="91">
        <f>MAX(0,AW156-MAX(0,BJ156-SUM(AO156:AV156)))</f>
        <v/>
      </c>
      <c r="BH156" s="91">
        <f>MAX(0,AX156-MAX(0,BJ156-SUM(AO156:AW156)))</f>
        <v/>
      </c>
      <c r="BI156" s="92">
        <f>SUM(AY155:BH155)+BK156</f>
        <v/>
      </c>
      <c r="BJ156" s="92">
        <f>$BJ$7-(BI156-SUM(AO156:AX156))</f>
        <v/>
      </c>
      <c r="BK156" s="91">
        <f>SUMPRODUCT(AY155:BH155,$AY$6:$BH$6)/12</f>
        <v/>
      </c>
      <c r="BL156" s="88">
        <f>SUM(AY156:BH156)</f>
        <v/>
      </c>
    </row>
    <row r="157">
      <c r="A157" s="24" t="n">
        <v>147</v>
      </c>
      <c r="B157" s="90">
        <f>DATE(YEAR(Settings!$C$11),MONTH(Settings!$C$11)+A157,1)</f>
        <v/>
      </c>
      <c r="C157" s="91">
        <f>IF(C156&lt;0.005,0,MAX(0,C156*(1+C$6/12)-C$7))</f>
        <v/>
      </c>
      <c r="D157" s="91">
        <f>IF(D156&lt;0.005,0,MAX(0,D156*(1+D$6/12)-D$7))</f>
        <v/>
      </c>
      <c r="E157" s="91">
        <f>IF(E156&lt;0.005,0,MAX(0,E156*(1+E$6/12)-E$7))</f>
        <v/>
      </c>
      <c r="F157" s="91">
        <f>IF(F156&lt;0.005,0,MAX(0,F156*(1+F$6/12)-F$7))</f>
        <v/>
      </c>
      <c r="G157" s="91">
        <f>IF(G156&lt;0.005,0,MAX(0,G156*(1+G$6/12)-G$7))</f>
        <v/>
      </c>
      <c r="H157" s="91">
        <f>IF(H156&lt;0.005,0,MAX(0,H156*(1+H$6/12)-H$7))</f>
        <v/>
      </c>
      <c r="I157" s="91">
        <f>IF(I156&lt;0.005,0,MAX(0,I156*(1+I$6/12)-I$7))</f>
        <v/>
      </c>
      <c r="J157" s="91">
        <f>IF(J156&lt;0.005,0,MAX(0,J156*(1+J$6/12)-J$7))</f>
        <v/>
      </c>
      <c r="K157" s="91">
        <f>IF(K156&lt;0.005,0,MAX(0,K156*(1+K$6/12)-K$7))</f>
        <v/>
      </c>
      <c r="L157" s="91">
        <f>IF(L156&lt;0.005,0,MAX(0,L156*(1+L$6/12)-L$7))</f>
        <v/>
      </c>
      <c r="M157" s="91">
        <f>SUMPRODUCT(C156:L156,$C$6:$L$6)/12</f>
        <v/>
      </c>
      <c r="N157" s="88">
        <f>SUM(C157:L157)</f>
        <v/>
      </c>
      <c r="P157" s="92">
        <f>IF(Z156&lt;0.005,0,MAX(0,Z156*(1+Z$6/12)-Z$7))</f>
        <v/>
      </c>
      <c r="Q157" s="92">
        <f>IF(AA156&lt;0.005,0,MAX(0,AA156*(1+AA$6/12)-AA$7))</f>
        <v/>
      </c>
      <c r="R157" s="92">
        <f>IF(AB156&lt;0.005,0,MAX(0,AB156*(1+AB$6/12)-AB$7))</f>
        <v/>
      </c>
      <c r="S157" s="92">
        <f>IF(AC156&lt;0.005,0,MAX(0,AC156*(1+AC$6/12)-AC$7))</f>
        <v/>
      </c>
      <c r="T157" s="92">
        <f>IF(AD156&lt;0.005,0,MAX(0,AD156*(1+AD$6/12)-AD$7))</f>
        <v/>
      </c>
      <c r="U157" s="92">
        <f>IF(AE156&lt;0.005,0,MAX(0,AE156*(1+AE$6/12)-AE$7))</f>
        <v/>
      </c>
      <c r="V157" s="92">
        <f>IF(AF156&lt;0.005,0,MAX(0,AF156*(1+AF$6/12)-AF$7))</f>
        <v/>
      </c>
      <c r="W157" s="92">
        <f>IF(AG156&lt;0.005,0,MAX(0,AG156*(1+AG$6/12)-AG$7))</f>
        <v/>
      </c>
      <c r="X157" s="92">
        <f>IF(AH156&lt;0.005,0,MAX(0,AH156*(1+AH$6/12)-AH$7))</f>
        <v/>
      </c>
      <c r="Y157" s="92">
        <f>IF(AI156&lt;0.005,0,MAX(0,AI156*(1+AI$6/12)-AI$7))</f>
        <v/>
      </c>
      <c r="Z157" s="91">
        <f>MAX(0,P157-MAX(0,AK157-0))</f>
        <v/>
      </c>
      <c r="AA157" s="91">
        <f>MAX(0,Q157-MAX(0,AK157-SUM(P157:P157)))</f>
        <v/>
      </c>
      <c r="AB157" s="91">
        <f>MAX(0,R157-MAX(0,AK157-SUM(P157:Q157)))</f>
        <v/>
      </c>
      <c r="AC157" s="91">
        <f>MAX(0,S157-MAX(0,AK157-SUM(P157:R157)))</f>
        <v/>
      </c>
      <c r="AD157" s="91">
        <f>MAX(0,T157-MAX(0,AK157-SUM(P157:S157)))</f>
        <v/>
      </c>
      <c r="AE157" s="91">
        <f>MAX(0,U157-MAX(0,AK157-SUM(P157:T157)))</f>
        <v/>
      </c>
      <c r="AF157" s="91">
        <f>MAX(0,V157-MAX(0,AK157-SUM(P157:U157)))</f>
        <v/>
      </c>
      <c r="AG157" s="91">
        <f>MAX(0,W157-MAX(0,AK157-SUM(P157:V157)))</f>
        <v/>
      </c>
      <c r="AH157" s="91">
        <f>MAX(0,X157-MAX(0,AK157-SUM(P157:W157)))</f>
        <v/>
      </c>
      <c r="AI157" s="91">
        <f>MAX(0,Y157-MAX(0,AK157-SUM(P157:X157)))</f>
        <v/>
      </c>
      <c r="AJ157" s="92">
        <f>SUM(Z156:AI156)+AL157</f>
        <v/>
      </c>
      <c r="AK157" s="92">
        <f>$AK$7-(AJ157-SUM(P157:Y157))</f>
        <v/>
      </c>
      <c r="AL157" s="91">
        <f>SUMPRODUCT(Z156:AI156,$Z$6:$AI$6)/12</f>
        <v/>
      </c>
      <c r="AM157" s="88">
        <f>SUM(Z157:AI157)</f>
        <v/>
      </c>
      <c r="AO157" s="92">
        <f>IF(AY156&lt;0.005,0,MAX(0,AY156*(1+AY$6/12)-AY$7))</f>
        <v/>
      </c>
      <c r="AP157" s="92">
        <f>IF(AZ156&lt;0.005,0,MAX(0,AZ156*(1+AZ$6/12)-AZ$7))</f>
        <v/>
      </c>
      <c r="AQ157" s="92">
        <f>IF(BA156&lt;0.005,0,MAX(0,BA156*(1+BA$6/12)-BA$7))</f>
        <v/>
      </c>
      <c r="AR157" s="92">
        <f>IF(BB156&lt;0.005,0,MAX(0,BB156*(1+BB$6/12)-BB$7))</f>
        <v/>
      </c>
      <c r="AS157" s="92">
        <f>IF(BC156&lt;0.005,0,MAX(0,BC156*(1+BC$6/12)-BC$7))</f>
        <v/>
      </c>
      <c r="AT157" s="92">
        <f>IF(BD156&lt;0.005,0,MAX(0,BD156*(1+BD$6/12)-BD$7))</f>
        <v/>
      </c>
      <c r="AU157" s="92">
        <f>IF(BE156&lt;0.005,0,MAX(0,BE156*(1+BE$6/12)-BE$7))</f>
        <v/>
      </c>
      <c r="AV157" s="92">
        <f>IF(BF156&lt;0.005,0,MAX(0,BF156*(1+BF$6/12)-BF$7))</f>
        <v/>
      </c>
      <c r="AW157" s="92">
        <f>IF(BG156&lt;0.005,0,MAX(0,BG156*(1+BG$6/12)-BG$7))</f>
        <v/>
      </c>
      <c r="AX157" s="92">
        <f>IF(BH156&lt;0.005,0,MAX(0,BH156*(1+BH$6/12)-BH$7))</f>
        <v/>
      </c>
      <c r="AY157" s="91">
        <f>MAX(0,AO157-MAX(0,BJ157-0))</f>
        <v/>
      </c>
      <c r="AZ157" s="91">
        <f>MAX(0,AP157-MAX(0,BJ157-SUM(AO157:AO157)))</f>
        <v/>
      </c>
      <c r="BA157" s="91">
        <f>MAX(0,AQ157-MAX(0,BJ157-SUM(AO157:AP157)))</f>
        <v/>
      </c>
      <c r="BB157" s="91">
        <f>MAX(0,AR157-MAX(0,BJ157-SUM(AO157:AQ157)))</f>
        <v/>
      </c>
      <c r="BC157" s="91">
        <f>MAX(0,AS157-MAX(0,BJ157-SUM(AO157:AR157)))</f>
        <v/>
      </c>
      <c r="BD157" s="91">
        <f>MAX(0,AT157-MAX(0,BJ157-SUM(AO157:AS157)))</f>
        <v/>
      </c>
      <c r="BE157" s="91">
        <f>MAX(0,AU157-MAX(0,BJ157-SUM(AO157:AT157)))</f>
        <v/>
      </c>
      <c r="BF157" s="91">
        <f>MAX(0,AV157-MAX(0,BJ157-SUM(AO157:AU157)))</f>
        <v/>
      </c>
      <c r="BG157" s="91">
        <f>MAX(0,AW157-MAX(0,BJ157-SUM(AO157:AV157)))</f>
        <v/>
      </c>
      <c r="BH157" s="91">
        <f>MAX(0,AX157-MAX(0,BJ157-SUM(AO157:AW157)))</f>
        <v/>
      </c>
      <c r="BI157" s="92">
        <f>SUM(AY156:BH156)+BK157</f>
        <v/>
      </c>
      <c r="BJ157" s="92">
        <f>$BJ$7-(BI157-SUM(AO157:AX157))</f>
        <v/>
      </c>
      <c r="BK157" s="91">
        <f>SUMPRODUCT(AY156:BH156,$AY$6:$BH$6)/12</f>
        <v/>
      </c>
      <c r="BL157" s="88">
        <f>SUM(AY157:BH157)</f>
        <v/>
      </c>
    </row>
    <row r="158">
      <c r="A158" s="24" t="n">
        <v>148</v>
      </c>
      <c r="B158" s="90">
        <f>DATE(YEAR(Settings!$C$11),MONTH(Settings!$C$11)+A158,1)</f>
        <v/>
      </c>
      <c r="C158" s="91">
        <f>IF(C157&lt;0.005,0,MAX(0,C157*(1+C$6/12)-C$7))</f>
        <v/>
      </c>
      <c r="D158" s="91">
        <f>IF(D157&lt;0.005,0,MAX(0,D157*(1+D$6/12)-D$7))</f>
        <v/>
      </c>
      <c r="E158" s="91">
        <f>IF(E157&lt;0.005,0,MAX(0,E157*(1+E$6/12)-E$7))</f>
        <v/>
      </c>
      <c r="F158" s="91">
        <f>IF(F157&lt;0.005,0,MAX(0,F157*(1+F$6/12)-F$7))</f>
        <v/>
      </c>
      <c r="G158" s="91">
        <f>IF(G157&lt;0.005,0,MAX(0,G157*(1+G$6/12)-G$7))</f>
        <v/>
      </c>
      <c r="H158" s="91">
        <f>IF(H157&lt;0.005,0,MAX(0,H157*(1+H$6/12)-H$7))</f>
        <v/>
      </c>
      <c r="I158" s="91">
        <f>IF(I157&lt;0.005,0,MAX(0,I157*(1+I$6/12)-I$7))</f>
        <v/>
      </c>
      <c r="J158" s="91">
        <f>IF(J157&lt;0.005,0,MAX(0,J157*(1+J$6/12)-J$7))</f>
        <v/>
      </c>
      <c r="K158" s="91">
        <f>IF(K157&lt;0.005,0,MAX(0,K157*(1+K$6/12)-K$7))</f>
        <v/>
      </c>
      <c r="L158" s="91">
        <f>IF(L157&lt;0.005,0,MAX(0,L157*(1+L$6/12)-L$7))</f>
        <v/>
      </c>
      <c r="M158" s="91">
        <f>SUMPRODUCT(C157:L157,$C$6:$L$6)/12</f>
        <v/>
      </c>
      <c r="N158" s="88">
        <f>SUM(C158:L158)</f>
        <v/>
      </c>
      <c r="P158" s="92">
        <f>IF(Z157&lt;0.005,0,MAX(0,Z157*(1+Z$6/12)-Z$7))</f>
        <v/>
      </c>
      <c r="Q158" s="92">
        <f>IF(AA157&lt;0.005,0,MAX(0,AA157*(1+AA$6/12)-AA$7))</f>
        <v/>
      </c>
      <c r="R158" s="92">
        <f>IF(AB157&lt;0.005,0,MAX(0,AB157*(1+AB$6/12)-AB$7))</f>
        <v/>
      </c>
      <c r="S158" s="92">
        <f>IF(AC157&lt;0.005,0,MAX(0,AC157*(1+AC$6/12)-AC$7))</f>
        <v/>
      </c>
      <c r="T158" s="92">
        <f>IF(AD157&lt;0.005,0,MAX(0,AD157*(1+AD$6/12)-AD$7))</f>
        <v/>
      </c>
      <c r="U158" s="92">
        <f>IF(AE157&lt;0.005,0,MAX(0,AE157*(1+AE$6/12)-AE$7))</f>
        <v/>
      </c>
      <c r="V158" s="92">
        <f>IF(AF157&lt;0.005,0,MAX(0,AF157*(1+AF$6/12)-AF$7))</f>
        <v/>
      </c>
      <c r="W158" s="92">
        <f>IF(AG157&lt;0.005,0,MAX(0,AG157*(1+AG$6/12)-AG$7))</f>
        <v/>
      </c>
      <c r="X158" s="92">
        <f>IF(AH157&lt;0.005,0,MAX(0,AH157*(1+AH$6/12)-AH$7))</f>
        <v/>
      </c>
      <c r="Y158" s="92">
        <f>IF(AI157&lt;0.005,0,MAX(0,AI157*(1+AI$6/12)-AI$7))</f>
        <v/>
      </c>
      <c r="Z158" s="91">
        <f>MAX(0,P158-MAX(0,AK158-0))</f>
        <v/>
      </c>
      <c r="AA158" s="91">
        <f>MAX(0,Q158-MAX(0,AK158-SUM(P158:P158)))</f>
        <v/>
      </c>
      <c r="AB158" s="91">
        <f>MAX(0,R158-MAX(0,AK158-SUM(P158:Q158)))</f>
        <v/>
      </c>
      <c r="AC158" s="91">
        <f>MAX(0,S158-MAX(0,AK158-SUM(P158:R158)))</f>
        <v/>
      </c>
      <c r="AD158" s="91">
        <f>MAX(0,T158-MAX(0,AK158-SUM(P158:S158)))</f>
        <v/>
      </c>
      <c r="AE158" s="91">
        <f>MAX(0,U158-MAX(0,AK158-SUM(P158:T158)))</f>
        <v/>
      </c>
      <c r="AF158" s="91">
        <f>MAX(0,V158-MAX(0,AK158-SUM(P158:U158)))</f>
        <v/>
      </c>
      <c r="AG158" s="91">
        <f>MAX(0,W158-MAX(0,AK158-SUM(P158:V158)))</f>
        <v/>
      </c>
      <c r="AH158" s="91">
        <f>MAX(0,X158-MAX(0,AK158-SUM(P158:W158)))</f>
        <v/>
      </c>
      <c r="AI158" s="91">
        <f>MAX(0,Y158-MAX(0,AK158-SUM(P158:X158)))</f>
        <v/>
      </c>
      <c r="AJ158" s="92">
        <f>SUM(Z157:AI157)+AL158</f>
        <v/>
      </c>
      <c r="AK158" s="92">
        <f>$AK$7-(AJ158-SUM(P158:Y158))</f>
        <v/>
      </c>
      <c r="AL158" s="91">
        <f>SUMPRODUCT(Z157:AI157,$Z$6:$AI$6)/12</f>
        <v/>
      </c>
      <c r="AM158" s="88">
        <f>SUM(Z158:AI158)</f>
        <v/>
      </c>
      <c r="AO158" s="92">
        <f>IF(AY157&lt;0.005,0,MAX(0,AY157*(1+AY$6/12)-AY$7))</f>
        <v/>
      </c>
      <c r="AP158" s="92">
        <f>IF(AZ157&lt;0.005,0,MAX(0,AZ157*(1+AZ$6/12)-AZ$7))</f>
        <v/>
      </c>
      <c r="AQ158" s="92">
        <f>IF(BA157&lt;0.005,0,MAX(0,BA157*(1+BA$6/12)-BA$7))</f>
        <v/>
      </c>
      <c r="AR158" s="92">
        <f>IF(BB157&lt;0.005,0,MAX(0,BB157*(1+BB$6/12)-BB$7))</f>
        <v/>
      </c>
      <c r="AS158" s="92">
        <f>IF(BC157&lt;0.005,0,MAX(0,BC157*(1+BC$6/12)-BC$7))</f>
        <v/>
      </c>
      <c r="AT158" s="92">
        <f>IF(BD157&lt;0.005,0,MAX(0,BD157*(1+BD$6/12)-BD$7))</f>
        <v/>
      </c>
      <c r="AU158" s="92">
        <f>IF(BE157&lt;0.005,0,MAX(0,BE157*(1+BE$6/12)-BE$7))</f>
        <v/>
      </c>
      <c r="AV158" s="92">
        <f>IF(BF157&lt;0.005,0,MAX(0,BF157*(1+BF$6/12)-BF$7))</f>
        <v/>
      </c>
      <c r="AW158" s="92">
        <f>IF(BG157&lt;0.005,0,MAX(0,BG157*(1+BG$6/12)-BG$7))</f>
        <v/>
      </c>
      <c r="AX158" s="92">
        <f>IF(BH157&lt;0.005,0,MAX(0,BH157*(1+BH$6/12)-BH$7))</f>
        <v/>
      </c>
      <c r="AY158" s="91">
        <f>MAX(0,AO158-MAX(0,BJ158-0))</f>
        <v/>
      </c>
      <c r="AZ158" s="91">
        <f>MAX(0,AP158-MAX(0,BJ158-SUM(AO158:AO158)))</f>
        <v/>
      </c>
      <c r="BA158" s="91">
        <f>MAX(0,AQ158-MAX(0,BJ158-SUM(AO158:AP158)))</f>
        <v/>
      </c>
      <c r="BB158" s="91">
        <f>MAX(0,AR158-MAX(0,BJ158-SUM(AO158:AQ158)))</f>
        <v/>
      </c>
      <c r="BC158" s="91">
        <f>MAX(0,AS158-MAX(0,BJ158-SUM(AO158:AR158)))</f>
        <v/>
      </c>
      <c r="BD158" s="91">
        <f>MAX(0,AT158-MAX(0,BJ158-SUM(AO158:AS158)))</f>
        <v/>
      </c>
      <c r="BE158" s="91">
        <f>MAX(0,AU158-MAX(0,BJ158-SUM(AO158:AT158)))</f>
        <v/>
      </c>
      <c r="BF158" s="91">
        <f>MAX(0,AV158-MAX(0,BJ158-SUM(AO158:AU158)))</f>
        <v/>
      </c>
      <c r="BG158" s="91">
        <f>MAX(0,AW158-MAX(0,BJ158-SUM(AO158:AV158)))</f>
        <v/>
      </c>
      <c r="BH158" s="91">
        <f>MAX(0,AX158-MAX(0,BJ158-SUM(AO158:AW158)))</f>
        <v/>
      </c>
      <c r="BI158" s="92">
        <f>SUM(AY157:BH157)+BK158</f>
        <v/>
      </c>
      <c r="BJ158" s="92">
        <f>$BJ$7-(BI158-SUM(AO158:AX158))</f>
        <v/>
      </c>
      <c r="BK158" s="91">
        <f>SUMPRODUCT(AY157:BH157,$AY$6:$BH$6)/12</f>
        <v/>
      </c>
      <c r="BL158" s="88">
        <f>SUM(AY158:BH158)</f>
        <v/>
      </c>
    </row>
    <row r="159">
      <c r="A159" s="24" t="n">
        <v>149</v>
      </c>
      <c r="B159" s="90">
        <f>DATE(YEAR(Settings!$C$11),MONTH(Settings!$C$11)+A159,1)</f>
        <v/>
      </c>
      <c r="C159" s="91">
        <f>IF(C158&lt;0.005,0,MAX(0,C158*(1+C$6/12)-C$7))</f>
        <v/>
      </c>
      <c r="D159" s="91">
        <f>IF(D158&lt;0.005,0,MAX(0,D158*(1+D$6/12)-D$7))</f>
        <v/>
      </c>
      <c r="E159" s="91">
        <f>IF(E158&lt;0.005,0,MAX(0,E158*(1+E$6/12)-E$7))</f>
        <v/>
      </c>
      <c r="F159" s="91">
        <f>IF(F158&lt;0.005,0,MAX(0,F158*(1+F$6/12)-F$7))</f>
        <v/>
      </c>
      <c r="G159" s="91">
        <f>IF(G158&lt;0.005,0,MAX(0,G158*(1+G$6/12)-G$7))</f>
        <v/>
      </c>
      <c r="H159" s="91">
        <f>IF(H158&lt;0.005,0,MAX(0,H158*(1+H$6/12)-H$7))</f>
        <v/>
      </c>
      <c r="I159" s="91">
        <f>IF(I158&lt;0.005,0,MAX(0,I158*(1+I$6/12)-I$7))</f>
        <v/>
      </c>
      <c r="J159" s="91">
        <f>IF(J158&lt;0.005,0,MAX(0,J158*(1+J$6/12)-J$7))</f>
        <v/>
      </c>
      <c r="K159" s="91">
        <f>IF(K158&lt;0.005,0,MAX(0,K158*(1+K$6/12)-K$7))</f>
        <v/>
      </c>
      <c r="L159" s="91">
        <f>IF(L158&lt;0.005,0,MAX(0,L158*(1+L$6/12)-L$7))</f>
        <v/>
      </c>
      <c r="M159" s="91">
        <f>SUMPRODUCT(C158:L158,$C$6:$L$6)/12</f>
        <v/>
      </c>
      <c r="N159" s="88">
        <f>SUM(C159:L159)</f>
        <v/>
      </c>
      <c r="P159" s="92">
        <f>IF(Z158&lt;0.005,0,MAX(0,Z158*(1+Z$6/12)-Z$7))</f>
        <v/>
      </c>
      <c r="Q159" s="92">
        <f>IF(AA158&lt;0.005,0,MAX(0,AA158*(1+AA$6/12)-AA$7))</f>
        <v/>
      </c>
      <c r="R159" s="92">
        <f>IF(AB158&lt;0.005,0,MAX(0,AB158*(1+AB$6/12)-AB$7))</f>
        <v/>
      </c>
      <c r="S159" s="92">
        <f>IF(AC158&lt;0.005,0,MAX(0,AC158*(1+AC$6/12)-AC$7))</f>
        <v/>
      </c>
      <c r="T159" s="92">
        <f>IF(AD158&lt;0.005,0,MAX(0,AD158*(1+AD$6/12)-AD$7))</f>
        <v/>
      </c>
      <c r="U159" s="92">
        <f>IF(AE158&lt;0.005,0,MAX(0,AE158*(1+AE$6/12)-AE$7))</f>
        <v/>
      </c>
      <c r="V159" s="92">
        <f>IF(AF158&lt;0.005,0,MAX(0,AF158*(1+AF$6/12)-AF$7))</f>
        <v/>
      </c>
      <c r="W159" s="92">
        <f>IF(AG158&lt;0.005,0,MAX(0,AG158*(1+AG$6/12)-AG$7))</f>
        <v/>
      </c>
      <c r="X159" s="92">
        <f>IF(AH158&lt;0.005,0,MAX(0,AH158*(1+AH$6/12)-AH$7))</f>
        <v/>
      </c>
      <c r="Y159" s="92">
        <f>IF(AI158&lt;0.005,0,MAX(0,AI158*(1+AI$6/12)-AI$7))</f>
        <v/>
      </c>
      <c r="Z159" s="91">
        <f>MAX(0,P159-MAX(0,AK159-0))</f>
        <v/>
      </c>
      <c r="AA159" s="91">
        <f>MAX(0,Q159-MAX(0,AK159-SUM(P159:P159)))</f>
        <v/>
      </c>
      <c r="AB159" s="91">
        <f>MAX(0,R159-MAX(0,AK159-SUM(P159:Q159)))</f>
        <v/>
      </c>
      <c r="AC159" s="91">
        <f>MAX(0,S159-MAX(0,AK159-SUM(P159:R159)))</f>
        <v/>
      </c>
      <c r="AD159" s="91">
        <f>MAX(0,T159-MAX(0,AK159-SUM(P159:S159)))</f>
        <v/>
      </c>
      <c r="AE159" s="91">
        <f>MAX(0,U159-MAX(0,AK159-SUM(P159:T159)))</f>
        <v/>
      </c>
      <c r="AF159" s="91">
        <f>MAX(0,V159-MAX(0,AK159-SUM(P159:U159)))</f>
        <v/>
      </c>
      <c r="AG159" s="91">
        <f>MAX(0,W159-MAX(0,AK159-SUM(P159:V159)))</f>
        <v/>
      </c>
      <c r="AH159" s="91">
        <f>MAX(0,X159-MAX(0,AK159-SUM(P159:W159)))</f>
        <v/>
      </c>
      <c r="AI159" s="91">
        <f>MAX(0,Y159-MAX(0,AK159-SUM(P159:X159)))</f>
        <v/>
      </c>
      <c r="AJ159" s="92">
        <f>SUM(Z158:AI158)+AL159</f>
        <v/>
      </c>
      <c r="AK159" s="92">
        <f>$AK$7-(AJ159-SUM(P159:Y159))</f>
        <v/>
      </c>
      <c r="AL159" s="91">
        <f>SUMPRODUCT(Z158:AI158,$Z$6:$AI$6)/12</f>
        <v/>
      </c>
      <c r="AM159" s="88">
        <f>SUM(Z159:AI159)</f>
        <v/>
      </c>
      <c r="AO159" s="92">
        <f>IF(AY158&lt;0.005,0,MAX(0,AY158*(1+AY$6/12)-AY$7))</f>
        <v/>
      </c>
      <c r="AP159" s="92">
        <f>IF(AZ158&lt;0.005,0,MAX(0,AZ158*(1+AZ$6/12)-AZ$7))</f>
        <v/>
      </c>
      <c r="AQ159" s="92">
        <f>IF(BA158&lt;0.005,0,MAX(0,BA158*(1+BA$6/12)-BA$7))</f>
        <v/>
      </c>
      <c r="AR159" s="92">
        <f>IF(BB158&lt;0.005,0,MAX(0,BB158*(1+BB$6/12)-BB$7))</f>
        <v/>
      </c>
      <c r="AS159" s="92">
        <f>IF(BC158&lt;0.005,0,MAX(0,BC158*(1+BC$6/12)-BC$7))</f>
        <v/>
      </c>
      <c r="AT159" s="92">
        <f>IF(BD158&lt;0.005,0,MAX(0,BD158*(1+BD$6/12)-BD$7))</f>
        <v/>
      </c>
      <c r="AU159" s="92">
        <f>IF(BE158&lt;0.005,0,MAX(0,BE158*(1+BE$6/12)-BE$7))</f>
        <v/>
      </c>
      <c r="AV159" s="92">
        <f>IF(BF158&lt;0.005,0,MAX(0,BF158*(1+BF$6/12)-BF$7))</f>
        <v/>
      </c>
      <c r="AW159" s="92">
        <f>IF(BG158&lt;0.005,0,MAX(0,BG158*(1+BG$6/12)-BG$7))</f>
        <v/>
      </c>
      <c r="AX159" s="92">
        <f>IF(BH158&lt;0.005,0,MAX(0,BH158*(1+BH$6/12)-BH$7))</f>
        <v/>
      </c>
      <c r="AY159" s="91">
        <f>MAX(0,AO159-MAX(0,BJ159-0))</f>
        <v/>
      </c>
      <c r="AZ159" s="91">
        <f>MAX(0,AP159-MAX(0,BJ159-SUM(AO159:AO159)))</f>
        <v/>
      </c>
      <c r="BA159" s="91">
        <f>MAX(0,AQ159-MAX(0,BJ159-SUM(AO159:AP159)))</f>
        <v/>
      </c>
      <c r="BB159" s="91">
        <f>MAX(0,AR159-MAX(0,BJ159-SUM(AO159:AQ159)))</f>
        <v/>
      </c>
      <c r="BC159" s="91">
        <f>MAX(0,AS159-MAX(0,BJ159-SUM(AO159:AR159)))</f>
        <v/>
      </c>
      <c r="BD159" s="91">
        <f>MAX(0,AT159-MAX(0,BJ159-SUM(AO159:AS159)))</f>
        <v/>
      </c>
      <c r="BE159" s="91">
        <f>MAX(0,AU159-MAX(0,BJ159-SUM(AO159:AT159)))</f>
        <v/>
      </c>
      <c r="BF159" s="91">
        <f>MAX(0,AV159-MAX(0,BJ159-SUM(AO159:AU159)))</f>
        <v/>
      </c>
      <c r="BG159" s="91">
        <f>MAX(0,AW159-MAX(0,BJ159-SUM(AO159:AV159)))</f>
        <v/>
      </c>
      <c r="BH159" s="91">
        <f>MAX(0,AX159-MAX(0,BJ159-SUM(AO159:AW159)))</f>
        <v/>
      </c>
      <c r="BI159" s="92">
        <f>SUM(AY158:BH158)+BK159</f>
        <v/>
      </c>
      <c r="BJ159" s="92">
        <f>$BJ$7-(BI159-SUM(AO159:AX159))</f>
        <v/>
      </c>
      <c r="BK159" s="91">
        <f>SUMPRODUCT(AY158:BH158,$AY$6:$BH$6)/12</f>
        <v/>
      </c>
      <c r="BL159" s="88">
        <f>SUM(AY159:BH159)</f>
        <v/>
      </c>
    </row>
    <row r="160">
      <c r="A160" s="24" t="n">
        <v>150</v>
      </c>
      <c r="B160" s="90">
        <f>DATE(YEAR(Settings!$C$11),MONTH(Settings!$C$11)+A160,1)</f>
        <v/>
      </c>
      <c r="C160" s="91">
        <f>IF(C159&lt;0.005,0,MAX(0,C159*(1+C$6/12)-C$7))</f>
        <v/>
      </c>
      <c r="D160" s="91">
        <f>IF(D159&lt;0.005,0,MAX(0,D159*(1+D$6/12)-D$7))</f>
        <v/>
      </c>
      <c r="E160" s="91">
        <f>IF(E159&lt;0.005,0,MAX(0,E159*(1+E$6/12)-E$7))</f>
        <v/>
      </c>
      <c r="F160" s="91">
        <f>IF(F159&lt;0.005,0,MAX(0,F159*(1+F$6/12)-F$7))</f>
        <v/>
      </c>
      <c r="G160" s="91">
        <f>IF(G159&lt;0.005,0,MAX(0,G159*(1+G$6/12)-G$7))</f>
        <v/>
      </c>
      <c r="H160" s="91">
        <f>IF(H159&lt;0.005,0,MAX(0,H159*(1+H$6/12)-H$7))</f>
        <v/>
      </c>
      <c r="I160" s="91">
        <f>IF(I159&lt;0.005,0,MAX(0,I159*(1+I$6/12)-I$7))</f>
        <v/>
      </c>
      <c r="J160" s="91">
        <f>IF(J159&lt;0.005,0,MAX(0,J159*(1+J$6/12)-J$7))</f>
        <v/>
      </c>
      <c r="K160" s="91">
        <f>IF(K159&lt;0.005,0,MAX(0,K159*(1+K$6/12)-K$7))</f>
        <v/>
      </c>
      <c r="L160" s="91">
        <f>IF(L159&lt;0.005,0,MAX(0,L159*(1+L$6/12)-L$7))</f>
        <v/>
      </c>
      <c r="M160" s="91">
        <f>SUMPRODUCT(C159:L159,$C$6:$L$6)/12</f>
        <v/>
      </c>
      <c r="N160" s="88">
        <f>SUM(C160:L160)</f>
        <v/>
      </c>
      <c r="P160" s="92">
        <f>IF(Z159&lt;0.005,0,MAX(0,Z159*(1+Z$6/12)-Z$7))</f>
        <v/>
      </c>
      <c r="Q160" s="92">
        <f>IF(AA159&lt;0.005,0,MAX(0,AA159*(1+AA$6/12)-AA$7))</f>
        <v/>
      </c>
      <c r="R160" s="92">
        <f>IF(AB159&lt;0.005,0,MAX(0,AB159*(1+AB$6/12)-AB$7))</f>
        <v/>
      </c>
      <c r="S160" s="92">
        <f>IF(AC159&lt;0.005,0,MAX(0,AC159*(1+AC$6/12)-AC$7))</f>
        <v/>
      </c>
      <c r="T160" s="92">
        <f>IF(AD159&lt;0.005,0,MAX(0,AD159*(1+AD$6/12)-AD$7))</f>
        <v/>
      </c>
      <c r="U160" s="92">
        <f>IF(AE159&lt;0.005,0,MAX(0,AE159*(1+AE$6/12)-AE$7))</f>
        <v/>
      </c>
      <c r="V160" s="92">
        <f>IF(AF159&lt;0.005,0,MAX(0,AF159*(1+AF$6/12)-AF$7))</f>
        <v/>
      </c>
      <c r="W160" s="92">
        <f>IF(AG159&lt;0.005,0,MAX(0,AG159*(1+AG$6/12)-AG$7))</f>
        <v/>
      </c>
      <c r="X160" s="92">
        <f>IF(AH159&lt;0.005,0,MAX(0,AH159*(1+AH$6/12)-AH$7))</f>
        <v/>
      </c>
      <c r="Y160" s="92">
        <f>IF(AI159&lt;0.005,0,MAX(0,AI159*(1+AI$6/12)-AI$7))</f>
        <v/>
      </c>
      <c r="Z160" s="91">
        <f>MAX(0,P160-MAX(0,AK160-0))</f>
        <v/>
      </c>
      <c r="AA160" s="91">
        <f>MAX(0,Q160-MAX(0,AK160-SUM(P160:P160)))</f>
        <v/>
      </c>
      <c r="AB160" s="91">
        <f>MAX(0,R160-MAX(0,AK160-SUM(P160:Q160)))</f>
        <v/>
      </c>
      <c r="AC160" s="91">
        <f>MAX(0,S160-MAX(0,AK160-SUM(P160:R160)))</f>
        <v/>
      </c>
      <c r="AD160" s="91">
        <f>MAX(0,T160-MAX(0,AK160-SUM(P160:S160)))</f>
        <v/>
      </c>
      <c r="AE160" s="91">
        <f>MAX(0,U160-MAX(0,AK160-SUM(P160:T160)))</f>
        <v/>
      </c>
      <c r="AF160" s="91">
        <f>MAX(0,V160-MAX(0,AK160-SUM(P160:U160)))</f>
        <v/>
      </c>
      <c r="AG160" s="91">
        <f>MAX(0,W160-MAX(0,AK160-SUM(P160:V160)))</f>
        <v/>
      </c>
      <c r="AH160" s="91">
        <f>MAX(0,X160-MAX(0,AK160-SUM(P160:W160)))</f>
        <v/>
      </c>
      <c r="AI160" s="91">
        <f>MAX(0,Y160-MAX(0,AK160-SUM(P160:X160)))</f>
        <v/>
      </c>
      <c r="AJ160" s="92">
        <f>SUM(Z159:AI159)+AL160</f>
        <v/>
      </c>
      <c r="AK160" s="92">
        <f>$AK$7-(AJ160-SUM(P160:Y160))</f>
        <v/>
      </c>
      <c r="AL160" s="91">
        <f>SUMPRODUCT(Z159:AI159,$Z$6:$AI$6)/12</f>
        <v/>
      </c>
      <c r="AM160" s="88">
        <f>SUM(Z160:AI160)</f>
        <v/>
      </c>
      <c r="AO160" s="92">
        <f>IF(AY159&lt;0.005,0,MAX(0,AY159*(1+AY$6/12)-AY$7))</f>
        <v/>
      </c>
      <c r="AP160" s="92">
        <f>IF(AZ159&lt;0.005,0,MAX(0,AZ159*(1+AZ$6/12)-AZ$7))</f>
        <v/>
      </c>
      <c r="AQ160" s="92">
        <f>IF(BA159&lt;0.005,0,MAX(0,BA159*(1+BA$6/12)-BA$7))</f>
        <v/>
      </c>
      <c r="AR160" s="92">
        <f>IF(BB159&lt;0.005,0,MAX(0,BB159*(1+BB$6/12)-BB$7))</f>
        <v/>
      </c>
      <c r="AS160" s="92">
        <f>IF(BC159&lt;0.005,0,MAX(0,BC159*(1+BC$6/12)-BC$7))</f>
        <v/>
      </c>
      <c r="AT160" s="92">
        <f>IF(BD159&lt;0.005,0,MAX(0,BD159*(1+BD$6/12)-BD$7))</f>
        <v/>
      </c>
      <c r="AU160" s="92">
        <f>IF(BE159&lt;0.005,0,MAX(0,BE159*(1+BE$6/12)-BE$7))</f>
        <v/>
      </c>
      <c r="AV160" s="92">
        <f>IF(BF159&lt;0.005,0,MAX(0,BF159*(1+BF$6/12)-BF$7))</f>
        <v/>
      </c>
      <c r="AW160" s="92">
        <f>IF(BG159&lt;0.005,0,MAX(0,BG159*(1+BG$6/12)-BG$7))</f>
        <v/>
      </c>
      <c r="AX160" s="92">
        <f>IF(BH159&lt;0.005,0,MAX(0,BH159*(1+BH$6/12)-BH$7))</f>
        <v/>
      </c>
      <c r="AY160" s="91">
        <f>MAX(0,AO160-MAX(0,BJ160-0))</f>
        <v/>
      </c>
      <c r="AZ160" s="91">
        <f>MAX(0,AP160-MAX(0,BJ160-SUM(AO160:AO160)))</f>
        <v/>
      </c>
      <c r="BA160" s="91">
        <f>MAX(0,AQ160-MAX(0,BJ160-SUM(AO160:AP160)))</f>
        <v/>
      </c>
      <c r="BB160" s="91">
        <f>MAX(0,AR160-MAX(0,BJ160-SUM(AO160:AQ160)))</f>
        <v/>
      </c>
      <c r="BC160" s="91">
        <f>MAX(0,AS160-MAX(0,BJ160-SUM(AO160:AR160)))</f>
        <v/>
      </c>
      <c r="BD160" s="91">
        <f>MAX(0,AT160-MAX(0,BJ160-SUM(AO160:AS160)))</f>
        <v/>
      </c>
      <c r="BE160" s="91">
        <f>MAX(0,AU160-MAX(0,BJ160-SUM(AO160:AT160)))</f>
        <v/>
      </c>
      <c r="BF160" s="91">
        <f>MAX(0,AV160-MAX(0,BJ160-SUM(AO160:AU160)))</f>
        <v/>
      </c>
      <c r="BG160" s="91">
        <f>MAX(0,AW160-MAX(0,BJ160-SUM(AO160:AV160)))</f>
        <v/>
      </c>
      <c r="BH160" s="91">
        <f>MAX(0,AX160-MAX(0,BJ160-SUM(AO160:AW160)))</f>
        <v/>
      </c>
      <c r="BI160" s="92">
        <f>SUM(AY159:BH159)+BK160</f>
        <v/>
      </c>
      <c r="BJ160" s="92">
        <f>$BJ$7-(BI160-SUM(AO160:AX160))</f>
        <v/>
      </c>
      <c r="BK160" s="91">
        <f>SUMPRODUCT(AY159:BH159,$AY$6:$BH$6)/12</f>
        <v/>
      </c>
      <c r="BL160" s="88">
        <f>SUM(AY160:BH160)</f>
        <v/>
      </c>
    </row>
    <row r="161">
      <c r="A161" s="24" t="n">
        <v>151</v>
      </c>
      <c r="B161" s="90">
        <f>DATE(YEAR(Settings!$C$11),MONTH(Settings!$C$11)+A161,1)</f>
        <v/>
      </c>
      <c r="C161" s="91">
        <f>IF(C160&lt;0.005,0,MAX(0,C160*(1+C$6/12)-C$7))</f>
        <v/>
      </c>
      <c r="D161" s="91">
        <f>IF(D160&lt;0.005,0,MAX(0,D160*(1+D$6/12)-D$7))</f>
        <v/>
      </c>
      <c r="E161" s="91">
        <f>IF(E160&lt;0.005,0,MAX(0,E160*(1+E$6/12)-E$7))</f>
        <v/>
      </c>
      <c r="F161" s="91">
        <f>IF(F160&lt;0.005,0,MAX(0,F160*(1+F$6/12)-F$7))</f>
        <v/>
      </c>
      <c r="G161" s="91">
        <f>IF(G160&lt;0.005,0,MAX(0,G160*(1+G$6/12)-G$7))</f>
        <v/>
      </c>
      <c r="H161" s="91">
        <f>IF(H160&lt;0.005,0,MAX(0,H160*(1+H$6/12)-H$7))</f>
        <v/>
      </c>
      <c r="I161" s="91">
        <f>IF(I160&lt;0.005,0,MAX(0,I160*(1+I$6/12)-I$7))</f>
        <v/>
      </c>
      <c r="J161" s="91">
        <f>IF(J160&lt;0.005,0,MAX(0,J160*(1+J$6/12)-J$7))</f>
        <v/>
      </c>
      <c r="K161" s="91">
        <f>IF(K160&lt;0.005,0,MAX(0,K160*(1+K$6/12)-K$7))</f>
        <v/>
      </c>
      <c r="L161" s="91">
        <f>IF(L160&lt;0.005,0,MAX(0,L160*(1+L$6/12)-L$7))</f>
        <v/>
      </c>
      <c r="M161" s="91">
        <f>SUMPRODUCT(C160:L160,$C$6:$L$6)/12</f>
        <v/>
      </c>
      <c r="N161" s="88">
        <f>SUM(C161:L161)</f>
        <v/>
      </c>
      <c r="P161" s="92">
        <f>IF(Z160&lt;0.005,0,MAX(0,Z160*(1+Z$6/12)-Z$7))</f>
        <v/>
      </c>
      <c r="Q161" s="92">
        <f>IF(AA160&lt;0.005,0,MAX(0,AA160*(1+AA$6/12)-AA$7))</f>
        <v/>
      </c>
      <c r="R161" s="92">
        <f>IF(AB160&lt;0.005,0,MAX(0,AB160*(1+AB$6/12)-AB$7))</f>
        <v/>
      </c>
      <c r="S161" s="92">
        <f>IF(AC160&lt;0.005,0,MAX(0,AC160*(1+AC$6/12)-AC$7))</f>
        <v/>
      </c>
      <c r="T161" s="92">
        <f>IF(AD160&lt;0.005,0,MAX(0,AD160*(1+AD$6/12)-AD$7))</f>
        <v/>
      </c>
      <c r="U161" s="92">
        <f>IF(AE160&lt;0.005,0,MAX(0,AE160*(1+AE$6/12)-AE$7))</f>
        <v/>
      </c>
      <c r="V161" s="92">
        <f>IF(AF160&lt;0.005,0,MAX(0,AF160*(1+AF$6/12)-AF$7))</f>
        <v/>
      </c>
      <c r="W161" s="92">
        <f>IF(AG160&lt;0.005,0,MAX(0,AG160*(1+AG$6/12)-AG$7))</f>
        <v/>
      </c>
      <c r="X161" s="92">
        <f>IF(AH160&lt;0.005,0,MAX(0,AH160*(1+AH$6/12)-AH$7))</f>
        <v/>
      </c>
      <c r="Y161" s="92">
        <f>IF(AI160&lt;0.005,0,MAX(0,AI160*(1+AI$6/12)-AI$7))</f>
        <v/>
      </c>
      <c r="Z161" s="91">
        <f>MAX(0,P161-MAX(0,AK161-0))</f>
        <v/>
      </c>
      <c r="AA161" s="91">
        <f>MAX(0,Q161-MAX(0,AK161-SUM(P161:P161)))</f>
        <v/>
      </c>
      <c r="AB161" s="91">
        <f>MAX(0,R161-MAX(0,AK161-SUM(P161:Q161)))</f>
        <v/>
      </c>
      <c r="AC161" s="91">
        <f>MAX(0,S161-MAX(0,AK161-SUM(P161:R161)))</f>
        <v/>
      </c>
      <c r="AD161" s="91">
        <f>MAX(0,T161-MAX(0,AK161-SUM(P161:S161)))</f>
        <v/>
      </c>
      <c r="AE161" s="91">
        <f>MAX(0,U161-MAX(0,AK161-SUM(P161:T161)))</f>
        <v/>
      </c>
      <c r="AF161" s="91">
        <f>MAX(0,V161-MAX(0,AK161-SUM(P161:U161)))</f>
        <v/>
      </c>
      <c r="AG161" s="91">
        <f>MAX(0,W161-MAX(0,AK161-SUM(P161:V161)))</f>
        <v/>
      </c>
      <c r="AH161" s="91">
        <f>MAX(0,X161-MAX(0,AK161-SUM(P161:W161)))</f>
        <v/>
      </c>
      <c r="AI161" s="91">
        <f>MAX(0,Y161-MAX(0,AK161-SUM(P161:X161)))</f>
        <v/>
      </c>
      <c r="AJ161" s="92">
        <f>SUM(Z160:AI160)+AL161</f>
        <v/>
      </c>
      <c r="AK161" s="92">
        <f>$AK$7-(AJ161-SUM(P161:Y161))</f>
        <v/>
      </c>
      <c r="AL161" s="91">
        <f>SUMPRODUCT(Z160:AI160,$Z$6:$AI$6)/12</f>
        <v/>
      </c>
      <c r="AM161" s="88">
        <f>SUM(Z161:AI161)</f>
        <v/>
      </c>
      <c r="AO161" s="92">
        <f>IF(AY160&lt;0.005,0,MAX(0,AY160*(1+AY$6/12)-AY$7))</f>
        <v/>
      </c>
      <c r="AP161" s="92">
        <f>IF(AZ160&lt;0.005,0,MAX(0,AZ160*(1+AZ$6/12)-AZ$7))</f>
        <v/>
      </c>
      <c r="AQ161" s="92">
        <f>IF(BA160&lt;0.005,0,MAX(0,BA160*(1+BA$6/12)-BA$7))</f>
        <v/>
      </c>
      <c r="AR161" s="92">
        <f>IF(BB160&lt;0.005,0,MAX(0,BB160*(1+BB$6/12)-BB$7))</f>
        <v/>
      </c>
      <c r="AS161" s="92">
        <f>IF(BC160&lt;0.005,0,MAX(0,BC160*(1+BC$6/12)-BC$7))</f>
        <v/>
      </c>
      <c r="AT161" s="92">
        <f>IF(BD160&lt;0.005,0,MAX(0,BD160*(1+BD$6/12)-BD$7))</f>
        <v/>
      </c>
      <c r="AU161" s="92">
        <f>IF(BE160&lt;0.005,0,MAX(0,BE160*(1+BE$6/12)-BE$7))</f>
        <v/>
      </c>
      <c r="AV161" s="92">
        <f>IF(BF160&lt;0.005,0,MAX(0,BF160*(1+BF$6/12)-BF$7))</f>
        <v/>
      </c>
      <c r="AW161" s="92">
        <f>IF(BG160&lt;0.005,0,MAX(0,BG160*(1+BG$6/12)-BG$7))</f>
        <v/>
      </c>
      <c r="AX161" s="92">
        <f>IF(BH160&lt;0.005,0,MAX(0,BH160*(1+BH$6/12)-BH$7))</f>
        <v/>
      </c>
      <c r="AY161" s="91">
        <f>MAX(0,AO161-MAX(0,BJ161-0))</f>
        <v/>
      </c>
      <c r="AZ161" s="91">
        <f>MAX(0,AP161-MAX(0,BJ161-SUM(AO161:AO161)))</f>
        <v/>
      </c>
      <c r="BA161" s="91">
        <f>MAX(0,AQ161-MAX(0,BJ161-SUM(AO161:AP161)))</f>
        <v/>
      </c>
      <c r="BB161" s="91">
        <f>MAX(0,AR161-MAX(0,BJ161-SUM(AO161:AQ161)))</f>
        <v/>
      </c>
      <c r="BC161" s="91">
        <f>MAX(0,AS161-MAX(0,BJ161-SUM(AO161:AR161)))</f>
        <v/>
      </c>
      <c r="BD161" s="91">
        <f>MAX(0,AT161-MAX(0,BJ161-SUM(AO161:AS161)))</f>
        <v/>
      </c>
      <c r="BE161" s="91">
        <f>MAX(0,AU161-MAX(0,BJ161-SUM(AO161:AT161)))</f>
        <v/>
      </c>
      <c r="BF161" s="91">
        <f>MAX(0,AV161-MAX(0,BJ161-SUM(AO161:AU161)))</f>
        <v/>
      </c>
      <c r="BG161" s="91">
        <f>MAX(0,AW161-MAX(0,BJ161-SUM(AO161:AV161)))</f>
        <v/>
      </c>
      <c r="BH161" s="91">
        <f>MAX(0,AX161-MAX(0,BJ161-SUM(AO161:AW161)))</f>
        <v/>
      </c>
      <c r="BI161" s="92">
        <f>SUM(AY160:BH160)+BK161</f>
        <v/>
      </c>
      <c r="BJ161" s="92">
        <f>$BJ$7-(BI161-SUM(AO161:AX161))</f>
        <v/>
      </c>
      <c r="BK161" s="91">
        <f>SUMPRODUCT(AY160:BH160,$AY$6:$BH$6)/12</f>
        <v/>
      </c>
      <c r="BL161" s="88">
        <f>SUM(AY161:BH161)</f>
        <v/>
      </c>
    </row>
    <row r="162">
      <c r="A162" s="24" t="n">
        <v>152</v>
      </c>
      <c r="B162" s="90">
        <f>DATE(YEAR(Settings!$C$11),MONTH(Settings!$C$11)+A162,1)</f>
        <v/>
      </c>
      <c r="C162" s="91">
        <f>IF(C161&lt;0.005,0,MAX(0,C161*(1+C$6/12)-C$7))</f>
        <v/>
      </c>
      <c r="D162" s="91">
        <f>IF(D161&lt;0.005,0,MAX(0,D161*(1+D$6/12)-D$7))</f>
        <v/>
      </c>
      <c r="E162" s="91">
        <f>IF(E161&lt;0.005,0,MAX(0,E161*(1+E$6/12)-E$7))</f>
        <v/>
      </c>
      <c r="F162" s="91">
        <f>IF(F161&lt;0.005,0,MAX(0,F161*(1+F$6/12)-F$7))</f>
        <v/>
      </c>
      <c r="G162" s="91">
        <f>IF(G161&lt;0.005,0,MAX(0,G161*(1+G$6/12)-G$7))</f>
        <v/>
      </c>
      <c r="H162" s="91">
        <f>IF(H161&lt;0.005,0,MAX(0,H161*(1+H$6/12)-H$7))</f>
        <v/>
      </c>
      <c r="I162" s="91">
        <f>IF(I161&lt;0.005,0,MAX(0,I161*(1+I$6/12)-I$7))</f>
        <v/>
      </c>
      <c r="J162" s="91">
        <f>IF(J161&lt;0.005,0,MAX(0,J161*(1+J$6/12)-J$7))</f>
        <v/>
      </c>
      <c r="K162" s="91">
        <f>IF(K161&lt;0.005,0,MAX(0,K161*(1+K$6/12)-K$7))</f>
        <v/>
      </c>
      <c r="L162" s="91">
        <f>IF(L161&lt;0.005,0,MAX(0,L161*(1+L$6/12)-L$7))</f>
        <v/>
      </c>
      <c r="M162" s="91">
        <f>SUMPRODUCT(C161:L161,$C$6:$L$6)/12</f>
        <v/>
      </c>
      <c r="N162" s="88">
        <f>SUM(C162:L162)</f>
        <v/>
      </c>
      <c r="P162" s="92">
        <f>IF(Z161&lt;0.005,0,MAX(0,Z161*(1+Z$6/12)-Z$7))</f>
        <v/>
      </c>
      <c r="Q162" s="92">
        <f>IF(AA161&lt;0.005,0,MAX(0,AA161*(1+AA$6/12)-AA$7))</f>
        <v/>
      </c>
      <c r="R162" s="92">
        <f>IF(AB161&lt;0.005,0,MAX(0,AB161*(1+AB$6/12)-AB$7))</f>
        <v/>
      </c>
      <c r="S162" s="92">
        <f>IF(AC161&lt;0.005,0,MAX(0,AC161*(1+AC$6/12)-AC$7))</f>
        <v/>
      </c>
      <c r="T162" s="92">
        <f>IF(AD161&lt;0.005,0,MAX(0,AD161*(1+AD$6/12)-AD$7))</f>
        <v/>
      </c>
      <c r="U162" s="92">
        <f>IF(AE161&lt;0.005,0,MAX(0,AE161*(1+AE$6/12)-AE$7))</f>
        <v/>
      </c>
      <c r="V162" s="92">
        <f>IF(AF161&lt;0.005,0,MAX(0,AF161*(1+AF$6/12)-AF$7))</f>
        <v/>
      </c>
      <c r="W162" s="92">
        <f>IF(AG161&lt;0.005,0,MAX(0,AG161*(1+AG$6/12)-AG$7))</f>
        <v/>
      </c>
      <c r="X162" s="92">
        <f>IF(AH161&lt;0.005,0,MAX(0,AH161*(1+AH$6/12)-AH$7))</f>
        <v/>
      </c>
      <c r="Y162" s="92">
        <f>IF(AI161&lt;0.005,0,MAX(0,AI161*(1+AI$6/12)-AI$7))</f>
        <v/>
      </c>
      <c r="Z162" s="91">
        <f>MAX(0,P162-MAX(0,AK162-0))</f>
        <v/>
      </c>
      <c r="AA162" s="91">
        <f>MAX(0,Q162-MAX(0,AK162-SUM(P162:P162)))</f>
        <v/>
      </c>
      <c r="AB162" s="91">
        <f>MAX(0,R162-MAX(0,AK162-SUM(P162:Q162)))</f>
        <v/>
      </c>
      <c r="AC162" s="91">
        <f>MAX(0,S162-MAX(0,AK162-SUM(P162:R162)))</f>
        <v/>
      </c>
      <c r="AD162" s="91">
        <f>MAX(0,T162-MAX(0,AK162-SUM(P162:S162)))</f>
        <v/>
      </c>
      <c r="AE162" s="91">
        <f>MAX(0,U162-MAX(0,AK162-SUM(P162:T162)))</f>
        <v/>
      </c>
      <c r="AF162" s="91">
        <f>MAX(0,V162-MAX(0,AK162-SUM(P162:U162)))</f>
        <v/>
      </c>
      <c r="AG162" s="91">
        <f>MAX(0,W162-MAX(0,AK162-SUM(P162:V162)))</f>
        <v/>
      </c>
      <c r="AH162" s="91">
        <f>MAX(0,X162-MAX(0,AK162-SUM(P162:W162)))</f>
        <v/>
      </c>
      <c r="AI162" s="91">
        <f>MAX(0,Y162-MAX(0,AK162-SUM(P162:X162)))</f>
        <v/>
      </c>
      <c r="AJ162" s="92">
        <f>SUM(Z161:AI161)+AL162</f>
        <v/>
      </c>
      <c r="AK162" s="92">
        <f>$AK$7-(AJ162-SUM(P162:Y162))</f>
        <v/>
      </c>
      <c r="AL162" s="91">
        <f>SUMPRODUCT(Z161:AI161,$Z$6:$AI$6)/12</f>
        <v/>
      </c>
      <c r="AM162" s="88">
        <f>SUM(Z162:AI162)</f>
        <v/>
      </c>
      <c r="AO162" s="92">
        <f>IF(AY161&lt;0.005,0,MAX(0,AY161*(1+AY$6/12)-AY$7))</f>
        <v/>
      </c>
      <c r="AP162" s="92">
        <f>IF(AZ161&lt;0.005,0,MAX(0,AZ161*(1+AZ$6/12)-AZ$7))</f>
        <v/>
      </c>
      <c r="AQ162" s="92">
        <f>IF(BA161&lt;0.005,0,MAX(0,BA161*(1+BA$6/12)-BA$7))</f>
        <v/>
      </c>
      <c r="AR162" s="92">
        <f>IF(BB161&lt;0.005,0,MAX(0,BB161*(1+BB$6/12)-BB$7))</f>
        <v/>
      </c>
      <c r="AS162" s="92">
        <f>IF(BC161&lt;0.005,0,MAX(0,BC161*(1+BC$6/12)-BC$7))</f>
        <v/>
      </c>
      <c r="AT162" s="92">
        <f>IF(BD161&lt;0.005,0,MAX(0,BD161*(1+BD$6/12)-BD$7))</f>
        <v/>
      </c>
      <c r="AU162" s="92">
        <f>IF(BE161&lt;0.005,0,MAX(0,BE161*(1+BE$6/12)-BE$7))</f>
        <v/>
      </c>
      <c r="AV162" s="92">
        <f>IF(BF161&lt;0.005,0,MAX(0,BF161*(1+BF$6/12)-BF$7))</f>
        <v/>
      </c>
      <c r="AW162" s="92">
        <f>IF(BG161&lt;0.005,0,MAX(0,BG161*(1+BG$6/12)-BG$7))</f>
        <v/>
      </c>
      <c r="AX162" s="92">
        <f>IF(BH161&lt;0.005,0,MAX(0,BH161*(1+BH$6/12)-BH$7))</f>
        <v/>
      </c>
      <c r="AY162" s="91">
        <f>MAX(0,AO162-MAX(0,BJ162-0))</f>
        <v/>
      </c>
      <c r="AZ162" s="91">
        <f>MAX(0,AP162-MAX(0,BJ162-SUM(AO162:AO162)))</f>
        <v/>
      </c>
      <c r="BA162" s="91">
        <f>MAX(0,AQ162-MAX(0,BJ162-SUM(AO162:AP162)))</f>
        <v/>
      </c>
      <c r="BB162" s="91">
        <f>MAX(0,AR162-MAX(0,BJ162-SUM(AO162:AQ162)))</f>
        <v/>
      </c>
      <c r="BC162" s="91">
        <f>MAX(0,AS162-MAX(0,BJ162-SUM(AO162:AR162)))</f>
        <v/>
      </c>
      <c r="BD162" s="91">
        <f>MAX(0,AT162-MAX(0,BJ162-SUM(AO162:AS162)))</f>
        <v/>
      </c>
      <c r="BE162" s="91">
        <f>MAX(0,AU162-MAX(0,BJ162-SUM(AO162:AT162)))</f>
        <v/>
      </c>
      <c r="BF162" s="91">
        <f>MAX(0,AV162-MAX(0,BJ162-SUM(AO162:AU162)))</f>
        <v/>
      </c>
      <c r="BG162" s="91">
        <f>MAX(0,AW162-MAX(0,BJ162-SUM(AO162:AV162)))</f>
        <v/>
      </c>
      <c r="BH162" s="91">
        <f>MAX(0,AX162-MAX(0,BJ162-SUM(AO162:AW162)))</f>
        <v/>
      </c>
      <c r="BI162" s="92">
        <f>SUM(AY161:BH161)+BK162</f>
        <v/>
      </c>
      <c r="BJ162" s="92">
        <f>$BJ$7-(BI162-SUM(AO162:AX162))</f>
        <v/>
      </c>
      <c r="BK162" s="91">
        <f>SUMPRODUCT(AY161:BH161,$AY$6:$BH$6)/12</f>
        <v/>
      </c>
      <c r="BL162" s="88">
        <f>SUM(AY162:BH162)</f>
        <v/>
      </c>
    </row>
    <row r="163">
      <c r="A163" s="24" t="n">
        <v>153</v>
      </c>
      <c r="B163" s="90">
        <f>DATE(YEAR(Settings!$C$11),MONTH(Settings!$C$11)+A163,1)</f>
        <v/>
      </c>
      <c r="C163" s="91">
        <f>IF(C162&lt;0.005,0,MAX(0,C162*(1+C$6/12)-C$7))</f>
        <v/>
      </c>
      <c r="D163" s="91">
        <f>IF(D162&lt;0.005,0,MAX(0,D162*(1+D$6/12)-D$7))</f>
        <v/>
      </c>
      <c r="E163" s="91">
        <f>IF(E162&lt;0.005,0,MAX(0,E162*(1+E$6/12)-E$7))</f>
        <v/>
      </c>
      <c r="F163" s="91">
        <f>IF(F162&lt;0.005,0,MAX(0,F162*(1+F$6/12)-F$7))</f>
        <v/>
      </c>
      <c r="G163" s="91">
        <f>IF(G162&lt;0.005,0,MAX(0,G162*(1+G$6/12)-G$7))</f>
        <v/>
      </c>
      <c r="H163" s="91">
        <f>IF(H162&lt;0.005,0,MAX(0,H162*(1+H$6/12)-H$7))</f>
        <v/>
      </c>
      <c r="I163" s="91">
        <f>IF(I162&lt;0.005,0,MAX(0,I162*(1+I$6/12)-I$7))</f>
        <v/>
      </c>
      <c r="J163" s="91">
        <f>IF(J162&lt;0.005,0,MAX(0,J162*(1+J$6/12)-J$7))</f>
        <v/>
      </c>
      <c r="K163" s="91">
        <f>IF(K162&lt;0.005,0,MAX(0,K162*(1+K$6/12)-K$7))</f>
        <v/>
      </c>
      <c r="L163" s="91">
        <f>IF(L162&lt;0.005,0,MAX(0,L162*(1+L$6/12)-L$7))</f>
        <v/>
      </c>
      <c r="M163" s="91">
        <f>SUMPRODUCT(C162:L162,$C$6:$L$6)/12</f>
        <v/>
      </c>
      <c r="N163" s="88">
        <f>SUM(C163:L163)</f>
        <v/>
      </c>
      <c r="P163" s="92">
        <f>IF(Z162&lt;0.005,0,MAX(0,Z162*(1+Z$6/12)-Z$7))</f>
        <v/>
      </c>
      <c r="Q163" s="92">
        <f>IF(AA162&lt;0.005,0,MAX(0,AA162*(1+AA$6/12)-AA$7))</f>
        <v/>
      </c>
      <c r="R163" s="92">
        <f>IF(AB162&lt;0.005,0,MAX(0,AB162*(1+AB$6/12)-AB$7))</f>
        <v/>
      </c>
      <c r="S163" s="92">
        <f>IF(AC162&lt;0.005,0,MAX(0,AC162*(1+AC$6/12)-AC$7))</f>
        <v/>
      </c>
      <c r="T163" s="92">
        <f>IF(AD162&lt;0.005,0,MAX(0,AD162*(1+AD$6/12)-AD$7))</f>
        <v/>
      </c>
      <c r="U163" s="92">
        <f>IF(AE162&lt;0.005,0,MAX(0,AE162*(1+AE$6/12)-AE$7))</f>
        <v/>
      </c>
      <c r="V163" s="92">
        <f>IF(AF162&lt;0.005,0,MAX(0,AF162*(1+AF$6/12)-AF$7))</f>
        <v/>
      </c>
      <c r="W163" s="92">
        <f>IF(AG162&lt;0.005,0,MAX(0,AG162*(1+AG$6/12)-AG$7))</f>
        <v/>
      </c>
      <c r="X163" s="92">
        <f>IF(AH162&lt;0.005,0,MAX(0,AH162*(1+AH$6/12)-AH$7))</f>
        <v/>
      </c>
      <c r="Y163" s="92">
        <f>IF(AI162&lt;0.005,0,MAX(0,AI162*(1+AI$6/12)-AI$7))</f>
        <v/>
      </c>
      <c r="Z163" s="91">
        <f>MAX(0,P163-MAX(0,AK163-0))</f>
        <v/>
      </c>
      <c r="AA163" s="91">
        <f>MAX(0,Q163-MAX(0,AK163-SUM(P163:P163)))</f>
        <v/>
      </c>
      <c r="AB163" s="91">
        <f>MAX(0,R163-MAX(0,AK163-SUM(P163:Q163)))</f>
        <v/>
      </c>
      <c r="AC163" s="91">
        <f>MAX(0,S163-MAX(0,AK163-SUM(P163:R163)))</f>
        <v/>
      </c>
      <c r="AD163" s="91">
        <f>MAX(0,T163-MAX(0,AK163-SUM(P163:S163)))</f>
        <v/>
      </c>
      <c r="AE163" s="91">
        <f>MAX(0,U163-MAX(0,AK163-SUM(P163:T163)))</f>
        <v/>
      </c>
      <c r="AF163" s="91">
        <f>MAX(0,V163-MAX(0,AK163-SUM(P163:U163)))</f>
        <v/>
      </c>
      <c r="AG163" s="91">
        <f>MAX(0,W163-MAX(0,AK163-SUM(P163:V163)))</f>
        <v/>
      </c>
      <c r="AH163" s="91">
        <f>MAX(0,X163-MAX(0,AK163-SUM(P163:W163)))</f>
        <v/>
      </c>
      <c r="AI163" s="91">
        <f>MAX(0,Y163-MAX(0,AK163-SUM(P163:X163)))</f>
        <v/>
      </c>
      <c r="AJ163" s="92">
        <f>SUM(Z162:AI162)+AL163</f>
        <v/>
      </c>
      <c r="AK163" s="92">
        <f>$AK$7-(AJ163-SUM(P163:Y163))</f>
        <v/>
      </c>
      <c r="AL163" s="91">
        <f>SUMPRODUCT(Z162:AI162,$Z$6:$AI$6)/12</f>
        <v/>
      </c>
      <c r="AM163" s="88">
        <f>SUM(Z163:AI163)</f>
        <v/>
      </c>
      <c r="AO163" s="92">
        <f>IF(AY162&lt;0.005,0,MAX(0,AY162*(1+AY$6/12)-AY$7))</f>
        <v/>
      </c>
      <c r="AP163" s="92">
        <f>IF(AZ162&lt;0.005,0,MAX(0,AZ162*(1+AZ$6/12)-AZ$7))</f>
        <v/>
      </c>
      <c r="AQ163" s="92">
        <f>IF(BA162&lt;0.005,0,MAX(0,BA162*(1+BA$6/12)-BA$7))</f>
        <v/>
      </c>
      <c r="AR163" s="92">
        <f>IF(BB162&lt;0.005,0,MAX(0,BB162*(1+BB$6/12)-BB$7))</f>
        <v/>
      </c>
      <c r="AS163" s="92">
        <f>IF(BC162&lt;0.005,0,MAX(0,BC162*(1+BC$6/12)-BC$7))</f>
        <v/>
      </c>
      <c r="AT163" s="92">
        <f>IF(BD162&lt;0.005,0,MAX(0,BD162*(1+BD$6/12)-BD$7))</f>
        <v/>
      </c>
      <c r="AU163" s="92">
        <f>IF(BE162&lt;0.005,0,MAX(0,BE162*(1+BE$6/12)-BE$7))</f>
        <v/>
      </c>
      <c r="AV163" s="92">
        <f>IF(BF162&lt;0.005,0,MAX(0,BF162*(1+BF$6/12)-BF$7))</f>
        <v/>
      </c>
      <c r="AW163" s="92">
        <f>IF(BG162&lt;0.005,0,MAX(0,BG162*(1+BG$6/12)-BG$7))</f>
        <v/>
      </c>
      <c r="AX163" s="92">
        <f>IF(BH162&lt;0.005,0,MAX(0,BH162*(1+BH$6/12)-BH$7))</f>
        <v/>
      </c>
      <c r="AY163" s="91">
        <f>MAX(0,AO163-MAX(0,BJ163-0))</f>
        <v/>
      </c>
      <c r="AZ163" s="91">
        <f>MAX(0,AP163-MAX(0,BJ163-SUM(AO163:AO163)))</f>
        <v/>
      </c>
      <c r="BA163" s="91">
        <f>MAX(0,AQ163-MAX(0,BJ163-SUM(AO163:AP163)))</f>
        <v/>
      </c>
      <c r="BB163" s="91">
        <f>MAX(0,AR163-MAX(0,BJ163-SUM(AO163:AQ163)))</f>
        <v/>
      </c>
      <c r="BC163" s="91">
        <f>MAX(0,AS163-MAX(0,BJ163-SUM(AO163:AR163)))</f>
        <v/>
      </c>
      <c r="BD163" s="91">
        <f>MAX(0,AT163-MAX(0,BJ163-SUM(AO163:AS163)))</f>
        <v/>
      </c>
      <c r="BE163" s="91">
        <f>MAX(0,AU163-MAX(0,BJ163-SUM(AO163:AT163)))</f>
        <v/>
      </c>
      <c r="BF163" s="91">
        <f>MAX(0,AV163-MAX(0,BJ163-SUM(AO163:AU163)))</f>
        <v/>
      </c>
      <c r="BG163" s="91">
        <f>MAX(0,AW163-MAX(0,BJ163-SUM(AO163:AV163)))</f>
        <v/>
      </c>
      <c r="BH163" s="91">
        <f>MAX(0,AX163-MAX(0,BJ163-SUM(AO163:AW163)))</f>
        <v/>
      </c>
      <c r="BI163" s="92">
        <f>SUM(AY162:BH162)+BK163</f>
        <v/>
      </c>
      <c r="BJ163" s="92">
        <f>$BJ$7-(BI163-SUM(AO163:AX163))</f>
        <v/>
      </c>
      <c r="BK163" s="91">
        <f>SUMPRODUCT(AY162:BH162,$AY$6:$BH$6)/12</f>
        <v/>
      </c>
      <c r="BL163" s="88">
        <f>SUM(AY163:BH163)</f>
        <v/>
      </c>
    </row>
    <row r="164">
      <c r="A164" s="24" t="n">
        <v>154</v>
      </c>
      <c r="B164" s="90">
        <f>DATE(YEAR(Settings!$C$11),MONTH(Settings!$C$11)+A164,1)</f>
        <v/>
      </c>
      <c r="C164" s="91">
        <f>IF(C163&lt;0.005,0,MAX(0,C163*(1+C$6/12)-C$7))</f>
        <v/>
      </c>
      <c r="D164" s="91">
        <f>IF(D163&lt;0.005,0,MAX(0,D163*(1+D$6/12)-D$7))</f>
        <v/>
      </c>
      <c r="E164" s="91">
        <f>IF(E163&lt;0.005,0,MAX(0,E163*(1+E$6/12)-E$7))</f>
        <v/>
      </c>
      <c r="F164" s="91">
        <f>IF(F163&lt;0.005,0,MAX(0,F163*(1+F$6/12)-F$7))</f>
        <v/>
      </c>
      <c r="G164" s="91">
        <f>IF(G163&lt;0.005,0,MAX(0,G163*(1+G$6/12)-G$7))</f>
        <v/>
      </c>
      <c r="H164" s="91">
        <f>IF(H163&lt;0.005,0,MAX(0,H163*(1+H$6/12)-H$7))</f>
        <v/>
      </c>
      <c r="I164" s="91">
        <f>IF(I163&lt;0.005,0,MAX(0,I163*(1+I$6/12)-I$7))</f>
        <v/>
      </c>
      <c r="J164" s="91">
        <f>IF(J163&lt;0.005,0,MAX(0,J163*(1+J$6/12)-J$7))</f>
        <v/>
      </c>
      <c r="K164" s="91">
        <f>IF(K163&lt;0.005,0,MAX(0,K163*(1+K$6/12)-K$7))</f>
        <v/>
      </c>
      <c r="L164" s="91">
        <f>IF(L163&lt;0.005,0,MAX(0,L163*(1+L$6/12)-L$7))</f>
        <v/>
      </c>
      <c r="M164" s="91">
        <f>SUMPRODUCT(C163:L163,$C$6:$L$6)/12</f>
        <v/>
      </c>
      <c r="N164" s="88">
        <f>SUM(C164:L164)</f>
        <v/>
      </c>
      <c r="P164" s="92">
        <f>IF(Z163&lt;0.005,0,MAX(0,Z163*(1+Z$6/12)-Z$7))</f>
        <v/>
      </c>
      <c r="Q164" s="92">
        <f>IF(AA163&lt;0.005,0,MAX(0,AA163*(1+AA$6/12)-AA$7))</f>
        <v/>
      </c>
      <c r="R164" s="92">
        <f>IF(AB163&lt;0.005,0,MAX(0,AB163*(1+AB$6/12)-AB$7))</f>
        <v/>
      </c>
      <c r="S164" s="92">
        <f>IF(AC163&lt;0.005,0,MAX(0,AC163*(1+AC$6/12)-AC$7))</f>
        <v/>
      </c>
      <c r="T164" s="92">
        <f>IF(AD163&lt;0.005,0,MAX(0,AD163*(1+AD$6/12)-AD$7))</f>
        <v/>
      </c>
      <c r="U164" s="92">
        <f>IF(AE163&lt;0.005,0,MAX(0,AE163*(1+AE$6/12)-AE$7))</f>
        <v/>
      </c>
      <c r="V164" s="92">
        <f>IF(AF163&lt;0.005,0,MAX(0,AF163*(1+AF$6/12)-AF$7))</f>
        <v/>
      </c>
      <c r="W164" s="92">
        <f>IF(AG163&lt;0.005,0,MAX(0,AG163*(1+AG$6/12)-AG$7))</f>
        <v/>
      </c>
      <c r="X164" s="92">
        <f>IF(AH163&lt;0.005,0,MAX(0,AH163*(1+AH$6/12)-AH$7))</f>
        <v/>
      </c>
      <c r="Y164" s="92">
        <f>IF(AI163&lt;0.005,0,MAX(0,AI163*(1+AI$6/12)-AI$7))</f>
        <v/>
      </c>
      <c r="Z164" s="91">
        <f>MAX(0,P164-MAX(0,AK164-0))</f>
        <v/>
      </c>
      <c r="AA164" s="91">
        <f>MAX(0,Q164-MAX(0,AK164-SUM(P164:P164)))</f>
        <v/>
      </c>
      <c r="AB164" s="91">
        <f>MAX(0,R164-MAX(0,AK164-SUM(P164:Q164)))</f>
        <v/>
      </c>
      <c r="AC164" s="91">
        <f>MAX(0,S164-MAX(0,AK164-SUM(P164:R164)))</f>
        <v/>
      </c>
      <c r="AD164" s="91">
        <f>MAX(0,T164-MAX(0,AK164-SUM(P164:S164)))</f>
        <v/>
      </c>
      <c r="AE164" s="91">
        <f>MAX(0,U164-MAX(0,AK164-SUM(P164:T164)))</f>
        <v/>
      </c>
      <c r="AF164" s="91">
        <f>MAX(0,V164-MAX(0,AK164-SUM(P164:U164)))</f>
        <v/>
      </c>
      <c r="AG164" s="91">
        <f>MAX(0,W164-MAX(0,AK164-SUM(P164:V164)))</f>
        <v/>
      </c>
      <c r="AH164" s="91">
        <f>MAX(0,X164-MAX(0,AK164-SUM(P164:W164)))</f>
        <v/>
      </c>
      <c r="AI164" s="91">
        <f>MAX(0,Y164-MAX(0,AK164-SUM(P164:X164)))</f>
        <v/>
      </c>
      <c r="AJ164" s="92">
        <f>SUM(Z163:AI163)+AL164</f>
        <v/>
      </c>
      <c r="AK164" s="92">
        <f>$AK$7-(AJ164-SUM(P164:Y164))</f>
        <v/>
      </c>
      <c r="AL164" s="91">
        <f>SUMPRODUCT(Z163:AI163,$Z$6:$AI$6)/12</f>
        <v/>
      </c>
      <c r="AM164" s="88">
        <f>SUM(Z164:AI164)</f>
        <v/>
      </c>
      <c r="AO164" s="92">
        <f>IF(AY163&lt;0.005,0,MAX(0,AY163*(1+AY$6/12)-AY$7))</f>
        <v/>
      </c>
      <c r="AP164" s="92">
        <f>IF(AZ163&lt;0.005,0,MAX(0,AZ163*(1+AZ$6/12)-AZ$7))</f>
        <v/>
      </c>
      <c r="AQ164" s="92">
        <f>IF(BA163&lt;0.005,0,MAX(0,BA163*(1+BA$6/12)-BA$7))</f>
        <v/>
      </c>
      <c r="AR164" s="92">
        <f>IF(BB163&lt;0.005,0,MAX(0,BB163*(1+BB$6/12)-BB$7))</f>
        <v/>
      </c>
      <c r="AS164" s="92">
        <f>IF(BC163&lt;0.005,0,MAX(0,BC163*(1+BC$6/12)-BC$7))</f>
        <v/>
      </c>
      <c r="AT164" s="92">
        <f>IF(BD163&lt;0.005,0,MAX(0,BD163*(1+BD$6/12)-BD$7))</f>
        <v/>
      </c>
      <c r="AU164" s="92">
        <f>IF(BE163&lt;0.005,0,MAX(0,BE163*(1+BE$6/12)-BE$7))</f>
        <v/>
      </c>
      <c r="AV164" s="92">
        <f>IF(BF163&lt;0.005,0,MAX(0,BF163*(1+BF$6/12)-BF$7))</f>
        <v/>
      </c>
      <c r="AW164" s="92">
        <f>IF(BG163&lt;0.005,0,MAX(0,BG163*(1+BG$6/12)-BG$7))</f>
        <v/>
      </c>
      <c r="AX164" s="92">
        <f>IF(BH163&lt;0.005,0,MAX(0,BH163*(1+BH$6/12)-BH$7))</f>
        <v/>
      </c>
      <c r="AY164" s="91">
        <f>MAX(0,AO164-MAX(0,BJ164-0))</f>
        <v/>
      </c>
      <c r="AZ164" s="91">
        <f>MAX(0,AP164-MAX(0,BJ164-SUM(AO164:AO164)))</f>
        <v/>
      </c>
      <c r="BA164" s="91">
        <f>MAX(0,AQ164-MAX(0,BJ164-SUM(AO164:AP164)))</f>
        <v/>
      </c>
      <c r="BB164" s="91">
        <f>MAX(0,AR164-MAX(0,BJ164-SUM(AO164:AQ164)))</f>
        <v/>
      </c>
      <c r="BC164" s="91">
        <f>MAX(0,AS164-MAX(0,BJ164-SUM(AO164:AR164)))</f>
        <v/>
      </c>
      <c r="BD164" s="91">
        <f>MAX(0,AT164-MAX(0,BJ164-SUM(AO164:AS164)))</f>
        <v/>
      </c>
      <c r="BE164" s="91">
        <f>MAX(0,AU164-MAX(0,BJ164-SUM(AO164:AT164)))</f>
        <v/>
      </c>
      <c r="BF164" s="91">
        <f>MAX(0,AV164-MAX(0,BJ164-SUM(AO164:AU164)))</f>
        <v/>
      </c>
      <c r="BG164" s="91">
        <f>MAX(0,AW164-MAX(0,BJ164-SUM(AO164:AV164)))</f>
        <v/>
      </c>
      <c r="BH164" s="91">
        <f>MAX(0,AX164-MAX(0,BJ164-SUM(AO164:AW164)))</f>
        <v/>
      </c>
      <c r="BI164" s="92">
        <f>SUM(AY163:BH163)+BK164</f>
        <v/>
      </c>
      <c r="BJ164" s="92">
        <f>$BJ$7-(BI164-SUM(AO164:AX164))</f>
        <v/>
      </c>
      <c r="BK164" s="91">
        <f>SUMPRODUCT(AY163:BH163,$AY$6:$BH$6)/12</f>
        <v/>
      </c>
      <c r="BL164" s="88">
        <f>SUM(AY164:BH164)</f>
        <v/>
      </c>
    </row>
    <row r="165">
      <c r="A165" s="24" t="n">
        <v>155</v>
      </c>
      <c r="B165" s="90">
        <f>DATE(YEAR(Settings!$C$11),MONTH(Settings!$C$11)+A165,1)</f>
        <v/>
      </c>
      <c r="C165" s="91">
        <f>IF(C164&lt;0.005,0,MAX(0,C164*(1+C$6/12)-C$7))</f>
        <v/>
      </c>
      <c r="D165" s="91">
        <f>IF(D164&lt;0.005,0,MAX(0,D164*(1+D$6/12)-D$7))</f>
        <v/>
      </c>
      <c r="E165" s="91">
        <f>IF(E164&lt;0.005,0,MAX(0,E164*(1+E$6/12)-E$7))</f>
        <v/>
      </c>
      <c r="F165" s="91">
        <f>IF(F164&lt;0.005,0,MAX(0,F164*(1+F$6/12)-F$7))</f>
        <v/>
      </c>
      <c r="G165" s="91">
        <f>IF(G164&lt;0.005,0,MAX(0,G164*(1+G$6/12)-G$7))</f>
        <v/>
      </c>
      <c r="H165" s="91">
        <f>IF(H164&lt;0.005,0,MAX(0,H164*(1+H$6/12)-H$7))</f>
        <v/>
      </c>
      <c r="I165" s="91">
        <f>IF(I164&lt;0.005,0,MAX(0,I164*(1+I$6/12)-I$7))</f>
        <v/>
      </c>
      <c r="J165" s="91">
        <f>IF(J164&lt;0.005,0,MAX(0,J164*(1+J$6/12)-J$7))</f>
        <v/>
      </c>
      <c r="K165" s="91">
        <f>IF(K164&lt;0.005,0,MAX(0,K164*(1+K$6/12)-K$7))</f>
        <v/>
      </c>
      <c r="L165" s="91">
        <f>IF(L164&lt;0.005,0,MAX(0,L164*(1+L$6/12)-L$7))</f>
        <v/>
      </c>
      <c r="M165" s="91">
        <f>SUMPRODUCT(C164:L164,$C$6:$L$6)/12</f>
        <v/>
      </c>
      <c r="N165" s="88">
        <f>SUM(C165:L165)</f>
        <v/>
      </c>
      <c r="P165" s="92">
        <f>IF(Z164&lt;0.005,0,MAX(0,Z164*(1+Z$6/12)-Z$7))</f>
        <v/>
      </c>
      <c r="Q165" s="92">
        <f>IF(AA164&lt;0.005,0,MAX(0,AA164*(1+AA$6/12)-AA$7))</f>
        <v/>
      </c>
      <c r="R165" s="92">
        <f>IF(AB164&lt;0.005,0,MAX(0,AB164*(1+AB$6/12)-AB$7))</f>
        <v/>
      </c>
      <c r="S165" s="92">
        <f>IF(AC164&lt;0.005,0,MAX(0,AC164*(1+AC$6/12)-AC$7))</f>
        <v/>
      </c>
      <c r="T165" s="92">
        <f>IF(AD164&lt;0.005,0,MAX(0,AD164*(1+AD$6/12)-AD$7))</f>
        <v/>
      </c>
      <c r="U165" s="92">
        <f>IF(AE164&lt;0.005,0,MAX(0,AE164*(1+AE$6/12)-AE$7))</f>
        <v/>
      </c>
      <c r="V165" s="92">
        <f>IF(AF164&lt;0.005,0,MAX(0,AF164*(1+AF$6/12)-AF$7))</f>
        <v/>
      </c>
      <c r="W165" s="92">
        <f>IF(AG164&lt;0.005,0,MAX(0,AG164*(1+AG$6/12)-AG$7))</f>
        <v/>
      </c>
      <c r="X165" s="92">
        <f>IF(AH164&lt;0.005,0,MAX(0,AH164*(1+AH$6/12)-AH$7))</f>
        <v/>
      </c>
      <c r="Y165" s="92">
        <f>IF(AI164&lt;0.005,0,MAX(0,AI164*(1+AI$6/12)-AI$7))</f>
        <v/>
      </c>
      <c r="Z165" s="91">
        <f>MAX(0,P165-MAX(0,AK165-0))</f>
        <v/>
      </c>
      <c r="AA165" s="91">
        <f>MAX(0,Q165-MAX(0,AK165-SUM(P165:P165)))</f>
        <v/>
      </c>
      <c r="AB165" s="91">
        <f>MAX(0,R165-MAX(0,AK165-SUM(P165:Q165)))</f>
        <v/>
      </c>
      <c r="AC165" s="91">
        <f>MAX(0,S165-MAX(0,AK165-SUM(P165:R165)))</f>
        <v/>
      </c>
      <c r="AD165" s="91">
        <f>MAX(0,T165-MAX(0,AK165-SUM(P165:S165)))</f>
        <v/>
      </c>
      <c r="AE165" s="91">
        <f>MAX(0,U165-MAX(0,AK165-SUM(P165:T165)))</f>
        <v/>
      </c>
      <c r="AF165" s="91">
        <f>MAX(0,V165-MAX(0,AK165-SUM(P165:U165)))</f>
        <v/>
      </c>
      <c r="AG165" s="91">
        <f>MAX(0,W165-MAX(0,AK165-SUM(P165:V165)))</f>
        <v/>
      </c>
      <c r="AH165" s="91">
        <f>MAX(0,X165-MAX(0,AK165-SUM(P165:W165)))</f>
        <v/>
      </c>
      <c r="AI165" s="91">
        <f>MAX(0,Y165-MAX(0,AK165-SUM(P165:X165)))</f>
        <v/>
      </c>
      <c r="AJ165" s="92">
        <f>SUM(Z164:AI164)+AL165</f>
        <v/>
      </c>
      <c r="AK165" s="92">
        <f>$AK$7-(AJ165-SUM(P165:Y165))</f>
        <v/>
      </c>
      <c r="AL165" s="91">
        <f>SUMPRODUCT(Z164:AI164,$Z$6:$AI$6)/12</f>
        <v/>
      </c>
      <c r="AM165" s="88">
        <f>SUM(Z165:AI165)</f>
        <v/>
      </c>
      <c r="AO165" s="92">
        <f>IF(AY164&lt;0.005,0,MAX(0,AY164*(1+AY$6/12)-AY$7))</f>
        <v/>
      </c>
      <c r="AP165" s="92">
        <f>IF(AZ164&lt;0.005,0,MAX(0,AZ164*(1+AZ$6/12)-AZ$7))</f>
        <v/>
      </c>
      <c r="AQ165" s="92">
        <f>IF(BA164&lt;0.005,0,MAX(0,BA164*(1+BA$6/12)-BA$7))</f>
        <v/>
      </c>
      <c r="AR165" s="92">
        <f>IF(BB164&lt;0.005,0,MAX(0,BB164*(1+BB$6/12)-BB$7))</f>
        <v/>
      </c>
      <c r="AS165" s="92">
        <f>IF(BC164&lt;0.005,0,MAX(0,BC164*(1+BC$6/12)-BC$7))</f>
        <v/>
      </c>
      <c r="AT165" s="92">
        <f>IF(BD164&lt;0.005,0,MAX(0,BD164*(1+BD$6/12)-BD$7))</f>
        <v/>
      </c>
      <c r="AU165" s="92">
        <f>IF(BE164&lt;0.005,0,MAX(0,BE164*(1+BE$6/12)-BE$7))</f>
        <v/>
      </c>
      <c r="AV165" s="92">
        <f>IF(BF164&lt;0.005,0,MAX(0,BF164*(1+BF$6/12)-BF$7))</f>
        <v/>
      </c>
      <c r="AW165" s="92">
        <f>IF(BG164&lt;0.005,0,MAX(0,BG164*(1+BG$6/12)-BG$7))</f>
        <v/>
      </c>
      <c r="AX165" s="92">
        <f>IF(BH164&lt;0.005,0,MAX(0,BH164*(1+BH$6/12)-BH$7))</f>
        <v/>
      </c>
      <c r="AY165" s="91">
        <f>MAX(0,AO165-MAX(0,BJ165-0))</f>
        <v/>
      </c>
      <c r="AZ165" s="91">
        <f>MAX(0,AP165-MAX(0,BJ165-SUM(AO165:AO165)))</f>
        <v/>
      </c>
      <c r="BA165" s="91">
        <f>MAX(0,AQ165-MAX(0,BJ165-SUM(AO165:AP165)))</f>
        <v/>
      </c>
      <c r="BB165" s="91">
        <f>MAX(0,AR165-MAX(0,BJ165-SUM(AO165:AQ165)))</f>
        <v/>
      </c>
      <c r="BC165" s="91">
        <f>MAX(0,AS165-MAX(0,BJ165-SUM(AO165:AR165)))</f>
        <v/>
      </c>
      <c r="BD165" s="91">
        <f>MAX(0,AT165-MAX(0,BJ165-SUM(AO165:AS165)))</f>
        <v/>
      </c>
      <c r="BE165" s="91">
        <f>MAX(0,AU165-MAX(0,BJ165-SUM(AO165:AT165)))</f>
        <v/>
      </c>
      <c r="BF165" s="91">
        <f>MAX(0,AV165-MAX(0,BJ165-SUM(AO165:AU165)))</f>
        <v/>
      </c>
      <c r="BG165" s="91">
        <f>MAX(0,AW165-MAX(0,BJ165-SUM(AO165:AV165)))</f>
        <v/>
      </c>
      <c r="BH165" s="91">
        <f>MAX(0,AX165-MAX(0,BJ165-SUM(AO165:AW165)))</f>
        <v/>
      </c>
      <c r="BI165" s="92">
        <f>SUM(AY164:BH164)+BK165</f>
        <v/>
      </c>
      <c r="BJ165" s="92">
        <f>$BJ$7-(BI165-SUM(AO165:AX165))</f>
        <v/>
      </c>
      <c r="BK165" s="91">
        <f>SUMPRODUCT(AY164:BH164,$AY$6:$BH$6)/12</f>
        <v/>
      </c>
      <c r="BL165" s="88">
        <f>SUM(AY165:BH165)</f>
        <v/>
      </c>
    </row>
    <row r="166">
      <c r="A166" s="24" t="n">
        <v>156</v>
      </c>
      <c r="B166" s="90">
        <f>DATE(YEAR(Settings!$C$11),MONTH(Settings!$C$11)+A166,1)</f>
        <v/>
      </c>
      <c r="C166" s="91">
        <f>IF(C165&lt;0.005,0,MAX(0,C165*(1+C$6/12)-C$7))</f>
        <v/>
      </c>
      <c r="D166" s="91">
        <f>IF(D165&lt;0.005,0,MAX(0,D165*(1+D$6/12)-D$7))</f>
        <v/>
      </c>
      <c r="E166" s="91">
        <f>IF(E165&lt;0.005,0,MAX(0,E165*(1+E$6/12)-E$7))</f>
        <v/>
      </c>
      <c r="F166" s="91">
        <f>IF(F165&lt;0.005,0,MAX(0,F165*(1+F$6/12)-F$7))</f>
        <v/>
      </c>
      <c r="G166" s="91">
        <f>IF(G165&lt;0.005,0,MAX(0,G165*(1+G$6/12)-G$7))</f>
        <v/>
      </c>
      <c r="H166" s="91">
        <f>IF(H165&lt;0.005,0,MAX(0,H165*(1+H$6/12)-H$7))</f>
        <v/>
      </c>
      <c r="I166" s="91">
        <f>IF(I165&lt;0.005,0,MAX(0,I165*(1+I$6/12)-I$7))</f>
        <v/>
      </c>
      <c r="J166" s="91">
        <f>IF(J165&lt;0.005,0,MAX(0,J165*(1+J$6/12)-J$7))</f>
        <v/>
      </c>
      <c r="K166" s="91">
        <f>IF(K165&lt;0.005,0,MAX(0,K165*(1+K$6/12)-K$7))</f>
        <v/>
      </c>
      <c r="L166" s="91">
        <f>IF(L165&lt;0.005,0,MAX(0,L165*(1+L$6/12)-L$7))</f>
        <v/>
      </c>
      <c r="M166" s="91">
        <f>SUMPRODUCT(C165:L165,$C$6:$L$6)/12</f>
        <v/>
      </c>
      <c r="N166" s="88">
        <f>SUM(C166:L166)</f>
        <v/>
      </c>
      <c r="P166" s="92">
        <f>IF(Z165&lt;0.005,0,MAX(0,Z165*(1+Z$6/12)-Z$7))</f>
        <v/>
      </c>
      <c r="Q166" s="92">
        <f>IF(AA165&lt;0.005,0,MAX(0,AA165*(1+AA$6/12)-AA$7))</f>
        <v/>
      </c>
      <c r="R166" s="92">
        <f>IF(AB165&lt;0.005,0,MAX(0,AB165*(1+AB$6/12)-AB$7))</f>
        <v/>
      </c>
      <c r="S166" s="92">
        <f>IF(AC165&lt;0.005,0,MAX(0,AC165*(1+AC$6/12)-AC$7))</f>
        <v/>
      </c>
      <c r="T166" s="92">
        <f>IF(AD165&lt;0.005,0,MAX(0,AD165*(1+AD$6/12)-AD$7))</f>
        <v/>
      </c>
      <c r="U166" s="92">
        <f>IF(AE165&lt;0.005,0,MAX(0,AE165*(1+AE$6/12)-AE$7))</f>
        <v/>
      </c>
      <c r="V166" s="92">
        <f>IF(AF165&lt;0.005,0,MAX(0,AF165*(1+AF$6/12)-AF$7))</f>
        <v/>
      </c>
      <c r="W166" s="92">
        <f>IF(AG165&lt;0.005,0,MAX(0,AG165*(1+AG$6/12)-AG$7))</f>
        <v/>
      </c>
      <c r="X166" s="92">
        <f>IF(AH165&lt;0.005,0,MAX(0,AH165*(1+AH$6/12)-AH$7))</f>
        <v/>
      </c>
      <c r="Y166" s="92">
        <f>IF(AI165&lt;0.005,0,MAX(0,AI165*(1+AI$6/12)-AI$7))</f>
        <v/>
      </c>
      <c r="Z166" s="91">
        <f>MAX(0,P166-MAX(0,AK166-0))</f>
        <v/>
      </c>
      <c r="AA166" s="91">
        <f>MAX(0,Q166-MAX(0,AK166-SUM(P166:P166)))</f>
        <v/>
      </c>
      <c r="AB166" s="91">
        <f>MAX(0,R166-MAX(0,AK166-SUM(P166:Q166)))</f>
        <v/>
      </c>
      <c r="AC166" s="91">
        <f>MAX(0,S166-MAX(0,AK166-SUM(P166:R166)))</f>
        <v/>
      </c>
      <c r="AD166" s="91">
        <f>MAX(0,T166-MAX(0,AK166-SUM(P166:S166)))</f>
        <v/>
      </c>
      <c r="AE166" s="91">
        <f>MAX(0,U166-MAX(0,AK166-SUM(P166:T166)))</f>
        <v/>
      </c>
      <c r="AF166" s="91">
        <f>MAX(0,V166-MAX(0,AK166-SUM(P166:U166)))</f>
        <v/>
      </c>
      <c r="AG166" s="91">
        <f>MAX(0,W166-MAX(0,AK166-SUM(P166:V166)))</f>
        <v/>
      </c>
      <c r="AH166" s="91">
        <f>MAX(0,X166-MAX(0,AK166-SUM(P166:W166)))</f>
        <v/>
      </c>
      <c r="AI166" s="91">
        <f>MAX(0,Y166-MAX(0,AK166-SUM(P166:X166)))</f>
        <v/>
      </c>
      <c r="AJ166" s="92">
        <f>SUM(Z165:AI165)+AL166</f>
        <v/>
      </c>
      <c r="AK166" s="92">
        <f>$AK$7-(AJ166-SUM(P166:Y166))</f>
        <v/>
      </c>
      <c r="AL166" s="91">
        <f>SUMPRODUCT(Z165:AI165,$Z$6:$AI$6)/12</f>
        <v/>
      </c>
      <c r="AM166" s="88">
        <f>SUM(Z166:AI166)</f>
        <v/>
      </c>
      <c r="AO166" s="92">
        <f>IF(AY165&lt;0.005,0,MAX(0,AY165*(1+AY$6/12)-AY$7))</f>
        <v/>
      </c>
      <c r="AP166" s="92">
        <f>IF(AZ165&lt;0.005,0,MAX(0,AZ165*(1+AZ$6/12)-AZ$7))</f>
        <v/>
      </c>
      <c r="AQ166" s="92">
        <f>IF(BA165&lt;0.005,0,MAX(0,BA165*(1+BA$6/12)-BA$7))</f>
        <v/>
      </c>
      <c r="AR166" s="92">
        <f>IF(BB165&lt;0.005,0,MAX(0,BB165*(1+BB$6/12)-BB$7))</f>
        <v/>
      </c>
      <c r="AS166" s="92">
        <f>IF(BC165&lt;0.005,0,MAX(0,BC165*(1+BC$6/12)-BC$7))</f>
        <v/>
      </c>
      <c r="AT166" s="92">
        <f>IF(BD165&lt;0.005,0,MAX(0,BD165*(1+BD$6/12)-BD$7))</f>
        <v/>
      </c>
      <c r="AU166" s="92">
        <f>IF(BE165&lt;0.005,0,MAX(0,BE165*(1+BE$6/12)-BE$7))</f>
        <v/>
      </c>
      <c r="AV166" s="92">
        <f>IF(BF165&lt;0.005,0,MAX(0,BF165*(1+BF$6/12)-BF$7))</f>
        <v/>
      </c>
      <c r="AW166" s="92">
        <f>IF(BG165&lt;0.005,0,MAX(0,BG165*(1+BG$6/12)-BG$7))</f>
        <v/>
      </c>
      <c r="AX166" s="92">
        <f>IF(BH165&lt;0.005,0,MAX(0,BH165*(1+BH$6/12)-BH$7))</f>
        <v/>
      </c>
      <c r="AY166" s="91">
        <f>MAX(0,AO166-MAX(0,BJ166-0))</f>
        <v/>
      </c>
      <c r="AZ166" s="91">
        <f>MAX(0,AP166-MAX(0,BJ166-SUM(AO166:AO166)))</f>
        <v/>
      </c>
      <c r="BA166" s="91">
        <f>MAX(0,AQ166-MAX(0,BJ166-SUM(AO166:AP166)))</f>
        <v/>
      </c>
      <c r="BB166" s="91">
        <f>MAX(0,AR166-MAX(0,BJ166-SUM(AO166:AQ166)))</f>
        <v/>
      </c>
      <c r="BC166" s="91">
        <f>MAX(0,AS166-MAX(0,BJ166-SUM(AO166:AR166)))</f>
        <v/>
      </c>
      <c r="BD166" s="91">
        <f>MAX(0,AT166-MAX(0,BJ166-SUM(AO166:AS166)))</f>
        <v/>
      </c>
      <c r="BE166" s="91">
        <f>MAX(0,AU166-MAX(0,BJ166-SUM(AO166:AT166)))</f>
        <v/>
      </c>
      <c r="BF166" s="91">
        <f>MAX(0,AV166-MAX(0,BJ166-SUM(AO166:AU166)))</f>
        <v/>
      </c>
      <c r="BG166" s="91">
        <f>MAX(0,AW166-MAX(0,BJ166-SUM(AO166:AV166)))</f>
        <v/>
      </c>
      <c r="BH166" s="91">
        <f>MAX(0,AX166-MAX(0,BJ166-SUM(AO166:AW166)))</f>
        <v/>
      </c>
      <c r="BI166" s="92">
        <f>SUM(AY165:BH165)+BK166</f>
        <v/>
      </c>
      <c r="BJ166" s="92">
        <f>$BJ$7-(BI166-SUM(AO166:AX166))</f>
        <v/>
      </c>
      <c r="BK166" s="91">
        <f>SUMPRODUCT(AY165:BH165,$AY$6:$BH$6)/12</f>
        <v/>
      </c>
      <c r="BL166" s="88">
        <f>SUM(AY166:BH166)</f>
        <v/>
      </c>
    </row>
    <row r="167">
      <c r="A167" s="24" t="n">
        <v>157</v>
      </c>
      <c r="B167" s="90">
        <f>DATE(YEAR(Settings!$C$11),MONTH(Settings!$C$11)+A167,1)</f>
        <v/>
      </c>
      <c r="C167" s="91">
        <f>IF(C166&lt;0.005,0,MAX(0,C166*(1+C$6/12)-C$7))</f>
        <v/>
      </c>
      <c r="D167" s="91">
        <f>IF(D166&lt;0.005,0,MAX(0,D166*(1+D$6/12)-D$7))</f>
        <v/>
      </c>
      <c r="E167" s="91">
        <f>IF(E166&lt;0.005,0,MAX(0,E166*(1+E$6/12)-E$7))</f>
        <v/>
      </c>
      <c r="F167" s="91">
        <f>IF(F166&lt;0.005,0,MAX(0,F166*(1+F$6/12)-F$7))</f>
        <v/>
      </c>
      <c r="G167" s="91">
        <f>IF(G166&lt;0.005,0,MAX(0,G166*(1+G$6/12)-G$7))</f>
        <v/>
      </c>
      <c r="H167" s="91">
        <f>IF(H166&lt;0.005,0,MAX(0,H166*(1+H$6/12)-H$7))</f>
        <v/>
      </c>
      <c r="I167" s="91">
        <f>IF(I166&lt;0.005,0,MAX(0,I166*(1+I$6/12)-I$7))</f>
        <v/>
      </c>
      <c r="J167" s="91">
        <f>IF(J166&lt;0.005,0,MAX(0,J166*(1+J$6/12)-J$7))</f>
        <v/>
      </c>
      <c r="K167" s="91">
        <f>IF(K166&lt;0.005,0,MAX(0,K166*(1+K$6/12)-K$7))</f>
        <v/>
      </c>
      <c r="L167" s="91">
        <f>IF(L166&lt;0.005,0,MAX(0,L166*(1+L$6/12)-L$7))</f>
        <v/>
      </c>
      <c r="M167" s="91">
        <f>SUMPRODUCT(C166:L166,$C$6:$L$6)/12</f>
        <v/>
      </c>
      <c r="N167" s="88">
        <f>SUM(C167:L167)</f>
        <v/>
      </c>
      <c r="P167" s="92">
        <f>IF(Z166&lt;0.005,0,MAX(0,Z166*(1+Z$6/12)-Z$7))</f>
        <v/>
      </c>
      <c r="Q167" s="92">
        <f>IF(AA166&lt;0.005,0,MAX(0,AA166*(1+AA$6/12)-AA$7))</f>
        <v/>
      </c>
      <c r="R167" s="92">
        <f>IF(AB166&lt;0.005,0,MAX(0,AB166*(1+AB$6/12)-AB$7))</f>
        <v/>
      </c>
      <c r="S167" s="92">
        <f>IF(AC166&lt;0.005,0,MAX(0,AC166*(1+AC$6/12)-AC$7))</f>
        <v/>
      </c>
      <c r="T167" s="92">
        <f>IF(AD166&lt;0.005,0,MAX(0,AD166*(1+AD$6/12)-AD$7))</f>
        <v/>
      </c>
      <c r="U167" s="92">
        <f>IF(AE166&lt;0.005,0,MAX(0,AE166*(1+AE$6/12)-AE$7))</f>
        <v/>
      </c>
      <c r="V167" s="92">
        <f>IF(AF166&lt;0.005,0,MAX(0,AF166*(1+AF$6/12)-AF$7))</f>
        <v/>
      </c>
      <c r="W167" s="92">
        <f>IF(AG166&lt;0.005,0,MAX(0,AG166*(1+AG$6/12)-AG$7))</f>
        <v/>
      </c>
      <c r="X167" s="92">
        <f>IF(AH166&lt;0.005,0,MAX(0,AH166*(1+AH$6/12)-AH$7))</f>
        <v/>
      </c>
      <c r="Y167" s="92">
        <f>IF(AI166&lt;0.005,0,MAX(0,AI166*(1+AI$6/12)-AI$7))</f>
        <v/>
      </c>
      <c r="Z167" s="91">
        <f>MAX(0,P167-MAX(0,AK167-0))</f>
        <v/>
      </c>
      <c r="AA167" s="91">
        <f>MAX(0,Q167-MAX(0,AK167-SUM(P167:P167)))</f>
        <v/>
      </c>
      <c r="AB167" s="91">
        <f>MAX(0,R167-MAX(0,AK167-SUM(P167:Q167)))</f>
        <v/>
      </c>
      <c r="AC167" s="91">
        <f>MAX(0,S167-MAX(0,AK167-SUM(P167:R167)))</f>
        <v/>
      </c>
      <c r="AD167" s="91">
        <f>MAX(0,T167-MAX(0,AK167-SUM(P167:S167)))</f>
        <v/>
      </c>
      <c r="AE167" s="91">
        <f>MAX(0,U167-MAX(0,AK167-SUM(P167:T167)))</f>
        <v/>
      </c>
      <c r="AF167" s="91">
        <f>MAX(0,V167-MAX(0,AK167-SUM(P167:U167)))</f>
        <v/>
      </c>
      <c r="AG167" s="91">
        <f>MAX(0,W167-MAX(0,AK167-SUM(P167:V167)))</f>
        <v/>
      </c>
      <c r="AH167" s="91">
        <f>MAX(0,X167-MAX(0,AK167-SUM(P167:W167)))</f>
        <v/>
      </c>
      <c r="AI167" s="91">
        <f>MAX(0,Y167-MAX(0,AK167-SUM(P167:X167)))</f>
        <v/>
      </c>
      <c r="AJ167" s="92">
        <f>SUM(Z166:AI166)+AL167</f>
        <v/>
      </c>
      <c r="AK167" s="92">
        <f>$AK$7-(AJ167-SUM(P167:Y167))</f>
        <v/>
      </c>
      <c r="AL167" s="91">
        <f>SUMPRODUCT(Z166:AI166,$Z$6:$AI$6)/12</f>
        <v/>
      </c>
      <c r="AM167" s="88">
        <f>SUM(Z167:AI167)</f>
        <v/>
      </c>
      <c r="AO167" s="92">
        <f>IF(AY166&lt;0.005,0,MAX(0,AY166*(1+AY$6/12)-AY$7))</f>
        <v/>
      </c>
      <c r="AP167" s="92">
        <f>IF(AZ166&lt;0.005,0,MAX(0,AZ166*(1+AZ$6/12)-AZ$7))</f>
        <v/>
      </c>
      <c r="AQ167" s="92">
        <f>IF(BA166&lt;0.005,0,MAX(0,BA166*(1+BA$6/12)-BA$7))</f>
        <v/>
      </c>
      <c r="AR167" s="92">
        <f>IF(BB166&lt;0.005,0,MAX(0,BB166*(1+BB$6/12)-BB$7))</f>
        <v/>
      </c>
      <c r="AS167" s="92">
        <f>IF(BC166&lt;0.005,0,MAX(0,BC166*(1+BC$6/12)-BC$7))</f>
        <v/>
      </c>
      <c r="AT167" s="92">
        <f>IF(BD166&lt;0.005,0,MAX(0,BD166*(1+BD$6/12)-BD$7))</f>
        <v/>
      </c>
      <c r="AU167" s="92">
        <f>IF(BE166&lt;0.005,0,MAX(0,BE166*(1+BE$6/12)-BE$7))</f>
        <v/>
      </c>
      <c r="AV167" s="92">
        <f>IF(BF166&lt;0.005,0,MAX(0,BF166*(1+BF$6/12)-BF$7))</f>
        <v/>
      </c>
      <c r="AW167" s="92">
        <f>IF(BG166&lt;0.005,0,MAX(0,BG166*(1+BG$6/12)-BG$7))</f>
        <v/>
      </c>
      <c r="AX167" s="92">
        <f>IF(BH166&lt;0.005,0,MAX(0,BH166*(1+BH$6/12)-BH$7))</f>
        <v/>
      </c>
      <c r="AY167" s="91">
        <f>MAX(0,AO167-MAX(0,BJ167-0))</f>
        <v/>
      </c>
      <c r="AZ167" s="91">
        <f>MAX(0,AP167-MAX(0,BJ167-SUM(AO167:AO167)))</f>
        <v/>
      </c>
      <c r="BA167" s="91">
        <f>MAX(0,AQ167-MAX(0,BJ167-SUM(AO167:AP167)))</f>
        <v/>
      </c>
      <c r="BB167" s="91">
        <f>MAX(0,AR167-MAX(0,BJ167-SUM(AO167:AQ167)))</f>
        <v/>
      </c>
      <c r="BC167" s="91">
        <f>MAX(0,AS167-MAX(0,BJ167-SUM(AO167:AR167)))</f>
        <v/>
      </c>
      <c r="BD167" s="91">
        <f>MAX(0,AT167-MAX(0,BJ167-SUM(AO167:AS167)))</f>
        <v/>
      </c>
      <c r="BE167" s="91">
        <f>MAX(0,AU167-MAX(0,BJ167-SUM(AO167:AT167)))</f>
        <v/>
      </c>
      <c r="BF167" s="91">
        <f>MAX(0,AV167-MAX(0,BJ167-SUM(AO167:AU167)))</f>
        <v/>
      </c>
      <c r="BG167" s="91">
        <f>MAX(0,AW167-MAX(0,BJ167-SUM(AO167:AV167)))</f>
        <v/>
      </c>
      <c r="BH167" s="91">
        <f>MAX(0,AX167-MAX(0,BJ167-SUM(AO167:AW167)))</f>
        <v/>
      </c>
      <c r="BI167" s="92">
        <f>SUM(AY166:BH166)+BK167</f>
        <v/>
      </c>
      <c r="BJ167" s="92">
        <f>$BJ$7-(BI167-SUM(AO167:AX167))</f>
        <v/>
      </c>
      <c r="BK167" s="91">
        <f>SUMPRODUCT(AY166:BH166,$AY$6:$BH$6)/12</f>
        <v/>
      </c>
      <c r="BL167" s="88">
        <f>SUM(AY167:BH167)</f>
        <v/>
      </c>
    </row>
    <row r="168">
      <c r="A168" s="24" t="n">
        <v>158</v>
      </c>
      <c r="B168" s="90">
        <f>DATE(YEAR(Settings!$C$11),MONTH(Settings!$C$11)+A168,1)</f>
        <v/>
      </c>
      <c r="C168" s="91">
        <f>IF(C167&lt;0.005,0,MAX(0,C167*(1+C$6/12)-C$7))</f>
        <v/>
      </c>
      <c r="D168" s="91">
        <f>IF(D167&lt;0.005,0,MAX(0,D167*(1+D$6/12)-D$7))</f>
        <v/>
      </c>
      <c r="E168" s="91">
        <f>IF(E167&lt;0.005,0,MAX(0,E167*(1+E$6/12)-E$7))</f>
        <v/>
      </c>
      <c r="F168" s="91">
        <f>IF(F167&lt;0.005,0,MAX(0,F167*(1+F$6/12)-F$7))</f>
        <v/>
      </c>
      <c r="G168" s="91">
        <f>IF(G167&lt;0.005,0,MAX(0,G167*(1+G$6/12)-G$7))</f>
        <v/>
      </c>
      <c r="H168" s="91">
        <f>IF(H167&lt;0.005,0,MAX(0,H167*(1+H$6/12)-H$7))</f>
        <v/>
      </c>
      <c r="I168" s="91">
        <f>IF(I167&lt;0.005,0,MAX(0,I167*(1+I$6/12)-I$7))</f>
        <v/>
      </c>
      <c r="J168" s="91">
        <f>IF(J167&lt;0.005,0,MAX(0,J167*(1+J$6/12)-J$7))</f>
        <v/>
      </c>
      <c r="K168" s="91">
        <f>IF(K167&lt;0.005,0,MAX(0,K167*(1+K$6/12)-K$7))</f>
        <v/>
      </c>
      <c r="L168" s="91">
        <f>IF(L167&lt;0.005,0,MAX(0,L167*(1+L$6/12)-L$7))</f>
        <v/>
      </c>
      <c r="M168" s="91">
        <f>SUMPRODUCT(C167:L167,$C$6:$L$6)/12</f>
        <v/>
      </c>
      <c r="N168" s="88">
        <f>SUM(C168:L168)</f>
        <v/>
      </c>
      <c r="P168" s="92">
        <f>IF(Z167&lt;0.005,0,MAX(0,Z167*(1+Z$6/12)-Z$7))</f>
        <v/>
      </c>
      <c r="Q168" s="92">
        <f>IF(AA167&lt;0.005,0,MAX(0,AA167*(1+AA$6/12)-AA$7))</f>
        <v/>
      </c>
      <c r="R168" s="92">
        <f>IF(AB167&lt;0.005,0,MAX(0,AB167*(1+AB$6/12)-AB$7))</f>
        <v/>
      </c>
      <c r="S168" s="92">
        <f>IF(AC167&lt;0.005,0,MAX(0,AC167*(1+AC$6/12)-AC$7))</f>
        <v/>
      </c>
      <c r="T168" s="92">
        <f>IF(AD167&lt;0.005,0,MAX(0,AD167*(1+AD$6/12)-AD$7))</f>
        <v/>
      </c>
      <c r="U168" s="92">
        <f>IF(AE167&lt;0.005,0,MAX(0,AE167*(1+AE$6/12)-AE$7))</f>
        <v/>
      </c>
      <c r="V168" s="92">
        <f>IF(AF167&lt;0.005,0,MAX(0,AF167*(1+AF$6/12)-AF$7))</f>
        <v/>
      </c>
      <c r="W168" s="92">
        <f>IF(AG167&lt;0.005,0,MAX(0,AG167*(1+AG$6/12)-AG$7))</f>
        <v/>
      </c>
      <c r="X168" s="92">
        <f>IF(AH167&lt;0.005,0,MAX(0,AH167*(1+AH$6/12)-AH$7))</f>
        <v/>
      </c>
      <c r="Y168" s="92">
        <f>IF(AI167&lt;0.005,0,MAX(0,AI167*(1+AI$6/12)-AI$7))</f>
        <v/>
      </c>
      <c r="Z168" s="91">
        <f>MAX(0,P168-MAX(0,AK168-0))</f>
        <v/>
      </c>
      <c r="AA168" s="91">
        <f>MAX(0,Q168-MAX(0,AK168-SUM(P168:P168)))</f>
        <v/>
      </c>
      <c r="AB168" s="91">
        <f>MAX(0,R168-MAX(0,AK168-SUM(P168:Q168)))</f>
        <v/>
      </c>
      <c r="AC168" s="91">
        <f>MAX(0,S168-MAX(0,AK168-SUM(P168:R168)))</f>
        <v/>
      </c>
      <c r="AD168" s="91">
        <f>MAX(0,T168-MAX(0,AK168-SUM(P168:S168)))</f>
        <v/>
      </c>
      <c r="AE168" s="91">
        <f>MAX(0,U168-MAX(0,AK168-SUM(P168:T168)))</f>
        <v/>
      </c>
      <c r="AF168" s="91">
        <f>MAX(0,V168-MAX(0,AK168-SUM(P168:U168)))</f>
        <v/>
      </c>
      <c r="AG168" s="91">
        <f>MAX(0,W168-MAX(0,AK168-SUM(P168:V168)))</f>
        <v/>
      </c>
      <c r="AH168" s="91">
        <f>MAX(0,X168-MAX(0,AK168-SUM(P168:W168)))</f>
        <v/>
      </c>
      <c r="AI168" s="91">
        <f>MAX(0,Y168-MAX(0,AK168-SUM(P168:X168)))</f>
        <v/>
      </c>
      <c r="AJ168" s="92">
        <f>SUM(Z167:AI167)+AL168</f>
        <v/>
      </c>
      <c r="AK168" s="92">
        <f>$AK$7-(AJ168-SUM(P168:Y168))</f>
        <v/>
      </c>
      <c r="AL168" s="91">
        <f>SUMPRODUCT(Z167:AI167,$Z$6:$AI$6)/12</f>
        <v/>
      </c>
      <c r="AM168" s="88">
        <f>SUM(Z168:AI168)</f>
        <v/>
      </c>
      <c r="AO168" s="92">
        <f>IF(AY167&lt;0.005,0,MAX(0,AY167*(1+AY$6/12)-AY$7))</f>
        <v/>
      </c>
      <c r="AP168" s="92">
        <f>IF(AZ167&lt;0.005,0,MAX(0,AZ167*(1+AZ$6/12)-AZ$7))</f>
        <v/>
      </c>
      <c r="AQ168" s="92">
        <f>IF(BA167&lt;0.005,0,MAX(0,BA167*(1+BA$6/12)-BA$7))</f>
        <v/>
      </c>
      <c r="AR168" s="92">
        <f>IF(BB167&lt;0.005,0,MAX(0,BB167*(1+BB$6/12)-BB$7))</f>
        <v/>
      </c>
      <c r="AS168" s="92">
        <f>IF(BC167&lt;0.005,0,MAX(0,BC167*(1+BC$6/12)-BC$7))</f>
        <v/>
      </c>
      <c r="AT168" s="92">
        <f>IF(BD167&lt;0.005,0,MAX(0,BD167*(1+BD$6/12)-BD$7))</f>
        <v/>
      </c>
      <c r="AU168" s="92">
        <f>IF(BE167&lt;0.005,0,MAX(0,BE167*(1+BE$6/12)-BE$7))</f>
        <v/>
      </c>
      <c r="AV168" s="92">
        <f>IF(BF167&lt;0.005,0,MAX(0,BF167*(1+BF$6/12)-BF$7))</f>
        <v/>
      </c>
      <c r="AW168" s="92">
        <f>IF(BG167&lt;0.005,0,MAX(0,BG167*(1+BG$6/12)-BG$7))</f>
        <v/>
      </c>
      <c r="AX168" s="92">
        <f>IF(BH167&lt;0.005,0,MAX(0,BH167*(1+BH$6/12)-BH$7))</f>
        <v/>
      </c>
      <c r="AY168" s="91">
        <f>MAX(0,AO168-MAX(0,BJ168-0))</f>
        <v/>
      </c>
      <c r="AZ168" s="91">
        <f>MAX(0,AP168-MAX(0,BJ168-SUM(AO168:AO168)))</f>
        <v/>
      </c>
      <c r="BA168" s="91">
        <f>MAX(0,AQ168-MAX(0,BJ168-SUM(AO168:AP168)))</f>
        <v/>
      </c>
      <c r="BB168" s="91">
        <f>MAX(0,AR168-MAX(0,BJ168-SUM(AO168:AQ168)))</f>
        <v/>
      </c>
      <c r="BC168" s="91">
        <f>MAX(0,AS168-MAX(0,BJ168-SUM(AO168:AR168)))</f>
        <v/>
      </c>
      <c r="BD168" s="91">
        <f>MAX(0,AT168-MAX(0,BJ168-SUM(AO168:AS168)))</f>
        <v/>
      </c>
      <c r="BE168" s="91">
        <f>MAX(0,AU168-MAX(0,BJ168-SUM(AO168:AT168)))</f>
        <v/>
      </c>
      <c r="BF168" s="91">
        <f>MAX(0,AV168-MAX(0,BJ168-SUM(AO168:AU168)))</f>
        <v/>
      </c>
      <c r="BG168" s="91">
        <f>MAX(0,AW168-MAX(0,BJ168-SUM(AO168:AV168)))</f>
        <v/>
      </c>
      <c r="BH168" s="91">
        <f>MAX(0,AX168-MAX(0,BJ168-SUM(AO168:AW168)))</f>
        <v/>
      </c>
      <c r="BI168" s="92">
        <f>SUM(AY167:BH167)+BK168</f>
        <v/>
      </c>
      <c r="BJ168" s="92">
        <f>$BJ$7-(BI168-SUM(AO168:AX168))</f>
        <v/>
      </c>
      <c r="BK168" s="91">
        <f>SUMPRODUCT(AY167:BH167,$AY$6:$BH$6)/12</f>
        <v/>
      </c>
      <c r="BL168" s="88">
        <f>SUM(AY168:BH168)</f>
        <v/>
      </c>
    </row>
    <row r="169">
      <c r="A169" s="24" t="n">
        <v>159</v>
      </c>
      <c r="B169" s="90">
        <f>DATE(YEAR(Settings!$C$11),MONTH(Settings!$C$11)+A169,1)</f>
        <v/>
      </c>
      <c r="C169" s="91">
        <f>IF(C168&lt;0.005,0,MAX(0,C168*(1+C$6/12)-C$7))</f>
        <v/>
      </c>
      <c r="D169" s="91">
        <f>IF(D168&lt;0.005,0,MAX(0,D168*(1+D$6/12)-D$7))</f>
        <v/>
      </c>
      <c r="E169" s="91">
        <f>IF(E168&lt;0.005,0,MAX(0,E168*(1+E$6/12)-E$7))</f>
        <v/>
      </c>
      <c r="F169" s="91">
        <f>IF(F168&lt;0.005,0,MAX(0,F168*(1+F$6/12)-F$7))</f>
        <v/>
      </c>
      <c r="G169" s="91">
        <f>IF(G168&lt;0.005,0,MAX(0,G168*(1+G$6/12)-G$7))</f>
        <v/>
      </c>
      <c r="H169" s="91">
        <f>IF(H168&lt;0.005,0,MAX(0,H168*(1+H$6/12)-H$7))</f>
        <v/>
      </c>
      <c r="I169" s="91">
        <f>IF(I168&lt;0.005,0,MAX(0,I168*(1+I$6/12)-I$7))</f>
        <v/>
      </c>
      <c r="J169" s="91">
        <f>IF(J168&lt;0.005,0,MAX(0,J168*(1+J$6/12)-J$7))</f>
        <v/>
      </c>
      <c r="K169" s="91">
        <f>IF(K168&lt;0.005,0,MAX(0,K168*(1+K$6/12)-K$7))</f>
        <v/>
      </c>
      <c r="L169" s="91">
        <f>IF(L168&lt;0.005,0,MAX(0,L168*(1+L$6/12)-L$7))</f>
        <v/>
      </c>
      <c r="M169" s="91">
        <f>SUMPRODUCT(C168:L168,$C$6:$L$6)/12</f>
        <v/>
      </c>
      <c r="N169" s="88">
        <f>SUM(C169:L169)</f>
        <v/>
      </c>
      <c r="P169" s="92">
        <f>IF(Z168&lt;0.005,0,MAX(0,Z168*(1+Z$6/12)-Z$7))</f>
        <v/>
      </c>
      <c r="Q169" s="92">
        <f>IF(AA168&lt;0.005,0,MAX(0,AA168*(1+AA$6/12)-AA$7))</f>
        <v/>
      </c>
      <c r="R169" s="92">
        <f>IF(AB168&lt;0.005,0,MAX(0,AB168*(1+AB$6/12)-AB$7))</f>
        <v/>
      </c>
      <c r="S169" s="92">
        <f>IF(AC168&lt;0.005,0,MAX(0,AC168*(1+AC$6/12)-AC$7))</f>
        <v/>
      </c>
      <c r="T169" s="92">
        <f>IF(AD168&lt;0.005,0,MAX(0,AD168*(1+AD$6/12)-AD$7))</f>
        <v/>
      </c>
      <c r="U169" s="92">
        <f>IF(AE168&lt;0.005,0,MAX(0,AE168*(1+AE$6/12)-AE$7))</f>
        <v/>
      </c>
      <c r="V169" s="92">
        <f>IF(AF168&lt;0.005,0,MAX(0,AF168*(1+AF$6/12)-AF$7))</f>
        <v/>
      </c>
      <c r="W169" s="92">
        <f>IF(AG168&lt;0.005,0,MAX(0,AG168*(1+AG$6/12)-AG$7))</f>
        <v/>
      </c>
      <c r="X169" s="92">
        <f>IF(AH168&lt;0.005,0,MAX(0,AH168*(1+AH$6/12)-AH$7))</f>
        <v/>
      </c>
      <c r="Y169" s="92">
        <f>IF(AI168&lt;0.005,0,MAX(0,AI168*(1+AI$6/12)-AI$7))</f>
        <v/>
      </c>
      <c r="Z169" s="91">
        <f>MAX(0,P169-MAX(0,AK169-0))</f>
        <v/>
      </c>
      <c r="AA169" s="91">
        <f>MAX(0,Q169-MAX(0,AK169-SUM(P169:P169)))</f>
        <v/>
      </c>
      <c r="AB169" s="91">
        <f>MAX(0,R169-MAX(0,AK169-SUM(P169:Q169)))</f>
        <v/>
      </c>
      <c r="AC169" s="91">
        <f>MAX(0,S169-MAX(0,AK169-SUM(P169:R169)))</f>
        <v/>
      </c>
      <c r="AD169" s="91">
        <f>MAX(0,T169-MAX(0,AK169-SUM(P169:S169)))</f>
        <v/>
      </c>
      <c r="AE169" s="91">
        <f>MAX(0,U169-MAX(0,AK169-SUM(P169:T169)))</f>
        <v/>
      </c>
      <c r="AF169" s="91">
        <f>MAX(0,V169-MAX(0,AK169-SUM(P169:U169)))</f>
        <v/>
      </c>
      <c r="AG169" s="91">
        <f>MAX(0,W169-MAX(0,AK169-SUM(P169:V169)))</f>
        <v/>
      </c>
      <c r="AH169" s="91">
        <f>MAX(0,X169-MAX(0,AK169-SUM(P169:W169)))</f>
        <v/>
      </c>
      <c r="AI169" s="91">
        <f>MAX(0,Y169-MAX(0,AK169-SUM(P169:X169)))</f>
        <v/>
      </c>
      <c r="AJ169" s="92">
        <f>SUM(Z168:AI168)+AL169</f>
        <v/>
      </c>
      <c r="AK169" s="92">
        <f>$AK$7-(AJ169-SUM(P169:Y169))</f>
        <v/>
      </c>
      <c r="AL169" s="91">
        <f>SUMPRODUCT(Z168:AI168,$Z$6:$AI$6)/12</f>
        <v/>
      </c>
      <c r="AM169" s="88">
        <f>SUM(Z169:AI169)</f>
        <v/>
      </c>
      <c r="AO169" s="92">
        <f>IF(AY168&lt;0.005,0,MAX(0,AY168*(1+AY$6/12)-AY$7))</f>
        <v/>
      </c>
      <c r="AP169" s="92">
        <f>IF(AZ168&lt;0.005,0,MAX(0,AZ168*(1+AZ$6/12)-AZ$7))</f>
        <v/>
      </c>
      <c r="AQ169" s="92">
        <f>IF(BA168&lt;0.005,0,MAX(0,BA168*(1+BA$6/12)-BA$7))</f>
        <v/>
      </c>
      <c r="AR169" s="92">
        <f>IF(BB168&lt;0.005,0,MAX(0,BB168*(1+BB$6/12)-BB$7))</f>
        <v/>
      </c>
      <c r="AS169" s="92">
        <f>IF(BC168&lt;0.005,0,MAX(0,BC168*(1+BC$6/12)-BC$7))</f>
        <v/>
      </c>
      <c r="AT169" s="92">
        <f>IF(BD168&lt;0.005,0,MAX(0,BD168*(1+BD$6/12)-BD$7))</f>
        <v/>
      </c>
      <c r="AU169" s="92">
        <f>IF(BE168&lt;0.005,0,MAX(0,BE168*(1+BE$6/12)-BE$7))</f>
        <v/>
      </c>
      <c r="AV169" s="92">
        <f>IF(BF168&lt;0.005,0,MAX(0,BF168*(1+BF$6/12)-BF$7))</f>
        <v/>
      </c>
      <c r="AW169" s="92">
        <f>IF(BG168&lt;0.005,0,MAX(0,BG168*(1+BG$6/12)-BG$7))</f>
        <v/>
      </c>
      <c r="AX169" s="92">
        <f>IF(BH168&lt;0.005,0,MAX(0,BH168*(1+BH$6/12)-BH$7))</f>
        <v/>
      </c>
      <c r="AY169" s="91">
        <f>MAX(0,AO169-MAX(0,BJ169-0))</f>
        <v/>
      </c>
      <c r="AZ169" s="91">
        <f>MAX(0,AP169-MAX(0,BJ169-SUM(AO169:AO169)))</f>
        <v/>
      </c>
      <c r="BA169" s="91">
        <f>MAX(0,AQ169-MAX(0,BJ169-SUM(AO169:AP169)))</f>
        <v/>
      </c>
      <c r="BB169" s="91">
        <f>MAX(0,AR169-MAX(0,BJ169-SUM(AO169:AQ169)))</f>
        <v/>
      </c>
      <c r="BC169" s="91">
        <f>MAX(0,AS169-MAX(0,BJ169-SUM(AO169:AR169)))</f>
        <v/>
      </c>
      <c r="BD169" s="91">
        <f>MAX(0,AT169-MAX(0,BJ169-SUM(AO169:AS169)))</f>
        <v/>
      </c>
      <c r="BE169" s="91">
        <f>MAX(0,AU169-MAX(0,BJ169-SUM(AO169:AT169)))</f>
        <v/>
      </c>
      <c r="BF169" s="91">
        <f>MAX(0,AV169-MAX(0,BJ169-SUM(AO169:AU169)))</f>
        <v/>
      </c>
      <c r="BG169" s="91">
        <f>MAX(0,AW169-MAX(0,BJ169-SUM(AO169:AV169)))</f>
        <v/>
      </c>
      <c r="BH169" s="91">
        <f>MAX(0,AX169-MAX(0,BJ169-SUM(AO169:AW169)))</f>
        <v/>
      </c>
      <c r="BI169" s="92">
        <f>SUM(AY168:BH168)+BK169</f>
        <v/>
      </c>
      <c r="BJ169" s="92">
        <f>$BJ$7-(BI169-SUM(AO169:AX169))</f>
        <v/>
      </c>
      <c r="BK169" s="91">
        <f>SUMPRODUCT(AY168:BH168,$AY$6:$BH$6)/12</f>
        <v/>
      </c>
      <c r="BL169" s="88">
        <f>SUM(AY169:BH169)</f>
        <v/>
      </c>
    </row>
    <row r="170">
      <c r="A170" s="24" t="n">
        <v>160</v>
      </c>
      <c r="B170" s="90">
        <f>DATE(YEAR(Settings!$C$11),MONTH(Settings!$C$11)+A170,1)</f>
        <v/>
      </c>
      <c r="C170" s="91">
        <f>IF(C169&lt;0.005,0,MAX(0,C169*(1+C$6/12)-C$7))</f>
        <v/>
      </c>
      <c r="D170" s="91">
        <f>IF(D169&lt;0.005,0,MAX(0,D169*(1+D$6/12)-D$7))</f>
        <v/>
      </c>
      <c r="E170" s="91">
        <f>IF(E169&lt;0.005,0,MAX(0,E169*(1+E$6/12)-E$7))</f>
        <v/>
      </c>
      <c r="F170" s="91">
        <f>IF(F169&lt;0.005,0,MAX(0,F169*(1+F$6/12)-F$7))</f>
        <v/>
      </c>
      <c r="G170" s="91">
        <f>IF(G169&lt;0.005,0,MAX(0,G169*(1+G$6/12)-G$7))</f>
        <v/>
      </c>
      <c r="H170" s="91">
        <f>IF(H169&lt;0.005,0,MAX(0,H169*(1+H$6/12)-H$7))</f>
        <v/>
      </c>
      <c r="I170" s="91">
        <f>IF(I169&lt;0.005,0,MAX(0,I169*(1+I$6/12)-I$7))</f>
        <v/>
      </c>
      <c r="J170" s="91">
        <f>IF(J169&lt;0.005,0,MAX(0,J169*(1+J$6/12)-J$7))</f>
        <v/>
      </c>
      <c r="K170" s="91">
        <f>IF(K169&lt;0.005,0,MAX(0,K169*(1+K$6/12)-K$7))</f>
        <v/>
      </c>
      <c r="L170" s="91">
        <f>IF(L169&lt;0.005,0,MAX(0,L169*(1+L$6/12)-L$7))</f>
        <v/>
      </c>
      <c r="M170" s="91">
        <f>SUMPRODUCT(C169:L169,$C$6:$L$6)/12</f>
        <v/>
      </c>
      <c r="N170" s="88">
        <f>SUM(C170:L170)</f>
        <v/>
      </c>
      <c r="P170" s="92">
        <f>IF(Z169&lt;0.005,0,MAX(0,Z169*(1+Z$6/12)-Z$7))</f>
        <v/>
      </c>
      <c r="Q170" s="92">
        <f>IF(AA169&lt;0.005,0,MAX(0,AA169*(1+AA$6/12)-AA$7))</f>
        <v/>
      </c>
      <c r="R170" s="92">
        <f>IF(AB169&lt;0.005,0,MAX(0,AB169*(1+AB$6/12)-AB$7))</f>
        <v/>
      </c>
      <c r="S170" s="92">
        <f>IF(AC169&lt;0.005,0,MAX(0,AC169*(1+AC$6/12)-AC$7))</f>
        <v/>
      </c>
      <c r="T170" s="92">
        <f>IF(AD169&lt;0.005,0,MAX(0,AD169*(1+AD$6/12)-AD$7))</f>
        <v/>
      </c>
      <c r="U170" s="92">
        <f>IF(AE169&lt;0.005,0,MAX(0,AE169*(1+AE$6/12)-AE$7))</f>
        <v/>
      </c>
      <c r="V170" s="92">
        <f>IF(AF169&lt;0.005,0,MAX(0,AF169*(1+AF$6/12)-AF$7))</f>
        <v/>
      </c>
      <c r="W170" s="92">
        <f>IF(AG169&lt;0.005,0,MAX(0,AG169*(1+AG$6/12)-AG$7))</f>
        <v/>
      </c>
      <c r="X170" s="92">
        <f>IF(AH169&lt;0.005,0,MAX(0,AH169*(1+AH$6/12)-AH$7))</f>
        <v/>
      </c>
      <c r="Y170" s="92">
        <f>IF(AI169&lt;0.005,0,MAX(0,AI169*(1+AI$6/12)-AI$7))</f>
        <v/>
      </c>
      <c r="Z170" s="91">
        <f>MAX(0,P170-MAX(0,AK170-0))</f>
        <v/>
      </c>
      <c r="AA170" s="91">
        <f>MAX(0,Q170-MAX(0,AK170-SUM(P170:P170)))</f>
        <v/>
      </c>
      <c r="AB170" s="91">
        <f>MAX(0,R170-MAX(0,AK170-SUM(P170:Q170)))</f>
        <v/>
      </c>
      <c r="AC170" s="91">
        <f>MAX(0,S170-MAX(0,AK170-SUM(P170:R170)))</f>
        <v/>
      </c>
      <c r="AD170" s="91">
        <f>MAX(0,T170-MAX(0,AK170-SUM(P170:S170)))</f>
        <v/>
      </c>
      <c r="AE170" s="91">
        <f>MAX(0,U170-MAX(0,AK170-SUM(P170:T170)))</f>
        <v/>
      </c>
      <c r="AF170" s="91">
        <f>MAX(0,V170-MAX(0,AK170-SUM(P170:U170)))</f>
        <v/>
      </c>
      <c r="AG170" s="91">
        <f>MAX(0,W170-MAX(0,AK170-SUM(P170:V170)))</f>
        <v/>
      </c>
      <c r="AH170" s="91">
        <f>MAX(0,X170-MAX(0,AK170-SUM(P170:W170)))</f>
        <v/>
      </c>
      <c r="AI170" s="91">
        <f>MAX(0,Y170-MAX(0,AK170-SUM(P170:X170)))</f>
        <v/>
      </c>
      <c r="AJ170" s="92">
        <f>SUM(Z169:AI169)+AL170</f>
        <v/>
      </c>
      <c r="AK170" s="92">
        <f>$AK$7-(AJ170-SUM(P170:Y170))</f>
        <v/>
      </c>
      <c r="AL170" s="91">
        <f>SUMPRODUCT(Z169:AI169,$Z$6:$AI$6)/12</f>
        <v/>
      </c>
      <c r="AM170" s="88">
        <f>SUM(Z170:AI170)</f>
        <v/>
      </c>
      <c r="AO170" s="92">
        <f>IF(AY169&lt;0.005,0,MAX(0,AY169*(1+AY$6/12)-AY$7))</f>
        <v/>
      </c>
      <c r="AP170" s="92">
        <f>IF(AZ169&lt;0.005,0,MAX(0,AZ169*(1+AZ$6/12)-AZ$7))</f>
        <v/>
      </c>
      <c r="AQ170" s="92">
        <f>IF(BA169&lt;0.005,0,MAX(0,BA169*(1+BA$6/12)-BA$7))</f>
        <v/>
      </c>
      <c r="AR170" s="92">
        <f>IF(BB169&lt;0.005,0,MAX(0,BB169*(1+BB$6/12)-BB$7))</f>
        <v/>
      </c>
      <c r="AS170" s="92">
        <f>IF(BC169&lt;0.005,0,MAX(0,BC169*(1+BC$6/12)-BC$7))</f>
        <v/>
      </c>
      <c r="AT170" s="92">
        <f>IF(BD169&lt;0.005,0,MAX(0,BD169*(1+BD$6/12)-BD$7))</f>
        <v/>
      </c>
      <c r="AU170" s="92">
        <f>IF(BE169&lt;0.005,0,MAX(0,BE169*(1+BE$6/12)-BE$7))</f>
        <v/>
      </c>
      <c r="AV170" s="92">
        <f>IF(BF169&lt;0.005,0,MAX(0,BF169*(1+BF$6/12)-BF$7))</f>
        <v/>
      </c>
      <c r="AW170" s="92">
        <f>IF(BG169&lt;0.005,0,MAX(0,BG169*(1+BG$6/12)-BG$7))</f>
        <v/>
      </c>
      <c r="AX170" s="92">
        <f>IF(BH169&lt;0.005,0,MAX(0,BH169*(1+BH$6/12)-BH$7))</f>
        <v/>
      </c>
      <c r="AY170" s="91">
        <f>MAX(0,AO170-MAX(0,BJ170-0))</f>
        <v/>
      </c>
      <c r="AZ170" s="91">
        <f>MAX(0,AP170-MAX(0,BJ170-SUM(AO170:AO170)))</f>
        <v/>
      </c>
      <c r="BA170" s="91">
        <f>MAX(0,AQ170-MAX(0,BJ170-SUM(AO170:AP170)))</f>
        <v/>
      </c>
      <c r="BB170" s="91">
        <f>MAX(0,AR170-MAX(0,BJ170-SUM(AO170:AQ170)))</f>
        <v/>
      </c>
      <c r="BC170" s="91">
        <f>MAX(0,AS170-MAX(0,BJ170-SUM(AO170:AR170)))</f>
        <v/>
      </c>
      <c r="BD170" s="91">
        <f>MAX(0,AT170-MAX(0,BJ170-SUM(AO170:AS170)))</f>
        <v/>
      </c>
      <c r="BE170" s="91">
        <f>MAX(0,AU170-MAX(0,BJ170-SUM(AO170:AT170)))</f>
        <v/>
      </c>
      <c r="BF170" s="91">
        <f>MAX(0,AV170-MAX(0,BJ170-SUM(AO170:AU170)))</f>
        <v/>
      </c>
      <c r="BG170" s="91">
        <f>MAX(0,AW170-MAX(0,BJ170-SUM(AO170:AV170)))</f>
        <v/>
      </c>
      <c r="BH170" s="91">
        <f>MAX(0,AX170-MAX(0,BJ170-SUM(AO170:AW170)))</f>
        <v/>
      </c>
      <c r="BI170" s="92">
        <f>SUM(AY169:BH169)+BK170</f>
        <v/>
      </c>
      <c r="BJ170" s="92">
        <f>$BJ$7-(BI170-SUM(AO170:AX170))</f>
        <v/>
      </c>
      <c r="BK170" s="91">
        <f>SUMPRODUCT(AY169:BH169,$AY$6:$BH$6)/12</f>
        <v/>
      </c>
      <c r="BL170" s="88">
        <f>SUM(AY170:BH170)</f>
        <v/>
      </c>
    </row>
    <row r="171">
      <c r="A171" s="24" t="n">
        <v>161</v>
      </c>
      <c r="B171" s="90">
        <f>DATE(YEAR(Settings!$C$11),MONTH(Settings!$C$11)+A171,1)</f>
        <v/>
      </c>
      <c r="C171" s="91">
        <f>IF(C170&lt;0.005,0,MAX(0,C170*(1+C$6/12)-C$7))</f>
        <v/>
      </c>
      <c r="D171" s="91">
        <f>IF(D170&lt;0.005,0,MAX(0,D170*(1+D$6/12)-D$7))</f>
        <v/>
      </c>
      <c r="E171" s="91">
        <f>IF(E170&lt;0.005,0,MAX(0,E170*(1+E$6/12)-E$7))</f>
        <v/>
      </c>
      <c r="F171" s="91">
        <f>IF(F170&lt;0.005,0,MAX(0,F170*(1+F$6/12)-F$7))</f>
        <v/>
      </c>
      <c r="G171" s="91">
        <f>IF(G170&lt;0.005,0,MAX(0,G170*(1+G$6/12)-G$7))</f>
        <v/>
      </c>
      <c r="H171" s="91">
        <f>IF(H170&lt;0.005,0,MAX(0,H170*(1+H$6/12)-H$7))</f>
        <v/>
      </c>
      <c r="I171" s="91">
        <f>IF(I170&lt;0.005,0,MAX(0,I170*(1+I$6/12)-I$7))</f>
        <v/>
      </c>
      <c r="J171" s="91">
        <f>IF(J170&lt;0.005,0,MAX(0,J170*(1+J$6/12)-J$7))</f>
        <v/>
      </c>
      <c r="K171" s="91">
        <f>IF(K170&lt;0.005,0,MAX(0,K170*(1+K$6/12)-K$7))</f>
        <v/>
      </c>
      <c r="L171" s="91">
        <f>IF(L170&lt;0.005,0,MAX(0,L170*(1+L$6/12)-L$7))</f>
        <v/>
      </c>
      <c r="M171" s="91">
        <f>SUMPRODUCT(C170:L170,$C$6:$L$6)/12</f>
        <v/>
      </c>
      <c r="N171" s="88">
        <f>SUM(C171:L171)</f>
        <v/>
      </c>
      <c r="P171" s="92">
        <f>IF(Z170&lt;0.005,0,MAX(0,Z170*(1+Z$6/12)-Z$7))</f>
        <v/>
      </c>
      <c r="Q171" s="92">
        <f>IF(AA170&lt;0.005,0,MAX(0,AA170*(1+AA$6/12)-AA$7))</f>
        <v/>
      </c>
      <c r="R171" s="92">
        <f>IF(AB170&lt;0.005,0,MAX(0,AB170*(1+AB$6/12)-AB$7))</f>
        <v/>
      </c>
      <c r="S171" s="92">
        <f>IF(AC170&lt;0.005,0,MAX(0,AC170*(1+AC$6/12)-AC$7))</f>
        <v/>
      </c>
      <c r="T171" s="92">
        <f>IF(AD170&lt;0.005,0,MAX(0,AD170*(1+AD$6/12)-AD$7))</f>
        <v/>
      </c>
      <c r="U171" s="92">
        <f>IF(AE170&lt;0.005,0,MAX(0,AE170*(1+AE$6/12)-AE$7))</f>
        <v/>
      </c>
      <c r="V171" s="92">
        <f>IF(AF170&lt;0.005,0,MAX(0,AF170*(1+AF$6/12)-AF$7))</f>
        <v/>
      </c>
      <c r="W171" s="92">
        <f>IF(AG170&lt;0.005,0,MAX(0,AG170*(1+AG$6/12)-AG$7))</f>
        <v/>
      </c>
      <c r="X171" s="92">
        <f>IF(AH170&lt;0.005,0,MAX(0,AH170*(1+AH$6/12)-AH$7))</f>
        <v/>
      </c>
      <c r="Y171" s="92">
        <f>IF(AI170&lt;0.005,0,MAX(0,AI170*(1+AI$6/12)-AI$7))</f>
        <v/>
      </c>
      <c r="Z171" s="91">
        <f>MAX(0,P171-MAX(0,AK171-0))</f>
        <v/>
      </c>
      <c r="AA171" s="91">
        <f>MAX(0,Q171-MAX(0,AK171-SUM(P171:P171)))</f>
        <v/>
      </c>
      <c r="AB171" s="91">
        <f>MAX(0,R171-MAX(0,AK171-SUM(P171:Q171)))</f>
        <v/>
      </c>
      <c r="AC171" s="91">
        <f>MAX(0,S171-MAX(0,AK171-SUM(P171:R171)))</f>
        <v/>
      </c>
      <c r="AD171" s="91">
        <f>MAX(0,T171-MAX(0,AK171-SUM(P171:S171)))</f>
        <v/>
      </c>
      <c r="AE171" s="91">
        <f>MAX(0,U171-MAX(0,AK171-SUM(P171:T171)))</f>
        <v/>
      </c>
      <c r="AF171" s="91">
        <f>MAX(0,V171-MAX(0,AK171-SUM(P171:U171)))</f>
        <v/>
      </c>
      <c r="AG171" s="91">
        <f>MAX(0,W171-MAX(0,AK171-SUM(P171:V171)))</f>
        <v/>
      </c>
      <c r="AH171" s="91">
        <f>MAX(0,X171-MAX(0,AK171-SUM(P171:W171)))</f>
        <v/>
      </c>
      <c r="AI171" s="91">
        <f>MAX(0,Y171-MAX(0,AK171-SUM(P171:X171)))</f>
        <v/>
      </c>
      <c r="AJ171" s="92">
        <f>SUM(Z170:AI170)+AL171</f>
        <v/>
      </c>
      <c r="AK171" s="92">
        <f>$AK$7-(AJ171-SUM(P171:Y171))</f>
        <v/>
      </c>
      <c r="AL171" s="91">
        <f>SUMPRODUCT(Z170:AI170,$Z$6:$AI$6)/12</f>
        <v/>
      </c>
      <c r="AM171" s="88">
        <f>SUM(Z171:AI171)</f>
        <v/>
      </c>
      <c r="AO171" s="92">
        <f>IF(AY170&lt;0.005,0,MAX(0,AY170*(1+AY$6/12)-AY$7))</f>
        <v/>
      </c>
      <c r="AP171" s="92">
        <f>IF(AZ170&lt;0.005,0,MAX(0,AZ170*(1+AZ$6/12)-AZ$7))</f>
        <v/>
      </c>
      <c r="AQ171" s="92">
        <f>IF(BA170&lt;0.005,0,MAX(0,BA170*(1+BA$6/12)-BA$7))</f>
        <v/>
      </c>
      <c r="AR171" s="92">
        <f>IF(BB170&lt;0.005,0,MAX(0,BB170*(1+BB$6/12)-BB$7))</f>
        <v/>
      </c>
      <c r="AS171" s="92">
        <f>IF(BC170&lt;0.005,0,MAX(0,BC170*(1+BC$6/12)-BC$7))</f>
        <v/>
      </c>
      <c r="AT171" s="92">
        <f>IF(BD170&lt;0.005,0,MAX(0,BD170*(1+BD$6/12)-BD$7))</f>
        <v/>
      </c>
      <c r="AU171" s="92">
        <f>IF(BE170&lt;0.005,0,MAX(0,BE170*(1+BE$6/12)-BE$7))</f>
        <v/>
      </c>
      <c r="AV171" s="92">
        <f>IF(BF170&lt;0.005,0,MAX(0,BF170*(1+BF$6/12)-BF$7))</f>
        <v/>
      </c>
      <c r="AW171" s="92">
        <f>IF(BG170&lt;0.005,0,MAX(0,BG170*(1+BG$6/12)-BG$7))</f>
        <v/>
      </c>
      <c r="AX171" s="92">
        <f>IF(BH170&lt;0.005,0,MAX(0,BH170*(1+BH$6/12)-BH$7))</f>
        <v/>
      </c>
      <c r="AY171" s="91">
        <f>MAX(0,AO171-MAX(0,BJ171-0))</f>
        <v/>
      </c>
      <c r="AZ171" s="91">
        <f>MAX(0,AP171-MAX(0,BJ171-SUM(AO171:AO171)))</f>
        <v/>
      </c>
      <c r="BA171" s="91">
        <f>MAX(0,AQ171-MAX(0,BJ171-SUM(AO171:AP171)))</f>
        <v/>
      </c>
      <c r="BB171" s="91">
        <f>MAX(0,AR171-MAX(0,BJ171-SUM(AO171:AQ171)))</f>
        <v/>
      </c>
      <c r="BC171" s="91">
        <f>MAX(0,AS171-MAX(0,BJ171-SUM(AO171:AR171)))</f>
        <v/>
      </c>
      <c r="BD171" s="91">
        <f>MAX(0,AT171-MAX(0,BJ171-SUM(AO171:AS171)))</f>
        <v/>
      </c>
      <c r="BE171" s="91">
        <f>MAX(0,AU171-MAX(0,BJ171-SUM(AO171:AT171)))</f>
        <v/>
      </c>
      <c r="BF171" s="91">
        <f>MAX(0,AV171-MAX(0,BJ171-SUM(AO171:AU171)))</f>
        <v/>
      </c>
      <c r="BG171" s="91">
        <f>MAX(0,AW171-MAX(0,BJ171-SUM(AO171:AV171)))</f>
        <v/>
      </c>
      <c r="BH171" s="91">
        <f>MAX(0,AX171-MAX(0,BJ171-SUM(AO171:AW171)))</f>
        <v/>
      </c>
      <c r="BI171" s="92">
        <f>SUM(AY170:BH170)+BK171</f>
        <v/>
      </c>
      <c r="BJ171" s="92">
        <f>$BJ$7-(BI171-SUM(AO171:AX171))</f>
        <v/>
      </c>
      <c r="BK171" s="91">
        <f>SUMPRODUCT(AY170:BH170,$AY$6:$BH$6)/12</f>
        <v/>
      </c>
      <c r="BL171" s="88">
        <f>SUM(AY171:BH171)</f>
        <v/>
      </c>
    </row>
    <row r="172">
      <c r="A172" s="24" t="n">
        <v>162</v>
      </c>
      <c r="B172" s="90">
        <f>DATE(YEAR(Settings!$C$11),MONTH(Settings!$C$11)+A172,1)</f>
        <v/>
      </c>
      <c r="C172" s="91">
        <f>IF(C171&lt;0.005,0,MAX(0,C171*(1+C$6/12)-C$7))</f>
        <v/>
      </c>
      <c r="D172" s="91">
        <f>IF(D171&lt;0.005,0,MAX(0,D171*(1+D$6/12)-D$7))</f>
        <v/>
      </c>
      <c r="E172" s="91">
        <f>IF(E171&lt;0.005,0,MAX(0,E171*(1+E$6/12)-E$7))</f>
        <v/>
      </c>
      <c r="F172" s="91">
        <f>IF(F171&lt;0.005,0,MAX(0,F171*(1+F$6/12)-F$7))</f>
        <v/>
      </c>
      <c r="G172" s="91">
        <f>IF(G171&lt;0.005,0,MAX(0,G171*(1+G$6/12)-G$7))</f>
        <v/>
      </c>
      <c r="H172" s="91">
        <f>IF(H171&lt;0.005,0,MAX(0,H171*(1+H$6/12)-H$7))</f>
        <v/>
      </c>
      <c r="I172" s="91">
        <f>IF(I171&lt;0.005,0,MAX(0,I171*(1+I$6/12)-I$7))</f>
        <v/>
      </c>
      <c r="J172" s="91">
        <f>IF(J171&lt;0.005,0,MAX(0,J171*(1+J$6/12)-J$7))</f>
        <v/>
      </c>
      <c r="K172" s="91">
        <f>IF(K171&lt;0.005,0,MAX(0,K171*(1+K$6/12)-K$7))</f>
        <v/>
      </c>
      <c r="L172" s="91">
        <f>IF(L171&lt;0.005,0,MAX(0,L171*(1+L$6/12)-L$7))</f>
        <v/>
      </c>
      <c r="M172" s="91">
        <f>SUMPRODUCT(C171:L171,$C$6:$L$6)/12</f>
        <v/>
      </c>
      <c r="N172" s="88">
        <f>SUM(C172:L172)</f>
        <v/>
      </c>
      <c r="P172" s="92">
        <f>IF(Z171&lt;0.005,0,MAX(0,Z171*(1+Z$6/12)-Z$7))</f>
        <v/>
      </c>
      <c r="Q172" s="92">
        <f>IF(AA171&lt;0.005,0,MAX(0,AA171*(1+AA$6/12)-AA$7))</f>
        <v/>
      </c>
      <c r="R172" s="92">
        <f>IF(AB171&lt;0.005,0,MAX(0,AB171*(1+AB$6/12)-AB$7))</f>
        <v/>
      </c>
      <c r="S172" s="92">
        <f>IF(AC171&lt;0.005,0,MAX(0,AC171*(1+AC$6/12)-AC$7))</f>
        <v/>
      </c>
      <c r="T172" s="92">
        <f>IF(AD171&lt;0.005,0,MAX(0,AD171*(1+AD$6/12)-AD$7))</f>
        <v/>
      </c>
      <c r="U172" s="92">
        <f>IF(AE171&lt;0.005,0,MAX(0,AE171*(1+AE$6/12)-AE$7))</f>
        <v/>
      </c>
      <c r="V172" s="92">
        <f>IF(AF171&lt;0.005,0,MAX(0,AF171*(1+AF$6/12)-AF$7))</f>
        <v/>
      </c>
      <c r="W172" s="92">
        <f>IF(AG171&lt;0.005,0,MAX(0,AG171*(1+AG$6/12)-AG$7))</f>
        <v/>
      </c>
      <c r="X172" s="92">
        <f>IF(AH171&lt;0.005,0,MAX(0,AH171*(1+AH$6/12)-AH$7))</f>
        <v/>
      </c>
      <c r="Y172" s="92">
        <f>IF(AI171&lt;0.005,0,MAX(0,AI171*(1+AI$6/12)-AI$7))</f>
        <v/>
      </c>
      <c r="Z172" s="91">
        <f>MAX(0,P172-MAX(0,AK172-0))</f>
        <v/>
      </c>
      <c r="AA172" s="91">
        <f>MAX(0,Q172-MAX(0,AK172-SUM(P172:P172)))</f>
        <v/>
      </c>
      <c r="AB172" s="91">
        <f>MAX(0,R172-MAX(0,AK172-SUM(P172:Q172)))</f>
        <v/>
      </c>
      <c r="AC172" s="91">
        <f>MAX(0,S172-MAX(0,AK172-SUM(P172:R172)))</f>
        <v/>
      </c>
      <c r="AD172" s="91">
        <f>MAX(0,T172-MAX(0,AK172-SUM(P172:S172)))</f>
        <v/>
      </c>
      <c r="AE172" s="91">
        <f>MAX(0,U172-MAX(0,AK172-SUM(P172:T172)))</f>
        <v/>
      </c>
      <c r="AF172" s="91">
        <f>MAX(0,V172-MAX(0,AK172-SUM(P172:U172)))</f>
        <v/>
      </c>
      <c r="AG172" s="91">
        <f>MAX(0,W172-MAX(0,AK172-SUM(P172:V172)))</f>
        <v/>
      </c>
      <c r="AH172" s="91">
        <f>MAX(0,X172-MAX(0,AK172-SUM(P172:W172)))</f>
        <v/>
      </c>
      <c r="AI172" s="91">
        <f>MAX(0,Y172-MAX(0,AK172-SUM(P172:X172)))</f>
        <v/>
      </c>
      <c r="AJ172" s="92">
        <f>SUM(Z171:AI171)+AL172</f>
        <v/>
      </c>
      <c r="AK172" s="92">
        <f>$AK$7-(AJ172-SUM(P172:Y172))</f>
        <v/>
      </c>
      <c r="AL172" s="91">
        <f>SUMPRODUCT(Z171:AI171,$Z$6:$AI$6)/12</f>
        <v/>
      </c>
      <c r="AM172" s="88">
        <f>SUM(Z172:AI172)</f>
        <v/>
      </c>
      <c r="AO172" s="92">
        <f>IF(AY171&lt;0.005,0,MAX(0,AY171*(1+AY$6/12)-AY$7))</f>
        <v/>
      </c>
      <c r="AP172" s="92">
        <f>IF(AZ171&lt;0.005,0,MAX(0,AZ171*(1+AZ$6/12)-AZ$7))</f>
        <v/>
      </c>
      <c r="AQ172" s="92">
        <f>IF(BA171&lt;0.005,0,MAX(0,BA171*(1+BA$6/12)-BA$7))</f>
        <v/>
      </c>
      <c r="AR172" s="92">
        <f>IF(BB171&lt;0.005,0,MAX(0,BB171*(1+BB$6/12)-BB$7))</f>
        <v/>
      </c>
      <c r="AS172" s="92">
        <f>IF(BC171&lt;0.005,0,MAX(0,BC171*(1+BC$6/12)-BC$7))</f>
        <v/>
      </c>
      <c r="AT172" s="92">
        <f>IF(BD171&lt;0.005,0,MAX(0,BD171*(1+BD$6/12)-BD$7))</f>
        <v/>
      </c>
      <c r="AU172" s="92">
        <f>IF(BE171&lt;0.005,0,MAX(0,BE171*(1+BE$6/12)-BE$7))</f>
        <v/>
      </c>
      <c r="AV172" s="92">
        <f>IF(BF171&lt;0.005,0,MAX(0,BF171*(1+BF$6/12)-BF$7))</f>
        <v/>
      </c>
      <c r="AW172" s="92">
        <f>IF(BG171&lt;0.005,0,MAX(0,BG171*(1+BG$6/12)-BG$7))</f>
        <v/>
      </c>
      <c r="AX172" s="92">
        <f>IF(BH171&lt;0.005,0,MAX(0,BH171*(1+BH$6/12)-BH$7))</f>
        <v/>
      </c>
      <c r="AY172" s="91">
        <f>MAX(0,AO172-MAX(0,BJ172-0))</f>
        <v/>
      </c>
      <c r="AZ172" s="91">
        <f>MAX(0,AP172-MAX(0,BJ172-SUM(AO172:AO172)))</f>
        <v/>
      </c>
      <c r="BA172" s="91">
        <f>MAX(0,AQ172-MAX(0,BJ172-SUM(AO172:AP172)))</f>
        <v/>
      </c>
      <c r="BB172" s="91">
        <f>MAX(0,AR172-MAX(0,BJ172-SUM(AO172:AQ172)))</f>
        <v/>
      </c>
      <c r="BC172" s="91">
        <f>MAX(0,AS172-MAX(0,BJ172-SUM(AO172:AR172)))</f>
        <v/>
      </c>
      <c r="BD172" s="91">
        <f>MAX(0,AT172-MAX(0,BJ172-SUM(AO172:AS172)))</f>
        <v/>
      </c>
      <c r="BE172" s="91">
        <f>MAX(0,AU172-MAX(0,BJ172-SUM(AO172:AT172)))</f>
        <v/>
      </c>
      <c r="BF172" s="91">
        <f>MAX(0,AV172-MAX(0,BJ172-SUM(AO172:AU172)))</f>
        <v/>
      </c>
      <c r="BG172" s="91">
        <f>MAX(0,AW172-MAX(0,BJ172-SUM(AO172:AV172)))</f>
        <v/>
      </c>
      <c r="BH172" s="91">
        <f>MAX(0,AX172-MAX(0,BJ172-SUM(AO172:AW172)))</f>
        <v/>
      </c>
      <c r="BI172" s="92">
        <f>SUM(AY171:BH171)+BK172</f>
        <v/>
      </c>
      <c r="BJ172" s="92">
        <f>$BJ$7-(BI172-SUM(AO172:AX172))</f>
        <v/>
      </c>
      <c r="BK172" s="91">
        <f>SUMPRODUCT(AY171:BH171,$AY$6:$BH$6)/12</f>
        <v/>
      </c>
      <c r="BL172" s="88">
        <f>SUM(AY172:BH172)</f>
        <v/>
      </c>
    </row>
    <row r="173">
      <c r="A173" s="24" t="n">
        <v>163</v>
      </c>
      <c r="B173" s="90">
        <f>DATE(YEAR(Settings!$C$11),MONTH(Settings!$C$11)+A173,1)</f>
        <v/>
      </c>
      <c r="C173" s="91">
        <f>IF(C172&lt;0.005,0,MAX(0,C172*(1+C$6/12)-C$7))</f>
        <v/>
      </c>
      <c r="D173" s="91">
        <f>IF(D172&lt;0.005,0,MAX(0,D172*(1+D$6/12)-D$7))</f>
        <v/>
      </c>
      <c r="E173" s="91">
        <f>IF(E172&lt;0.005,0,MAX(0,E172*(1+E$6/12)-E$7))</f>
        <v/>
      </c>
      <c r="F173" s="91">
        <f>IF(F172&lt;0.005,0,MAX(0,F172*(1+F$6/12)-F$7))</f>
        <v/>
      </c>
      <c r="G173" s="91">
        <f>IF(G172&lt;0.005,0,MAX(0,G172*(1+G$6/12)-G$7))</f>
        <v/>
      </c>
      <c r="H173" s="91">
        <f>IF(H172&lt;0.005,0,MAX(0,H172*(1+H$6/12)-H$7))</f>
        <v/>
      </c>
      <c r="I173" s="91">
        <f>IF(I172&lt;0.005,0,MAX(0,I172*(1+I$6/12)-I$7))</f>
        <v/>
      </c>
      <c r="J173" s="91">
        <f>IF(J172&lt;0.005,0,MAX(0,J172*(1+J$6/12)-J$7))</f>
        <v/>
      </c>
      <c r="K173" s="91">
        <f>IF(K172&lt;0.005,0,MAX(0,K172*(1+K$6/12)-K$7))</f>
        <v/>
      </c>
      <c r="L173" s="91">
        <f>IF(L172&lt;0.005,0,MAX(0,L172*(1+L$6/12)-L$7))</f>
        <v/>
      </c>
      <c r="M173" s="91">
        <f>SUMPRODUCT(C172:L172,$C$6:$L$6)/12</f>
        <v/>
      </c>
      <c r="N173" s="88">
        <f>SUM(C173:L173)</f>
        <v/>
      </c>
      <c r="P173" s="92">
        <f>IF(Z172&lt;0.005,0,MAX(0,Z172*(1+Z$6/12)-Z$7))</f>
        <v/>
      </c>
      <c r="Q173" s="92">
        <f>IF(AA172&lt;0.005,0,MAX(0,AA172*(1+AA$6/12)-AA$7))</f>
        <v/>
      </c>
      <c r="R173" s="92">
        <f>IF(AB172&lt;0.005,0,MAX(0,AB172*(1+AB$6/12)-AB$7))</f>
        <v/>
      </c>
      <c r="S173" s="92">
        <f>IF(AC172&lt;0.005,0,MAX(0,AC172*(1+AC$6/12)-AC$7))</f>
        <v/>
      </c>
      <c r="T173" s="92">
        <f>IF(AD172&lt;0.005,0,MAX(0,AD172*(1+AD$6/12)-AD$7))</f>
        <v/>
      </c>
      <c r="U173" s="92">
        <f>IF(AE172&lt;0.005,0,MAX(0,AE172*(1+AE$6/12)-AE$7))</f>
        <v/>
      </c>
      <c r="V173" s="92">
        <f>IF(AF172&lt;0.005,0,MAX(0,AF172*(1+AF$6/12)-AF$7))</f>
        <v/>
      </c>
      <c r="W173" s="92">
        <f>IF(AG172&lt;0.005,0,MAX(0,AG172*(1+AG$6/12)-AG$7))</f>
        <v/>
      </c>
      <c r="X173" s="92">
        <f>IF(AH172&lt;0.005,0,MAX(0,AH172*(1+AH$6/12)-AH$7))</f>
        <v/>
      </c>
      <c r="Y173" s="92">
        <f>IF(AI172&lt;0.005,0,MAX(0,AI172*(1+AI$6/12)-AI$7))</f>
        <v/>
      </c>
      <c r="Z173" s="91">
        <f>MAX(0,P173-MAX(0,AK173-0))</f>
        <v/>
      </c>
      <c r="AA173" s="91">
        <f>MAX(0,Q173-MAX(0,AK173-SUM(P173:P173)))</f>
        <v/>
      </c>
      <c r="AB173" s="91">
        <f>MAX(0,R173-MAX(0,AK173-SUM(P173:Q173)))</f>
        <v/>
      </c>
      <c r="AC173" s="91">
        <f>MAX(0,S173-MAX(0,AK173-SUM(P173:R173)))</f>
        <v/>
      </c>
      <c r="AD173" s="91">
        <f>MAX(0,T173-MAX(0,AK173-SUM(P173:S173)))</f>
        <v/>
      </c>
      <c r="AE173" s="91">
        <f>MAX(0,U173-MAX(0,AK173-SUM(P173:T173)))</f>
        <v/>
      </c>
      <c r="AF173" s="91">
        <f>MAX(0,V173-MAX(0,AK173-SUM(P173:U173)))</f>
        <v/>
      </c>
      <c r="AG173" s="91">
        <f>MAX(0,W173-MAX(0,AK173-SUM(P173:V173)))</f>
        <v/>
      </c>
      <c r="AH173" s="91">
        <f>MAX(0,X173-MAX(0,AK173-SUM(P173:W173)))</f>
        <v/>
      </c>
      <c r="AI173" s="91">
        <f>MAX(0,Y173-MAX(0,AK173-SUM(P173:X173)))</f>
        <v/>
      </c>
      <c r="AJ173" s="92">
        <f>SUM(Z172:AI172)+AL173</f>
        <v/>
      </c>
      <c r="AK173" s="92">
        <f>$AK$7-(AJ173-SUM(P173:Y173))</f>
        <v/>
      </c>
      <c r="AL173" s="91">
        <f>SUMPRODUCT(Z172:AI172,$Z$6:$AI$6)/12</f>
        <v/>
      </c>
      <c r="AM173" s="88">
        <f>SUM(Z173:AI173)</f>
        <v/>
      </c>
      <c r="AO173" s="92">
        <f>IF(AY172&lt;0.005,0,MAX(0,AY172*(1+AY$6/12)-AY$7))</f>
        <v/>
      </c>
      <c r="AP173" s="92">
        <f>IF(AZ172&lt;0.005,0,MAX(0,AZ172*(1+AZ$6/12)-AZ$7))</f>
        <v/>
      </c>
      <c r="AQ173" s="92">
        <f>IF(BA172&lt;0.005,0,MAX(0,BA172*(1+BA$6/12)-BA$7))</f>
        <v/>
      </c>
      <c r="AR173" s="92">
        <f>IF(BB172&lt;0.005,0,MAX(0,BB172*(1+BB$6/12)-BB$7))</f>
        <v/>
      </c>
      <c r="AS173" s="92">
        <f>IF(BC172&lt;0.005,0,MAX(0,BC172*(1+BC$6/12)-BC$7))</f>
        <v/>
      </c>
      <c r="AT173" s="92">
        <f>IF(BD172&lt;0.005,0,MAX(0,BD172*(1+BD$6/12)-BD$7))</f>
        <v/>
      </c>
      <c r="AU173" s="92">
        <f>IF(BE172&lt;0.005,0,MAX(0,BE172*(1+BE$6/12)-BE$7))</f>
        <v/>
      </c>
      <c r="AV173" s="92">
        <f>IF(BF172&lt;0.005,0,MAX(0,BF172*(1+BF$6/12)-BF$7))</f>
        <v/>
      </c>
      <c r="AW173" s="92">
        <f>IF(BG172&lt;0.005,0,MAX(0,BG172*(1+BG$6/12)-BG$7))</f>
        <v/>
      </c>
      <c r="AX173" s="92">
        <f>IF(BH172&lt;0.005,0,MAX(0,BH172*(1+BH$6/12)-BH$7))</f>
        <v/>
      </c>
      <c r="AY173" s="91">
        <f>MAX(0,AO173-MAX(0,BJ173-0))</f>
        <v/>
      </c>
      <c r="AZ173" s="91">
        <f>MAX(0,AP173-MAX(0,BJ173-SUM(AO173:AO173)))</f>
        <v/>
      </c>
      <c r="BA173" s="91">
        <f>MAX(0,AQ173-MAX(0,BJ173-SUM(AO173:AP173)))</f>
        <v/>
      </c>
      <c r="BB173" s="91">
        <f>MAX(0,AR173-MAX(0,BJ173-SUM(AO173:AQ173)))</f>
        <v/>
      </c>
      <c r="BC173" s="91">
        <f>MAX(0,AS173-MAX(0,BJ173-SUM(AO173:AR173)))</f>
        <v/>
      </c>
      <c r="BD173" s="91">
        <f>MAX(0,AT173-MAX(0,BJ173-SUM(AO173:AS173)))</f>
        <v/>
      </c>
      <c r="BE173" s="91">
        <f>MAX(0,AU173-MAX(0,BJ173-SUM(AO173:AT173)))</f>
        <v/>
      </c>
      <c r="BF173" s="91">
        <f>MAX(0,AV173-MAX(0,BJ173-SUM(AO173:AU173)))</f>
        <v/>
      </c>
      <c r="BG173" s="91">
        <f>MAX(0,AW173-MAX(0,BJ173-SUM(AO173:AV173)))</f>
        <v/>
      </c>
      <c r="BH173" s="91">
        <f>MAX(0,AX173-MAX(0,BJ173-SUM(AO173:AW173)))</f>
        <v/>
      </c>
      <c r="BI173" s="92">
        <f>SUM(AY172:BH172)+BK173</f>
        <v/>
      </c>
      <c r="BJ173" s="92">
        <f>$BJ$7-(BI173-SUM(AO173:AX173))</f>
        <v/>
      </c>
      <c r="BK173" s="91">
        <f>SUMPRODUCT(AY172:BH172,$AY$6:$BH$6)/12</f>
        <v/>
      </c>
      <c r="BL173" s="88">
        <f>SUM(AY173:BH173)</f>
        <v/>
      </c>
    </row>
    <row r="174">
      <c r="A174" s="24" t="n">
        <v>164</v>
      </c>
      <c r="B174" s="90">
        <f>DATE(YEAR(Settings!$C$11),MONTH(Settings!$C$11)+A174,1)</f>
        <v/>
      </c>
      <c r="C174" s="91">
        <f>IF(C173&lt;0.005,0,MAX(0,C173*(1+C$6/12)-C$7))</f>
        <v/>
      </c>
      <c r="D174" s="91">
        <f>IF(D173&lt;0.005,0,MAX(0,D173*(1+D$6/12)-D$7))</f>
        <v/>
      </c>
      <c r="E174" s="91">
        <f>IF(E173&lt;0.005,0,MAX(0,E173*(1+E$6/12)-E$7))</f>
        <v/>
      </c>
      <c r="F174" s="91">
        <f>IF(F173&lt;0.005,0,MAX(0,F173*(1+F$6/12)-F$7))</f>
        <v/>
      </c>
      <c r="G174" s="91">
        <f>IF(G173&lt;0.005,0,MAX(0,G173*(1+G$6/12)-G$7))</f>
        <v/>
      </c>
      <c r="H174" s="91">
        <f>IF(H173&lt;0.005,0,MAX(0,H173*(1+H$6/12)-H$7))</f>
        <v/>
      </c>
      <c r="I174" s="91">
        <f>IF(I173&lt;0.005,0,MAX(0,I173*(1+I$6/12)-I$7))</f>
        <v/>
      </c>
      <c r="J174" s="91">
        <f>IF(J173&lt;0.005,0,MAX(0,J173*(1+J$6/12)-J$7))</f>
        <v/>
      </c>
      <c r="K174" s="91">
        <f>IF(K173&lt;0.005,0,MAX(0,K173*(1+K$6/12)-K$7))</f>
        <v/>
      </c>
      <c r="L174" s="91">
        <f>IF(L173&lt;0.005,0,MAX(0,L173*(1+L$6/12)-L$7))</f>
        <v/>
      </c>
      <c r="M174" s="91">
        <f>SUMPRODUCT(C173:L173,$C$6:$L$6)/12</f>
        <v/>
      </c>
      <c r="N174" s="88">
        <f>SUM(C174:L174)</f>
        <v/>
      </c>
      <c r="P174" s="92">
        <f>IF(Z173&lt;0.005,0,MAX(0,Z173*(1+Z$6/12)-Z$7))</f>
        <v/>
      </c>
      <c r="Q174" s="92">
        <f>IF(AA173&lt;0.005,0,MAX(0,AA173*(1+AA$6/12)-AA$7))</f>
        <v/>
      </c>
      <c r="R174" s="92">
        <f>IF(AB173&lt;0.005,0,MAX(0,AB173*(1+AB$6/12)-AB$7))</f>
        <v/>
      </c>
      <c r="S174" s="92">
        <f>IF(AC173&lt;0.005,0,MAX(0,AC173*(1+AC$6/12)-AC$7))</f>
        <v/>
      </c>
      <c r="T174" s="92">
        <f>IF(AD173&lt;0.005,0,MAX(0,AD173*(1+AD$6/12)-AD$7))</f>
        <v/>
      </c>
      <c r="U174" s="92">
        <f>IF(AE173&lt;0.005,0,MAX(0,AE173*(1+AE$6/12)-AE$7))</f>
        <v/>
      </c>
      <c r="V174" s="92">
        <f>IF(AF173&lt;0.005,0,MAX(0,AF173*(1+AF$6/12)-AF$7))</f>
        <v/>
      </c>
      <c r="W174" s="92">
        <f>IF(AG173&lt;0.005,0,MAX(0,AG173*(1+AG$6/12)-AG$7))</f>
        <v/>
      </c>
      <c r="X174" s="92">
        <f>IF(AH173&lt;0.005,0,MAX(0,AH173*(1+AH$6/12)-AH$7))</f>
        <v/>
      </c>
      <c r="Y174" s="92">
        <f>IF(AI173&lt;0.005,0,MAX(0,AI173*(1+AI$6/12)-AI$7))</f>
        <v/>
      </c>
      <c r="Z174" s="91">
        <f>MAX(0,P174-MAX(0,AK174-0))</f>
        <v/>
      </c>
      <c r="AA174" s="91">
        <f>MAX(0,Q174-MAX(0,AK174-SUM(P174:P174)))</f>
        <v/>
      </c>
      <c r="AB174" s="91">
        <f>MAX(0,R174-MAX(0,AK174-SUM(P174:Q174)))</f>
        <v/>
      </c>
      <c r="AC174" s="91">
        <f>MAX(0,S174-MAX(0,AK174-SUM(P174:R174)))</f>
        <v/>
      </c>
      <c r="AD174" s="91">
        <f>MAX(0,T174-MAX(0,AK174-SUM(P174:S174)))</f>
        <v/>
      </c>
      <c r="AE174" s="91">
        <f>MAX(0,U174-MAX(0,AK174-SUM(P174:T174)))</f>
        <v/>
      </c>
      <c r="AF174" s="91">
        <f>MAX(0,V174-MAX(0,AK174-SUM(P174:U174)))</f>
        <v/>
      </c>
      <c r="AG174" s="91">
        <f>MAX(0,W174-MAX(0,AK174-SUM(P174:V174)))</f>
        <v/>
      </c>
      <c r="AH174" s="91">
        <f>MAX(0,X174-MAX(0,AK174-SUM(P174:W174)))</f>
        <v/>
      </c>
      <c r="AI174" s="91">
        <f>MAX(0,Y174-MAX(0,AK174-SUM(P174:X174)))</f>
        <v/>
      </c>
      <c r="AJ174" s="92">
        <f>SUM(Z173:AI173)+AL174</f>
        <v/>
      </c>
      <c r="AK174" s="92">
        <f>$AK$7-(AJ174-SUM(P174:Y174))</f>
        <v/>
      </c>
      <c r="AL174" s="91">
        <f>SUMPRODUCT(Z173:AI173,$Z$6:$AI$6)/12</f>
        <v/>
      </c>
      <c r="AM174" s="88">
        <f>SUM(Z174:AI174)</f>
        <v/>
      </c>
      <c r="AO174" s="92">
        <f>IF(AY173&lt;0.005,0,MAX(0,AY173*(1+AY$6/12)-AY$7))</f>
        <v/>
      </c>
      <c r="AP174" s="92">
        <f>IF(AZ173&lt;0.005,0,MAX(0,AZ173*(1+AZ$6/12)-AZ$7))</f>
        <v/>
      </c>
      <c r="AQ174" s="92">
        <f>IF(BA173&lt;0.005,0,MAX(0,BA173*(1+BA$6/12)-BA$7))</f>
        <v/>
      </c>
      <c r="AR174" s="92">
        <f>IF(BB173&lt;0.005,0,MAX(0,BB173*(1+BB$6/12)-BB$7))</f>
        <v/>
      </c>
      <c r="AS174" s="92">
        <f>IF(BC173&lt;0.005,0,MAX(0,BC173*(1+BC$6/12)-BC$7))</f>
        <v/>
      </c>
      <c r="AT174" s="92">
        <f>IF(BD173&lt;0.005,0,MAX(0,BD173*(1+BD$6/12)-BD$7))</f>
        <v/>
      </c>
      <c r="AU174" s="92">
        <f>IF(BE173&lt;0.005,0,MAX(0,BE173*(1+BE$6/12)-BE$7))</f>
        <v/>
      </c>
      <c r="AV174" s="92">
        <f>IF(BF173&lt;0.005,0,MAX(0,BF173*(1+BF$6/12)-BF$7))</f>
        <v/>
      </c>
      <c r="AW174" s="92">
        <f>IF(BG173&lt;0.005,0,MAX(0,BG173*(1+BG$6/12)-BG$7))</f>
        <v/>
      </c>
      <c r="AX174" s="92">
        <f>IF(BH173&lt;0.005,0,MAX(0,BH173*(1+BH$6/12)-BH$7))</f>
        <v/>
      </c>
      <c r="AY174" s="91">
        <f>MAX(0,AO174-MAX(0,BJ174-0))</f>
        <v/>
      </c>
      <c r="AZ174" s="91">
        <f>MAX(0,AP174-MAX(0,BJ174-SUM(AO174:AO174)))</f>
        <v/>
      </c>
      <c r="BA174" s="91">
        <f>MAX(0,AQ174-MAX(0,BJ174-SUM(AO174:AP174)))</f>
        <v/>
      </c>
      <c r="BB174" s="91">
        <f>MAX(0,AR174-MAX(0,BJ174-SUM(AO174:AQ174)))</f>
        <v/>
      </c>
      <c r="BC174" s="91">
        <f>MAX(0,AS174-MAX(0,BJ174-SUM(AO174:AR174)))</f>
        <v/>
      </c>
      <c r="BD174" s="91">
        <f>MAX(0,AT174-MAX(0,BJ174-SUM(AO174:AS174)))</f>
        <v/>
      </c>
      <c r="BE174" s="91">
        <f>MAX(0,AU174-MAX(0,BJ174-SUM(AO174:AT174)))</f>
        <v/>
      </c>
      <c r="BF174" s="91">
        <f>MAX(0,AV174-MAX(0,BJ174-SUM(AO174:AU174)))</f>
        <v/>
      </c>
      <c r="BG174" s="91">
        <f>MAX(0,AW174-MAX(0,BJ174-SUM(AO174:AV174)))</f>
        <v/>
      </c>
      <c r="BH174" s="91">
        <f>MAX(0,AX174-MAX(0,BJ174-SUM(AO174:AW174)))</f>
        <v/>
      </c>
      <c r="BI174" s="92">
        <f>SUM(AY173:BH173)+BK174</f>
        <v/>
      </c>
      <c r="BJ174" s="92">
        <f>$BJ$7-(BI174-SUM(AO174:AX174))</f>
        <v/>
      </c>
      <c r="BK174" s="91">
        <f>SUMPRODUCT(AY173:BH173,$AY$6:$BH$6)/12</f>
        <v/>
      </c>
      <c r="BL174" s="88">
        <f>SUM(AY174:BH174)</f>
        <v/>
      </c>
    </row>
    <row r="175">
      <c r="A175" s="24" t="n">
        <v>165</v>
      </c>
      <c r="B175" s="90">
        <f>DATE(YEAR(Settings!$C$11),MONTH(Settings!$C$11)+A175,1)</f>
        <v/>
      </c>
      <c r="C175" s="91">
        <f>IF(C174&lt;0.005,0,MAX(0,C174*(1+C$6/12)-C$7))</f>
        <v/>
      </c>
      <c r="D175" s="91">
        <f>IF(D174&lt;0.005,0,MAX(0,D174*(1+D$6/12)-D$7))</f>
        <v/>
      </c>
      <c r="E175" s="91">
        <f>IF(E174&lt;0.005,0,MAX(0,E174*(1+E$6/12)-E$7))</f>
        <v/>
      </c>
      <c r="F175" s="91">
        <f>IF(F174&lt;0.005,0,MAX(0,F174*(1+F$6/12)-F$7))</f>
        <v/>
      </c>
      <c r="G175" s="91">
        <f>IF(G174&lt;0.005,0,MAX(0,G174*(1+G$6/12)-G$7))</f>
        <v/>
      </c>
      <c r="H175" s="91">
        <f>IF(H174&lt;0.005,0,MAX(0,H174*(1+H$6/12)-H$7))</f>
        <v/>
      </c>
      <c r="I175" s="91">
        <f>IF(I174&lt;0.005,0,MAX(0,I174*(1+I$6/12)-I$7))</f>
        <v/>
      </c>
      <c r="J175" s="91">
        <f>IF(J174&lt;0.005,0,MAX(0,J174*(1+J$6/12)-J$7))</f>
        <v/>
      </c>
      <c r="K175" s="91">
        <f>IF(K174&lt;0.005,0,MAX(0,K174*(1+K$6/12)-K$7))</f>
        <v/>
      </c>
      <c r="L175" s="91">
        <f>IF(L174&lt;0.005,0,MAX(0,L174*(1+L$6/12)-L$7))</f>
        <v/>
      </c>
      <c r="M175" s="91">
        <f>SUMPRODUCT(C174:L174,$C$6:$L$6)/12</f>
        <v/>
      </c>
      <c r="N175" s="88">
        <f>SUM(C175:L175)</f>
        <v/>
      </c>
      <c r="P175" s="92">
        <f>IF(Z174&lt;0.005,0,MAX(0,Z174*(1+Z$6/12)-Z$7))</f>
        <v/>
      </c>
      <c r="Q175" s="92">
        <f>IF(AA174&lt;0.005,0,MAX(0,AA174*(1+AA$6/12)-AA$7))</f>
        <v/>
      </c>
      <c r="R175" s="92">
        <f>IF(AB174&lt;0.005,0,MAX(0,AB174*(1+AB$6/12)-AB$7))</f>
        <v/>
      </c>
      <c r="S175" s="92">
        <f>IF(AC174&lt;0.005,0,MAX(0,AC174*(1+AC$6/12)-AC$7))</f>
        <v/>
      </c>
      <c r="T175" s="92">
        <f>IF(AD174&lt;0.005,0,MAX(0,AD174*(1+AD$6/12)-AD$7))</f>
        <v/>
      </c>
      <c r="U175" s="92">
        <f>IF(AE174&lt;0.005,0,MAX(0,AE174*(1+AE$6/12)-AE$7))</f>
        <v/>
      </c>
      <c r="V175" s="92">
        <f>IF(AF174&lt;0.005,0,MAX(0,AF174*(1+AF$6/12)-AF$7))</f>
        <v/>
      </c>
      <c r="W175" s="92">
        <f>IF(AG174&lt;0.005,0,MAX(0,AG174*(1+AG$6/12)-AG$7))</f>
        <v/>
      </c>
      <c r="X175" s="92">
        <f>IF(AH174&lt;0.005,0,MAX(0,AH174*(1+AH$6/12)-AH$7))</f>
        <v/>
      </c>
      <c r="Y175" s="92">
        <f>IF(AI174&lt;0.005,0,MAX(0,AI174*(1+AI$6/12)-AI$7))</f>
        <v/>
      </c>
      <c r="Z175" s="91">
        <f>MAX(0,P175-MAX(0,AK175-0))</f>
        <v/>
      </c>
      <c r="AA175" s="91">
        <f>MAX(0,Q175-MAX(0,AK175-SUM(P175:P175)))</f>
        <v/>
      </c>
      <c r="AB175" s="91">
        <f>MAX(0,R175-MAX(0,AK175-SUM(P175:Q175)))</f>
        <v/>
      </c>
      <c r="AC175" s="91">
        <f>MAX(0,S175-MAX(0,AK175-SUM(P175:R175)))</f>
        <v/>
      </c>
      <c r="AD175" s="91">
        <f>MAX(0,T175-MAX(0,AK175-SUM(P175:S175)))</f>
        <v/>
      </c>
      <c r="AE175" s="91">
        <f>MAX(0,U175-MAX(0,AK175-SUM(P175:T175)))</f>
        <v/>
      </c>
      <c r="AF175" s="91">
        <f>MAX(0,V175-MAX(0,AK175-SUM(P175:U175)))</f>
        <v/>
      </c>
      <c r="AG175" s="91">
        <f>MAX(0,W175-MAX(0,AK175-SUM(P175:V175)))</f>
        <v/>
      </c>
      <c r="AH175" s="91">
        <f>MAX(0,X175-MAX(0,AK175-SUM(P175:W175)))</f>
        <v/>
      </c>
      <c r="AI175" s="91">
        <f>MAX(0,Y175-MAX(0,AK175-SUM(P175:X175)))</f>
        <v/>
      </c>
      <c r="AJ175" s="92">
        <f>SUM(Z174:AI174)+AL175</f>
        <v/>
      </c>
      <c r="AK175" s="92">
        <f>$AK$7-(AJ175-SUM(P175:Y175))</f>
        <v/>
      </c>
      <c r="AL175" s="91">
        <f>SUMPRODUCT(Z174:AI174,$Z$6:$AI$6)/12</f>
        <v/>
      </c>
      <c r="AM175" s="88">
        <f>SUM(Z175:AI175)</f>
        <v/>
      </c>
      <c r="AO175" s="92">
        <f>IF(AY174&lt;0.005,0,MAX(0,AY174*(1+AY$6/12)-AY$7))</f>
        <v/>
      </c>
      <c r="AP175" s="92">
        <f>IF(AZ174&lt;0.005,0,MAX(0,AZ174*(1+AZ$6/12)-AZ$7))</f>
        <v/>
      </c>
      <c r="AQ175" s="92">
        <f>IF(BA174&lt;0.005,0,MAX(0,BA174*(1+BA$6/12)-BA$7))</f>
        <v/>
      </c>
      <c r="AR175" s="92">
        <f>IF(BB174&lt;0.005,0,MAX(0,BB174*(1+BB$6/12)-BB$7))</f>
        <v/>
      </c>
      <c r="AS175" s="92">
        <f>IF(BC174&lt;0.005,0,MAX(0,BC174*(1+BC$6/12)-BC$7))</f>
        <v/>
      </c>
      <c r="AT175" s="92">
        <f>IF(BD174&lt;0.005,0,MAX(0,BD174*(1+BD$6/12)-BD$7))</f>
        <v/>
      </c>
      <c r="AU175" s="92">
        <f>IF(BE174&lt;0.005,0,MAX(0,BE174*(1+BE$6/12)-BE$7))</f>
        <v/>
      </c>
      <c r="AV175" s="92">
        <f>IF(BF174&lt;0.005,0,MAX(0,BF174*(1+BF$6/12)-BF$7))</f>
        <v/>
      </c>
      <c r="AW175" s="92">
        <f>IF(BG174&lt;0.005,0,MAX(0,BG174*(1+BG$6/12)-BG$7))</f>
        <v/>
      </c>
      <c r="AX175" s="92">
        <f>IF(BH174&lt;0.005,0,MAX(0,BH174*(1+BH$6/12)-BH$7))</f>
        <v/>
      </c>
      <c r="AY175" s="91">
        <f>MAX(0,AO175-MAX(0,BJ175-0))</f>
        <v/>
      </c>
      <c r="AZ175" s="91">
        <f>MAX(0,AP175-MAX(0,BJ175-SUM(AO175:AO175)))</f>
        <v/>
      </c>
      <c r="BA175" s="91">
        <f>MAX(0,AQ175-MAX(0,BJ175-SUM(AO175:AP175)))</f>
        <v/>
      </c>
      <c r="BB175" s="91">
        <f>MAX(0,AR175-MAX(0,BJ175-SUM(AO175:AQ175)))</f>
        <v/>
      </c>
      <c r="BC175" s="91">
        <f>MAX(0,AS175-MAX(0,BJ175-SUM(AO175:AR175)))</f>
        <v/>
      </c>
      <c r="BD175" s="91">
        <f>MAX(0,AT175-MAX(0,BJ175-SUM(AO175:AS175)))</f>
        <v/>
      </c>
      <c r="BE175" s="91">
        <f>MAX(0,AU175-MAX(0,BJ175-SUM(AO175:AT175)))</f>
        <v/>
      </c>
      <c r="BF175" s="91">
        <f>MAX(0,AV175-MAX(0,BJ175-SUM(AO175:AU175)))</f>
        <v/>
      </c>
      <c r="BG175" s="91">
        <f>MAX(0,AW175-MAX(0,BJ175-SUM(AO175:AV175)))</f>
        <v/>
      </c>
      <c r="BH175" s="91">
        <f>MAX(0,AX175-MAX(0,BJ175-SUM(AO175:AW175)))</f>
        <v/>
      </c>
      <c r="BI175" s="92">
        <f>SUM(AY174:BH174)+BK175</f>
        <v/>
      </c>
      <c r="BJ175" s="92">
        <f>$BJ$7-(BI175-SUM(AO175:AX175))</f>
        <v/>
      </c>
      <c r="BK175" s="91">
        <f>SUMPRODUCT(AY174:BH174,$AY$6:$BH$6)/12</f>
        <v/>
      </c>
      <c r="BL175" s="88">
        <f>SUM(AY175:BH175)</f>
        <v/>
      </c>
    </row>
    <row r="176">
      <c r="A176" s="24" t="n">
        <v>166</v>
      </c>
      <c r="B176" s="90">
        <f>DATE(YEAR(Settings!$C$11),MONTH(Settings!$C$11)+A176,1)</f>
        <v/>
      </c>
      <c r="C176" s="91">
        <f>IF(C175&lt;0.005,0,MAX(0,C175*(1+C$6/12)-C$7))</f>
        <v/>
      </c>
      <c r="D176" s="91">
        <f>IF(D175&lt;0.005,0,MAX(0,D175*(1+D$6/12)-D$7))</f>
        <v/>
      </c>
      <c r="E176" s="91">
        <f>IF(E175&lt;0.005,0,MAX(0,E175*(1+E$6/12)-E$7))</f>
        <v/>
      </c>
      <c r="F176" s="91">
        <f>IF(F175&lt;0.005,0,MAX(0,F175*(1+F$6/12)-F$7))</f>
        <v/>
      </c>
      <c r="G176" s="91">
        <f>IF(G175&lt;0.005,0,MAX(0,G175*(1+G$6/12)-G$7))</f>
        <v/>
      </c>
      <c r="H176" s="91">
        <f>IF(H175&lt;0.005,0,MAX(0,H175*(1+H$6/12)-H$7))</f>
        <v/>
      </c>
      <c r="I176" s="91">
        <f>IF(I175&lt;0.005,0,MAX(0,I175*(1+I$6/12)-I$7))</f>
        <v/>
      </c>
      <c r="J176" s="91">
        <f>IF(J175&lt;0.005,0,MAX(0,J175*(1+J$6/12)-J$7))</f>
        <v/>
      </c>
      <c r="K176" s="91">
        <f>IF(K175&lt;0.005,0,MAX(0,K175*(1+K$6/12)-K$7))</f>
        <v/>
      </c>
      <c r="L176" s="91">
        <f>IF(L175&lt;0.005,0,MAX(0,L175*(1+L$6/12)-L$7))</f>
        <v/>
      </c>
      <c r="M176" s="91">
        <f>SUMPRODUCT(C175:L175,$C$6:$L$6)/12</f>
        <v/>
      </c>
      <c r="N176" s="88">
        <f>SUM(C176:L176)</f>
        <v/>
      </c>
      <c r="P176" s="92">
        <f>IF(Z175&lt;0.005,0,MAX(0,Z175*(1+Z$6/12)-Z$7))</f>
        <v/>
      </c>
      <c r="Q176" s="92">
        <f>IF(AA175&lt;0.005,0,MAX(0,AA175*(1+AA$6/12)-AA$7))</f>
        <v/>
      </c>
      <c r="R176" s="92">
        <f>IF(AB175&lt;0.005,0,MAX(0,AB175*(1+AB$6/12)-AB$7))</f>
        <v/>
      </c>
      <c r="S176" s="92">
        <f>IF(AC175&lt;0.005,0,MAX(0,AC175*(1+AC$6/12)-AC$7))</f>
        <v/>
      </c>
      <c r="T176" s="92">
        <f>IF(AD175&lt;0.005,0,MAX(0,AD175*(1+AD$6/12)-AD$7))</f>
        <v/>
      </c>
      <c r="U176" s="92">
        <f>IF(AE175&lt;0.005,0,MAX(0,AE175*(1+AE$6/12)-AE$7))</f>
        <v/>
      </c>
      <c r="V176" s="92">
        <f>IF(AF175&lt;0.005,0,MAX(0,AF175*(1+AF$6/12)-AF$7))</f>
        <v/>
      </c>
      <c r="W176" s="92">
        <f>IF(AG175&lt;0.005,0,MAX(0,AG175*(1+AG$6/12)-AG$7))</f>
        <v/>
      </c>
      <c r="X176" s="92">
        <f>IF(AH175&lt;0.005,0,MAX(0,AH175*(1+AH$6/12)-AH$7))</f>
        <v/>
      </c>
      <c r="Y176" s="92">
        <f>IF(AI175&lt;0.005,0,MAX(0,AI175*(1+AI$6/12)-AI$7))</f>
        <v/>
      </c>
      <c r="Z176" s="91">
        <f>MAX(0,P176-MAX(0,AK176-0))</f>
        <v/>
      </c>
      <c r="AA176" s="91">
        <f>MAX(0,Q176-MAX(0,AK176-SUM(P176:P176)))</f>
        <v/>
      </c>
      <c r="AB176" s="91">
        <f>MAX(0,R176-MAX(0,AK176-SUM(P176:Q176)))</f>
        <v/>
      </c>
      <c r="AC176" s="91">
        <f>MAX(0,S176-MAX(0,AK176-SUM(P176:R176)))</f>
        <v/>
      </c>
      <c r="AD176" s="91">
        <f>MAX(0,T176-MAX(0,AK176-SUM(P176:S176)))</f>
        <v/>
      </c>
      <c r="AE176" s="91">
        <f>MAX(0,U176-MAX(0,AK176-SUM(P176:T176)))</f>
        <v/>
      </c>
      <c r="AF176" s="91">
        <f>MAX(0,V176-MAX(0,AK176-SUM(P176:U176)))</f>
        <v/>
      </c>
      <c r="AG176" s="91">
        <f>MAX(0,W176-MAX(0,AK176-SUM(P176:V176)))</f>
        <v/>
      </c>
      <c r="AH176" s="91">
        <f>MAX(0,X176-MAX(0,AK176-SUM(P176:W176)))</f>
        <v/>
      </c>
      <c r="AI176" s="91">
        <f>MAX(0,Y176-MAX(0,AK176-SUM(P176:X176)))</f>
        <v/>
      </c>
      <c r="AJ176" s="92">
        <f>SUM(Z175:AI175)+AL176</f>
        <v/>
      </c>
      <c r="AK176" s="92">
        <f>$AK$7-(AJ176-SUM(P176:Y176))</f>
        <v/>
      </c>
      <c r="AL176" s="91">
        <f>SUMPRODUCT(Z175:AI175,$Z$6:$AI$6)/12</f>
        <v/>
      </c>
      <c r="AM176" s="88">
        <f>SUM(Z176:AI176)</f>
        <v/>
      </c>
      <c r="AO176" s="92">
        <f>IF(AY175&lt;0.005,0,MAX(0,AY175*(1+AY$6/12)-AY$7))</f>
        <v/>
      </c>
      <c r="AP176" s="92">
        <f>IF(AZ175&lt;0.005,0,MAX(0,AZ175*(1+AZ$6/12)-AZ$7))</f>
        <v/>
      </c>
      <c r="AQ176" s="92">
        <f>IF(BA175&lt;0.005,0,MAX(0,BA175*(1+BA$6/12)-BA$7))</f>
        <v/>
      </c>
      <c r="AR176" s="92">
        <f>IF(BB175&lt;0.005,0,MAX(0,BB175*(1+BB$6/12)-BB$7))</f>
        <v/>
      </c>
      <c r="AS176" s="92">
        <f>IF(BC175&lt;0.005,0,MAX(0,BC175*(1+BC$6/12)-BC$7))</f>
        <v/>
      </c>
      <c r="AT176" s="92">
        <f>IF(BD175&lt;0.005,0,MAX(0,BD175*(1+BD$6/12)-BD$7))</f>
        <v/>
      </c>
      <c r="AU176" s="92">
        <f>IF(BE175&lt;0.005,0,MAX(0,BE175*(1+BE$6/12)-BE$7))</f>
        <v/>
      </c>
      <c r="AV176" s="92">
        <f>IF(BF175&lt;0.005,0,MAX(0,BF175*(1+BF$6/12)-BF$7))</f>
        <v/>
      </c>
      <c r="AW176" s="92">
        <f>IF(BG175&lt;0.005,0,MAX(0,BG175*(1+BG$6/12)-BG$7))</f>
        <v/>
      </c>
      <c r="AX176" s="92">
        <f>IF(BH175&lt;0.005,0,MAX(0,BH175*(1+BH$6/12)-BH$7))</f>
        <v/>
      </c>
      <c r="AY176" s="91">
        <f>MAX(0,AO176-MAX(0,BJ176-0))</f>
        <v/>
      </c>
      <c r="AZ176" s="91">
        <f>MAX(0,AP176-MAX(0,BJ176-SUM(AO176:AO176)))</f>
        <v/>
      </c>
      <c r="BA176" s="91">
        <f>MAX(0,AQ176-MAX(0,BJ176-SUM(AO176:AP176)))</f>
        <v/>
      </c>
      <c r="BB176" s="91">
        <f>MAX(0,AR176-MAX(0,BJ176-SUM(AO176:AQ176)))</f>
        <v/>
      </c>
      <c r="BC176" s="91">
        <f>MAX(0,AS176-MAX(0,BJ176-SUM(AO176:AR176)))</f>
        <v/>
      </c>
      <c r="BD176" s="91">
        <f>MAX(0,AT176-MAX(0,BJ176-SUM(AO176:AS176)))</f>
        <v/>
      </c>
      <c r="BE176" s="91">
        <f>MAX(0,AU176-MAX(0,BJ176-SUM(AO176:AT176)))</f>
        <v/>
      </c>
      <c r="BF176" s="91">
        <f>MAX(0,AV176-MAX(0,BJ176-SUM(AO176:AU176)))</f>
        <v/>
      </c>
      <c r="BG176" s="91">
        <f>MAX(0,AW176-MAX(0,BJ176-SUM(AO176:AV176)))</f>
        <v/>
      </c>
      <c r="BH176" s="91">
        <f>MAX(0,AX176-MAX(0,BJ176-SUM(AO176:AW176)))</f>
        <v/>
      </c>
      <c r="BI176" s="92">
        <f>SUM(AY175:BH175)+BK176</f>
        <v/>
      </c>
      <c r="BJ176" s="92">
        <f>$BJ$7-(BI176-SUM(AO176:AX176))</f>
        <v/>
      </c>
      <c r="BK176" s="91">
        <f>SUMPRODUCT(AY175:BH175,$AY$6:$BH$6)/12</f>
        <v/>
      </c>
      <c r="BL176" s="88">
        <f>SUM(AY176:BH176)</f>
        <v/>
      </c>
    </row>
    <row r="177">
      <c r="A177" s="24" t="n">
        <v>167</v>
      </c>
      <c r="B177" s="90">
        <f>DATE(YEAR(Settings!$C$11),MONTH(Settings!$C$11)+A177,1)</f>
        <v/>
      </c>
      <c r="C177" s="91">
        <f>IF(C176&lt;0.005,0,MAX(0,C176*(1+C$6/12)-C$7))</f>
        <v/>
      </c>
      <c r="D177" s="91">
        <f>IF(D176&lt;0.005,0,MAX(0,D176*(1+D$6/12)-D$7))</f>
        <v/>
      </c>
      <c r="E177" s="91">
        <f>IF(E176&lt;0.005,0,MAX(0,E176*(1+E$6/12)-E$7))</f>
        <v/>
      </c>
      <c r="F177" s="91">
        <f>IF(F176&lt;0.005,0,MAX(0,F176*(1+F$6/12)-F$7))</f>
        <v/>
      </c>
      <c r="G177" s="91">
        <f>IF(G176&lt;0.005,0,MAX(0,G176*(1+G$6/12)-G$7))</f>
        <v/>
      </c>
      <c r="H177" s="91">
        <f>IF(H176&lt;0.005,0,MAX(0,H176*(1+H$6/12)-H$7))</f>
        <v/>
      </c>
      <c r="I177" s="91">
        <f>IF(I176&lt;0.005,0,MAX(0,I176*(1+I$6/12)-I$7))</f>
        <v/>
      </c>
      <c r="J177" s="91">
        <f>IF(J176&lt;0.005,0,MAX(0,J176*(1+J$6/12)-J$7))</f>
        <v/>
      </c>
      <c r="K177" s="91">
        <f>IF(K176&lt;0.005,0,MAX(0,K176*(1+K$6/12)-K$7))</f>
        <v/>
      </c>
      <c r="L177" s="91">
        <f>IF(L176&lt;0.005,0,MAX(0,L176*(1+L$6/12)-L$7))</f>
        <v/>
      </c>
      <c r="M177" s="91">
        <f>SUMPRODUCT(C176:L176,$C$6:$L$6)/12</f>
        <v/>
      </c>
      <c r="N177" s="88">
        <f>SUM(C177:L177)</f>
        <v/>
      </c>
      <c r="P177" s="92">
        <f>IF(Z176&lt;0.005,0,MAX(0,Z176*(1+Z$6/12)-Z$7))</f>
        <v/>
      </c>
      <c r="Q177" s="92">
        <f>IF(AA176&lt;0.005,0,MAX(0,AA176*(1+AA$6/12)-AA$7))</f>
        <v/>
      </c>
      <c r="R177" s="92">
        <f>IF(AB176&lt;0.005,0,MAX(0,AB176*(1+AB$6/12)-AB$7))</f>
        <v/>
      </c>
      <c r="S177" s="92">
        <f>IF(AC176&lt;0.005,0,MAX(0,AC176*(1+AC$6/12)-AC$7))</f>
        <v/>
      </c>
      <c r="T177" s="92">
        <f>IF(AD176&lt;0.005,0,MAX(0,AD176*(1+AD$6/12)-AD$7))</f>
        <v/>
      </c>
      <c r="U177" s="92">
        <f>IF(AE176&lt;0.005,0,MAX(0,AE176*(1+AE$6/12)-AE$7))</f>
        <v/>
      </c>
      <c r="V177" s="92">
        <f>IF(AF176&lt;0.005,0,MAX(0,AF176*(1+AF$6/12)-AF$7))</f>
        <v/>
      </c>
      <c r="W177" s="92">
        <f>IF(AG176&lt;0.005,0,MAX(0,AG176*(1+AG$6/12)-AG$7))</f>
        <v/>
      </c>
      <c r="X177" s="92">
        <f>IF(AH176&lt;0.005,0,MAX(0,AH176*(1+AH$6/12)-AH$7))</f>
        <v/>
      </c>
      <c r="Y177" s="92">
        <f>IF(AI176&lt;0.005,0,MAX(0,AI176*(1+AI$6/12)-AI$7))</f>
        <v/>
      </c>
      <c r="Z177" s="91">
        <f>MAX(0,P177-MAX(0,AK177-0))</f>
        <v/>
      </c>
      <c r="AA177" s="91">
        <f>MAX(0,Q177-MAX(0,AK177-SUM(P177:P177)))</f>
        <v/>
      </c>
      <c r="AB177" s="91">
        <f>MAX(0,R177-MAX(0,AK177-SUM(P177:Q177)))</f>
        <v/>
      </c>
      <c r="AC177" s="91">
        <f>MAX(0,S177-MAX(0,AK177-SUM(P177:R177)))</f>
        <v/>
      </c>
      <c r="AD177" s="91">
        <f>MAX(0,T177-MAX(0,AK177-SUM(P177:S177)))</f>
        <v/>
      </c>
      <c r="AE177" s="91">
        <f>MAX(0,U177-MAX(0,AK177-SUM(P177:T177)))</f>
        <v/>
      </c>
      <c r="AF177" s="91">
        <f>MAX(0,V177-MAX(0,AK177-SUM(P177:U177)))</f>
        <v/>
      </c>
      <c r="AG177" s="91">
        <f>MAX(0,W177-MAX(0,AK177-SUM(P177:V177)))</f>
        <v/>
      </c>
      <c r="AH177" s="91">
        <f>MAX(0,X177-MAX(0,AK177-SUM(P177:W177)))</f>
        <v/>
      </c>
      <c r="AI177" s="91">
        <f>MAX(0,Y177-MAX(0,AK177-SUM(P177:X177)))</f>
        <v/>
      </c>
      <c r="AJ177" s="92">
        <f>SUM(Z176:AI176)+AL177</f>
        <v/>
      </c>
      <c r="AK177" s="92">
        <f>$AK$7-(AJ177-SUM(P177:Y177))</f>
        <v/>
      </c>
      <c r="AL177" s="91">
        <f>SUMPRODUCT(Z176:AI176,$Z$6:$AI$6)/12</f>
        <v/>
      </c>
      <c r="AM177" s="88">
        <f>SUM(Z177:AI177)</f>
        <v/>
      </c>
      <c r="AO177" s="92">
        <f>IF(AY176&lt;0.005,0,MAX(0,AY176*(1+AY$6/12)-AY$7))</f>
        <v/>
      </c>
      <c r="AP177" s="92">
        <f>IF(AZ176&lt;0.005,0,MAX(0,AZ176*(1+AZ$6/12)-AZ$7))</f>
        <v/>
      </c>
      <c r="AQ177" s="92">
        <f>IF(BA176&lt;0.005,0,MAX(0,BA176*(1+BA$6/12)-BA$7))</f>
        <v/>
      </c>
      <c r="AR177" s="92">
        <f>IF(BB176&lt;0.005,0,MAX(0,BB176*(1+BB$6/12)-BB$7))</f>
        <v/>
      </c>
      <c r="AS177" s="92">
        <f>IF(BC176&lt;0.005,0,MAX(0,BC176*(1+BC$6/12)-BC$7))</f>
        <v/>
      </c>
      <c r="AT177" s="92">
        <f>IF(BD176&lt;0.005,0,MAX(0,BD176*(1+BD$6/12)-BD$7))</f>
        <v/>
      </c>
      <c r="AU177" s="92">
        <f>IF(BE176&lt;0.005,0,MAX(0,BE176*(1+BE$6/12)-BE$7))</f>
        <v/>
      </c>
      <c r="AV177" s="92">
        <f>IF(BF176&lt;0.005,0,MAX(0,BF176*(1+BF$6/12)-BF$7))</f>
        <v/>
      </c>
      <c r="AW177" s="92">
        <f>IF(BG176&lt;0.005,0,MAX(0,BG176*(1+BG$6/12)-BG$7))</f>
        <v/>
      </c>
      <c r="AX177" s="92">
        <f>IF(BH176&lt;0.005,0,MAX(0,BH176*(1+BH$6/12)-BH$7))</f>
        <v/>
      </c>
      <c r="AY177" s="91">
        <f>MAX(0,AO177-MAX(0,BJ177-0))</f>
        <v/>
      </c>
      <c r="AZ177" s="91">
        <f>MAX(0,AP177-MAX(0,BJ177-SUM(AO177:AO177)))</f>
        <v/>
      </c>
      <c r="BA177" s="91">
        <f>MAX(0,AQ177-MAX(0,BJ177-SUM(AO177:AP177)))</f>
        <v/>
      </c>
      <c r="BB177" s="91">
        <f>MAX(0,AR177-MAX(0,BJ177-SUM(AO177:AQ177)))</f>
        <v/>
      </c>
      <c r="BC177" s="91">
        <f>MAX(0,AS177-MAX(0,BJ177-SUM(AO177:AR177)))</f>
        <v/>
      </c>
      <c r="BD177" s="91">
        <f>MAX(0,AT177-MAX(0,BJ177-SUM(AO177:AS177)))</f>
        <v/>
      </c>
      <c r="BE177" s="91">
        <f>MAX(0,AU177-MAX(0,BJ177-SUM(AO177:AT177)))</f>
        <v/>
      </c>
      <c r="BF177" s="91">
        <f>MAX(0,AV177-MAX(0,BJ177-SUM(AO177:AU177)))</f>
        <v/>
      </c>
      <c r="BG177" s="91">
        <f>MAX(0,AW177-MAX(0,BJ177-SUM(AO177:AV177)))</f>
        <v/>
      </c>
      <c r="BH177" s="91">
        <f>MAX(0,AX177-MAX(0,BJ177-SUM(AO177:AW177)))</f>
        <v/>
      </c>
      <c r="BI177" s="92">
        <f>SUM(AY176:BH176)+BK177</f>
        <v/>
      </c>
      <c r="BJ177" s="92">
        <f>$BJ$7-(BI177-SUM(AO177:AX177))</f>
        <v/>
      </c>
      <c r="BK177" s="91">
        <f>SUMPRODUCT(AY176:BH176,$AY$6:$BH$6)/12</f>
        <v/>
      </c>
      <c r="BL177" s="88">
        <f>SUM(AY177:BH177)</f>
        <v/>
      </c>
    </row>
    <row r="178">
      <c r="A178" s="24" t="n">
        <v>168</v>
      </c>
      <c r="B178" s="90">
        <f>DATE(YEAR(Settings!$C$11),MONTH(Settings!$C$11)+A178,1)</f>
        <v/>
      </c>
      <c r="C178" s="91">
        <f>IF(C177&lt;0.005,0,MAX(0,C177*(1+C$6/12)-C$7))</f>
        <v/>
      </c>
      <c r="D178" s="91">
        <f>IF(D177&lt;0.005,0,MAX(0,D177*(1+D$6/12)-D$7))</f>
        <v/>
      </c>
      <c r="E178" s="91">
        <f>IF(E177&lt;0.005,0,MAX(0,E177*(1+E$6/12)-E$7))</f>
        <v/>
      </c>
      <c r="F178" s="91">
        <f>IF(F177&lt;0.005,0,MAX(0,F177*(1+F$6/12)-F$7))</f>
        <v/>
      </c>
      <c r="G178" s="91">
        <f>IF(G177&lt;0.005,0,MAX(0,G177*(1+G$6/12)-G$7))</f>
        <v/>
      </c>
      <c r="H178" s="91">
        <f>IF(H177&lt;0.005,0,MAX(0,H177*(1+H$6/12)-H$7))</f>
        <v/>
      </c>
      <c r="I178" s="91">
        <f>IF(I177&lt;0.005,0,MAX(0,I177*(1+I$6/12)-I$7))</f>
        <v/>
      </c>
      <c r="J178" s="91">
        <f>IF(J177&lt;0.005,0,MAX(0,J177*(1+J$6/12)-J$7))</f>
        <v/>
      </c>
      <c r="K178" s="91">
        <f>IF(K177&lt;0.005,0,MAX(0,K177*(1+K$6/12)-K$7))</f>
        <v/>
      </c>
      <c r="L178" s="91">
        <f>IF(L177&lt;0.005,0,MAX(0,L177*(1+L$6/12)-L$7))</f>
        <v/>
      </c>
      <c r="M178" s="91">
        <f>SUMPRODUCT(C177:L177,$C$6:$L$6)/12</f>
        <v/>
      </c>
      <c r="N178" s="88">
        <f>SUM(C178:L178)</f>
        <v/>
      </c>
      <c r="P178" s="92">
        <f>IF(Z177&lt;0.005,0,MAX(0,Z177*(1+Z$6/12)-Z$7))</f>
        <v/>
      </c>
      <c r="Q178" s="92">
        <f>IF(AA177&lt;0.005,0,MAX(0,AA177*(1+AA$6/12)-AA$7))</f>
        <v/>
      </c>
      <c r="R178" s="92">
        <f>IF(AB177&lt;0.005,0,MAX(0,AB177*(1+AB$6/12)-AB$7))</f>
        <v/>
      </c>
      <c r="S178" s="92">
        <f>IF(AC177&lt;0.005,0,MAX(0,AC177*(1+AC$6/12)-AC$7))</f>
        <v/>
      </c>
      <c r="T178" s="92">
        <f>IF(AD177&lt;0.005,0,MAX(0,AD177*(1+AD$6/12)-AD$7))</f>
        <v/>
      </c>
      <c r="U178" s="92">
        <f>IF(AE177&lt;0.005,0,MAX(0,AE177*(1+AE$6/12)-AE$7))</f>
        <v/>
      </c>
      <c r="V178" s="92">
        <f>IF(AF177&lt;0.005,0,MAX(0,AF177*(1+AF$6/12)-AF$7))</f>
        <v/>
      </c>
      <c r="W178" s="92">
        <f>IF(AG177&lt;0.005,0,MAX(0,AG177*(1+AG$6/12)-AG$7))</f>
        <v/>
      </c>
      <c r="X178" s="92">
        <f>IF(AH177&lt;0.005,0,MAX(0,AH177*(1+AH$6/12)-AH$7))</f>
        <v/>
      </c>
      <c r="Y178" s="92">
        <f>IF(AI177&lt;0.005,0,MAX(0,AI177*(1+AI$6/12)-AI$7))</f>
        <v/>
      </c>
      <c r="Z178" s="91">
        <f>MAX(0,P178-MAX(0,AK178-0))</f>
        <v/>
      </c>
      <c r="AA178" s="91">
        <f>MAX(0,Q178-MAX(0,AK178-SUM(P178:P178)))</f>
        <v/>
      </c>
      <c r="AB178" s="91">
        <f>MAX(0,R178-MAX(0,AK178-SUM(P178:Q178)))</f>
        <v/>
      </c>
      <c r="AC178" s="91">
        <f>MAX(0,S178-MAX(0,AK178-SUM(P178:R178)))</f>
        <v/>
      </c>
      <c r="AD178" s="91">
        <f>MAX(0,T178-MAX(0,AK178-SUM(P178:S178)))</f>
        <v/>
      </c>
      <c r="AE178" s="91">
        <f>MAX(0,U178-MAX(0,AK178-SUM(P178:T178)))</f>
        <v/>
      </c>
      <c r="AF178" s="91">
        <f>MAX(0,V178-MAX(0,AK178-SUM(P178:U178)))</f>
        <v/>
      </c>
      <c r="AG178" s="91">
        <f>MAX(0,W178-MAX(0,AK178-SUM(P178:V178)))</f>
        <v/>
      </c>
      <c r="AH178" s="91">
        <f>MAX(0,X178-MAX(0,AK178-SUM(P178:W178)))</f>
        <v/>
      </c>
      <c r="AI178" s="91">
        <f>MAX(0,Y178-MAX(0,AK178-SUM(P178:X178)))</f>
        <v/>
      </c>
      <c r="AJ178" s="92">
        <f>SUM(Z177:AI177)+AL178</f>
        <v/>
      </c>
      <c r="AK178" s="92">
        <f>$AK$7-(AJ178-SUM(P178:Y178))</f>
        <v/>
      </c>
      <c r="AL178" s="91">
        <f>SUMPRODUCT(Z177:AI177,$Z$6:$AI$6)/12</f>
        <v/>
      </c>
      <c r="AM178" s="88">
        <f>SUM(Z178:AI178)</f>
        <v/>
      </c>
      <c r="AO178" s="92">
        <f>IF(AY177&lt;0.005,0,MAX(0,AY177*(1+AY$6/12)-AY$7))</f>
        <v/>
      </c>
      <c r="AP178" s="92">
        <f>IF(AZ177&lt;0.005,0,MAX(0,AZ177*(1+AZ$6/12)-AZ$7))</f>
        <v/>
      </c>
      <c r="AQ178" s="92">
        <f>IF(BA177&lt;0.005,0,MAX(0,BA177*(1+BA$6/12)-BA$7))</f>
        <v/>
      </c>
      <c r="AR178" s="92">
        <f>IF(BB177&lt;0.005,0,MAX(0,BB177*(1+BB$6/12)-BB$7))</f>
        <v/>
      </c>
      <c r="AS178" s="92">
        <f>IF(BC177&lt;0.005,0,MAX(0,BC177*(1+BC$6/12)-BC$7))</f>
        <v/>
      </c>
      <c r="AT178" s="92">
        <f>IF(BD177&lt;0.005,0,MAX(0,BD177*(1+BD$6/12)-BD$7))</f>
        <v/>
      </c>
      <c r="AU178" s="92">
        <f>IF(BE177&lt;0.005,0,MAX(0,BE177*(1+BE$6/12)-BE$7))</f>
        <v/>
      </c>
      <c r="AV178" s="92">
        <f>IF(BF177&lt;0.005,0,MAX(0,BF177*(1+BF$6/12)-BF$7))</f>
        <v/>
      </c>
      <c r="AW178" s="92">
        <f>IF(BG177&lt;0.005,0,MAX(0,BG177*(1+BG$6/12)-BG$7))</f>
        <v/>
      </c>
      <c r="AX178" s="92">
        <f>IF(BH177&lt;0.005,0,MAX(0,BH177*(1+BH$6/12)-BH$7))</f>
        <v/>
      </c>
      <c r="AY178" s="91">
        <f>MAX(0,AO178-MAX(0,BJ178-0))</f>
        <v/>
      </c>
      <c r="AZ178" s="91">
        <f>MAX(0,AP178-MAX(0,BJ178-SUM(AO178:AO178)))</f>
        <v/>
      </c>
      <c r="BA178" s="91">
        <f>MAX(0,AQ178-MAX(0,BJ178-SUM(AO178:AP178)))</f>
        <v/>
      </c>
      <c r="BB178" s="91">
        <f>MAX(0,AR178-MAX(0,BJ178-SUM(AO178:AQ178)))</f>
        <v/>
      </c>
      <c r="BC178" s="91">
        <f>MAX(0,AS178-MAX(0,BJ178-SUM(AO178:AR178)))</f>
        <v/>
      </c>
      <c r="BD178" s="91">
        <f>MAX(0,AT178-MAX(0,BJ178-SUM(AO178:AS178)))</f>
        <v/>
      </c>
      <c r="BE178" s="91">
        <f>MAX(0,AU178-MAX(0,BJ178-SUM(AO178:AT178)))</f>
        <v/>
      </c>
      <c r="BF178" s="91">
        <f>MAX(0,AV178-MAX(0,BJ178-SUM(AO178:AU178)))</f>
        <v/>
      </c>
      <c r="BG178" s="91">
        <f>MAX(0,AW178-MAX(0,BJ178-SUM(AO178:AV178)))</f>
        <v/>
      </c>
      <c r="BH178" s="91">
        <f>MAX(0,AX178-MAX(0,BJ178-SUM(AO178:AW178)))</f>
        <v/>
      </c>
      <c r="BI178" s="92">
        <f>SUM(AY177:BH177)+BK178</f>
        <v/>
      </c>
      <c r="BJ178" s="92">
        <f>$BJ$7-(BI178-SUM(AO178:AX178))</f>
        <v/>
      </c>
      <c r="BK178" s="91">
        <f>SUMPRODUCT(AY177:BH177,$AY$6:$BH$6)/12</f>
        <v/>
      </c>
      <c r="BL178" s="88">
        <f>SUM(AY178:BH178)</f>
        <v/>
      </c>
    </row>
    <row r="179">
      <c r="A179" s="24" t="n">
        <v>169</v>
      </c>
      <c r="B179" s="90">
        <f>DATE(YEAR(Settings!$C$11),MONTH(Settings!$C$11)+A179,1)</f>
        <v/>
      </c>
      <c r="C179" s="91">
        <f>IF(C178&lt;0.005,0,MAX(0,C178*(1+C$6/12)-C$7))</f>
        <v/>
      </c>
      <c r="D179" s="91">
        <f>IF(D178&lt;0.005,0,MAX(0,D178*(1+D$6/12)-D$7))</f>
        <v/>
      </c>
      <c r="E179" s="91">
        <f>IF(E178&lt;0.005,0,MAX(0,E178*(1+E$6/12)-E$7))</f>
        <v/>
      </c>
      <c r="F179" s="91">
        <f>IF(F178&lt;0.005,0,MAX(0,F178*(1+F$6/12)-F$7))</f>
        <v/>
      </c>
      <c r="G179" s="91">
        <f>IF(G178&lt;0.005,0,MAX(0,G178*(1+G$6/12)-G$7))</f>
        <v/>
      </c>
      <c r="H179" s="91">
        <f>IF(H178&lt;0.005,0,MAX(0,H178*(1+H$6/12)-H$7))</f>
        <v/>
      </c>
      <c r="I179" s="91">
        <f>IF(I178&lt;0.005,0,MAX(0,I178*(1+I$6/12)-I$7))</f>
        <v/>
      </c>
      <c r="J179" s="91">
        <f>IF(J178&lt;0.005,0,MAX(0,J178*(1+J$6/12)-J$7))</f>
        <v/>
      </c>
      <c r="K179" s="91">
        <f>IF(K178&lt;0.005,0,MAX(0,K178*(1+K$6/12)-K$7))</f>
        <v/>
      </c>
      <c r="L179" s="91">
        <f>IF(L178&lt;0.005,0,MAX(0,L178*(1+L$6/12)-L$7))</f>
        <v/>
      </c>
      <c r="M179" s="91">
        <f>SUMPRODUCT(C178:L178,$C$6:$L$6)/12</f>
        <v/>
      </c>
      <c r="N179" s="88">
        <f>SUM(C179:L179)</f>
        <v/>
      </c>
      <c r="P179" s="92">
        <f>IF(Z178&lt;0.005,0,MAX(0,Z178*(1+Z$6/12)-Z$7))</f>
        <v/>
      </c>
      <c r="Q179" s="92">
        <f>IF(AA178&lt;0.005,0,MAX(0,AA178*(1+AA$6/12)-AA$7))</f>
        <v/>
      </c>
      <c r="R179" s="92">
        <f>IF(AB178&lt;0.005,0,MAX(0,AB178*(1+AB$6/12)-AB$7))</f>
        <v/>
      </c>
      <c r="S179" s="92">
        <f>IF(AC178&lt;0.005,0,MAX(0,AC178*(1+AC$6/12)-AC$7))</f>
        <v/>
      </c>
      <c r="T179" s="92">
        <f>IF(AD178&lt;0.005,0,MAX(0,AD178*(1+AD$6/12)-AD$7))</f>
        <v/>
      </c>
      <c r="U179" s="92">
        <f>IF(AE178&lt;0.005,0,MAX(0,AE178*(1+AE$6/12)-AE$7))</f>
        <v/>
      </c>
      <c r="V179" s="92">
        <f>IF(AF178&lt;0.005,0,MAX(0,AF178*(1+AF$6/12)-AF$7))</f>
        <v/>
      </c>
      <c r="W179" s="92">
        <f>IF(AG178&lt;0.005,0,MAX(0,AG178*(1+AG$6/12)-AG$7))</f>
        <v/>
      </c>
      <c r="X179" s="92">
        <f>IF(AH178&lt;0.005,0,MAX(0,AH178*(1+AH$6/12)-AH$7))</f>
        <v/>
      </c>
      <c r="Y179" s="92">
        <f>IF(AI178&lt;0.005,0,MAX(0,AI178*(1+AI$6/12)-AI$7))</f>
        <v/>
      </c>
      <c r="Z179" s="91">
        <f>MAX(0,P179-MAX(0,AK179-0))</f>
        <v/>
      </c>
      <c r="AA179" s="91">
        <f>MAX(0,Q179-MAX(0,AK179-SUM(P179:P179)))</f>
        <v/>
      </c>
      <c r="AB179" s="91">
        <f>MAX(0,R179-MAX(0,AK179-SUM(P179:Q179)))</f>
        <v/>
      </c>
      <c r="AC179" s="91">
        <f>MAX(0,S179-MAX(0,AK179-SUM(P179:R179)))</f>
        <v/>
      </c>
      <c r="AD179" s="91">
        <f>MAX(0,T179-MAX(0,AK179-SUM(P179:S179)))</f>
        <v/>
      </c>
      <c r="AE179" s="91">
        <f>MAX(0,U179-MAX(0,AK179-SUM(P179:T179)))</f>
        <v/>
      </c>
      <c r="AF179" s="91">
        <f>MAX(0,V179-MAX(0,AK179-SUM(P179:U179)))</f>
        <v/>
      </c>
      <c r="AG179" s="91">
        <f>MAX(0,W179-MAX(0,AK179-SUM(P179:V179)))</f>
        <v/>
      </c>
      <c r="AH179" s="91">
        <f>MAX(0,X179-MAX(0,AK179-SUM(P179:W179)))</f>
        <v/>
      </c>
      <c r="AI179" s="91">
        <f>MAX(0,Y179-MAX(0,AK179-SUM(P179:X179)))</f>
        <v/>
      </c>
      <c r="AJ179" s="92">
        <f>SUM(Z178:AI178)+AL179</f>
        <v/>
      </c>
      <c r="AK179" s="92">
        <f>$AK$7-(AJ179-SUM(P179:Y179))</f>
        <v/>
      </c>
      <c r="AL179" s="91">
        <f>SUMPRODUCT(Z178:AI178,$Z$6:$AI$6)/12</f>
        <v/>
      </c>
      <c r="AM179" s="88">
        <f>SUM(Z179:AI179)</f>
        <v/>
      </c>
      <c r="AO179" s="92">
        <f>IF(AY178&lt;0.005,0,MAX(0,AY178*(1+AY$6/12)-AY$7))</f>
        <v/>
      </c>
      <c r="AP179" s="92">
        <f>IF(AZ178&lt;0.005,0,MAX(0,AZ178*(1+AZ$6/12)-AZ$7))</f>
        <v/>
      </c>
      <c r="AQ179" s="92">
        <f>IF(BA178&lt;0.005,0,MAX(0,BA178*(1+BA$6/12)-BA$7))</f>
        <v/>
      </c>
      <c r="AR179" s="92">
        <f>IF(BB178&lt;0.005,0,MAX(0,BB178*(1+BB$6/12)-BB$7))</f>
        <v/>
      </c>
      <c r="AS179" s="92">
        <f>IF(BC178&lt;0.005,0,MAX(0,BC178*(1+BC$6/12)-BC$7))</f>
        <v/>
      </c>
      <c r="AT179" s="92">
        <f>IF(BD178&lt;0.005,0,MAX(0,BD178*(1+BD$6/12)-BD$7))</f>
        <v/>
      </c>
      <c r="AU179" s="92">
        <f>IF(BE178&lt;0.005,0,MAX(0,BE178*(1+BE$6/12)-BE$7))</f>
        <v/>
      </c>
      <c r="AV179" s="92">
        <f>IF(BF178&lt;0.005,0,MAX(0,BF178*(1+BF$6/12)-BF$7))</f>
        <v/>
      </c>
      <c r="AW179" s="92">
        <f>IF(BG178&lt;0.005,0,MAX(0,BG178*(1+BG$6/12)-BG$7))</f>
        <v/>
      </c>
      <c r="AX179" s="92">
        <f>IF(BH178&lt;0.005,0,MAX(0,BH178*(1+BH$6/12)-BH$7))</f>
        <v/>
      </c>
      <c r="AY179" s="91">
        <f>MAX(0,AO179-MAX(0,BJ179-0))</f>
        <v/>
      </c>
      <c r="AZ179" s="91">
        <f>MAX(0,AP179-MAX(0,BJ179-SUM(AO179:AO179)))</f>
        <v/>
      </c>
      <c r="BA179" s="91">
        <f>MAX(0,AQ179-MAX(0,BJ179-SUM(AO179:AP179)))</f>
        <v/>
      </c>
      <c r="BB179" s="91">
        <f>MAX(0,AR179-MAX(0,BJ179-SUM(AO179:AQ179)))</f>
        <v/>
      </c>
      <c r="BC179" s="91">
        <f>MAX(0,AS179-MAX(0,BJ179-SUM(AO179:AR179)))</f>
        <v/>
      </c>
      <c r="BD179" s="91">
        <f>MAX(0,AT179-MAX(0,BJ179-SUM(AO179:AS179)))</f>
        <v/>
      </c>
      <c r="BE179" s="91">
        <f>MAX(0,AU179-MAX(0,BJ179-SUM(AO179:AT179)))</f>
        <v/>
      </c>
      <c r="BF179" s="91">
        <f>MAX(0,AV179-MAX(0,BJ179-SUM(AO179:AU179)))</f>
        <v/>
      </c>
      <c r="BG179" s="91">
        <f>MAX(0,AW179-MAX(0,BJ179-SUM(AO179:AV179)))</f>
        <v/>
      </c>
      <c r="BH179" s="91">
        <f>MAX(0,AX179-MAX(0,BJ179-SUM(AO179:AW179)))</f>
        <v/>
      </c>
      <c r="BI179" s="92">
        <f>SUM(AY178:BH178)+BK179</f>
        <v/>
      </c>
      <c r="BJ179" s="92">
        <f>$BJ$7-(BI179-SUM(AO179:AX179))</f>
        <v/>
      </c>
      <c r="BK179" s="91">
        <f>SUMPRODUCT(AY178:BH178,$AY$6:$BH$6)/12</f>
        <v/>
      </c>
      <c r="BL179" s="88">
        <f>SUM(AY179:BH179)</f>
        <v/>
      </c>
    </row>
    <row r="180">
      <c r="A180" s="24" t="n">
        <v>170</v>
      </c>
      <c r="B180" s="90">
        <f>DATE(YEAR(Settings!$C$11),MONTH(Settings!$C$11)+A180,1)</f>
        <v/>
      </c>
      <c r="C180" s="91">
        <f>IF(C179&lt;0.005,0,MAX(0,C179*(1+C$6/12)-C$7))</f>
        <v/>
      </c>
      <c r="D180" s="91">
        <f>IF(D179&lt;0.005,0,MAX(0,D179*(1+D$6/12)-D$7))</f>
        <v/>
      </c>
      <c r="E180" s="91">
        <f>IF(E179&lt;0.005,0,MAX(0,E179*(1+E$6/12)-E$7))</f>
        <v/>
      </c>
      <c r="F180" s="91">
        <f>IF(F179&lt;0.005,0,MAX(0,F179*(1+F$6/12)-F$7))</f>
        <v/>
      </c>
      <c r="G180" s="91">
        <f>IF(G179&lt;0.005,0,MAX(0,G179*(1+G$6/12)-G$7))</f>
        <v/>
      </c>
      <c r="H180" s="91">
        <f>IF(H179&lt;0.005,0,MAX(0,H179*(1+H$6/12)-H$7))</f>
        <v/>
      </c>
      <c r="I180" s="91">
        <f>IF(I179&lt;0.005,0,MAX(0,I179*(1+I$6/12)-I$7))</f>
        <v/>
      </c>
      <c r="J180" s="91">
        <f>IF(J179&lt;0.005,0,MAX(0,J179*(1+J$6/12)-J$7))</f>
        <v/>
      </c>
      <c r="K180" s="91">
        <f>IF(K179&lt;0.005,0,MAX(0,K179*(1+K$6/12)-K$7))</f>
        <v/>
      </c>
      <c r="L180" s="91">
        <f>IF(L179&lt;0.005,0,MAX(0,L179*(1+L$6/12)-L$7))</f>
        <v/>
      </c>
      <c r="M180" s="91">
        <f>SUMPRODUCT(C179:L179,$C$6:$L$6)/12</f>
        <v/>
      </c>
      <c r="N180" s="88">
        <f>SUM(C180:L180)</f>
        <v/>
      </c>
      <c r="P180" s="92">
        <f>IF(Z179&lt;0.005,0,MAX(0,Z179*(1+Z$6/12)-Z$7))</f>
        <v/>
      </c>
      <c r="Q180" s="92">
        <f>IF(AA179&lt;0.005,0,MAX(0,AA179*(1+AA$6/12)-AA$7))</f>
        <v/>
      </c>
      <c r="R180" s="92">
        <f>IF(AB179&lt;0.005,0,MAX(0,AB179*(1+AB$6/12)-AB$7))</f>
        <v/>
      </c>
      <c r="S180" s="92">
        <f>IF(AC179&lt;0.005,0,MAX(0,AC179*(1+AC$6/12)-AC$7))</f>
        <v/>
      </c>
      <c r="T180" s="92">
        <f>IF(AD179&lt;0.005,0,MAX(0,AD179*(1+AD$6/12)-AD$7))</f>
        <v/>
      </c>
      <c r="U180" s="92">
        <f>IF(AE179&lt;0.005,0,MAX(0,AE179*(1+AE$6/12)-AE$7))</f>
        <v/>
      </c>
      <c r="V180" s="92">
        <f>IF(AF179&lt;0.005,0,MAX(0,AF179*(1+AF$6/12)-AF$7))</f>
        <v/>
      </c>
      <c r="W180" s="92">
        <f>IF(AG179&lt;0.005,0,MAX(0,AG179*(1+AG$6/12)-AG$7))</f>
        <v/>
      </c>
      <c r="X180" s="92">
        <f>IF(AH179&lt;0.005,0,MAX(0,AH179*(1+AH$6/12)-AH$7))</f>
        <v/>
      </c>
      <c r="Y180" s="92">
        <f>IF(AI179&lt;0.005,0,MAX(0,AI179*(1+AI$6/12)-AI$7))</f>
        <v/>
      </c>
      <c r="Z180" s="91">
        <f>MAX(0,P180-MAX(0,AK180-0))</f>
        <v/>
      </c>
      <c r="AA180" s="91">
        <f>MAX(0,Q180-MAX(0,AK180-SUM(P180:P180)))</f>
        <v/>
      </c>
      <c r="AB180" s="91">
        <f>MAX(0,R180-MAX(0,AK180-SUM(P180:Q180)))</f>
        <v/>
      </c>
      <c r="AC180" s="91">
        <f>MAX(0,S180-MAX(0,AK180-SUM(P180:R180)))</f>
        <v/>
      </c>
      <c r="AD180" s="91">
        <f>MAX(0,T180-MAX(0,AK180-SUM(P180:S180)))</f>
        <v/>
      </c>
      <c r="AE180" s="91">
        <f>MAX(0,U180-MAX(0,AK180-SUM(P180:T180)))</f>
        <v/>
      </c>
      <c r="AF180" s="91">
        <f>MAX(0,V180-MAX(0,AK180-SUM(P180:U180)))</f>
        <v/>
      </c>
      <c r="AG180" s="91">
        <f>MAX(0,W180-MAX(0,AK180-SUM(P180:V180)))</f>
        <v/>
      </c>
      <c r="AH180" s="91">
        <f>MAX(0,X180-MAX(0,AK180-SUM(P180:W180)))</f>
        <v/>
      </c>
      <c r="AI180" s="91">
        <f>MAX(0,Y180-MAX(0,AK180-SUM(P180:X180)))</f>
        <v/>
      </c>
      <c r="AJ180" s="92">
        <f>SUM(Z179:AI179)+AL180</f>
        <v/>
      </c>
      <c r="AK180" s="92">
        <f>$AK$7-(AJ180-SUM(P180:Y180))</f>
        <v/>
      </c>
      <c r="AL180" s="91">
        <f>SUMPRODUCT(Z179:AI179,$Z$6:$AI$6)/12</f>
        <v/>
      </c>
      <c r="AM180" s="88">
        <f>SUM(Z180:AI180)</f>
        <v/>
      </c>
      <c r="AO180" s="92">
        <f>IF(AY179&lt;0.005,0,MAX(0,AY179*(1+AY$6/12)-AY$7))</f>
        <v/>
      </c>
      <c r="AP180" s="92">
        <f>IF(AZ179&lt;0.005,0,MAX(0,AZ179*(1+AZ$6/12)-AZ$7))</f>
        <v/>
      </c>
      <c r="AQ180" s="92">
        <f>IF(BA179&lt;0.005,0,MAX(0,BA179*(1+BA$6/12)-BA$7))</f>
        <v/>
      </c>
      <c r="AR180" s="92">
        <f>IF(BB179&lt;0.005,0,MAX(0,BB179*(1+BB$6/12)-BB$7))</f>
        <v/>
      </c>
      <c r="AS180" s="92">
        <f>IF(BC179&lt;0.005,0,MAX(0,BC179*(1+BC$6/12)-BC$7))</f>
        <v/>
      </c>
      <c r="AT180" s="92">
        <f>IF(BD179&lt;0.005,0,MAX(0,BD179*(1+BD$6/12)-BD$7))</f>
        <v/>
      </c>
      <c r="AU180" s="92">
        <f>IF(BE179&lt;0.005,0,MAX(0,BE179*(1+BE$6/12)-BE$7))</f>
        <v/>
      </c>
      <c r="AV180" s="92">
        <f>IF(BF179&lt;0.005,0,MAX(0,BF179*(1+BF$6/12)-BF$7))</f>
        <v/>
      </c>
      <c r="AW180" s="92">
        <f>IF(BG179&lt;0.005,0,MAX(0,BG179*(1+BG$6/12)-BG$7))</f>
        <v/>
      </c>
      <c r="AX180" s="92">
        <f>IF(BH179&lt;0.005,0,MAX(0,BH179*(1+BH$6/12)-BH$7))</f>
        <v/>
      </c>
      <c r="AY180" s="91">
        <f>MAX(0,AO180-MAX(0,BJ180-0))</f>
        <v/>
      </c>
      <c r="AZ180" s="91">
        <f>MAX(0,AP180-MAX(0,BJ180-SUM(AO180:AO180)))</f>
        <v/>
      </c>
      <c r="BA180" s="91">
        <f>MAX(0,AQ180-MAX(0,BJ180-SUM(AO180:AP180)))</f>
        <v/>
      </c>
      <c r="BB180" s="91">
        <f>MAX(0,AR180-MAX(0,BJ180-SUM(AO180:AQ180)))</f>
        <v/>
      </c>
      <c r="BC180" s="91">
        <f>MAX(0,AS180-MAX(0,BJ180-SUM(AO180:AR180)))</f>
        <v/>
      </c>
      <c r="BD180" s="91">
        <f>MAX(0,AT180-MAX(0,BJ180-SUM(AO180:AS180)))</f>
        <v/>
      </c>
      <c r="BE180" s="91">
        <f>MAX(0,AU180-MAX(0,BJ180-SUM(AO180:AT180)))</f>
        <v/>
      </c>
      <c r="BF180" s="91">
        <f>MAX(0,AV180-MAX(0,BJ180-SUM(AO180:AU180)))</f>
        <v/>
      </c>
      <c r="BG180" s="91">
        <f>MAX(0,AW180-MAX(0,BJ180-SUM(AO180:AV180)))</f>
        <v/>
      </c>
      <c r="BH180" s="91">
        <f>MAX(0,AX180-MAX(0,BJ180-SUM(AO180:AW180)))</f>
        <v/>
      </c>
      <c r="BI180" s="92">
        <f>SUM(AY179:BH179)+BK180</f>
        <v/>
      </c>
      <c r="BJ180" s="92">
        <f>$BJ$7-(BI180-SUM(AO180:AX180))</f>
        <v/>
      </c>
      <c r="BK180" s="91">
        <f>SUMPRODUCT(AY179:BH179,$AY$6:$BH$6)/12</f>
        <v/>
      </c>
      <c r="BL180" s="88">
        <f>SUM(AY180:BH180)</f>
        <v/>
      </c>
    </row>
    <row r="181">
      <c r="A181" s="24" t="n">
        <v>171</v>
      </c>
      <c r="B181" s="90">
        <f>DATE(YEAR(Settings!$C$11),MONTH(Settings!$C$11)+A181,1)</f>
        <v/>
      </c>
      <c r="C181" s="91">
        <f>IF(C180&lt;0.005,0,MAX(0,C180*(1+C$6/12)-C$7))</f>
        <v/>
      </c>
      <c r="D181" s="91">
        <f>IF(D180&lt;0.005,0,MAX(0,D180*(1+D$6/12)-D$7))</f>
        <v/>
      </c>
      <c r="E181" s="91">
        <f>IF(E180&lt;0.005,0,MAX(0,E180*(1+E$6/12)-E$7))</f>
        <v/>
      </c>
      <c r="F181" s="91">
        <f>IF(F180&lt;0.005,0,MAX(0,F180*(1+F$6/12)-F$7))</f>
        <v/>
      </c>
      <c r="G181" s="91">
        <f>IF(G180&lt;0.005,0,MAX(0,G180*(1+G$6/12)-G$7))</f>
        <v/>
      </c>
      <c r="H181" s="91">
        <f>IF(H180&lt;0.005,0,MAX(0,H180*(1+H$6/12)-H$7))</f>
        <v/>
      </c>
      <c r="I181" s="91">
        <f>IF(I180&lt;0.005,0,MAX(0,I180*(1+I$6/12)-I$7))</f>
        <v/>
      </c>
      <c r="J181" s="91">
        <f>IF(J180&lt;0.005,0,MAX(0,J180*(1+J$6/12)-J$7))</f>
        <v/>
      </c>
      <c r="K181" s="91">
        <f>IF(K180&lt;0.005,0,MAX(0,K180*(1+K$6/12)-K$7))</f>
        <v/>
      </c>
      <c r="L181" s="91">
        <f>IF(L180&lt;0.005,0,MAX(0,L180*(1+L$6/12)-L$7))</f>
        <v/>
      </c>
      <c r="M181" s="91">
        <f>SUMPRODUCT(C180:L180,$C$6:$L$6)/12</f>
        <v/>
      </c>
      <c r="N181" s="88">
        <f>SUM(C181:L181)</f>
        <v/>
      </c>
      <c r="P181" s="92">
        <f>IF(Z180&lt;0.005,0,MAX(0,Z180*(1+Z$6/12)-Z$7))</f>
        <v/>
      </c>
      <c r="Q181" s="92">
        <f>IF(AA180&lt;0.005,0,MAX(0,AA180*(1+AA$6/12)-AA$7))</f>
        <v/>
      </c>
      <c r="R181" s="92">
        <f>IF(AB180&lt;0.005,0,MAX(0,AB180*(1+AB$6/12)-AB$7))</f>
        <v/>
      </c>
      <c r="S181" s="92">
        <f>IF(AC180&lt;0.005,0,MAX(0,AC180*(1+AC$6/12)-AC$7))</f>
        <v/>
      </c>
      <c r="T181" s="92">
        <f>IF(AD180&lt;0.005,0,MAX(0,AD180*(1+AD$6/12)-AD$7))</f>
        <v/>
      </c>
      <c r="U181" s="92">
        <f>IF(AE180&lt;0.005,0,MAX(0,AE180*(1+AE$6/12)-AE$7))</f>
        <v/>
      </c>
      <c r="V181" s="92">
        <f>IF(AF180&lt;0.005,0,MAX(0,AF180*(1+AF$6/12)-AF$7))</f>
        <v/>
      </c>
      <c r="W181" s="92">
        <f>IF(AG180&lt;0.005,0,MAX(0,AG180*(1+AG$6/12)-AG$7))</f>
        <v/>
      </c>
      <c r="X181" s="92">
        <f>IF(AH180&lt;0.005,0,MAX(0,AH180*(1+AH$6/12)-AH$7))</f>
        <v/>
      </c>
      <c r="Y181" s="92">
        <f>IF(AI180&lt;0.005,0,MAX(0,AI180*(1+AI$6/12)-AI$7))</f>
        <v/>
      </c>
      <c r="Z181" s="91">
        <f>MAX(0,P181-MAX(0,AK181-0))</f>
        <v/>
      </c>
      <c r="AA181" s="91">
        <f>MAX(0,Q181-MAX(0,AK181-SUM(P181:P181)))</f>
        <v/>
      </c>
      <c r="AB181" s="91">
        <f>MAX(0,R181-MAX(0,AK181-SUM(P181:Q181)))</f>
        <v/>
      </c>
      <c r="AC181" s="91">
        <f>MAX(0,S181-MAX(0,AK181-SUM(P181:R181)))</f>
        <v/>
      </c>
      <c r="AD181" s="91">
        <f>MAX(0,T181-MAX(0,AK181-SUM(P181:S181)))</f>
        <v/>
      </c>
      <c r="AE181" s="91">
        <f>MAX(0,U181-MAX(0,AK181-SUM(P181:T181)))</f>
        <v/>
      </c>
      <c r="AF181" s="91">
        <f>MAX(0,V181-MAX(0,AK181-SUM(P181:U181)))</f>
        <v/>
      </c>
      <c r="AG181" s="91">
        <f>MAX(0,W181-MAX(0,AK181-SUM(P181:V181)))</f>
        <v/>
      </c>
      <c r="AH181" s="91">
        <f>MAX(0,X181-MAX(0,AK181-SUM(P181:W181)))</f>
        <v/>
      </c>
      <c r="AI181" s="91">
        <f>MAX(0,Y181-MAX(0,AK181-SUM(P181:X181)))</f>
        <v/>
      </c>
      <c r="AJ181" s="92">
        <f>SUM(Z180:AI180)+AL181</f>
        <v/>
      </c>
      <c r="AK181" s="92">
        <f>$AK$7-(AJ181-SUM(P181:Y181))</f>
        <v/>
      </c>
      <c r="AL181" s="91">
        <f>SUMPRODUCT(Z180:AI180,$Z$6:$AI$6)/12</f>
        <v/>
      </c>
      <c r="AM181" s="88">
        <f>SUM(Z181:AI181)</f>
        <v/>
      </c>
      <c r="AO181" s="92">
        <f>IF(AY180&lt;0.005,0,MAX(0,AY180*(1+AY$6/12)-AY$7))</f>
        <v/>
      </c>
      <c r="AP181" s="92">
        <f>IF(AZ180&lt;0.005,0,MAX(0,AZ180*(1+AZ$6/12)-AZ$7))</f>
        <v/>
      </c>
      <c r="AQ181" s="92">
        <f>IF(BA180&lt;0.005,0,MAX(0,BA180*(1+BA$6/12)-BA$7))</f>
        <v/>
      </c>
      <c r="AR181" s="92">
        <f>IF(BB180&lt;0.005,0,MAX(0,BB180*(1+BB$6/12)-BB$7))</f>
        <v/>
      </c>
      <c r="AS181" s="92">
        <f>IF(BC180&lt;0.005,0,MAX(0,BC180*(1+BC$6/12)-BC$7))</f>
        <v/>
      </c>
      <c r="AT181" s="92">
        <f>IF(BD180&lt;0.005,0,MAX(0,BD180*(1+BD$6/12)-BD$7))</f>
        <v/>
      </c>
      <c r="AU181" s="92">
        <f>IF(BE180&lt;0.005,0,MAX(0,BE180*(1+BE$6/12)-BE$7))</f>
        <v/>
      </c>
      <c r="AV181" s="92">
        <f>IF(BF180&lt;0.005,0,MAX(0,BF180*(1+BF$6/12)-BF$7))</f>
        <v/>
      </c>
      <c r="AW181" s="92">
        <f>IF(BG180&lt;0.005,0,MAX(0,BG180*(1+BG$6/12)-BG$7))</f>
        <v/>
      </c>
      <c r="AX181" s="92">
        <f>IF(BH180&lt;0.005,0,MAX(0,BH180*(1+BH$6/12)-BH$7))</f>
        <v/>
      </c>
      <c r="AY181" s="91">
        <f>MAX(0,AO181-MAX(0,BJ181-0))</f>
        <v/>
      </c>
      <c r="AZ181" s="91">
        <f>MAX(0,AP181-MAX(0,BJ181-SUM(AO181:AO181)))</f>
        <v/>
      </c>
      <c r="BA181" s="91">
        <f>MAX(0,AQ181-MAX(0,BJ181-SUM(AO181:AP181)))</f>
        <v/>
      </c>
      <c r="BB181" s="91">
        <f>MAX(0,AR181-MAX(0,BJ181-SUM(AO181:AQ181)))</f>
        <v/>
      </c>
      <c r="BC181" s="91">
        <f>MAX(0,AS181-MAX(0,BJ181-SUM(AO181:AR181)))</f>
        <v/>
      </c>
      <c r="BD181" s="91">
        <f>MAX(0,AT181-MAX(0,BJ181-SUM(AO181:AS181)))</f>
        <v/>
      </c>
      <c r="BE181" s="91">
        <f>MAX(0,AU181-MAX(0,BJ181-SUM(AO181:AT181)))</f>
        <v/>
      </c>
      <c r="BF181" s="91">
        <f>MAX(0,AV181-MAX(0,BJ181-SUM(AO181:AU181)))</f>
        <v/>
      </c>
      <c r="BG181" s="91">
        <f>MAX(0,AW181-MAX(0,BJ181-SUM(AO181:AV181)))</f>
        <v/>
      </c>
      <c r="BH181" s="91">
        <f>MAX(0,AX181-MAX(0,BJ181-SUM(AO181:AW181)))</f>
        <v/>
      </c>
      <c r="BI181" s="92">
        <f>SUM(AY180:BH180)+BK181</f>
        <v/>
      </c>
      <c r="BJ181" s="92">
        <f>$BJ$7-(BI181-SUM(AO181:AX181))</f>
        <v/>
      </c>
      <c r="BK181" s="91">
        <f>SUMPRODUCT(AY180:BH180,$AY$6:$BH$6)/12</f>
        <v/>
      </c>
      <c r="BL181" s="88">
        <f>SUM(AY181:BH181)</f>
        <v/>
      </c>
    </row>
    <row r="182">
      <c r="A182" s="24" t="n">
        <v>172</v>
      </c>
      <c r="B182" s="90">
        <f>DATE(YEAR(Settings!$C$11),MONTH(Settings!$C$11)+A182,1)</f>
        <v/>
      </c>
      <c r="C182" s="91">
        <f>IF(C181&lt;0.005,0,MAX(0,C181*(1+C$6/12)-C$7))</f>
        <v/>
      </c>
      <c r="D182" s="91">
        <f>IF(D181&lt;0.005,0,MAX(0,D181*(1+D$6/12)-D$7))</f>
        <v/>
      </c>
      <c r="E182" s="91">
        <f>IF(E181&lt;0.005,0,MAX(0,E181*(1+E$6/12)-E$7))</f>
        <v/>
      </c>
      <c r="F182" s="91">
        <f>IF(F181&lt;0.005,0,MAX(0,F181*(1+F$6/12)-F$7))</f>
        <v/>
      </c>
      <c r="G182" s="91">
        <f>IF(G181&lt;0.005,0,MAX(0,G181*(1+G$6/12)-G$7))</f>
        <v/>
      </c>
      <c r="H182" s="91">
        <f>IF(H181&lt;0.005,0,MAX(0,H181*(1+H$6/12)-H$7))</f>
        <v/>
      </c>
      <c r="I182" s="91">
        <f>IF(I181&lt;0.005,0,MAX(0,I181*(1+I$6/12)-I$7))</f>
        <v/>
      </c>
      <c r="J182" s="91">
        <f>IF(J181&lt;0.005,0,MAX(0,J181*(1+J$6/12)-J$7))</f>
        <v/>
      </c>
      <c r="K182" s="91">
        <f>IF(K181&lt;0.005,0,MAX(0,K181*(1+K$6/12)-K$7))</f>
        <v/>
      </c>
      <c r="L182" s="91">
        <f>IF(L181&lt;0.005,0,MAX(0,L181*(1+L$6/12)-L$7))</f>
        <v/>
      </c>
      <c r="M182" s="91">
        <f>SUMPRODUCT(C181:L181,$C$6:$L$6)/12</f>
        <v/>
      </c>
      <c r="N182" s="88">
        <f>SUM(C182:L182)</f>
        <v/>
      </c>
      <c r="P182" s="92">
        <f>IF(Z181&lt;0.005,0,MAX(0,Z181*(1+Z$6/12)-Z$7))</f>
        <v/>
      </c>
      <c r="Q182" s="92">
        <f>IF(AA181&lt;0.005,0,MAX(0,AA181*(1+AA$6/12)-AA$7))</f>
        <v/>
      </c>
      <c r="R182" s="92">
        <f>IF(AB181&lt;0.005,0,MAX(0,AB181*(1+AB$6/12)-AB$7))</f>
        <v/>
      </c>
      <c r="S182" s="92">
        <f>IF(AC181&lt;0.005,0,MAX(0,AC181*(1+AC$6/12)-AC$7))</f>
        <v/>
      </c>
      <c r="T182" s="92">
        <f>IF(AD181&lt;0.005,0,MAX(0,AD181*(1+AD$6/12)-AD$7))</f>
        <v/>
      </c>
      <c r="U182" s="92">
        <f>IF(AE181&lt;0.005,0,MAX(0,AE181*(1+AE$6/12)-AE$7))</f>
        <v/>
      </c>
      <c r="V182" s="92">
        <f>IF(AF181&lt;0.005,0,MAX(0,AF181*(1+AF$6/12)-AF$7))</f>
        <v/>
      </c>
      <c r="W182" s="92">
        <f>IF(AG181&lt;0.005,0,MAX(0,AG181*(1+AG$6/12)-AG$7))</f>
        <v/>
      </c>
      <c r="X182" s="92">
        <f>IF(AH181&lt;0.005,0,MAX(0,AH181*(1+AH$6/12)-AH$7))</f>
        <v/>
      </c>
      <c r="Y182" s="92">
        <f>IF(AI181&lt;0.005,0,MAX(0,AI181*(1+AI$6/12)-AI$7))</f>
        <v/>
      </c>
      <c r="Z182" s="91">
        <f>MAX(0,P182-MAX(0,AK182-0))</f>
        <v/>
      </c>
      <c r="AA182" s="91">
        <f>MAX(0,Q182-MAX(0,AK182-SUM(P182:P182)))</f>
        <v/>
      </c>
      <c r="AB182" s="91">
        <f>MAX(0,R182-MAX(0,AK182-SUM(P182:Q182)))</f>
        <v/>
      </c>
      <c r="AC182" s="91">
        <f>MAX(0,S182-MAX(0,AK182-SUM(P182:R182)))</f>
        <v/>
      </c>
      <c r="AD182" s="91">
        <f>MAX(0,T182-MAX(0,AK182-SUM(P182:S182)))</f>
        <v/>
      </c>
      <c r="AE182" s="91">
        <f>MAX(0,U182-MAX(0,AK182-SUM(P182:T182)))</f>
        <v/>
      </c>
      <c r="AF182" s="91">
        <f>MAX(0,V182-MAX(0,AK182-SUM(P182:U182)))</f>
        <v/>
      </c>
      <c r="AG182" s="91">
        <f>MAX(0,W182-MAX(0,AK182-SUM(P182:V182)))</f>
        <v/>
      </c>
      <c r="AH182" s="91">
        <f>MAX(0,X182-MAX(0,AK182-SUM(P182:W182)))</f>
        <v/>
      </c>
      <c r="AI182" s="91">
        <f>MAX(0,Y182-MAX(0,AK182-SUM(P182:X182)))</f>
        <v/>
      </c>
      <c r="AJ182" s="92">
        <f>SUM(Z181:AI181)+AL182</f>
        <v/>
      </c>
      <c r="AK182" s="92">
        <f>$AK$7-(AJ182-SUM(P182:Y182))</f>
        <v/>
      </c>
      <c r="AL182" s="91">
        <f>SUMPRODUCT(Z181:AI181,$Z$6:$AI$6)/12</f>
        <v/>
      </c>
      <c r="AM182" s="88">
        <f>SUM(Z182:AI182)</f>
        <v/>
      </c>
      <c r="AO182" s="92">
        <f>IF(AY181&lt;0.005,0,MAX(0,AY181*(1+AY$6/12)-AY$7))</f>
        <v/>
      </c>
      <c r="AP182" s="92">
        <f>IF(AZ181&lt;0.005,0,MAX(0,AZ181*(1+AZ$6/12)-AZ$7))</f>
        <v/>
      </c>
      <c r="AQ182" s="92">
        <f>IF(BA181&lt;0.005,0,MAX(0,BA181*(1+BA$6/12)-BA$7))</f>
        <v/>
      </c>
      <c r="AR182" s="92">
        <f>IF(BB181&lt;0.005,0,MAX(0,BB181*(1+BB$6/12)-BB$7))</f>
        <v/>
      </c>
      <c r="AS182" s="92">
        <f>IF(BC181&lt;0.005,0,MAX(0,BC181*(1+BC$6/12)-BC$7))</f>
        <v/>
      </c>
      <c r="AT182" s="92">
        <f>IF(BD181&lt;0.005,0,MAX(0,BD181*(1+BD$6/12)-BD$7))</f>
        <v/>
      </c>
      <c r="AU182" s="92">
        <f>IF(BE181&lt;0.005,0,MAX(0,BE181*(1+BE$6/12)-BE$7))</f>
        <v/>
      </c>
      <c r="AV182" s="92">
        <f>IF(BF181&lt;0.005,0,MAX(0,BF181*(1+BF$6/12)-BF$7))</f>
        <v/>
      </c>
      <c r="AW182" s="92">
        <f>IF(BG181&lt;0.005,0,MAX(0,BG181*(1+BG$6/12)-BG$7))</f>
        <v/>
      </c>
      <c r="AX182" s="92">
        <f>IF(BH181&lt;0.005,0,MAX(0,BH181*(1+BH$6/12)-BH$7))</f>
        <v/>
      </c>
      <c r="AY182" s="91">
        <f>MAX(0,AO182-MAX(0,BJ182-0))</f>
        <v/>
      </c>
      <c r="AZ182" s="91">
        <f>MAX(0,AP182-MAX(0,BJ182-SUM(AO182:AO182)))</f>
        <v/>
      </c>
      <c r="BA182" s="91">
        <f>MAX(0,AQ182-MAX(0,BJ182-SUM(AO182:AP182)))</f>
        <v/>
      </c>
      <c r="BB182" s="91">
        <f>MAX(0,AR182-MAX(0,BJ182-SUM(AO182:AQ182)))</f>
        <v/>
      </c>
      <c r="BC182" s="91">
        <f>MAX(0,AS182-MAX(0,BJ182-SUM(AO182:AR182)))</f>
        <v/>
      </c>
      <c r="BD182" s="91">
        <f>MAX(0,AT182-MAX(0,BJ182-SUM(AO182:AS182)))</f>
        <v/>
      </c>
      <c r="BE182" s="91">
        <f>MAX(0,AU182-MAX(0,BJ182-SUM(AO182:AT182)))</f>
        <v/>
      </c>
      <c r="BF182" s="91">
        <f>MAX(0,AV182-MAX(0,BJ182-SUM(AO182:AU182)))</f>
        <v/>
      </c>
      <c r="BG182" s="91">
        <f>MAX(0,AW182-MAX(0,BJ182-SUM(AO182:AV182)))</f>
        <v/>
      </c>
      <c r="BH182" s="91">
        <f>MAX(0,AX182-MAX(0,BJ182-SUM(AO182:AW182)))</f>
        <v/>
      </c>
      <c r="BI182" s="92">
        <f>SUM(AY181:BH181)+BK182</f>
        <v/>
      </c>
      <c r="BJ182" s="92">
        <f>$BJ$7-(BI182-SUM(AO182:AX182))</f>
        <v/>
      </c>
      <c r="BK182" s="91">
        <f>SUMPRODUCT(AY181:BH181,$AY$6:$BH$6)/12</f>
        <v/>
      </c>
      <c r="BL182" s="88">
        <f>SUM(AY182:BH182)</f>
        <v/>
      </c>
    </row>
    <row r="183">
      <c r="A183" s="24" t="n">
        <v>173</v>
      </c>
      <c r="B183" s="90">
        <f>DATE(YEAR(Settings!$C$11),MONTH(Settings!$C$11)+A183,1)</f>
        <v/>
      </c>
      <c r="C183" s="91">
        <f>IF(C182&lt;0.005,0,MAX(0,C182*(1+C$6/12)-C$7))</f>
        <v/>
      </c>
      <c r="D183" s="91">
        <f>IF(D182&lt;0.005,0,MAX(0,D182*(1+D$6/12)-D$7))</f>
        <v/>
      </c>
      <c r="E183" s="91">
        <f>IF(E182&lt;0.005,0,MAX(0,E182*(1+E$6/12)-E$7))</f>
        <v/>
      </c>
      <c r="F183" s="91">
        <f>IF(F182&lt;0.005,0,MAX(0,F182*(1+F$6/12)-F$7))</f>
        <v/>
      </c>
      <c r="G183" s="91">
        <f>IF(G182&lt;0.005,0,MAX(0,G182*(1+G$6/12)-G$7))</f>
        <v/>
      </c>
      <c r="H183" s="91">
        <f>IF(H182&lt;0.005,0,MAX(0,H182*(1+H$6/12)-H$7))</f>
        <v/>
      </c>
      <c r="I183" s="91">
        <f>IF(I182&lt;0.005,0,MAX(0,I182*(1+I$6/12)-I$7))</f>
        <v/>
      </c>
      <c r="J183" s="91">
        <f>IF(J182&lt;0.005,0,MAX(0,J182*(1+J$6/12)-J$7))</f>
        <v/>
      </c>
      <c r="K183" s="91">
        <f>IF(K182&lt;0.005,0,MAX(0,K182*(1+K$6/12)-K$7))</f>
        <v/>
      </c>
      <c r="L183" s="91">
        <f>IF(L182&lt;0.005,0,MAX(0,L182*(1+L$6/12)-L$7))</f>
        <v/>
      </c>
      <c r="M183" s="91">
        <f>SUMPRODUCT(C182:L182,$C$6:$L$6)/12</f>
        <v/>
      </c>
      <c r="N183" s="88">
        <f>SUM(C183:L183)</f>
        <v/>
      </c>
      <c r="P183" s="92">
        <f>IF(Z182&lt;0.005,0,MAX(0,Z182*(1+Z$6/12)-Z$7))</f>
        <v/>
      </c>
      <c r="Q183" s="92">
        <f>IF(AA182&lt;0.005,0,MAX(0,AA182*(1+AA$6/12)-AA$7))</f>
        <v/>
      </c>
      <c r="R183" s="92">
        <f>IF(AB182&lt;0.005,0,MAX(0,AB182*(1+AB$6/12)-AB$7))</f>
        <v/>
      </c>
      <c r="S183" s="92">
        <f>IF(AC182&lt;0.005,0,MAX(0,AC182*(1+AC$6/12)-AC$7))</f>
        <v/>
      </c>
      <c r="T183" s="92">
        <f>IF(AD182&lt;0.005,0,MAX(0,AD182*(1+AD$6/12)-AD$7))</f>
        <v/>
      </c>
      <c r="U183" s="92">
        <f>IF(AE182&lt;0.005,0,MAX(0,AE182*(1+AE$6/12)-AE$7))</f>
        <v/>
      </c>
      <c r="V183" s="92">
        <f>IF(AF182&lt;0.005,0,MAX(0,AF182*(1+AF$6/12)-AF$7))</f>
        <v/>
      </c>
      <c r="W183" s="92">
        <f>IF(AG182&lt;0.005,0,MAX(0,AG182*(1+AG$6/12)-AG$7))</f>
        <v/>
      </c>
      <c r="X183" s="92">
        <f>IF(AH182&lt;0.005,0,MAX(0,AH182*(1+AH$6/12)-AH$7))</f>
        <v/>
      </c>
      <c r="Y183" s="92">
        <f>IF(AI182&lt;0.005,0,MAX(0,AI182*(1+AI$6/12)-AI$7))</f>
        <v/>
      </c>
      <c r="Z183" s="91">
        <f>MAX(0,P183-MAX(0,AK183-0))</f>
        <v/>
      </c>
      <c r="AA183" s="91">
        <f>MAX(0,Q183-MAX(0,AK183-SUM(P183:P183)))</f>
        <v/>
      </c>
      <c r="AB183" s="91">
        <f>MAX(0,R183-MAX(0,AK183-SUM(P183:Q183)))</f>
        <v/>
      </c>
      <c r="AC183" s="91">
        <f>MAX(0,S183-MAX(0,AK183-SUM(P183:R183)))</f>
        <v/>
      </c>
      <c r="AD183" s="91">
        <f>MAX(0,T183-MAX(0,AK183-SUM(P183:S183)))</f>
        <v/>
      </c>
      <c r="AE183" s="91">
        <f>MAX(0,U183-MAX(0,AK183-SUM(P183:T183)))</f>
        <v/>
      </c>
      <c r="AF183" s="91">
        <f>MAX(0,V183-MAX(0,AK183-SUM(P183:U183)))</f>
        <v/>
      </c>
      <c r="AG183" s="91">
        <f>MAX(0,W183-MAX(0,AK183-SUM(P183:V183)))</f>
        <v/>
      </c>
      <c r="AH183" s="91">
        <f>MAX(0,X183-MAX(0,AK183-SUM(P183:W183)))</f>
        <v/>
      </c>
      <c r="AI183" s="91">
        <f>MAX(0,Y183-MAX(0,AK183-SUM(P183:X183)))</f>
        <v/>
      </c>
      <c r="AJ183" s="92">
        <f>SUM(Z182:AI182)+AL183</f>
        <v/>
      </c>
      <c r="AK183" s="92">
        <f>$AK$7-(AJ183-SUM(P183:Y183))</f>
        <v/>
      </c>
      <c r="AL183" s="91">
        <f>SUMPRODUCT(Z182:AI182,$Z$6:$AI$6)/12</f>
        <v/>
      </c>
      <c r="AM183" s="88">
        <f>SUM(Z183:AI183)</f>
        <v/>
      </c>
      <c r="AO183" s="92">
        <f>IF(AY182&lt;0.005,0,MAX(0,AY182*(1+AY$6/12)-AY$7))</f>
        <v/>
      </c>
      <c r="AP183" s="92">
        <f>IF(AZ182&lt;0.005,0,MAX(0,AZ182*(1+AZ$6/12)-AZ$7))</f>
        <v/>
      </c>
      <c r="AQ183" s="92">
        <f>IF(BA182&lt;0.005,0,MAX(0,BA182*(1+BA$6/12)-BA$7))</f>
        <v/>
      </c>
      <c r="AR183" s="92">
        <f>IF(BB182&lt;0.005,0,MAX(0,BB182*(1+BB$6/12)-BB$7))</f>
        <v/>
      </c>
      <c r="AS183" s="92">
        <f>IF(BC182&lt;0.005,0,MAX(0,BC182*(1+BC$6/12)-BC$7))</f>
        <v/>
      </c>
      <c r="AT183" s="92">
        <f>IF(BD182&lt;0.005,0,MAX(0,BD182*(1+BD$6/12)-BD$7))</f>
        <v/>
      </c>
      <c r="AU183" s="92">
        <f>IF(BE182&lt;0.005,0,MAX(0,BE182*(1+BE$6/12)-BE$7))</f>
        <v/>
      </c>
      <c r="AV183" s="92">
        <f>IF(BF182&lt;0.005,0,MAX(0,BF182*(1+BF$6/12)-BF$7))</f>
        <v/>
      </c>
      <c r="AW183" s="92">
        <f>IF(BG182&lt;0.005,0,MAX(0,BG182*(1+BG$6/12)-BG$7))</f>
        <v/>
      </c>
      <c r="AX183" s="92">
        <f>IF(BH182&lt;0.005,0,MAX(0,BH182*(1+BH$6/12)-BH$7))</f>
        <v/>
      </c>
      <c r="AY183" s="91">
        <f>MAX(0,AO183-MAX(0,BJ183-0))</f>
        <v/>
      </c>
      <c r="AZ183" s="91">
        <f>MAX(0,AP183-MAX(0,BJ183-SUM(AO183:AO183)))</f>
        <v/>
      </c>
      <c r="BA183" s="91">
        <f>MAX(0,AQ183-MAX(0,BJ183-SUM(AO183:AP183)))</f>
        <v/>
      </c>
      <c r="BB183" s="91">
        <f>MAX(0,AR183-MAX(0,BJ183-SUM(AO183:AQ183)))</f>
        <v/>
      </c>
      <c r="BC183" s="91">
        <f>MAX(0,AS183-MAX(0,BJ183-SUM(AO183:AR183)))</f>
        <v/>
      </c>
      <c r="BD183" s="91">
        <f>MAX(0,AT183-MAX(0,BJ183-SUM(AO183:AS183)))</f>
        <v/>
      </c>
      <c r="BE183" s="91">
        <f>MAX(0,AU183-MAX(0,BJ183-SUM(AO183:AT183)))</f>
        <v/>
      </c>
      <c r="BF183" s="91">
        <f>MAX(0,AV183-MAX(0,BJ183-SUM(AO183:AU183)))</f>
        <v/>
      </c>
      <c r="BG183" s="91">
        <f>MAX(0,AW183-MAX(0,BJ183-SUM(AO183:AV183)))</f>
        <v/>
      </c>
      <c r="BH183" s="91">
        <f>MAX(0,AX183-MAX(0,BJ183-SUM(AO183:AW183)))</f>
        <v/>
      </c>
      <c r="BI183" s="92">
        <f>SUM(AY182:BH182)+BK183</f>
        <v/>
      </c>
      <c r="BJ183" s="92">
        <f>$BJ$7-(BI183-SUM(AO183:AX183))</f>
        <v/>
      </c>
      <c r="BK183" s="91">
        <f>SUMPRODUCT(AY182:BH182,$AY$6:$BH$6)/12</f>
        <v/>
      </c>
      <c r="BL183" s="88">
        <f>SUM(AY183:BH183)</f>
        <v/>
      </c>
    </row>
    <row r="184">
      <c r="A184" s="24" t="n">
        <v>174</v>
      </c>
      <c r="B184" s="90">
        <f>DATE(YEAR(Settings!$C$11),MONTH(Settings!$C$11)+A184,1)</f>
        <v/>
      </c>
      <c r="C184" s="91">
        <f>IF(C183&lt;0.005,0,MAX(0,C183*(1+C$6/12)-C$7))</f>
        <v/>
      </c>
      <c r="D184" s="91">
        <f>IF(D183&lt;0.005,0,MAX(0,D183*(1+D$6/12)-D$7))</f>
        <v/>
      </c>
      <c r="E184" s="91">
        <f>IF(E183&lt;0.005,0,MAX(0,E183*(1+E$6/12)-E$7))</f>
        <v/>
      </c>
      <c r="F184" s="91">
        <f>IF(F183&lt;0.005,0,MAX(0,F183*(1+F$6/12)-F$7))</f>
        <v/>
      </c>
      <c r="G184" s="91">
        <f>IF(G183&lt;0.005,0,MAX(0,G183*(1+G$6/12)-G$7))</f>
        <v/>
      </c>
      <c r="H184" s="91">
        <f>IF(H183&lt;0.005,0,MAX(0,H183*(1+H$6/12)-H$7))</f>
        <v/>
      </c>
      <c r="I184" s="91">
        <f>IF(I183&lt;0.005,0,MAX(0,I183*(1+I$6/12)-I$7))</f>
        <v/>
      </c>
      <c r="J184" s="91">
        <f>IF(J183&lt;0.005,0,MAX(0,J183*(1+J$6/12)-J$7))</f>
        <v/>
      </c>
      <c r="K184" s="91">
        <f>IF(K183&lt;0.005,0,MAX(0,K183*(1+K$6/12)-K$7))</f>
        <v/>
      </c>
      <c r="L184" s="91">
        <f>IF(L183&lt;0.005,0,MAX(0,L183*(1+L$6/12)-L$7))</f>
        <v/>
      </c>
      <c r="M184" s="91">
        <f>SUMPRODUCT(C183:L183,$C$6:$L$6)/12</f>
        <v/>
      </c>
      <c r="N184" s="88">
        <f>SUM(C184:L184)</f>
        <v/>
      </c>
      <c r="P184" s="92">
        <f>IF(Z183&lt;0.005,0,MAX(0,Z183*(1+Z$6/12)-Z$7))</f>
        <v/>
      </c>
      <c r="Q184" s="92">
        <f>IF(AA183&lt;0.005,0,MAX(0,AA183*(1+AA$6/12)-AA$7))</f>
        <v/>
      </c>
      <c r="R184" s="92">
        <f>IF(AB183&lt;0.005,0,MAX(0,AB183*(1+AB$6/12)-AB$7))</f>
        <v/>
      </c>
      <c r="S184" s="92">
        <f>IF(AC183&lt;0.005,0,MAX(0,AC183*(1+AC$6/12)-AC$7))</f>
        <v/>
      </c>
      <c r="T184" s="92">
        <f>IF(AD183&lt;0.005,0,MAX(0,AD183*(1+AD$6/12)-AD$7))</f>
        <v/>
      </c>
      <c r="U184" s="92">
        <f>IF(AE183&lt;0.005,0,MAX(0,AE183*(1+AE$6/12)-AE$7))</f>
        <v/>
      </c>
      <c r="V184" s="92">
        <f>IF(AF183&lt;0.005,0,MAX(0,AF183*(1+AF$6/12)-AF$7))</f>
        <v/>
      </c>
      <c r="W184" s="92">
        <f>IF(AG183&lt;0.005,0,MAX(0,AG183*(1+AG$6/12)-AG$7))</f>
        <v/>
      </c>
      <c r="X184" s="92">
        <f>IF(AH183&lt;0.005,0,MAX(0,AH183*(1+AH$6/12)-AH$7))</f>
        <v/>
      </c>
      <c r="Y184" s="92">
        <f>IF(AI183&lt;0.005,0,MAX(0,AI183*(1+AI$6/12)-AI$7))</f>
        <v/>
      </c>
      <c r="Z184" s="91">
        <f>MAX(0,P184-MAX(0,AK184-0))</f>
        <v/>
      </c>
      <c r="AA184" s="91">
        <f>MAX(0,Q184-MAX(0,AK184-SUM(P184:P184)))</f>
        <v/>
      </c>
      <c r="AB184" s="91">
        <f>MAX(0,R184-MAX(0,AK184-SUM(P184:Q184)))</f>
        <v/>
      </c>
      <c r="AC184" s="91">
        <f>MAX(0,S184-MAX(0,AK184-SUM(P184:R184)))</f>
        <v/>
      </c>
      <c r="AD184" s="91">
        <f>MAX(0,T184-MAX(0,AK184-SUM(P184:S184)))</f>
        <v/>
      </c>
      <c r="AE184" s="91">
        <f>MAX(0,U184-MAX(0,AK184-SUM(P184:T184)))</f>
        <v/>
      </c>
      <c r="AF184" s="91">
        <f>MAX(0,V184-MAX(0,AK184-SUM(P184:U184)))</f>
        <v/>
      </c>
      <c r="AG184" s="91">
        <f>MAX(0,W184-MAX(0,AK184-SUM(P184:V184)))</f>
        <v/>
      </c>
      <c r="AH184" s="91">
        <f>MAX(0,X184-MAX(0,AK184-SUM(P184:W184)))</f>
        <v/>
      </c>
      <c r="AI184" s="91">
        <f>MAX(0,Y184-MAX(0,AK184-SUM(P184:X184)))</f>
        <v/>
      </c>
      <c r="AJ184" s="92">
        <f>SUM(Z183:AI183)+AL184</f>
        <v/>
      </c>
      <c r="AK184" s="92">
        <f>$AK$7-(AJ184-SUM(P184:Y184))</f>
        <v/>
      </c>
      <c r="AL184" s="91">
        <f>SUMPRODUCT(Z183:AI183,$Z$6:$AI$6)/12</f>
        <v/>
      </c>
      <c r="AM184" s="88">
        <f>SUM(Z184:AI184)</f>
        <v/>
      </c>
      <c r="AO184" s="92">
        <f>IF(AY183&lt;0.005,0,MAX(0,AY183*(1+AY$6/12)-AY$7))</f>
        <v/>
      </c>
      <c r="AP184" s="92">
        <f>IF(AZ183&lt;0.005,0,MAX(0,AZ183*(1+AZ$6/12)-AZ$7))</f>
        <v/>
      </c>
      <c r="AQ184" s="92">
        <f>IF(BA183&lt;0.005,0,MAX(0,BA183*(1+BA$6/12)-BA$7))</f>
        <v/>
      </c>
      <c r="AR184" s="92">
        <f>IF(BB183&lt;0.005,0,MAX(0,BB183*(1+BB$6/12)-BB$7))</f>
        <v/>
      </c>
      <c r="AS184" s="92">
        <f>IF(BC183&lt;0.005,0,MAX(0,BC183*(1+BC$6/12)-BC$7))</f>
        <v/>
      </c>
      <c r="AT184" s="92">
        <f>IF(BD183&lt;0.005,0,MAX(0,BD183*(1+BD$6/12)-BD$7))</f>
        <v/>
      </c>
      <c r="AU184" s="92">
        <f>IF(BE183&lt;0.005,0,MAX(0,BE183*(1+BE$6/12)-BE$7))</f>
        <v/>
      </c>
      <c r="AV184" s="92">
        <f>IF(BF183&lt;0.005,0,MAX(0,BF183*(1+BF$6/12)-BF$7))</f>
        <v/>
      </c>
      <c r="AW184" s="92">
        <f>IF(BG183&lt;0.005,0,MAX(0,BG183*(1+BG$6/12)-BG$7))</f>
        <v/>
      </c>
      <c r="AX184" s="92">
        <f>IF(BH183&lt;0.005,0,MAX(0,BH183*(1+BH$6/12)-BH$7))</f>
        <v/>
      </c>
      <c r="AY184" s="91">
        <f>MAX(0,AO184-MAX(0,BJ184-0))</f>
        <v/>
      </c>
      <c r="AZ184" s="91">
        <f>MAX(0,AP184-MAX(0,BJ184-SUM(AO184:AO184)))</f>
        <v/>
      </c>
      <c r="BA184" s="91">
        <f>MAX(0,AQ184-MAX(0,BJ184-SUM(AO184:AP184)))</f>
        <v/>
      </c>
      <c r="BB184" s="91">
        <f>MAX(0,AR184-MAX(0,BJ184-SUM(AO184:AQ184)))</f>
        <v/>
      </c>
      <c r="BC184" s="91">
        <f>MAX(0,AS184-MAX(0,BJ184-SUM(AO184:AR184)))</f>
        <v/>
      </c>
      <c r="BD184" s="91">
        <f>MAX(0,AT184-MAX(0,BJ184-SUM(AO184:AS184)))</f>
        <v/>
      </c>
      <c r="BE184" s="91">
        <f>MAX(0,AU184-MAX(0,BJ184-SUM(AO184:AT184)))</f>
        <v/>
      </c>
      <c r="BF184" s="91">
        <f>MAX(0,AV184-MAX(0,BJ184-SUM(AO184:AU184)))</f>
        <v/>
      </c>
      <c r="BG184" s="91">
        <f>MAX(0,AW184-MAX(0,BJ184-SUM(AO184:AV184)))</f>
        <v/>
      </c>
      <c r="BH184" s="91">
        <f>MAX(0,AX184-MAX(0,BJ184-SUM(AO184:AW184)))</f>
        <v/>
      </c>
      <c r="BI184" s="92">
        <f>SUM(AY183:BH183)+BK184</f>
        <v/>
      </c>
      <c r="BJ184" s="92">
        <f>$BJ$7-(BI184-SUM(AO184:AX184))</f>
        <v/>
      </c>
      <c r="BK184" s="91">
        <f>SUMPRODUCT(AY183:BH183,$AY$6:$BH$6)/12</f>
        <v/>
      </c>
      <c r="BL184" s="88">
        <f>SUM(AY184:BH184)</f>
        <v/>
      </c>
    </row>
    <row r="185">
      <c r="A185" s="24" t="n">
        <v>175</v>
      </c>
      <c r="B185" s="90">
        <f>DATE(YEAR(Settings!$C$11),MONTH(Settings!$C$11)+A185,1)</f>
        <v/>
      </c>
      <c r="C185" s="91">
        <f>IF(C184&lt;0.005,0,MAX(0,C184*(1+C$6/12)-C$7))</f>
        <v/>
      </c>
      <c r="D185" s="91">
        <f>IF(D184&lt;0.005,0,MAX(0,D184*(1+D$6/12)-D$7))</f>
        <v/>
      </c>
      <c r="E185" s="91">
        <f>IF(E184&lt;0.005,0,MAX(0,E184*(1+E$6/12)-E$7))</f>
        <v/>
      </c>
      <c r="F185" s="91">
        <f>IF(F184&lt;0.005,0,MAX(0,F184*(1+F$6/12)-F$7))</f>
        <v/>
      </c>
      <c r="G185" s="91">
        <f>IF(G184&lt;0.005,0,MAX(0,G184*(1+G$6/12)-G$7))</f>
        <v/>
      </c>
      <c r="H185" s="91">
        <f>IF(H184&lt;0.005,0,MAX(0,H184*(1+H$6/12)-H$7))</f>
        <v/>
      </c>
      <c r="I185" s="91">
        <f>IF(I184&lt;0.005,0,MAX(0,I184*(1+I$6/12)-I$7))</f>
        <v/>
      </c>
      <c r="J185" s="91">
        <f>IF(J184&lt;0.005,0,MAX(0,J184*(1+J$6/12)-J$7))</f>
        <v/>
      </c>
      <c r="K185" s="91">
        <f>IF(K184&lt;0.005,0,MAX(0,K184*(1+K$6/12)-K$7))</f>
        <v/>
      </c>
      <c r="L185" s="91">
        <f>IF(L184&lt;0.005,0,MAX(0,L184*(1+L$6/12)-L$7))</f>
        <v/>
      </c>
      <c r="M185" s="91">
        <f>SUMPRODUCT(C184:L184,$C$6:$L$6)/12</f>
        <v/>
      </c>
      <c r="N185" s="88">
        <f>SUM(C185:L185)</f>
        <v/>
      </c>
      <c r="P185" s="92">
        <f>IF(Z184&lt;0.005,0,MAX(0,Z184*(1+Z$6/12)-Z$7))</f>
        <v/>
      </c>
      <c r="Q185" s="92">
        <f>IF(AA184&lt;0.005,0,MAX(0,AA184*(1+AA$6/12)-AA$7))</f>
        <v/>
      </c>
      <c r="R185" s="92">
        <f>IF(AB184&lt;0.005,0,MAX(0,AB184*(1+AB$6/12)-AB$7))</f>
        <v/>
      </c>
      <c r="S185" s="92">
        <f>IF(AC184&lt;0.005,0,MAX(0,AC184*(1+AC$6/12)-AC$7))</f>
        <v/>
      </c>
      <c r="T185" s="92">
        <f>IF(AD184&lt;0.005,0,MAX(0,AD184*(1+AD$6/12)-AD$7))</f>
        <v/>
      </c>
      <c r="U185" s="92">
        <f>IF(AE184&lt;0.005,0,MAX(0,AE184*(1+AE$6/12)-AE$7))</f>
        <v/>
      </c>
      <c r="V185" s="92">
        <f>IF(AF184&lt;0.005,0,MAX(0,AF184*(1+AF$6/12)-AF$7))</f>
        <v/>
      </c>
      <c r="W185" s="92">
        <f>IF(AG184&lt;0.005,0,MAX(0,AG184*(1+AG$6/12)-AG$7))</f>
        <v/>
      </c>
      <c r="X185" s="92">
        <f>IF(AH184&lt;0.005,0,MAX(0,AH184*(1+AH$6/12)-AH$7))</f>
        <v/>
      </c>
      <c r="Y185" s="92">
        <f>IF(AI184&lt;0.005,0,MAX(0,AI184*(1+AI$6/12)-AI$7))</f>
        <v/>
      </c>
      <c r="Z185" s="91">
        <f>MAX(0,P185-MAX(0,AK185-0))</f>
        <v/>
      </c>
      <c r="AA185" s="91">
        <f>MAX(0,Q185-MAX(0,AK185-SUM(P185:P185)))</f>
        <v/>
      </c>
      <c r="AB185" s="91">
        <f>MAX(0,R185-MAX(0,AK185-SUM(P185:Q185)))</f>
        <v/>
      </c>
      <c r="AC185" s="91">
        <f>MAX(0,S185-MAX(0,AK185-SUM(P185:R185)))</f>
        <v/>
      </c>
      <c r="AD185" s="91">
        <f>MAX(0,T185-MAX(0,AK185-SUM(P185:S185)))</f>
        <v/>
      </c>
      <c r="AE185" s="91">
        <f>MAX(0,U185-MAX(0,AK185-SUM(P185:T185)))</f>
        <v/>
      </c>
      <c r="AF185" s="91">
        <f>MAX(0,V185-MAX(0,AK185-SUM(P185:U185)))</f>
        <v/>
      </c>
      <c r="AG185" s="91">
        <f>MAX(0,W185-MAX(0,AK185-SUM(P185:V185)))</f>
        <v/>
      </c>
      <c r="AH185" s="91">
        <f>MAX(0,X185-MAX(0,AK185-SUM(P185:W185)))</f>
        <v/>
      </c>
      <c r="AI185" s="91">
        <f>MAX(0,Y185-MAX(0,AK185-SUM(P185:X185)))</f>
        <v/>
      </c>
      <c r="AJ185" s="92">
        <f>SUM(Z184:AI184)+AL185</f>
        <v/>
      </c>
      <c r="AK185" s="92">
        <f>$AK$7-(AJ185-SUM(P185:Y185))</f>
        <v/>
      </c>
      <c r="AL185" s="91">
        <f>SUMPRODUCT(Z184:AI184,$Z$6:$AI$6)/12</f>
        <v/>
      </c>
      <c r="AM185" s="88">
        <f>SUM(Z185:AI185)</f>
        <v/>
      </c>
      <c r="AO185" s="92">
        <f>IF(AY184&lt;0.005,0,MAX(0,AY184*(1+AY$6/12)-AY$7))</f>
        <v/>
      </c>
      <c r="AP185" s="92">
        <f>IF(AZ184&lt;0.005,0,MAX(0,AZ184*(1+AZ$6/12)-AZ$7))</f>
        <v/>
      </c>
      <c r="AQ185" s="92">
        <f>IF(BA184&lt;0.005,0,MAX(0,BA184*(1+BA$6/12)-BA$7))</f>
        <v/>
      </c>
      <c r="AR185" s="92">
        <f>IF(BB184&lt;0.005,0,MAX(0,BB184*(1+BB$6/12)-BB$7))</f>
        <v/>
      </c>
      <c r="AS185" s="92">
        <f>IF(BC184&lt;0.005,0,MAX(0,BC184*(1+BC$6/12)-BC$7))</f>
        <v/>
      </c>
      <c r="AT185" s="92">
        <f>IF(BD184&lt;0.005,0,MAX(0,BD184*(1+BD$6/12)-BD$7))</f>
        <v/>
      </c>
      <c r="AU185" s="92">
        <f>IF(BE184&lt;0.005,0,MAX(0,BE184*(1+BE$6/12)-BE$7))</f>
        <v/>
      </c>
      <c r="AV185" s="92">
        <f>IF(BF184&lt;0.005,0,MAX(0,BF184*(1+BF$6/12)-BF$7))</f>
        <v/>
      </c>
      <c r="AW185" s="92">
        <f>IF(BG184&lt;0.005,0,MAX(0,BG184*(1+BG$6/12)-BG$7))</f>
        <v/>
      </c>
      <c r="AX185" s="92">
        <f>IF(BH184&lt;0.005,0,MAX(0,BH184*(1+BH$6/12)-BH$7))</f>
        <v/>
      </c>
      <c r="AY185" s="91">
        <f>MAX(0,AO185-MAX(0,BJ185-0))</f>
        <v/>
      </c>
      <c r="AZ185" s="91">
        <f>MAX(0,AP185-MAX(0,BJ185-SUM(AO185:AO185)))</f>
        <v/>
      </c>
      <c r="BA185" s="91">
        <f>MAX(0,AQ185-MAX(0,BJ185-SUM(AO185:AP185)))</f>
        <v/>
      </c>
      <c r="BB185" s="91">
        <f>MAX(0,AR185-MAX(0,BJ185-SUM(AO185:AQ185)))</f>
        <v/>
      </c>
      <c r="BC185" s="91">
        <f>MAX(0,AS185-MAX(0,BJ185-SUM(AO185:AR185)))</f>
        <v/>
      </c>
      <c r="BD185" s="91">
        <f>MAX(0,AT185-MAX(0,BJ185-SUM(AO185:AS185)))</f>
        <v/>
      </c>
      <c r="BE185" s="91">
        <f>MAX(0,AU185-MAX(0,BJ185-SUM(AO185:AT185)))</f>
        <v/>
      </c>
      <c r="BF185" s="91">
        <f>MAX(0,AV185-MAX(0,BJ185-SUM(AO185:AU185)))</f>
        <v/>
      </c>
      <c r="BG185" s="91">
        <f>MAX(0,AW185-MAX(0,BJ185-SUM(AO185:AV185)))</f>
        <v/>
      </c>
      <c r="BH185" s="91">
        <f>MAX(0,AX185-MAX(0,BJ185-SUM(AO185:AW185)))</f>
        <v/>
      </c>
      <c r="BI185" s="92">
        <f>SUM(AY184:BH184)+BK185</f>
        <v/>
      </c>
      <c r="BJ185" s="92">
        <f>$BJ$7-(BI185-SUM(AO185:AX185))</f>
        <v/>
      </c>
      <c r="BK185" s="91">
        <f>SUMPRODUCT(AY184:BH184,$AY$6:$BH$6)/12</f>
        <v/>
      </c>
      <c r="BL185" s="88">
        <f>SUM(AY185:BH185)</f>
        <v/>
      </c>
    </row>
    <row r="186">
      <c r="A186" s="24" t="n">
        <v>176</v>
      </c>
      <c r="B186" s="90">
        <f>DATE(YEAR(Settings!$C$11),MONTH(Settings!$C$11)+A186,1)</f>
        <v/>
      </c>
      <c r="C186" s="91">
        <f>IF(C185&lt;0.005,0,MAX(0,C185*(1+C$6/12)-C$7))</f>
        <v/>
      </c>
      <c r="D186" s="91">
        <f>IF(D185&lt;0.005,0,MAX(0,D185*(1+D$6/12)-D$7))</f>
        <v/>
      </c>
      <c r="E186" s="91">
        <f>IF(E185&lt;0.005,0,MAX(0,E185*(1+E$6/12)-E$7))</f>
        <v/>
      </c>
      <c r="F186" s="91">
        <f>IF(F185&lt;0.005,0,MAX(0,F185*(1+F$6/12)-F$7))</f>
        <v/>
      </c>
      <c r="G186" s="91">
        <f>IF(G185&lt;0.005,0,MAX(0,G185*(1+G$6/12)-G$7))</f>
        <v/>
      </c>
      <c r="H186" s="91">
        <f>IF(H185&lt;0.005,0,MAX(0,H185*(1+H$6/12)-H$7))</f>
        <v/>
      </c>
      <c r="I186" s="91">
        <f>IF(I185&lt;0.005,0,MAX(0,I185*(1+I$6/12)-I$7))</f>
        <v/>
      </c>
      <c r="J186" s="91">
        <f>IF(J185&lt;0.005,0,MAX(0,J185*(1+J$6/12)-J$7))</f>
        <v/>
      </c>
      <c r="K186" s="91">
        <f>IF(K185&lt;0.005,0,MAX(0,K185*(1+K$6/12)-K$7))</f>
        <v/>
      </c>
      <c r="L186" s="91">
        <f>IF(L185&lt;0.005,0,MAX(0,L185*(1+L$6/12)-L$7))</f>
        <v/>
      </c>
      <c r="M186" s="91">
        <f>SUMPRODUCT(C185:L185,$C$6:$L$6)/12</f>
        <v/>
      </c>
      <c r="N186" s="88">
        <f>SUM(C186:L186)</f>
        <v/>
      </c>
      <c r="P186" s="92">
        <f>IF(Z185&lt;0.005,0,MAX(0,Z185*(1+Z$6/12)-Z$7))</f>
        <v/>
      </c>
      <c r="Q186" s="92">
        <f>IF(AA185&lt;0.005,0,MAX(0,AA185*(1+AA$6/12)-AA$7))</f>
        <v/>
      </c>
      <c r="R186" s="92">
        <f>IF(AB185&lt;0.005,0,MAX(0,AB185*(1+AB$6/12)-AB$7))</f>
        <v/>
      </c>
      <c r="S186" s="92">
        <f>IF(AC185&lt;0.005,0,MAX(0,AC185*(1+AC$6/12)-AC$7))</f>
        <v/>
      </c>
      <c r="T186" s="92">
        <f>IF(AD185&lt;0.005,0,MAX(0,AD185*(1+AD$6/12)-AD$7))</f>
        <v/>
      </c>
      <c r="U186" s="92">
        <f>IF(AE185&lt;0.005,0,MAX(0,AE185*(1+AE$6/12)-AE$7))</f>
        <v/>
      </c>
      <c r="V186" s="92">
        <f>IF(AF185&lt;0.005,0,MAX(0,AF185*(1+AF$6/12)-AF$7))</f>
        <v/>
      </c>
      <c r="W186" s="92">
        <f>IF(AG185&lt;0.005,0,MAX(0,AG185*(1+AG$6/12)-AG$7))</f>
        <v/>
      </c>
      <c r="X186" s="92">
        <f>IF(AH185&lt;0.005,0,MAX(0,AH185*(1+AH$6/12)-AH$7))</f>
        <v/>
      </c>
      <c r="Y186" s="92">
        <f>IF(AI185&lt;0.005,0,MAX(0,AI185*(1+AI$6/12)-AI$7))</f>
        <v/>
      </c>
      <c r="Z186" s="91">
        <f>MAX(0,P186-MAX(0,AK186-0))</f>
        <v/>
      </c>
      <c r="AA186" s="91">
        <f>MAX(0,Q186-MAX(0,AK186-SUM(P186:P186)))</f>
        <v/>
      </c>
      <c r="AB186" s="91">
        <f>MAX(0,R186-MAX(0,AK186-SUM(P186:Q186)))</f>
        <v/>
      </c>
      <c r="AC186" s="91">
        <f>MAX(0,S186-MAX(0,AK186-SUM(P186:R186)))</f>
        <v/>
      </c>
      <c r="AD186" s="91">
        <f>MAX(0,T186-MAX(0,AK186-SUM(P186:S186)))</f>
        <v/>
      </c>
      <c r="AE186" s="91">
        <f>MAX(0,U186-MAX(0,AK186-SUM(P186:T186)))</f>
        <v/>
      </c>
      <c r="AF186" s="91">
        <f>MAX(0,V186-MAX(0,AK186-SUM(P186:U186)))</f>
        <v/>
      </c>
      <c r="AG186" s="91">
        <f>MAX(0,W186-MAX(0,AK186-SUM(P186:V186)))</f>
        <v/>
      </c>
      <c r="AH186" s="91">
        <f>MAX(0,X186-MAX(0,AK186-SUM(P186:W186)))</f>
        <v/>
      </c>
      <c r="AI186" s="91">
        <f>MAX(0,Y186-MAX(0,AK186-SUM(P186:X186)))</f>
        <v/>
      </c>
      <c r="AJ186" s="92">
        <f>SUM(Z185:AI185)+AL186</f>
        <v/>
      </c>
      <c r="AK186" s="92">
        <f>$AK$7-(AJ186-SUM(P186:Y186))</f>
        <v/>
      </c>
      <c r="AL186" s="91">
        <f>SUMPRODUCT(Z185:AI185,$Z$6:$AI$6)/12</f>
        <v/>
      </c>
      <c r="AM186" s="88">
        <f>SUM(Z186:AI186)</f>
        <v/>
      </c>
      <c r="AO186" s="92">
        <f>IF(AY185&lt;0.005,0,MAX(0,AY185*(1+AY$6/12)-AY$7))</f>
        <v/>
      </c>
      <c r="AP186" s="92">
        <f>IF(AZ185&lt;0.005,0,MAX(0,AZ185*(1+AZ$6/12)-AZ$7))</f>
        <v/>
      </c>
      <c r="AQ186" s="92">
        <f>IF(BA185&lt;0.005,0,MAX(0,BA185*(1+BA$6/12)-BA$7))</f>
        <v/>
      </c>
      <c r="AR186" s="92">
        <f>IF(BB185&lt;0.005,0,MAX(0,BB185*(1+BB$6/12)-BB$7))</f>
        <v/>
      </c>
      <c r="AS186" s="92">
        <f>IF(BC185&lt;0.005,0,MAX(0,BC185*(1+BC$6/12)-BC$7))</f>
        <v/>
      </c>
      <c r="AT186" s="92">
        <f>IF(BD185&lt;0.005,0,MAX(0,BD185*(1+BD$6/12)-BD$7))</f>
        <v/>
      </c>
      <c r="AU186" s="92">
        <f>IF(BE185&lt;0.005,0,MAX(0,BE185*(1+BE$6/12)-BE$7))</f>
        <v/>
      </c>
      <c r="AV186" s="92">
        <f>IF(BF185&lt;0.005,0,MAX(0,BF185*(1+BF$6/12)-BF$7))</f>
        <v/>
      </c>
      <c r="AW186" s="92">
        <f>IF(BG185&lt;0.005,0,MAX(0,BG185*(1+BG$6/12)-BG$7))</f>
        <v/>
      </c>
      <c r="AX186" s="92">
        <f>IF(BH185&lt;0.005,0,MAX(0,BH185*(1+BH$6/12)-BH$7))</f>
        <v/>
      </c>
      <c r="AY186" s="91">
        <f>MAX(0,AO186-MAX(0,BJ186-0))</f>
        <v/>
      </c>
      <c r="AZ186" s="91">
        <f>MAX(0,AP186-MAX(0,BJ186-SUM(AO186:AO186)))</f>
        <v/>
      </c>
      <c r="BA186" s="91">
        <f>MAX(0,AQ186-MAX(0,BJ186-SUM(AO186:AP186)))</f>
        <v/>
      </c>
      <c r="BB186" s="91">
        <f>MAX(0,AR186-MAX(0,BJ186-SUM(AO186:AQ186)))</f>
        <v/>
      </c>
      <c r="BC186" s="91">
        <f>MAX(0,AS186-MAX(0,BJ186-SUM(AO186:AR186)))</f>
        <v/>
      </c>
      <c r="BD186" s="91">
        <f>MAX(0,AT186-MAX(0,BJ186-SUM(AO186:AS186)))</f>
        <v/>
      </c>
      <c r="BE186" s="91">
        <f>MAX(0,AU186-MAX(0,BJ186-SUM(AO186:AT186)))</f>
        <v/>
      </c>
      <c r="BF186" s="91">
        <f>MAX(0,AV186-MAX(0,BJ186-SUM(AO186:AU186)))</f>
        <v/>
      </c>
      <c r="BG186" s="91">
        <f>MAX(0,AW186-MAX(0,BJ186-SUM(AO186:AV186)))</f>
        <v/>
      </c>
      <c r="BH186" s="91">
        <f>MAX(0,AX186-MAX(0,BJ186-SUM(AO186:AW186)))</f>
        <v/>
      </c>
      <c r="BI186" s="92">
        <f>SUM(AY185:BH185)+BK186</f>
        <v/>
      </c>
      <c r="BJ186" s="92">
        <f>$BJ$7-(BI186-SUM(AO186:AX186))</f>
        <v/>
      </c>
      <c r="BK186" s="91">
        <f>SUMPRODUCT(AY185:BH185,$AY$6:$BH$6)/12</f>
        <v/>
      </c>
      <c r="BL186" s="88">
        <f>SUM(AY186:BH186)</f>
        <v/>
      </c>
    </row>
    <row r="187">
      <c r="A187" s="24" t="n">
        <v>177</v>
      </c>
      <c r="B187" s="90">
        <f>DATE(YEAR(Settings!$C$11),MONTH(Settings!$C$11)+A187,1)</f>
        <v/>
      </c>
      <c r="C187" s="91">
        <f>IF(C186&lt;0.005,0,MAX(0,C186*(1+C$6/12)-C$7))</f>
        <v/>
      </c>
      <c r="D187" s="91">
        <f>IF(D186&lt;0.005,0,MAX(0,D186*(1+D$6/12)-D$7))</f>
        <v/>
      </c>
      <c r="E187" s="91">
        <f>IF(E186&lt;0.005,0,MAX(0,E186*(1+E$6/12)-E$7))</f>
        <v/>
      </c>
      <c r="F187" s="91">
        <f>IF(F186&lt;0.005,0,MAX(0,F186*(1+F$6/12)-F$7))</f>
        <v/>
      </c>
      <c r="G187" s="91">
        <f>IF(G186&lt;0.005,0,MAX(0,G186*(1+G$6/12)-G$7))</f>
        <v/>
      </c>
      <c r="H187" s="91">
        <f>IF(H186&lt;0.005,0,MAX(0,H186*(1+H$6/12)-H$7))</f>
        <v/>
      </c>
      <c r="I187" s="91">
        <f>IF(I186&lt;0.005,0,MAX(0,I186*(1+I$6/12)-I$7))</f>
        <v/>
      </c>
      <c r="J187" s="91">
        <f>IF(J186&lt;0.005,0,MAX(0,J186*(1+J$6/12)-J$7))</f>
        <v/>
      </c>
      <c r="K187" s="91">
        <f>IF(K186&lt;0.005,0,MAX(0,K186*(1+K$6/12)-K$7))</f>
        <v/>
      </c>
      <c r="L187" s="91">
        <f>IF(L186&lt;0.005,0,MAX(0,L186*(1+L$6/12)-L$7))</f>
        <v/>
      </c>
      <c r="M187" s="91">
        <f>SUMPRODUCT(C186:L186,$C$6:$L$6)/12</f>
        <v/>
      </c>
      <c r="N187" s="88">
        <f>SUM(C187:L187)</f>
        <v/>
      </c>
      <c r="P187" s="92">
        <f>IF(Z186&lt;0.005,0,MAX(0,Z186*(1+Z$6/12)-Z$7))</f>
        <v/>
      </c>
      <c r="Q187" s="92">
        <f>IF(AA186&lt;0.005,0,MAX(0,AA186*(1+AA$6/12)-AA$7))</f>
        <v/>
      </c>
      <c r="R187" s="92">
        <f>IF(AB186&lt;0.005,0,MAX(0,AB186*(1+AB$6/12)-AB$7))</f>
        <v/>
      </c>
      <c r="S187" s="92">
        <f>IF(AC186&lt;0.005,0,MAX(0,AC186*(1+AC$6/12)-AC$7))</f>
        <v/>
      </c>
      <c r="T187" s="92">
        <f>IF(AD186&lt;0.005,0,MAX(0,AD186*(1+AD$6/12)-AD$7))</f>
        <v/>
      </c>
      <c r="U187" s="92">
        <f>IF(AE186&lt;0.005,0,MAX(0,AE186*(1+AE$6/12)-AE$7))</f>
        <v/>
      </c>
      <c r="V187" s="92">
        <f>IF(AF186&lt;0.005,0,MAX(0,AF186*(1+AF$6/12)-AF$7))</f>
        <v/>
      </c>
      <c r="W187" s="92">
        <f>IF(AG186&lt;0.005,0,MAX(0,AG186*(1+AG$6/12)-AG$7))</f>
        <v/>
      </c>
      <c r="X187" s="92">
        <f>IF(AH186&lt;0.005,0,MAX(0,AH186*(1+AH$6/12)-AH$7))</f>
        <v/>
      </c>
      <c r="Y187" s="92">
        <f>IF(AI186&lt;0.005,0,MAX(0,AI186*(1+AI$6/12)-AI$7))</f>
        <v/>
      </c>
      <c r="Z187" s="91">
        <f>MAX(0,P187-MAX(0,AK187-0))</f>
        <v/>
      </c>
      <c r="AA187" s="91">
        <f>MAX(0,Q187-MAX(0,AK187-SUM(P187:P187)))</f>
        <v/>
      </c>
      <c r="AB187" s="91">
        <f>MAX(0,R187-MAX(0,AK187-SUM(P187:Q187)))</f>
        <v/>
      </c>
      <c r="AC187" s="91">
        <f>MAX(0,S187-MAX(0,AK187-SUM(P187:R187)))</f>
        <v/>
      </c>
      <c r="AD187" s="91">
        <f>MAX(0,T187-MAX(0,AK187-SUM(P187:S187)))</f>
        <v/>
      </c>
      <c r="AE187" s="91">
        <f>MAX(0,U187-MAX(0,AK187-SUM(P187:T187)))</f>
        <v/>
      </c>
      <c r="AF187" s="91">
        <f>MAX(0,V187-MAX(0,AK187-SUM(P187:U187)))</f>
        <v/>
      </c>
      <c r="AG187" s="91">
        <f>MAX(0,W187-MAX(0,AK187-SUM(P187:V187)))</f>
        <v/>
      </c>
      <c r="AH187" s="91">
        <f>MAX(0,X187-MAX(0,AK187-SUM(P187:W187)))</f>
        <v/>
      </c>
      <c r="AI187" s="91">
        <f>MAX(0,Y187-MAX(0,AK187-SUM(P187:X187)))</f>
        <v/>
      </c>
      <c r="AJ187" s="92">
        <f>SUM(Z186:AI186)+AL187</f>
        <v/>
      </c>
      <c r="AK187" s="92">
        <f>$AK$7-(AJ187-SUM(P187:Y187))</f>
        <v/>
      </c>
      <c r="AL187" s="91">
        <f>SUMPRODUCT(Z186:AI186,$Z$6:$AI$6)/12</f>
        <v/>
      </c>
      <c r="AM187" s="88">
        <f>SUM(Z187:AI187)</f>
        <v/>
      </c>
      <c r="AO187" s="92">
        <f>IF(AY186&lt;0.005,0,MAX(0,AY186*(1+AY$6/12)-AY$7))</f>
        <v/>
      </c>
      <c r="AP187" s="92">
        <f>IF(AZ186&lt;0.005,0,MAX(0,AZ186*(1+AZ$6/12)-AZ$7))</f>
        <v/>
      </c>
      <c r="AQ187" s="92">
        <f>IF(BA186&lt;0.005,0,MAX(0,BA186*(1+BA$6/12)-BA$7))</f>
        <v/>
      </c>
      <c r="AR187" s="92">
        <f>IF(BB186&lt;0.005,0,MAX(0,BB186*(1+BB$6/12)-BB$7))</f>
        <v/>
      </c>
      <c r="AS187" s="92">
        <f>IF(BC186&lt;0.005,0,MAX(0,BC186*(1+BC$6/12)-BC$7))</f>
        <v/>
      </c>
      <c r="AT187" s="92">
        <f>IF(BD186&lt;0.005,0,MAX(0,BD186*(1+BD$6/12)-BD$7))</f>
        <v/>
      </c>
      <c r="AU187" s="92">
        <f>IF(BE186&lt;0.005,0,MAX(0,BE186*(1+BE$6/12)-BE$7))</f>
        <v/>
      </c>
      <c r="AV187" s="92">
        <f>IF(BF186&lt;0.005,0,MAX(0,BF186*(1+BF$6/12)-BF$7))</f>
        <v/>
      </c>
      <c r="AW187" s="92">
        <f>IF(BG186&lt;0.005,0,MAX(0,BG186*(1+BG$6/12)-BG$7))</f>
        <v/>
      </c>
      <c r="AX187" s="92">
        <f>IF(BH186&lt;0.005,0,MAX(0,BH186*(1+BH$6/12)-BH$7))</f>
        <v/>
      </c>
      <c r="AY187" s="91">
        <f>MAX(0,AO187-MAX(0,BJ187-0))</f>
        <v/>
      </c>
      <c r="AZ187" s="91">
        <f>MAX(0,AP187-MAX(0,BJ187-SUM(AO187:AO187)))</f>
        <v/>
      </c>
      <c r="BA187" s="91">
        <f>MAX(0,AQ187-MAX(0,BJ187-SUM(AO187:AP187)))</f>
        <v/>
      </c>
      <c r="BB187" s="91">
        <f>MAX(0,AR187-MAX(0,BJ187-SUM(AO187:AQ187)))</f>
        <v/>
      </c>
      <c r="BC187" s="91">
        <f>MAX(0,AS187-MAX(0,BJ187-SUM(AO187:AR187)))</f>
        <v/>
      </c>
      <c r="BD187" s="91">
        <f>MAX(0,AT187-MAX(0,BJ187-SUM(AO187:AS187)))</f>
        <v/>
      </c>
      <c r="BE187" s="91">
        <f>MAX(0,AU187-MAX(0,BJ187-SUM(AO187:AT187)))</f>
        <v/>
      </c>
      <c r="BF187" s="91">
        <f>MAX(0,AV187-MAX(0,BJ187-SUM(AO187:AU187)))</f>
        <v/>
      </c>
      <c r="BG187" s="91">
        <f>MAX(0,AW187-MAX(0,BJ187-SUM(AO187:AV187)))</f>
        <v/>
      </c>
      <c r="BH187" s="91">
        <f>MAX(0,AX187-MAX(0,BJ187-SUM(AO187:AW187)))</f>
        <v/>
      </c>
      <c r="BI187" s="92">
        <f>SUM(AY186:BH186)+BK187</f>
        <v/>
      </c>
      <c r="BJ187" s="92">
        <f>$BJ$7-(BI187-SUM(AO187:AX187))</f>
        <v/>
      </c>
      <c r="BK187" s="91">
        <f>SUMPRODUCT(AY186:BH186,$AY$6:$BH$6)/12</f>
        <v/>
      </c>
      <c r="BL187" s="88">
        <f>SUM(AY187:BH187)</f>
        <v/>
      </c>
    </row>
    <row r="188">
      <c r="A188" s="24" t="n">
        <v>178</v>
      </c>
      <c r="B188" s="90">
        <f>DATE(YEAR(Settings!$C$11),MONTH(Settings!$C$11)+A188,1)</f>
        <v/>
      </c>
      <c r="C188" s="91">
        <f>IF(C187&lt;0.005,0,MAX(0,C187*(1+C$6/12)-C$7))</f>
        <v/>
      </c>
      <c r="D188" s="91">
        <f>IF(D187&lt;0.005,0,MAX(0,D187*(1+D$6/12)-D$7))</f>
        <v/>
      </c>
      <c r="E188" s="91">
        <f>IF(E187&lt;0.005,0,MAX(0,E187*(1+E$6/12)-E$7))</f>
        <v/>
      </c>
      <c r="F188" s="91">
        <f>IF(F187&lt;0.005,0,MAX(0,F187*(1+F$6/12)-F$7))</f>
        <v/>
      </c>
      <c r="G188" s="91">
        <f>IF(G187&lt;0.005,0,MAX(0,G187*(1+G$6/12)-G$7))</f>
        <v/>
      </c>
      <c r="H188" s="91">
        <f>IF(H187&lt;0.005,0,MAX(0,H187*(1+H$6/12)-H$7))</f>
        <v/>
      </c>
      <c r="I188" s="91">
        <f>IF(I187&lt;0.005,0,MAX(0,I187*(1+I$6/12)-I$7))</f>
        <v/>
      </c>
      <c r="J188" s="91">
        <f>IF(J187&lt;0.005,0,MAX(0,J187*(1+J$6/12)-J$7))</f>
        <v/>
      </c>
      <c r="K188" s="91">
        <f>IF(K187&lt;0.005,0,MAX(0,K187*(1+K$6/12)-K$7))</f>
        <v/>
      </c>
      <c r="L188" s="91">
        <f>IF(L187&lt;0.005,0,MAX(0,L187*(1+L$6/12)-L$7))</f>
        <v/>
      </c>
      <c r="M188" s="91">
        <f>SUMPRODUCT(C187:L187,$C$6:$L$6)/12</f>
        <v/>
      </c>
      <c r="N188" s="88">
        <f>SUM(C188:L188)</f>
        <v/>
      </c>
      <c r="P188" s="92">
        <f>IF(Z187&lt;0.005,0,MAX(0,Z187*(1+Z$6/12)-Z$7))</f>
        <v/>
      </c>
      <c r="Q188" s="92">
        <f>IF(AA187&lt;0.005,0,MAX(0,AA187*(1+AA$6/12)-AA$7))</f>
        <v/>
      </c>
      <c r="R188" s="92">
        <f>IF(AB187&lt;0.005,0,MAX(0,AB187*(1+AB$6/12)-AB$7))</f>
        <v/>
      </c>
      <c r="S188" s="92">
        <f>IF(AC187&lt;0.005,0,MAX(0,AC187*(1+AC$6/12)-AC$7))</f>
        <v/>
      </c>
      <c r="T188" s="92">
        <f>IF(AD187&lt;0.005,0,MAX(0,AD187*(1+AD$6/12)-AD$7))</f>
        <v/>
      </c>
      <c r="U188" s="92">
        <f>IF(AE187&lt;0.005,0,MAX(0,AE187*(1+AE$6/12)-AE$7))</f>
        <v/>
      </c>
      <c r="V188" s="92">
        <f>IF(AF187&lt;0.005,0,MAX(0,AF187*(1+AF$6/12)-AF$7))</f>
        <v/>
      </c>
      <c r="W188" s="92">
        <f>IF(AG187&lt;0.005,0,MAX(0,AG187*(1+AG$6/12)-AG$7))</f>
        <v/>
      </c>
      <c r="X188" s="92">
        <f>IF(AH187&lt;0.005,0,MAX(0,AH187*(1+AH$6/12)-AH$7))</f>
        <v/>
      </c>
      <c r="Y188" s="92">
        <f>IF(AI187&lt;0.005,0,MAX(0,AI187*(1+AI$6/12)-AI$7))</f>
        <v/>
      </c>
      <c r="Z188" s="91">
        <f>MAX(0,P188-MAX(0,AK188-0))</f>
        <v/>
      </c>
      <c r="AA188" s="91">
        <f>MAX(0,Q188-MAX(0,AK188-SUM(P188:P188)))</f>
        <v/>
      </c>
      <c r="AB188" s="91">
        <f>MAX(0,R188-MAX(0,AK188-SUM(P188:Q188)))</f>
        <v/>
      </c>
      <c r="AC188" s="91">
        <f>MAX(0,S188-MAX(0,AK188-SUM(P188:R188)))</f>
        <v/>
      </c>
      <c r="AD188" s="91">
        <f>MAX(0,T188-MAX(0,AK188-SUM(P188:S188)))</f>
        <v/>
      </c>
      <c r="AE188" s="91">
        <f>MAX(0,U188-MAX(0,AK188-SUM(P188:T188)))</f>
        <v/>
      </c>
      <c r="AF188" s="91">
        <f>MAX(0,V188-MAX(0,AK188-SUM(P188:U188)))</f>
        <v/>
      </c>
      <c r="AG188" s="91">
        <f>MAX(0,W188-MAX(0,AK188-SUM(P188:V188)))</f>
        <v/>
      </c>
      <c r="AH188" s="91">
        <f>MAX(0,X188-MAX(0,AK188-SUM(P188:W188)))</f>
        <v/>
      </c>
      <c r="AI188" s="91">
        <f>MAX(0,Y188-MAX(0,AK188-SUM(P188:X188)))</f>
        <v/>
      </c>
      <c r="AJ188" s="92">
        <f>SUM(Z187:AI187)+AL188</f>
        <v/>
      </c>
      <c r="AK188" s="92">
        <f>$AK$7-(AJ188-SUM(P188:Y188))</f>
        <v/>
      </c>
      <c r="AL188" s="91">
        <f>SUMPRODUCT(Z187:AI187,$Z$6:$AI$6)/12</f>
        <v/>
      </c>
      <c r="AM188" s="88">
        <f>SUM(Z188:AI188)</f>
        <v/>
      </c>
      <c r="AO188" s="92">
        <f>IF(AY187&lt;0.005,0,MAX(0,AY187*(1+AY$6/12)-AY$7))</f>
        <v/>
      </c>
      <c r="AP188" s="92">
        <f>IF(AZ187&lt;0.005,0,MAX(0,AZ187*(1+AZ$6/12)-AZ$7))</f>
        <v/>
      </c>
      <c r="AQ188" s="92">
        <f>IF(BA187&lt;0.005,0,MAX(0,BA187*(1+BA$6/12)-BA$7))</f>
        <v/>
      </c>
      <c r="AR188" s="92">
        <f>IF(BB187&lt;0.005,0,MAX(0,BB187*(1+BB$6/12)-BB$7))</f>
        <v/>
      </c>
      <c r="AS188" s="92">
        <f>IF(BC187&lt;0.005,0,MAX(0,BC187*(1+BC$6/12)-BC$7))</f>
        <v/>
      </c>
      <c r="AT188" s="92">
        <f>IF(BD187&lt;0.005,0,MAX(0,BD187*(1+BD$6/12)-BD$7))</f>
        <v/>
      </c>
      <c r="AU188" s="92">
        <f>IF(BE187&lt;0.005,0,MAX(0,BE187*(1+BE$6/12)-BE$7))</f>
        <v/>
      </c>
      <c r="AV188" s="92">
        <f>IF(BF187&lt;0.005,0,MAX(0,BF187*(1+BF$6/12)-BF$7))</f>
        <v/>
      </c>
      <c r="AW188" s="92">
        <f>IF(BG187&lt;0.005,0,MAX(0,BG187*(1+BG$6/12)-BG$7))</f>
        <v/>
      </c>
      <c r="AX188" s="92">
        <f>IF(BH187&lt;0.005,0,MAX(0,BH187*(1+BH$6/12)-BH$7))</f>
        <v/>
      </c>
      <c r="AY188" s="91">
        <f>MAX(0,AO188-MAX(0,BJ188-0))</f>
        <v/>
      </c>
      <c r="AZ188" s="91">
        <f>MAX(0,AP188-MAX(0,BJ188-SUM(AO188:AO188)))</f>
        <v/>
      </c>
      <c r="BA188" s="91">
        <f>MAX(0,AQ188-MAX(0,BJ188-SUM(AO188:AP188)))</f>
        <v/>
      </c>
      <c r="BB188" s="91">
        <f>MAX(0,AR188-MAX(0,BJ188-SUM(AO188:AQ188)))</f>
        <v/>
      </c>
      <c r="BC188" s="91">
        <f>MAX(0,AS188-MAX(0,BJ188-SUM(AO188:AR188)))</f>
        <v/>
      </c>
      <c r="BD188" s="91">
        <f>MAX(0,AT188-MAX(0,BJ188-SUM(AO188:AS188)))</f>
        <v/>
      </c>
      <c r="BE188" s="91">
        <f>MAX(0,AU188-MAX(0,BJ188-SUM(AO188:AT188)))</f>
        <v/>
      </c>
      <c r="BF188" s="91">
        <f>MAX(0,AV188-MAX(0,BJ188-SUM(AO188:AU188)))</f>
        <v/>
      </c>
      <c r="BG188" s="91">
        <f>MAX(0,AW188-MAX(0,BJ188-SUM(AO188:AV188)))</f>
        <v/>
      </c>
      <c r="BH188" s="91">
        <f>MAX(0,AX188-MAX(0,BJ188-SUM(AO188:AW188)))</f>
        <v/>
      </c>
      <c r="BI188" s="92">
        <f>SUM(AY187:BH187)+BK188</f>
        <v/>
      </c>
      <c r="BJ188" s="92">
        <f>$BJ$7-(BI188-SUM(AO188:AX188))</f>
        <v/>
      </c>
      <c r="BK188" s="91">
        <f>SUMPRODUCT(AY187:BH187,$AY$6:$BH$6)/12</f>
        <v/>
      </c>
      <c r="BL188" s="88">
        <f>SUM(AY188:BH188)</f>
        <v/>
      </c>
    </row>
    <row r="189">
      <c r="A189" s="24" t="n">
        <v>179</v>
      </c>
      <c r="B189" s="90">
        <f>DATE(YEAR(Settings!$C$11),MONTH(Settings!$C$11)+A189,1)</f>
        <v/>
      </c>
      <c r="C189" s="91">
        <f>IF(C188&lt;0.005,0,MAX(0,C188*(1+C$6/12)-C$7))</f>
        <v/>
      </c>
      <c r="D189" s="91">
        <f>IF(D188&lt;0.005,0,MAX(0,D188*(1+D$6/12)-D$7))</f>
        <v/>
      </c>
      <c r="E189" s="91">
        <f>IF(E188&lt;0.005,0,MAX(0,E188*(1+E$6/12)-E$7))</f>
        <v/>
      </c>
      <c r="F189" s="91">
        <f>IF(F188&lt;0.005,0,MAX(0,F188*(1+F$6/12)-F$7))</f>
        <v/>
      </c>
      <c r="G189" s="91">
        <f>IF(G188&lt;0.005,0,MAX(0,G188*(1+G$6/12)-G$7))</f>
        <v/>
      </c>
      <c r="H189" s="91">
        <f>IF(H188&lt;0.005,0,MAX(0,H188*(1+H$6/12)-H$7))</f>
        <v/>
      </c>
      <c r="I189" s="91">
        <f>IF(I188&lt;0.005,0,MAX(0,I188*(1+I$6/12)-I$7))</f>
        <v/>
      </c>
      <c r="J189" s="91">
        <f>IF(J188&lt;0.005,0,MAX(0,J188*(1+J$6/12)-J$7))</f>
        <v/>
      </c>
      <c r="K189" s="91">
        <f>IF(K188&lt;0.005,0,MAX(0,K188*(1+K$6/12)-K$7))</f>
        <v/>
      </c>
      <c r="L189" s="91">
        <f>IF(L188&lt;0.005,0,MAX(0,L188*(1+L$6/12)-L$7))</f>
        <v/>
      </c>
      <c r="M189" s="91">
        <f>SUMPRODUCT(C188:L188,$C$6:$L$6)/12</f>
        <v/>
      </c>
      <c r="N189" s="88">
        <f>SUM(C189:L189)</f>
        <v/>
      </c>
      <c r="P189" s="92">
        <f>IF(Z188&lt;0.005,0,MAX(0,Z188*(1+Z$6/12)-Z$7))</f>
        <v/>
      </c>
      <c r="Q189" s="92">
        <f>IF(AA188&lt;0.005,0,MAX(0,AA188*(1+AA$6/12)-AA$7))</f>
        <v/>
      </c>
      <c r="R189" s="92">
        <f>IF(AB188&lt;0.005,0,MAX(0,AB188*(1+AB$6/12)-AB$7))</f>
        <v/>
      </c>
      <c r="S189" s="92">
        <f>IF(AC188&lt;0.005,0,MAX(0,AC188*(1+AC$6/12)-AC$7))</f>
        <v/>
      </c>
      <c r="T189" s="92">
        <f>IF(AD188&lt;0.005,0,MAX(0,AD188*(1+AD$6/12)-AD$7))</f>
        <v/>
      </c>
      <c r="U189" s="92">
        <f>IF(AE188&lt;0.005,0,MAX(0,AE188*(1+AE$6/12)-AE$7))</f>
        <v/>
      </c>
      <c r="V189" s="92">
        <f>IF(AF188&lt;0.005,0,MAX(0,AF188*(1+AF$6/12)-AF$7))</f>
        <v/>
      </c>
      <c r="W189" s="92">
        <f>IF(AG188&lt;0.005,0,MAX(0,AG188*(1+AG$6/12)-AG$7))</f>
        <v/>
      </c>
      <c r="X189" s="92">
        <f>IF(AH188&lt;0.005,0,MAX(0,AH188*(1+AH$6/12)-AH$7))</f>
        <v/>
      </c>
      <c r="Y189" s="92">
        <f>IF(AI188&lt;0.005,0,MAX(0,AI188*(1+AI$6/12)-AI$7))</f>
        <v/>
      </c>
      <c r="Z189" s="91">
        <f>MAX(0,P189-MAX(0,AK189-0))</f>
        <v/>
      </c>
      <c r="AA189" s="91">
        <f>MAX(0,Q189-MAX(0,AK189-SUM(P189:P189)))</f>
        <v/>
      </c>
      <c r="AB189" s="91">
        <f>MAX(0,R189-MAX(0,AK189-SUM(P189:Q189)))</f>
        <v/>
      </c>
      <c r="AC189" s="91">
        <f>MAX(0,S189-MAX(0,AK189-SUM(P189:R189)))</f>
        <v/>
      </c>
      <c r="AD189" s="91">
        <f>MAX(0,T189-MAX(0,AK189-SUM(P189:S189)))</f>
        <v/>
      </c>
      <c r="AE189" s="91">
        <f>MAX(0,U189-MAX(0,AK189-SUM(P189:T189)))</f>
        <v/>
      </c>
      <c r="AF189" s="91">
        <f>MAX(0,V189-MAX(0,AK189-SUM(P189:U189)))</f>
        <v/>
      </c>
      <c r="AG189" s="91">
        <f>MAX(0,W189-MAX(0,AK189-SUM(P189:V189)))</f>
        <v/>
      </c>
      <c r="AH189" s="91">
        <f>MAX(0,X189-MAX(0,AK189-SUM(P189:W189)))</f>
        <v/>
      </c>
      <c r="AI189" s="91">
        <f>MAX(0,Y189-MAX(0,AK189-SUM(P189:X189)))</f>
        <v/>
      </c>
      <c r="AJ189" s="92">
        <f>SUM(Z188:AI188)+AL189</f>
        <v/>
      </c>
      <c r="AK189" s="92">
        <f>$AK$7-(AJ189-SUM(P189:Y189))</f>
        <v/>
      </c>
      <c r="AL189" s="91">
        <f>SUMPRODUCT(Z188:AI188,$Z$6:$AI$6)/12</f>
        <v/>
      </c>
      <c r="AM189" s="88">
        <f>SUM(Z189:AI189)</f>
        <v/>
      </c>
      <c r="AO189" s="92">
        <f>IF(AY188&lt;0.005,0,MAX(0,AY188*(1+AY$6/12)-AY$7))</f>
        <v/>
      </c>
      <c r="AP189" s="92">
        <f>IF(AZ188&lt;0.005,0,MAX(0,AZ188*(1+AZ$6/12)-AZ$7))</f>
        <v/>
      </c>
      <c r="AQ189" s="92">
        <f>IF(BA188&lt;0.005,0,MAX(0,BA188*(1+BA$6/12)-BA$7))</f>
        <v/>
      </c>
      <c r="AR189" s="92">
        <f>IF(BB188&lt;0.005,0,MAX(0,BB188*(1+BB$6/12)-BB$7))</f>
        <v/>
      </c>
      <c r="AS189" s="92">
        <f>IF(BC188&lt;0.005,0,MAX(0,BC188*(1+BC$6/12)-BC$7))</f>
        <v/>
      </c>
      <c r="AT189" s="92">
        <f>IF(BD188&lt;0.005,0,MAX(0,BD188*(1+BD$6/12)-BD$7))</f>
        <v/>
      </c>
      <c r="AU189" s="92">
        <f>IF(BE188&lt;0.005,0,MAX(0,BE188*(1+BE$6/12)-BE$7))</f>
        <v/>
      </c>
      <c r="AV189" s="92">
        <f>IF(BF188&lt;0.005,0,MAX(0,BF188*(1+BF$6/12)-BF$7))</f>
        <v/>
      </c>
      <c r="AW189" s="92">
        <f>IF(BG188&lt;0.005,0,MAX(0,BG188*(1+BG$6/12)-BG$7))</f>
        <v/>
      </c>
      <c r="AX189" s="92">
        <f>IF(BH188&lt;0.005,0,MAX(0,BH188*(1+BH$6/12)-BH$7))</f>
        <v/>
      </c>
      <c r="AY189" s="91">
        <f>MAX(0,AO189-MAX(0,BJ189-0))</f>
        <v/>
      </c>
      <c r="AZ189" s="91">
        <f>MAX(0,AP189-MAX(0,BJ189-SUM(AO189:AO189)))</f>
        <v/>
      </c>
      <c r="BA189" s="91">
        <f>MAX(0,AQ189-MAX(0,BJ189-SUM(AO189:AP189)))</f>
        <v/>
      </c>
      <c r="BB189" s="91">
        <f>MAX(0,AR189-MAX(0,BJ189-SUM(AO189:AQ189)))</f>
        <v/>
      </c>
      <c r="BC189" s="91">
        <f>MAX(0,AS189-MAX(0,BJ189-SUM(AO189:AR189)))</f>
        <v/>
      </c>
      <c r="BD189" s="91">
        <f>MAX(0,AT189-MAX(0,BJ189-SUM(AO189:AS189)))</f>
        <v/>
      </c>
      <c r="BE189" s="91">
        <f>MAX(0,AU189-MAX(0,BJ189-SUM(AO189:AT189)))</f>
        <v/>
      </c>
      <c r="BF189" s="91">
        <f>MAX(0,AV189-MAX(0,BJ189-SUM(AO189:AU189)))</f>
        <v/>
      </c>
      <c r="BG189" s="91">
        <f>MAX(0,AW189-MAX(0,BJ189-SUM(AO189:AV189)))</f>
        <v/>
      </c>
      <c r="BH189" s="91">
        <f>MAX(0,AX189-MAX(0,BJ189-SUM(AO189:AW189)))</f>
        <v/>
      </c>
      <c r="BI189" s="92">
        <f>SUM(AY188:BH188)+BK189</f>
        <v/>
      </c>
      <c r="BJ189" s="92">
        <f>$BJ$7-(BI189-SUM(AO189:AX189))</f>
        <v/>
      </c>
      <c r="BK189" s="91">
        <f>SUMPRODUCT(AY188:BH188,$AY$6:$BH$6)/12</f>
        <v/>
      </c>
      <c r="BL189" s="88">
        <f>SUM(AY189:BH189)</f>
        <v/>
      </c>
    </row>
    <row r="190">
      <c r="A190" s="24" t="n">
        <v>180</v>
      </c>
      <c r="B190" s="90">
        <f>DATE(YEAR(Settings!$C$11),MONTH(Settings!$C$11)+A190,1)</f>
        <v/>
      </c>
      <c r="C190" s="91">
        <f>IF(C189&lt;0.005,0,MAX(0,C189*(1+C$6/12)-C$7))</f>
        <v/>
      </c>
      <c r="D190" s="91">
        <f>IF(D189&lt;0.005,0,MAX(0,D189*(1+D$6/12)-D$7))</f>
        <v/>
      </c>
      <c r="E190" s="91">
        <f>IF(E189&lt;0.005,0,MAX(0,E189*(1+E$6/12)-E$7))</f>
        <v/>
      </c>
      <c r="F190" s="91">
        <f>IF(F189&lt;0.005,0,MAX(0,F189*(1+F$6/12)-F$7))</f>
        <v/>
      </c>
      <c r="G190" s="91">
        <f>IF(G189&lt;0.005,0,MAX(0,G189*(1+G$6/12)-G$7))</f>
        <v/>
      </c>
      <c r="H190" s="91">
        <f>IF(H189&lt;0.005,0,MAX(0,H189*(1+H$6/12)-H$7))</f>
        <v/>
      </c>
      <c r="I190" s="91">
        <f>IF(I189&lt;0.005,0,MAX(0,I189*(1+I$6/12)-I$7))</f>
        <v/>
      </c>
      <c r="J190" s="91">
        <f>IF(J189&lt;0.005,0,MAX(0,J189*(1+J$6/12)-J$7))</f>
        <v/>
      </c>
      <c r="K190" s="91">
        <f>IF(K189&lt;0.005,0,MAX(0,K189*(1+K$6/12)-K$7))</f>
        <v/>
      </c>
      <c r="L190" s="91">
        <f>IF(L189&lt;0.005,0,MAX(0,L189*(1+L$6/12)-L$7))</f>
        <v/>
      </c>
      <c r="M190" s="91">
        <f>SUMPRODUCT(C189:L189,$C$6:$L$6)/12</f>
        <v/>
      </c>
      <c r="N190" s="88">
        <f>SUM(C190:L190)</f>
        <v/>
      </c>
      <c r="P190" s="92">
        <f>IF(Z189&lt;0.005,0,MAX(0,Z189*(1+Z$6/12)-Z$7))</f>
        <v/>
      </c>
      <c r="Q190" s="92">
        <f>IF(AA189&lt;0.005,0,MAX(0,AA189*(1+AA$6/12)-AA$7))</f>
        <v/>
      </c>
      <c r="R190" s="92">
        <f>IF(AB189&lt;0.005,0,MAX(0,AB189*(1+AB$6/12)-AB$7))</f>
        <v/>
      </c>
      <c r="S190" s="92">
        <f>IF(AC189&lt;0.005,0,MAX(0,AC189*(1+AC$6/12)-AC$7))</f>
        <v/>
      </c>
      <c r="T190" s="92">
        <f>IF(AD189&lt;0.005,0,MAX(0,AD189*(1+AD$6/12)-AD$7))</f>
        <v/>
      </c>
      <c r="U190" s="92">
        <f>IF(AE189&lt;0.005,0,MAX(0,AE189*(1+AE$6/12)-AE$7))</f>
        <v/>
      </c>
      <c r="V190" s="92">
        <f>IF(AF189&lt;0.005,0,MAX(0,AF189*(1+AF$6/12)-AF$7))</f>
        <v/>
      </c>
      <c r="W190" s="92">
        <f>IF(AG189&lt;0.005,0,MAX(0,AG189*(1+AG$6/12)-AG$7))</f>
        <v/>
      </c>
      <c r="X190" s="92">
        <f>IF(AH189&lt;0.005,0,MAX(0,AH189*(1+AH$6/12)-AH$7))</f>
        <v/>
      </c>
      <c r="Y190" s="92">
        <f>IF(AI189&lt;0.005,0,MAX(0,AI189*(1+AI$6/12)-AI$7))</f>
        <v/>
      </c>
      <c r="Z190" s="91">
        <f>MAX(0,P190-MAX(0,AK190-0))</f>
        <v/>
      </c>
      <c r="AA190" s="91">
        <f>MAX(0,Q190-MAX(0,AK190-SUM(P190:P190)))</f>
        <v/>
      </c>
      <c r="AB190" s="91">
        <f>MAX(0,R190-MAX(0,AK190-SUM(P190:Q190)))</f>
        <v/>
      </c>
      <c r="AC190" s="91">
        <f>MAX(0,S190-MAX(0,AK190-SUM(P190:R190)))</f>
        <v/>
      </c>
      <c r="AD190" s="91">
        <f>MAX(0,T190-MAX(0,AK190-SUM(P190:S190)))</f>
        <v/>
      </c>
      <c r="AE190" s="91">
        <f>MAX(0,U190-MAX(0,AK190-SUM(P190:T190)))</f>
        <v/>
      </c>
      <c r="AF190" s="91">
        <f>MAX(0,V190-MAX(0,AK190-SUM(P190:U190)))</f>
        <v/>
      </c>
      <c r="AG190" s="91">
        <f>MAX(0,W190-MAX(0,AK190-SUM(P190:V190)))</f>
        <v/>
      </c>
      <c r="AH190" s="91">
        <f>MAX(0,X190-MAX(0,AK190-SUM(P190:W190)))</f>
        <v/>
      </c>
      <c r="AI190" s="91">
        <f>MAX(0,Y190-MAX(0,AK190-SUM(P190:X190)))</f>
        <v/>
      </c>
      <c r="AJ190" s="92">
        <f>SUM(Z189:AI189)+AL190</f>
        <v/>
      </c>
      <c r="AK190" s="92">
        <f>$AK$7-(AJ190-SUM(P190:Y190))</f>
        <v/>
      </c>
      <c r="AL190" s="91">
        <f>SUMPRODUCT(Z189:AI189,$Z$6:$AI$6)/12</f>
        <v/>
      </c>
      <c r="AM190" s="88">
        <f>SUM(Z190:AI190)</f>
        <v/>
      </c>
      <c r="AO190" s="92">
        <f>IF(AY189&lt;0.005,0,MAX(0,AY189*(1+AY$6/12)-AY$7))</f>
        <v/>
      </c>
      <c r="AP190" s="92">
        <f>IF(AZ189&lt;0.005,0,MAX(0,AZ189*(1+AZ$6/12)-AZ$7))</f>
        <v/>
      </c>
      <c r="AQ190" s="92">
        <f>IF(BA189&lt;0.005,0,MAX(0,BA189*(1+BA$6/12)-BA$7))</f>
        <v/>
      </c>
      <c r="AR190" s="92">
        <f>IF(BB189&lt;0.005,0,MAX(0,BB189*(1+BB$6/12)-BB$7))</f>
        <v/>
      </c>
      <c r="AS190" s="92">
        <f>IF(BC189&lt;0.005,0,MAX(0,BC189*(1+BC$6/12)-BC$7))</f>
        <v/>
      </c>
      <c r="AT190" s="92">
        <f>IF(BD189&lt;0.005,0,MAX(0,BD189*(1+BD$6/12)-BD$7))</f>
        <v/>
      </c>
      <c r="AU190" s="92">
        <f>IF(BE189&lt;0.005,0,MAX(0,BE189*(1+BE$6/12)-BE$7))</f>
        <v/>
      </c>
      <c r="AV190" s="92">
        <f>IF(BF189&lt;0.005,0,MAX(0,BF189*(1+BF$6/12)-BF$7))</f>
        <v/>
      </c>
      <c r="AW190" s="92">
        <f>IF(BG189&lt;0.005,0,MAX(0,BG189*(1+BG$6/12)-BG$7))</f>
        <v/>
      </c>
      <c r="AX190" s="92">
        <f>IF(BH189&lt;0.005,0,MAX(0,BH189*(1+BH$6/12)-BH$7))</f>
        <v/>
      </c>
      <c r="AY190" s="91">
        <f>MAX(0,AO190-MAX(0,BJ190-0))</f>
        <v/>
      </c>
      <c r="AZ190" s="91">
        <f>MAX(0,AP190-MAX(0,BJ190-SUM(AO190:AO190)))</f>
        <v/>
      </c>
      <c r="BA190" s="91">
        <f>MAX(0,AQ190-MAX(0,BJ190-SUM(AO190:AP190)))</f>
        <v/>
      </c>
      <c r="BB190" s="91">
        <f>MAX(0,AR190-MAX(0,BJ190-SUM(AO190:AQ190)))</f>
        <v/>
      </c>
      <c r="BC190" s="91">
        <f>MAX(0,AS190-MAX(0,BJ190-SUM(AO190:AR190)))</f>
        <v/>
      </c>
      <c r="BD190" s="91">
        <f>MAX(0,AT190-MAX(0,BJ190-SUM(AO190:AS190)))</f>
        <v/>
      </c>
      <c r="BE190" s="91">
        <f>MAX(0,AU190-MAX(0,BJ190-SUM(AO190:AT190)))</f>
        <v/>
      </c>
      <c r="BF190" s="91">
        <f>MAX(0,AV190-MAX(0,BJ190-SUM(AO190:AU190)))</f>
        <v/>
      </c>
      <c r="BG190" s="91">
        <f>MAX(0,AW190-MAX(0,BJ190-SUM(AO190:AV190)))</f>
        <v/>
      </c>
      <c r="BH190" s="91">
        <f>MAX(0,AX190-MAX(0,BJ190-SUM(AO190:AW190)))</f>
        <v/>
      </c>
      <c r="BI190" s="92">
        <f>SUM(AY189:BH189)+BK190</f>
        <v/>
      </c>
      <c r="BJ190" s="92">
        <f>$BJ$7-(BI190-SUM(AO190:AX190))</f>
        <v/>
      </c>
      <c r="BK190" s="91">
        <f>SUMPRODUCT(AY189:BH189,$AY$6:$BH$6)/12</f>
        <v/>
      </c>
      <c r="BL190" s="88">
        <f>SUM(AY190:BH190)</f>
        <v/>
      </c>
    </row>
    <row r="191">
      <c r="A191" s="24" t="n">
        <v>181</v>
      </c>
      <c r="B191" s="90">
        <f>DATE(YEAR(Settings!$C$11),MONTH(Settings!$C$11)+A191,1)</f>
        <v/>
      </c>
      <c r="C191" s="91">
        <f>IF(C190&lt;0.005,0,MAX(0,C190*(1+C$6/12)-C$7))</f>
        <v/>
      </c>
      <c r="D191" s="91">
        <f>IF(D190&lt;0.005,0,MAX(0,D190*(1+D$6/12)-D$7))</f>
        <v/>
      </c>
      <c r="E191" s="91">
        <f>IF(E190&lt;0.005,0,MAX(0,E190*(1+E$6/12)-E$7))</f>
        <v/>
      </c>
      <c r="F191" s="91">
        <f>IF(F190&lt;0.005,0,MAX(0,F190*(1+F$6/12)-F$7))</f>
        <v/>
      </c>
      <c r="G191" s="91">
        <f>IF(G190&lt;0.005,0,MAX(0,G190*(1+G$6/12)-G$7))</f>
        <v/>
      </c>
      <c r="H191" s="91">
        <f>IF(H190&lt;0.005,0,MAX(0,H190*(1+H$6/12)-H$7))</f>
        <v/>
      </c>
      <c r="I191" s="91">
        <f>IF(I190&lt;0.005,0,MAX(0,I190*(1+I$6/12)-I$7))</f>
        <v/>
      </c>
      <c r="J191" s="91">
        <f>IF(J190&lt;0.005,0,MAX(0,J190*(1+J$6/12)-J$7))</f>
        <v/>
      </c>
      <c r="K191" s="91">
        <f>IF(K190&lt;0.005,0,MAX(0,K190*(1+K$6/12)-K$7))</f>
        <v/>
      </c>
      <c r="L191" s="91">
        <f>IF(L190&lt;0.005,0,MAX(0,L190*(1+L$6/12)-L$7))</f>
        <v/>
      </c>
      <c r="M191" s="91">
        <f>SUMPRODUCT(C190:L190,$C$6:$L$6)/12</f>
        <v/>
      </c>
      <c r="N191" s="88">
        <f>SUM(C191:L191)</f>
        <v/>
      </c>
      <c r="P191" s="92">
        <f>IF(Z190&lt;0.005,0,MAX(0,Z190*(1+Z$6/12)-Z$7))</f>
        <v/>
      </c>
      <c r="Q191" s="92">
        <f>IF(AA190&lt;0.005,0,MAX(0,AA190*(1+AA$6/12)-AA$7))</f>
        <v/>
      </c>
      <c r="R191" s="92">
        <f>IF(AB190&lt;0.005,0,MAX(0,AB190*(1+AB$6/12)-AB$7))</f>
        <v/>
      </c>
      <c r="S191" s="92">
        <f>IF(AC190&lt;0.005,0,MAX(0,AC190*(1+AC$6/12)-AC$7))</f>
        <v/>
      </c>
      <c r="T191" s="92">
        <f>IF(AD190&lt;0.005,0,MAX(0,AD190*(1+AD$6/12)-AD$7))</f>
        <v/>
      </c>
      <c r="U191" s="92">
        <f>IF(AE190&lt;0.005,0,MAX(0,AE190*(1+AE$6/12)-AE$7))</f>
        <v/>
      </c>
      <c r="V191" s="92">
        <f>IF(AF190&lt;0.005,0,MAX(0,AF190*(1+AF$6/12)-AF$7))</f>
        <v/>
      </c>
      <c r="W191" s="92">
        <f>IF(AG190&lt;0.005,0,MAX(0,AG190*(1+AG$6/12)-AG$7))</f>
        <v/>
      </c>
      <c r="X191" s="92">
        <f>IF(AH190&lt;0.005,0,MAX(0,AH190*(1+AH$6/12)-AH$7))</f>
        <v/>
      </c>
      <c r="Y191" s="92">
        <f>IF(AI190&lt;0.005,0,MAX(0,AI190*(1+AI$6/12)-AI$7))</f>
        <v/>
      </c>
      <c r="Z191" s="91">
        <f>MAX(0,P191-MAX(0,AK191-0))</f>
        <v/>
      </c>
      <c r="AA191" s="91">
        <f>MAX(0,Q191-MAX(0,AK191-SUM(P191:P191)))</f>
        <v/>
      </c>
      <c r="AB191" s="91">
        <f>MAX(0,R191-MAX(0,AK191-SUM(P191:Q191)))</f>
        <v/>
      </c>
      <c r="AC191" s="91">
        <f>MAX(0,S191-MAX(0,AK191-SUM(P191:R191)))</f>
        <v/>
      </c>
      <c r="AD191" s="91">
        <f>MAX(0,T191-MAX(0,AK191-SUM(P191:S191)))</f>
        <v/>
      </c>
      <c r="AE191" s="91">
        <f>MAX(0,U191-MAX(0,AK191-SUM(P191:T191)))</f>
        <v/>
      </c>
      <c r="AF191" s="91">
        <f>MAX(0,V191-MAX(0,AK191-SUM(P191:U191)))</f>
        <v/>
      </c>
      <c r="AG191" s="91">
        <f>MAX(0,W191-MAX(0,AK191-SUM(P191:V191)))</f>
        <v/>
      </c>
      <c r="AH191" s="91">
        <f>MAX(0,X191-MAX(0,AK191-SUM(P191:W191)))</f>
        <v/>
      </c>
      <c r="AI191" s="91">
        <f>MAX(0,Y191-MAX(0,AK191-SUM(P191:X191)))</f>
        <v/>
      </c>
      <c r="AJ191" s="92">
        <f>SUM(Z190:AI190)+AL191</f>
        <v/>
      </c>
      <c r="AK191" s="92">
        <f>$AK$7-(AJ191-SUM(P191:Y191))</f>
        <v/>
      </c>
      <c r="AL191" s="91">
        <f>SUMPRODUCT(Z190:AI190,$Z$6:$AI$6)/12</f>
        <v/>
      </c>
      <c r="AM191" s="88">
        <f>SUM(Z191:AI191)</f>
        <v/>
      </c>
      <c r="AO191" s="92">
        <f>IF(AY190&lt;0.005,0,MAX(0,AY190*(1+AY$6/12)-AY$7))</f>
        <v/>
      </c>
      <c r="AP191" s="92">
        <f>IF(AZ190&lt;0.005,0,MAX(0,AZ190*(1+AZ$6/12)-AZ$7))</f>
        <v/>
      </c>
      <c r="AQ191" s="92">
        <f>IF(BA190&lt;0.005,0,MAX(0,BA190*(1+BA$6/12)-BA$7))</f>
        <v/>
      </c>
      <c r="AR191" s="92">
        <f>IF(BB190&lt;0.005,0,MAX(0,BB190*(1+BB$6/12)-BB$7))</f>
        <v/>
      </c>
      <c r="AS191" s="92">
        <f>IF(BC190&lt;0.005,0,MAX(0,BC190*(1+BC$6/12)-BC$7))</f>
        <v/>
      </c>
      <c r="AT191" s="92">
        <f>IF(BD190&lt;0.005,0,MAX(0,BD190*(1+BD$6/12)-BD$7))</f>
        <v/>
      </c>
      <c r="AU191" s="92">
        <f>IF(BE190&lt;0.005,0,MAX(0,BE190*(1+BE$6/12)-BE$7))</f>
        <v/>
      </c>
      <c r="AV191" s="92">
        <f>IF(BF190&lt;0.005,0,MAX(0,BF190*(1+BF$6/12)-BF$7))</f>
        <v/>
      </c>
      <c r="AW191" s="92">
        <f>IF(BG190&lt;0.005,0,MAX(0,BG190*(1+BG$6/12)-BG$7))</f>
        <v/>
      </c>
      <c r="AX191" s="92">
        <f>IF(BH190&lt;0.005,0,MAX(0,BH190*(1+BH$6/12)-BH$7))</f>
        <v/>
      </c>
      <c r="AY191" s="91">
        <f>MAX(0,AO191-MAX(0,BJ191-0))</f>
        <v/>
      </c>
      <c r="AZ191" s="91">
        <f>MAX(0,AP191-MAX(0,BJ191-SUM(AO191:AO191)))</f>
        <v/>
      </c>
      <c r="BA191" s="91">
        <f>MAX(0,AQ191-MAX(0,BJ191-SUM(AO191:AP191)))</f>
        <v/>
      </c>
      <c r="BB191" s="91">
        <f>MAX(0,AR191-MAX(0,BJ191-SUM(AO191:AQ191)))</f>
        <v/>
      </c>
      <c r="BC191" s="91">
        <f>MAX(0,AS191-MAX(0,BJ191-SUM(AO191:AR191)))</f>
        <v/>
      </c>
      <c r="BD191" s="91">
        <f>MAX(0,AT191-MAX(0,BJ191-SUM(AO191:AS191)))</f>
        <v/>
      </c>
      <c r="BE191" s="91">
        <f>MAX(0,AU191-MAX(0,BJ191-SUM(AO191:AT191)))</f>
        <v/>
      </c>
      <c r="BF191" s="91">
        <f>MAX(0,AV191-MAX(0,BJ191-SUM(AO191:AU191)))</f>
        <v/>
      </c>
      <c r="BG191" s="91">
        <f>MAX(0,AW191-MAX(0,BJ191-SUM(AO191:AV191)))</f>
        <v/>
      </c>
      <c r="BH191" s="91">
        <f>MAX(0,AX191-MAX(0,BJ191-SUM(AO191:AW191)))</f>
        <v/>
      </c>
      <c r="BI191" s="92">
        <f>SUM(AY190:BH190)+BK191</f>
        <v/>
      </c>
      <c r="BJ191" s="92">
        <f>$BJ$7-(BI191-SUM(AO191:AX191))</f>
        <v/>
      </c>
      <c r="BK191" s="91">
        <f>SUMPRODUCT(AY190:BH190,$AY$6:$BH$6)/12</f>
        <v/>
      </c>
      <c r="BL191" s="88">
        <f>SUM(AY191:BH191)</f>
        <v/>
      </c>
    </row>
    <row r="192">
      <c r="A192" s="24" t="n">
        <v>182</v>
      </c>
      <c r="B192" s="90">
        <f>DATE(YEAR(Settings!$C$11),MONTH(Settings!$C$11)+A192,1)</f>
        <v/>
      </c>
      <c r="C192" s="91">
        <f>IF(C191&lt;0.005,0,MAX(0,C191*(1+C$6/12)-C$7))</f>
        <v/>
      </c>
      <c r="D192" s="91">
        <f>IF(D191&lt;0.005,0,MAX(0,D191*(1+D$6/12)-D$7))</f>
        <v/>
      </c>
      <c r="E192" s="91">
        <f>IF(E191&lt;0.005,0,MAX(0,E191*(1+E$6/12)-E$7))</f>
        <v/>
      </c>
      <c r="F192" s="91">
        <f>IF(F191&lt;0.005,0,MAX(0,F191*(1+F$6/12)-F$7))</f>
        <v/>
      </c>
      <c r="G192" s="91">
        <f>IF(G191&lt;0.005,0,MAX(0,G191*(1+G$6/12)-G$7))</f>
        <v/>
      </c>
      <c r="H192" s="91">
        <f>IF(H191&lt;0.005,0,MAX(0,H191*(1+H$6/12)-H$7))</f>
        <v/>
      </c>
      <c r="I192" s="91">
        <f>IF(I191&lt;0.005,0,MAX(0,I191*(1+I$6/12)-I$7))</f>
        <v/>
      </c>
      <c r="J192" s="91">
        <f>IF(J191&lt;0.005,0,MAX(0,J191*(1+J$6/12)-J$7))</f>
        <v/>
      </c>
      <c r="K192" s="91">
        <f>IF(K191&lt;0.005,0,MAX(0,K191*(1+K$6/12)-K$7))</f>
        <v/>
      </c>
      <c r="L192" s="91">
        <f>IF(L191&lt;0.005,0,MAX(0,L191*(1+L$6/12)-L$7))</f>
        <v/>
      </c>
      <c r="M192" s="91">
        <f>SUMPRODUCT(C191:L191,$C$6:$L$6)/12</f>
        <v/>
      </c>
      <c r="N192" s="88">
        <f>SUM(C192:L192)</f>
        <v/>
      </c>
      <c r="P192" s="92">
        <f>IF(Z191&lt;0.005,0,MAX(0,Z191*(1+Z$6/12)-Z$7))</f>
        <v/>
      </c>
      <c r="Q192" s="92">
        <f>IF(AA191&lt;0.005,0,MAX(0,AA191*(1+AA$6/12)-AA$7))</f>
        <v/>
      </c>
      <c r="R192" s="92">
        <f>IF(AB191&lt;0.005,0,MAX(0,AB191*(1+AB$6/12)-AB$7))</f>
        <v/>
      </c>
      <c r="S192" s="92">
        <f>IF(AC191&lt;0.005,0,MAX(0,AC191*(1+AC$6/12)-AC$7))</f>
        <v/>
      </c>
      <c r="T192" s="92">
        <f>IF(AD191&lt;0.005,0,MAX(0,AD191*(1+AD$6/12)-AD$7))</f>
        <v/>
      </c>
      <c r="U192" s="92">
        <f>IF(AE191&lt;0.005,0,MAX(0,AE191*(1+AE$6/12)-AE$7))</f>
        <v/>
      </c>
      <c r="V192" s="92">
        <f>IF(AF191&lt;0.005,0,MAX(0,AF191*(1+AF$6/12)-AF$7))</f>
        <v/>
      </c>
      <c r="W192" s="92">
        <f>IF(AG191&lt;0.005,0,MAX(0,AG191*(1+AG$6/12)-AG$7))</f>
        <v/>
      </c>
      <c r="X192" s="92">
        <f>IF(AH191&lt;0.005,0,MAX(0,AH191*(1+AH$6/12)-AH$7))</f>
        <v/>
      </c>
      <c r="Y192" s="92">
        <f>IF(AI191&lt;0.005,0,MAX(0,AI191*(1+AI$6/12)-AI$7))</f>
        <v/>
      </c>
      <c r="Z192" s="91">
        <f>MAX(0,P192-MAX(0,AK192-0))</f>
        <v/>
      </c>
      <c r="AA192" s="91">
        <f>MAX(0,Q192-MAX(0,AK192-SUM(P192:P192)))</f>
        <v/>
      </c>
      <c r="AB192" s="91">
        <f>MAX(0,R192-MAX(0,AK192-SUM(P192:Q192)))</f>
        <v/>
      </c>
      <c r="AC192" s="91">
        <f>MAX(0,S192-MAX(0,AK192-SUM(P192:R192)))</f>
        <v/>
      </c>
      <c r="AD192" s="91">
        <f>MAX(0,T192-MAX(0,AK192-SUM(P192:S192)))</f>
        <v/>
      </c>
      <c r="AE192" s="91">
        <f>MAX(0,U192-MAX(0,AK192-SUM(P192:T192)))</f>
        <v/>
      </c>
      <c r="AF192" s="91">
        <f>MAX(0,V192-MAX(0,AK192-SUM(P192:U192)))</f>
        <v/>
      </c>
      <c r="AG192" s="91">
        <f>MAX(0,W192-MAX(0,AK192-SUM(P192:V192)))</f>
        <v/>
      </c>
      <c r="AH192" s="91">
        <f>MAX(0,X192-MAX(0,AK192-SUM(P192:W192)))</f>
        <v/>
      </c>
      <c r="AI192" s="91">
        <f>MAX(0,Y192-MAX(0,AK192-SUM(P192:X192)))</f>
        <v/>
      </c>
      <c r="AJ192" s="92">
        <f>SUM(Z191:AI191)+AL192</f>
        <v/>
      </c>
      <c r="AK192" s="92">
        <f>$AK$7-(AJ192-SUM(P192:Y192))</f>
        <v/>
      </c>
      <c r="AL192" s="91">
        <f>SUMPRODUCT(Z191:AI191,$Z$6:$AI$6)/12</f>
        <v/>
      </c>
      <c r="AM192" s="88">
        <f>SUM(Z192:AI192)</f>
        <v/>
      </c>
      <c r="AO192" s="92">
        <f>IF(AY191&lt;0.005,0,MAX(0,AY191*(1+AY$6/12)-AY$7))</f>
        <v/>
      </c>
      <c r="AP192" s="92">
        <f>IF(AZ191&lt;0.005,0,MAX(0,AZ191*(1+AZ$6/12)-AZ$7))</f>
        <v/>
      </c>
      <c r="AQ192" s="92">
        <f>IF(BA191&lt;0.005,0,MAX(0,BA191*(1+BA$6/12)-BA$7))</f>
        <v/>
      </c>
      <c r="AR192" s="92">
        <f>IF(BB191&lt;0.005,0,MAX(0,BB191*(1+BB$6/12)-BB$7))</f>
        <v/>
      </c>
      <c r="AS192" s="92">
        <f>IF(BC191&lt;0.005,0,MAX(0,BC191*(1+BC$6/12)-BC$7))</f>
        <v/>
      </c>
      <c r="AT192" s="92">
        <f>IF(BD191&lt;0.005,0,MAX(0,BD191*(1+BD$6/12)-BD$7))</f>
        <v/>
      </c>
      <c r="AU192" s="92">
        <f>IF(BE191&lt;0.005,0,MAX(0,BE191*(1+BE$6/12)-BE$7))</f>
        <v/>
      </c>
      <c r="AV192" s="92">
        <f>IF(BF191&lt;0.005,0,MAX(0,BF191*(1+BF$6/12)-BF$7))</f>
        <v/>
      </c>
      <c r="AW192" s="92">
        <f>IF(BG191&lt;0.005,0,MAX(0,BG191*(1+BG$6/12)-BG$7))</f>
        <v/>
      </c>
      <c r="AX192" s="92">
        <f>IF(BH191&lt;0.005,0,MAX(0,BH191*(1+BH$6/12)-BH$7))</f>
        <v/>
      </c>
      <c r="AY192" s="91">
        <f>MAX(0,AO192-MAX(0,BJ192-0))</f>
        <v/>
      </c>
      <c r="AZ192" s="91">
        <f>MAX(0,AP192-MAX(0,BJ192-SUM(AO192:AO192)))</f>
        <v/>
      </c>
      <c r="BA192" s="91">
        <f>MAX(0,AQ192-MAX(0,BJ192-SUM(AO192:AP192)))</f>
        <v/>
      </c>
      <c r="BB192" s="91">
        <f>MAX(0,AR192-MAX(0,BJ192-SUM(AO192:AQ192)))</f>
        <v/>
      </c>
      <c r="BC192" s="91">
        <f>MAX(0,AS192-MAX(0,BJ192-SUM(AO192:AR192)))</f>
        <v/>
      </c>
      <c r="BD192" s="91">
        <f>MAX(0,AT192-MAX(0,BJ192-SUM(AO192:AS192)))</f>
        <v/>
      </c>
      <c r="BE192" s="91">
        <f>MAX(0,AU192-MAX(0,BJ192-SUM(AO192:AT192)))</f>
        <v/>
      </c>
      <c r="BF192" s="91">
        <f>MAX(0,AV192-MAX(0,BJ192-SUM(AO192:AU192)))</f>
        <v/>
      </c>
      <c r="BG192" s="91">
        <f>MAX(0,AW192-MAX(0,BJ192-SUM(AO192:AV192)))</f>
        <v/>
      </c>
      <c r="BH192" s="91">
        <f>MAX(0,AX192-MAX(0,BJ192-SUM(AO192:AW192)))</f>
        <v/>
      </c>
      <c r="BI192" s="92">
        <f>SUM(AY191:BH191)+BK192</f>
        <v/>
      </c>
      <c r="BJ192" s="92">
        <f>$BJ$7-(BI192-SUM(AO192:AX192))</f>
        <v/>
      </c>
      <c r="BK192" s="91">
        <f>SUMPRODUCT(AY191:BH191,$AY$6:$BH$6)/12</f>
        <v/>
      </c>
      <c r="BL192" s="88">
        <f>SUM(AY192:BH192)</f>
        <v/>
      </c>
    </row>
    <row r="193">
      <c r="A193" s="24" t="n">
        <v>183</v>
      </c>
      <c r="B193" s="90">
        <f>DATE(YEAR(Settings!$C$11),MONTH(Settings!$C$11)+A193,1)</f>
        <v/>
      </c>
      <c r="C193" s="91">
        <f>IF(C192&lt;0.005,0,MAX(0,C192*(1+C$6/12)-C$7))</f>
        <v/>
      </c>
      <c r="D193" s="91">
        <f>IF(D192&lt;0.005,0,MAX(0,D192*(1+D$6/12)-D$7))</f>
        <v/>
      </c>
      <c r="E193" s="91">
        <f>IF(E192&lt;0.005,0,MAX(0,E192*(1+E$6/12)-E$7))</f>
        <v/>
      </c>
      <c r="F193" s="91">
        <f>IF(F192&lt;0.005,0,MAX(0,F192*(1+F$6/12)-F$7))</f>
        <v/>
      </c>
      <c r="G193" s="91">
        <f>IF(G192&lt;0.005,0,MAX(0,G192*(1+G$6/12)-G$7))</f>
        <v/>
      </c>
      <c r="H193" s="91">
        <f>IF(H192&lt;0.005,0,MAX(0,H192*(1+H$6/12)-H$7))</f>
        <v/>
      </c>
      <c r="I193" s="91">
        <f>IF(I192&lt;0.005,0,MAX(0,I192*(1+I$6/12)-I$7))</f>
        <v/>
      </c>
      <c r="J193" s="91">
        <f>IF(J192&lt;0.005,0,MAX(0,J192*(1+J$6/12)-J$7))</f>
        <v/>
      </c>
      <c r="K193" s="91">
        <f>IF(K192&lt;0.005,0,MAX(0,K192*(1+K$6/12)-K$7))</f>
        <v/>
      </c>
      <c r="L193" s="91">
        <f>IF(L192&lt;0.005,0,MAX(0,L192*(1+L$6/12)-L$7))</f>
        <v/>
      </c>
      <c r="M193" s="91">
        <f>SUMPRODUCT(C192:L192,$C$6:$L$6)/12</f>
        <v/>
      </c>
      <c r="N193" s="88">
        <f>SUM(C193:L193)</f>
        <v/>
      </c>
      <c r="P193" s="92">
        <f>IF(Z192&lt;0.005,0,MAX(0,Z192*(1+Z$6/12)-Z$7))</f>
        <v/>
      </c>
      <c r="Q193" s="92">
        <f>IF(AA192&lt;0.005,0,MAX(0,AA192*(1+AA$6/12)-AA$7))</f>
        <v/>
      </c>
      <c r="R193" s="92">
        <f>IF(AB192&lt;0.005,0,MAX(0,AB192*(1+AB$6/12)-AB$7))</f>
        <v/>
      </c>
      <c r="S193" s="92">
        <f>IF(AC192&lt;0.005,0,MAX(0,AC192*(1+AC$6/12)-AC$7))</f>
        <v/>
      </c>
      <c r="T193" s="92">
        <f>IF(AD192&lt;0.005,0,MAX(0,AD192*(1+AD$6/12)-AD$7))</f>
        <v/>
      </c>
      <c r="U193" s="92">
        <f>IF(AE192&lt;0.005,0,MAX(0,AE192*(1+AE$6/12)-AE$7))</f>
        <v/>
      </c>
      <c r="V193" s="92">
        <f>IF(AF192&lt;0.005,0,MAX(0,AF192*(1+AF$6/12)-AF$7))</f>
        <v/>
      </c>
      <c r="W193" s="92">
        <f>IF(AG192&lt;0.005,0,MAX(0,AG192*(1+AG$6/12)-AG$7))</f>
        <v/>
      </c>
      <c r="X193" s="92">
        <f>IF(AH192&lt;0.005,0,MAX(0,AH192*(1+AH$6/12)-AH$7))</f>
        <v/>
      </c>
      <c r="Y193" s="92">
        <f>IF(AI192&lt;0.005,0,MAX(0,AI192*(1+AI$6/12)-AI$7))</f>
        <v/>
      </c>
      <c r="Z193" s="91">
        <f>MAX(0,P193-MAX(0,AK193-0))</f>
        <v/>
      </c>
      <c r="AA193" s="91">
        <f>MAX(0,Q193-MAX(0,AK193-SUM(P193:P193)))</f>
        <v/>
      </c>
      <c r="AB193" s="91">
        <f>MAX(0,R193-MAX(0,AK193-SUM(P193:Q193)))</f>
        <v/>
      </c>
      <c r="AC193" s="91">
        <f>MAX(0,S193-MAX(0,AK193-SUM(P193:R193)))</f>
        <v/>
      </c>
      <c r="AD193" s="91">
        <f>MAX(0,T193-MAX(0,AK193-SUM(P193:S193)))</f>
        <v/>
      </c>
      <c r="AE193" s="91">
        <f>MAX(0,U193-MAX(0,AK193-SUM(P193:T193)))</f>
        <v/>
      </c>
      <c r="AF193" s="91">
        <f>MAX(0,V193-MAX(0,AK193-SUM(P193:U193)))</f>
        <v/>
      </c>
      <c r="AG193" s="91">
        <f>MAX(0,W193-MAX(0,AK193-SUM(P193:V193)))</f>
        <v/>
      </c>
      <c r="AH193" s="91">
        <f>MAX(0,X193-MAX(0,AK193-SUM(P193:W193)))</f>
        <v/>
      </c>
      <c r="AI193" s="91">
        <f>MAX(0,Y193-MAX(0,AK193-SUM(P193:X193)))</f>
        <v/>
      </c>
      <c r="AJ193" s="92">
        <f>SUM(Z192:AI192)+AL193</f>
        <v/>
      </c>
      <c r="AK193" s="92">
        <f>$AK$7-(AJ193-SUM(P193:Y193))</f>
        <v/>
      </c>
      <c r="AL193" s="91">
        <f>SUMPRODUCT(Z192:AI192,$Z$6:$AI$6)/12</f>
        <v/>
      </c>
      <c r="AM193" s="88">
        <f>SUM(Z193:AI193)</f>
        <v/>
      </c>
      <c r="AO193" s="92">
        <f>IF(AY192&lt;0.005,0,MAX(0,AY192*(1+AY$6/12)-AY$7))</f>
        <v/>
      </c>
      <c r="AP193" s="92">
        <f>IF(AZ192&lt;0.005,0,MAX(0,AZ192*(1+AZ$6/12)-AZ$7))</f>
        <v/>
      </c>
      <c r="AQ193" s="92">
        <f>IF(BA192&lt;0.005,0,MAX(0,BA192*(1+BA$6/12)-BA$7))</f>
        <v/>
      </c>
      <c r="AR193" s="92">
        <f>IF(BB192&lt;0.005,0,MAX(0,BB192*(1+BB$6/12)-BB$7))</f>
        <v/>
      </c>
      <c r="AS193" s="92">
        <f>IF(BC192&lt;0.005,0,MAX(0,BC192*(1+BC$6/12)-BC$7))</f>
        <v/>
      </c>
      <c r="AT193" s="92">
        <f>IF(BD192&lt;0.005,0,MAX(0,BD192*(1+BD$6/12)-BD$7))</f>
        <v/>
      </c>
      <c r="AU193" s="92">
        <f>IF(BE192&lt;0.005,0,MAX(0,BE192*(1+BE$6/12)-BE$7))</f>
        <v/>
      </c>
      <c r="AV193" s="92">
        <f>IF(BF192&lt;0.005,0,MAX(0,BF192*(1+BF$6/12)-BF$7))</f>
        <v/>
      </c>
      <c r="AW193" s="92">
        <f>IF(BG192&lt;0.005,0,MAX(0,BG192*(1+BG$6/12)-BG$7))</f>
        <v/>
      </c>
      <c r="AX193" s="92">
        <f>IF(BH192&lt;0.005,0,MAX(0,BH192*(1+BH$6/12)-BH$7))</f>
        <v/>
      </c>
      <c r="AY193" s="91">
        <f>MAX(0,AO193-MAX(0,BJ193-0))</f>
        <v/>
      </c>
      <c r="AZ193" s="91">
        <f>MAX(0,AP193-MAX(0,BJ193-SUM(AO193:AO193)))</f>
        <v/>
      </c>
      <c r="BA193" s="91">
        <f>MAX(0,AQ193-MAX(0,BJ193-SUM(AO193:AP193)))</f>
        <v/>
      </c>
      <c r="BB193" s="91">
        <f>MAX(0,AR193-MAX(0,BJ193-SUM(AO193:AQ193)))</f>
        <v/>
      </c>
      <c r="BC193" s="91">
        <f>MAX(0,AS193-MAX(0,BJ193-SUM(AO193:AR193)))</f>
        <v/>
      </c>
      <c r="BD193" s="91">
        <f>MAX(0,AT193-MAX(0,BJ193-SUM(AO193:AS193)))</f>
        <v/>
      </c>
      <c r="BE193" s="91">
        <f>MAX(0,AU193-MAX(0,BJ193-SUM(AO193:AT193)))</f>
        <v/>
      </c>
      <c r="BF193" s="91">
        <f>MAX(0,AV193-MAX(0,BJ193-SUM(AO193:AU193)))</f>
        <v/>
      </c>
      <c r="BG193" s="91">
        <f>MAX(0,AW193-MAX(0,BJ193-SUM(AO193:AV193)))</f>
        <v/>
      </c>
      <c r="BH193" s="91">
        <f>MAX(0,AX193-MAX(0,BJ193-SUM(AO193:AW193)))</f>
        <v/>
      </c>
      <c r="BI193" s="92">
        <f>SUM(AY192:BH192)+BK193</f>
        <v/>
      </c>
      <c r="BJ193" s="92">
        <f>$BJ$7-(BI193-SUM(AO193:AX193))</f>
        <v/>
      </c>
      <c r="BK193" s="91">
        <f>SUMPRODUCT(AY192:BH192,$AY$6:$BH$6)/12</f>
        <v/>
      </c>
      <c r="BL193" s="88">
        <f>SUM(AY193:BH193)</f>
        <v/>
      </c>
    </row>
    <row r="194">
      <c r="A194" s="24" t="n">
        <v>184</v>
      </c>
      <c r="B194" s="90">
        <f>DATE(YEAR(Settings!$C$11),MONTH(Settings!$C$11)+A194,1)</f>
        <v/>
      </c>
      <c r="C194" s="91">
        <f>IF(C193&lt;0.005,0,MAX(0,C193*(1+C$6/12)-C$7))</f>
        <v/>
      </c>
      <c r="D194" s="91">
        <f>IF(D193&lt;0.005,0,MAX(0,D193*(1+D$6/12)-D$7))</f>
        <v/>
      </c>
      <c r="E194" s="91">
        <f>IF(E193&lt;0.005,0,MAX(0,E193*(1+E$6/12)-E$7))</f>
        <v/>
      </c>
      <c r="F194" s="91">
        <f>IF(F193&lt;0.005,0,MAX(0,F193*(1+F$6/12)-F$7))</f>
        <v/>
      </c>
      <c r="G194" s="91">
        <f>IF(G193&lt;0.005,0,MAX(0,G193*(1+G$6/12)-G$7))</f>
        <v/>
      </c>
      <c r="H194" s="91">
        <f>IF(H193&lt;0.005,0,MAX(0,H193*(1+H$6/12)-H$7))</f>
        <v/>
      </c>
      <c r="I194" s="91">
        <f>IF(I193&lt;0.005,0,MAX(0,I193*(1+I$6/12)-I$7))</f>
        <v/>
      </c>
      <c r="J194" s="91">
        <f>IF(J193&lt;0.005,0,MAX(0,J193*(1+J$6/12)-J$7))</f>
        <v/>
      </c>
      <c r="K194" s="91">
        <f>IF(K193&lt;0.005,0,MAX(0,K193*(1+K$6/12)-K$7))</f>
        <v/>
      </c>
      <c r="L194" s="91">
        <f>IF(L193&lt;0.005,0,MAX(0,L193*(1+L$6/12)-L$7))</f>
        <v/>
      </c>
      <c r="M194" s="91">
        <f>SUMPRODUCT(C193:L193,$C$6:$L$6)/12</f>
        <v/>
      </c>
      <c r="N194" s="88">
        <f>SUM(C194:L194)</f>
        <v/>
      </c>
      <c r="P194" s="92">
        <f>IF(Z193&lt;0.005,0,MAX(0,Z193*(1+Z$6/12)-Z$7))</f>
        <v/>
      </c>
      <c r="Q194" s="92">
        <f>IF(AA193&lt;0.005,0,MAX(0,AA193*(1+AA$6/12)-AA$7))</f>
        <v/>
      </c>
      <c r="R194" s="92">
        <f>IF(AB193&lt;0.005,0,MAX(0,AB193*(1+AB$6/12)-AB$7))</f>
        <v/>
      </c>
      <c r="S194" s="92">
        <f>IF(AC193&lt;0.005,0,MAX(0,AC193*(1+AC$6/12)-AC$7))</f>
        <v/>
      </c>
      <c r="T194" s="92">
        <f>IF(AD193&lt;0.005,0,MAX(0,AD193*(1+AD$6/12)-AD$7))</f>
        <v/>
      </c>
      <c r="U194" s="92">
        <f>IF(AE193&lt;0.005,0,MAX(0,AE193*(1+AE$6/12)-AE$7))</f>
        <v/>
      </c>
      <c r="V194" s="92">
        <f>IF(AF193&lt;0.005,0,MAX(0,AF193*(1+AF$6/12)-AF$7))</f>
        <v/>
      </c>
      <c r="W194" s="92">
        <f>IF(AG193&lt;0.005,0,MAX(0,AG193*(1+AG$6/12)-AG$7))</f>
        <v/>
      </c>
      <c r="X194" s="92">
        <f>IF(AH193&lt;0.005,0,MAX(0,AH193*(1+AH$6/12)-AH$7))</f>
        <v/>
      </c>
      <c r="Y194" s="92">
        <f>IF(AI193&lt;0.005,0,MAX(0,AI193*(1+AI$6/12)-AI$7))</f>
        <v/>
      </c>
      <c r="Z194" s="91">
        <f>MAX(0,P194-MAX(0,AK194-0))</f>
        <v/>
      </c>
      <c r="AA194" s="91">
        <f>MAX(0,Q194-MAX(0,AK194-SUM(P194:P194)))</f>
        <v/>
      </c>
      <c r="AB194" s="91">
        <f>MAX(0,R194-MAX(0,AK194-SUM(P194:Q194)))</f>
        <v/>
      </c>
      <c r="AC194" s="91">
        <f>MAX(0,S194-MAX(0,AK194-SUM(P194:R194)))</f>
        <v/>
      </c>
      <c r="AD194" s="91">
        <f>MAX(0,T194-MAX(0,AK194-SUM(P194:S194)))</f>
        <v/>
      </c>
      <c r="AE194" s="91">
        <f>MAX(0,U194-MAX(0,AK194-SUM(P194:T194)))</f>
        <v/>
      </c>
      <c r="AF194" s="91">
        <f>MAX(0,V194-MAX(0,AK194-SUM(P194:U194)))</f>
        <v/>
      </c>
      <c r="AG194" s="91">
        <f>MAX(0,W194-MAX(0,AK194-SUM(P194:V194)))</f>
        <v/>
      </c>
      <c r="AH194" s="91">
        <f>MAX(0,X194-MAX(0,AK194-SUM(P194:W194)))</f>
        <v/>
      </c>
      <c r="AI194" s="91">
        <f>MAX(0,Y194-MAX(0,AK194-SUM(P194:X194)))</f>
        <v/>
      </c>
      <c r="AJ194" s="92">
        <f>SUM(Z193:AI193)+AL194</f>
        <v/>
      </c>
      <c r="AK194" s="92">
        <f>$AK$7-(AJ194-SUM(P194:Y194))</f>
        <v/>
      </c>
      <c r="AL194" s="91">
        <f>SUMPRODUCT(Z193:AI193,$Z$6:$AI$6)/12</f>
        <v/>
      </c>
      <c r="AM194" s="88">
        <f>SUM(Z194:AI194)</f>
        <v/>
      </c>
      <c r="AO194" s="92">
        <f>IF(AY193&lt;0.005,0,MAX(0,AY193*(1+AY$6/12)-AY$7))</f>
        <v/>
      </c>
      <c r="AP194" s="92">
        <f>IF(AZ193&lt;0.005,0,MAX(0,AZ193*(1+AZ$6/12)-AZ$7))</f>
        <v/>
      </c>
      <c r="AQ194" s="92">
        <f>IF(BA193&lt;0.005,0,MAX(0,BA193*(1+BA$6/12)-BA$7))</f>
        <v/>
      </c>
      <c r="AR194" s="92">
        <f>IF(BB193&lt;0.005,0,MAX(0,BB193*(1+BB$6/12)-BB$7))</f>
        <v/>
      </c>
      <c r="AS194" s="92">
        <f>IF(BC193&lt;0.005,0,MAX(0,BC193*(1+BC$6/12)-BC$7))</f>
        <v/>
      </c>
      <c r="AT194" s="92">
        <f>IF(BD193&lt;0.005,0,MAX(0,BD193*(1+BD$6/12)-BD$7))</f>
        <v/>
      </c>
      <c r="AU194" s="92">
        <f>IF(BE193&lt;0.005,0,MAX(0,BE193*(1+BE$6/12)-BE$7))</f>
        <v/>
      </c>
      <c r="AV194" s="92">
        <f>IF(BF193&lt;0.005,0,MAX(0,BF193*(1+BF$6/12)-BF$7))</f>
        <v/>
      </c>
      <c r="AW194" s="92">
        <f>IF(BG193&lt;0.005,0,MAX(0,BG193*(1+BG$6/12)-BG$7))</f>
        <v/>
      </c>
      <c r="AX194" s="92">
        <f>IF(BH193&lt;0.005,0,MAX(0,BH193*(1+BH$6/12)-BH$7))</f>
        <v/>
      </c>
      <c r="AY194" s="91">
        <f>MAX(0,AO194-MAX(0,BJ194-0))</f>
        <v/>
      </c>
      <c r="AZ194" s="91">
        <f>MAX(0,AP194-MAX(0,BJ194-SUM(AO194:AO194)))</f>
        <v/>
      </c>
      <c r="BA194" s="91">
        <f>MAX(0,AQ194-MAX(0,BJ194-SUM(AO194:AP194)))</f>
        <v/>
      </c>
      <c r="BB194" s="91">
        <f>MAX(0,AR194-MAX(0,BJ194-SUM(AO194:AQ194)))</f>
        <v/>
      </c>
      <c r="BC194" s="91">
        <f>MAX(0,AS194-MAX(0,BJ194-SUM(AO194:AR194)))</f>
        <v/>
      </c>
      <c r="BD194" s="91">
        <f>MAX(0,AT194-MAX(0,BJ194-SUM(AO194:AS194)))</f>
        <v/>
      </c>
      <c r="BE194" s="91">
        <f>MAX(0,AU194-MAX(0,BJ194-SUM(AO194:AT194)))</f>
        <v/>
      </c>
      <c r="BF194" s="91">
        <f>MAX(0,AV194-MAX(0,BJ194-SUM(AO194:AU194)))</f>
        <v/>
      </c>
      <c r="BG194" s="91">
        <f>MAX(0,AW194-MAX(0,BJ194-SUM(AO194:AV194)))</f>
        <v/>
      </c>
      <c r="BH194" s="91">
        <f>MAX(0,AX194-MAX(0,BJ194-SUM(AO194:AW194)))</f>
        <v/>
      </c>
      <c r="BI194" s="92">
        <f>SUM(AY193:BH193)+BK194</f>
        <v/>
      </c>
      <c r="BJ194" s="92">
        <f>$BJ$7-(BI194-SUM(AO194:AX194))</f>
        <v/>
      </c>
      <c r="BK194" s="91">
        <f>SUMPRODUCT(AY193:BH193,$AY$6:$BH$6)/12</f>
        <v/>
      </c>
      <c r="BL194" s="88">
        <f>SUM(AY194:BH194)</f>
        <v/>
      </c>
    </row>
    <row r="195">
      <c r="A195" s="24" t="n">
        <v>185</v>
      </c>
      <c r="B195" s="90">
        <f>DATE(YEAR(Settings!$C$11),MONTH(Settings!$C$11)+A195,1)</f>
        <v/>
      </c>
      <c r="C195" s="91">
        <f>IF(C194&lt;0.005,0,MAX(0,C194*(1+C$6/12)-C$7))</f>
        <v/>
      </c>
      <c r="D195" s="91">
        <f>IF(D194&lt;0.005,0,MAX(0,D194*(1+D$6/12)-D$7))</f>
        <v/>
      </c>
      <c r="E195" s="91">
        <f>IF(E194&lt;0.005,0,MAX(0,E194*(1+E$6/12)-E$7))</f>
        <v/>
      </c>
      <c r="F195" s="91">
        <f>IF(F194&lt;0.005,0,MAX(0,F194*(1+F$6/12)-F$7))</f>
        <v/>
      </c>
      <c r="G195" s="91">
        <f>IF(G194&lt;0.005,0,MAX(0,G194*(1+G$6/12)-G$7))</f>
        <v/>
      </c>
      <c r="H195" s="91">
        <f>IF(H194&lt;0.005,0,MAX(0,H194*(1+H$6/12)-H$7))</f>
        <v/>
      </c>
      <c r="I195" s="91">
        <f>IF(I194&lt;0.005,0,MAX(0,I194*(1+I$6/12)-I$7))</f>
        <v/>
      </c>
      <c r="J195" s="91">
        <f>IF(J194&lt;0.005,0,MAX(0,J194*(1+J$6/12)-J$7))</f>
        <v/>
      </c>
      <c r="K195" s="91">
        <f>IF(K194&lt;0.005,0,MAX(0,K194*(1+K$6/12)-K$7))</f>
        <v/>
      </c>
      <c r="L195" s="91">
        <f>IF(L194&lt;0.005,0,MAX(0,L194*(1+L$6/12)-L$7))</f>
        <v/>
      </c>
      <c r="M195" s="91">
        <f>SUMPRODUCT(C194:L194,$C$6:$L$6)/12</f>
        <v/>
      </c>
      <c r="N195" s="88">
        <f>SUM(C195:L195)</f>
        <v/>
      </c>
      <c r="P195" s="92">
        <f>IF(Z194&lt;0.005,0,MAX(0,Z194*(1+Z$6/12)-Z$7))</f>
        <v/>
      </c>
      <c r="Q195" s="92">
        <f>IF(AA194&lt;0.005,0,MAX(0,AA194*(1+AA$6/12)-AA$7))</f>
        <v/>
      </c>
      <c r="R195" s="92">
        <f>IF(AB194&lt;0.005,0,MAX(0,AB194*(1+AB$6/12)-AB$7))</f>
        <v/>
      </c>
      <c r="S195" s="92">
        <f>IF(AC194&lt;0.005,0,MAX(0,AC194*(1+AC$6/12)-AC$7))</f>
        <v/>
      </c>
      <c r="T195" s="92">
        <f>IF(AD194&lt;0.005,0,MAX(0,AD194*(1+AD$6/12)-AD$7))</f>
        <v/>
      </c>
      <c r="U195" s="92">
        <f>IF(AE194&lt;0.005,0,MAX(0,AE194*(1+AE$6/12)-AE$7))</f>
        <v/>
      </c>
      <c r="V195" s="92">
        <f>IF(AF194&lt;0.005,0,MAX(0,AF194*(1+AF$6/12)-AF$7))</f>
        <v/>
      </c>
      <c r="W195" s="92">
        <f>IF(AG194&lt;0.005,0,MAX(0,AG194*(1+AG$6/12)-AG$7))</f>
        <v/>
      </c>
      <c r="X195" s="92">
        <f>IF(AH194&lt;0.005,0,MAX(0,AH194*(1+AH$6/12)-AH$7))</f>
        <v/>
      </c>
      <c r="Y195" s="92">
        <f>IF(AI194&lt;0.005,0,MAX(0,AI194*(1+AI$6/12)-AI$7))</f>
        <v/>
      </c>
      <c r="Z195" s="91">
        <f>MAX(0,P195-MAX(0,AK195-0))</f>
        <v/>
      </c>
      <c r="AA195" s="91">
        <f>MAX(0,Q195-MAX(0,AK195-SUM(P195:P195)))</f>
        <v/>
      </c>
      <c r="AB195" s="91">
        <f>MAX(0,R195-MAX(0,AK195-SUM(P195:Q195)))</f>
        <v/>
      </c>
      <c r="AC195" s="91">
        <f>MAX(0,S195-MAX(0,AK195-SUM(P195:R195)))</f>
        <v/>
      </c>
      <c r="AD195" s="91">
        <f>MAX(0,T195-MAX(0,AK195-SUM(P195:S195)))</f>
        <v/>
      </c>
      <c r="AE195" s="91">
        <f>MAX(0,U195-MAX(0,AK195-SUM(P195:T195)))</f>
        <v/>
      </c>
      <c r="AF195" s="91">
        <f>MAX(0,V195-MAX(0,AK195-SUM(P195:U195)))</f>
        <v/>
      </c>
      <c r="AG195" s="91">
        <f>MAX(0,W195-MAX(0,AK195-SUM(P195:V195)))</f>
        <v/>
      </c>
      <c r="AH195" s="91">
        <f>MAX(0,X195-MAX(0,AK195-SUM(P195:W195)))</f>
        <v/>
      </c>
      <c r="AI195" s="91">
        <f>MAX(0,Y195-MAX(0,AK195-SUM(P195:X195)))</f>
        <v/>
      </c>
      <c r="AJ195" s="92">
        <f>SUM(Z194:AI194)+AL195</f>
        <v/>
      </c>
      <c r="AK195" s="92">
        <f>$AK$7-(AJ195-SUM(P195:Y195))</f>
        <v/>
      </c>
      <c r="AL195" s="91">
        <f>SUMPRODUCT(Z194:AI194,$Z$6:$AI$6)/12</f>
        <v/>
      </c>
      <c r="AM195" s="88">
        <f>SUM(Z195:AI195)</f>
        <v/>
      </c>
      <c r="AO195" s="92">
        <f>IF(AY194&lt;0.005,0,MAX(0,AY194*(1+AY$6/12)-AY$7))</f>
        <v/>
      </c>
      <c r="AP195" s="92">
        <f>IF(AZ194&lt;0.005,0,MAX(0,AZ194*(1+AZ$6/12)-AZ$7))</f>
        <v/>
      </c>
      <c r="AQ195" s="92">
        <f>IF(BA194&lt;0.005,0,MAX(0,BA194*(1+BA$6/12)-BA$7))</f>
        <v/>
      </c>
      <c r="AR195" s="92">
        <f>IF(BB194&lt;0.005,0,MAX(0,BB194*(1+BB$6/12)-BB$7))</f>
        <v/>
      </c>
      <c r="AS195" s="92">
        <f>IF(BC194&lt;0.005,0,MAX(0,BC194*(1+BC$6/12)-BC$7))</f>
        <v/>
      </c>
      <c r="AT195" s="92">
        <f>IF(BD194&lt;0.005,0,MAX(0,BD194*(1+BD$6/12)-BD$7))</f>
        <v/>
      </c>
      <c r="AU195" s="92">
        <f>IF(BE194&lt;0.005,0,MAX(0,BE194*(1+BE$6/12)-BE$7))</f>
        <v/>
      </c>
      <c r="AV195" s="92">
        <f>IF(BF194&lt;0.005,0,MAX(0,BF194*(1+BF$6/12)-BF$7))</f>
        <v/>
      </c>
      <c r="AW195" s="92">
        <f>IF(BG194&lt;0.005,0,MAX(0,BG194*(1+BG$6/12)-BG$7))</f>
        <v/>
      </c>
      <c r="AX195" s="92">
        <f>IF(BH194&lt;0.005,0,MAX(0,BH194*(1+BH$6/12)-BH$7))</f>
        <v/>
      </c>
      <c r="AY195" s="91">
        <f>MAX(0,AO195-MAX(0,BJ195-0))</f>
        <v/>
      </c>
      <c r="AZ195" s="91">
        <f>MAX(0,AP195-MAX(0,BJ195-SUM(AO195:AO195)))</f>
        <v/>
      </c>
      <c r="BA195" s="91">
        <f>MAX(0,AQ195-MAX(0,BJ195-SUM(AO195:AP195)))</f>
        <v/>
      </c>
      <c r="BB195" s="91">
        <f>MAX(0,AR195-MAX(0,BJ195-SUM(AO195:AQ195)))</f>
        <v/>
      </c>
      <c r="BC195" s="91">
        <f>MAX(0,AS195-MAX(0,BJ195-SUM(AO195:AR195)))</f>
        <v/>
      </c>
      <c r="BD195" s="91">
        <f>MAX(0,AT195-MAX(0,BJ195-SUM(AO195:AS195)))</f>
        <v/>
      </c>
      <c r="BE195" s="91">
        <f>MAX(0,AU195-MAX(0,BJ195-SUM(AO195:AT195)))</f>
        <v/>
      </c>
      <c r="BF195" s="91">
        <f>MAX(0,AV195-MAX(0,BJ195-SUM(AO195:AU195)))</f>
        <v/>
      </c>
      <c r="BG195" s="91">
        <f>MAX(0,AW195-MAX(0,BJ195-SUM(AO195:AV195)))</f>
        <v/>
      </c>
      <c r="BH195" s="91">
        <f>MAX(0,AX195-MAX(0,BJ195-SUM(AO195:AW195)))</f>
        <v/>
      </c>
      <c r="BI195" s="92">
        <f>SUM(AY194:BH194)+BK195</f>
        <v/>
      </c>
      <c r="BJ195" s="92">
        <f>$BJ$7-(BI195-SUM(AO195:AX195))</f>
        <v/>
      </c>
      <c r="BK195" s="91">
        <f>SUMPRODUCT(AY194:BH194,$AY$6:$BH$6)/12</f>
        <v/>
      </c>
      <c r="BL195" s="88">
        <f>SUM(AY195:BH195)</f>
        <v/>
      </c>
    </row>
    <row r="196">
      <c r="A196" s="24" t="n">
        <v>186</v>
      </c>
      <c r="B196" s="90">
        <f>DATE(YEAR(Settings!$C$11),MONTH(Settings!$C$11)+A196,1)</f>
        <v/>
      </c>
      <c r="C196" s="91">
        <f>IF(C195&lt;0.005,0,MAX(0,C195*(1+C$6/12)-C$7))</f>
        <v/>
      </c>
      <c r="D196" s="91">
        <f>IF(D195&lt;0.005,0,MAX(0,D195*(1+D$6/12)-D$7))</f>
        <v/>
      </c>
      <c r="E196" s="91">
        <f>IF(E195&lt;0.005,0,MAX(0,E195*(1+E$6/12)-E$7))</f>
        <v/>
      </c>
      <c r="F196" s="91">
        <f>IF(F195&lt;0.005,0,MAX(0,F195*(1+F$6/12)-F$7))</f>
        <v/>
      </c>
      <c r="G196" s="91">
        <f>IF(G195&lt;0.005,0,MAX(0,G195*(1+G$6/12)-G$7))</f>
        <v/>
      </c>
      <c r="H196" s="91">
        <f>IF(H195&lt;0.005,0,MAX(0,H195*(1+H$6/12)-H$7))</f>
        <v/>
      </c>
      <c r="I196" s="91">
        <f>IF(I195&lt;0.005,0,MAX(0,I195*(1+I$6/12)-I$7))</f>
        <v/>
      </c>
      <c r="J196" s="91">
        <f>IF(J195&lt;0.005,0,MAX(0,J195*(1+J$6/12)-J$7))</f>
        <v/>
      </c>
      <c r="K196" s="91">
        <f>IF(K195&lt;0.005,0,MAX(0,K195*(1+K$6/12)-K$7))</f>
        <v/>
      </c>
      <c r="L196" s="91">
        <f>IF(L195&lt;0.005,0,MAX(0,L195*(1+L$6/12)-L$7))</f>
        <v/>
      </c>
      <c r="M196" s="91">
        <f>SUMPRODUCT(C195:L195,$C$6:$L$6)/12</f>
        <v/>
      </c>
      <c r="N196" s="88">
        <f>SUM(C196:L196)</f>
        <v/>
      </c>
      <c r="P196" s="92">
        <f>IF(Z195&lt;0.005,0,MAX(0,Z195*(1+Z$6/12)-Z$7))</f>
        <v/>
      </c>
      <c r="Q196" s="92">
        <f>IF(AA195&lt;0.005,0,MAX(0,AA195*(1+AA$6/12)-AA$7))</f>
        <v/>
      </c>
      <c r="R196" s="92">
        <f>IF(AB195&lt;0.005,0,MAX(0,AB195*(1+AB$6/12)-AB$7))</f>
        <v/>
      </c>
      <c r="S196" s="92">
        <f>IF(AC195&lt;0.005,0,MAX(0,AC195*(1+AC$6/12)-AC$7))</f>
        <v/>
      </c>
      <c r="T196" s="92">
        <f>IF(AD195&lt;0.005,0,MAX(0,AD195*(1+AD$6/12)-AD$7))</f>
        <v/>
      </c>
      <c r="U196" s="92">
        <f>IF(AE195&lt;0.005,0,MAX(0,AE195*(1+AE$6/12)-AE$7))</f>
        <v/>
      </c>
      <c r="V196" s="92">
        <f>IF(AF195&lt;0.005,0,MAX(0,AF195*(1+AF$6/12)-AF$7))</f>
        <v/>
      </c>
      <c r="W196" s="92">
        <f>IF(AG195&lt;0.005,0,MAX(0,AG195*(1+AG$6/12)-AG$7))</f>
        <v/>
      </c>
      <c r="X196" s="92">
        <f>IF(AH195&lt;0.005,0,MAX(0,AH195*(1+AH$6/12)-AH$7))</f>
        <v/>
      </c>
      <c r="Y196" s="92">
        <f>IF(AI195&lt;0.005,0,MAX(0,AI195*(1+AI$6/12)-AI$7))</f>
        <v/>
      </c>
      <c r="Z196" s="91">
        <f>MAX(0,P196-MAX(0,AK196-0))</f>
        <v/>
      </c>
      <c r="AA196" s="91">
        <f>MAX(0,Q196-MAX(0,AK196-SUM(P196:P196)))</f>
        <v/>
      </c>
      <c r="AB196" s="91">
        <f>MAX(0,R196-MAX(0,AK196-SUM(P196:Q196)))</f>
        <v/>
      </c>
      <c r="AC196" s="91">
        <f>MAX(0,S196-MAX(0,AK196-SUM(P196:R196)))</f>
        <v/>
      </c>
      <c r="AD196" s="91">
        <f>MAX(0,T196-MAX(0,AK196-SUM(P196:S196)))</f>
        <v/>
      </c>
      <c r="AE196" s="91">
        <f>MAX(0,U196-MAX(0,AK196-SUM(P196:T196)))</f>
        <v/>
      </c>
      <c r="AF196" s="91">
        <f>MAX(0,V196-MAX(0,AK196-SUM(P196:U196)))</f>
        <v/>
      </c>
      <c r="AG196" s="91">
        <f>MAX(0,W196-MAX(0,AK196-SUM(P196:V196)))</f>
        <v/>
      </c>
      <c r="AH196" s="91">
        <f>MAX(0,X196-MAX(0,AK196-SUM(P196:W196)))</f>
        <v/>
      </c>
      <c r="AI196" s="91">
        <f>MAX(0,Y196-MAX(0,AK196-SUM(P196:X196)))</f>
        <v/>
      </c>
      <c r="AJ196" s="92">
        <f>SUM(Z195:AI195)+AL196</f>
        <v/>
      </c>
      <c r="AK196" s="92">
        <f>$AK$7-(AJ196-SUM(P196:Y196))</f>
        <v/>
      </c>
      <c r="AL196" s="91">
        <f>SUMPRODUCT(Z195:AI195,$Z$6:$AI$6)/12</f>
        <v/>
      </c>
      <c r="AM196" s="88">
        <f>SUM(Z196:AI196)</f>
        <v/>
      </c>
      <c r="AO196" s="92">
        <f>IF(AY195&lt;0.005,0,MAX(0,AY195*(1+AY$6/12)-AY$7))</f>
        <v/>
      </c>
      <c r="AP196" s="92">
        <f>IF(AZ195&lt;0.005,0,MAX(0,AZ195*(1+AZ$6/12)-AZ$7))</f>
        <v/>
      </c>
      <c r="AQ196" s="92">
        <f>IF(BA195&lt;0.005,0,MAX(0,BA195*(1+BA$6/12)-BA$7))</f>
        <v/>
      </c>
      <c r="AR196" s="92">
        <f>IF(BB195&lt;0.005,0,MAX(0,BB195*(1+BB$6/12)-BB$7))</f>
        <v/>
      </c>
      <c r="AS196" s="92">
        <f>IF(BC195&lt;0.005,0,MAX(0,BC195*(1+BC$6/12)-BC$7))</f>
        <v/>
      </c>
      <c r="AT196" s="92">
        <f>IF(BD195&lt;0.005,0,MAX(0,BD195*(1+BD$6/12)-BD$7))</f>
        <v/>
      </c>
      <c r="AU196" s="92">
        <f>IF(BE195&lt;0.005,0,MAX(0,BE195*(1+BE$6/12)-BE$7))</f>
        <v/>
      </c>
      <c r="AV196" s="92">
        <f>IF(BF195&lt;0.005,0,MAX(0,BF195*(1+BF$6/12)-BF$7))</f>
        <v/>
      </c>
      <c r="AW196" s="92">
        <f>IF(BG195&lt;0.005,0,MAX(0,BG195*(1+BG$6/12)-BG$7))</f>
        <v/>
      </c>
      <c r="AX196" s="92">
        <f>IF(BH195&lt;0.005,0,MAX(0,BH195*(1+BH$6/12)-BH$7))</f>
        <v/>
      </c>
      <c r="AY196" s="91">
        <f>MAX(0,AO196-MAX(0,BJ196-0))</f>
        <v/>
      </c>
      <c r="AZ196" s="91">
        <f>MAX(0,AP196-MAX(0,BJ196-SUM(AO196:AO196)))</f>
        <v/>
      </c>
      <c r="BA196" s="91">
        <f>MAX(0,AQ196-MAX(0,BJ196-SUM(AO196:AP196)))</f>
        <v/>
      </c>
      <c r="BB196" s="91">
        <f>MAX(0,AR196-MAX(0,BJ196-SUM(AO196:AQ196)))</f>
        <v/>
      </c>
      <c r="BC196" s="91">
        <f>MAX(0,AS196-MAX(0,BJ196-SUM(AO196:AR196)))</f>
        <v/>
      </c>
      <c r="BD196" s="91">
        <f>MAX(0,AT196-MAX(0,BJ196-SUM(AO196:AS196)))</f>
        <v/>
      </c>
      <c r="BE196" s="91">
        <f>MAX(0,AU196-MAX(0,BJ196-SUM(AO196:AT196)))</f>
        <v/>
      </c>
      <c r="BF196" s="91">
        <f>MAX(0,AV196-MAX(0,BJ196-SUM(AO196:AU196)))</f>
        <v/>
      </c>
      <c r="BG196" s="91">
        <f>MAX(0,AW196-MAX(0,BJ196-SUM(AO196:AV196)))</f>
        <v/>
      </c>
      <c r="BH196" s="91">
        <f>MAX(0,AX196-MAX(0,BJ196-SUM(AO196:AW196)))</f>
        <v/>
      </c>
      <c r="BI196" s="92">
        <f>SUM(AY195:BH195)+BK196</f>
        <v/>
      </c>
      <c r="BJ196" s="92">
        <f>$BJ$7-(BI196-SUM(AO196:AX196))</f>
        <v/>
      </c>
      <c r="BK196" s="91">
        <f>SUMPRODUCT(AY195:BH195,$AY$6:$BH$6)/12</f>
        <v/>
      </c>
      <c r="BL196" s="88">
        <f>SUM(AY196:BH196)</f>
        <v/>
      </c>
    </row>
    <row r="197">
      <c r="A197" s="24" t="n">
        <v>187</v>
      </c>
      <c r="B197" s="90">
        <f>DATE(YEAR(Settings!$C$11),MONTH(Settings!$C$11)+A197,1)</f>
        <v/>
      </c>
      <c r="C197" s="91">
        <f>IF(C196&lt;0.005,0,MAX(0,C196*(1+C$6/12)-C$7))</f>
        <v/>
      </c>
      <c r="D197" s="91">
        <f>IF(D196&lt;0.005,0,MAX(0,D196*(1+D$6/12)-D$7))</f>
        <v/>
      </c>
      <c r="E197" s="91">
        <f>IF(E196&lt;0.005,0,MAX(0,E196*(1+E$6/12)-E$7))</f>
        <v/>
      </c>
      <c r="F197" s="91">
        <f>IF(F196&lt;0.005,0,MAX(0,F196*(1+F$6/12)-F$7))</f>
        <v/>
      </c>
      <c r="G197" s="91">
        <f>IF(G196&lt;0.005,0,MAX(0,G196*(1+G$6/12)-G$7))</f>
        <v/>
      </c>
      <c r="H197" s="91">
        <f>IF(H196&lt;0.005,0,MAX(0,H196*(1+H$6/12)-H$7))</f>
        <v/>
      </c>
      <c r="I197" s="91">
        <f>IF(I196&lt;0.005,0,MAX(0,I196*(1+I$6/12)-I$7))</f>
        <v/>
      </c>
      <c r="J197" s="91">
        <f>IF(J196&lt;0.005,0,MAX(0,J196*(1+J$6/12)-J$7))</f>
        <v/>
      </c>
      <c r="K197" s="91">
        <f>IF(K196&lt;0.005,0,MAX(0,K196*(1+K$6/12)-K$7))</f>
        <v/>
      </c>
      <c r="L197" s="91">
        <f>IF(L196&lt;0.005,0,MAX(0,L196*(1+L$6/12)-L$7))</f>
        <v/>
      </c>
      <c r="M197" s="91">
        <f>SUMPRODUCT(C196:L196,$C$6:$L$6)/12</f>
        <v/>
      </c>
      <c r="N197" s="88">
        <f>SUM(C197:L197)</f>
        <v/>
      </c>
      <c r="P197" s="92">
        <f>IF(Z196&lt;0.005,0,MAX(0,Z196*(1+Z$6/12)-Z$7))</f>
        <v/>
      </c>
      <c r="Q197" s="92">
        <f>IF(AA196&lt;0.005,0,MAX(0,AA196*(1+AA$6/12)-AA$7))</f>
        <v/>
      </c>
      <c r="R197" s="92">
        <f>IF(AB196&lt;0.005,0,MAX(0,AB196*(1+AB$6/12)-AB$7))</f>
        <v/>
      </c>
      <c r="S197" s="92">
        <f>IF(AC196&lt;0.005,0,MAX(0,AC196*(1+AC$6/12)-AC$7))</f>
        <v/>
      </c>
      <c r="T197" s="92">
        <f>IF(AD196&lt;0.005,0,MAX(0,AD196*(1+AD$6/12)-AD$7))</f>
        <v/>
      </c>
      <c r="U197" s="92">
        <f>IF(AE196&lt;0.005,0,MAX(0,AE196*(1+AE$6/12)-AE$7))</f>
        <v/>
      </c>
      <c r="V197" s="92">
        <f>IF(AF196&lt;0.005,0,MAX(0,AF196*(1+AF$6/12)-AF$7))</f>
        <v/>
      </c>
      <c r="W197" s="92">
        <f>IF(AG196&lt;0.005,0,MAX(0,AG196*(1+AG$6/12)-AG$7))</f>
        <v/>
      </c>
      <c r="X197" s="92">
        <f>IF(AH196&lt;0.005,0,MAX(0,AH196*(1+AH$6/12)-AH$7))</f>
        <v/>
      </c>
      <c r="Y197" s="92">
        <f>IF(AI196&lt;0.005,0,MAX(0,AI196*(1+AI$6/12)-AI$7))</f>
        <v/>
      </c>
      <c r="Z197" s="91">
        <f>MAX(0,P197-MAX(0,AK197-0))</f>
        <v/>
      </c>
      <c r="AA197" s="91">
        <f>MAX(0,Q197-MAX(0,AK197-SUM(P197:P197)))</f>
        <v/>
      </c>
      <c r="AB197" s="91">
        <f>MAX(0,R197-MAX(0,AK197-SUM(P197:Q197)))</f>
        <v/>
      </c>
      <c r="AC197" s="91">
        <f>MAX(0,S197-MAX(0,AK197-SUM(P197:R197)))</f>
        <v/>
      </c>
      <c r="AD197" s="91">
        <f>MAX(0,T197-MAX(0,AK197-SUM(P197:S197)))</f>
        <v/>
      </c>
      <c r="AE197" s="91">
        <f>MAX(0,U197-MAX(0,AK197-SUM(P197:T197)))</f>
        <v/>
      </c>
      <c r="AF197" s="91">
        <f>MAX(0,V197-MAX(0,AK197-SUM(P197:U197)))</f>
        <v/>
      </c>
      <c r="AG197" s="91">
        <f>MAX(0,W197-MAX(0,AK197-SUM(P197:V197)))</f>
        <v/>
      </c>
      <c r="AH197" s="91">
        <f>MAX(0,X197-MAX(0,AK197-SUM(P197:W197)))</f>
        <v/>
      </c>
      <c r="AI197" s="91">
        <f>MAX(0,Y197-MAX(0,AK197-SUM(P197:X197)))</f>
        <v/>
      </c>
      <c r="AJ197" s="92">
        <f>SUM(Z196:AI196)+AL197</f>
        <v/>
      </c>
      <c r="AK197" s="92">
        <f>$AK$7-(AJ197-SUM(P197:Y197))</f>
        <v/>
      </c>
      <c r="AL197" s="91">
        <f>SUMPRODUCT(Z196:AI196,$Z$6:$AI$6)/12</f>
        <v/>
      </c>
      <c r="AM197" s="88">
        <f>SUM(Z197:AI197)</f>
        <v/>
      </c>
      <c r="AO197" s="92">
        <f>IF(AY196&lt;0.005,0,MAX(0,AY196*(1+AY$6/12)-AY$7))</f>
        <v/>
      </c>
      <c r="AP197" s="92">
        <f>IF(AZ196&lt;0.005,0,MAX(0,AZ196*(1+AZ$6/12)-AZ$7))</f>
        <v/>
      </c>
      <c r="AQ197" s="92">
        <f>IF(BA196&lt;0.005,0,MAX(0,BA196*(1+BA$6/12)-BA$7))</f>
        <v/>
      </c>
      <c r="AR197" s="92">
        <f>IF(BB196&lt;0.005,0,MAX(0,BB196*(1+BB$6/12)-BB$7))</f>
        <v/>
      </c>
      <c r="AS197" s="92">
        <f>IF(BC196&lt;0.005,0,MAX(0,BC196*(1+BC$6/12)-BC$7))</f>
        <v/>
      </c>
      <c r="AT197" s="92">
        <f>IF(BD196&lt;0.005,0,MAX(0,BD196*(1+BD$6/12)-BD$7))</f>
        <v/>
      </c>
      <c r="AU197" s="92">
        <f>IF(BE196&lt;0.005,0,MAX(0,BE196*(1+BE$6/12)-BE$7))</f>
        <v/>
      </c>
      <c r="AV197" s="92">
        <f>IF(BF196&lt;0.005,0,MAX(0,BF196*(1+BF$6/12)-BF$7))</f>
        <v/>
      </c>
      <c r="AW197" s="92">
        <f>IF(BG196&lt;0.005,0,MAX(0,BG196*(1+BG$6/12)-BG$7))</f>
        <v/>
      </c>
      <c r="AX197" s="92">
        <f>IF(BH196&lt;0.005,0,MAX(0,BH196*(1+BH$6/12)-BH$7))</f>
        <v/>
      </c>
      <c r="AY197" s="91">
        <f>MAX(0,AO197-MAX(0,BJ197-0))</f>
        <v/>
      </c>
      <c r="AZ197" s="91">
        <f>MAX(0,AP197-MAX(0,BJ197-SUM(AO197:AO197)))</f>
        <v/>
      </c>
      <c r="BA197" s="91">
        <f>MAX(0,AQ197-MAX(0,BJ197-SUM(AO197:AP197)))</f>
        <v/>
      </c>
      <c r="BB197" s="91">
        <f>MAX(0,AR197-MAX(0,BJ197-SUM(AO197:AQ197)))</f>
        <v/>
      </c>
      <c r="BC197" s="91">
        <f>MAX(0,AS197-MAX(0,BJ197-SUM(AO197:AR197)))</f>
        <v/>
      </c>
      <c r="BD197" s="91">
        <f>MAX(0,AT197-MAX(0,BJ197-SUM(AO197:AS197)))</f>
        <v/>
      </c>
      <c r="BE197" s="91">
        <f>MAX(0,AU197-MAX(0,BJ197-SUM(AO197:AT197)))</f>
        <v/>
      </c>
      <c r="BF197" s="91">
        <f>MAX(0,AV197-MAX(0,BJ197-SUM(AO197:AU197)))</f>
        <v/>
      </c>
      <c r="BG197" s="91">
        <f>MAX(0,AW197-MAX(0,BJ197-SUM(AO197:AV197)))</f>
        <v/>
      </c>
      <c r="BH197" s="91">
        <f>MAX(0,AX197-MAX(0,BJ197-SUM(AO197:AW197)))</f>
        <v/>
      </c>
      <c r="BI197" s="92">
        <f>SUM(AY196:BH196)+BK197</f>
        <v/>
      </c>
      <c r="BJ197" s="92">
        <f>$BJ$7-(BI197-SUM(AO197:AX197))</f>
        <v/>
      </c>
      <c r="BK197" s="91">
        <f>SUMPRODUCT(AY196:BH196,$AY$6:$BH$6)/12</f>
        <v/>
      </c>
      <c r="BL197" s="88">
        <f>SUM(AY197:BH197)</f>
        <v/>
      </c>
    </row>
    <row r="198">
      <c r="A198" s="24" t="n">
        <v>188</v>
      </c>
      <c r="B198" s="90">
        <f>DATE(YEAR(Settings!$C$11),MONTH(Settings!$C$11)+A198,1)</f>
        <v/>
      </c>
      <c r="C198" s="91">
        <f>IF(C197&lt;0.005,0,MAX(0,C197*(1+C$6/12)-C$7))</f>
        <v/>
      </c>
      <c r="D198" s="91">
        <f>IF(D197&lt;0.005,0,MAX(0,D197*(1+D$6/12)-D$7))</f>
        <v/>
      </c>
      <c r="E198" s="91">
        <f>IF(E197&lt;0.005,0,MAX(0,E197*(1+E$6/12)-E$7))</f>
        <v/>
      </c>
      <c r="F198" s="91">
        <f>IF(F197&lt;0.005,0,MAX(0,F197*(1+F$6/12)-F$7))</f>
        <v/>
      </c>
      <c r="G198" s="91">
        <f>IF(G197&lt;0.005,0,MAX(0,G197*(1+G$6/12)-G$7))</f>
        <v/>
      </c>
      <c r="H198" s="91">
        <f>IF(H197&lt;0.005,0,MAX(0,H197*(1+H$6/12)-H$7))</f>
        <v/>
      </c>
      <c r="I198" s="91">
        <f>IF(I197&lt;0.005,0,MAX(0,I197*(1+I$6/12)-I$7))</f>
        <v/>
      </c>
      <c r="J198" s="91">
        <f>IF(J197&lt;0.005,0,MAX(0,J197*(1+J$6/12)-J$7))</f>
        <v/>
      </c>
      <c r="K198" s="91">
        <f>IF(K197&lt;0.005,0,MAX(0,K197*(1+K$6/12)-K$7))</f>
        <v/>
      </c>
      <c r="L198" s="91">
        <f>IF(L197&lt;0.005,0,MAX(0,L197*(1+L$6/12)-L$7))</f>
        <v/>
      </c>
      <c r="M198" s="91">
        <f>SUMPRODUCT(C197:L197,$C$6:$L$6)/12</f>
        <v/>
      </c>
      <c r="N198" s="88">
        <f>SUM(C198:L198)</f>
        <v/>
      </c>
      <c r="P198" s="92">
        <f>IF(Z197&lt;0.005,0,MAX(0,Z197*(1+Z$6/12)-Z$7))</f>
        <v/>
      </c>
      <c r="Q198" s="92">
        <f>IF(AA197&lt;0.005,0,MAX(0,AA197*(1+AA$6/12)-AA$7))</f>
        <v/>
      </c>
      <c r="R198" s="92">
        <f>IF(AB197&lt;0.005,0,MAX(0,AB197*(1+AB$6/12)-AB$7))</f>
        <v/>
      </c>
      <c r="S198" s="92">
        <f>IF(AC197&lt;0.005,0,MAX(0,AC197*(1+AC$6/12)-AC$7))</f>
        <v/>
      </c>
      <c r="T198" s="92">
        <f>IF(AD197&lt;0.005,0,MAX(0,AD197*(1+AD$6/12)-AD$7))</f>
        <v/>
      </c>
      <c r="U198" s="92">
        <f>IF(AE197&lt;0.005,0,MAX(0,AE197*(1+AE$6/12)-AE$7))</f>
        <v/>
      </c>
      <c r="V198" s="92">
        <f>IF(AF197&lt;0.005,0,MAX(0,AF197*(1+AF$6/12)-AF$7))</f>
        <v/>
      </c>
      <c r="W198" s="92">
        <f>IF(AG197&lt;0.005,0,MAX(0,AG197*(1+AG$6/12)-AG$7))</f>
        <v/>
      </c>
      <c r="X198" s="92">
        <f>IF(AH197&lt;0.005,0,MAX(0,AH197*(1+AH$6/12)-AH$7))</f>
        <v/>
      </c>
      <c r="Y198" s="92">
        <f>IF(AI197&lt;0.005,0,MAX(0,AI197*(1+AI$6/12)-AI$7))</f>
        <v/>
      </c>
      <c r="Z198" s="91">
        <f>MAX(0,P198-MAX(0,AK198-0))</f>
        <v/>
      </c>
      <c r="AA198" s="91">
        <f>MAX(0,Q198-MAX(0,AK198-SUM(P198:P198)))</f>
        <v/>
      </c>
      <c r="AB198" s="91">
        <f>MAX(0,R198-MAX(0,AK198-SUM(P198:Q198)))</f>
        <v/>
      </c>
      <c r="AC198" s="91">
        <f>MAX(0,S198-MAX(0,AK198-SUM(P198:R198)))</f>
        <v/>
      </c>
      <c r="AD198" s="91">
        <f>MAX(0,T198-MAX(0,AK198-SUM(P198:S198)))</f>
        <v/>
      </c>
      <c r="AE198" s="91">
        <f>MAX(0,U198-MAX(0,AK198-SUM(P198:T198)))</f>
        <v/>
      </c>
      <c r="AF198" s="91">
        <f>MAX(0,V198-MAX(0,AK198-SUM(P198:U198)))</f>
        <v/>
      </c>
      <c r="AG198" s="91">
        <f>MAX(0,W198-MAX(0,AK198-SUM(P198:V198)))</f>
        <v/>
      </c>
      <c r="AH198" s="91">
        <f>MAX(0,X198-MAX(0,AK198-SUM(P198:W198)))</f>
        <v/>
      </c>
      <c r="AI198" s="91">
        <f>MAX(0,Y198-MAX(0,AK198-SUM(P198:X198)))</f>
        <v/>
      </c>
      <c r="AJ198" s="92">
        <f>SUM(Z197:AI197)+AL198</f>
        <v/>
      </c>
      <c r="AK198" s="92">
        <f>$AK$7-(AJ198-SUM(P198:Y198))</f>
        <v/>
      </c>
      <c r="AL198" s="91">
        <f>SUMPRODUCT(Z197:AI197,$Z$6:$AI$6)/12</f>
        <v/>
      </c>
      <c r="AM198" s="88">
        <f>SUM(Z198:AI198)</f>
        <v/>
      </c>
      <c r="AO198" s="92">
        <f>IF(AY197&lt;0.005,0,MAX(0,AY197*(1+AY$6/12)-AY$7))</f>
        <v/>
      </c>
      <c r="AP198" s="92">
        <f>IF(AZ197&lt;0.005,0,MAX(0,AZ197*(1+AZ$6/12)-AZ$7))</f>
        <v/>
      </c>
      <c r="AQ198" s="92">
        <f>IF(BA197&lt;0.005,0,MAX(0,BA197*(1+BA$6/12)-BA$7))</f>
        <v/>
      </c>
      <c r="AR198" s="92">
        <f>IF(BB197&lt;0.005,0,MAX(0,BB197*(1+BB$6/12)-BB$7))</f>
        <v/>
      </c>
      <c r="AS198" s="92">
        <f>IF(BC197&lt;0.005,0,MAX(0,BC197*(1+BC$6/12)-BC$7))</f>
        <v/>
      </c>
      <c r="AT198" s="92">
        <f>IF(BD197&lt;0.005,0,MAX(0,BD197*(1+BD$6/12)-BD$7))</f>
        <v/>
      </c>
      <c r="AU198" s="92">
        <f>IF(BE197&lt;0.005,0,MAX(0,BE197*(1+BE$6/12)-BE$7))</f>
        <v/>
      </c>
      <c r="AV198" s="92">
        <f>IF(BF197&lt;0.005,0,MAX(0,BF197*(1+BF$6/12)-BF$7))</f>
        <v/>
      </c>
      <c r="AW198" s="92">
        <f>IF(BG197&lt;0.005,0,MAX(0,BG197*(1+BG$6/12)-BG$7))</f>
        <v/>
      </c>
      <c r="AX198" s="92">
        <f>IF(BH197&lt;0.005,0,MAX(0,BH197*(1+BH$6/12)-BH$7))</f>
        <v/>
      </c>
      <c r="AY198" s="91">
        <f>MAX(0,AO198-MAX(0,BJ198-0))</f>
        <v/>
      </c>
      <c r="AZ198" s="91">
        <f>MAX(0,AP198-MAX(0,BJ198-SUM(AO198:AO198)))</f>
        <v/>
      </c>
      <c r="BA198" s="91">
        <f>MAX(0,AQ198-MAX(0,BJ198-SUM(AO198:AP198)))</f>
        <v/>
      </c>
      <c r="BB198" s="91">
        <f>MAX(0,AR198-MAX(0,BJ198-SUM(AO198:AQ198)))</f>
        <v/>
      </c>
      <c r="BC198" s="91">
        <f>MAX(0,AS198-MAX(0,BJ198-SUM(AO198:AR198)))</f>
        <v/>
      </c>
      <c r="BD198" s="91">
        <f>MAX(0,AT198-MAX(0,BJ198-SUM(AO198:AS198)))</f>
        <v/>
      </c>
      <c r="BE198" s="91">
        <f>MAX(0,AU198-MAX(0,BJ198-SUM(AO198:AT198)))</f>
        <v/>
      </c>
      <c r="BF198" s="91">
        <f>MAX(0,AV198-MAX(0,BJ198-SUM(AO198:AU198)))</f>
        <v/>
      </c>
      <c r="BG198" s="91">
        <f>MAX(0,AW198-MAX(0,BJ198-SUM(AO198:AV198)))</f>
        <v/>
      </c>
      <c r="BH198" s="91">
        <f>MAX(0,AX198-MAX(0,BJ198-SUM(AO198:AW198)))</f>
        <v/>
      </c>
      <c r="BI198" s="92">
        <f>SUM(AY197:BH197)+BK198</f>
        <v/>
      </c>
      <c r="BJ198" s="92">
        <f>$BJ$7-(BI198-SUM(AO198:AX198))</f>
        <v/>
      </c>
      <c r="BK198" s="91">
        <f>SUMPRODUCT(AY197:BH197,$AY$6:$BH$6)/12</f>
        <v/>
      </c>
      <c r="BL198" s="88">
        <f>SUM(AY198:BH198)</f>
        <v/>
      </c>
    </row>
    <row r="199">
      <c r="A199" s="24" t="n">
        <v>189</v>
      </c>
      <c r="B199" s="90">
        <f>DATE(YEAR(Settings!$C$11),MONTH(Settings!$C$11)+A199,1)</f>
        <v/>
      </c>
      <c r="C199" s="91">
        <f>IF(C198&lt;0.005,0,MAX(0,C198*(1+C$6/12)-C$7))</f>
        <v/>
      </c>
      <c r="D199" s="91">
        <f>IF(D198&lt;0.005,0,MAX(0,D198*(1+D$6/12)-D$7))</f>
        <v/>
      </c>
      <c r="E199" s="91">
        <f>IF(E198&lt;0.005,0,MAX(0,E198*(1+E$6/12)-E$7))</f>
        <v/>
      </c>
      <c r="F199" s="91">
        <f>IF(F198&lt;0.005,0,MAX(0,F198*(1+F$6/12)-F$7))</f>
        <v/>
      </c>
      <c r="G199" s="91">
        <f>IF(G198&lt;0.005,0,MAX(0,G198*(1+G$6/12)-G$7))</f>
        <v/>
      </c>
      <c r="H199" s="91">
        <f>IF(H198&lt;0.005,0,MAX(0,H198*(1+H$6/12)-H$7))</f>
        <v/>
      </c>
      <c r="I199" s="91">
        <f>IF(I198&lt;0.005,0,MAX(0,I198*(1+I$6/12)-I$7))</f>
        <v/>
      </c>
      <c r="J199" s="91">
        <f>IF(J198&lt;0.005,0,MAX(0,J198*(1+J$6/12)-J$7))</f>
        <v/>
      </c>
      <c r="K199" s="91">
        <f>IF(K198&lt;0.005,0,MAX(0,K198*(1+K$6/12)-K$7))</f>
        <v/>
      </c>
      <c r="L199" s="91">
        <f>IF(L198&lt;0.005,0,MAX(0,L198*(1+L$6/12)-L$7))</f>
        <v/>
      </c>
      <c r="M199" s="91">
        <f>SUMPRODUCT(C198:L198,$C$6:$L$6)/12</f>
        <v/>
      </c>
      <c r="N199" s="88">
        <f>SUM(C199:L199)</f>
        <v/>
      </c>
      <c r="P199" s="92">
        <f>IF(Z198&lt;0.005,0,MAX(0,Z198*(1+Z$6/12)-Z$7))</f>
        <v/>
      </c>
      <c r="Q199" s="92">
        <f>IF(AA198&lt;0.005,0,MAX(0,AA198*(1+AA$6/12)-AA$7))</f>
        <v/>
      </c>
      <c r="R199" s="92">
        <f>IF(AB198&lt;0.005,0,MAX(0,AB198*(1+AB$6/12)-AB$7))</f>
        <v/>
      </c>
      <c r="S199" s="92">
        <f>IF(AC198&lt;0.005,0,MAX(0,AC198*(1+AC$6/12)-AC$7))</f>
        <v/>
      </c>
      <c r="T199" s="92">
        <f>IF(AD198&lt;0.005,0,MAX(0,AD198*(1+AD$6/12)-AD$7))</f>
        <v/>
      </c>
      <c r="U199" s="92">
        <f>IF(AE198&lt;0.005,0,MAX(0,AE198*(1+AE$6/12)-AE$7))</f>
        <v/>
      </c>
      <c r="V199" s="92">
        <f>IF(AF198&lt;0.005,0,MAX(0,AF198*(1+AF$6/12)-AF$7))</f>
        <v/>
      </c>
      <c r="W199" s="92">
        <f>IF(AG198&lt;0.005,0,MAX(0,AG198*(1+AG$6/12)-AG$7))</f>
        <v/>
      </c>
      <c r="X199" s="92">
        <f>IF(AH198&lt;0.005,0,MAX(0,AH198*(1+AH$6/12)-AH$7))</f>
        <v/>
      </c>
      <c r="Y199" s="92">
        <f>IF(AI198&lt;0.005,0,MAX(0,AI198*(1+AI$6/12)-AI$7))</f>
        <v/>
      </c>
      <c r="Z199" s="91">
        <f>MAX(0,P199-MAX(0,AK199-0))</f>
        <v/>
      </c>
      <c r="AA199" s="91">
        <f>MAX(0,Q199-MAX(0,AK199-SUM(P199:P199)))</f>
        <v/>
      </c>
      <c r="AB199" s="91">
        <f>MAX(0,R199-MAX(0,AK199-SUM(P199:Q199)))</f>
        <v/>
      </c>
      <c r="AC199" s="91">
        <f>MAX(0,S199-MAX(0,AK199-SUM(P199:R199)))</f>
        <v/>
      </c>
      <c r="AD199" s="91">
        <f>MAX(0,T199-MAX(0,AK199-SUM(P199:S199)))</f>
        <v/>
      </c>
      <c r="AE199" s="91">
        <f>MAX(0,U199-MAX(0,AK199-SUM(P199:T199)))</f>
        <v/>
      </c>
      <c r="AF199" s="91">
        <f>MAX(0,V199-MAX(0,AK199-SUM(P199:U199)))</f>
        <v/>
      </c>
      <c r="AG199" s="91">
        <f>MAX(0,W199-MAX(0,AK199-SUM(P199:V199)))</f>
        <v/>
      </c>
      <c r="AH199" s="91">
        <f>MAX(0,X199-MAX(0,AK199-SUM(P199:W199)))</f>
        <v/>
      </c>
      <c r="AI199" s="91">
        <f>MAX(0,Y199-MAX(0,AK199-SUM(P199:X199)))</f>
        <v/>
      </c>
      <c r="AJ199" s="92">
        <f>SUM(Z198:AI198)+AL199</f>
        <v/>
      </c>
      <c r="AK199" s="92">
        <f>$AK$7-(AJ199-SUM(P199:Y199))</f>
        <v/>
      </c>
      <c r="AL199" s="91">
        <f>SUMPRODUCT(Z198:AI198,$Z$6:$AI$6)/12</f>
        <v/>
      </c>
      <c r="AM199" s="88">
        <f>SUM(Z199:AI199)</f>
        <v/>
      </c>
      <c r="AO199" s="92">
        <f>IF(AY198&lt;0.005,0,MAX(0,AY198*(1+AY$6/12)-AY$7))</f>
        <v/>
      </c>
      <c r="AP199" s="92">
        <f>IF(AZ198&lt;0.005,0,MAX(0,AZ198*(1+AZ$6/12)-AZ$7))</f>
        <v/>
      </c>
      <c r="AQ199" s="92">
        <f>IF(BA198&lt;0.005,0,MAX(0,BA198*(1+BA$6/12)-BA$7))</f>
        <v/>
      </c>
      <c r="AR199" s="92">
        <f>IF(BB198&lt;0.005,0,MAX(0,BB198*(1+BB$6/12)-BB$7))</f>
        <v/>
      </c>
      <c r="AS199" s="92">
        <f>IF(BC198&lt;0.005,0,MAX(0,BC198*(1+BC$6/12)-BC$7))</f>
        <v/>
      </c>
      <c r="AT199" s="92">
        <f>IF(BD198&lt;0.005,0,MAX(0,BD198*(1+BD$6/12)-BD$7))</f>
        <v/>
      </c>
      <c r="AU199" s="92">
        <f>IF(BE198&lt;0.005,0,MAX(0,BE198*(1+BE$6/12)-BE$7))</f>
        <v/>
      </c>
      <c r="AV199" s="92">
        <f>IF(BF198&lt;0.005,0,MAX(0,BF198*(1+BF$6/12)-BF$7))</f>
        <v/>
      </c>
      <c r="AW199" s="92">
        <f>IF(BG198&lt;0.005,0,MAX(0,BG198*(1+BG$6/12)-BG$7))</f>
        <v/>
      </c>
      <c r="AX199" s="92">
        <f>IF(BH198&lt;0.005,0,MAX(0,BH198*(1+BH$6/12)-BH$7))</f>
        <v/>
      </c>
      <c r="AY199" s="91">
        <f>MAX(0,AO199-MAX(0,BJ199-0))</f>
        <v/>
      </c>
      <c r="AZ199" s="91">
        <f>MAX(0,AP199-MAX(0,BJ199-SUM(AO199:AO199)))</f>
        <v/>
      </c>
      <c r="BA199" s="91">
        <f>MAX(0,AQ199-MAX(0,BJ199-SUM(AO199:AP199)))</f>
        <v/>
      </c>
      <c r="BB199" s="91">
        <f>MAX(0,AR199-MAX(0,BJ199-SUM(AO199:AQ199)))</f>
        <v/>
      </c>
      <c r="BC199" s="91">
        <f>MAX(0,AS199-MAX(0,BJ199-SUM(AO199:AR199)))</f>
        <v/>
      </c>
      <c r="BD199" s="91">
        <f>MAX(0,AT199-MAX(0,BJ199-SUM(AO199:AS199)))</f>
        <v/>
      </c>
      <c r="BE199" s="91">
        <f>MAX(0,AU199-MAX(0,BJ199-SUM(AO199:AT199)))</f>
        <v/>
      </c>
      <c r="BF199" s="91">
        <f>MAX(0,AV199-MAX(0,BJ199-SUM(AO199:AU199)))</f>
        <v/>
      </c>
      <c r="BG199" s="91">
        <f>MAX(0,AW199-MAX(0,BJ199-SUM(AO199:AV199)))</f>
        <v/>
      </c>
      <c r="BH199" s="91">
        <f>MAX(0,AX199-MAX(0,BJ199-SUM(AO199:AW199)))</f>
        <v/>
      </c>
      <c r="BI199" s="92">
        <f>SUM(AY198:BH198)+BK199</f>
        <v/>
      </c>
      <c r="BJ199" s="92">
        <f>$BJ$7-(BI199-SUM(AO199:AX199))</f>
        <v/>
      </c>
      <c r="BK199" s="91">
        <f>SUMPRODUCT(AY198:BH198,$AY$6:$BH$6)/12</f>
        <v/>
      </c>
      <c r="BL199" s="88">
        <f>SUM(AY199:BH199)</f>
        <v/>
      </c>
    </row>
    <row r="200">
      <c r="A200" s="24" t="n">
        <v>190</v>
      </c>
      <c r="B200" s="90">
        <f>DATE(YEAR(Settings!$C$11),MONTH(Settings!$C$11)+A200,1)</f>
        <v/>
      </c>
      <c r="C200" s="91">
        <f>IF(C199&lt;0.005,0,MAX(0,C199*(1+C$6/12)-C$7))</f>
        <v/>
      </c>
      <c r="D200" s="91">
        <f>IF(D199&lt;0.005,0,MAX(0,D199*(1+D$6/12)-D$7))</f>
        <v/>
      </c>
      <c r="E200" s="91">
        <f>IF(E199&lt;0.005,0,MAX(0,E199*(1+E$6/12)-E$7))</f>
        <v/>
      </c>
      <c r="F200" s="91">
        <f>IF(F199&lt;0.005,0,MAX(0,F199*(1+F$6/12)-F$7))</f>
        <v/>
      </c>
      <c r="G200" s="91">
        <f>IF(G199&lt;0.005,0,MAX(0,G199*(1+G$6/12)-G$7))</f>
        <v/>
      </c>
      <c r="H200" s="91">
        <f>IF(H199&lt;0.005,0,MAX(0,H199*(1+H$6/12)-H$7))</f>
        <v/>
      </c>
      <c r="I200" s="91">
        <f>IF(I199&lt;0.005,0,MAX(0,I199*(1+I$6/12)-I$7))</f>
        <v/>
      </c>
      <c r="J200" s="91">
        <f>IF(J199&lt;0.005,0,MAX(0,J199*(1+J$6/12)-J$7))</f>
        <v/>
      </c>
      <c r="K200" s="91">
        <f>IF(K199&lt;0.005,0,MAX(0,K199*(1+K$6/12)-K$7))</f>
        <v/>
      </c>
      <c r="L200" s="91">
        <f>IF(L199&lt;0.005,0,MAX(0,L199*(1+L$6/12)-L$7))</f>
        <v/>
      </c>
      <c r="M200" s="91">
        <f>SUMPRODUCT(C199:L199,$C$6:$L$6)/12</f>
        <v/>
      </c>
      <c r="N200" s="88">
        <f>SUM(C200:L200)</f>
        <v/>
      </c>
      <c r="P200" s="92">
        <f>IF(Z199&lt;0.005,0,MAX(0,Z199*(1+Z$6/12)-Z$7))</f>
        <v/>
      </c>
      <c r="Q200" s="92">
        <f>IF(AA199&lt;0.005,0,MAX(0,AA199*(1+AA$6/12)-AA$7))</f>
        <v/>
      </c>
      <c r="R200" s="92">
        <f>IF(AB199&lt;0.005,0,MAX(0,AB199*(1+AB$6/12)-AB$7))</f>
        <v/>
      </c>
      <c r="S200" s="92">
        <f>IF(AC199&lt;0.005,0,MAX(0,AC199*(1+AC$6/12)-AC$7))</f>
        <v/>
      </c>
      <c r="T200" s="92">
        <f>IF(AD199&lt;0.005,0,MAX(0,AD199*(1+AD$6/12)-AD$7))</f>
        <v/>
      </c>
      <c r="U200" s="92">
        <f>IF(AE199&lt;0.005,0,MAX(0,AE199*(1+AE$6/12)-AE$7))</f>
        <v/>
      </c>
      <c r="V200" s="92">
        <f>IF(AF199&lt;0.005,0,MAX(0,AF199*(1+AF$6/12)-AF$7))</f>
        <v/>
      </c>
      <c r="W200" s="92">
        <f>IF(AG199&lt;0.005,0,MAX(0,AG199*(1+AG$6/12)-AG$7))</f>
        <v/>
      </c>
      <c r="X200" s="92">
        <f>IF(AH199&lt;0.005,0,MAX(0,AH199*(1+AH$6/12)-AH$7))</f>
        <v/>
      </c>
      <c r="Y200" s="92">
        <f>IF(AI199&lt;0.005,0,MAX(0,AI199*(1+AI$6/12)-AI$7))</f>
        <v/>
      </c>
      <c r="Z200" s="91">
        <f>MAX(0,P200-MAX(0,AK200-0))</f>
        <v/>
      </c>
      <c r="AA200" s="91">
        <f>MAX(0,Q200-MAX(0,AK200-SUM(P200:P200)))</f>
        <v/>
      </c>
      <c r="AB200" s="91">
        <f>MAX(0,R200-MAX(0,AK200-SUM(P200:Q200)))</f>
        <v/>
      </c>
      <c r="AC200" s="91">
        <f>MAX(0,S200-MAX(0,AK200-SUM(P200:R200)))</f>
        <v/>
      </c>
      <c r="AD200" s="91">
        <f>MAX(0,T200-MAX(0,AK200-SUM(P200:S200)))</f>
        <v/>
      </c>
      <c r="AE200" s="91">
        <f>MAX(0,U200-MAX(0,AK200-SUM(P200:T200)))</f>
        <v/>
      </c>
      <c r="AF200" s="91">
        <f>MAX(0,V200-MAX(0,AK200-SUM(P200:U200)))</f>
        <v/>
      </c>
      <c r="AG200" s="91">
        <f>MAX(0,W200-MAX(0,AK200-SUM(P200:V200)))</f>
        <v/>
      </c>
      <c r="AH200" s="91">
        <f>MAX(0,X200-MAX(0,AK200-SUM(P200:W200)))</f>
        <v/>
      </c>
      <c r="AI200" s="91">
        <f>MAX(0,Y200-MAX(0,AK200-SUM(P200:X200)))</f>
        <v/>
      </c>
      <c r="AJ200" s="92">
        <f>SUM(Z199:AI199)+AL200</f>
        <v/>
      </c>
      <c r="AK200" s="92">
        <f>$AK$7-(AJ200-SUM(P200:Y200))</f>
        <v/>
      </c>
      <c r="AL200" s="91">
        <f>SUMPRODUCT(Z199:AI199,$Z$6:$AI$6)/12</f>
        <v/>
      </c>
      <c r="AM200" s="88">
        <f>SUM(Z200:AI200)</f>
        <v/>
      </c>
      <c r="AO200" s="92">
        <f>IF(AY199&lt;0.005,0,MAX(0,AY199*(1+AY$6/12)-AY$7))</f>
        <v/>
      </c>
      <c r="AP200" s="92">
        <f>IF(AZ199&lt;0.005,0,MAX(0,AZ199*(1+AZ$6/12)-AZ$7))</f>
        <v/>
      </c>
      <c r="AQ200" s="92">
        <f>IF(BA199&lt;0.005,0,MAX(0,BA199*(1+BA$6/12)-BA$7))</f>
        <v/>
      </c>
      <c r="AR200" s="92">
        <f>IF(BB199&lt;0.005,0,MAX(0,BB199*(1+BB$6/12)-BB$7))</f>
        <v/>
      </c>
      <c r="AS200" s="92">
        <f>IF(BC199&lt;0.005,0,MAX(0,BC199*(1+BC$6/12)-BC$7))</f>
        <v/>
      </c>
      <c r="AT200" s="92">
        <f>IF(BD199&lt;0.005,0,MAX(0,BD199*(1+BD$6/12)-BD$7))</f>
        <v/>
      </c>
      <c r="AU200" s="92">
        <f>IF(BE199&lt;0.005,0,MAX(0,BE199*(1+BE$6/12)-BE$7))</f>
        <v/>
      </c>
      <c r="AV200" s="92">
        <f>IF(BF199&lt;0.005,0,MAX(0,BF199*(1+BF$6/12)-BF$7))</f>
        <v/>
      </c>
      <c r="AW200" s="92">
        <f>IF(BG199&lt;0.005,0,MAX(0,BG199*(1+BG$6/12)-BG$7))</f>
        <v/>
      </c>
      <c r="AX200" s="92">
        <f>IF(BH199&lt;0.005,0,MAX(0,BH199*(1+BH$6/12)-BH$7))</f>
        <v/>
      </c>
      <c r="AY200" s="91">
        <f>MAX(0,AO200-MAX(0,BJ200-0))</f>
        <v/>
      </c>
      <c r="AZ200" s="91">
        <f>MAX(0,AP200-MAX(0,BJ200-SUM(AO200:AO200)))</f>
        <v/>
      </c>
      <c r="BA200" s="91">
        <f>MAX(0,AQ200-MAX(0,BJ200-SUM(AO200:AP200)))</f>
        <v/>
      </c>
      <c r="BB200" s="91">
        <f>MAX(0,AR200-MAX(0,BJ200-SUM(AO200:AQ200)))</f>
        <v/>
      </c>
      <c r="BC200" s="91">
        <f>MAX(0,AS200-MAX(0,BJ200-SUM(AO200:AR200)))</f>
        <v/>
      </c>
      <c r="BD200" s="91">
        <f>MAX(0,AT200-MAX(0,BJ200-SUM(AO200:AS200)))</f>
        <v/>
      </c>
      <c r="BE200" s="91">
        <f>MAX(0,AU200-MAX(0,BJ200-SUM(AO200:AT200)))</f>
        <v/>
      </c>
      <c r="BF200" s="91">
        <f>MAX(0,AV200-MAX(0,BJ200-SUM(AO200:AU200)))</f>
        <v/>
      </c>
      <c r="BG200" s="91">
        <f>MAX(0,AW200-MAX(0,BJ200-SUM(AO200:AV200)))</f>
        <v/>
      </c>
      <c r="BH200" s="91">
        <f>MAX(0,AX200-MAX(0,BJ200-SUM(AO200:AW200)))</f>
        <v/>
      </c>
      <c r="BI200" s="92">
        <f>SUM(AY199:BH199)+BK200</f>
        <v/>
      </c>
      <c r="BJ200" s="92">
        <f>$BJ$7-(BI200-SUM(AO200:AX200))</f>
        <v/>
      </c>
      <c r="BK200" s="91">
        <f>SUMPRODUCT(AY199:BH199,$AY$6:$BH$6)/12</f>
        <v/>
      </c>
      <c r="BL200" s="88">
        <f>SUM(AY200:BH200)</f>
        <v/>
      </c>
    </row>
    <row r="201">
      <c r="A201" s="24" t="n">
        <v>191</v>
      </c>
      <c r="B201" s="90">
        <f>DATE(YEAR(Settings!$C$11),MONTH(Settings!$C$11)+A201,1)</f>
        <v/>
      </c>
      <c r="C201" s="91">
        <f>IF(C200&lt;0.005,0,MAX(0,C200*(1+C$6/12)-C$7))</f>
        <v/>
      </c>
      <c r="D201" s="91">
        <f>IF(D200&lt;0.005,0,MAX(0,D200*(1+D$6/12)-D$7))</f>
        <v/>
      </c>
      <c r="E201" s="91">
        <f>IF(E200&lt;0.005,0,MAX(0,E200*(1+E$6/12)-E$7))</f>
        <v/>
      </c>
      <c r="F201" s="91">
        <f>IF(F200&lt;0.005,0,MAX(0,F200*(1+F$6/12)-F$7))</f>
        <v/>
      </c>
      <c r="G201" s="91">
        <f>IF(G200&lt;0.005,0,MAX(0,G200*(1+G$6/12)-G$7))</f>
        <v/>
      </c>
      <c r="H201" s="91">
        <f>IF(H200&lt;0.005,0,MAX(0,H200*(1+H$6/12)-H$7))</f>
        <v/>
      </c>
      <c r="I201" s="91">
        <f>IF(I200&lt;0.005,0,MAX(0,I200*(1+I$6/12)-I$7))</f>
        <v/>
      </c>
      <c r="J201" s="91">
        <f>IF(J200&lt;0.005,0,MAX(0,J200*(1+J$6/12)-J$7))</f>
        <v/>
      </c>
      <c r="K201" s="91">
        <f>IF(K200&lt;0.005,0,MAX(0,K200*(1+K$6/12)-K$7))</f>
        <v/>
      </c>
      <c r="L201" s="91">
        <f>IF(L200&lt;0.005,0,MAX(0,L200*(1+L$6/12)-L$7))</f>
        <v/>
      </c>
      <c r="M201" s="91">
        <f>SUMPRODUCT(C200:L200,$C$6:$L$6)/12</f>
        <v/>
      </c>
      <c r="N201" s="88">
        <f>SUM(C201:L201)</f>
        <v/>
      </c>
      <c r="P201" s="92">
        <f>IF(Z200&lt;0.005,0,MAX(0,Z200*(1+Z$6/12)-Z$7))</f>
        <v/>
      </c>
      <c r="Q201" s="92">
        <f>IF(AA200&lt;0.005,0,MAX(0,AA200*(1+AA$6/12)-AA$7))</f>
        <v/>
      </c>
      <c r="R201" s="92">
        <f>IF(AB200&lt;0.005,0,MAX(0,AB200*(1+AB$6/12)-AB$7))</f>
        <v/>
      </c>
      <c r="S201" s="92">
        <f>IF(AC200&lt;0.005,0,MAX(0,AC200*(1+AC$6/12)-AC$7))</f>
        <v/>
      </c>
      <c r="T201" s="92">
        <f>IF(AD200&lt;0.005,0,MAX(0,AD200*(1+AD$6/12)-AD$7))</f>
        <v/>
      </c>
      <c r="U201" s="92">
        <f>IF(AE200&lt;0.005,0,MAX(0,AE200*(1+AE$6/12)-AE$7))</f>
        <v/>
      </c>
      <c r="V201" s="92">
        <f>IF(AF200&lt;0.005,0,MAX(0,AF200*(1+AF$6/12)-AF$7))</f>
        <v/>
      </c>
      <c r="W201" s="92">
        <f>IF(AG200&lt;0.005,0,MAX(0,AG200*(1+AG$6/12)-AG$7))</f>
        <v/>
      </c>
      <c r="X201" s="92">
        <f>IF(AH200&lt;0.005,0,MAX(0,AH200*(1+AH$6/12)-AH$7))</f>
        <v/>
      </c>
      <c r="Y201" s="92">
        <f>IF(AI200&lt;0.005,0,MAX(0,AI200*(1+AI$6/12)-AI$7))</f>
        <v/>
      </c>
      <c r="Z201" s="91">
        <f>MAX(0,P201-MAX(0,AK201-0))</f>
        <v/>
      </c>
      <c r="AA201" s="91">
        <f>MAX(0,Q201-MAX(0,AK201-SUM(P201:P201)))</f>
        <v/>
      </c>
      <c r="AB201" s="91">
        <f>MAX(0,R201-MAX(0,AK201-SUM(P201:Q201)))</f>
        <v/>
      </c>
      <c r="AC201" s="91">
        <f>MAX(0,S201-MAX(0,AK201-SUM(P201:R201)))</f>
        <v/>
      </c>
      <c r="AD201" s="91">
        <f>MAX(0,T201-MAX(0,AK201-SUM(P201:S201)))</f>
        <v/>
      </c>
      <c r="AE201" s="91">
        <f>MAX(0,U201-MAX(0,AK201-SUM(P201:T201)))</f>
        <v/>
      </c>
      <c r="AF201" s="91">
        <f>MAX(0,V201-MAX(0,AK201-SUM(P201:U201)))</f>
        <v/>
      </c>
      <c r="AG201" s="91">
        <f>MAX(0,W201-MAX(0,AK201-SUM(P201:V201)))</f>
        <v/>
      </c>
      <c r="AH201" s="91">
        <f>MAX(0,X201-MAX(0,AK201-SUM(P201:W201)))</f>
        <v/>
      </c>
      <c r="AI201" s="91">
        <f>MAX(0,Y201-MAX(0,AK201-SUM(P201:X201)))</f>
        <v/>
      </c>
      <c r="AJ201" s="92">
        <f>SUM(Z200:AI200)+AL201</f>
        <v/>
      </c>
      <c r="AK201" s="92">
        <f>$AK$7-(AJ201-SUM(P201:Y201))</f>
        <v/>
      </c>
      <c r="AL201" s="91">
        <f>SUMPRODUCT(Z200:AI200,$Z$6:$AI$6)/12</f>
        <v/>
      </c>
      <c r="AM201" s="88">
        <f>SUM(Z201:AI201)</f>
        <v/>
      </c>
      <c r="AO201" s="92">
        <f>IF(AY200&lt;0.005,0,MAX(0,AY200*(1+AY$6/12)-AY$7))</f>
        <v/>
      </c>
      <c r="AP201" s="92">
        <f>IF(AZ200&lt;0.005,0,MAX(0,AZ200*(1+AZ$6/12)-AZ$7))</f>
        <v/>
      </c>
      <c r="AQ201" s="92">
        <f>IF(BA200&lt;0.005,0,MAX(0,BA200*(1+BA$6/12)-BA$7))</f>
        <v/>
      </c>
      <c r="AR201" s="92">
        <f>IF(BB200&lt;0.005,0,MAX(0,BB200*(1+BB$6/12)-BB$7))</f>
        <v/>
      </c>
      <c r="AS201" s="92">
        <f>IF(BC200&lt;0.005,0,MAX(0,BC200*(1+BC$6/12)-BC$7))</f>
        <v/>
      </c>
      <c r="AT201" s="92">
        <f>IF(BD200&lt;0.005,0,MAX(0,BD200*(1+BD$6/12)-BD$7))</f>
        <v/>
      </c>
      <c r="AU201" s="92">
        <f>IF(BE200&lt;0.005,0,MAX(0,BE200*(1+BE$6/12)-BE$7))</f>
        <v/>
      </c>
      <c r="AV201" s="92">
        <f>IF(BF200&lt;0.005,0,MAX(0,BF200*(1+BF$6/12)-BF$7))</f>
        <v/>
      </c>
      <c r="AW201" s="92">
        <f>IF(BG200&lt;0.005,0,MAX(0,BG200*(1+BG$6/12)-BG$7))</f>
        <v/>
      </c>
      <c r="AX201" s="92">
        <f>IF(BH200&lt;0.005,0,MAX(0,BH200*(1+BH$6/12)-BH$7))</f>
        <v/>
      </c>
      <c r="AY201" s="91">
        <f>MAX(0,AO201-MAX(0,BJ201-0))</f>
        <v/>
      </c>
      <c r="AZ201" s="91">
        <f>MAX(0,AP201-MAX(0,BJ201-SUM(AO201:AO201)))</f>
        <v/>
      </c>
      <c r="BA201" s="91">
        <f>MAX(0,AQ201-MAX(0,BJ201-SUM(AO201:AP201)))</f>
        <v/>
      </c>
      <c r="BB201" s="91">
        <f>MAX(0,AR201-MAX(0,BJ201-SUM(AO201:AQ201)))</f>
        <v/>
      </c>
      <c r="BC201" s="91">
        <f>MAX(0,AS201-MAX(0,BJ201-SUM(AO201:AR201)))</f>
        <v/>
      </c>
      <c r="BD201" s="91">
        <f>MAX(0,AT201-MAX(0,BJ201-SUM(AO201:AS201)))</f>
        <v/>
      </c>
      <c r="BE201" s="91">
        <f>MAX(0,AU201-MAX(0,BJ201-SUM(AO201:AT201)))</f>
        <v/>
      </c>
      <c r="BF201" s="91">
        <f>MAX(0,AV201-MAX(0,BJ201-SUM(AO201:AU201)))</f>
        <v/>
      </c>
      <c r="BG201" s="91">
        <f>MAX(0,AW201-MAX(0,BJ201-SUM(AO201:AV201)))</f>
        <v/>
      </c>
      <c r="BH201" s="91">
        <f>MAX(0,AX201-MAX(0,BJ201-SUM(AO201:AW201)))</f>
        <v/>
      </c>
      <c r="BI201" s="92">
        <f>SUM(AY200:BH200)+BK201</f>
        <v/>
      </c>
      <c r="BJ201" s="92">
        <f>$BJ$7-(BI201-SUM(AO201:AX201))</f>
        <v/>
      </c>
      <c r="BK201" s="91">
        <f>SUMPRODUCT(AY200:BH200,$AY$6:$BH$6)/12</f>
        <v/>
      </c>
      <c r="BL201" s="88">
        <f>SUM(AY201:BH201)</f>
        <v/>
      </c>
    </row>
    <row r="202">
      <c r="A202" s="24" t="n">
        <v>192</v>
      </c>
      <c r="B202" s="90">
        <f>DATE(YEAR(Settings!$C$11),MONTH(Settings!$C$11)+A202,1)</f>
        <v/>
      </c>
      <c r="C202" s="91">
        <f>IF(C201&lt;0.005,0,MAX(0,C201*(1+C$6/12)-C$7))</f>
        <v/>
      </c>
      <c r="D202" s="91">
        <f>IF(D201&lt;0.005,0,MAX(0,D201*(1+D$6/12)-D$7))</f>
        <v/>
      </c>
      <c r="E202" s="91">
        <f>IF(E201&lt;0.005,0,MAX(0,E201*(1+E$6/12)-E$7))</f>
        <v/>
      </c>
      <c r="F202" s="91">
        <f>IF(F201&lt;0.005,0,MAX(0,F201*(1+F$6/12)-F$7))</f>
        <v/>
      </c>
      <c r="G202" s="91">
        <f>IF(G201&lt;0.005,0,MAX(0,G201*(1+G$6/12)-G$7))</f>
        <v/>
      </c>
      <c r="H202" s="91">
        <f>IF(H201&lt;0.005,0,MAX(0,H201*(1+H$6/12)-H$7))</f>
        <v/>
      </c>
      <c r="I202" s="91">
        <f>IF(I201&lt;0.005,0,MAX(0,I201*(1+I$6/12)-I$7))</f>
        <v/>
      </c>
      <c r="J202" s="91">
        <f>IF(J201&lt;0.005,0,MAX(0,J201*(1+J$6/12)-J$7))</f>
        <v/>
      </c>
      <c r="K202" s="91">
        <f>IF(K201&lt;0.005,0,MAX(0,K201*(1+K$6/12)-K$7))</f>
        <v/>
      </c>
      <c r="L202" s="91">
        <f>IF(L201&lt;0.005,0,MAX(0,L201*(1+L$6/12)-L$7))</f>
        <v/>
      </c>
      <c r="M202" s="91">
        <f>SUMPRODUCT(C201:L201,$C$6:$L$6)/12</f>
        <v/>
      </c>
      <c r="N202" s="88">
        <f>SUM(C202:L202)</f>
        <v/>
      </c>
      <c r="P202" s="92">
        <f>IF(Z201&lt;0.005,0,MAX(0,Z201*(1+Z$6/12)-Z$7))</f>
        <v/>
      </c>
      <c r="Q202" s="92">
        <f>IF(AA201&lt;0.005,0,MAX(0,AA201*(1+AA$6/12)-AA$7))</f>
        <v/>
      </c>
      <c r="R202" s="92">
        <f>IF(AB201&lt;0.005,0,MAX(0,AB201*(1+AB$6/12)-AB$7))</f>
        <v/>
      </c>
      <c r="S202" s="92">
        <f>IF(AC201&lt;0.005,0,MAX(0,AC201*(1+AC$6/12)-AC$7))</f>
        <v/>
      </c>
      <c r="T202" s="92">
        <f>IF(AD201&lt;0.005,0,MAX(0,AD201*(1+AD$6/12)-AD$7))</f>
        <v/>
      </c>
      <c r="U202" s="92">
        <f>IF(AE201&lt;0.005,0,MAX(0,AE201*(1+AE$6/12)-AE$7))</f>
        <v/>
      </c>
      <c r="V202" s="92">
        <f>IF(AF201&lt;0.005,0,MAX(0,AF201*(1+AF$6/12)-AF$7))</f>
        <v/>
      </c>
      <c r="W202" s="92">
        <f>IF(AG201&lt;0.005,0,MAX(0,AG201*(1+AG$6/12)-AG$7))</f>
        <v/>
      </c>
      <c r="X202" s="92">
        <f>IF(AH201&lt;0.005,0,MAX(0,AH201*(1+AH$6/12)-AH$7))</f>
        <v/>
      </c>
      <c r="Y202" s="92">
        <f>IF(AI201&lt;0.005,0,MAX(0,AI201*(1+AI$6/12)-AI$7))</f>
        <v/>
      </c>
      <c r="Z202" s="91">
        <f>MAX(0,P202-MAX(0,AK202-0))</f>
        <v/>
      </c>
      <c r="AA202" s="91">
        <f>MAX(0,Q202-MAX(0,AK202-SUM(P202:P202)))</f>
        <v/>
      </c>
      <c r="AB202" s="91">
        <f>MAX(0,R202-MAX(0,AK202-SUM(P202:Q202)))</f>
        <v/>
      </c>
      <c r="AC202" s="91">
        <f>MAX(0,S202-MAX(0,AK202-SUM(P202:R202)))</f>
        <v/>
      </c>
      <c r="AD202" s="91">
        <f>MAX(0,T202-MAX(0,AK202-SUM(P202:S202)))</f>
        <v/>
      </c>
      <c r="AE202" s="91">
        <f>MAX(0,U202-MAX(0,AK202-SUM(P202:T202)))</f>
        <v/>
      </c>
      <c r="AF202" s="91">
        <f>MAX(0,V202-MAX(0,AK202-SUM(P202:U202)))</f>
        <v/>
      </c>
      <c r="AG202" s="91">
        <f>MAX(0,W202-MAX(0,AK202-SUM(P202:V202)))</f>
        <v/>
      </c>
      <c r="AH202" s="91">
        <f>MAX(0,X202-MAX(0,AK202-SUM(P202:W202)))</f>
        <v/>
      </c>
      <c r="AI202" s="91">
        <f>MAX(0,Y202-MAX(0,AK202-SUM(P202:X202)))</f>
        <v/>
      </c>
      <c r="AJ202" s="92">
        <f>SUM(Z201:AI201)+AL202</f>
        <v/>
      </c>
      <c r="AK202" s="92">
        <f>$AK$7-(AJ202-SUM(P202:Y202))</f>
        <v/>
      </c>
      <c r="AL202" s="91">
        <f>SUMPRODUCT(Z201:AI201,$Z$6:$AI$6)/12</f>
        <v/>
      </c>
      <c r="AM202" s="88">
        <f>SUM(Z202:AI202)</f>
        <v/>
      </c>
      <c r="AO202" s="92">
        <f>IF(AY201&lt;0.005,0,MAX(0,AY201*(1+AY$6/12)-AY$7))</f>
        <v/>
      </c>
      <c r="AP202" s="92">
        <f>IF(AZ201&lt;0.005,0,MAX(0,AZ201*(1+AZ$6/12)-AZ$7))</f>
        <v/>
      </c>
      <c r="AQ202" s="92">
        <f>IF(BA201&lt;0.005,0,MAX(0,BA201*(1+BA$6/12)-BA$7))</f>
        <v/>
      </c>
      <c r="AR202" s="92">
        <f>IF(BB201&lt;0.005,0,MAX(0,BB201*(1+BB$6/12)-BB$7))</f>
        <v/>
      </c>
      <c r="AS202" s="92">
        <f>IF(BC201&lt;0.005,0,MAX(0,BC201*(1+BC$6/12)-BC$7))</f>
        <v/>
      </c>
      <c r="AT202" s="92">
        <f>IF(BD201&lt;0.005,0,MAX(0,BD201*(1+BD$6/12)-BD$7))</f>
        <v/>
      </c>
      <c r="AU202" s="92">
        <f>IF(BE201&lt;0.005,0,MAX(0,BE201*(1+BE$6/12)-BE$7))</f>
        <v/>
      </c>
      <c r="AV202" s="92">
        <f>IF(BF201&lt;0.005,0,MAX(0,BF201*(1+BF$6/12)-BF$7))</f>
        <v/>
      </c>
      <c r="AW202" s="92">
        <f>IF(BG201&lt;0.005,0,MAX(0,BG201*(1+BG$6/12)-BG$7))</f>
        <v/>
      </c>
      <c r="AX202" s="92">
        <f>IF(BH201&lt;0.005,0,MAX(0,BH201*(1+BH$6/12)-BH$7))</f>
        <v/>
      </c>
      <c r="AY202" s="91">
        <f>MAX(0,AO202-MAX(0,BJ202-0))</f>
        <v/>
      </c>
      <c r="AZ202" s="91">
        <f>MAX(0,AP202-MAX(0,BJ202-SUM(AO202:AO202)))</f>
        <v/>
      </c>
      <c r="BA202" s="91">
        <f>MAX(0,AQ202-MAX(0,BJ202-SUM(AO202:AP202)))</f>
        <v/>
      </c>
      <c r="BB202" s="91">
        <f>MAX(0,AR202-MAX(0,BJ202-SUM(AO202:AQ202)))</f>
        <v/>
      </c>
      <c r="BC202" s="91">
        <f>MAX(0,AS202-MAX(0,BJ202-SUM(AO202:AR202)))</f>
        <v/>
      </c>
      <c r="BD202" s="91">
        <f>MAX(0,AT202-MAX(0,BJ202-SUM(AO202:AS202)))</f>
        <v/>
      </c>
      <c r="BE202" s="91">
        <f>MAX(0,AU202-MAX(0,BJ202-SUM(AO202:AT202)))</f>
        <v/>
      </c>
      <c r="BF202" s="91">
        <f>MAX(0,AV202-MAX(0,BJ202-SUM(AO202:AU202)))</f>
        <v/>
      </c>
      <c r="BG202" s="91">
        <f>MAX(0,AW202-MAX(0,BJ202-SUM(AO202:AV202)))</f>
        <v/>
      </c>
      <c r="BH202" s="91">
        <f>MAX(0,AX202-MAX(0,BJ202-SUM(AO202:AW202)))</f>
        <v/>
      </c>
      <c r="BI202" s="92">
        <f>SUM(AY201:BH201)+BK202</f>
        <v/>
      </c>
      <c r="BJ202" s="92">
        <f>$BJ$7-(BI202-SUM(AO202:AX202))</f>
        <v/>
      </c>
      <c r="BK202" s="91">
        <f>SUMPRODUCT(AY201:BH201,$AY$6:$BH$6)/12</f>
        <v/>
      </c>
      <c r="BL202" s="88">
        <f>SUM(AY202:BH202)</f>
        <v/>
      </c>
    </row>
    <row r="203">
      <c r="A203" s="24" t="n">
        <v>193</v>
      </c>
      <c r="B203" s="90">
        <f>DATE(YEAR(Settings!$C$11),MONTH(Settings!$C$11)+A203,1)</f>
        <v/>
      </c>
      <c r="C203" s="91">
        <f>IF(C202&lt;0.005,0,MAX(0,C202*(1+C$6/12)-C$7))</f>
        <v/>
      </c>
      <c r="D203" s="91">
        <f>IF(D202&lt;0.005,0,MAX(0,D202*(1+D$6/12)-D$7))</f>
        <v/>
      </c>
      <c r="E203" s="91">
        <f>IF(E202&lt;0.005,0,MAX(0,E202*(1+E$6/12)-E$7))</f>
        <v/>
      </c>
      <c r="F203" s="91">
        <f>IF(F202&lt;0.005,0,MAX(0,F202*(1+F$6/12)-F$7))</f>
        <v/>
      </c>
      <c r="G203" s="91">
        <f>IF(G202&lt;0.005,0,MAX(0,G202*(1+G$6/12)-G$7))</f>
        <v/>
      </c>
      <c r="H203" s="91">
        <f>IF(H202&lt;0.005,0,MAX(0,H202*(1+H$6/12)-H$7))</f>
        <v/>
      </c>
      <c r="I203" s="91">
        <f>IF(I202&lt;0.005,0,MAX(0,I202*(1+I$6/12)-I$7))</f>
        <v/>
      </c>
      <c r="J203" s="91">
        <f>IF(J202&lt;0.005,0,MAX(0,J202*(1+J$6/12)-J$7))</f>
        <v/>
      </c>
      <c r="K203" s="91">
        <f>IF(K202&lt;0.005,0,MAX(0,K202*(1+K$6/12)-K$7))</f>
        <v/>
      </c>
      <c r="L203" s="91">
        <f>IF(L202&lt;0.005,0,MAX(0,L202*(1+L$6/12)-L$7))</f>
        <v/>
      </c>
      <c r="M203" s="91">
        <f>SUMPRODUCT(C202:L202,$C$6:$L$6)/12</f>
        <v/>
      </c>
      <c r="N203" s="88">
        <f>SUM(C203:L203)</f>
        <v/>
      </c>
      <c r="P203" s="92">
        <f>IF(Z202&lt;0.005,0,MAX(0,Z202*(1+Z$6/12)-Z$7))</f>
        <v/>
      </c>
      <c r="Q203" s="92">
        <f>IF(AA202&lt;0.005,0,MAX(0,AA202*(1+AA$6/12)-AA$7))</f>
        <v/>
      </c>
      <c r="R203" s="92">
        <f>IF(AB202&lt;0.005,0,MAX(0,AB202*(1+AB$6/12)-AB$7))</f>
        <v/>
      </c>
      <c r="S203" s="92">
        <f>IF(AC202&lt;0.005,0,MAX(0,AC202*(1+AC$6/12)-AC$7))</f>
        <v/>
      </c>
      <c r="T203" s="92">
        <f>IF(AD202&lt;0.005,0,MAX(0,AD202*(1+AD$6/12)-AD$7))</f>
        <v/>
      </c>
      <c r="U203" s="92">
        <f>IF(AE202&lt;0.005,0,MAX(0,AE202*(1+AE$6/12)-AE$7))</f>
        <v/>
      </c>
      <c r="V203" s="92">
        <f>IF(AF202&lt;0.005,0,MAX(0,AF202*(1+AF$6/12)-AF$7))</f>
        <v/>
      </c>
      <c r="W203" s="92">
        <f>IF(AG202&lt;0.005,0,MAX(0,AG202*(1+AG$6/12)-AG$7))</f>
        <v/>
      </c>
      <c r="X203" s="92">
        <f>IF(AH202&lt;0.005,0,MAX(0,AH202*(1+AH$6/12)-AH$7))</f>
        <v/>
      </c>
      <c r="Y203" s="92">
        <f>IF(AI202&lt;0.005,0,MAX(0,AI202*(1+AI$6/12)-AI$7))</f>
        <v/>
      </c>
      <c r="Z203" s="91">
        <f>MAX(0,P203-MAX(0,AK203-0))</f>
        <v/>
      </c>
      <c r="AA203" s="91">
        <f>MAX(0,Q203-MAX(0,AK203-SUM(P203:P203)))</f>
        <v/>
      </c>
      <c r="AB203" s="91">
        <f>MAX(0,R203-MAX(0,AK203-SUM(P203:Q203)))</f>
        <v/>
      </c>
      <c r="AC203" s="91">
        <f>MAX(0,S203-MAX(0,AK203-SUM(P203:R203)))</f>
        <v/>
      </c>
      <c r="AD203" s="91">
        <f>MAX(0,T203-MAX(0,AK203-SUM(P203:S203)))</f>
        <v/>
      </c>
      <c r="AE203" s="91">
        <f>MAX(0,U203-MAX(0,AK203-SUM(P203:T203)))</f>
        <v/>
      </c>
      <c r="AF203" s="91">
        <f>MAX(0,V203-MAX(0,AK203-SUM(P203:U203)))</f>
        <v/>
      </c>
      <c r="AG203" s="91">
        <f>MAX(0,W203-MAX(0,AK203-SUM(P203:V203)))</f>
        <v/>
      </c>
      <c r="AH203" s="91">
        <f>MAX(0,X203-MAX(0,AK203-SUM(P203:W203)))</f>
        <v/>
      </c>
      <c r="AI203" s="91">
        <f>MAX(0,Y203-MAX(0,AK203-SUM(P203:X203)))</f>
        <v/>
      </c>
      <c r="AJ203" s="92">
        <f>SUM(Z202:AI202)+AL203</f>
        <v/>
      </c>
      <c r="AK203" s="92">
        <f>$AK$7-(AJ203-SUM(P203:Y203))</f>
        <v/>
      </c>
      <c r="AL203" s="91">
        <f>SUMPRODUCT(Z202:AI202,$Z$6:$AI$6)/12</f>
        <v/>
      </c>
      <c r="AM203" s="88">
        <f>SUM(Z203:AI203)</f>
        <v/>
      </c>
      <c r="AO203" s="92">
        <f>IF(AY202&lt;0.005,0,MAX(0,AY202*(1+AY$6/12)-AY$7))</f>
        <v/>
      </c>
      <c r="AP203" s="92">
        <f>IF(AZ202&lt;0.005,0,MAX(0,AZ202*(1+AZ$6/12)-AZ$7))</f>
        <v/>
      </c>
      <c r="AQ203" s="92">
        <f>IF(BA202&lt;0.005,0,MAX(0,BA202*(1+BA$6/12)-BA$7))</f>
        <v/>
      </c>
      <c r="AR203" s="92">
        <f>IF(BB202&lt;0.005,0,MAX(0,BB202*(1+BB$6/12)-BB$7))</f>
        <v/>
      </c>
      <c r="AS203" s="92">
        <f>IF(BC202&lt;0.005,0,MAX(0,BC202*(1+BC$6/12)-BC$7))</f>
        <v/>
      </c>
      <c r="AT203" s="92">
        <f>IF(BD202&lt;0.005,0,MAX(0,BD202*(1+BD$6/12)-BD$7))</f>
        <v/>
      </c>
      <c r="AU203" s="92">
        <f>IF(BE202&lt;0.005,0,MAX(0,BE202*(1+BE$6/12)-BE$7))</f>
        <v/>
      </c>
      <c r="AV203" s="92">
        <f>IF(BF202&lt;0.005,0,MAX(0,BF202*(1+BF$6/12)-BF$7))</f>
        <v/>
      </c>
      <c r="AW203" s="92">
        <f>IF(BG202&lt;0.005,0,MAX(0,BG202*(1+BG$6/12)-BG$7))</f>
        <v/>
      </c>
      <c r="AX203" s="92">
        <f>IF(BH202&lt;0.005,0,MAX(0,BH202*(1+BH$6/12)-BH$7))</f>
        <v/>
      </c>
      <c r="AY203" s="91">
        <f>MAX(0,AO203-MAX(0,BJ203-0))</f>
        <v/>
      </c>
      <c r="AZ203" s="91">
        <f>MAX(0,AP203-MAX(0,BJ203-SUM(AO203:AO203)))</f>
        <v/>
      </c>
      <c r="BA203" s="91">
        <f>MAX(0,AQ203-MAX(0,BJ203-SUM(AO203:AP203)))</f>
        <v/>
      </c>
      <c r="BB203" s="91">
        <f>MAX(0,AR203-MAX(0,BJ203-SUM(AO203:AQ203)))</f>
        <v/>
      </c>
      <c r="BC203" s="91">
        <f>MAX(0,AS203-MAX(0,BJ203-SUM(AO203:AR203)))</f>
        <v/>
      </c>
      <c r="BD203" s="91">
        <f>MAX(0,AT203-MAX(0,BJ203-SUM(AO203:AS203)))</f>
        <v/>
      </c>
      <c r="BE203" s="91">
        <f>MAX(0,AU203-MAX(0,BJ203-SUM(AO203:AT203)))</f>
        <v/>
      </c>
      <c r="BF203" s="91">
        <f>MAX(0,AV203-MAX(0,BJ203-SUM(AO203:AU203)))</f>
        <v/>
      </c>
      <c r="BG203" s="91">
        <f>MAX(0,AW203-MAX(0,BJ203-SUM(AO203:AV203)))</f>
        <v/>
      </c>
      <c r="BH203" s="91">
        <f>MAX(0,AX203-MAX(0,BJ203-SUM(AO203:AW203)))</f>
        <v/>
      </c>
      <c r="BI203" s="92">
        <f>SUM(AY202:BH202)+BK203</f>
        <v/>
      </c>
      <c r="BJ203" s="92">
        <f>$BJ$7-(BI203-SUM(AO203:AX203))</f>
        <v/>
      </c>
      <c r="BK203" s="91">
        <f>SUMPRODUCT(AY202:BH202,$AY$6:$BH$6)/12</f>
        <v/>
      </c>
      <c r="BL203" s="88">
        <f>SUM(AY203:BH203)</f>
        <v/>
      </c>
    </row>
    <row r="204">
      <c r="A204" s="24" t="n">
        <v>194</v>
      </c>
      <c r="B204" s="90">
        <f>DATE(YEAR(Settings!$C$11),MONTH(Settings!$C$11)+A204,1)</f>
        <v/>
      </c>
      <c r="C204" s="91">
        <f>IF(C203&lt;0.005,0,MAX(0,C203*(1+C$6/12)-C$7))</f>
        <v/>
      </c>
      <c r="D204" s="91">
        <f>IF(D203&lt;0.005,0,MAX(0,D203*(1+D$6/12)-D$7))</f>
        <v/>
      </c>
      <c r="E204" s="91">
        <f>IF(E203&lt;0.005,0,MAX(0,E203*(1+E$6/12)-E$7))</f>
        <v/>
      </c>
      <c r="F204" s="91">
        <f>IF(F203&lt;0.005,0,MAX(0,F203*(1+F$6/12)-F$7))</f>
        <v/>
      </c>
      <c r="G204" s="91">
        <f>IF(G203&lt;0.005,0,MAX(0,G203*(1+G$6/12)-G$7))</f>
        <v/>
      </c>
      <c r="H204" s="91">
        <f>IF(H203&lt;0.005,0,MAX(0,H203*(1+H$6/12)-H$7))</f>
        <v/>
      </c>
      <c r="I204" s="91">
        <f>IF(I203&lt;0.005,0,MAX(0,I203*(1+I$6/12)-I$7))</f>
        <v/>
      </c>
      <c r="J204" s="91">
        <f>IF(J203&lt;0.005,0,MAX(0,J203*(1+J$6/12)-J$7))</f>
        <v/>
      </c>
      <c r="K204" s="91">
        <f>IF(K203&lt;0.005,0,MAX(0,K203*(1+K$6/12)-K$7))</f>
        <v/>
      </c>
      <c r="L204" s="91">
        <f>IF(L203&lt;0.005,0,MAX(0,L203*(1+L$6/12)-L$7))</f>
        <v/>
      </c>
      <c r="M204" s="91">
        <f>SUMPRODUCT(C203:L203,$C$6:$L$6)/12</f>
        <v/>
      </c>
      <c r="N204" s="88">
        <f>SUM(C204:L204)</f>
        <v/>
      </c>
      <c r="P204" s="92">
        <f>IF(Z203&lt;0.005,0,MAX(0,Z203*(1+Z$6/12)-Z$7))</f>
        <v/>
      </c>
      <c r="Q204" s="92">
        <f>IF(AA203&lt;0.005,0,MAX(0,AA203*(1+AA$6/12)-AA$7))</f>
        <v/>
      </c>
      <c r="R204" s="92">
        <f>IF(AB203&lt;0.005,0,MAX(0,AB203*(1+AB$6/12)-AB$7))</f>
        <v/>
      </c>
      <c r="S204" s="92">
        <f>IF(AC203&lt;0.005,0,MAX(0,AC203*(1+AC$6/12)-AC$7))</f>
        <v/>
      </c>
      <c r="T204" s="92">
        <f>IF(AD203&lt;0.005,0,MAX(0,AD203*(1+AD$6/12)-AD$7))</f>
        <v/>
      </c>
      <c r="U204" s="92">
        <f>IF(AE203&lt;0.005,0,MAX(0,AE203*(1+AE$6/12)-AE$7))</f>
        <v/>
      </c>
      <c r="V204" s="92">
        <f>IF(AF203&lt;0.005,0,MAX(0,AF203*(1+AF$6/12)-AF$7))</f>
        <v/>
      </c>
      <c r="W204" s="92">
        <f>IF(AG203&lt;0.005,0,MAX(0,AG203*(1+AG$6/12)-AG$7))</f>
        <v/>
      </c>
      <c r="X204" s="92">
        <f>IF(AH203&lt;0.005,0,MAX(0,AH203*(1+AH$6/12)-AH$7))</f>
        <v/>
      </c>
      <c r="Y204" s="92">
        <f>IF(AI203&lt;0.005,0,MAX(0,AI203*(1+AI$6/12)-AI$7))</f>
        <v/>
      </c>
      <c r="Z204" s="91">
        <f>MAX(0,P204-MAX(0,AK204-0))</f>
        <v/>
      </c>
      <c r="AA204" s="91">
        <f>MAX(0,Q204-MAX(0,AK204-SUM(P204:P204)))</f>
        <v/>
      </c>
      <c r="AB204" s="91">
        <f>MAX(0,R204-MAX(0,AK204-SUM(P204:Q204)))</f>
        <v/>
      </c>
      <c r="AC204" s="91">
        <f>MAX(0,S204-MAX(0,AK204-SUM(P204:R204)))</f>
        <v/>
      </c>
      <c r="AD204" s="91">
        <f>MAX(0,T204-MAX(0,AK204-SUM(P204:S204)))</f>
        <v/>
      </c>
      <c r="AE204" s="91">
        <f>MAX(0,U204-MAX(0,AK204-SUM(P204:T204)))</f>
        <v/>
      </c>
      <c r="AF204" s="91">
        <f>MAX(0,V204-MAX(0,AK204-SUM(P204:U204)))</f>
        <v/>
      </c>
      <c r="AG204" s="91">
        <f>MAX(0,W204-MAX(0,AK204-SUM(P204:V204)))</f>
        <v/>
      </c>
      <c r="AH204" s="91">
        <f>MAX(0,X204-MAX(0,AK204-SUM(P204:W204)))</f>
        <v/>
      </c>
      <c r="AI204" s="91">
        <f>MAX(0,Y204-MAX(0,AK204-SUM(P204:X204)))</f>
        <v/>
      </c>
      <c r="AJ204" s="92">
        <f>SUM(Z203:AI203)+AL204</f>
        <v/>
      </c>
      <c r="AK204" s="92">
        <f>$AK$7-(AJ204-SUM(P204:Y204))</f>
        <v/>
      </c>
      <c r="AL204" s="91">
        <f>SUMPRODUCT(Z203:AI203,$Z$6:$AI$6)/12</f>
        <v/>
      </c>
      <c r="AM204" s="88">
        <f>SUM(Z204:AI204)</f>
        <v/>
      </c>
      <c r="AO204" s="92">
        <f>IF(AY203&lt;0.005,0,MAX(0,AY203*(1+AY$6/12)-AY$7))</f>
        <v/>
      </c>
      <c r="AP204" s="92">
        <f>IF(AZ203&lt;0.005,0,MAX(0,AZ203*(1+AZ$6/12)-AZ$7))</f>
        <v/>
      </c>
      <c r="AQ204" s="92">
        <f>IF(BA203&lt;0.005,0,MAX(0,BA203*(1+BA$6/12)-BA$7))</f>
        <v/>
      </c>
      <c r="AR204" s="92">
        <f>IF(BB203&lt;0.005,0,MAX(0,BB203*(1+BB$6/12)-BB$7))</f>
        <v/>
      </c>
      <c r="AS204" s="92">
        <f>IF(BC203&lt;0.005,0,MAX(0,BC203*(1+BC$6/12)-BC$7))</f>
        <v/>
      </c>
      <c r="AT204" s="92">
        <f>IF(BD203&lt;0.005,0,MAX(0,BD203*(1+BD$6/12)-BD$7))</f>
        <v/>
      </c>
      <c r="AU204" s="92">
        <f>IF(BE203&lt;0.005,0,MAX(0,BE203*(1+BE$6/12)-BE$7))</f>
        <v/>
      </c>
      <c r="AV204" s="92">
        <f>IF(BF203&lt;0.005,0,MAX(0,BF203*(1+BF$6/12)-BF$7))</f>
        <v/>
      </c>
      <c r="AW204" s="92">
        <f>IF(BG203&lt;0.005,0,MAX(0,BG203*(1+BG$6/12)-BG$7))</f>
        <v/>
      </c>
      <c r="AX204" s="92">
        <f>IF(BH203&lt;0.005,0,MAX(0,BH203*(1+BH$6/12)-BH$7))</f>
        <v/>
      </c>
      <c r="AY204" s="91">
        <f>MAX(0,AO204-MAX(0,BJ204-0))</f>
        <v/>
      </c>
      <c r="AZ204" s="91">
        <f>MAX(0,AP204-MAX(0,BJ204-SUM(AO204:AO204)))</f>
        <v/>
      </c>
      <c r="BA204" s="91">
        <f>MAX(0,AQ204-MAX(0,BJ204-SUM(AO204:AP204)))</f>
        <v/>
      </c>
      <c r="BB204" s="91">
        <f>MAX(0,AR204-MAX(0,BJ204-SUM(AO204:AQ204)))</f>
        <v/>
      </c>
      <c r="BC204" s="91">
        <f>MAX(0,AS204-MAX(0,BJ204-SUM(AO204:AR204)))</f>
        <v/>
      </c>
      <c r="BD204" s="91">
        <f>MAX(0,AT204-MAX(0,BJ204-SUM(AO204:AS204)))</f>
        <v/>
      </c>
      <c r="BE204" s="91">
        <f>MAX(0,AU204-MAX(0,BJ204-SUM(AO204:AT204)))</f>
        <v/>
      </c>
      <c r="BF204" s="91">
        <f>MAX(0,AV204-MAX(0,BJ204-SUM(AO204:AU204)))</f>
        <v/>
      </c>
      <c r="BG204" s="91">
        <f>MAX(0,AW204-MAX(0,BJ204-SUM(AO204:AV204)))</f>
        <v/>
      </c>
      <c r="BH204" s="91">
        <f>MAX(0,AX204-MAX(0,BJ204-SUM(AO204:AW204)))</f>
        <v/>
      </c>
      <c r="BI204" s="92">
        <f>SUM(AY203:BH203)+BK204</f>
        <v/>
      </c>
      <c r="BJ204" s="92">
        <f>$BJ$7-(BI204-SUM(AO204:AX204))</f>
        <v/>
      </c>
      <c r="BK204" s="91">
        <f>SUMPRODUCT(AY203:BH203,$AY$6:$BH$6)/12</f>
        <v/>
      </c>
      <c r="BL204" s="88">
        <f>SUM(AY204:BH204)</f>
        <v/>
      </c>
    </row>
    <row r="205">
      <c r="A205" s="24" t="n">
        <v>195</v>
      </c>
      <c r="B205" s="90">
        <f>DATE(YEAR(Settings!$C$11),MONTH(Settings!$C$11)+A205,1)</f>
        <v/>
      </c>
      <c r="C205" s="91">
        <f>IF(C204&lt;0.005,0,MAX(0,C204*(1+C$6/12)-C$7))</f>
        <v/>
      </c>
      <c r="D205" s="91">
        <f>IF(D204&lt;0.005,0,MAX(0,D204*(1+D$6/12)-D$7))</f>
        <v/>
      </c>
      <c r="E205" s="91">
        <f>IF(E204&lt;0.005,0,MAX(0,E204*(1+E$6/12)-E$7))</f>
        <v/>
      </c>
      <c r="F205" s="91">
        <f>IF(F204&lt;0.005,0,MAX(0,F204*(1+F$6/12)-F$7))</f>
        <v/>
      </c>
      <c r="G205" s="91">
        <f>IF(G204&lt;0.005,0,MAX(0,G204*(1+G$6/12)-G$7))</f>
        <v/>
      </c>
      <c r="H205" s="91">
        <f>IF(H204&lt;0.005,0,MAX(0,H204*(1+H$6/12)-H$7))</f>
        <v/>
      </c>
      <c r="I205" s="91">
        <f>IF(I204&lt;0.005,0,MAX(0,I204*(1+I$6/12)-I$7))</f>
        <v/>
      </c>
      <c r="J205" s="91">
        <f>IF(J204&lt;0.005,0,MAX(0,J204*(1+J$6/12)-J$7))</f>
        <v/>
      </c>
      <c r="K205" s="91">
        <f>IF(K204&lt;0.005,0,MAX(0,K204*(1+K$6/12)-K$7))</f>
        <v/>
      </c>
      <c r="L205" s="91">
        <f>IF(L204&lt;0.005,0,MAX(0,L204*(1+L$6/12)-L$7))</f>
        <v/>
      </c>
      <c r="M205" s="91">
        <f>SUMPRODUCT(C204:L204,$C$6:$L$6)/12</f>
        <v/>
      </c>
      <c r="N205" s="88">
        <f>SUM(C205:L205)</f>
        <v/>
      </c>
      <c r="P205" s="92">
        <f>IF(Z204&lt;0.005,0,MAX(0,Z204*(1+Z$6/12)-Z$7))</f>
        <v/>
      </c>
      <c r="Q205" s="92">
        <f>IF(AA204&lt;0.005,0,MAX(0,AA204*(1+AA$6/12)-AA$7))</f>
        <v/>
      </c>
      <c r="R205" s="92">
        <f>IF(AB204&lt;0.005,0,MAX(0,AB204*(1+AB$6/12)-AB$7))</f>
        <v/>
      </c>
      <c r="S205" s="92">
        <f>IF(AC204&lt;0.005,0,MAX(0,AC204*(1+AC$6/12)-AC$7))</f>
        <v/>
      </c>
      <c r="T205" s="92">
        <f>IF(AD204&lt;0.005,0,MAX(0,AD204*(1+AD$6/12)-AD$7))</f>
        <v/>
      </c>
      <c r="U205" s="92">
        <f>IF(AE204&lt;0.005,0,MAX(0,AE204*(1+AE$6/12)-AE$7))</f>
        <v/>
      </c>
      <c r="V205" s="92">
        <f>IF(AF204&lt;0.005,0,MAX(0,AF204*(1+AF$6/12)-AF$7))</f>
        <v/>
      </c>
      <c r="W205" s="92">
        <f>IF(AG204&lt;0.005,0,MAX(0,AG204*(1+AG$6/12)-AG$7))</f>
        <v/>
      </c>
      <c r="X205" s="92">
        <f>IF(AH204&lt;0.005,0,MAX(0,AH204*(1+AH$6/12)-AH$7))</f>
        <v/>
      </c>
      <c r="Y205" s="92">
        <f>IF(AI204&lt;0.005,0,MAX(0,AI204*(1+AI$6/12)-AI$7))</f>
        <v/>
      </c>
      <c r="Z205" s="91">
        <f>MAX(0,P205-MAX(0,AK205-0))</f>
        <v/>
      </c>
      <c r="AA205" s="91">
        <f>MAX(0,Q205-MAX(0,AK205-SUM(P205:P205)))</f>
        <v/>
      </c>
      <c r="AB205" s="91">
        <f>MAX(0,R205-MAX(0,AK205-SUM(P205:Q205)))</f>
        <v/>
      </c>
      <c r="AC205" s="91">
        <f>MAX(0,S205-MAX(0,AK205-SUM(P205:R205)))</f>
        <v/>
      </c>
      <c r="AD205" s="91">
        <f>MAX(0,T205-MAX(0,AK205-SUM(P205:S205)))</f>
        <v/>
      </c>
      <c r="AE205" s="91">
        <f>MAX(0,U205-MAX(0,AK205-SUM(P205:T205)))</f>
        <v/>
      </c>
      <c r="AF205" s="91">
        <f>MAX(0,V205-MAX(0,AK205-SUM(P205:U205)))</f>
        <v/>
      </c>
      <c r="AG205" s="91">
        <f>MAX(0,W205-MAX(0,AK205-SUM(P205:V205)))</f>
        <v/>
      </c>
      <c r="AH205" s="91">
        <f>MAX(0,X205-MAX(0,AK205-SUM(P205:W205)))</f>
        <v/>
      </c>
      <c r="AI205" s="91">
        <f>MAX(0,Y205-MAX(0,AK205-SUM(P205:X205)))</f>
        <v/>
      </c>
      <c r="AJ205" s="92">
        <f>SUM(Z204:AI204)+AL205</f>
        <v/>
      </c>
      <c r="AK205" s="92">
        <f>$AK$7-(AJ205-SUM(P205:Y205))</f>
        <v/>
      </c>
      <c r="AL205" s="91">
        <f>SUMPRODUCT(Z204:AI204,$Z$6:$AI$6)/12</f>
        <v/>
      </c>
      <c r="AM205" s="88">
        <f>SUM(Z205:AI205)</f>
        <v/>
      </c>
      <c r="AO205" s="92">
        <f>IF(AY204&lt;0.005,0,MAX(0,AY204*(1+AY$6/12)-AY$7))</f>
        <v/>
      </c>
      <c r="AP205" s="92">
        <f>IF(AZ204&lt;0.005,0,MAX(0,AZ204*(1+AZ$6/12)-AZ$7))</f>
        <v/>
      </c>
      <c r="AQ205" s="92">
        <f>IF(BA204&lt;0.005,0,MAX(0,BA204*(1+BA$6/12)-BA$7))</f>
        <v/>
      </c>
      <c r="AR205" s="92">
        <f>IF(BB204&lt;0.005,0,MAX(0,BB204*(1+BB$6/12)-BB$7))</f>
        <v/>
      </c>
      <c r="AS205" s="92">
        <f>IF(BC204&lt;0.005,0,MAX(0,BC204*(1+BC$6/12)-BC$7))</f>
        <v/>
      </c>
      <c r="AT205" s="92">
        <f>IF(BD204&lt;0.005,0,MAX(0,BD204*(1+BD$6/12)-BD$7))</f>
        <v/>
      </c>
      <c r="AU205" s="92">
        <f>IF(BE204&lt;0.005,0,MAX(0,BE204*(1+BE$6/12)-BE$7))</f>
        <v/>
      </c>
      <c r="AV205" s="92">
        <f>IF(BF204&lt;0.005,0,MAX(0,BF204*(1+BF$6/12)-BF$7))</f>
        <v/>
      </c>
      <c r="AW205" s="92">
        <f>IF(BG204&lt;0.005,0,MAX(0,BG204*(1+BG$6/12)-BG$7))</f>
        <v/>
      </c>
      <c r="AX205" s="92">
        <f>IF(BH204&lt;0.005,0,MAX(0,BH204*(1+BH$6/12)-BH$7))</f>
        <v/>
      </c>
      <c r="AY205" s="91">
        <f>MAX(0,AO205-MAX(0,BJ205-0))</f>
        <v/>
      </c>
      <c r="AZ205" s="91">
        <f>MAX(0,AP205-MAX(0,BJ205-SUM(AO205:AO205)))</f>
        <v/>
      </c>
      <c r="BA205" s="91">
        <f>MAX(0,AQ205-MAX(0,BJ205-SUM(AO205:AP205)))</f>
        <v/>
      </c>
      <c r="BB205" s="91">
        <f>MAX(0,AR205-MAX(0,BJ205-SUM(AO205:AQ205)))</f>
        <v/>
      </c>
      <c r="BC205" s="91">
        <f>MAX(0,AS205-MAX(0,BJ205-SUM(AO205:AR205)))</f>
        <v/>
      </c>
      <c r="BD205" s="91">
        <f>MAX(0,AT205-MAX(0,BJ205-SUM(AO205:AS205)))</f>
        <v/>
      </c>
      <c r="BE205" s="91">
        <f>MAX(0,AU205-MAX(0,BJ205-SUM(AO205:AT205)))</f>
        <v/>
      </c>
      <c r="BF205" s="91">
        <f>MAX(0,AV205-MAX(0,BJ205-SUM(AO205:AU205)))</f>
        <v/>
      </c>
      <c r="BG205" s="91">
        <f>MAX(0,AW205-MAX(0,BJ205-SUM(AO205:AV205)))</f>
        <v/>
      </c>
      <c r="BH205" s="91">
        <f>MAX(0,AX205-MAX(0,BJ205-SUM(AO205:AW205)))</f>
        <v/>
      </c>
      <c r="BI205" s="92">
        <f>SUM(AY204:BH204)+BK205</f>
        <v/>
      </c>
      <c r="BJ205" s="92">
        <f>$BJ$7-(BI205-SUM(AO205:AX205))</f>
        <v/>
      </c>
      <c r="BK205" s="91">
        <f>SUMPRODUCT(AY204:BH204,$AY$6:$BH$6)/12</f>
        <v/>
      </c>
      <c r="BL205" s="88">
        <f>SUM(AY205:BH205)</f>
        <v/>
      </c>
    </row>
    <row r="206">
      <c r="A206" s="24" t="n">
        <v>196</v>
      </c>
      <c r="B206" s="90">
        <f>DATE(YEAR(Settings!$C$11),MONTH(Settings!$C$11)+A206,1)</f>
        <v/>
      </c>
      <c r="C206" s="91">
        <f>IF(C205&lt;0.005,0,MAX(0,C205*(1+C$6/12)-C$7))</f>
        <v/>
      </c>
      <c r="D206" s="91">
        <f>IF(D205&lt;0.005,0,MAX(0,D205*(1+D$6/12)-D$7))</f>
        <v/>
      </c>
      <c r="E206" s="91">
        <f>IF(E205&lt;0.005,0,MAX(0,E205*(1+E$6/12)-E$7))</f>
        <v/>
      </c>
      <c r="F206" s="91">
        <f>IF(F205&lt;0.005,0,MAX(0,F205*(1+F$6/12)-F$7))</f>
        <v/>
      </c>
      <c r="G206" s="91">
        <f>IF(G205&lt;0.005,0,MAX(0,G205*(1+G$6/12)-G$7))</f>
        <v/>
      </c>
      <c r="H206" s="91">
        <f>IF(H205&lt;0.005,0,MAX(0,H205*(1+H$6/12)-H$7))</f>
        <v/>
      </c>
      <c r="I206" s="91">
        <f>IF(I205&lt;0.005,0,MAX(0,I205*(1+I$6/12)-I$7))</f>
        <v/>
      </c>
      <c r="J206" s="91">
        <f>IF(J205&lt;0.005,0,MAX(0,J205*(1+J$6/12)-J$7))</f>
        <v/>
      </c>
      <c r="K206" s="91">
        <f>IF(K205&lt;0.005,0,MAX(0,K205*(1+K$6/12)-K$7))</f>
        <v/>
      </c>
      <c r="L206" s="91">
        <f>IF(L205&lt;0.005,0,MAX(0,L205*(1+L$6/12)-L$7))</f>
        <v/>
      </c>
      <c r="M206" s="91">
        <f>SUMPRODUCT(C205:L205,$C$6:$L$6)/12</f>
        <v/>
      </c>
      <c r="N206" s="88">
        <f>SUM(C206:L206)</f>
        <v/>
      </c>
      <c r="P206" s="92">
        <f>IF(Z205&lt;0.005,0,MAX(0,Z205*(1+Z$6/12)-Z$7))</f>
        <v/>
      </c>
      <c r="Q206" s="92">
        <f>IF(AA205&lt;0.005,0,MAX(0,AA205*(1+AA$6/12)-AA$7))</f>
        <v/>
      </c>
      <c r="R206" s="92">
        <f>IF(AB205&lt;0.005,0,MAX(0,AB205*(1+AB$6/12)-AB$7))</f>
        <v/>
      </c>
      <c r="S206" s="92">
        <f>IF(AC205&lt;0.005,0,MAX(0,AC205*(1+AC$6/12)-AC$7))</f>
        <v/>
      </c>
      <c r="T206" s="92">
        <f>IF(AD205&lt;0.005,0,MAX(0,AD205*(1+AD$6/12)-AD$7))</f>
        <v/>
      </c>
      <c r="U206" s="92">
        <f>IF(AE205&lt;0.005,0,MAX(0,AE205*(1+AE$6/12)-AE$7))</f>
        <v/>
      </c>
      <c r="V206" s="92">
        <f>IF(AF205&lt;0.005,0,MAX(0,AF205*(1+AF$6/12)-AF$7))</f>
        <v/>
      </c>
      <c r="W206" s="92">
        <f>IF(AG205&lt;0.005,0,MAX(0,AG205*(1+AG$6/12)-AG$7))</f>
        <v/>
      </c>
      <c r="X206" s="92">
        <f>IF(AH205&lt;0.005,0,MAX(0,AH205*(1+AH$6/12)-AH$7))</f>
        <v/>
      </c>
      <c r="Y206" s="92">
        <f>IF(AI205&lt;0.005,0,MAX(0,AI205*(1+AI$6/12)-AI$7))</f>
        <v/>
      </c>
      <c r="Z206" s="91">
        <f>MAX(0,P206-MAX(0,AK206-0))</f>
        <v/>
      </c>
      <c r="AA206" s="91">
        <f>MAX(0,Q206-MAX(0,AK206-SUM(P206:P206)))</f>
        <v/>
      </c>
      <c r="AB206" s="91">
        <f>MAX(0,R206-MAX(0,AK206-SUM(P206:Q206)))</f>
        <v/>
      </c>
      <c r="AC206" s="91">
        <f>MAX(0,S206-MAX(0,AK206-SUM(P206:R206)))</f>
        <v/>
      </c>
      <c r="AD206" s="91">
        <f>MAX(0,T206-MAX(0,AK206-SUM(P206:S206)))</f>
        <v/>
      </c>
      <c r="AE206" s="91">
        <f>MAX(0,U206-MAX(0,AK206-SUM(P206:T206)))</f>
        <v/>
      </c>
      <c r="AF206" s="91">
        <f>MAX(0,V206-MAX(0,AK206-SUM(P206:U206)))</f>
        <v/>
      </c>
      <c r="AG206" s="91">
        <f>MAX(0,W206-MAX(0,AK206-SUM(P206:V206)))</f>
        <v/>
      </c>
      <c r="AH206" s="91">
        <f>MAX(0,X206-MAX(0,AK206-SUM(P206:W206)))</f>
        <v/>
      </c>
      <c r="AI206" s="91">
        <f>MAX(0,Y206-MAX(0,AK206-SUM(P206:X206)))</f>
        <v/>
      </c>
      <c r="AJ206" s="92">
        <f>SUM(Z205:AI205)+AL206</f>
        <v/>
      </c>
      <c r="AK206" s="92">
        <f>$AK$7-(AJ206-SUM(P206:Y206))</f>
        <v/>
      </c>
      <c r="AL206" s="91">
        <f>SUMPRODUCT(Z205:AI205,$Z$6:$AI$6)/12</f>
        <v/>
      </c>
      <c r="AM206" s="88">
        <f>SUM(Z206:AI206)</f>
        <v/>
      </c>
      <c r="AO206" s="92">
        <f>IF(AY205&lt;0.005,0,MAX(0,AY205*(1+AY$6/12)-AY$7))</f>
        <v/>
      </c>
      <c r="AP206" s="92">
        <f>IF(AZ205&lt;0.005,0,MAX(0,AZ205*(1+AZ$6/12)-AZ$7))</f>
        <v/>
      </c>
      <c r="AQ206" s="92">
        <f>IF(BA205&lt;0.005,0,MAX(0,BA205*(1+BA$6/12)-BA$7))</f>
        <v/>
      </c>
      <c r="AR206" s="92">
        <f>IF(BB205&lt;0.005,0,MAX(0,BB205*(1+BB$6/12)-BB$7))</f>
        <v/>
      </c>
      <c r="AS206" s="92">
        <f>IF(BC205&lt;0.005,0,MAX(0,BC205*(1+BC$6/12)-BC$7))</f>
        <v/>
      </c>
      <c r="AT206" s="92">
        <f>IF(BD205&lt;0.005,0,MAX(0,BD205*(1+BD$6/12)-BD$7))</f>
        <v/>
      </c>
      <c r="AU206" s="92">
        <f>IF(BE205&lt;0.005,0,MAX(0,BE205*(1+BE$6/12)-BE$7))</f>
        <v/>
      </c>
      <c r="AV206" s="92">
        <f>IF(BF205&lt;0.005,0,MAX(0,BF205*(1+BF$6/12)-BF$7))</f>
        <v/>
      </c>
      <c r="AW206" s="92">
        <f>IF(BG205&lt;0.005,0,MAX(0,BG205*(1+BG$6/12)-BG$7))</f>
        <v/>
      </c>
      <c r="AX206" s="92">
        <f>IF(BH205&lt;0.005,0,MAX(0,BH205*(1+BH$6/12)-BH$7))</f>
        <v/>
      </c>
      <c r="AY206" s="91">
        <f>MAX(0,AO206-MAX(0,BJ206-0))</f>
        <v/>
      </c>
      <c r="AZ206" s="91">
        <f>MAX(0,AP206-MAX(0,BJ206-SUM(AO206:AO206)))</f>
        <v/>
      </c>
      <c r="BA206" s="91">
        <f>MAX(0,AQ206-MAX(0,BJ206-SUM(AO206:AP206)))</f>
        <v/>
      </c>
      <c r="BB206" s="91">
        <f>MAX(0,AR206-MAX(0,BJ206-SUM(AO206:AQ206)))</f>
        <v/>
      </c>
      <c r="BC206" s="91">
        <f>MAX(0,AS206-MAX(0,BJ206-SUM(AO206:AR206)))</f>
        <v/>
      </c>
      <c r="BD206" s="91">
        <f>MAX(0,AT206-MAX(0,BJ206-SUM(AO206:AS206)))</f>
        <v/>
      </c>
      <c r="BE206" s="91">
        <f>MAX(0,AU206-MAX(0,BJ206-SUM(AO206:AT206)))</f>
        <v/>
      </c>
      <c r="BF206" s="91">
        <f>MAX(0,AV206-MAX(0,BJ206-SUM(AO206:AU206)))</f>
        <v/>
      </c>
      <c r="BG206" s="91">
        <f>MAX(0,AW206-MAX(0,BJ206-SUM(AO206:AV206)))</f>
        <v/>
      </c>
      <c r="BH206" s="91">
        <f>MAX(0,AX206-MAX(0,BJ206-SUM(AO206:AW206)))</f>
        <v/>
      </c>
      <c r="BI206" s="92">
        <f>SUM(AY205:BH205)+BK206</f>
        <v/>
      </c>
      <c r="BJ206" s="92">
        <f>$BJ$7-(BI206-SUM(AO206:AX206))</f>
        <v/>
      </c>
      <c r="BK206" s="91">
        <f>SUMPRODUCT(AY205:BH205,$AY$6:$BH$6)/12</f>
        <v/>
      </c>
      <c r="BL206" s="88">
        <f>SUM(AY206:BH206)</f>
        <v/>
      </c>
    </row>
    <row r="207">
      <c r="A207" s="24" t="n">
        <v>197</v>
      </c>
      <c r="B207" s="90">
        <f>DATE(YEAR(Settings!$C$11),MONTH(Settings!$C$11)+A207,1)</f>
        <v/>
      </c>
      <c r="C207" s="91">
        <f>IF(C206&lt;0.005,0,MAX(0,C206*(1+C$6/12)-C$7))</f>
        <v/>
      </c>
      <c r="D207" s="91">
        <f>IF(D206&lt;0.005,0,MAX(0,D206*(1+D$6/12)-D$7))</f>
        <v/>
      </c>
      <c r="E207" s="91">
        <f>IF(E206&lt;0.005,0,MAX(0,E206*(1+E$6/12)-E$7))</f>
        <v/>
      </c>
      <c r="F207" s="91">
        <f>IF(F206&lt;0.005,0,MAX(0,F206*(1+F$6/12)-F$7))</f>
        <v/>
      </c>
      <c r="G207" s="91">
        <f>IF(G206&lt;0.005,0,MAX(0,G206*(1+G$6/12)-G$7))</f>
        <v/>
      </c>
      <c r="H207" s="91">
        <f>IF(H206&lt;0.005,0,MAX(0,H206*(1+H$6/12)-H$7))</f>
        <v/>
      </c>
      <c r="I207" s="91">
        <f>IF(I206&lt;0.005,0,MAX(0,I206*(1+I$6/12)-I$7))</f>
        <v/>
      </c>
      <c r="J207" s="91">
        <f>IF(J206&lt;0.005,0,MAX(0,J206*(1+J$6/12)-J$7))</f>
        <v/>
      </c>
      <c r="K207" s="91">
        <f>IF(K206&lt;0.005,0,MAX(0,K206*(1+K$6/12)-K$7))</f>
        <v/>
      </c>
      <c r="L207" s="91">
        <f>IF(L206&lt;0.005,0,MAX(0,L206*(1+L$6/12)-L$7))</f>
        <v/>
      </c>
      <c r="M207" s="91">
        <f>SUMPRODUCT(C206:L206,$C$6:$L$6)/12</f>
        <v/>
      </c>
      <c r="N207" s="88">
        <f>SUM(C207:L207)</f>
        <v/>
      </c>
      <c r="P207" s="92">
        <f>IF(Z206&lt;0.005,0,MAX(0,Z206*(1+Z$6/12)-Z$7))</f>
        <v/>
      </c>
      <c r="Q207" s="92">
        <f>IF(AA206&lt;0.005,0,MAX(0,AA206*(1+AA$6/12)-AA$7))</f>
        <v/>
      </c>
      <c r="R207" s="92">
        <f>IF(AB206&lt;0.005,0,MAX(0,AB206*(1+AB$6/12)-AB$7))</f>
        <v/>
      </c>
      <c r="S207" s="92">
        <f>IF(AC206&lt;0.005,0,MAX(0,AC206*(1+AC$6/12)-AC$7))</f>
        <v/>
      </c>
      <c r="T207" s="92">
        <f>IF(AD206&lt;0.005,0,MAX(0,AD206*(1+AD$6/12)-AD$7))</f>
        <v/>
      </c>
      <c r="U207" s="92">
        <f>IF(AE206&lt;0.005,0,MAX(0,AE206*(1+AE$6/12)-AE$7))</f>
        <v/>
      </c>
      <c r="V207" s="92">
        <f>IF(AF206&lt;0.005,0,MAX(0,AF206*(1+AF$6/12)-AF$7))</f>
        <v/>
      </c>
      <c r="W207" s="92">
        <f>IF(AG206&lt;0.005,0,MAX(0,AG206*(1+AG$6/12)-AG$7))</f>
        <v/>
      </c>
      <c r="X207" s="92">
        <f>IF(AH206&lt;0.005,0,MAX(0,AH206*(1+AH$6/12)-AH$7))</f>
        <v/>
      </c>
      <c r="Y207" s="92">
        <f>IF(AI206&lt;0.005,0,MAX(0,AI206*(1+AI$6/12)-AI$7))</f>
        <v/>
      </c>
      <c r="Z207" s="91">
        <f>MAX(0,P207-MAX(0,AK207-0))</f>
        <v/>
      </c>
      <c r="AA207" s="91">
        <f>MAX(0,Q207-MAX(0,AK207-SUM(P207:P207)))</f>
        <v/>
      </c>
      <c r="AB207" s="91">
        <f>MAX(0,R207-MAX(0,AK207-SUM(P207:Q207)))</f>
        <v/>
      </c>
      <c r="AC207" s="91">
        <f>MAX(0,S207-MAX(0,AK207-SUM(P207:R207)))</f>
        <v/>
      </c>
      <c r="AD207" s="91">
        <f>MAX(0,T207-MAX(0,AK207-SUM(P207:S207)))</f>
        <v/>
      </c>
      <c r="AE207" s="91">
        <f>MAX(0,U207-MAX(0,AK207-SUM(P207:T207)))</f>
        <v/>
      </c>
      <c r="AF207" s="91">
        <f>MAX(0,V207-MAX(0,AK207-SUM(P207:U207)))</f>
        <v/>
      </c>
      <c r="AG207" s="91">
        <f>MAX(0,W207-MAX(0,AK207-SUM(P207:V207)))</f>
        <v/>
      </c>
      <c r="AH207" s="91">
        <f>MAX(0,X207-MAX(0,AK207-SUM(P207:W207)))</f>
        <v/>
      </c>
      <c r="AI207" s="91">
        <f>MAX(0,Y207-MAX(0,AK207-SUM(P207:X207)))</f>
        <v/>
      </c>
      <c r="AJ207" s="92">
        <f>SUM(Z206:AI206)+AL207</f>
        <v/>
      </c>
      <c r="AK207" s="92">
        <f>$AK$7-(AJ207-SUM(P207:Y207))</f>
        <v/>
      </c>
      <c r="AL207" s="91">
        <f>SUMPRODUCT(Z206:AI206,$Z$6:$AI$6)/12</f>
        <v/>
      </c>
      <c r="AM207" s="88">
        <f>SUM(Z207:AI207)</f>
        <v/>
      </c>
      <c r="AO207" s="92">
        <f>IF(AY206&lt;0.005,0,MAX(0,AY206*(1+AY$6/12)-AY$7))</f>
        <v/>
      </c>
      <c r="AP207" s="92">
        <f>IF(AZ206&lt;0.005,0,MAX(0,AZ206*(1+AZ$6/12)-AZ$7))</f>
        <v/>
      </c>
      <c r="AQ207" s="92">
        <f>IF(BA206&lt;0.005,0,MAX(0,BA206*(1+BA$6/12)-BA$7))</f>
        <v/>
      </c>
      <c r="AR207" s="92">
        <f>IF(BB206&lt;0.005,0,MAX(0,BB206*(1+BB$6/12)-BB$7))</f>
        <v/>
      </c>
      <c r="AS207" s="92">
        <f>IF(BC206&lt;0.005,0,MAX(0,BC206*(1+BC$6/12)-BC$7))</f>
        <v/>
      </c>
      <c r="AT207" s="92">
        <f>IF(BD206&lt;0.005,0,MAX(0,BD206*(1+BD$6/12)-BD$7))</f>
        <v/>
      </c>
      <c r="AU207" s="92">
        <f>IF(BE206&lt;0.005,0,MAX(0,BE206*(1+BE$6/12)-BE$7))</f>
        <v/>
      </c>
      <c r="AV207" s="92">
        <f>IF(BF206&lt;0.005,0,MAX(0,BF206*(1+BF$6/12)-BF$7))</f>
        <v/>
      </c>
      <c r="AW207" s="92">
        <f>IF(BG206&lt;0.005,0,MAX(0,BG206*(1+BG$6/12)-BG$7))</f>
        <v/>
      </c>
      <c r="AX207" s="92">
        <f>IF(BH206&lt;0.005,0,MAX(0,BH206*(1+BH$6/12)-BH$7))</f>
        <v/>
      </c>
      <c r="AY207" s="91">
        <f>MAX(0,AO207-MAX(0,BJ207-0))</f>
        <v/>
      </c>
      <c r="AZ207" s="91">
        <f>MAX(0,AP207-MAX(0,BJ207-SUM(AO207:AO207)))</f>
        <v/>
      </c>
      <c r="BA207" s="91">
        <f>MAX(0,AQ207-MAX(0,BJ207-SUM(AO207:AP207)))</f>
        <v/>
      </c>
      <c r="BB207" s="91">
        <f>MAX(0,AR207-MAX(0,BJ207-SUM(AO207:AQ207)))</f>
        <v/>
      </c>
      <c r="BC207" s="91">
        <f>MAX(0,AS207-MAX(0,BJ207-SUM(AO207:AR207)))</f>
        <v/>
      </c>
      <c r="BD207" s="91">
        <f>MAX(0,AT207-MAX(0,BJ207-SUM(AO207:AS207)))</f>
        <v/>
      </c>
      <c r="BE207" s="91">
        <f>MAX(0,AU207-MAX(0,BJ207-SUM(AO207:AT207)))</f>
        <v/>
      </c>
      <c r="BF207" s="91">
        <f>MAX(0,AV207-MAX(0,BJ207-SUM(AO207:AU207)))</f>
        <v/>
      </c>
      <c r="BG207" s="91">
        <f>MAX(0,AW207-MAX(0,BJ207-SUM(AO207:AV207)))</f>
        <v/>
      </c>
      <c r="BH207" s="91">
        <f>MAX(0,AX207-MAX(0,BJ207-SUM(AO207:AW207)))</f>
        <v/>
      </c>
      <c r="BI207" s="92">
        <f>SUM(AY206:BH206)+BK207</f>
        <v/>
      </c>
      <c r="BJ207" s="92">
        <f>$BJ$7-(BI207-SUM(AO207:AX207))</f>
        <v/>
      </c>
      <c r="BK207" s="91">
        <f>SUMPRODUCT(AY206:BH206,$AY$6:$BH$6)/12</f>
        <v/>
      </c>
      <c r="BL207" s="88">
        <f>SUM(AY207:BH207)</f>
        <v/>
      </c>
    </row>
    <row r="208">
      <c r="A208" s="24" t="n">
        <v>198</v>
      </c>
      <c r="B208" s="90">
        <f>DATE(YEAR(Settings!$C$11),MONTH(Settings!$C$11)+A208,1)</f>
        <v/>
      </c>
      <c r="C208" s="91">
        <f>IF(C207&lt;0.005,0,MAX(0,C207*(1+C$6/12)-C$7))</f>
        <v/>
      </c>
      <c r="D208" s="91">
        <f>IF(D207&lt;0.005,0,MAX(0,D207*(1+D$6/12)-D$7))</f>
        <v/>
      </c>
      <c r="E208" s="91">
        <f>IF(E207&lt;0.005,0,MAX(0,E207*(1+E$6/12)-E$7))</f>
        <v/>
      </c>
      <c r="F208" s="91">
        <f>IF(F207&lt;0.005,0,MAX(0,F207*(1+F$6/12)-F$7))</f>
        <v/>
      </c>
      <c r="G208" s="91">
        <f>IF(G207&lt;0.005,0,MAX(0,G207*(1+G$6/12)-G$7))</f>
        <v/>
      </c>
      <c r="H208" s="91">
        <f>IF(H207&lt;0.005,0,MAX(0,H207*(1+H$6/12)-H$7))</f>
        <v/>
      </c>
      <c r="I208" s="91">
        <f>IF(I207&lt;0.005,0,MAX(0,I207*(1+I$6/12)-I$7))</f>
        <v/>
      </c>
      <c r="J208" s="91">
        <f>IF(J207&lt;0.005,0,MAX(0,J207*(1+J$6/12)-J$7))</f>
        <v/>
      </c>
      <c r="K208" s="91">
        <f>IF(K207&lt;0.005,0,MAX(0,K207*(1+K$6/12)-K$7))</f>
        <v/>
      </c>
      <c r="L208" s="91">
        <f>IF(L207&lt;0.005,0,MAX(0,L207*(1+L$6/12)-L$7))</f>
        <v/>
      </c>
      <c r="M208" s="91">
        <f>SUMPRODUCT(C207:L207,$C$6:$L$6)/12</f>
        <v/>
      </c>
      <c r="N208" s="88">
        <f>SUM(C208:L208)</f>
        <v/>
      </c>
      <c r="P208" s="92">
        <f>IF(Z207&lt;0.005,0,MAX(0,Z207*(1+Z$6/12)-Z$7))</f>
        <v/>
      </c>
      <c r="Q208" s="92">
        <f>IF(AA207&lt;0.005,0,MAX(0,AA207*(1+AA$6/12)-AA$7))</f>
        <v/>
      </c>
      <c r="R208" s="92">
        <f>IF(AB207&lt;0.005,0,MAX(0,AB207*(1+AB$6/12)-AB$7))</f>
        <v/>
      </c>
      <c r="S208" s="92">
        <f>IF(AC207&lt;0.005,0,MAX(0,AC207*(1+AC$6/12)-AC$7))</f>
        <v/>
      </c>
      <c r="T208" s="92">
        <f>IF(AD207&lt;0.005,0,MAX(0,AD207*(1+AD$6/12)-AD$7))</f>
        <v/>
      </c>
      <c r="U208" s="92">
        <f>IF(AE207&lt;0.005,0,MAX(0,AE207*(1+AE$6/12)-AE$7))</f>
        <v/>
      </c>
      <c r="V208" s="92">
        <f>IF(AF207&lt;0.005,0,MAX(0,AF207*(1+AF$6/12)-AF$7))</f>
        <v/>
      </c>
      <c r="W208" s="92">
        <f>IF(AG207&lt;0.005,0,MAX(0,AG207*(1+AG$6/12)-AG$7))</f>
        <v/>
      </c>
      <c r="X208" s="92">
        <f>IF(AH207&lt;0.005,0,MAX(0,AH207*(1+AH$6/12)-AH$7))</f>
        <v/>
      </c>
      <c r="Y208" s="92">
        <f>IF(AI207&lt;0.005,0,MAX(0,AI207*(1+AI$6/12)-AI$7))</f>
        <v/>
      </c>
      <c r="Z208" s="91">
        <f>MAX(0,P208-MAX(0,AK208-0))</f>
        <v/>
      </c>
      <c r="AA208" s="91">
        <f>MAX(0,Q208-MAX(0,AK208-SUM(P208:P208)))</f>
        <v/>
      </c>
      <c r="AB208" s="91">
        <f>MAX(0,R208-MAX(0,AK208-SUM(P208:Q208)))</f>
        <v/>
      </c>
      <c r="AC208" s="91">
        <f>MAX(0,S208-MAX(0,AK208-SUM(P208:R208)))</f>
        <v/>
      </c>
      <c r="AD208" s="91">
        <f>MAX(0,T208-MAX(0,AK208-SUM(P208:S208)))</f>
        <v/>
      </c>
      <c r="AE208" s="91">
        <f>MAX(0,U208-MAX(0,AK208-SUM(P208:T208)))</f>
        <v/>
      </c>
      <c r="AF208" s="91">
        <f>MAX(0,V208-MAX(0,AK208-SUM(P208:U208)))</f>
        <v/>
      </c>
      <c r="AG208" s="91">
        <f>MAX(0,W208-MAX(0,AK208-SUM(P208:V208)))</f>
        <v/>
      </c>
      <c r="AH208" s="91">
        <f>MAX(0,X208-MAX(0,AK208-SUM(P208:W208)))</f>
        <v/>
      </c>
      <c r="AI208" s="91">
        <f>MAX(0,Y208-MAX(0,AK208-SUM(P208:X208)))</f>
        <v/>
      </c>
      <c r="AJ208" s="92">
        <f>SUM(Z207:AI207)+AL208</f>
        <v/>
      </c>
      <c r="AK208" s="92">
        <f>$AK$7-(AJ208-SUM(P208:Y208))</f>
        <v/>
      </c>
      <c r="AL208" s="91">
        <f>SUMPRODUCT(Z207:AI207,$Z$6:$AI$6)/12</f>
        <v/>
      </c>
      <c r="AM208" s="88">
        <f>SUM(Z208:AI208)</f>
        <v/>
      </c>
      <c r="AO208" s="92">
        <f>IF(AY207&lt;0.005,0,MAX(0,AY207*(1+AY$6/12)-AY$7))</f>
        <v/>
      </c>
      <c r="AP208" s="92">
        <f>IF(AZ207&lt;0.005,0,MAX(0,AZ207*(1+AZ$6/12)-AZ$7))</f>
        <v/>
      </c>
      <c r="AQ208" s="92">
        <f>IF(BA207&lt;0.005,0,MAX(0,BA207*(1+BA$6/12)-BA$7))</f>
        <v/>
      </c>
      <c r="AR208" s="92">
        <f>IF(BB207&lt;0.005,0,MAX(0,BB207*(1+BB$6/12)-BB$7))</f>
        <v/>
      </c>
      <c r="AS208" s="92">
        <f>IF(BC207&lt;0.005,0,MAX(0,BC207*(1+BC$6/12)-BC$7))</f>
        <v/>
      </c>
      <c r="AT208" s="92">
        <f>IF(BD207&lt;0.005,0,MAX(0,BD207*(1+BD$6/12)-BD$7))</f>
        <v/>
      </c>
      <c r="AU208" s="92">
        <f>IF(BE207&lt;0.005,0,MAX(0,BE207*(1+BE$6/12)-BE$7))</f>
        <v/>
      </c>
      <c r="AV208" s="92">
        <f>IF(BF207&lt;0.005,0,MAX(0,BF207*(1+BF$6/12)-BF$7))</f>
        <v/>
      </c>
      <c r="AW208" s="92">
        <f>IF(BG207&lt;0.005,0,MAX(0,BG207*(1+BG$6/12)-BG$7))</f>
        <v/>
      </c>
      <c r="AX208" s="92">
        <f>IF(BH207&lt;0.005,0,MAX(0,BH207*(1+BH$6/12)-BH$7))</f>
        <v/>
      </c>
      <c r="AY208" s="91">
        <f>MAX(0,AO208-MAX(0,BJ208-0))</f>
        <v/>
      </c>
      <c r="AZ208" s="91">
        <f>MAX(0,AP208-MAX(0,BJ208-SUM(AO208:AO208)))</f>
        <v/>
      </c>
      <c r="BA208" s="91">
        <f>MAX(0,AQ208-MAX(0,BJ208-SUM(AO208:AP208)))</f>
        <v/>
      </c>
      <c r="BB208" s="91">
        <f>MAX(0,AR208-MAX(0,BJ208-SUM(AO208:AQ208)))</f>
        <v/>
      </c>
      <c r="BC208" s="91">
        <f>MAX(0,AS208-MAX(0,BJ208-SUM(AO208:AR208)))</f>
        <v/>
      </c>
      <c r="BD208" s="91">
        <f>MAX(0,AT208-MAX(0,BJ208-SUM(AO208:AS208)))</f>
        <v/>
      </c>
      <c r="BE208" s="91">
        <f>MAX(0,AU208-MAX(0,BJ208-SUM(AO208:AT208)))</f>
        <v/>
      </c>
      <c r="BF208" s="91">
        <f>MAX(0,AV208-MAX(0,BJ208-SUM(AO208:AU208)))</f>
        <v/>
      </c>
      <c r="BG208" s="91">
        <f>MAX(0,AW208-MAX(0,BJ208-SUM(AO208:AV208)))</f>
        <v/>
      </c>
      <c r="BH208" s="91">
        <f>MAX(0,AX208-MAX(0,BJ208-SUM(AO208:AW208)))</f>
        <v/>
      </c>
      <c r="BI208" s="92">
        <f>SUM(AY207:BH207)+BK208</f>
        <v/>
      </c>
      <c r="BJ208" s="92">
        <f>$BJ$7-(BI208-SUM(AO208:AX208))</f>
        <v/>
      </c>
      <c r="BK208" s="91">
        <f>SUMPRODUCT(AY207:BH207,$AY$6:$BH$6)/12</f>
        <v/>
      </c>
      <c r="BL208" s="88">
        <f>SUM(AY208:BH208)</f>
        <v/>
      </c>
    </row>
    <row r="209">
      <c r="A209" s="24" t="n">
        <v>199</v>
      </c>
      <c r="B209" s="90">
        <f>DATE(YEAR(Settings!$C$11),MONTH(Settings!$C$11)+A209,1)</f>
        <v/>
      </c>
      <c r="C209" s="91">
        <f>IF(C208&lt;0.005,0,MAX(0,C208*(1+C$6/12)-C$7))</f>
        <v/>
      </c>
      <c r="D209" s="91">
        <f>IF(D208&lt;0.005,0,MAX(0,D208*(1+D$6/12)-D$7))</f>
        <v/>
      </c>
      <c r="E209" s="91">
        <f>IF(E208&lt;0.005,0,MAX(0,E208*(1+E$6/12)-E$7))</f>
        <v/>
      </c>
      <c r="F209" s="91">
        <f>IF(F208&lt;0.005,0,MAX(0,F208*(1+F$6/12)-F$7))</f>
        <v/>
      </c>
      <c r="G209" s="91">
        <f>IF(G208&lt;0.005,0,MAX(0,G208*(1+G$6/12)-G$7))</f>
        <v/>
      </c>
      <c r="H209" s="91">
        <f>IF(H208&lt;0.005,0,MAX(0,H208*(1+H$6/12)-H$7))</f>
        <v/>
      </c>
      <c r="I209" s="91">
        <f>IF(I208&lt;0.005,0,MAX(0,I208*(1+I$6/12)-I$7))</f>
        <v/>
      </c>
      <c r="J209" s="91">
        <f>IF(J208&lt;0.005,0,MAX(0,J208*(1+J$6/12)-J$7))</f>
        <v/>
      </c>
      <c r="K209" s="91">
        <f>IF(K208&lt;0.005,0,MAX(0,K208*(1+K$6/12)-K$7))</f>
        <v/>
      </c>
      <c r="L209" s="91">
        <f>IF(L208&lt;0.005,0,MAX(0,L208*(1+L$6/12)-L$7))</f>
        <v/>
      </c>
      <c r="M209" s="91">
        <f>SUMPRODUCT(C208:L208,$C$6:$L$6)/12</f>
        <v/>
      </c>
      <c r="N209" s="88">
        <f>SUM(C209:L209)</f>
        <v/>
      </c>
      <c r="P209" s="92">
        <f>IF(Z208&lt;0.005,0,MAX(0,Z208*(1+Z$6/12)-Z$7))</f>
        <v/>
      </c>
      <c r="Q209" s="92">
        <f>IF(AA208&lt;0.005,0,MAX(0,AA208*(1+AA$6/12)-AA$7))</f>
        <v/>
      </c>
      <c r="R209" s="92">
        <f>IF(AB208&lt;0.005,0,MAX(0,AB208*(1+AB$6/12)-AB$7))</f>
        <v/>
      </c>
      <c r="S209" s="92">
        <f>IF(AC208&lt;0.005,0,MAX(0,AC208*(1+AC$6/12)-AC$7))</f>
        <v/>
      </c>
      <c r="T209" s="92">
        <f>IF(AD208&lt;0.005,0,MAX(0,AD208*(1+AD$6/12)-AD$7))</f>
        <v/>
      </c>
      <c r="U209" s="92">
        <f>IF(AE208&lt;0.005,0,MAX(0,AE208*(1+AE$6/12)-AE$7))</f>
        <v/>
      </c>
      <c r="V209" s="92">
        <f>IF(AF208&lt;0.005,0,MAX(0,AF208*(1+AF$6/12)-AF$7))</f>
        <v/>
      </c>
      <c r="W209" s="92">
        <f>IF(AG208&lt;0.005,0,MAX(0,AG208*(1+AG$6/12)-AG$7))</f>
        <v/>
      </c>
      <c r="X209" s="92">
        <f>IF(AH208&lt;0.005,0,MAX(0,AH208*(1+AH$6/12)-AH$7))</f>
        <v/>
      </c>
      <c r="Y209" s="92">
        <f>IF(AI208&lt;0.005,0,MAX(0,AI208*(1+AI$6/12)-AI$7))</f>
        <v/>
      </c>
      <c r="Z209" s="91">
        <f>MAX(0,P209-MAX(0,AK209-0))</f>
        <v/>
      </c>
      <c r="AA209" s="91">
        <f>MAX(0,Q209-MAX(0,AK209-SUM(P209:P209)))</f>
        <v/>
      </c>
      <c r="AB209" s="91">
        <f>MAX(0,R209-MAX(0,AK209-SUM(P209:Q209)))</f>
        <v/>
      </c>
      <c r="AC209" s="91">
        <f>MAX(0,S209-MAX(0,AK209-SUM(P209:R209)))</f>
        <v/>
      </c>
      <c r="AD209" s="91">
        <f>MAX(0,T209-MAX(0,AK209-SUM(P209:S209)))</f>
        <v/>
      </c>
      <c r="AE209" s="91">
        <f>MAX(0,U209-MAX(0,AK209-SUM(P209:T209)))</f>
        <v/>
      </c>
      <c r="AF209" s="91">
        <f>MAX(0,V209-MAX(0,AK209-SUM(P209:U209)))</f>
        <v/>
      </c>
      <c r="AG209" s="91">
        <f>MAX(0,W209-MAX(0,AK209-SUM(P209:V209)))</f>
        <v/>
      </c>
      <c r="AH209" s="91">
        <f>MAX(0,X209-MAX(0,AK209-SUM(P209:W209)))</f>
        <v/>
      </c>
      <c r="AI209" s="91">
        <f>MAX(0,Y209-MAX(0,AK209-SUM(P209:X209)))</f>
        <v/>
      </c>
      <c r="AJ209" s="92">
        <f>SUM(Z208:AI208)+AL209</f>
        <v/>
      </c>
      <c r="AK209" s="92">
        <f>$AK$7-(AJ209-SUM(P209:Y209))</f>
        <v/>
      </c>
      <c r="AL209" s="91">
        <f>SUMPRODUCT(Z208:AI208,$Z$6:$AI$6)/12</f>
        <v/>
      </c>
      <c r="AM209" s="88">
        <f>SUM(Z209:AI209)</f>
        <v/>
      </c>
      <c r="AO209" s="92">
        <f>IF(AY208&lt;0.005,0,MAX(0,AY208*(1+AY$6/12)-AY$7))</f>
        <v/>
      </c>
      <c r="AP209" s="92">
        <f>IF(AZ208&lt;0.005,0,MAX(0,AZ208*(1+AZ$6/12)-AZ$7))</f>
        <v/>
      </c>
      <c r="AQ209" s="92">
        <f>IF(BA208&lt;0.005,0,MAX(0,BA208*(1+BA$6/12)-BA$7))</f>
        <v/>
      </c>
      <c r="AR209" s="92">
        <f>IF(BB208&lt;0.005,0,MAX(0,BB208*(1+BB$6/12)-BB$7))</f>
        <v/>
      </c>
      <c r="AS209" s="92">
        <f>IF(BC208&lt;0.005,0,MAX(0,BC208*(1+BC$6/12)-BC$7))</f>
        <v/>
      </c>
      <c r="AT209" s="92">
        <f>IF(BD208&lt;0.005,0,MAX(0,BD208*(1+BD$6/12)-BD$7))</f>
        <v/>
      </c>
      <c r="AU209" s="92">
        <f>IF(BE208&lt;0.005,0,MAX(0,BE208*(1+BE$6/12)-BE$7))</f>
        <v/>
      </c>
      <c r="AV209" s="92">
        <f>IF(BF208&lt;0.005,0,MAX(0,BF208*(1+BF$6/12)-BF$7))</f>
        <v/>
      </c>
      <c r="AW209" s="92">
        <f>IF(BG208&lt;0.005,0,MAX(0,BG208*(1+BG$6/12)-BG$7))</f>
        <v/>
      </c>
      <c r="AX209" s="92">
        <f>IF(BH208&lt;0.005,0,MAX(0,BH208*(1+BH$6/12)-BH$7))</f>
        <v/>
      </c>
      <c r="AY209" s="91">
        <f>MAX(0,AO209-MAX(0,BJ209-0))</f>
        <v/>
      </c>
      <c r="AZ209" s="91">
        <f>MAX(0,AP209-MAX(0,BJ209-SUM(AO209:AO209)))</f>
        <v/>
      </c>
      <c r="BA209" s="91">
        <f>MAX(0,AQ209-MAX(0,BJ209-SUM(AO209:AP209)))</f>
        <v/>
      </c>
      <c r="BB209" s="91">
        <f>MAX(0,AR209-MAX(0,BJ209-SUM(AO209:AQ209)))</f>
        <v/>
      </c>
      <c r="BC209" s="91">
        <f>MAX(0,AS209-MAX(0,BJ209-SUM(AO209:AR209)))</f>
        <v/>
      </c>
      <c r="BD209" s="91">
        <f>MAX(0,AT209-MAX(0,BJ209-SUM(AO209:AS209)))</f>
        <v/>
      </c>
      <c r="BE209" s="91">
        <f>MAX(0,AU209-MAX(0,BJ209-SUM(AO209:AT209)))</f>
        <v/>
      </c>
      <c r="BF209" s="91">
        <f>MAX(0,AV209-MAX(0,BJ209-SUM(AO209:AU209)))</f>
        <v/>
      </c>
      <c r="BG209" s="91">
        <f>MAX(0,AW209-MAX(0,BJ209-SUM(AO209:AV209)))</f>
        <v/>
      </c>
      <c r="BH209" s="91">
        <f>MAX(0,AX209-MAX(0,BJ209-SUM(AO209:AW209)))</f>
        <v/>
      </c>
      <c r="BI209" s="92">
        <f>SUM(AY208:BH208)+BK209</f>
        <v/>
      </c>
      <c r="BJ209" s="92">
        <f>$BJ$7-(BI209-SUM(AO209:AX209))</f>
        <v/>
      </c>
      <c r="BK209" s="91">
        <f>SUMPRODUCT(AY208:BH208,$AY$6:$BH$6)/12</f>
        <v/>
      </c>
      <c r="BL209" s="88">
        <f>SUM(AY209:BH209)</f>
        <v/>
      </c>
    </row>
    <row r="210">
      <c r="A210" s="24" t="n">
        <v>200</v>
      </c>
      <c r="B210" s="90">
        <f>DATE(YEAR(Settings!$C$11),MONTH(Settings!$C$11)+A210,1)</f>
        <v/>
      </c>
      <c r="C210" s="91">
        <f>IF(C209&lt;0.005,0,MAX(0,C209*(1+C$6/12)-C$7))</f>
        <v/>
      </c>
      <c r="D210" s="91">
        <f>IF(D209&lt;0.005,0,MAX(0,D209*(1+D$6/12)-D$7))</f>
        <v/>
      </c>
      <c r="E210" s="91">
        <f>IF(E209&lt;0.005,0,MAX(0,E209*(1+E$6/12)-E$7))</f>
        <v/>
      </c>
      <c r="F210" s="91">
        <f>IF(F209&lt;0.005,0,MAX(0,F209*(1+F$6/12)-F$7))</f>
        <v/>
      </c>
      <c r="G210" s="91">
        <f>IF(G209&lt;0.005,0,MAX(0,G209*(1+G$6/12)-G$7))</f>
        <v/>
      </c>
      <c r="H210" s="91">
        <f>IF(H209&lt;0.005,0,MAX(0,H209*(1+H$6/12)-H$7))</f>
        <v/>
      </c>
      <c r="I210" s="91">
        <f>IF(I209&lt;0.005,0,MAX(0,I209*(1+I$6/12)-I$7))</f>
        <v/>
      </c>
      <c r="J210" s="91">
        <f>IF(J209&lt;0.005,0,MAX(0,J209*(1+J$6/12)-J$7))</f>
        <v/>
      </c>
      <c r="K210" s="91">
        <f>IF(K209&lt;0.005,0,MAX(0,K209*(1+K$6/12)-K$7))</f>
        <v/>
      </c>
      <c r="L210" s="91">
        <f>IF(L209&lt;0.005,0,MAX(0,L209*(1+L$6/12)-L$7))</f>
        <v/>
      </c>
      <c r="M210" s="91">
        <f>SUMPRODUCT(C209:L209,$C$6:$L$6)/12</f>
        <v/>
      </c>
      <c r="N210" s="88">
        <f>SUM(C210:L210)</f>
        <v/>
      </c>
      <c r="P210" s="92">
        <f>IF(Z209&lt;0.005,0,MAX(0,Z209*(1+Z$6/12)-Z$7))</f>
        <v/>
      </c>
      <c r="Q210" s="92">
        <f>IF(AA209&lt;0.005,0,MAX(0,AA209*(1+AA$6/12)-AA$7))</f>
        <v/>
      </c>
      <c r="R210" s="92">
        <f>IF(AB209&lt;0.005,0,MAX(0,AB209*(1+AB$6/12)-AB$7))</f>
        <v/>
      </c>
      <c r="S210" s="92">
        <f>IF(AC209&lt;0.005,0,MAX(0,AC209*(1+AC$6/12)-AC$7))</f>
        <v/>
      </c>
      <c r="T210" s="92">
        <f>IF(AD209&lt;0.005,0,MAX(0,AD209*(1+AD$6/12)-AD$7))</f>
        <v/>
      </c>
      <c r="U210" s="92">
        <f>IF(AE209&lt;0.005,0,MAX(0,AE209*(1+AE$6/12)-AE$7))</f>
        <v/>
      </c>
      <c r="V210" s="92">
        <f>IF(AF209&lt;0.005,0,MAX(0,AF209*(1+AF$6/12)-AF$7))</f>
        <v/>
      </c>
      <c r="W210" s="92">
        <f>IF(AG209&lt;0.005,0,MAX(0,AG209*(1+AG$6/12)-AG$7))</f>
        <v/>
      </c>
      <c r="X210" s="92">
        <f>IF(AH209&lt;0.005,0,MAX(0,AH209*(1+AH$6/12)-AH$7))</f>
        <v/>
      </c>
      <c r="Y210" s="92">
        <f>IF(AI209&lt;0.005,0,MAX(0,AI209*(1+AI$6/12)-AI$7))</f>
        <v/>
      </c>
      <c r="Z210" s="91">
        <f>MAX(0,P210-MAX(0,AK210-0))</f>
        <v/>
      </c>
      <c r="AA210" s="91">
        <f>MAX(0,Q210-MAX(0,AK210-SUM(P210:P210)))</f>
        <v/>
      </c>
      <c r="AB210" s="91">
        <f>MAX(0,R210-MAX(0,AK210-SUM(P210:Q210)))</f>
        <v/>
      </c>
      <c r="AC210" s="91">
        <f>MAX(0,S210-MAX(0,AK210-SUM(P210:R210)))</f>
        <v/>
      </c>
      <c r="AD210" s="91">
        <f>MAX(0,T210-MAX(0,AK210-SUM(P210:S210)))</f>
        <v/>
      </c>
      <c r="AE210" s="91">
        <f>MAX(0,U210-MAX(0,AK210-SUM(P210:T210)))</f>
        <v/>
      </c>
      <c r="AF210" s="91">
        <f>MAX(0,V210-MAX(0,AK210-SUM(P210:U210)))</f>
        <v/>
      </c>
      <c r="AG210" s="91">
        <f>MAX(0,W210-MAX(0,AK210-SUM(P210:V210)))</f>
        <v/>
      </c>
      <c r="AH210" s="91">
        <f>MAX(0,X210-MAX(0,AK210-SUM(P210:W210)))</f>
        <v/>
      </c>
      <c r="AI210" s="91">
        <f>MAX(0,Y210-MAX(0,AK210-SUM(P210:X210)))</f>
        <v/>
      </c>
      <c r="AJ210" s="92">
        <f>SUM(Z209:AI209)+AL210</f>
        <v/>
      </c>
      <c r="AK210" s="92">
        <f>$AK$7-(AJ210-SUM(P210:Y210))</f>
        <v/>
      </c>
      <c r="AL210" s="91">
        <f>SUMPRODUCT(Z209:AI209,$Z$6:$AI$6)/12</f>
        <v/>
      </c>
      <c r="AM210" s="88">
        <f>SUM(Z210:AI210)</f>
        <v/>
      </c>
      <c r="AO210" s="92">
        <f>IF(AY209&lt;0.005,0,MAX(0,AY209*(1+AY$6/12)-AY$7))</f>
        <v/>
      </c>
      <c r="AP210" s="92">
        <f>IF(AZ209&lt;0.005,0,MAX(0,AZ209*(1+AZ$6/12)-AZ$7))</f>
        <v/>
      </c>
      <c r="AQ210" s="92">
        <f>IF(BA209&lt;0.005,0,MAX(0,BA209*(1+BA$6/12)-BA$7))</f>
        <v/>
      </c>
      <c r="AR210" s="92">
        <f>IF(BB209&lt;0.005,0,MAX(0,BB209*(1+BB$6/12)-BB$7))</f>
        <v/>
      </c>
      <c r="AS210" s="92">
        <f>IF(BC209&lt;0.005,0,MAX(0,BC209*(1+BC$6/12)-BC$7))</f>
        <v/>
      </c>
      <c r="AT210" s="92">
        <f>IF(BD209&lt;0.005,0,MAX(0,BD209*(1+BD$6/12)-BD$7))</f>
        <v/>
      </c>
      <c r="AU210" s="92">
        <f>IF(BE209&lt;0.005,0,MAX(0,BE209*(1+BE$6/12)-BE$7))</f>
        <v/>
      </c>
      <c r="AV210" s="92">
        <f>IF(BF209&lt;0.005,0,MAX(0,BF209*(1+BF$6/12)-BF$7))</f>
        <v/>
      </c>
      <c r="AW210" s="92">
        <f>IF(BG209&lt;0.005,0,MAX(0,BG209*(1+BG$6/12)-BG$7))</f>
        <v/>
      </c>
      <c r="AX210" s="92">
        <f>IF(BH209&lt;0.005,0,MAX(0,BH209*(1+BH$6/12)-BH$7))</f>
        <v/>
      </c>
      <c r="AY210" s="91">
        <f>MAX(0,AO210-MAX(0,BJ210-0))</f>
        <v/>
      </c>
      <c r="AZ210" s="91">
        <f>MAX(0,AP210-MAX(0,BJ210-SUM(AO210:AO210)))</f>
        <v/>
      </c>
      <c r="BA210" s="91">
        <f>MAX(0,AQ210-MAX(0,BJ210-SUM(AO210:AP210)))</f>
        <v/>
      </c>
      <c r="BB210" s="91">
        <f>MAX(0,AR210-MAX(0,BJ210-SUM(AO210:AQ210)))</f>
        <v/>
      </c>
      <c r="BC210" s="91">
        <f>MAX(0,AS210-MAX(0,BJ210-SUM(AO210:AR210)))</f>
        <v/>
      </c>
      <c r="BD210" s="91">
        <f>MAX(0,AT210-MAX(0,BJ210-SUM(AO210:AS210)))</f>
        <v/>
      </c>
      <c r="BE210" s="91">
        <f>MAX(0,AU210-MAX(0,BJ210-SUM(AO210:AT210)))</f>
        <v/>
      </c>
      <c r="BF210" s="91">
        <f>MAX(0,AV210-MAX(0,BJ210-SUM(AO210:AU210)))</f>
        <v/>
      </c>
      <c r="BG210" s="91">
        <f>MAX(0,AW210-MAX(0,BJ210-SUM(AO210:AV210)))</f>
        <v/>
      </c>
      <c r="BH210" s="91">
        <f>MAX(0,AX210-MAX(0,BJ210-SUM(AO210:AW210)))</f>
        <v/>
      </c>
      <c r="BI210" s="92">
        <f>SUM(AY209:BH209)+BK210</f>
        <v/>
      </c>
      <c r="BJ210" s="92">
        <f>$BJ$7-(BI210-SUM(AO210:AX210))</f>
        <v/>
      </c>
      <c r="BK210" s="91">
        <f>SUMPRODUCT(AY209:BH209,$AY$6:$BH$6)/12</f>
        <v/>
      </c>
      <c r="BL210" s="88">
        <f>SUM(AY210:BH210)</f>
        <v/>
      </c>
    </row>
    <row r="211">
      <c r="A211" s="24" t="n">
        <v>201</v>
      </c>
      <c r="B211" s="90">
        <f>DATE(YEAR(Settings!$C$11),MONTH(Settings!$C$11)+A211,1)</f>
        <v/>
      </c>
      <c r="C211" s="91">
        <f>IF(C210&lt;0.005,0,MAX(0,C210*(1+C$6/12)-C$7))</f>
        <v/>
      </c>
      <c r="D211" s="91">
        <f>IF(D210&lt;0.005,0,MAX(0,D210*(1+D$6/12)-D$7))</f>
        <v/>
      </c>
      <c r="E211" s="91">
        <f>IF(E210&lt;0.005,0,MAX(0,E210*(1+E$6/12)-E$7))</f>
        <v/>
      </c>
      <c r="F211" s="91">
        <f>IF(F210&lt;0.005,0,MAX(0,F210*(1+F$6/12)-F$7))</f>
        <v/>
      </c>
      <c r="G211" s="91">
        <f>IF(G210&lt;0.005,0,MAX(0,G210*(1+G$6/12)-G$7))</f>
        <v/>
      </c>
      <c r="H211" s="91">
        <f>IF(H210&lt;0.005,0,MAX(0,H210*(1+H$6/12)-H$7))</f>
        <v/>
      </c>
      <c r="I211" s="91">
        <f>IF(I210&lt;0.005,0,MAX(0,I210*(1+I$6/12)-I$7))</f>
        <v/>
      </c>
      <c r="J211" s="91">
        <f>IF(J210&lt;0.005,0,MAX(0,J210*(1+J$6/12)-J$7))</f>
        <v/>
      </c>
      <c r="K211" s="91">
        <f>IF(K210&lt;0.005,0,MAX(0,K210*(1+K$6/12)-K$7))</f>
        <v/>
      </c>
      <c r="L211" s="91">
        <f>IF(L210&lt;0.005,0,MAX(0,L210*(1+L$6/12)-L$7))</f>
        <v/>
      </c>
      <c r="M211" s="91">
        <f>SUMPRODUCT(C210:L210,$C$6:$L$6)/12</f>
        <v/>
      </c>
      <c r="N211" s="88">
        <f>SUM(C211:L211)</f>
        <v/>
      </c>
      <c r="P211" s="92">
        <f>IF(Z210&lt;0.005,0,MAX(0,Z210*(1+Z$6/12)-Z$7))</f>
        <v/>
      </c>
      <c r="Q211" s="92">
        <f>IF(AA210&lt;0.005,0,MAX(0,AA210*(1+AA$6/12)-AA$7))</f>
        <v/>
      </c>
      <c r="R211" s="92">
        <f>IF(AB210&lt;0.005,0,MAX(0,AB210*(1+AB$6/12)-AB$7))</f>
        <v/>
      </c>
      <c r="S211" s="92">
        <f>IF(AC210&lt;0.005,0,MAX(0,AC210*(1+AC$6/12)-AC$7))</f>
        <v/>
      </c>
      <c r="T211" s="92">
        <f>IF(AD210&lt;0.005,0,MAX(0,AD210*(1+AD$6/12)-AD$7))</f>
        <v/>
      </c>
      <c r="U211" s="92">
        <f>IF(AE210&lt;0.005,0,MAX(0,AE210*(1+AE$6/12)-AE$7))</f>
        <v/>
      </c>
      <c r="V211" s="92">
        <f>IF(AF210&lt;0.005,0,MAX(0,AF210*(1+AF$6/12)-AF$7))</f>
        <v/>
      </c>
      <c r="W211" s="92">
        <f>IF(AG210&lt;0.005,0,MAX(0,AG210*(1+AG$6/12)-AG$7))</f>
        <v/>
      </c>
      <c r="X211" s="92">
        <f>IF(AH210&lt;0.005,0,MAX(0,AH210*(1+AH$6/12)-AH$7))</f>
        <v/>
      </c>
      <c r="Y211" s="92">
        <f>IF(AI210&lt;0.005,0,MAX(0,AI210*(1+AI$6/12)-AI$7))</f>
        <v/>
      </c>
      <c r="Z211" s="91">
        <f>MAX(0,P211-MAX(0,AK211-0))</f>
        <v/>
      </c>
      <c r="AA211" s="91">
        <f>MAX(0,Q211-MAX(0,AK211-SUM(P211:P211)))</f>
        <v/>
      </c>
      <c r="AB211" s="91">
        <f>MAX(0,R211-MAX(0,AK211-SUM(P211:Q211)))</f>
        <v/>
      </c>
      <c r="AC211" s="91">
        <f>MAX(0,S211-MAX(0,AK211-SUM(P211:R211)))</f>
        <v/>
      </c>
      <c r="AD211" s="91">
        <f>MAX(0,T211-MAX(0,AK211-SUM(P211:S211)))</f>
        <v/>
      </c>
      <c r="AE211" s="91">
        <f>MAX(0,U211-MAX(0,AK211-SUM(P211:T211)))</f>
        <v/>
      </c>
      <c r="AF211" s="91">
        <f>MAX(0,V211-MAX(0,AK211-SUM(P211:U211)))</f>
        <v/>
      </c>
      <c r="AG211" s="91">
        <f>MAX(0,W211-MAX(0,AK211-SUM(P211:V211)))</f>
        <v/>
      </c>
      <c r="AH211" s="91">
        <f>MAX(0,X211-MAX(0,AK211-SUM(P211:W211)))</f>
        <v/>
      </c>
      <c r="AI211" s="91">
        <f>MAX(0,Y211-MAX(0,AK211-SUM(P211:X211)))</f>
        <v/>
      </c>
      <c r="AJ211" s="92">
        <f>SUM(Z210:AI210)+AL211</f>
        <v/>
      </c>
      <c r="AK211" s="92">
        <f>$AK$7-(AJ211-SUM(P211:Y211))</f>
        <v/>
      </c>
      <c r="AL211" s="91">
        <f>SUMPRODUCT(Z210:AI210,$Z$6:$AI$6)/12</f>
        <v/>
      </c>
      <c r="AM211" s="88">
        <f>SUM(Z211:AI211)</f>
        <v/>
      </c>
      <c r="AO211" s="92">
        <f>IF(AY210&lt;0.005,0,MAX(0,AY210*(1+AY$6/12)-AY$7))</f>
        <v/>
      </c>
      <c r="AP211" s="92">
        <f>IF(AZ210&lt;0.005,0,MAX(0,AZ210*(1+AZ$6/12)-AZ$7))</f>
        <v/>
      </c>
      <c r="AQ211" s="92">
        <f>IF(BA210&lt;0.005,0,MAX(0,BA210*(1+BA$6/12)-BA$7))</f>
        <v/>
      </c>
      <c r="AR211" s="92">
        <f>IF(BB210&lt;0.005,0,MAX(0,BB210*(1+BB$6/12)-BB$7))</f>
        <v/>
      </c>
      <c r="AS211" s="92">
        <f>IF(BC210&lt;0.005,0,MAX(0,BC210*(1+BC$6/12)-BC$7))</f>
        <v/>
      </c>
      <c r="AT211" s="92">
        <f>IF(BD210&lt;0.005,0,MAX(0,BD210*(1+BD$6/12)-BD$7))</f>
        <v/>
      </c>
      <c r="AU211" s="92">
        <f>IF(BE210&lt;0.005,0,MAX(0,BE210*(1+BE$6/12)-BE$7))</f>
        <v/>
      </c>
      <c r="AV211" s="92">
        <f>IF(BF210&lt;0.005,0,MAX(0,BF210*(1+BF$6/12)-BF$7))</f>
        <v/>
      </c>
      <c r="AW211" s="92">
        <f>IF(BG210&lt;0.005,0,MAX(0,BG210*(1+BG$6/12)-BG$7))</f>
        <v/>
      </c>
      <c r="AX211" s="92">
        <f>IF(BH210&lt;0.005,0,MAX(0,BH210*(1+BH$6/12)-BH$7))</f>
        <v/>
      </c>
      <c r="AY211" s="91">
        <f>MAX(0,AO211-MAX(0,BJ211-0))</f>
        <v/>
      </c>
      <c r="AZ211" s="91">
        <f>MAX(0,AP211-MAX(0,BJ211-SUM(AO211:AO211)))</f>
        <v/>
      </c>
      <c r="BA211" s="91">
        <f>MAX(0,AQ211-MAX(0,BJ211-SUM(AO211:AP211)))</f>
        <v/>
      </c>
      <c r="BB211" s="91">
        <f>MAX(0,AR211-MAX(0,BJ211-SUM(AO211:AQ211)))</f>
        <v/>
      </c>
      <c r="BC211" s="91">
        <f>MAX(0,AS211-MAX(0,BJ211-SUM(AO211:AR211)))</f>
        <v/>
      </c>
      <c r="BD211" s="91">
        <f>MAX(0,AT211-MAX(0,BJ211-SUM(AO211:AS211)))</f>
        <v/>
      </c>
      <c r="BE211" s="91">
        <f>MAX(0,AU211-MAX(0,BJ211-SUM(AO211:AT211)))</f>
        <v/>
      </c>
      <c r="BF211" s="91">
        <f>MAX(0,AV211-MAX(0,BJ211-SUM(AO211:AU211)))</f>
        <v/>
      </c>
      <c r="BG211" s="91">
        <f>MAX(0,AW211-MAX(0,BJ211-SUM(AO211:AV211)))</f>
        <v/>
      </c>
      <c r="BH211" s="91">
        <f>MAX(0,AX211-MAX(0,BJ211-SUM(AO211:AW211)))</f>
        <v/>
      </c>
      <c r="BI211" s="92">
        <f>SUM(AY210:BH210)+BK211</f>
        <v/>
      </c>
      <c r="BJ211" s="92">
        <f>$BJ$7-(BI211-SUM(AO211:AX211))</f>
        <v/>
      </c>
      <c r="BK211" s="91">
        <f>SUMPRODUCT(AY210:BH210,$AY$6:$BH$6)/12</f>
        <v/>
      </c>
      <c r="BL211" s="88">
        <f>SUM(AY211:BH211)</f>
        <v/>
      </c>
    </row>
    <row r="212">
      <c r="A212" s="24" t="n">
        <v>202</v>
      </c>
      <c r="B212" s="90">
        <f>DATE(YEAR(Settings!$C$11),MONTH(Settings!$C$11)+A212,1)</f>
        <v/>
      </c>
      <c r="C212" s="91">
        <f>IF(C211&lt;0.005,0,MAX(0,C211*(1+C$6/12)-C$7))</f>
        <v/>
      </c>
      <c r="D212" s="91">
        <f>IF(D211&lt;0.005,0,MAX(0,D211*(1+D$6/12)-D$7))</f>
        <v/>
      </c>
      <c r="E212" s="91">
        <f>IF(E211&lt;0.005,0,MAX(0,E211*(1+E$6/12)-E$7))</f>
        <v/>
      </c>
      <c r="F212" s="91">
        <f>IF(F211&lt;0.005,0,MAX(0,F211*(1+F$6/12)-F$7))</f>
        <v/>
      </c>
      <c r="G212" s="91">
        <f>IF(G211&lt;0.005,0,MAX(0,G211*(1+G$6/12)-G$7))</f>
        <v/>
      </c>
      <c r="H212" s="91">
        <f>IF(H211&lt;0.005,0,MAX(0,H211*(1+H$6/12)-H$7))</f>
        <v/>
      </c>
      <c r="I212" s="91">
        <f>IF(I211&lt;0.005,0,MAX(0,I211*(1+I$6/12)-I$7))</f>
        <v/>
      </c>
      <c r="J212" s="91">
        <f>IF(J211&lt;0.005,0,MAX(0,J211*(1+J$6/12)-J$7))</f>
        <v/>
      </c>
      <c r="K212" s="91">
        <f>IF(K211&lt;0.005,0,MAX(0,K211*(1+K$6/12)-K$7))</f>
        <v/>
      </c>
      <c r="L212" s="91">
        <f>IF(L211&lt;0.005,0,MAX(0,L211*(1+L$6/12)-L$7))</f>
        <v/>
      </c>
      <c r="M212" s="91">
        <f>SUMPRODUCT(C211:L211,$C$6:$L$6)/12</f>
        <v/>
      </c>
      <c r="N212" s="88">
        <f>SUM(C212:L212)</f>
        <v/>
      </c>
      <c r="P212" s="92">
        <f>IF(Z211&lt;0.005,0,MAX(0,Z211*(1+Z$6/12)-Z$7))</f>
        <v/>
      </c>
      <c r="Q212" s="92">
        <f>IF(AA211&lt;0.005,0,MAX(0,AA211*(1+AA$6/12)-AA$7))</f>
        <v/>
      </c>
      <c r="R212" s="92">
        <f>IF(AB211&lt;0.005,0,MAX(0,AB211*(1+AB$6/12)-AB$7))</f>
        <v/>
      </c>
      <c r="S212" s="92">
        <f>IF(AC211&lt;0.005,0,MAX(0,AC211*(1+AC$6/12)-AC$7))</f>
        <v/>
      </c>
      <c r="T212" s="92">
        <f>IF(AD211&lt;0.005,0,MAX(0,AD211*(1+AD$6/12)-AD$7))</f>
        <v/>
      </c>
      <c r="U212" s="92">
        <f>IF(AE211&lt;0.005,0,MAX(0,AE211*(1+AE$6/12)-AE$7))</f>
        <v/>
      </c>
      <c r="V212" s="92">
        <f>IF(AF211&lt;0.005,0,MAX(0,AF211*(1+AF$6/12)-AF$7))</f>
        <v/>
      </c>
      <c r="W212" s="92">
        <f>IF(AG211&lt;0.005,0,MAX(0,AG211*(1+AG$6/12)-AG$7))</f>
        <v/>
      </c>
      <c r="X212" s="92">
        <f>IF(AH211&lt;0.005,0,MAX(0,AH211*(1+AH$6/12)-AH$7))</f>
        <v/>
      </c>
      <c r="Y212" s="92">
        <f>IF(AI211&lt;0.005,0,MAX(0,AI211*(1+AI$6/12)-AI$7))</f>
        <v/>
      </c>
      <c r="Z212" s="91">
        <f>MAX(0,P212-MAX(0,AK212-0))</f>
        <v/>
      </c>
      <c r="AA212" s="91">
        <f>MAX(0,Q212-MAX(0,AK212-SUM(P212:P212)))</f>
        <v/>
      </c>
      <c r="AB212" s="91">
        <f>MAX(0,R212-MAX(0,AK212-SUM(P212:Q212)))</f>
        <v/>
      </c>
      <c r="AC212" s="91">
        <f>MAX(0,S212-MAX(0,AK212-SUM(P212:R212)))</f>
        <v/>
      </c>
      <c r="AD212" s="91">
        <f>MAX(0,T212-MAX(0,AK212-SUM(P212:S212)))</f>
        <v/>
      </c>
      <c r="AE212" s="91">
        <f>MAX(0,U212-MAX(0,AK212-SUM(P212:T212)))</f>
        <v/>
      </c>
      <c r="AF212" s="91">
        <f>MAX(0,V212-MAX(0,AK212-SUM(P212:U212)))</f>
        <v/>
      </c>
      <c r="AG212" s="91">
        <f>MAX(0,W212-MAX(0,AK212-SUM(P212:V212)))</f>
        <v/>
      </c>
      <c r="AH212" s="91">
        <f>MAX(0,X212-MAX(0,AK212-SUM(P212:W212)))</f>
        <v/>
      </c>
      <c r="AI212" s="91">
        <f>MAX(0,Y212-MAX(0,AK212-SUM(P212:X212)))</f>
        <v/>
      </c>
      <c r="AJ212" s="92">
        <f>SUM(Z211:AI211)+AL212</f>
        <v/>
      </c>
      <c r="AK212" s="92">
        <f>$AK$7-(AJ212-SUM(P212:Y212))</f>
        <v/>
      </c>
      <c r="AL212" s="91">
        <f>SUMPRODUCT(Z211:AI211,$Z$6:$AI$6)/12</f>
        <v/>
      </c>
      <c r="AM212" s="88">
        <f>SUM(Z212:AI212)</f>
        <v/>
      </c>
      <c r="AO212" s="92">
        <f>IF(AY211&lt;0.005,0,MAX(0,AY211*(1+AY$6/12)-AY$7))</f>
        <v/>
      </c>
      <c r="AP212" s="92">
        <f>IF(AZ211&lt;0.005,0,MAX(0,AZ211*(1+AZ$6/12)-AZ$7))</f>
        <v/>
      </c>
      <c r="AQ212" s="92">
        <f>IF(BA211&lt;0.005,0,MAX(0,BA211*(1+BA$6/12)-BA$7))</f>
        <v/>
      </c>
      <c r="AR212" s="92">
        <f>IF(BB211&lt;0.005,0,MAX(0,BB211*(1+BB$6/12)-BB$7))</f>
        <v/>
      </c>
      <c r="AS212" s="92">
        <f>IF(BC211&lt;0.005,0,MAX(0,BC211*(1+BC$6/12)-BC$7))</f>
        <v/>
      </c>
      <c r="AT212" s="92">
        <f>IF(BD211&lt;0.005,0,MAX(0,BD211*(1+BD$6/12)-BD$7))</f>
        <v/>
      </c>
      <c r="AU212" s="92">
        <f>IF(BE211&lt;0.005,0,MAX(0,BE211*(1+BE$6/12)-BE$7))</f>
        <v/>
      </c>
      <c r="AV212" s="92">
        <f>IF(BF211&lt;0.005,0,MAX(0,BF211*(1+BF$6/12)-BF$7))</f>
        <v/>
      </c>
      <c r="AW212" s="92">
        <f>IF(BG211&lt;0.005,0,MAX(0,BG211*(1+BG$6/12)-BG$7))</f>
        <v/>
      </c>
      <c r="AX212" s="92">
        <f>IF(BH211&lt;0.005,0,MAX(0,BH211*(1+BH$6/12)-BH$7))</f>
        <v/>
      </c>
      <c r="AY212" s="91">
        <f>MAX(0,AO212-MAX(0,BJ212-0))</f>
        <v/>
      </c>
      <c r="AZ212" s="91">
        <f>MAX(0,AP212-MAX(0,BJ212-SUM(AO212:AO212)))</f>
        <v/>
      </c>
      <c r="BA212" s="91">
        <f>MAX(0,AQ212-MAX(0,BJ212-SUM(AO212:AP212)))</f>
        <v/>
      </c>
      <c r="BB212" s="91">
        <f>MAX(0,AR212-MAX(0,BJ212-SUM(AO212:AQ212)))</f>
        <v/>
      </c>
      <c r="BC212" s="91">
        <f>MAX(0,AS212-MAX(0,BJ212-SUM(AO212:AR212)))</f>
        <v/>
      </c>
      <c r="BD212" s="91">
        <f>MAX(0,AT212-MAX(0,BJ212-SUM(AO212:AS212)))</f>
        <v/>
      </c>
      <c r="BE212" s="91">
        <f>MAX(0,AU212-MAX(0,BJ212-SUM(AO212:AT212)))</f>
        <v/>
      </c>
      <c r="BF212" s="91">
        <f>MAX(0,AV212-MAX(0,BJ212-SUM(AO212:AU212)))</f>
        <v/>
      </c>
      <c r="BG212" s="91">
        <f>MAX(0,AW212-MAX(0,BJ212-SUM(AO212:AV212)))</f>
        <v/>
      </c>
      <c r="BH212" s="91">
        <f>MAX(0,AX212-MAX(0,BJ212-SUM(AO212:AW212)))</f>
        <v/>
      </c>
      <c r="BI212" s="92">
        <f>SUM(AY211:BH211)+BK212</f>
        <v/>
      </c>
      <c r="BJ212" s="92">
        <f>$BJ$7-(BI212-SUM(AO212:AX212))</f>
        <v/>
      </c>
      <c r="BK212" s="91">
        <f>SUMPRODUCT(AY211:BH211,$AY$6:$BH$6)/12</f>
        <v/>
      </c>
      <c r="BL212" s="88">
        <f>SUM(AY212:BH212)</f>
        <v/>
      </c>
    </row>
    <row r="213">
      <c r="A213" s="24" t="n">
        <v>203</v>
      </c>
      <c r="B213" s="90">
        <f>DATE(YEAR(Settings!$C$11),MONTH(Settings!$C$11)+A213,1)</f>
        <v/>
      </c>
      <c r="C213" s="91">
        <f>IF(C212&lt;0.005,0,MAX(0,C212*(1+C$6/12)-C$7))</f>
        <v/>
      </c>
      <c r="D213" s="91">
        <f>IF(D212&lt;0.005,0,MAX(0,D212*(1+D$6/12)-D$7))</f>
        <v/>
      </c>
      <c r="E213" s="91">
        <f>IF(E212&lt;0.005,0,MAX(0,E212*(1+E$6/12)-E$7))</f>
        <v/>
      </c>
      <c r="F213" s="91">
        <f>IF(F212&lt;0.005,0,MAX(0,F212*(1+F$6/12)-F$7))</f>
        <v/>
      </c>
      <c r="G213" s="91">
        <f>IF(G212&lt;0.005,0,MAX(0,G212*(1+G$6/12)-G$7))</f>
        <v/>
      </c>
      <c r="H213" s="91">
        <f>IF(H212&lt;0.005,0,MAX(0,H212*(1+H$6/12)-H$7))</f>
        <v/>
      </c>
      <c r="I213" s="91">
        <f>IF(I212&lt;0.005,0,MAX(0,I212*(1+I$6/12)-I$7))</f>
        <v/>
      </c>
      <c r="J213" s="91">
        <f>IF(J212&lt;0.005,0,MAX(0,J212*(1+J$6/12)-J$7))</f>
        <v/>
      </c>
      <c r="K213" s="91">
        <f>IF(K212&lt;0.005,0,MAX(0,K212*(1+K$6/12)-K$7))</f>
        <v/>
      </c>
      <c r="L213" s="91">
        <f>IF(L212&lt;0.005,0,MAX(0,L212*(1+L$6/12)-L$7))</f>
        <v/>
      </c>
      <c r="M213" s="91">
        <f>SUMPRODUCT(C212:L212,$C$6:$L$6)/12</f>
        <v/>
      </c>
      <c r="N213" s="88">
        <f>SUM(C213:L213)</f>
        <v/>
      </c>
      <c r="P213" s="92">
        <f>IF(Z212&lt;0.005,0,MAX(0,Z212*(1+Z$6/12)-Z$7))</f>
        <v/>
      </c>
      <c r="Q213" s="92">
        <f>IF(AA212&lt;0.005,0,MAX(0,AA212*(1+AA$6/12)-AA$7))</f>
        <v/>
      </c>
      <c r="R213" s="92">
        <f>IF(AB212&lt;0.005,0,MAX(0,AB212*(1+AB$6/12)-AB$7))</f>
        <v/>
      </c>
      <c r="S213" s="92">
        <f>IF(AC212&lt;0.005,0,MAX(0,AC212*(1+AC$6/12)-AC$7))</f>
        <v/>
      </c>
      <c r="T213" s="92">
        <f>IF(AD212&lt;0.005,0,MAX(0,AD212*(1+AD$6/12)-AD$7))</f>
        <v/>
      </c>
      <c r="U213" s="92">
        <f>IF(AE212&lt;0.005,0,MAX(0,AE212*(1+AE$6/12)-AE$7))</f>
        <v/>
      </c>
      <c r="V213" s="92">
        <f>IF(AF212&lt;0.005,0,MAX(0,AF212*(1+AF$6/12)-AF$7))</f>
        <v/>
      </c>
      <c r="W213" s="92">
        <f>IF(AG212&lt;0.005,0,MAX(0,AG212*(1+AG$6/12)-AG$7))</f>
        <v/>
      </c>
      <c r="X213" s="92">
        <f>IF(AH212&lt;0.005,0,MAX(0,AH212*(1+AH$6/12)-AH$7))</f>
        <v/>
      </c>
      <c r="Y213" s="92">
        <f>IF(AI212&lt;0.005,0,MAX(0,AI212*(1+AI$6/12)-AI$7))</f>
        <v/>
      </c>
      <c r="Z213" s="91">
        <f>MAX(0,P213-MAX(0,AK213-0))</f>
        <v/>
      </c>
      <c r="AA213" s="91">
        <f>MAX(0,Q213-MAX(0,AK213-SUM(P213:P213)))</f>
        <v/>
      </c>
      <c r="AB213" s="91">
        <f>MAX(0,R213-MAX(0,AK213-SUM(P213:Q213)))</f>
        <v/>
      </c>
      <c r="AC213" s="91">
        <f>MAX(0,S213-MAX(0,AK213-SUM(P213:R213)))</f>
        <v/>
      </c>
      <c r="AD213" s="91">
        <f>MAX(0,T213-MAX(0,AK213-SUM(P213:S213)))</f>
        <v/>
      </c>
      <c r="AE213" s="91">
        <f>MAX(0,U213-MAX(0,AK213-SUM(P213:T213)))</f>
        <v/>
      </c>
      <c r="AF213" s="91">
        <f>MAX(0,V213-MAX(0,AK213-SUM(P213:U213)))</f>
        <v/>
      </c>
      <c r="AG213" s="91">
        <f>MAX(0,W213-MAX(0,AK213-SUM(P213:V213)))</f>
        <v/>
      </c>
      <c r="AH213" s="91">
        <f>MAX(0,X213-MAX(0,AK213-SUM(P213:W213)))</f>
        <v/>
      </c>
      <c r="AI213" s="91">
        <f>MAX(0,Y213-MAX(0,AK213-SUM(P213:X213)))</f>
        <v/>
      </c>
      <c r="AJ213" s="92">
        <f>SUM(Z212:AI212)+AL213</f>
        <v/>
      </c>
      <c r="AK213" s="92">
        <f>$AK$7-(AJ213-SUM(P213:Y213))</f>
        <v/>
      </c>
      <c r="AL213" s="91">
        <f>SUMPRODUCT(Z212:AI212,$Z$6:$AI$6)/12</f>
        <v/>
      </c>
      <c r="AM213" s="88">
        <f>SUM(Z213:AI213)</f>
        <v/>
      </c>
      <c r="AO213" s="92">
        <f>IF(AY212&lt;0.005,0,MAX(0,AY212*(1+AY$6/12)-AY$7))</f>
        <v/>
      </c>
      <c r="AP213" s="92">
        <f>IF(AZ212&lt;0.005,0,MAX(0,AZ212*(1+AZ$6/12)-AZ$7))</f>
        <v/>
      </c>
      <c r="AQ213" s="92">
        <f>IF(BA212&lt;0.005,0,MAX(0,BA212*(1+BA$6/12)-BA$7))</f>
        <v/>
      </c>
      <c r="AR213" s="92">
        <f>IF(BB212&lt;0.005,0,MAX(0,BB212*(1+BB$6/12)-BB$7))</f>
        <v/>
      </c>
      <c r="AS213" s="92">
        <f>IF(BC212&lt;0.005,0,MAX(0,BC212*(1+BC$6/12)-BC$7))</f>
        <v/>
      </c>
      <c r="AT213" s="92">
        <f>IF(BD212&lt;0.005,0,MAX(0,BD212*(1+BD$6/12)-BD$7))</f>
        <v/>
      </c>
      <c r="AU213" s="92">
        <f>IF(BE212&lt;0.005,0,MAX(0,BE212*(1+BE$6/12)-BE$7))</f>
        <v/>
      </c>
      <c r="AV213" s="92">
        <f>IF(BF212&lt;0.005,0,MAX(0,BF212*(1+BF$6/12)-BF$7))</f>
        <v/>
      </c>
      <c r="AW213" s="92">
        <f>IF(BG212&lt;0.005,0,MAX(0,BG212*(1+BG$6/12)-BG$7))</f>
        <v/>
      </c>
      <c r="AX213" s="92">
        <f>IF(BH212&lt;0.005,0,MAX(0,BH212*(1+BH$6/12)-BH$7))</f>
        <v/>
      </c>
      <c r="AY213" s="91">
        <f>MAX(0,AO213-MAX(0,BJ213-0))</f>
        <v/>
      </c>
      <c r="AZ213" s="91">
        <f>MAX(0,AP213-MAX(0,BJ213-SUM(AO213:AO213)))</f>
        <v/>
      </c>
      <c r="BA213" s="91">
        <f>MAX(0,AQ213-MAX(0,BJ213-SUM(AO213:AP213)))</f>
        <v/>
      </c>
      <c r="BB213" s="91">
        <f>MAX(0,AR213-MAX(0,BJ213-SUM(AO213:AQ213)))</f>
        <v/>
      </c>
      <c r="BC213" s="91">
        <f>MAX(0,AS213-MAX(0,BJ213-SUM(AO213:AR213)))</f>
        <v/>
      </c>
      <c r="BD213" s="91">
        <f>MAX(0,AT213-MAX(0,BJ213-SUM(AO213:AS213)))</f>
        <v/>
      </c>
      <c r="BE213" s="91">
        <f>MAX(0,AU213-MAX(0,BJ213-SUM(AO213:AT213)))</f>
        <v/>
      </c>
      <c r="BF213" s="91">
        <f>MAX(0,AV213-MAX(0,BJ213-SUM(AO213:AU213)))</f>
        <v/>
      </c>
      <c r="BG213" s="91">
        <f>MAX(0,AW213-MAX(0,BJ213-SUM(AO213:AV213)))</f>
        <v/>
      </c>
      <c r="BH213" s="91">
        <f>MAX(0,AX213-MAX(0,BJ213-SUM(AO213:AW213)))</f>
        <v/>
      </c>
      <c r="BI213" s="92">
        <f>SUM(AY212:BH212)+BK213</f>
        <v/>
      </c>
      <c r="BJ213" s="92">
        <f>$BJ$7-(BI213-SUM(AO213:AX213))</f>
        <v/>
      </c>
      <c r="BK213" s="91">
        <f>SUMPRODUCT(AY212:BH212,$AY$6:$BH$6)/12</f>
        <v/>
      </c>
      <c r="BL213" s="88">
        <f>SUM(AY213:BH213)</f>
        <v/>
      </c>
    </row>
    <row r="214">
      <c r="A214" s="24" t="n">
        <v>204</v>
      </c>
      <c r="B214" s="90">
        <f>DATE(YEAR(Settings!$C$11),MONTH(Settings!$C$11)+A214,1)</f>
        <v/>
      </c>
      <c r="C214" s="91">
        <f>IF(C213&lt;0.005,0,MAX(0,C213*(1+C$6/12)-C$7))</f>
        <v/>
      </c>
      <c r="D214" s="91">
        <f>IF(D213&lt;0.005,0,MAX(0,D213*(1+D$6/12)-D$7))</f>
        <v/>
      </c>
      <c r="E214" s="91">
        <f>IF(E213&lt;0.005,0,MAX(0,E213*(1+E$6/12)-E$7))</f>
        <v/>
      </c>
      <c r="F214" s="91">
        <f>IF(F213&lt;0.005,0,MAX(0,F213*(1+F$6/12)-F$7))</f>
        <v/>
      </c>
      <c r="G214" s="91">
        <f>IF(G213&lt;0.005,0,MAX(0,G213*(1+G$6/12)-G$7))</f>
        <v/>
      </c>
      <c r="H214" s="91">
        <f>IF(H213&lt;0.005,0,MAX(0,H213*(1+H$6/12)-H$7))</f>
        <v/>
      </c>
      <c r="I214" s="91">
        <f>IF(I213&lt;0.005,0,MAX(0,I213*(1+I$6/12)-I$7))</f>
        <v/>
      </c>
      <c r="J214" s="91">
        <f>IF(J213&lt;0.005,0,MAX(0,J213*(1+J$6/12)-J$7))</f>
        <v/>
      </c>
      <c r="K214" s="91">
        <f>IF(K213&lt;0.005,0,MAX(0,K213*(1+K$6/12)-K$7))</f>
        <v/>
      </c>
      <c r="L214" s="91">
        <f>IF(L213&lt;0.005,0,MAX(0,L213*(1+L$6/12)-L$7))</f>
        <v/>
      </c>
      <c r="M214" s="91">
        <f>SUMPRODUCT(C213:L213,$C$6:$L$6)/12</f>
        <v/>
      </c>
      <c r="N214" s="88">
        <f>SUM(C214:L214)</f>
        <v/>
      </c>
      <c r="P214" s="92">
        <f>IF(Z213&lt;0.005,0,MAX(0,Z213*(1+Z$6/12)-Z$7))</f>
        <v/>
      </c>
      <c r="Q214" s="92">
        <f>IF(AA213&lt;0.005,0,MAX(0,AA213*(1+AA$6/12)-AA$7))</f>
        <v/>
      </c>
      <c r="R214" s="92">
        <f>IF(AB213&lt;0.005,0,MAX(0,AB213*(1+AB$6/12)-AB$7))</f>
        <v/>
      </c>
      <c r="S214" s="92">
        <f>IF(AC213&lt;0.005,0,MAX(0,AC213*(1+AC$6/12)-AC$7))</f>
        <v/>
      </c>
      <c r="T214" s="92">
        <f>IF(AD213&lt;0.005,0,MAX(0,AD213*(1+AD$6/12)-AD$7))</f>
        <v/>
      </c>
      <c r="U214" s="92">
        <f>IF(AE213&lt;0.005,0,MAX(0,AE213*(1+AE$6/12)-AE$7))</f>
        <v/>
      </c>
      <c r="V214" s="92">
        <f>IF(AF213&lt;0.005,0,MAX(0,AF213*(1+AF$6/12)-AF$7))</f>
        <v/>
      </c>
      <c r="W214" s="92">
        <f>IF(AG213&lt;0.005,0,MAX(0,AG213*(1+AG$6/12)-AG$7))</f>
        <v/>
      </c>
      <c r="X214" s="92">
        <f>IF(AH213&lt;0.005,0,MAX(0,AH213*(1+AH$6/12)-AH$7))</f>
        <v/>
      </c>
      <c r="Y214" s="92">
        <f>IF(AI213&lt;0.005,0,MAX(0,AI213*(1+AI$6/12)-AI$7))</f>
        <v/>
      </c>
      <c r="Z214" s="91">
        <f>MAX(0,P214-MAX(0,AK214-0))</f>
        <v/>
      </c>
      <c r="AA214" s="91">
        <f>MAX(0,Q214-MAX(0,AK214-SUM(P214:P214)))</f>
        <v/>
      </c>
      <c r="AB214" s="91">
        <f>MAX(0,R214-MAX(0,AK214-SUM(P214:Q214)))</f>
        <v/>
      </c>
      <c r="AC214" s="91">
        <f>MAX(0,S214-MAX(0,AK214-SUM(P214:R214)))</f>
        <v/>
      </c>
      <c r="AD214" s="91">
        <f>MAX(0,T214-MAX(0,AK214-SUM(P214:S214)))</f>
        <v/>
      </c>
      <c r="AE214" s="91">
        <f>MAX(0,U214-MAX(0,AK214-SUM(P214:T214)))</f>
        <v/>
      </c>
      <c r="AF214" s="91">
        <f>MAX(0,V214-MAX(0,AK214-SUM(P214:U214)))</f>
        <v/>
      </c>
      <c r="AG214" s="91">
        <f>MAX(0,W214-MAX(0,AK214-SUM(P214:V214)))</f>
        <v/>
      </c>
      <c r="AH214" s="91">
        <f>MAX(0,X214-MAX(0,AK214-SUM(P214:W214)))</f>
        <v/>
      </c>
      <c r="AI214" s="91">
        <f>MAX(0,Y214-MAX(0,AK214-SUM(P214:X214)))</f>
        <v/>
      </c>
      <c r="AJ214" s="92">
        <f>SUM(Z213:AI213)+AL214</f>
        <v/>
      </c>
      <c r="AK214" s="92">
        <f>$AK$7-(AJ214-SUM(P214:Y214))</f>
        <v/>
      </c>
      <c r="AL214" s="91">
        <f>SUMPRODUCT(Z213:AI213,$Z$6:$AI$6)/12</f>
        <v/>
      </c>
      <c r="AM214" s="88">
        <f>SUM(Z214:AI214)</f>
        <v/>
      </c>
      <c r="AO214" s="92">
        <f>IF(AY213&lt;0.005,0,MAX(0,AY213*(1+AY$6/12)-AY$7))</f>
        <v/>
      </c>
      <c r="AP214" s="92">
        <f>IF(AZ213&lt;0.005,0,MAX(0,AZ213*(1+AZ$6/12)-AZ$7))</f>
        <v/>
      </c>
      <c r="AQ214" s="92">
        <f>IF(BA213&lt;0.005,0,MAX(0,BA213*(1+BA$6/12)-BA$7))</f>
        <v/>
      </c>
      <c r="AR214" s="92">
        <f>IF(BB213&lt;0.005,0,MAX(0,BB213*(1+BB$6/12)-BB$7))</f>
        <v/>
      </c>
      <c r="AS214" s="92">
        <f>IF(BC213&lt;0.005,0,MAX(0,BC213*(1+BC$6/12)-BC$7))</f>
        <v/>
      </c>
      <c r="AT214" s="92">
        <f>IF(BD213&lt;0.005,0,MAX(0,BD213*(1+BD$6/12)-BD$7))</f>
        <v/>
      </c>
      <c r="AU214" s="92">
        <f>IF(BE213&lt;0.005,0,MAX(0,BE213*(1+BE$6/12)-BE$7))</f>
        <v/>
      </c>
      <c r="AV214" s="92">
        <f>IF(BF213&lt;0.005,0,MAX(0,BF213*(1+BF$6/12)-BF$7))</f>
        <v/>
      </c>
      <c r="AW214" s="92">
        <f>IF(BG213&lt;0.005,0,MAX(0,BG213*(1+BG$6/12)-BG$7))</f>
        <v/>
      </c>
      <c r="AX214" s="92">
        <f>IF(BH213&lt;0.005,0,MAX(0,BH213*(1+BH$6/12)-BH$7))</f>
        <v/>
      </c>
      <c r="AY214" s="91">
        <f>MAX(0,AO214-MAX(0,BJ214-0))</f>
        <v/>
      </c>
      <c r="AZ214" s="91">
        <f>MAX(0,AP214-MAX(0,BJ214-SUM(AO214:AO214)))</f>
        <v/>
      </c>
      <c r="BA214" s="91">
        <f>MAX(0,AQ214-MAX(0,BJ214-SUM(AO214:AP214)))</f>
        <v/>
      </c>
      <c r="BB214" s="91">
        <f>MAX(0,AR214-MAX(0,BJ214-SUM(AO214:AQ214)))</f>
        <v/>
      </c>
      <c r="BC214" s="91">
        <f>MAX(0,AS214-MAX(0,BJ214-SUM(AO214:AR214)))</f>
        <v/>
      </c>
      <c r="BD214" s="91">
        <f>MAX(0,AT214-MAX(0,BJ214-SUM(AO214:AS214)))</f>
        <v/>
      </c>
      <c r="BE214" s="91">
        <f>MAX(0,AU214-MAX(0,BJ214-SUM(AO214:AT214)))</f>
        <v/>
      </c>
      <c r="BF214" s="91">
        <f>MAX(0,AV214-MAX(0,BJ214-SUM(AO214:AU214)))</f>
        <v/>
      </c>
      <c r="BG214" s="91">
        <f>MAX(0,AW214-MAX(0,BJ214-SUM(AO214:AV214)))</f>
        <v/>
      </c>
      <c r="BH214" s="91">
        <f>MAX(0,AX214-MAX(0,BJ214-SUM(AO214:AW214)))</f>
        <v/>
      </c>
      <c r="BI214" s="92">
        <f>SUM(AY213:BH213)+BK214</f>
        <v/>
      </c>
      <c r="BJ214" s="92">
        <f>$BJ$7-(BI214-SUM(AO214:AX214))</f>
        <v/>
      </c>
      <c r="BK214" s="91">
        <f>SUMPRODUCT(AY213:BH213,$AY$6:$BH$6)/12</f>
        <v/>
      </c>
      <c r="BL214" s="88">
        <f>SUM(AY214:BH214)</f>
        <v/>
      </c>
    </row>
    <row r="215">
      <c r="A215" s="24" t="n">
        <v>205</v>
      </c>
      <c r="B215" s="90">
        <f>DATE(YEAR(Settings!$C$11),MONTH(Settings!$C$11)+A215,1)</f>
        <v/>
      </c>
      <c r="C215" s="91">
        <f>IF(C214&lt;0.005,0,MAX(0,C214*(1+C$6/12)-C$7))</f>
        <v/>
      </c>
      <c r="D215" s="91">
        <f>IF(D214&lt;0.005,0,MAX(0,D214*(1+D$6/12)-D$7))</f>
        <v/>
      </c>
      <c r="E215" s="91">
        <f>IF(E214&lt;0.005,0,MAX(0,E214*(1+E$6/12)-E$7))</f>
        <v/>
      </c>
      <c r="F215" s="91">
        <f>IF(F214&lt;0.005,0,MAX(0,F214*(1+F$6/12)-F$7))</f>
        <v/>
      </c>
      <c r="G215" s="91">
        <f>IF(G214&lt;0.005,0,MAX(0,G214*(1+G$6/12)-G$7))</f>
        <v/>
      </c>
      <c r="H215" s="91">
        <f>IF(H214&lt;0.005,0,MAX(0,H214*(1+H$6/12)-H$7))</f>
        <v/>
      </c>
      <c r="I215" s="91">
        <f>IF(I214&lt;0.005,0,MAX(0,I214*(1+I$6/12)-I$7))</f>
        <v/>
      </c>
      <c r="J215" s="91">
        <f>IF(J214&lt;0.005,0,MAX(0,J214*(1+J$6/12)-J$7))</f>
        <v/>
      </c>
      <c r="K215" s="91">
        <f>IF(K214&lt;0.005,0,MAX(0,K214*(1+K$6/12)-K$7))</f>
        <v/>
      </c>
      <c r="L215" s="91">
        <f>IF(L214&lt;0.005,0,MAX(0,L214*(1+L$6/12)-L$7))</f>
        <v/>
      </c>
      <c r="M215" s="91">
        <f>SUMPRODUCT(C214:L214,$C$6:$L$6)/12</f>
        <v/>
      </c>
      <c r="N215" s="88">
        <f>SUM(C215:L215)</f>
        <v/>
      </c>
      <c r="P215" s="92">
        <f>IF(Z214&lt;0.005,0,MAX(0,Z214*(1+Z$6/12)-Z$7))</f>
        <v/>
      </c>
      <c r="Q215" s="92">
        <f>IF(AA214&lt;0.005,0,MAX(0,AA214*(1+AA$6/12)-AA$7))</f>
        <v/>
      </c>
      <c r="R215" s="92">
        <f>IF(AB214&lt;0.005,0,MAX(0,AB214*(1+AB$6/12)-AB$7))</f>
        <v/>
      </c>
      <c r="S215" s="92">
        <f>IF(AC214&lt;0.005,0,MAX(0,AC214*(1+AC$6/12)-AC$7))</f>
        <v/>
      </c>
      <c r="T215" s="92">
        <f>IF(AD214&lt;0.005,0,MAX(0,AD214*(1+AD$6/12)-AD$7))</f>
        <v/>
      </c>
      <c r="U215" s="92">
        <f>IF(AE214&lt;0.005,0,MAX(0,AE214*(1+AE$6/12)-AE$7))</f>
        <v/>
      </c>
      <c r="V215" s="92">
        <f>IF(AF214&lt;0.005,0,MAX(0,AF214*(1+AF$6/12)-AF$7))</f>
        <v/>
      </c>
      <c r="W215" s="92">
        <f>IF(AG214&lt;0.005,0,MAX(0,AG214*(1+AG$6/12)-AG$7))</f>
        <v/>
      </c>
      <c r="X215" s="92">
        <f>IF(AH214&lt;0.005,0,MAX(0,AH214*(1+AH$6/12)-AH$7))</f>
        <v/>
      </c>
      <c r="Y215" s="92">
        <f>IF(AI214&lt;0.005,0,MAX(0,AI214*(1+AI$6/12)-AI$7))</f>
        <v/>
      </c>
      <c r="Z215" s="91">
        <f>MAX(0,P215-MAX(0,AK215-0))</f>
        <v/>
      </c>
      <c r="AA215" s="91">
        <f>MAX(0,Q215-MAX(0,AK215-SUM(P215:P215)))</f>
        <v/>
      </c>
      <c r="AB215" s="91">
        <f>MAX(0,R215-MAX(0,AK215-SUM(P215:Q215)))</f>
        <v/>
      </c>
      <c r="AC215" s="91">
        <f>MAX(0,S215-MAX(0,AK215-SUM(P215:R215)))</f>
        <v/>
      </c>
      <c r="AD215" s="91">
        <f>MAX(0,T215-MAX(0,AK215-SUM(P215:S215)))</f>
        <v/>
      </c>
      <c r="AE215" s="91">
        <f>MAX(0,U215-MAX(0,AK215-SUM(P215:T215)))</f>
        <v/>
      </c>
      <c r="AF215" s="91">
        <f>MAX(0,V215-MAX(0,AK215-SUM(P215:U215)))</f>
        <v/>
      </c>
      <c r="AG215" s="91">
        <f>MAX(0,W215-MAX(0,AK215-SUM(P215:V215)))</f>
        <v/>
      </c>
      <c r="AH215" s="91">
        <f>MAX(0,X215-MAX(0,AK215-SUM(P215:W215)))</f>
        <v/>
      </c>
      <c r="AI215" s="91">
        <f>MAX(0,Y215-MAX(0,AK215-SUM(P215:X215)))</f>
        <v/>
      </c>
      <c r="AJ215" s="92">
        <f>SUM(Z214:AI214)+AL215</f>
        <v/>
      </c>
      <c r="AK215" s="92">
        <f>$AK$7-(AJ215-SUM(P215:Y215))</f>
        <v/>
      </c>
      <c r="AL215" s="91">
        <f>SUMPRODUCT(Z214:AI214,$Z$6:$AI$6)/12</f>
        <v/>
      </c>
      <c r="AM215" s="88">
        <f>SUM(Z215:AI215)</f>
        <v/>
      </c>
      <c r="AO215" s="92">
        <f>IF(AY214&lt;0.005,0,MAX(0,AY214*(1+AY$6/12)-AY$7))</f>
        <v/>
      </c>
      <c r="AP215" s="92">
        <f>IF(AZ214&lt;0.005,0,MAX(0,AZ214*(1+AZ$6/12)-AZ$7))</f>
        <v/>
      </c>
      <c r="AQ215" s="92">
        <f>IF(BA214&lt;0.005,0,MAX(0,BA214*(1+BA$6/12)-BA$7))</f>
        <v/>
      </c>
      <c r="AR215" s="92">
        <f>IF(BB214&lt;0.005,0,MAX(0,BB214*(1+BB$6/12)-BB$7))</f>
        <v/>
      </c>
      <c r="AS215" s="92">
        <f>IF(BC214&lt;0.005,0,MAX(0,BC214*(1+BC$6/12)-BC$7))</f>
        <v/>
      </c>
      <c r="AT215" s="92">
        <f>IF(BD214&lt;0.005,0,MAX(0,BD214*(1+BD$6/12)-BD$7))</f>
        <v/>
      </c>
      <c r="AU215" s="92">
        <f>IF(BE214&lt;0.005,0,MAX(0,BE214*(1+BE$6/12)-BE$7))</f>
        <v/>
      </c>
      <c r="AV215" s="92">
        <f>IF(BF214&lt;0.005,0,MAX(0,BF214*(1+BF$6/12)-BF$7))</f>
        <v/>
      </c>
      <c r="AW215" s="92">
        <f>IF(BG214&lt;0.005,0,MAX(0,BG214*(1+BG$6/12)-BG$7))</f>
        <v/>
      </c>
      <c r="AX215" s="92">
        <f>IF(BH214&lt;0.005,0,MAX(0,BH214*(1+BH$6/12)-BH$7))</f>
        <v/>
      </c>
      <c r="AY215" s="91">
        <f>MAX(0,AO215-MAX(0,BJ215-0))</f>
        <v/>
      </c>
      <c r="AZ215" s="91">
        <f>MAX(0,AP215-MAX(0,BJ215-SUM(AO215:AO215)))</f>
        <v/>
      </c>
      <c r="BA215" s="91">
        <f>MAX(0,AQ215-MAX(0,BJ215-SUM(AO215:AP215)))</f>
        <v/>
      </c>
      <c r="BB215" s="91">
        <f>MAX(0,AR215-MAX(0,BJ215-SUM(AO215:AQ215)))</f>
        <v/>
      </c>
      <c r="BC215" s="91">
        <f>MAX(0,AS215-MAX(0,BJ215-SUM(AO215:AR215)))</f>
        <v/>
      </c>
      <c r="BD215" s="91">
        <f>MAX(0,AT215-MAX(0,BJ215-SUM(AO215:AS215)))</f>
        <v/>
      </c>
      <c r="BE215" s="91">
        <f>MAX(0,AU215-MAX(0,BJ215-SUM(AO215:AT215)))</f>
        <v/>
      </c>
      <c r="BF215" s="91">
        <f>MAX(0,AV215-MAX(0,BJ215-SUM(AO215:AU215)))</f>
        <v/>
      </c>
      <c r="BG215" s="91">
        <f>MAX(0,AW215-MAX(0,BJ215-SUM(AO215:AV215)))</f>
        <v/>
      </c>
      <c r="BH215" s="91">
        <f>MAX(0,AX215-MAX(0,BJ215-SUM(AO215:AW215)))</f>
        <v/>
      </c>
      <c r="BI215" s="92">
        <f>SUM(AY214:BH214)+BK215</f>
        <v/>
      </c>
      <c r="BJ215" s="92">
        <f>$BJ$7-(BI215-SUM(AO215:AX215))</f>
        <v/>
      </c>
      <c r="BK215" s="91">
        <f>SUMPRODUCT(AY214:BH214,$AY$6:$BH$6)/12</f>
        <v/>
      </c>
      <c r="BL215" s="88">
        <f>SUM(AY215:BH215)</f>
        <v/>
      </c>
    </row>
    <row r="216">
      <c r="A216" s="24" t="n">
        <v>206</v>
      </c>
      <c r="B216" s="90">
        <f>DATE(YEAR(Settings!$C$11),MONTH(Settings!$C$11)+A216,1)</f>
        <v/>
      </c>
      <c r="C216" s="91">
        <f>IF(C215&lt;0.005,0,MAX(0,C215*(1+C$6/12)-C$7))</f>
        <v/>
      </c>
      <c r="D216" s="91">
        <f>IF(D215&lt;0.005,0,MAX(0,D215*(1+D$6/12)-D$7))</f>
        <v/>
      </c>
      <c r="E216" s="91">
        <f>IF(E215&lt;0.005,0,MAX(0,E215*(1+E$6/12)-E$7))</f>
        <v/>
      </c>
      <c r="F216" s="91">
        <f>IF(F215&lt;0.005,0,MAX(0,F215*(1+F$6/12)-F$7))</f>
        <v/>
      </c>
      <c r="G216" s="91">
        <f>IF(G215&lt;0.005,0,MAX(0,G215*(1+G$6/12)-G$7))</f>
        <v/>
      </c>
      <c r="H216" s="91">
        <f>IF(H215&lt;0.005,0,MAX(0,H215*(1+H$6/12)-H$7))</f>
        <v/>
      </c>
      <c r="I216" s="91">
        <f>IF(I215&lt;0.005,0,MAX(0,I215*(1+I$6/12)-I$7))</f>
        <v/>
      </c>
      <c r="J216" s="91">
        <f>IF(J215&lt;0.005,0,MAX(0,J215*(1+J$6/12)-J$7))</f>
        <v/>
      </c>
      <c r="K216" s="91">
        <f>IF(K215&lt;0.005,0,MAX(0,K215*(1+K$6/12)-K$7))</f>
        <v/>
      </c>
      <c r="L216" s="91">
        <f>IF(L215&lt;0.005,0,MAX(0,L215*(1+L$6/12)-L$7))</f>
        <v/>
      </c>
      <c r="M216" s="91">
        <f>SUMPRODUCT(C215:L215,$C$6:$L$6)/12</f>
        <v/>
      </c>
      <c r="N216" s="88">
        <f>SUM(C216:L216)</f>
        <v/>
      </c>
      <c r="P216" s="92">
        <f>IF(Z215&lt;0.005,0,MAX(0,Z215*(1+Z$6/12)-Z$7))</f>
        <v/>
      </c>
      <c r="Q216" s="92">
        <f>IF(AA215&lt;0.005,0,MAX(0,AA215*(1+AA$6/12)-AA$7))</f>
        <v/>
      </c>
      <c r="R216" s="92">
        <f>IF(AB215&lt;0.005,0,MAX(0,AB215*(1+AB$6/12)-AB$7))</f>
        <v/>
      </c>
      <c r="S216" s="92">
        <f>IF(AC215&lt;0.005,0,MAX(0,AC215*(1+AC$6/12)-AC$7))</f>
        <v/>
      </c>
      <c r="T216" s="92">
        <f>IF(AD215&lt;0.005,0,MAX(0,AD215*(1+AD$6/12)-AD$7))</f>
        <v/>
      </c>
      <c r="U216" s="92">
        <f>IF(AE215&lt;0.005,0,MAX(0,AE215*(1+AE$6/12)-AE$7))</f>
        <v/>
      </c>
      <c r="V216" s="92">
        <f>IF(AF215&lt;0.005,0,MAX(0,AF215*(1+AF$6/12)-AF$7))</f>
        <v/>
      </c>
      <c r="W216" s="92">
        <f>IF(AG215&lt;0.005,0,MAX(0,AG215*(1+AG$6/12)-AG$7))</f>
        <v/>
      </c>
      <c r="X216" s="92">
        <f>IF(AH215&lt;0.005,0,MAX(0,AH215*(1+AH$6/12)-AH$7))</f>
        <v/>
      </c>
      <c r="Y216" s="92">
        <f>IF(AI215&lt;0.005,0,MAX(0,AI215*(1+AI$6/12)-AI$7))</f>
        <v/>
      </c>
      <c r="Z216" s="91">
        <f>MAX(0,P216-MAX(0,AK216-0))</f>
        <v/>
      </c>
      <c r="AA216" s="91">
        <f>MAX(0,Q216-MAX(0,AK216-SUM(P216:P216)))</f>
        <v/>
      </c>
      <c r="AB216" s="91">
        <f>MAX(0,R216-MAX(0,AK216-SUM(P216:Q216)))</f>
        <v/>
      </c>
      <c r="AC216" s="91">
        <f>MAX(0,S216-MAX(0,AK216-SUM(P216:R216)))</f>
        <v/>
      </c>
      <c r="AD216" s="91">
        <f>MAX(0,T216-MAX(0,AK216-SUM(P216:S216)))</f>
        <v/>
      </c>
      <c r="AE216" s="91">
        <f>MAX(0,U216-MAX(0,AK216-SUM(P216:T216)))</f>
        <v/>
      </c>
      <c r="AF216" s="91">
        <f>MAX(0,V216-MAX(0,AK216-SUM(P216:U216)))</f>
        <v/>
      </c>
      <c r="AG216" s="91">
        <f>MAX(0,W216-MAX(0,AK216-SUM(P216:V216)))</f>
        <v/>
      </c>
      <c r="AH216" s="91">
        <f>MAX(0,X216-MAX(0,AK216-SUM(P216:W216)))</f>
        <v/>
      </c>
      <c r="AI216" s="91">
        <f>MAX(0,Y216-MAX(0,AK216-SUM(P216:X216)))</f>
        <v/>
      </c>
      <c r="AJ216" s="92">
        <f>SUM(Z215:AI215)+AL216</f>
        <v/>
      </c>
      <c r="AK216" s="92">
        <f>$AK$7-(AJ216-SUM(P216:Y216))</f>
        <v/>
      </c>
      <c r="AL216" s="91">
        <f>SUMPRODUCT(Z215:AI215,$Z$6:$AI$6)/12</f>
        <v/>
      </c>
      <c r="AM216" s="88">
        <f>SUM(Z216:AI216)</f>
        <v/>
      </c>
      <c r="AO216" s="92">
        <f>IF(AY215&lt;0.005,0,MAX(0,AY215*(1+AY$6/12)-AY$7))</f>
        <v/>
      </c>
      <c r="AP216" s="92">
        <f>IF(AZ215&lt;0.005,0,MAX(0,AZ215*(1+AZ$6/12)-AZ$7))</f>
        <v/>
      </c>
      <c r="AQ216" s="92">
        <f>IF(BA215&lt;0.005,0,MAX(0,BA215*(1+BA$6/12)-BA$7))</f>
        <v/>
      </c>
      <c r="AR216" s="92">
        <f>IF(BB215&lt;0.005,0,MAX(0,BB215*(1+BB$6/12)-BB$7))</f>
        <v/>
      </c>
      <c r="AS216" s="92">
        <f>IF(BC215&lt;0.005,0,MAX(0,BC215*(1+BC$6/12)-BC$7))</f>
        <v/>
      </c>
      <c r="AT216" s="92">
        <f>IF(BD215&lt;0.005,0,MAX(0,BD215*(1+BD$6/12)-BD$7))</f>
        <v/>
      </c>
      <c r="AU216" s="92">
        <f>IF(BE215&lt;0.005,0,MAX(0,BE215*(1+BE$6/12)-BE$7))</f>
        <v/>
      </c>
      <c r="AV216" s="92">
        <f>IF(BF215&lt;0.005,0,MAX(0,BF215*(1+BF$6/12)-BF$7))</f>
        <v/>
      </c>
      <c r="AW216" s="92">
        <f>IF(BG215&lt;0.005,0,MAX(0,BG215*(1+BG$6/12)-BG$7))</f>
        <v/>
      </c>
      <c r="AX216" s="92">
        <f>IF(BH215&lt;0.005,0,MAX(0,BH215*(1+BH$6/12)-BH$7))</f>
        <v/>
      </c>
      <c r="AY216" s="91">
        <f>MAX(0,AO216-MAX(0,BJ216-0))</f>
        <v/>
      </c>
      <c r="AZ216" s="91">
        <f>MAX(0,AP216-MAX(0,BJ216-SUM(AO216:AO216)))</f>
        <v/>
      </c>
      <c r="BA216" s="91">
        <f>MAX(0,AQ216-MAX(0,BJ216-SUM(AO216:AP216)))</f>
        <v/>
      </c>
      <c r="BB216" s="91">
        <f>MAX(0,AR216-MAX(0,BJ216-SUM(AO216:AQ216)))</f>
        <v/>
      </c>
      <c r="BC216" s="91">
        <f>MAX(0,AS216-MAX(0,BJ216-SUM(AO216:AR216)))</f>
        <v/>
      </c>
      <c r="BD216" s="91">
        <f>MAX(0,AT216-MAX(0,BJ216-SUM(AO216:AS216)))</f>
        <v/>
      </c>
      <c r="BE216" s="91">
        <f>MAX(0,AU216-MAX(0,BJ216-SUM(AO216:AT216)))</f>
        <v/>
      </c>
      <c r="BF216" s="91">
        <f>MAX(0,AV216-MAX(0,BJ216-SUM(AO216:AU216)))</f>
        <v/>
      </c>
      <c r="BG216" s="91">
        <f>MAX(0,AW216-MAX(0,BJ216-SUM(AO216:AV216)))</f>
        <v/>
      </c>
      <c r="BH216" s="91">
        <f>MAX(0,AX216-MAX(0,BJ216-SUM(AO216:AW216)))</f>
        <v/>
      </c>
      <c r="BI216" s="92">
        <f>SUM(AY215:BH215)+BK216</f>
        <v/>
      </c>
      <c r="BJ216" s="92">
        <f>$BJ$7-(BI216-SUM(AO216:AX216))</f>
        <v/>
      </c>
      <c r="BK216" s="91">
        <f>SUMPRODUCT(AY215:BH215,$AY$6:$BH$6)/12</f>
        <v/>
      </c>
      <c r="BL216" s="88">
        <f>SUM(AY216:BH216)</f>
        <v/>
      </c>
    </row>
    <row r="217">
      <c r="A217" s="24" t="n">
        <v>207</v>
      </c>
      <c r="B217" s="90">
        <f>DATE(YEAR(Settings!$C$11),MONTH(Settings!$C$11)+A217,1)</f>
        <v/>
      </c>
      <c r="C217" s="91">
        <f>IF(C216&lt;0.005,0,MAX(0,C216*(1+C$6/12)-C$7))</f>
        <v/>
      </c>
      <c r="D217" s="91">
        <f>IF(D216&lt;0.005,0,MAX(0,D216*(1+D$6/12)-D$7))</f>
        <v/>
      </c>
      <c r="E217" s="91">
        <f>IF(E216&lt;0.005,0,MAX(0,E216*(1+E$6/12)-E$7))</f>
        <v/>
      </c>
      <c r="F217" s="91">
        <f>IF(F216&lt;0.005,0,MAX(0,F216*(1+F$6/12)-F$7))</f>
        <v/>
      </c>
      <c r="G217" s="91">
        <f>IF(G216&lt;0.005,0,MAX(0,G216*(1+G$6/12)-G$7))</f>
        <v/>
      </c>
      <c r="H217" s="91">
        <f>IF(H216&lt;0.005,0,MAX(0,H216*(1+H$6/12)-H$7))</f>
        <v/>
      </c>
      <c r="I217" s="91">
        <f>IF(I216&lt;0.005,0,MAX(0,I216*(1+I$6/12)-I$7))</f>
        <v/>
      </c>
      <c r="J217" s="91">
        <f>IF(J216&lt;0.005,0,MAX(0,J216*(1+J$6/12)-J$7))</f>
        <v/>
      </c>
      <c r="K217" s="91">
        <f>IF(K216&lt;0.005,0,MAX(0,K216*(1+K$6/12)-K$7))</f>
        <v/>
      </c>
      <c r="L217" s="91">
        <f>IF(L216&lt;0.005,0,MAX(0,L216*(1+L$6/12)-L$7))</f>
        <v/>
      </c>
      <c r="M217" s="91">
        <f>SUMPRODUCT(C216:L216,$C$6:$L$6)/12</f>
        <v/>
      </c>
      <c r="N217" s="88">
        <f>SUM(C217:L217)</f>
        <v/>
      </c>
      <c r="P217" s="92">
        <f>IF(Z216&lt;0.005,0,MAX(0,Z216*(1+Z$6/12)-Z$7))</f>
        <v/>
      </c>
      <c r="Q217" s="92">
        <f>IF(AA216&lt;0.005,0,MAX(0,AA216*(1+AA$6/12)-AA$7))</f>
        <v/>
      </c>
      <c r="R217" s="92">
        <f>IF(AB216&lt;0.005,0,MAX(0,AB216*(1+AB$6/12)-AB$7))</f>
        <v/>
      </c>
      <c r="S217" s="92">
        <f>IF(AC216&lt;0.005,0,MAX(0,AC216*(1+AC$6/12)-AC$7))</f>
        <v/>
      </c>
      <c r="T217" s="92">
        <f>IF(AD216&lt;0.005,0,MAX(0,AD216*(1+AD$6/12)-AD$7))</f>
        <v/>
      </c>
      <c r="U217" s="92">
        <f>IF(AE216&lt;0.005,0,MAX(0,AE216*(1+AE$6/12)-AE$7))</f>
        <v/>
      </c>
      <c r="V217" s="92">
        <f>IF(AF216&lt;0.005,0,MAX(0,AF216*(1+AF$6/12)-AF$7))</f>
        <v/>
      </c>
      <c r="W217" s="92">
        <f>IF(AG216&lt;0.005,0,MAX(0,AG216*(1+AG$6/12)-AG$7))</f>
        <v/>
      </c>
      <c r="X217" s="92">
        <f>IF(AH216&lt;0.005,0,MAX(0,AH216*(1+AH$6/12)-AH$7))</f>
        <v/>
      </c>
      <c r="Y217" s="92">
        <f>IF(AI216&lt;0.005,0,MAX(0,AI216*(1+AI$6/12)-AI$7))</f>
        <v/>
      </c>
      <c r="Z217" s="91">
        <f>MAX(0,P217-MAX(0,AK217-0))</f>
        <v/>
      </c>
      <c r="AA217" s="91">
        <f>MAX(0,Q217-MAX(0,AK217-SUM(P217:P217)))</f>
        <v/>
      </c>
      <c r="AB217" s="91">
        <f>MAX(0,R217-MAX(0,AK217-SUM(P217:Q217)))</f>
        <v/>
      </c>
      <c r="AC217" s="91">
        <f>MAX(0,S217-MAX(0,AK217-SUM(P217:R217)))</f>
        <v/>
      </c>
      <c r="AD217" s="91">
        <f>MAX(0,T217-MAX(0,AK217-SUM(P217:S217)))</f>
        <v/>
      </c>
      <c r="AE217" s="91">
        <f>MAX(0,U217-MAX(0,AK217-SUM(P217:T217)))</f>
        <v/>
      </c>
      <c r="AF217" s="91">
        <f>MAX(0,V217-MAX(0,AK217-SUM(P217:U217)))</f>
        <v/>
      </c>
      <c r="AG217" s="91">
        <f>MAX(0,W217-MAX(0,AK217-SUM(P217:V217)))</f>
        <v/>
      </c>
      <c r="AH217" s="91">
        <f>MAX(0,X217-MAX(0,AK217-SUM(P217:W217)))</f>
        <v/>
      </c>
      <c r="AI217" s="91">
        <f>MAX(0,Y217-MAX(0,AK217-SUM(P217:X217)))</f>
        <v/>
      </c>
      <c r="AJ217" s="92">
        <f>SUM(Z216:AI216)+AL217</f>
        <v/>
      </c>
      <c r="AK217" s="92">
        <f>$AK$7-(AJ217-SUM(P217:Y217))</f>
        <v/>
      </c>
      <c r="AL217" s="91">
        <f>SUMPRODUCT(Z216:AI216,$Z$6:$AI$6)/12</f>
        <v/>
      </c>
      <c r="AM217" s="88">
        <f>SUM(Z217:AI217)</f>
        <v/>
      </c>
      <c r="AO217" s="92">
        <f>IF(AY216&lt;0.005,0,MAX(0,AY216*(1+AY$6/12)-AY$7))</f>
        <v/>
      </c>
      <c r="AP217" s="92">
        <f>IF(AZ216&lt;0.005,0,MAX(0,AZ216*(1+AZ$6/12)-AZ$7))</f>
        <v/>
      </c>
      <c r="AQ217" s="92">
        <f>IF(BA216&lt;0.005,0,MAX(0,BA216*(1+BA$6/12)-BA$7))</f>
        <v/>
      </c>
      <c r="AR217" s="92">
        <f>IF(BB216&lt;0.005,0,MAX(0,BB216*(1+BB$6/12)-BB$7))</f>
        <v/>
      </c>
      <c r="AS217" s="92">
        <f>IF(BC216&lt;0.005,0,MAX(0,BC216*(1+BC$6/12)-BC$7))</f>
        <v/>
      </c>
      <c r="AT217" s="92">
        <f>IF(BD216&lt;0.005,0,MAX(0,BD216*(1+BD$6/12)-BD$7))</f>
        <v/>
      </c>
      <c r="AU217" s="92">
        <f>IF(BE216&lt;0.005,0,MAX(0,BE216*(1+BE$6/12)-BE$7))</f>
        <v/>
      </c>
      <c r="AV217" s="92">
        <f>IF(BF216&lt;0.005,0,MAX(0,BF216*(1+BF$6/12)-BF$7))</f>
        <v/>
      </c>
      <c r="AW217" s="92">
        <f>IF(BG216&lt;0.005,0,MAX(0,BG216*(1+BG$6/12)-BG$7))</f>
        <v/>
      </c>
      <c r="AX217" s="92">
        <f>IF(BH216&lt;0.005,0,MAX(0,BH216*(1+BH$6/12)-BH$7))</f>
        <v/>
      </c>
      <c r="AY217" s="91">
        <f>MAX(0,AO217-MAX(0,BJ217-0))</f>
        <v/>
      </c>
      <c r="AZ217" s="91">
        <f>MAX(0,AP217-MAX(0,BJ217-SUM(AO217:AO217)))</f>
        <v/>
      </c>
      <c r="BA217" s="91">
        <f>MAX(0,AQ217-MAX(0,BJ217-SUM(AO217:AP217)))</f>
        <v/>
      </c>
      <c r="BB217" s="91">
        <f>MAX(0,AR217-MAX(0,BJ217-SUM(AO217:AQ217)))</f>
        <v/>
      </c>
      <c r="BC217" s="91">
        <f>MAX(0,AS217-MAX(0,BJ217-SUM(AO217:AR217)))</f>
        <v/>
      </c>
      <c r="BD217" s="91">
        <f>MAX(0,AT217-MAX(0,BJ217-SUM(AO217:AS217)))</f>
        <v/>
      </c>
      <c r="BE217" s="91">
        <f>MAX(0,AU217-MAX(0,BJ217-SUM(AO217:AT217)))</f>
        <v/>
      </c>
      <c r="BF217" s="91">
        <f>MAX(0,AV217-MAX(0,BJ217-SUM(AO217:AU217)))</f>
        <v/>
      </c>
      <c r="BG217" s="91">
        <f>MAX(0,AW217-MAX(0,BJ217-SUM(AO217:AV217)))</f>
        <v/>
      </c>
      <c r="BH217" s="91">
        <f>MAX(0,AX217-MAX(0,BJ217-SUM(AO217:AW217)))</f>
        <v/>
      </c>
      <c r="BI217" s="92">
        <f>SUM(AY216:BH216)+BK217</f>
        <v/>
      </c>
      <c r="BJ217" s="92">
        <f>$BJ$7-(BI217-SUM(AO217:AX217))</f>
        <v/>
      </c>
      <c r="BK217" s="91">
        <f>SUMPRODUCT(AY216:BH216,$AY$6:$BH$6)/12</f>
        <v/>
      </c>
      <c r="BL217" s="88">
        <f>SUM(AY217:BH217)</f>
        <v/>
      </c>
    </row>
    <row r="218">
      <c r="A218" s="24" t="n">
        <v>208</v>
      </c>
      <c r="B218" s="90">
        <f>DATE(YEAR(Settings!$C$11),MONTH(Settings!$C$11)+A218,1)</f>
        <v/>
      </c>
      <c r="C218" s="91">
        <f>IF(C217&lt;0.005,0,MAX(0,C217*(1+C$6/12)-C$7))</f>
        <v/>
      </c>
      <c r="D218" s="91">
        <f>IF(D217&lt;0.005,0,MAX(0,D217*(1+D$6/12)-D$7))</f>
        <v/>
      </c>
      <c r="E218" s="91">
        <f>IF(E217&lt;0.005,0,MAX(0,E217*(1+E$6/12)-E$7))</f>
        <v/>
      </c>
      <c r="F218" s="91">
        <f>IF(F217&lt;0.005,0,MAX(0,F217*(1+F$6/12)-F$7))</f>
        <v/>
      </c>
      <c r="G218" s="91">
        <f>IF(G217&lt;0.005,0,MAX(0,G217*(1+G$6/12)-G$7))</f>
        <v/>
      </c>
      <c r="H218" s="91">
        <f>IF(H217&lt;0.005,0,MAX(0,H217*(1+H$6/12)-H$7))</f>
        <v/>
      </c>
      <c r="I218" s="91">
        <f>IF(I217&lt;0.005,0,MAX(0,I217*(1+I$6/12)-I$7))</f>
        <v/>
      </c>
      <c r="J218" s="91">
        <f>IF(J217&lt;0.005,0,MAX(0,J217*(1+J$6/12)-J$7))</f>
        <v/>
      </c>
      <c r="K218" s="91">
        <f>IF(K217&lt;0.005,0,MAX(0,K217*(1+K$6/12)-K$7))</f>
        <v/>
      </c>
      <c r="L218" s="91">
        <f>IF(L217&lt;0.005,0,MAX(0,L217*(1+L$6/12)-L$7))</f>
        <v/>
      </c>
      <c r="M218" s="91">
        <f>SUMPRODUCT(C217:L217,$C$6:$L$6)/12</f>
        <v/>
      </c>
      <c r="N218" s="88">
        <f>SUM(C218:L218)</f>
        <v/>
      </c>
      <c r="P218" s="92">
        <f>IF(Z217&lt;0.005,0,MAX(0,Z217*(1+Z$6/12)-Z$7))</f>
        <v/>
      </c>
      <c r="Q218" s="92">
        <f>IF(AA217&lt;0.005,0,MAX(0,AA217*(1+AA$6/12)-AA$7))</f>
        <v/>
      </c>
      <c r="R218" s="92">
        <f>IF(AB217&lt;0.005,0,MAX(0,AB217*(1+AB$6/12)-AB$7))</f>
        <v/>
      </c>
      <c r="S218" s="92">
        <f>IF(AC217&lt;0.005,0,MAX(0,AC217*(1+AC$6/12)-AC$7))</f>
        <v/>
      </c>
      <c r="T218" s="92">
        <f>IF(AD217&lt;0.005,0,MAX(0,AD217*(1+AD$6/12)-AD$7))</f>
        <v/>
      </c>
      <c r="U218" s="92">
        <f>IF(AE217&lt;0.005,0,MAX(0,AE217*(1+AE$6/12)-AE$7))</f>
        <v/>
      </c>
      <c r="V218" s="92">
        <f>IF(AF217&lt;0.005,0,MAX(0,AF217*(1+AF$6/12)-AF$7))</f>
        <v/>
      </c>
      <c r="W218" s="92">
        <f>IF(AG217&lt;0.005,0,MAX(0,AG217*(1+AG$6/12)-AG$7))</f>
        <v/>
      </c>
      <c r="X218" s="92">
        <f>IF(AH217&lt;0.005,0,MAX(0,AH217*(1+AH$6/12)-AH$7))</f>
        <v/>
      </c>
      <c r="Y218" s="92">
        <f>IF(AI217&lt;0.005,0,MAX(0,AI217*(1+AI$6/12)-AI$7))</f>
        <v/>
      </c>
      <c r="Z218" s="91">
        <f>MAX(0,P218-MAX(0,AK218-0))</f>
        <v/>
      </c>
      <c r="AA218" s="91">
        <f>MAX(0,Q218-MAX(0,AK218-SUM(P218:P218)))</f>
        <v/>
      </c>
      <c r="AB218" s="91">
        <f>MAX(0,R218-MAX(0,AK218-SUM(P218:Q218)))</f>
        <v/>
      </c>
      <c r="AC218" s="91">
        <f>MAX(0,S218-MAX(0,AK218-SUM(P218:R218)))</f>
        <v/>
      </c>
      <c r="AD218" s="91">
        <f>MAX(0,T218-MAX(0,AK218-SUM(P218:S218)))</f>
        <v/>
      </c>
      <c r="AE218" s="91">
        <f>MAX(0,U218-MAX(0,AK218-SUM(P218:T218)))</f>
        <v/>
      </c>
      <c r="AF218" s="91">
        <f>MAX(0,V218-MAX(0,AK218-SUM(P218:U218)))</f>
        <v/>
      </c>
      <c r="AG218" s="91">
        <f>MAX(0,W218-MAX(0,AK218-SUM(P218:V218)))</f>
        <v/>
      </c>
      <c r="AH218" s="91">
        <f>MAX(0,X218-MAX(0,AK218-SUM(P218:W218)))</f>
        <v/>
      </c>
      <c r="AI218" s="91">
        <f>MAX(0,Y218-MAX(0,AK218-SUM(P218:X218)))</f>
        <v/>
      </c>
      <c r="AJ218" s="92">
        <f>SUM(Z217:AI217)+AL218</f>
        <v/>
      </c>
      <c r="AK218" s="92">
        <f>$AK$7-(AJ218-SUM(P218:Y218))</f>
        <v/>
      </c>
      <c r="AL218" s="91">
        <f>SUMPRODUCT(Z217:AI217,$Z$6:$AI$6)/12</f>
        <v/>
      </c>
      <c r="AM218" s="88">
        <f>SUM(Z218:AI218)</f>
        <v/>
      </c>
      <c r="AO218" s="92">
        <f>IF(AY217&lt;0.005,0,MAX(0,AY217*(1+AY$6/12)-AY$7))</f>
        <v/>
      </c>
      <c r="AP218" s="92">
        <f>IF(AZ217&lt;0.005,0,MAX(0,AZ217*(1+AZ$6/12)-AZ$7))</f>
        <v/>
      </c>
      <c r="AQ218" s="92">
        <f>IF(BA217&lt;0.005,0,MAX(0,BA217*(1+BA$6/12)-BA$7))</f>
        <v/>
      </c>
      <c r="AR218" s="92">
        <f>IF(BB217&lt;0.005,0,MAX(0,BB217*(1+BB$6/12)-BB$7))</f>
        <v/>
      </c>
      <c r="AS218" s="92">
        <f>IF(BC217&lt;0.005,0,MAX(0,BC217*(1+BC$6/12)-BC$7))</f>
        <v/>
      </c>
      <c r="AT218" s="92">
        <f>IF(BD217&lt;0.005,0,MAX(0,BD217*(1+BD$6/12)-BD$7))</f>
        <v/>
      </c>
      <c r="AU218" s="92">
        <f>IF(BE217&lt;0.005,0,MAX(0,BE217*(1+BE$6/12)-BE$7))</f>
        <v/>
      </c>
      <c r="AV218" s="92">
        <f>IF(BF217&lt;0.005,0,MAX(0,BF217*(1+BF$6/12)-BF$7))</f>
        <v/>
      </c>
      <c r="AW218" s="92">
        <f>IF(BG217&lt;0.005,0,MAX(0,BG217*(1+BG$6/12)-BG$7))</f>
        <v/>
      </c>
      <c r="AX218" s="92">
        <f>IF(BH217&lt;0.005,0,MAX(0,BH217*(1+BH$6/12)-BH$7))</f>
        <v/>
      </c>
      <c r="AY218" s="91">
        <f>MAX(0,AO218-MAX(0,BJ218-0))</f>
        <v/>
      </c>
      <c r="AZ218" s="91">
        <f>MAX(0,AP218-MAX(0,BJ218-SUM(AO218:AO218)))</f>
        <v/>
      </c>
      <c r="BA218" s="91">
        <f>MAX(0,AQ218-MAX(0,BJ218-SUM(AO218:AP218)))</f>
        <v/>
      </c>
      <c r="BB218" s="91">
        <f>MAX(0,AR218-MAX(0,BJ218-SUM(AO218:AQ218)))</f>
        <v/>
      </c>
      <c r="BC218" s="91">
        <f>MAX(0,AS218-MAX(0,BJ218-SUM(AO218:AR218)))</f>
        <v/>
      </c>
      <c r="BD218" s="91">
        <f>MAX(0,AT218-MAX(0,BJ218-SUM(AO218:AS218)))</f>
        <v/>
      </c>
      <c r="BE218" s="91">
        <f>MAX(0,AU218-MAX(0,BJ218-SUM(AO218:AT218)))</f>
        <v/>
      </c>
      <c r="BF218" s="91">
        <f>MAX(0,AV218-MAX(0,BJ218-SUM(AO218:AU218)))</f>
        <v/>
      </c>
      <c r="BG218" s="91">
        <f>MAX(0,AW218-MAX(0,BJ218-SUM(AO218:AV218)))</f>
        <v/>
      </c>
      <c r="BH218" s="91">
        <f>MAX(0,AX218-MAX(0,BJ218-SUM(AO218:AW218)))</f>
        <v/>
      </c>
      <c r="BI218" s="92">
        <f>SUM(AY217:BH217)+BK218</f>
        <v/>
      </c>
      <c r="BJ218" s="92">
        <f>$BJ$7-(BI218-SUM(AO218:AX218))</f>
        <v/>
      </c>
      <c r="BK218" s="91">
        <f>SUMPRODUCT(AY217:BH217,$AY$6:$BH$6)/12</f>
        <v/>
      </c>
      <c r="BL218" s="88">
        <f>SUM(AY218:BH218)</f>
        <v/>
      </c>
    </row>
    <row r="219">
      <c r="A219" s="24" t="n">
        <v>209</v>
      </c>
      <c r="B219" s="90">
        <f>DATE(YEAR(Settings!$C$11),MONTH(Settings!$C$11)+A219,1)</f>
        <v/>
      </c>
      <c r="C219" s="91">
        <f>IF(C218&lt;0.005,0,MAX(0,C218*(1+C$6/12)-C$7))</f>
        <v/>
      </c>
      <c r="D219" s="91">
        <f>IF(D218&lt;0.005,0,MAX(0,D218*(1+D$6/12)-D$7))</f>
        <v/>
      </c>
      <c r="E219" s="91">
        <f>IF(E218&lt;0.005,0,MAX(0,E218*(1+E$6/12)-E$7))</f>
        <v/>
      </c>
      <c r="F219" s="91">
        <f>IF(F218&lt;0.005,0,MAX(0,F218*(1+F$6/12)-F$7))</f>
        <v/>
      </c>
      <c r="G219" s="91">
        <f>IF(G218&lt;0.005,0,MAX(0,G218*(1+G$6/12)-G$7))</f>
        <v/>
      </c>
      <c r="H219" s="91">
        <f>IF(H218&lt;0.005,0,MAX(0,H218*(1+H$6/12)-H$7))</f>
        <v/>
      </c>
      <c r="I219" s="91">
        <f>IF(I218&lt;0.005,0,MAX(0,I218*(1+I$6/12)-I$7))</f>
        <v/>
      </c>
      <c r="J219" s="91">
        <f>IF(J218&lt;0.005,0,MAX(0,J218*(1+J$6/12)-J$7))</f>
        <v/>
      </c>
      <c r="K219" s="91">
        <f>IF(K218&lt;0.005,0,MAX(0,K218*(1+K$6/12)-K$7))</f>
        <v/>
      </c>
      <c r="L219" s="91">
        <f>IF(L218&lt;0.005,0,MAX(0,L218*(1+L$6/12)-L$7))</f>
        <v/>
      </c>
      <c r="M219" s="91">
        <f>SUMPRODUCT(C218:L218,$C$6:$L$6)/12</f>
        <v/>
      </c>
      <c r="N219" s="88">
        <f>SUM(C219:L219)</f>
        <v/>
      </c>
      <c r="P219" s="92">
        <f>IF(Z218&lt;0.005,0,MAX(0,Z218*(1+Z$6/12)-Z$7))</f>
        <v/>
      </c>
      <c r="Q219" s="92">
        <f>IF(AA218&lt;0.005,0,MAX(0,AA218*(1+AA$6/12)-AA$7))</f>
        <v/>
      </c>
      <c r="R219" s="92">
        <f>IF(AB218&lt;0.005,0,MAX(0,AB218*(1+AB$6/12)-AB$7))</f>
        <v/>
      </c>
      <c r="S219" s="92">
        <f>IF(AC218&lt;0.005,0,MAX(0,AC218*(1+AC$6/12)-AC$7))</f>
        <v/>
      </c>
      <c r="T219" s="92">
        <f>IF(AD218&lt;0.005,0,MAX(0,AD218*(1+AD$6/12)-AD$7))</f>
        <v/>
      </c>
      <c r="U219" s="92">
        <f>IF(AE218&lt;0.005,0,MAX(0,AE218*(1+AE$6/12)-AE$7))</f>
        <v/>
      </c>
      <c r="V219" s="92">
        <f>IF(AF218&lt;0.005,0,MAX(0,AF218*(1+AF$6/12)-AF$7))</f>
        <v/>
      </c>
      <c r="W219" s="92">
        <f>IF(AG218&lt;0.005,0,MAX(0,AG218*(1+AG$6/12)-AG$7))</f>
        <v/>
      </c>
      <c r="X219" s="92">
        <f>IF(AH218&lt;0.005,0,MAX(0,AH218*(1+AH$6/12)-AH$7))</f>
        <v/>
      </c>
      <c r="Y219" s="92">
        <f>IF(AI218&lt;0.005,0,MAX(0,AI218*(1+AI$6/12)-AI$7))</f>
        <v/>
      </c>
      <c r="Z219" s="91">
        <f>MAX(0,P219-MAX(0,AK219-0))</f>
        <v/>
      </c>
      <c r="AA219" s="91">
        <f>MAX(0,Q219-MAX(0,AK219-SUM(P219:P219)))</f>
        <v/>
      </c>
      <c r="AB219" s="91">
        <f>MAX(0,R219-MAX(0,AK219-SUM(P219:Q219)))</f>
        <v/>
      </c>
      <c r="AC219" s="91">
        <f>MAX(0,S219-MAX(0,AK219-SUM(P219:R219)))</f>
        <v/>
      </c>
      <c r="AD219" s="91">
        <f>MAX(0,T219-MAX(0,AK219-SUM(P219:S219)))</f>
        <v/>
      </c>
      <c r="AE219" s="91">
        <f>MAX(0,U219-MAX(0,AK219-SUM(P219:T219)))</f>
        <v/>
      </c>
      <c r="AF219" s="91">
        <f>MAX(0,V219-MAX(0,AK219-SUM(P219:U219)))</f>
        <v/>
      </c>
      <c r="AG219" s="91">
        <f>MAX(0,W219-MAX(0,AK219-SUM(P219:V219)))</f>
        <v/>
      </c>
      <c r="AH219" s="91">
        <f>MAX(0,X219-MAX(0,AK219-SUM(P219:W219)))</f>
        <v/>
      </c>
      <c r="AI219" s="91">
        <f>MAX(0,Y219-MAX(0,AK219-SUM(P219:X219)))</f>
        <v/>
      </c>
      <c r="AJ219" s="92">
        <f>SUM(Z218:AI218)+AL219</f>
        <v/>
      </c>
      <c r="AK219" s="92">
        <f>$AK$7-(AJ219-SUM(P219:Y219))</f>
        <v/>
      </c>
      <c r="AL219" s="91">
        <f>SUMPRODUCT(Z218:AI218,$Z$6:$AI$6)/12</f>
        <v/>
      </c>
      <c r="AM219" s="88">
        <f>SUM(Z219:AI219)</f>
        <v/>
      </c>
      <c r="AO219" s="92">
        <f>IF(AY218&lt;0.005,0,MAX(0,AY218*(1+AY$6/12)-AY$7))</f>
        <v/>
      </c>
      <c r="AP219" s="92">
        <f>IF(AZ218&lt;0.005,0,MAX(0,AZ218*(1+AZ$6/12)-AZ$7))</f>
        <v/>
      </c>
      <c r="AQ219" s="92">
        <f>IF(BA218&lt;0.005,0,MAX(0,BA218*(1+BA$6/12)-BA$7))</f>
        <v/>
      </c>
      <c r="AR219" s="92">
        <f>IF(BB218&lt;0.005,0,MAX(0,BB218*(1+BB$6/12)-BB$7))</f>
        <v/>
      </c>
      <c r="AS219" s="92">
        <f>IF(BC218&lt;0.005,0,MAX(0,BC218*(1+BC$6/12)-BC$7))</f>
        <v/>
      </c>
      <c r="AT219" s="92">
        <f>IF(BD218&lt;0.005,0,MAX(0,BD218*(1+BD$6/12)-BD$7))</f>
        <v/>
      </c>
      <c r="AU219" s="92">
        <f>IF(BE218&lt;0.005,0,MAX(0,BE218*(1+BE$6/12)-BE$7))</f>
        <v/>
      </c>
      <c r="AV219" s="92">
        <f>IF(BF218&lt;0.005,0,MAX(0,BF218*(1+BF$6/12)-BF$7))</f>
        <v/>
      </c>
      <c r="AW219" s="92">
        <f>IF(BG218&lt;0.005,0,MAX(0,BG218*(1+BG$6/12)-BG$7))</f>
        <v/>
      </c>
      <c r="AX219" s="92">
        <f>IF(BH218&lt;0.005,0,MAX(0,BH218*(1+BH$6/12)-BH$7))</f>
        <v/>
      </c>
      <c r="AY219" s="91">
        <f>MAX(0,AO219-MAX(0,BJ219-0))</f>
        <v/>
      </c>
      <c r="AZ219" s="91">
        <f>MAX(0,AP219-MAX(0,BJ219-SUM(AO219:AO219)))</f>
        <v/>
      </c>
      <c r="BA219" s="91">
        <f>MAX(0,AQ219-MAX(0,BJ219-SUM(AO219:AP219)))</f>
        <v/>
      </c>
      <c r="BB219" s="91">
        <f>MAX(0,AR219-MAX(0,BJ219-SUM(AO219:AQ219)))</f>
        <v/>
      </c>
      <c r="BC219" s="91">
        <f>MAX(0,AS219-MAX(0,BJ219-SUM(AO219:AR219)))</f>
        <v/>
      </c>
      <c r="BD219" s="91">
        <f>MAX(0,AT219-MAX(0,BJ219-SUM(AO219:AS219)))</f>
        <v/>
      </c>
      <c r="BE219" s="91">
        <f>MAX(0,AU219-MAX(0,BJ219-SUM(AO219:AT219)))</f>
        <v/>
      </c>
      <c r="BF219" s="91">
        <f>MAX(0,AV219-MAX(0,BJ219-SUM(AO219:AU219)))</f>
        <v/>
      </c>
      <c r="BG219" s="91">
        <f>MAX(0,AW219-MAX(0,BJ219-SUM(AO219:AV219)))</f>
        <v/>
      </c>
      <c r="BH219" s="91">
        <f>MAX(0,AX219-MAX(0,BJ219-SUM(AO219:AW219)))</f>
        <v/>
      </c>
      <c r="BI219" s="92">
        <f>SUM(AY218:BH218)+BK219</f>
        <v/>
      </c>
      <c r="BJ219" s="92">
        <f>$BJ$7-(BI219-SUM(AO219:AX219))</f>
        <v/>
      </c>
      <c r="BK219" s="91">
        <f>SUMPRODUCT(AY218:BH218,$AY$6:$BH$6)/12</f>
        <v/>
      </c>
      <c r="BL219" s="88">
        <f>SUM(AY219:BH219)</f>
        <v/>
      </c>
    </row>
    <row r="220">
      <c r="A220" s="24" t="n">
        <v>210</v>
      </c>
      <c r="B220" s="90">
        <f>DATE(YEAR(Settings!$C$11),MONTH(Settings!$C$11)+A220,1)</f>
        <v/>
      </c>
      <c r="C220" s="91">
        <f>IF(C219&lt;0.005,0,MAX(0,C219*(1+C$6/12)-C$7))</f>
        <v/>
      </c>
      <c r="D220" s="91">
        <f>IF(D219&lt;0.005,0,MAX(0,D219*(1+D$6/12)-D$7))</f>
        <v/>
      </c>
      <c r="E220" s="91">
        <f>IF(E219&lt;0.005,0,MAX(0,E219*(1+E$6/12)-E$7))</f>
        <v/>
      </c>
      <c r="F220" s="91">
        <f>IF(F219&lt;0.005,0,MAX(0,F219*(1+F$6/12)-F$7))</f>
        <v/>
      </c>
      <c r="G220" s="91">
        <f>IF(G219&lt;0.005,0,MAX(0,G219*(1+G$6/12)-G$7))</f>
        <v/>
      </c>
      <c r="H220" s="91">
        <f>IF(H219&lt;0.005,0,MAX(0,H219*(1+H$6/12)-H$7))</f>
        <v/>
      </c>
      <c r="I220" s="91">
        <f>IF(I219&lt;0.005,0,MAX(0,I219*(1+I$6/12)-I$7))</f>
        <v/>
      </c>
      <c r="J220" s="91">
        <f>IF(J219&lt;0.005,0,MAX(0,J219*(1+J$6/12)-J$7))</f>
        <v/>
      </c>
      <c r="K220" s="91">
        <f>IF(K219&lt;0.005,0,MAX(0,K219*(1+K$6/12)-K$7))</f>
        <v/>
      </c>
      <c r="L220" s="91">
        <f>IF(L219&lt;0.005,0,MAX(0,L219*(1+L$6/12)-L$7))</f>
        <v/>
      </c>
      <c r="M220" s="91">
        <f>SUMPRODUCT(C219:L219,$C$6:$L$6)/12</f>
        <v/>
      </c>
      <c r="N220" s="88">
        <f>SUM(C220:L220)</f>
        <v/>
      </c>
      <c r="P220" s="92">
        <f>IF(Z219&lt;0.005,0,MAX(0,Z219*(1+Z$6/12)-Z$7))</f>
        <v/>
      </c>
      <c r="Q220" s="92">
        <f>IF(AA219&lt;0.005,0,MAX(0,AA219*(1+AA$6/12)-AA$7))</f>
        <v/>
      </c>
      <c r="R220" s="92">
        <f>IF(AB219&lt;0.005,0,MAX(0,AB219*(1+AB$6/12)-AB$7))</f>
        <v/>
      </c>
      <c r="S220" s="92">
        <f>IF(AC219&lt;0.005,0,MAX(0,AC219*(1+AC$6/12)-AC$7))</f>
        <v/>
      </c>
      <c r="T220" s="92">
        <f>IF(AD219&lt;0.005,0,MAX(0,AD219*(1+AD$6/12)-AD$7))</f>
        <v/>
      </c>
      <c r="U220" s="92">
        <f>IF(AE219&lt;0.005,0,MAX(0,AE219*(1+AE$6/12)-AE$7))</f>
        <v/>
      </c>
      <c r="V220" s="92">
        <f>IF(AF219&lt;0.005,0,MAX(0,AF219*(1+AF$6/12)-AF$7))</f>
        <v/>
      </c>
      <c r="W220" s="92">
        <f>IF(AG219&lt;0.005,0,MAX(0,AG219*(1+AG$6/12)-AG$7))</f>
        <v/>
      </c>
      <c r="X220" s="92">
        <f>IF(AH219&lt;0.005,0,MAX(0,AH219*(1+AH$6/12)-AH$7))</f>
        <v/>
      </c>
      <c r="Y220" s="92">
        <f>IF(AI219&lt;0.005,0,MAX(0,AI219*(1+AI$6/12)-AI$7))</f>
        <v/>
      </c>
      <c r="Z220" s="91">
        <f>MAX(0,P220-MAX(0,AK220-0))</f>
        <v/>
      </c>
      <c r="AA220" s="91">
        <f>MAX(0,Q220-MAX(0,AK220-SUM(P220:P220)))</f>
        <v/>
      </c>
      <c r="AB220" s="91">
        <f>MAX(0,R220-MAX(0,AK220-SUM(P220:Q220)))</f>
        <v/>
      </c>
      <c r="AC220" s="91">
        <f>MAX(0,S220-MAX(0,AK220-SUM(P220:R220)))</f>
        <v/>
      </c>
      <c r="AD220" s="91">
        <f>MAX(0,T220-MAX(0,AK220-SUM(P220:S220)))</f>
        <v/>
      </c>
      <c r="AE220" s="91">
        <f>MAX(0,U220-MAX(0,AK220-SUM(P220:T220)))</f>
        <v/>
      </c>
      <c r="AF220" s="91">
        <f>MAX(0,V220-MAX(0,AK220-SUM(P220:U220)))</f>
        <v/>
      </c>
      <c r="AG220" s="91">
        <f>MAX(0,W220-MAX(0,AK220-SUM(P220:V220)))</f>
        <v/>
      </c>
      <c r="AH220" s="91">
        <f>MAX(0,X220-MAX(0,AK220-SUM(P220:W220)))</f>
        <v/>
      </c>
      <c r="AI220" s="91">
        <f>MAX(0,Y220-MAX(0,AK220-SUM(P220:X220)))</f>
        <v/>
      </c>
      <c r="AJ220" s="92">
        <f>SUM(Z219:AI219)+AL220</f>
        <v/>
      </c>
      <c r="AK220" s="92">
        <f>$AK$7-(AJ220-SUM(P220:Y220))</f>
        <v/>
      </c>
      <c r="AL220" s="91">
        <f>SUMPRODUCT(Z219:AI219,$Z$6:$AI$6)/12</f>
        <v/>
      </c>
      <c r="AM220" s="88">
        <f>SUM(Z220:AI220)</f>
        <v/>
      </c>
      <c r="AO220" s="92">
        <f>IF(AY219&lt;0.005,0,MAX(0,AY219*(1+AY$6/12)-AY$7))</f>
        <v/>
      </c>
      <c r="AP220" s="92">
        <f>IF(AZ219&lt;0.005,0,MAX(0,AZ219*(1+AZ$6/12)-AZ$7))</f>
        <v/>
      </c>
      <c r="AQ220" s="92">
        <f>IF(BA219&lt;0.005,0,MAX(0,BA219*(1+BA$6/12)-BA$7))</f>
        <v/>
      </c>
      <c r="AR220" s="92">
        <f>IF(BB219&lt;0.005,0,MAX(0,BB219*(1+BB$6/12)-BB$7))</f>
        <v/>
      </c>
      <c r="AS220" s="92">
        <f>IF(BC219&lt;0.005,0,MAX(0,BC219*(1+BC$6/12)-BC$7))</f>
        <v/>
      </c>
      <c r="AT220" s="92">
        <f>IF(BD219&lt;0.005,0,MAX(0,BD219*(1+BD$6/12)-BD$7))</f>
        <v/>
      </c>
      <c r="AU220" s="92">
        <f>IF(BE219&lt;0.005,0,MAX(0,BE219*(1+BE$6/12)-BE$7))</f>
        <v/>
      </c>
      <c r="AV220" s="92">
        <f>IF(BF219&lt;0.005,0,MAX(0,BF219*(1+BF$6/12)-BF$7))</f>
        <v/>
      </c>
      <c r="AW220" s="92">
        <f>IF(BG219&lt;0.005,0,MAX(0,BG219*(1+BG$6/12)-BG$7))</f>
        <v/>
      </c>
      <c r="AX220" s="92">
        <f>IF(BH219&lt;0.005,0,MAX(0,BH219*(1+BH$6/12)-BH$7))</f>
        <v/>
      </c>
      <c r="AY220" s="91">
        <f>MAX(0,AO220-MAX(0,BJ220-0))</f>
        <v/>
      </c>
      <c r="AZ220" s="91">
        <f>MAX(0,AP220-MAX(0,BJ220-SUM(AO220:AO220)))</f>
        <v/>
      </c>
      <c r="BA220" s="91">
        <f>MAX(0,AQ220-MAX(0,BJ220-SUM(AO220:AP220)))</f>
        <v/>
      </c>
      <c r="BB220" s="91">
        <f>MAX(0,AR220-MAX(0,BJ220-SUM(AO220:AQ220)))</f>
        <v/>
      </c>
      <c r="BC220" s="91">
        <f>MAX(0,AS220-MAX(0,BJ220-SUM(AO220:AR220)))</f>
        <v/>
      </c>
      <c r="BD220" s="91">
        <f>MAX(0,AT220-MAX(0,BJ220-SUM(AO220:AS220)))</f>
        <v/>
      </c>
      <c r="BE220" s="91">
        <f>MAX(0,AU220-MAX(0,BJ220-SUM(AO220:AT220)))</f>
        <v/>
      </c>
      <c r="BF220" s="91">
        <f>MAX(0,AV220-MAX(0,BJ220-SUM(AO220:AU220)))</f>
        <v/>
      </c>
      <c r="BG220" s="91">
        <f>MAX(0,AW220-MAX(0,BJ220-SUM(AO220:AV220)))</f>
        <v/>
      </c>
      <c r="BH220" s="91">
        <f>MAX(0,AX220-MAX(0,BJ220-SUM(AO220:AW220)))</f>
        <v/>
      </c>
      <c r="BI220" s="92">
        <f>SUM(AY219:BH219)+BK220</f>
        <v/>
      </c>
      <c r="BJ220" s="92">
        <f>$BJ$7-(BI220-SUM(AO220:AX220))</f>
        <v/>
      </c>
      <c r="BK220" s="91">
        <f>SUMPRODUCT(AY219:BH219,$AY$6:$BH$6)/12</f>
        <v/>
      </c>
      <c r="BL220" s="88">
        <f>SUM(AY220:BH220)</f>
        <v/>
      </c>
    </row>
    <row r="221">
      <c r="A221" s="24" t="n">
        <v>211</v>
      </c>
      <c r="B221" s="90">
        <f>DATE(YEAR(Settings!$C$11),MONTH(Settings!$C$11)+A221,1)</f>
        <v/>
      </c>
      <c r="C221" s="91">
        <f>IF(C220&lt;0.005,0,MAX(0,C220*(1+C$6/12)-C$7))</f>
        <v/>
      </c>
      <c r="D221" s="91">
        <f>IF(D220&lt;0.005,0,MAX(0,D220*(1+D$6/12)-D$7))</f>
        <v/>
      </c>
      <c r="E221" s="91">
        <f>IF(E220&lt;0.005,0,MAX(0,E220*(1+E$6/12)-E$7))</f>
        <v/>
      </c>
      <c r="F221" s="91">
        <f>IF(F220&lt;0.005,0,MAX(0,F220*(1+F$6/12)-F$7))</f>
        <v/>
      </c>
      <c r="G221" s="91">
        <f>IF(G220&lt;0.005,0,MAX(0,G220*(1+G$6/12)-G$7))</f>
        <v/>
      </c>
      <c r="H221" s="91">
        <f>IF(H220&lt;0.005,0,MAX(0,H220*(1+H$6/12)-H$7))</f>
        <v/>
      </c>
      <c r="I221" s="91">
        <f>IF(I220&lt;0.005,0,MAX(0,I220*(1+I$6/12)-I$7))</f>
        <v/>
      </c>
      <c r="J221" s="91">
        <f>IF(J220&lt;0.005,0,MAX(0,J220*(1+J$6/12)-J$7))</f>
        <v/>
      </c>
      <c r="K221" s="91">
        <f>IF(K220&lt;0.005,0,MAX(0,K220*(1+K$6/12)-K$7))</f>
        <v/>
      </c>
      <c r="L221" s="91">
        <f>IF(L220&lt;0.005,0,MAX(0,L220*(1+L$6/12)-L$7))</f>
        <v/>
      </c>
      <c r="M221" s="91">
        <f>SUMPRODUCT(C220:L220,$C$6:$L$6)/12</f>
        <v/>
      </c>
      <c r="N221" s="88">
        <f>SUM(C221:L221)</f>
        <v/>
      </c>
      <c r="P221" s="92">
        <f>IF(Z220&lt;0.005,0,MAX(0,Z220*(1+Z$6/12)-Z$7))</f>
        <v/>
      </c>
      <c r="Q221" s="92">
        <f>IF(AA220&lt;0.005,0,MAX(0,AA220*(1+AA$6/12)-AA$7))</f>
        <v/>
      </c>
      <c r="R221" s="92">
        <f>IF(AB220&lt;0.005,0,MAX(0,AB220*(1+AB$6/12)-AB$7))</f>
        <v/>
      </c>
      <c r="S221" s="92">
        <f>IF(AC220&lt;0.005,0,MAX(0,AC220*(1+AC$6/12)-AC$7))</f>
        <v/>
      </c>
      <c r="T221" s="92">
        <f>IF(AD220&lt;0.005,0,MAX(0,AD220*(1+AD$6/12)-AD$7))</f>
        <v/>
      </c>
      <c r="U221" s="92">
        <f>IF(AE220&lt;0.005,0,MAX(0,AE220*(1+AE$6/12)-AE$7))</f>
        <v/>
      </c>
      <c r="V221" s="92">
        <f>IF(AF220&lt;0.005,0,MAX(0,AF220*(1+AF$6/12)-AF$7))</f>
        <v/>
      </c>
      <c r="W221" s="92">
        <f>IF(AG220&lt;0.005,0,MAX(0,AG220*(1+AG$6/12)-AG$7))</f>
        <v/>
      </c>
      <c r="X221" s="92">
        <f>IF(AH220&lt;0.005,0,MAX(0,AH220*(1+AH$6/12)-AH$7))</f>
        <v/>
      </c>
      <c r="Y221" s="92">
        <f>IF(AI220&lt;0.005,0,MAX(0,AI220*(1+AI$6/12)-AI$7))</f>
        <v/>
      </c>
      <c r="Z221" s="91">
        <f>MAX(0,P221-MAX(0,AK221-0))</f>
        <v/>
      </c>
      <c r="AA221" s="91">
        <f>MAX(0,Q221-MAX(0,AK221-SUM(P221:P221)))</f>
        <v/>
      </c>
      <c r="AB221" s="91">
        <f>MAX(0,R221-MAX(0,AK221-SUM(P221:Q221)))</f>
        <v/>
      </c>
      <c r="AC221" s="91">
        <f>MAX(0,S221-MAX(0,AK221-SUM(P221:R221)))</f>
        <v/>
      </c>
      <c r="AD221" s="91">
        <f>MAX(0,T221-MAX(0,AK221-SUM(P221:S221)))</f>
        <v/>
      </c>
      <c r="AE221" s="91">
        <f>MAX(0,U221-MAX(0,AK221-SUM(P221:T221)))</f>
        <v/>
      </c>
      <c r="AF221" s="91">
        <f>MAX(0,V221-MAX(0,AK221-SUM(P221:U221)))</f>
        <v/>
      </c>
      <c r="AG221" s="91">
        <f>MAX(0,W221-MAX(0,AK221-SUM(P221:V221)))</f>
        <v/>
      </c>
      <c r="AH221" s="91">
        <f>MAX(0,X221-MAX(0,AK221-SUM(P221:W221)))</f>
        <v/>
      </c>
      <c r="AI221" s="91">
        <f>MAX(0,Y221-MAX(0,AK221-SUM(P221:X221)))</f>
        <v/>
      </c>
      <c r="AJ221" s="92">
        <f>SUM(Z220:AI220)+AL221</f>
        <v/>
      </c>
      <c r="AK221" s="92">
        <f>$AK$7-(AJ221-SUM(P221:Y221))</f>
        <v/>
      </c>
      <c r="AL221" s="91">
        <f>SUMPRODUCT(Z220:AI220,$Z$6:$AI$6)/12</f>
        <v/>
      </c>
      <c r="AM221" s="88">
        <f>SUM(Z221:AI221)</f>
        <v/>
      </c>
      <c r="AO221" s="92">
        <f>IF(AY220&lt;0.005,0,MAX(0,AY220*(1+AY$6/12)-AY$7))</f>
        <v/>
      </c>
      <c r="AP221" s="92">
        <f>IF(AZ220&lt;0.005,0,MAX(0,AZ220*(1+AZ$6/12)-AZ$7))</f>
        <v/>
      </c>
      <c r="AQ221" s="92">
        <f>IF(BA220&lt;0.005,0,MAX(0,BA220*(1+BA$6/12)-BA$7))</f>
        <v/>
      </c>
      <c r="AR221" s="92">
        <f>IF(BB220&lt;0.005,0,MAX(0,BB220*(1+BB$6/12)-BB$7))</f>
        <v/>
      </c>
      <c r="AS221" s="92">
        <f>IF(BC220&lt;0.005,0,MAX(0,BC220*(1+BC$6/12)-BC$7))</f>
        <v/>
      </c>
      <c r="AT221" s="92">
        <f>IF(BD220&lt;0.005,0,MAX(0,BD220*(1+BD$6/12)-BD$7))</f>
        <v/>
      </c>
      <c r="AU221" s="92">
        <f>IF(BE220&lt;0.005,0,MAX(0,BE220*(1+BE$6/12)-BE$7))</f>
        <v/>
      </c>
      <c r="AV221" s="92">
        <f>IF(BF220&lt;0.005,0,MAX(0,BF220*(1+BF$6/12)-BF$7))</f>
        <v/>
      </c>
      <c r="AW221" s="92">
        <f>IF(BG220&lt;0.005,0,MAX(0,BG220*(1+BG$6/12)-BG$7))</f>
        <v/>
      </c>
      <c r="AX221" s="92">
        <f>IF(BH220&lt;0.005,0,MAX(0,BH220*(1+BH$6/12)-BH$7))</f>
        <v/>
      </c>
      <c r="AY221" s="91">
        <f>MAX(0,AO221-MAX(0,BJ221-0))</f>
        <v/>
      </c>
      <c r="AZ221" s="91">
        <f>MAX(0,AP221-MAX(0,BJ221-SUM(AO221:AO221)))</f>
        <v/>
      </c>
      <c r="BA221" s="91">
        <f>MAX(0,AQ221-MAX(0,BJ221-SUM(AO221:AP221)))</f>
        <v/>
      </c>
      <c r="BB221" s="91">
        <f>MAX(0,AR221-MAX(0,BJ221-SUM(AO221:AQ221)))</f>
        <v/>
      </c>
      <c r="BC221" s="91">
        <f>MAX(0,AS221-MAX(0,BJ221-SUM(AO221:AR221)))</f>
        <v/>
      </c>
      <c r="BD221" s="91">
        <f>MAX(0,AT221-MAX(0,BJ221-SUM(AO221:AS221)))</f>
        <v/>
      </c>
      <c r="BE221" s="91">
        <f>MAX(0,AU221-MAX(0,BJ221-SUM(AO221:AT221)))</f>
        <v/>
      </c>
      <c r="BF221" s="91">
        <f>MAX(0,AV221-MAX(0,BJ221-SUM(AO221:AU221)))</f>
        <v/>
      </c>
      <c r="BG221" s="91">
        <f>MAX(0,AW221-MAX(0,BJ221-SUM(AO221:AV221)))</f>
        <v/>
      </c>
      <c r="BH221" s="91">
        <f>MAX(0,AX221-MAX(0,BJ221-SUM(AO221:AW221)))</f>
        <v/>
      </c>
      <c r="BI221" s="92">
        <f>SUM(AY220:BH220)+BK221</f>
        <v/>
      </c>
      <c r="BJ221" s="92">
        <f>$BJ$7-(BI221-SUM(AO221:AX221))</f>
        <v/>
      </c>
      <c r="BK221" s="91">
        <f>SUMPRODUCT(AY220:BH220,$AY$6:$BH$6)/12</f>
        <v/>
      </c>
      <c r="BL221" s="88">
        <f>SUM(AY221:BH221)</f>
        <v/>
      </c>
    </row>
    <row r="222">
      <c r="A222" s="24" t="n">
        <v>212</v>
      </c>
      <c r="B222" s="90">
        <f>DATE(YEAR(Settings!$C$11),MONTH(Settings!$C$11)+A222,1)</f>
        <v/>
      </c>
      <c r="C222" s="91">
        <f>IF(C221&lt;0.005,0,MAX(0,C221*(1+C$6/12)-C$7))</f>
        <v/>
      </c>
      <c r="D222" s="91">
        <f>IF(D221&lt;0.005,0,MAX(0,D221*(1+D$6/12)-D$7))</f>
        <v/>
      </c>
      <c r="E222" s="91">
        <f>IF(E221&lt;0.005,0,MAX(0,E221*(1+E$6/12)-E$7))</f>
        <v/>
      </c>
      <c r="F222" s="91">
        <f>IF(F221&lt;0.005,0,MAX(0,F221*(1+F$6/12)-F$7))</f>
        <v/>
      </c>
      <c r="G222" s="91">
        <f>IF(G221&lt;0.005,0,MAX(0,G221*(1+G$6/12)-G$7))</f>
        <v/>
      </c>
      <c r="H222" s="91">
        <f>IF(H221&lt;0.005,0,MAX(0,H221*(1+H$6/12)-H$7))</f>
        <v/>
      </c>
      <c r="I222" s="91">
        <f>IF(I221&lt;0.005,0,MAX(0,I221*(1+I$6/12)-I$7))</f>
        <v/>
      </c>
      <c r="J222" s="91">
        <f>IF(J221&lt;0.005,0,MAX(0,J221*(1+J$6/12)-J$7))</f>
        <v/>
      </c>
      <c r="K222" s="91">
        <f>IF(K221&lt;0.005,0,MAX(0,K221*(1+K$6/12)-K$7))</f>
        <v/>
      </c>
      <c r="L222" s="91">
        <f>IF(L221&lt;0.005,0,MAX(0,L221*(1+L$6/12)-L$7))</f>
        <v/>
      </c>
      <c r="M222" s="91">
        <f>SUMPRODUCT(C221:L221,$C$6:$L$6)/12</f>
        <v/>
      </c>
      <c r="N222" s="88">
        <f>SUM(C222:L222)</f>
        <v/>
      </c>
      <c r="P222" s="92">
        <f>IF(Z221&lt;0.005,0,MAX(0,Z221*(1+Z$6/12)-Z$7))</f>
        <v/>
      </c>
      <c r="Q222" s="92">
        <f>IF(AA221&lt;0.005,0,MAX(0,AA221*(1+AA$6/12)-AA$7))</f>
        <v/>
      </c>
      <c r="R222" s="92">
        <f>IF(AB221&lt;0.005,0,MAX(0,AB221*(1+AB$6/12)-AB$7))</f>
        <v/>
      </c>
      <c r="S222" s="92">
        <f>IF(AC221&lt;0.005,0,MAX(0,AC221*(1+AC$6/12)-AC$7))</f>
        <v/>
      </c>
      <c r="T222" s="92">
        <f>IF(AD221&lt;0.005,0,MAX(0,AD221*(1+AD$6/12)-AD$7))</f>
        <v/>
      </c>
      <c r="U222" s="92">
        <f>IF(AE221&lt;0.005,0,MAX(0,AE221*(1+AE$6/12)-AE$7))</f>
        <v/>
      </c>
      <c r="V222" s="92">
        <f>IF(AF221&lt;0.005,0,MAX(0,AF221*(1+AF$6/12)-AF$7))</f>
        <v/>
      </c>
      <c r="W222" s="92">
        <f>IF(AG221&lt;0.005,0,MAX(0,AG221*(1+AG$6/12)-AG$7))</f>
        <v/>
      </c>
      <c r="X222" s="92">
        <f>IF(AH221&lt;0.005,0,MAX(0,AH221*(1+AH$6/12)-AH$7))</f>
        <v/>
      </c>
      <c r="Y222" s="92">
        <f>IF(AI221&lt;0.005,0,MAX(0,AI221*(1+AI$6/12)-AI$7))</f>
        <v/>
      </c>
      <c r="Z222" s="91">
        <f>MAX(0,P222-MAX(0,AK222-0))</f>
        <v/>
      </c>
      <c r="AA222" s="91">
        <f>MAX(0,Q222-MAX(0,AK222-SUM(P222:P222)))</f>
        <v/>
      </c>
      <c r="AB222" s="91">
        <f>MAX(0,R222-MAX(0,AK222-SUM(P222:Q222)))</f>
        <v/>
      </c>
      <c r="AC222" s="91">
        <f>MAX(0,S222-MAX(0,AK222-SUM(P222:R222)))</f>
        <v/>
      </c>
      <c r="AD222" s="91">
        <f>MAX(0,T222-MAX(0,AK222-SUM(P222:S222)))</f>
        <v/>
      </c>
      <c r="AE222" s="91">
        <f>MAX(0,U222-MAX(0,AK222-SUM(P222:T222)))</f>
        <v/>
      </c>
      <c r="AF222" s="91">
        <f>MAX(0,V222-MAX(0,AK222-SUM(P222:U222)))</f>
        <v/>
      </c>
      <c r="AG222" s="91">
        <f>MAX(0,W222-MAX(0,AK222-SUM(P222:V222)))</f>
        <v/>
      </c>
      <c r="AH222" s="91">
        <f>MAX(0,X222-MAX(0,AK222-SUM(P222:W222)))</f>
        <v/>
      </c>
      <c r="AI222" s="91">
        <f>MAX(0,Y222-MAX(0,AK222-SUM(P222:X222)))</f>
        <v/>
      </c>
      <c r="AJ222" s="92">
        <f>SUM(Z221:AI221)+AL222</f>
        <v/>
      </c>
      <c r="AK222" s="92">
        <f>$AK$7-(AJ222-SUM(P222:Y222))</f>
        <v/>
      </c>
      <c r="AL222" s="91">
        <f>SUMPRODUCT(Z221:AI221,$Z$6:$AI$6)/12</f>
        <v/>
      </c>
      <c r="AM222" s="88">
        <f>SUM(Z222:AI222)</f>
        <v/>
      </c>
      <c r="AO222" s="92">
        <f>IF(AY221&lt;0.005,0,MAX(0,AY221*(1+AY$6/12)-AY$7))</f>
        <v/>
      </c>
      <c r="AP222" s="92">
        <f>IF(AZ221&lt;0.005,0,MAX(0,AZ221*(1+AZ$6/12)-AZ$7))</f>
        <v/>
      </c>
      <c r="AQ222" s="92">
        <f>IF(BA221&lt;0.005,0,MAX(0,BA221*(1+BA$6/12)-BA$7))</f>
        <v/>
      </c>
      <c r="AR222" s="92">
        <f>IF(BB221&lt;0.005,0,MAX(0,BB221*(1+BB$6/12)-BB$7))</f>
        <v/>
      </c>
      <c r="AS222" s="92">
        <f>IF(BC221&lt;0.005,0,MAX(0,BC221*(1+BC$6/12)-BC$7))</f>
        <v/>
      </c>
      <c r="AT222" s="92">
        <f>IF(BD221&lt;0.005,0,MAX(0,BD221*(1+BD$6/12)-BD$7))</f>
        <v/>
      </c>
      <c r="AU222" s="92">
        <f>IF(BE221&lt;0.005,0,MAX(0,BE221*(1+BE$6/12)-BE$7))</f>
        <v/>
      </c>
      <c r="AV222" s="92">
        <f>IF(BF221&lt;0.005,0,MAX(0,BF221*(1+BF$6/12)-BF$7))</f>
        <v/>
      </c>
      <c r="AW222" s="92">
        <f>IF(BG221&lt;0.005,0,MAX(0,BG221*(1+BG$6/12)-BG$7))</f>
        <v/>
      </c>
      <c r="AX222" s="92">
        <f>IF(BH221&lt;0.005,0,MAX(0,BH221*(1+BH$6/12)-BH$7))</f>
        <v/>
      </c>
      <c r="AY222" s="91">
        <f>MAX(0,AO222-MAX(0,BJ222-0))</f>
        <v/>
      </c>
      <c r="AZ222" s="91">
        <f>MAX(0,AP222-MAX(0,BJ222-SUM(AO222:AO222)))</f>
        <v/>
      </c>
      <c r="BA222" s="91">
        <f>MAX(0,AQ222-MAX(0,BJ222-SUM(AO222:AP222)))</f>
        <v/>
      </c>
      <c r="BB222" s="91">
        <f>MAX(0,AR222-MAX(0,BJ222-SUM(AO222:AQ222)))</f>
        <v/>
      </c>
      <c r="BC222" s="91">
        <f>MAX(0,AS222-MAX(0,BJ222-SUM(AO222:AR222)))</f>
        <v/>
      </c>
      <c r="BD222" s="91">
        <f>MAX(0,AT222-MAX(0,BJ222-SUM(AO222:AS222)))</f>
        <v/>
      </c>
      <c r="BE222" s="91">
        <f>MAX(0,AU222-MAX(0,BJ222-SUM(AO222:AT222)))</f>
        <v/>
      </c>
      <c r="BF222" s="91">
        <f>MAX(0,AV222-MAX(0,BJ222-SUM(AO222:AU222)))</f>
        <v/>
      </c>
      <c r="BG222" s="91">
        <f>MAX(0,AW222-MAX(0,BJ222-SUM(AO222:AV222)))</f>
        <v/>
      </c>
      <c r="BH222" s="91">
        <f>MAX(0,AX222-MAX(0,BJ222-SUM(AO222:AW222)))</f>
        <v/>
      </c>
      <c r="BI222" s="92">
        <f>SUM(AY221:BH221)+BK222</f>
        <v/>
      </c>
      <c r="BJ222" s="92">
        <f>$BJ$7-(BI222-SUM(AO222:AX222))</f>
        <v/>
      </c>
      <c r="BK222" s="91">
        <f>SUMPRODUCT(AY221:BH221,$AY$6:$BH$6)/12</f>
        <v/>
      </c>
      <c r="BL222" s="88">
        <f>SUM(AY222:BH222)</f>
        <v/>
      </c>
    </row>
    <row r="223">
      <c r="A223" s="24" t="n">
        <v>213</v>
      </c>
      <c r="B223" s="90">
        <f>DATE(YEAR(Settings!$C$11),MONTH(Settings!$C$11)+A223,1)</f>
        <v/>
      </c>
      <c r="C223" s="91">
        <f>IF(C222&lt;0.005,0,MAX(0,C222*(1+C$6/12)-C$7))</f>
        <v/>
      </c>
      <c r="D223" s="91">
        <f>IF(D222&lt;0.005,0,MAX(0,D222*(1+D$6/12)-D$7))</f>
        <v/>
      </c>
      <c r="E223" s="91">
        <f>IF(E222&lt;0.005,0,MAX(0,E222*(1+E$6/12)-E$7))</f>
        <v/>
      </c>
      <c r="F223" s="91">
        <f>IF(F222&lt;0.005,0,MAX(0,F222*(1+F$6/12)-F$7))</f>
        <v/>
      </c>
      <c r="G223" s="91">
        <f>IF(G222&lt;0.005,0,MAX(0,G222*(1+G$6/12)-G$7))</f>
        <v/>
      </c>
      <c r="H223" s="91">
        <f>IF(H222&lt;0.005,0,MAX(0,H222*(1+H$6/12)-H$7))</f>
        <v/>
      </c>
      <c r="I223" s="91">
        <f>IF(I222&lt;0.005,0,MAX(0,I222*(1+I$6/12)-I$7))</f>
        <v/>
      </c>
      <c r="J223" s="91">
        <f>IF(J222&lt;0.005,0,MAX(0,J222*(1+J$6/12)-J$7))</f>
        <v/>
      </c>
      <c r="K223" s="91">
        <f>IF(K222&lt;0.005,0,MAX(0,K222*(1+K$6/12)-K$7))</f>
        <v/>
      </c>
      <c r="L223" s="91">
        <f>IF(L222&lt;0.005,0,MAX(0,L222*(1+L$6/12)-L$7))</f>
        <v/>
      </c>
      <c r="M223" s="91">
        <f>SUMPRODUCT(C222:L222,$C$6:$L$6)/12</f>
        <v/>
      </c>
      <c r="N223" s="88">
        <f>SUM(C223:L223)</f>
        <v/>
      </c>
      <c r="P223" s="92">
        <f>IF(Z222&lt;0.005,0,MAX(0,Z222*(1+Z$6/12)-Z$7))</f>
        <v/>
      </c>
      <c r="Q223" s="92">
        <f>IF(AA222&lt;0.005,0,MAX(0,AA222*(1+AA$6/12)-AA$7))</f>
        <v/>
      </c>
      <c r="R223" s="92">
        <f>IF(AB222&lt;0.005,0,MAX(0,AB222*(1+AB$6/12)-AB$7))</f>
        <v/>
      </c>
      <c r="S223" s="92">
        <f>IF(AC222&lt;0.005,0,MAX(0,AC222*(1+AC$6/12)-AC$7))</f>
        <v/>
      </c>
      <c r="T223" s="92">
        <f>IF(AD222&lt;0.005,0,MAX(0,AD222*(1+AD$6/12)-AD$7))</f>
        <v/>
      </c>
      <c r="U223" s="92">
        <f>IF(AE222&lt;0.005,0,MAX(0,AE222*(1+AE$6/12)-AE$7))</f>
        <v/>
      </c>
      <c r="V223" s="92">
        <f>IF(AF222&lt;0.005,0,MAX(0,AF222*(1+AF$6/12)-AF$7))</f>
        <v/>
      </c>
      <c r="W223" s="92">
        <f>IF(AG222&lt;0.005,0,MAX(0,AG222*(1+AG$6/12)-AG$7))</f>
        <v/>
      </c>
      <c r="X223" s="92">
        <f>IF(AH222&lt;0.005,0,MAX(0,AH222*(1+AH$6/12)-AH$7))</f>
        <v/>
      </c>
      <c r="Y223" s="92">
        <f>IF(AI222&lt;0.005,0,MAX(0,AI222*(1+AI$6/12)-AI$7))</f>
        <v/>
      </c>
      <c r="Z223" s="91">
        <f>MAX(0,P223-MAX(0,AK223-0))</f>
        <v/>
      </c>
      <c r="AA223" s="91">
        <f>MAX(0,Q223-MAX(0,AK223-SUM(P223:P223)))</f>
        <v/>
      </c>
      <c r="AB223" s="91">
        <f>MAX(0,R223-MAX(0,AK223-SUM(P223:Q223)))</f>
        <v/>
      </c>
      <c r="AC223" s="91">
        <f>MAX(0,S223-MAX(0,AK223-SUM(P223:R223)))</f>
        <v/>
      </c>
      <c r="AD223" s="91">
        <f>MAX(0,T223-MAX(0,AK223-SUM(P223:S223)))</f>
        <v/>
      </c>
      <c r="AE223" s="91">
        <f>MAX(0,U223-MAX(0,AK223-SUM(P223:T223)))</f>
        <v/>
      </c>
      <c r="AF223" s="91">
        <f>MAX(0,V223-MAX(0,AK223-SUM(P223:U223)))</f>
        <v/>
      </c>
      <c r="AG223" s="91">
        <f>MAX(0,W223-MAX(0,AK223-SUM(P223:V223)))</f>
        <v/>
      </c>
      <c r="AH223" s="91">
        <f>MAX(0,X223-MAX(0,AK223-SUM(P223:W223)))</f>
        <v/>
      </c>
      <c r="AI223" s="91">
        <f>MAX(0,Y223-MAX(0,AK223-SUM(P223:X223)))</f>
        <v/>
      </c>
      <c r="AJ223" s="92">
        <f>SUM(Z222:AI222)+AL223</f>
        <v/>
      </c>
      <c r="AK223" s="92">
        <f>$AK$7-(AJ223-SUM(P223:Y223))</f>
        <v/>
      </c>
      <c r="AL223" s="91">
        <f>SUMPRODUCT(Z222:AI222,$Z$6:$AI$6)/12</f>
        <v/>
      </c>
      <c r="AM223" s="88">
        <f>SUM(Z223:AI223)</f>
        <v/>
      </c>
      <c r="AO223" s="92">
        <f>IF(AY222&lt;0.005,0,MAX(0,AY222*(1+AY$6/12)-AY$7))</f>
        <v/>
      </c>
      <c r="AP223" s="92">
        <f>IF(AZ222&lt;0.005,0,MAX(0,AZ222*(1+AZ$6/12)-AZ$7))</f>
        <v/>
      </c>
      <c r="AQ223" s="92">
        <f>IF(BA222&lt;0.005,0,MAX(0,BA222*(1+BA$6/12)-BA$7))</f>
        <v/>
      </c>
      <c r="AR223" s="92">
        <f>IF(BB222&lt;0.005,0,MAX(0,BB222*(1+BB$6/12)-BB$7))</f>
        <v/>
      </c>
      <c r="AS223" s="92">
        <f>IF(BC222&lt;0.005,0,MAX(0,BC222*(1+BC$6/12)-BC$7))</f>
        <v/>
      </c>
      <c r="AT223" s="92">
        <f>IF(BD222&lt;0.005,0,MAX(0,BD222*(1+BD$6/12)-BD$7))</f>
        <v/>
      </c>
      <c r="AU223" s="92">
        <f>IF(BE222&lt;0.005,0,MAX(0,BE222*(1+BE$6/12)-BE$7))</f>
        <v/>
      </c>
      <c r="AV223" s="92">
        <f>IF(BF222&lt;0.005,0,MAX(0,BF222*(1+BF$6/12)-BF$7))</f>
        <v/>
      </c>
      <c r="AW223" s="92">
        <f>IF(BG222&lt;0.005,0,MAX(0,BG222*(1+BG$6/12)-BG$7))</f>
        <v/>
      </c>
      <c r="AX223" s="92">
        <f>IF(BH222&lt;0.005,0,MAX(0,BH222*(1+BH$6/12)-BH$7))</f>
        <v/>
      </c>
      <c r="AY223" s="91">
        <f>MAX(0,AO223-MAX(0,BJ223-0))</f>
        <v/>
      </c>
      <c r="AZ223" s="91">
        <f>MAX(0,AP223-MAX(0,BJ223-SUM(AO223:AO223)))</f>
        <v/>
      </c>
      <c r="BA223" s="91">
        <f>MAX(0,AQ223-MAX(0,BJ223-SUM(AO223:AP223)))</f>
        <v/>
      </c>
      <c r="BB223" s="91">
        <f>MAX(0,AR223-MAX(0,BJ223-SUM(AO223:AQ223)))</f>
        <v/>
      </c>
      <c r="BC223" s="91">
        <f>MAX(0,AS223-MAX(0,BJ223-SUM(AO223:AR223)))</f>
        <v/>
      </c>
      <c r="BD223" s="91">
        <f>MAX(0,AT223-MAX(0,BJ223-SUM(AO223:AS223)))</f>
        <v/>
      </c>
      <c r="BE223" s="91">
        <f>MAX(0,AU223-MAX(0,BJ223-SUM(AO223:AT223)))</f>
        <v/>
      </c>
      <c r="BF223" s="91">
        <f>MAX(0,AV223-MAX(0,BJ223-SUM(AO223:AU223)))</f>
        <v/>
      </c>
      <c r="BG223" s="91">
        <f>MAX(0,AW223-MAX(0,BJ223-SUM(AO223:AV223)))</f>
        <v/>
      </c>
      <c r="BH223" s="91">
        <f>MAX(0,AX223-MAX(0,BJ223-SUM(AO223:AW223)))</f>
        <v/>
      </c>
      <c r="BI223" s="92">
        <f>SUM(AY222:BH222)+BK223</f>
        <v/>
      </c>
      <c r="BJ223" s="92">
        <f>$BJ$7-(BI223-SUM(AO223:AX223))</f>
        <v/>
      </c>
      <c r="BK223" s="91">
        <f>SUMPRODUCT(AY222:BH222,$AY$6:$BH$6)/12</f>
        <v/>
      </c>
      <c r="BL223" s="88">
        <f>SUM(AY223:BH223)</f>
        <v/>
      </c>
    </row>
    <row r="224">
      <c r="A224" s="24" t="n">
        <v>214</v>
      </c>
      <c r="B224" s="90">
        <f>DATE(YEAR(Settings!$C$11),MONTH(Settings!$C$11)+A224,1)</f>
        <v/>
      </c>
      <c r="C224" s="91">
        <f>IF(C223&lt;0.005,0,MAX(0,C223*(1+C$6/12)-C$7))</f>
        <v/>
      </c>
      <c r="D224" s="91">
        <f>IF(D223&lt;0.005,0,MAX(0,D223*(1+D$6/12)-D$7))</f>
        <v/>
      </c>
      <c r="E224" s="91">
        <f>IF(E223&lt;0.005,0,MAX(0,E223*(1+E$6/12)-E$7))</f>
        <v/>
      </c>
      <c r="F224" s="91">
        <f>IF(F223&lt;0.005,0,MAX(0,F223*(1+F$6/12)-F$7))</f>
        <v/>
      </c>
      <c r="G224" s="91">
        <f>IF(G223&lt;0.005,0,MAX(0,G223*(1+G$6/12)-G$7))</f>
        <v/>
      </c>
      <c r="H224" s="91">
        <f>IF(H223&lt;0.005,0,MAX(0,H223*(1+H$6/12)-H$7))</f>
        <v/>
      </c>
      <c r="I224" s="91">
        <f>IF(I223&lt;0.005,0,MAX(0,I223*(1+I$6/12)-I$7))</f>
        <v/>
      </c>
      <c r="J224" s="91">
        <f>IF(J223&lt;0.005,0,MAX(0,J223*(1+J$6/12)-J$7))</f>
        <v/>
      </c>
      <c r="K224" s="91">
        <f>IF(K223&lt;0.005,0,MAX(0,K223*(1+K$6/12)-K$7))</f>
        <v/>
      </c>
      <c r="L224" s="91">
        <f>IF(L223&lt;0.005,0,MAX(0,L223*(1+L$6/12)-L$7))</f>
        <v/>
      </c>
      <c r="M224" s="91">
        <f>SUMPRODUCT(C223:L223,$C$6:$L$6)/12</f>
        <v/>
      </c>
      <c r="N224" s="88">
        <f>SUM(C224:L224)</f>
        <v/>
      </c>
      <c r="P224" s="92">
        <f>IF(Z223&lt;0.005,0,MAX(0,Z223*(1+Z$6/12)-Z$7))</f>
        <v/>
      </c>
      <c r="Q224" s="92">
        <f>IF(AA223&lt;0.005,0,MAX(0,AA223*(1+AA$6/12)-AA$7))</f>
        <v/>
      </c>
      <c r="R224" s="92">
        <f>IF(AB223&lt;0.005,0,MAX(0,AB223*(1+AB$6/12)-AB$7))</f>
        <v/>
      </c>
      <c r="S224" s="92">
        <f>IF(AC223&lt;0.005,0,MAX(0,AC223*(1+AC$6/12)-AC$7))</f>
        <v/>
      </c>
      <c r="T224" s="92">
        <f>IF(AD223&lt;0.005,0,MAX(0,AD223*(1+AD$6/12)-AD$7))</f>
        <v/>
      </c>
      <c r="U224" s="92">
        <f>IF(AE223&lt;0.005,0,MAX(0,AE223*(1+AE$6/12)-AE$7))</f>
        <v/>
      </c>
      <c r="V224" s="92">
        <f>IF(AF223&lt;0.005,0,MAX(0,AF223*(1+AF$6/12)-AF$7))</f>
        <v/>
      </c>
      <c r="W224" s="92">
        <f>IF(AG223&lt;0.005,0,MAX(0,AG223*(1+AG$6/12)-AG$7))</f>
        <v/>
      </c>
      <c r="X224" s="92">
        <f>IF(AH223&lt;0.005,0,MAX(0,AH223*(1+AH$6/12)-AH$7))</f>
        <v/>
      </c>
      <c r="Y224" s="92">
        <f>IF(AI223&lt;0.005,0,MAX(0,AI223*(1+AI$6/12)-AI$7))</f>
        <v/>
      </c>
      <c r="Z224" s="91">
        <f>MAX(0,P224-MAX(0,AK224-0))</f>
        <v/>
      </c>
      <c r="AA224" s="91">
        <f>MAX(0,Q224-MAX(0,AK224-SUM(P224:P224)))</f>
        <v/>
      </c>
      <c r="AB224" s="91">
        <f>MAX(0,R224-MAX(0,AK224-SUM(P224:Q224)))</f>
        <v/>
      </c>
      <c r="AC224" s="91">
        <f>MAX(0,S224-MAX(0,AK224-SUM(P224:R224)))</f>
        <v/>
      </c>
      <c r="AD224" s="91">
        <f>MAX(0,T224-MAX(0,AK224-SUM(P224:S224)))</f>
        <v/>
      </c>
      <c r="AE224" s="91">
        <f>MAX(0,U224-MAX(0,AK224-SUM(P224:T224)))</f>
        <v/>
      </c>
      <c r="AF224" s="91">
        <f>MAX(0,V224-MAX(0,AK224-SUM(P224:U224)))</f>
        <v/>
      </c>
      <c r="AG224" s="91">
        <f>MAX(0,W224-MAX(0,AK224-SUM(P224:V224)))</f>
        <v/>
      </c>
      <c r="AH224" s="91">
        <f>MAX(0,X224-MAX(0,AK224-SUM(P224:W224)))</f>
        <v/>
      </c>
      <c r="AI224" s="91">
        <f>MAX(0,Y224-MAX(0,AK224-SUM(P224:X224)))</f>
        <v/>
      </c>
      <c r="AJ224" s="92">
        <f>SUM(Z223:AI223)+AL224</f>
        <v/>
      </c>
      <c r="AK224" s="92">
        <f>$AK$7-(AJ224-SUM(P224:Y224))</f>
        <v/>
      </c>
      <c r="AL224" s="91">
        <f>SUMPRODUCT(Z223:AI223,$Z$6:$AI$6)/12</f>
        <v/>
      </c>
      <c r="AM224" s="88">
        <f>SUM(Z224:AI224)</f>
        <v/>
      </c>
      <c r="AO224" s="92">
        <f>IF(AY223&lt;0.005,0,MAX(0,AY223*(1+AY$6/12)-AY$7))</f>
        <v/>
      </c>
      <c r="AP224" s="92">
        <f>IF(AZ223&lt;0.005,0,MAX(0,AZ223*(1+AZ$6/12)-AZ$7))</f>
        <v/>
      </c>
      <c r="AQ224" s="92">
        <f>IF(BA223&lt;0.005,0,MAX(0,BA223*(1+BA$6/12)-BA$7))</f>
        <v/>
      </c>
      <c r="AR224" s="92">
        <f>IF(BB223&lt;0.005,0,MAX(0,BB223*(1+BB$6/12)-BB$7))</f>
        <v/>
      </c>
      <c r="AS224" s="92">
        <f>IF(BC223&lt;0.005,0,MAX(0,BC223*(1+BC$6/12)-BC$7))</f>
        <v/>
      </c>
      <c r="AT224" s="92">
        <f>IF(BD223&lt;0.005,0,MAX(0,BD223*(1+BD$6/12)-BD$7))</f>
        <v/>
      </c>
      <c r="AU224" s="92">
        <f>IF(BE223&lt;0.005,0,MAX(0,BE223*(1+BE$6/12)-BE$7))</f>
        <v/>
      </c>
      <c r="AV224" s="92">
        <f>IF(BF223&lt;0.005,0,MAX(0,BF223*(1+BF$6/12)-BF$7))</f>
        <v/>
      </c>
      <c r="AW224" s="92">
        <f>IF(BG223&lt;0.005,0,MAX(0,BG223*(1+BG$6/12)-BG$7))</f>
        <v/>
      </c>
      <c r="AX224" s="92">
        <f>IF(BH223&lt;0.005,0,MAX(0,BH223*(1+BH$6/12)-BH$7))</f>
        <v/>
      </c>
      <c r="AY224" s="91">
        <f>MAX(0,AO224-MAX(0,BJ224-0))</f>
        <v/>
      </c>
      <c r="AZ224" s="91">
        <f>MAX(0,AP224-MAX(0,BJ224-SUM(AO224:AO224)))</f>
        <v/>
      </c>
      <c r="BA224" s="91">
        <f>MAX(0,AQ224-MAX(0,BJ224-SUM(AO224:AP224)))</f>
        <v/>
      </c>
      <c r="BB224" s="91">
        <f>MAX(0,AR224-MAX(0,BJ224-SUM(AO224:AQ224)))</f>
        <v/>
      </c>
      <c r="BC224" s="91">
        <f>MAX(0,AS224-MAX(0,BJ224-SUM(AO224:AR224)))</f>
        <v/>
      </c>
      <c r="BD224" s="91">
        <f>MAX(0,AT224-MAX(0,BJ224-SUM(AO224:AS224)))</f>
        <v/>
      </c>
      <c r="BE224" s="91">
        <f>MAX(0,AU224-MAX(0,BJ224-SUM(AO224:AT224)))</f>
        <v/>
      </c>
      <c r="BF224" s="91">
        <f>MAX(0,AV224-MAX(0,BJ224-SUM(AO224:AU224)))</f>
        <v/>
      </c>
      <c r="BG224" s="91">
        <f>MAX(0,AW224-MAX(0,BJ224-SUM(AO224:AV224)))</f>
        <v/>
      </c>
      <c r="BH224" s="91">
        <f>MAX(0,AX224-MAX(0,BJ224-SUM(AO224:AW224)))</f>
        <v/>
      </c>
      <c r="BI224" s="92">
        <f>SUM(AY223:BH223)+BK224</f>
        <v/>
      </c>
      <c r="BJ224" s="92">
        <f>$BJ$7-(BI224-SUM(AO224:AX224))</f>
        <v/>
      </c>
      <c r="BK224" s="91">
        <f>SUMPRODUCT(AY223:BH223,$AY$6:$BH$6)/12</f>
        <v/>
      </c>
      <c r="BL224" s="88">
        <f>SUM(AY224:BH224)</f>
        <v/>
      </c>
    </row>
    <row r="225">
      <c r="A225" s="24" t="n">
        <v>215</v>
      </c>
      <c r="B225" s="90">
        <f>DATE(YEAR(Settings!$C$11),MONTH(Settings!$C$11)+A225,1)</f>
        <v/>
      </c>
      <c r="C225" s="91">
        <f>IF(C224&lt;0.005,0,MAX(0,C224*(1+C$6/12)-C$7))</f>
        <v/>
      </c>
      <c r="D225" s="91">
        <f>IF(D224&lt;0.005,0,MAX(0,D224*(1+D$6/12)-D$7))</f>
        <v/>
      </c>
      <c r="E225" s="91">
        <f>IF(E224&lt;0.005,0,MAX(0,E224*(1+E$6/12)-E$7))</f>
        <v/>
      </c>
      <c r="F225" s="91">
        <f>IF(F224&lt;0.005,0,MAX(0,F224*(1+F$6/12)-F$7))</f>
        <v/>
      </c>
      <c r="G225" s="91">
        <f>IF(G224&lt;0.005,0,MAX(0,G224*(1+G$6/12)-G$7))</f>
        <v/>
      </c>
      <c r="H225" s="91">
        <f>IF(H224&lt;0.005,0,MAX(0,H224*(1+H$6/12)-H$7))</f>
        <v/>
      </c>
      <c r="I225" s="91">
        <f>IF(I224&lt;0.005,0,MAX(0,I224*(1+I$6/12)-I$7))</f>
        <v/>
      </c>
      <c r="J225" s="91">
        <f>IF(J224&lt;0.005,0,MAX(0,J224*(1+J$6/12)-J$7))</f>
        <v/>
      </c>
      <c r="K225" s="91">
        <f>IF(K224&lt;0.005,0,MAX(0,K224*(1+K$6/12)-K$7))</f>
        <v/>
      </c>
      <c r="L225" s="91">
        <f>IF(L224&lt;0.005,0,MAX(0,L224*(1+L$6/12)-L$7))</f>
        <v/>
      </c>
      <c r="M225" s="91">
        <f>SUMPRODUCT(C224:L224,$C$6:$L$6)/12</f>
        <v/>
      </c>
      <c r="N225" s="88">
        <f>SUM(C225:L225)</f>
        <v/>
      </c>
      <c r="P225" s="92">
        <f>IF(Z224&lt;0.005,0,MAX(0,Z224*(1+Z$6/12)-Z$7))</f>
        <v/>
      </c>
      <c r="Q225" s="92">
        <f>IF(AA224&lt;0.005,0,MAX(0,AA224*(1+AA$6/12)-AA$7))</f>
        <v/>
      </c>
      <c r="R225" s="92">
        <f>IF(AB224&lt;0.005,0,MAX(0,AB224*(1+AB$6/12)-AB$7))</f>
        <v/>
      </c>
      <c r="S225" s="92">
        <f>IF(AC224&lt;0.005,0,MAX(0,AC224*(1+AC$6/12)-AC$7))</f>
        <v/>
      </c>
      <c r="T225" s="92">
        <f>IF(AD224&lt;0.005,0,MAX(0,AD224*(1+AD$6/12)-AD$7))</f>
        <v/>
      </c>
      <c r="U225" s="92">
        <f>IF(AE224&lt;0.005,0,MAX(0,AE224*(1+AE$6/12)-AE$7))</f>
        <v/>
      </c>
      <c r="V225" s="92">
        <f>IF(AF224&lt;0.005,0,MAX(0,AF224*(1+AF$6/12)-AF$7))</f>
        <v/>
      </c>
      <c r="W225" s="92">
        <f>IF(AG224&lt;0.005,0,MAX(0,AG224*(1+AG$6/12)-AG$7))</f>
        <v/>
      </c>
      <c r="X225" s="92">
        <f>IF(AH224&lt;0.005,0,MAX(0,AH224*(1+AH$6/12)-AH$7))</f>
        <v/>
      </c>
      <c r="Y225" s="92">
        <f>IF(AI224&lt;0.005,0,MAX(0,AI224*(1+AI$6/12)-AI$7))</f>
        <v/>
      </c>
      <c r="Z225" s="91">
        <f>MAX(0,P225-MAX(0,AK225-0))</f>
        <v/>
      </c>
      <c r="AA225" s="91">
        <f>MAX(0,Q225-MAX(0,AK225-SUM(P225:P225)))</f>
        <v/>
      </c>
      <c r="AB225" s="91">
        <f>MAX(0,R225-MAX(0,AK225-SUM(P225:Q225)))</f>
        <v/>
      </c>
      <c r="AC225" s="91">
        <f>MAX(0,S225-MAX(0,AK225-SUM(P225:R225)))</f>
        <v/>
      </c>
      <c r="AD225" s="91">
        <f>MAX(0,T225-MAX(0,AK225-SUM(P225:S225)))</f>
        <v/>
      </c>
      <c r="AE225" s="91">
        <f>MAX(0,U225-MAX(0,AK225-SUM(P225:T225)))</f>
        <v/>
      </c>
      <c r="AF225" s="91">
        <f>MAX(0,V225-MAX(0,AK225-SUM(P225:U225)))</f>
        <v/>
      </c>
      <c r="AG225" s="91">
        <f>MAX(0,W225-MAX(0,AK225-SUM(P225:V225)))</f>
        <v/>
      </c>
      <c r="AH225" s="91">
        <f>MAX(0,X225-MAX(0,AK225-SUM(P225:W225)))</f>
        <v/>
      </c>
      <c r="AI225" s="91">
        <f>MAX(0,Y225-MAX(0,AK225-SUM(P225:X225)))</f>
        <v/>
      </c>
      <c r="AJ225" s="92">
        <f>SUM(Z224:AI224)+AL225</f>
        <v/>
      </c>
      <c r="AK225" s="92">
        <f>$AK$7-(AJ225-SUM(P225:Y225))</f>
        <v/>
      </c>
      <c r="AL225" s="91">
        <f>SUMPRODUCT(Z224:AI224,$Z$6:$AI$6)/12</f>
        <v/>
      </c>
      <c r="AM225" s="88">
        <f>SUM(Z225:AI225)</f>
        <v/>
      </c>
      <c r="AO225" s="92">
        <f>IF(AY224&lt;0.005,0,MAX(0,AY224*(1+AY$6/12)-AY$7))</f>
        <v/>
      </c>
      <c r="AP225" s="92">
        <f>IF(AZ224&lt;0.005,0,MAX(0,AZ224*(1+AZ$6/12)-AZ$7))</f>
        <v/>
      </c>
      <c r="AQ225" s="92">
        <f>IF(BA224&lt;0.005,0,MAX(0,BA224*(1+BA$6/12)-BA$7))</f>
        <v/>
      </c>
      <c r="AR225" s="92">
        <f>IF(BB224&lt;0.005,0,MAX(0,BB224*(1+BB$6/12)-BB$7))</f>
        <v/>
      </c>
      <c r="AS225" s="92">
        <f>IF(BC224&lt;0.005,0,MAX(0,BC224*(1+BC$6/12)-BC$7))</f>
        <v/>
      </c>
      <c r="AT225" s="92">
        <f>IF(BD224&lt;0.005,0,MAX(0,BD224*(1+BD$6/12)-BD$7))</f>
        <v/>
      </c>
      <c r="AU225" s="92">
        <f>IF(BE224&lt;0.005,0,MAX(0,BE224*(1+BE$6/12)-BE$7))</f>
        <v/>
      </c>
      <c r="AV225" s="92">
        <f>IF(BF224&lt;0.005,0,MAX(0,BF224*(1+BF$6/12)-BF$7))</f>
        <v/>
      </c>
      <c r="AW225" s="92">
        <f>IF(BG224&lt;0.005,0,MAX(0,BG224*(1+BG$6/12)-BG$7))</f>
        <v/>
      </c>
      <c r="AX225" s="92">
        <f>IF(BH224&lt;0.005,0,MAX(0,BH224*(1+BH$6/12)-BH$7))</f>
        <v/>
      </c>
      <c r="AY225" s="91">
        <f>MAX(0,AO225-MAX(0,BJ225-0))</f>
        <v/>
      </c>
      <c r="AZ225" s="91">
        <f>MAX(0,AP225-MAX(0,BJ225-SUM(AO225:AO225)))</f>
        <v/>
      </c>
      <c r="BA225" s="91">
        <f>MAX(0,AQ225-MAX(0,BJ225-SUM(AO225:AP225)))</f>
        <v/>
      </c>
      <c r="BB225" s="91">
        <f>MAX(0,AR225-MAX(0,BJ225-SUM(AO225:AQ225)))</f>
        <v/>
      </c>
      <c r="BC225" s="91">
        <f>MAX(0,AS225-MAX(0,BJ225-SUM(AO225:AR225)))</f>
        <v/>
      </c>
      <c r="BD225" s="91">
        <f>MAX(0,AT225-MAX(0,BJ225-SUM(AO225:AS225)))</f>
        <v/>
      </c>
      <c r="BE225" s="91">
        <f>MAX(0,AU225-MAX(0,BJ225-SUM(AO225:AT225)))</f>
        <v/>
      </c>
      <c r="BF225" s="91">
        <f>MAX(0,AV225-MAX(0,BJ225-SUM(AO225:AU225)))</f>
        <v/>
      </c>
      <c r="BG225" s="91">
        <f>MAX(0,AW225-MAX(0,BJ225-SUM(AO225:AV225)))</f>
        <v/>
      </c>
      <c r="BH225" s="91">
        <f>MAX(0,AX225-MAX(0,BJ225-SUM(AO225:AW225)))</f>
        <v/>
      </c>
      <c r="BI225" s="92">
        <f>SUM(AY224:BH224)+BK225</f>
        <v/>
      </c>
      <c r="BJ225" s="92">
        <f>$BJ$7-(BI225-SUM(AO225:AX225))</f>
        <v/>
      </c>
      <c r="BK225" s="91">
        <f>SUMPRODUCT(AY224:BH224,$AY$6:$BH$6)/12</f>
        <v/>
      </c>
      <c r="BL225" s="88">
        <f>SUM(AY225:BH225)</f>
        <v/>
      </c>
    </row>
    <row r="226">
      <c r="A226" s="24" t="n">
        <v>216</v>
      </c>
      <c r="B226" s="90">
        <f>DATE(YEAR(Settings!$C$11),MONTH(Settings!$C$11)+A226,1)</f>
        <v/>
      </c>
      <c r="C226" s="91">
        <f>IF(C225&lt;0.005,0,MAX(0,C225*(1+C$6/12)-C$7))</f>
        <v/>
      </c>
      <c r="D226" s="91">
        <f>IF(D225&lt;0.005,0,MAX(0,D225*(1+D$6/12)-D$7))</f>
        <v/>
      </c>
      <c r="E226" s="91">
        <f>IF(E225&lt;0.005,0,MAX(0,E225*(1+E$6/12)-E$7))</f>
        <v/>
      </c>
      <c r="F226" s="91">
        <f>IF(F225&lt;0.005,0,MAX(0,F225*(1+F$6/12)-F$7))</f>
        <v/>
      </c>
      <c r="G226" s="91">
        <f>IF(G225&lt;0.005,0,MAX(0,G225*(1+G$6/12)-G$7))</f>
        <v/>
      </c>
      <c r="H226" s="91">
        <f>IF(H225&lt;0.005,0,MAX(0,H225*(1+H$6/12)-H$7))</f>
        <v/>
      </c>
      <c r="I226" s="91">
        <f>IF(I225&lt;0.005,0,MAX(0,I225*(1+I$6/12)-I$7))</f>
        <v/>
      </c>
      <c r="J226" s="91">
        <f>IF(J225&lt;0.005,0,MAX(0,J225*(1+J$6/12)-J$7))</f>
        <v/>
      </c>
      <c r="K226" s="91">
        <f>IF(K225&lt;0.005,0,MAX(0,K225*(1+K$6/12)-K$7))</f>
        <v/>
      </c>
      <c r="L226" s="91">
        <f>IF(L225&lt;0.005,0,MAX(0,L225*(1+L$6/12)-L$7))</f>
        <v/>
      </c>
      <c r="M226" s="91">
        <f>SUMPRODUCT(C225:L225,$C$6:$L$6)/12</f>
        <v/>
      </c>
      <c r="N226" s="88">
        <f>SUM(C226:L226)</f>
        <v/>
      </c>
      <c r="P226" s="92">
        <f>IF(Z225&lt;0.005,0,MAX(0,Z225*(1+Z$6/12)-Z$7))</f>
        <v/>
      </c>
      <c r="Q226" s="92">
        <f>IF(AA225&lt;0.005,0,MAX(0,AA225*(1+AA$6/12)-AA$7))</f>
        <v/>
      </c>
      <c r="R226" s="92">
        <f>IF(AB225&lt;0.005,0,MAX(0,AB225*(1+AB$6/12)-AB$7))</f>
        <v/>
      </c>
      <c r="S226" s="92">
        <f>IF(AC225&lt;0.005,0,MAX(0,AC225*(1+AC$6/12)-AC$7))</f>
        <v/>
      </c>
      <c r="T226" s="92">
        <f>IF(AD225&lt;0.005,0,MAX(0,AD225*(1+AD$6/12)-AD$7))</f>
        <v/>
      </c>
      <c r="U226" s="92">
        <f>IF(AE225&lt;0.005,0,MAX(0,AE225*(1+AE$6/12)-AE$7))</f>
        <v/>
      </c>
      <c r="V226" s="92">
        <f>IF(AF225&lt;0.005,0,MAX(0,AF225*(1+AF$6/12)-AF$7))</f>
        <v/>
      </c>
      <c r="W226" s="92">
        <f>IF(AG225&lt;0.005,0,MAX(0,AG225*(1+AG$6/12)-AG$7))</f>
        <v/>
      </c>
      <c r="X226" s="92">
        <f>IF(AH225&lt;0.005,0,MAX(0,AH225*(1+AH$6/12)-AH$7))</f>
        <v/>
      </c>
      <c r="Y226" s="92">
        <f>IF(AI225&lt;0.005,0,MAX(0,AI225*(1+AI$6/12)-AI$7))</f>
        <v/>
      </c>
      <c r="Z226" s="91">
        <f>MAX(0,P226-MAX(0,AK226-0))</f>
        <v/>
      </c>
      <c r="AA226" s="91">
        <f>MAX(0,Q226-MAX(0,AK226-SUM(P226:P226)))</f>
        <v/>
      </c>
      <c r="AB226" s="91">
        <f>MAX(0,R226-MAX(0,AK226-SUM(P226:Q226)))</f>
        <v/>
      </c>
      <c r="AC226" s="91">
        <f>MAX(0,S226-MAX(0,AK226-SUM(P226:R226)))</f>
        <v/>
      </c>
      <c r="AD226" s="91">
        <f>MAX(0,T226-MAX(0,AK226-SUM(P226:S226)))</f>
        <v/>
      </c>
      <c r="AE226" s="91">
        <f>MAX(0,U226-MAX(0,AK226-SUM(P226:T226)))</f>
        <v/>
      </c>
      <c r="AF226" s="91">
        <f>MAX(0,V226-MAX(0,AK226-SUM(P226:U226)))</f>
        <v/>
      </c>
      <c r="AG226" s="91">
        <f>MAX(0,W226-MAX(0,AK226-SUM(P226:V226)))</f>
        <v/>
      </c>
      <c r="AH226" s="91">
        <f>MAX(0,X226-MAX(0,AK226-SUM(P226:W226)))</f>
        <v/>
      </c>
      <c r="AI226" s="91">
        <f>MAX(0,Y226-MAX(0,AK226-SUM(P226:X226)))</f>
        <v/>
      </c>
      <c r="AJ226" s="92">
        <f>SUM(Z225:AI225)+AL226</f>
        <v/>
      </c>
      <c r="AK226" s="92">
        <f>$AK$7-(AJ226-SUM(P226:Y226))</f>
        <v/>
      </c>
      <c r="AL226" s="91">
        <f>SUMPRODUCT(Z225:AI225,$Z$6:$AI$6)/12</f>
        <v/>
      </c>
      <c r="AM226" s="88">
        <f>SUM(Z226:AI226)</f>
        <v/>
      </c>
      <c r="AO226" s="92">
        <f>IF(AY225&lt;0.005,0,MAX(0,AY225*(1+AY$6/12)-AY$7))</f>
        <v/>
      </c>
      <c r="AP226" s="92">
        <f>IF(AZ225&lt;0.005,0,MAX(0,AZ225*(1+AZ$6/12)-AZ$7))</f>
        <v/>
      </c>
      <c r="AQ226" s="92">
        <f>IF(BA225&lt;0.005,0,MAX(0,BA225*(1+BA$6/12)-BA$7))</f>
        <v/>
      </c>
      <c r="AR226" s="92">
        <f>IF(BB225&lt;0.005,0,MAX(0,BB225*(1+BB$6/12)-BB$7))</f>
        <v/>
      </c>
      <c r="AS226" s="92">
        <f>IF(BC225&lt;0.005,0,MAX(0,BC225*(1+BC$6/12)-BC$7))</f>
        <v/>
      </c>
      <c r="AT226" s="92">
        <f>IF(BD225&lt;0.005,0,MAX(0,BD225*(1+BD$6/12)-BD$7))</f>
        <v/>
      </c>
      <c r="AU226" s="92">
        <f>IF(BE225&lt;0.005,0,MAX(0,BE225*(1+BE$6/12)-BE$7))</f>
        <v/>
      </c>
      <c r="AV226" s="92">
        <f>IF(BF225&lt;0.005,0,MAX(0,BF225*(1+BF$6/12)-BF$7))</f>
        <v/>
      </c>
      <c r="AW226" s="92">
        <f>IF(BG225&lt;0.005,0,MAX(0,BG225*(1+BG$6/12)-BG$7))</f>
        <v/>
      </c>
      <c r="AX226" s="92">
        <f>IF(BH225&lt;0.005,0,MAX(0,BH225*(1+BH$6/12)-BH$7))</f>
        <v/>
      </c>
      <c r="AY226" s="91">
        <f>MAX(0,AO226-MAX(0,BJ226-0))</f>
        <v/>
      </c>
      <c r="AZ226" s="91">
        <f>MAX(0,AP226-MAX(0,BJ226-SUM(AO226:AO226)))</f>
        <v/>
      </c>
      <c r="BA226" s="91">
        <f>MAX(0,AQ226-MAX(0,BJ226-SUM(AO226:AP226)))</f>
        <v/>
      </c>
      <c r="BB226" s="91">
        <f>MAX(0,AR226-MAX(0,BJ226-SUM(AO226:AQ226)))</f>
        <v/>
      </c>
      <c r="BC226" s="91">
        <f>MAX(0,AS226-MAX(0,BJ226-SUM(AO226:AR226)))</f>
        <v/>
      </c>
      <c r="BD226" s="91">
        <f>MAX(0,AT226-MAX(0,BJ226-SUM(AO226:AS226)))</f>
        <v/>
      </c>
      <c r="BE226" s="91">
        <f>MAX(0,AU226-MAX(0,BJ226-SUM(AO226:AT226)))</f>
        <v/>
      </c>
      <c r="BF226" s="91">
        <f>MAX(0,AV226-MAX(0,BJ226-SUM(AO226:AU226)))</f>
        <v/>
      </c>
      <c r="BG226" s="91">
        <f>MAX(0,AW226-MAX(0,BJ226-SUM(AO226:AV226)))</f>
        <v/>
      </c>
      <c r="BH226" s="91">
        <f>MAX(0,AX226-MAX(0,BJ226-SUM(AO226:AW226)))</f>
        <v/>
      </c>
      <c r="BI226" s="92">
        <f>SUM(AY225:BH225)+BK226</f>
        <v/>
      </c>
      <c r="BJ226" s="92">
        <f>$BJ$7-(BI226-SUM(AO226:AX226))</f>
        <v/>
      </c>
      <c r="BK226" s="91">
        <f>SUMPRODUCT(AY225:BH225,$AY$6:$BH$6)/12</f>
        <v/>
      </c>
      <c r="BL226" s="88">
        <f>SUM(AY226:BH226)</f>
        <v/>
      </c>
    </row>
    <row r="227">
      <c r="A227" s="24" t="n">
        <v>217</v>
      </c>
      <c r="B227" s="90">
        <f>DATE(YEAR(Settings!$C$11),MONTH(Settings!$C$11)+A227,1)</f>
        <v/>
      </c>
      <c r="C227" s="91">
        <f>IF(C226&lt;0.005,0,MAX(0,C226*(1+C$6/12)-C$7))</f>
        <v/>
      </c>
      <c r="D227" s="91">
        <f>IF(D226&lt;0.005,0,MAX(0,D226*(1+D$6/12)-D$7))</f>
        <v/>
      </c>
      <c r="E227" s="91">
        <f>IF(E226&lt;0.005,0,MAX(0,E226*(1+E$6/12)-E$7))</f>
        <v/>
      </c>
      <c r="F227" s="91">
        <f>IF(F226&lt;0.005,0,MAX(0,F226*(1+F$6/12)-F$7))</f>
        <v/>
      </c>
      <c r="G227" s="91">
        <f>IF(G226&lt;0.005,0,MAX(0,G226*(1+G$6/12)-G$7))</f>
        <v/>
      </c>
      <c r="H227" s="91">
        <f>IF(H226&lt;0.005,0,MAX(0,H226*(1+H$6/12)-H$7))</f>
        <v/>
      </c>
      <c r="I227" s="91">
        <f>IF(I226&lt;0.005,0,MAX(0,I226*(1+I$6/12)-I$7))</f>
        <v/>
      </c>
      <c r="J227" s="91">
        <f>IF(J226&lt;0.005,0,MAX(0,J226*(1+J$6/12)-J$7))</f>
        <v/>
      </c>
      <c r="K227" s="91">
        <f>IF(K226&lt;0.005,0,MAX(0,K226*(1+K$6/12)-K$7))</f>
        <v/>
      </c>
      <c r="L227" s="91">
        <f>IF(L226&lt;0.005,0,MAX(0,L226*(1+L$6/12)-L$7))</f>
        <v/>
      </c>
      <c r="M227" s="91">
        <f>SUMPRODUCT(C226:L226,$C$6:$L$6)/12</f>
        <v/>
      </c>
      <c r="N227" s="88">
        <f>SUM(C227:L227)</f>
        <v/>
      </c>
      <c r="P227" s="92">
        <f>IF(Z226&lt;0.005,0,MAX(0,Z226*(1+Z$6/12)-Z$7))</f>
        <v/>
      </c>
      <c r="Q227" s="92">
        <f>IF(AA226&lt;0.005,0,MAX(0,AA226*(1+AA$6/12)-AA$7))</f>
        <v/>
      </c>
      <c r="R227" s="92">
        <f>IF(AB226&lt;0.005,0,MAX(0,AB226*(1+AB$6/12)-AB$7))</f>
        <v/>
      </c>
      <c r="S227" s="92">
        <f>IF(AC226&lt;0.005,0,MAX(0,AC226*(1+AC$6/12)-AC$7))</f>
        <v/>
      </c>
      <c r="T227" s="92">
        <f>IF(AD226&lt;0.005,0,MAX(0,AD226*(1+AD$6/12)-AD$7))</f>
        <v/>
      </c>
      <c r="U227" s="92">
        <f>IF(AE226&lt;0.005,0,MAX(0,AE226*(1+AE$6/12)-AE$7))</f>
        <v/>
      </c>
      <c r="V227" s="92">
        <f>IF(AF226&lt;0.005,0,MAX(0,AF226*(1+AF$6/12)-AF$7))</f>
        <v/>
      </c>
      <c r="W227" s="92">
        <f>IF(AG226&lt;0.005,0,MAX(0,AG226*(1+AG$6/12)-AG$7))</f>
        <v/>
      </c>
      <c r="X227" s="92">
        <f>IF(AH226&lt;0.005,0,MAX(0,AH226*(1+AH$6/12)-AH$7))</f>
        <v/>
      </c>
      <c r="Y227" s="92">
        <f>IF(AI226&lt;0.005,0,MAX(0,AI226*(1+AI$6/12)-AI$7))</f>
        <v/>
      </c>
      <c r="Z227" s="91">
        <f>MAX(0,P227-MAX(0,AK227-0))</f>
        <v/>
      </c>
      <c r="AA227" s="91">
        <f>MAX(0,Q227-MAX(0,AK227-SUM(P227:P227)))</f>
        <v/>
      </c>
      <c r="AB227" s="91">
        <f>MAX(0,R227-MAX(0,AK227-SUM(P227:Q227)))</f>
        <v/>
      </c>
      <c r="AC227" s="91">
        <f>MAX(0,S227-MAX(0,AK227-SUM(P227:R227)))</f>
        <v/>
      </c>
      <c r="AD227" s="91">
        <f>MAX(0,T227-MAX(0,AK227-SUM(P227:S227)))</f>
        <v/>
      </c>
      <c r="AE227" s="91">
        <f>MAX(0,U227-MAX(0,AK227-SUM(P227:T227)))</f>
        <v/>
      </c>
      <c r="AF227" s="91">
        <f>MAX(0,V227-MAX(0,AK227-SUM(P227:U227)))</f>
        <v/>
      </c>
      <c r="AG227" s="91">
        <f>MAX(0,W227-MAX(0,AK227-SUM(P227:V227)))</f>
        <v/>
      </c>
      <c r="AH227" s="91">
        <f>MAX(0,X227-MAX(0,AK227-SUM(P227:W227)))</f>
        <v/>
      </c>
      <c r="AI227" s="91">
        <f>MAX(0,Y227-MAX(0,AK227-SUM(P227:X227)))</f>
        <v/>
      </c>
      <c r="AJ227" s="92">
        <f>SUM(Z226:AI226)+AL227</f>
        <v/>
      </c>
      <c r="AK227" s="92">
        <f>$AK$7-(AJ227-SUM(P227:Y227))</f>
        <v/>
      </c>
      <c r="AL227" s="91">
        <f>SUMPRODUCT(Z226:AI226,$Z$6:$AI$6)/12</f>
        <v/>
      </c>
      <c r="AM227" s="88">
        <f>SUM(Z227:AI227)</f>
        <v/>
      </c>
      <c r="AO227" s="92">
        <f>IF(AY226&lt;0.005,0,MAX(0,AY226*(1+AY$6/12)-AY$7))</f>
        <v/>
      </c>
      <c r="AP227" s="92">
        <f>IF(AZ226&lt;0.005,0,MAX(0,AZ226*(1+AZ$6/12)-AZ$7))</f>
        <v/>
      </c>
      <c r="AQ227" s="92">
        <f>IF(BA226&lt;0.005,0,MAX(0,BA226*(1+BA$6/12)-BA$7))</f>
        <v/>
      </c>
      <c r="AR227" s="92">
        <f>IF(BB226&lt;0.005,0,MAX(0,BB226*(1+BB$6/12)-BB$7))</f>
        <v/>
      </c>
      <c r="AS227" s="92">
        <f>IF(BC226&lt;0.005,0,MAX(0,BC226*(1+BC$6/12)-BC$7))</f>
        <v/>
      </c>
      <c r="AT227" s="92">
        <f>IF(BD226&lt;0.005,0,MAX(0,BD226*(1+BD$6/12)-BD$7))</f>
        <v/>
      </c>
      <c r="AU227" s="92">
        <f>IF(BE226&lt;0.005,0,MAX(0,BE226*(1+BE$6/12)-BE$7))</f>
        <v/>
      </c>
      <c r="AV227" s="92">
        <f>IF(BF226&lt;0.005,0,MAX(0,BF226*(1+BF$6/12)-BF$7))</f>
        <v/>
      </c>
      <c r="AW227" s="92">
        <f>IF(BG226&lt;0.005,0,MAX(0,BG226*(1+BG$6/12)-BG$7))</f>
        <v/>
      </c>
      <c r="AX227" s="92">
        <f>IF(BH226&lt;0.005,0,MAX(0,BH226*(1+BH$6/12)-BH$7))</f>
        <v/>
      </c>
      <c r="AY227" s="91">
        <f>MAX(0,AO227-MAX(0,BJ227-0))</f>
        <v/>
      </c>
      <c r="AZ227" s="91">
        <f>MAX(0,AP227-MAX(0,BJ227-SUM(AO227:AO227)))</f>
        <v/>
      </c>
      <c r="BA227" s="91">
        <f>MAX(0,AQ227-MAX(0,BJ227-SUM(AO227:AP227)))</f>
        <v/>
      </c>
      <c r="BB227" s="91">
        <f>MAX(0,AR227-MAX(0,BJ227-SUM(AO227:AQ227)))</f>
        <v/>
      </c>
      <c r="BC227" s="91">
        <f>MAX(0,AS227-MAX(0,BJ227-SUM(AO227:AR227)))</f>
        <v/>
      </c>
      <c r="BD227" s="91">
        <f>MAX(0,AT227-MAX(0,BJ227-SUM(AO227:AS227)))</f>
        <v/>
      </c>
      <c r="BE227" s="91">
        <f>MAX(0,AU227-MAX(0,BJ227-SUM(AO227:AT227)))</f>
        <v/>
      </c>
      <c r="BF227" s="91">
        <f>MAX(0,AV227-MAX(0,BJ227-SUM(AO227:AU227)))</f>
        <v/>
      </c>
      <c r="BG227" s="91">
        <f>MAX(0,AW227-MAX(0,BJ227-SUM(AO227:AV227)))</f>
        <v/>
      </c>
      <c r="BH227" s="91">
        <f>MAX(0,AX227-MAX(0,BJ227-SUM(AO227:AW227)))</f>
        <v/>
      </c>
      <c r="BI227" s="92">
        <f>SUM(AY226:BH226)+BK227</f>
        <v/>
      </c>
      <c r="BJ227" s="92">
        <f>$BJ$7-(BI227-SUM(AO227:AX227))</f>
        <v/>
      </c>
      <c r="BK227" s="91">
        <f>SUMPRODUCT(AY226:BH226,$AY$6:$BH$6)/12</f>
        <v/>
      </c>
      <c r="BL227" s="88">
        <f>SUM(AY227:BH227)</f>
        <v/>
      </c>
    </row>
    <row r="228">
      <c r="A228" s="24" t="n">
        <v>218</v>
      </c>
      <c r="B228" s="90">
        <f>DATE(YEAR(Settings!$C$11),MONTH(Settings!$C$11)+A228,1)</f>
        <v/>
      </c>
      <c r="C228" s="91">
        <f>IF(C227&lt;0.005,0,MAX(0,C227*(1+C$6/12)-C$7))</f>
        <v/>
      </c>
      <c r="D228" s="91">
        <f>IF(D227&lt;0.005,0,MAX(0,D227*(1+D$6/12)-D$7))</f>
        <v/>
      </c>
      <c r="E228" s="91">
        <f>IF(E227&lt;0.005,0,MAX(0,E227*(1+E$6/12)-E$7))</f>
        <v/>
      </c>
      <c r="F228" s="91">
        <f>IF(F227&lt;0.005,0,MAX(0,F227*(1+F$6/12)-F$7))</f>
        <v/>
      </c>
      <c r="G228" s="91">
        <f>IF(G227&lt;0.005,0,MAX(0,G227*(1+G$6/12)-G$7))</f>
        <v/>
      </c>
      <c r="H228" s="91">
        <f>IF(H227&lt;0.005,0,MAX(0,H227*(1+H$6/12)-H$7))</f>
        <v/>
      </c>
      <c r="I228" s="91">
        <f>IF(I227&lt;0.005,0,MAX(0,I227*(1+I$6/12)-I$7))</f>
        <v/>
      </c>
      <c r="J228" s="91">
        <f>IF(J227&lt;0.005,0,MAX(0,J227*(1+J$6/12)-J$7))</f>
        <v/>
      </c>
      <c r="K228" s="91">
        <f>IF(K227&lt;0.005,0,MAX(0,K227*(1+K$6/12)-K$7))</f>
        <v/>
      </c>
      <c r="L228" s="91">
        <f>IF(L227&lt;0.005,0,MAX(0,L227*(1+L$6/12)-L$7))</f>
        <v/>
      </c>
      <c r="M228" s="91">
        <f>SUMPRODUCT(C227:L227,$C$6:$L$6)/12</f>
        <v/>
      </c>
      <c r="N228" s="88">
        <f>SUM(C228:L228)</f>
        <v/>
      </c>
      <c r="P228" s="92">
        <f>IF(Z227&lt;0.005,0,MAX(0,Z227*(1+Z$6/12)-Z$7))</f>
        <v/>
      </c>
      <c r="Q228" s="92">
        <f>IF(AA227&lt;0.005,0,MAX(0,AA227*(1+AA$6/12)-AA$7))</f>
        <v/>
      </c>
      <c r="R228" s="92">
        <f>IF(AB227&lt;0.005,0,MAX(0,AB227*(1+AB$6/12)-AB$7))</f>
        <v/>
      </c>
      <c r="S228" s="92">
        <f>IF(AC227&lt;0.005,0,MAX(0,AC227*(1+AC$6/12)-AC$7))</f>
        <v/>
      </c>
      <c r="T228" s="92">
        <f>IF(AD227&lt;0.005,0,MAX(0,AD227*(1+AD$6/12)-AD$7))</f>
        <v/>
      </c>
      <c r="U228" s="92">
        <f>IF(AE227&lt;0.005,0,MAX(0,AE227*(1+AE$6/12)-AE$7))</f>
        <v/>
      </c>
      <c r="V228" s="92">
        <f>IF(AF227&lt;0.005,0,MAX(0,AF227*(1+AF$6/12)-AF$7))</f>
        <v/>
      </c>
      <c r="W228" s="92">
        <f>IF(AG227&lt;0.005,0,MAX(0,AG227*(1+AG$6/12)-AG$7))</f>
        <v/>
      </c>
      <c r="X228" s="92">
        <f>IF(AH227&lt;0.005,0,MAX(0,AH227*(1+AH$6/12)-AH$7))</f>
        <v/>
      </c>
      <c r="Y228" s="92">
        <f>IF(AI227&lt;0.005,0,MAX(0,AI227*(1+AI$6/12)-AI$7))</f>
        <v/>
      </c>
      <c r="Z228" s="91">
        <f>MAX(0,P228-MAX(0,AK228-0))</f>
        <v/>
      </c>
      <c r="AA228" s="91">
        <f>MAX(0,Q228-MAX(0,AK228-SUM(P228:P228)))</f>
        <v/>
      </c>
      <c r="AB228" s="91">
        <f>MAX(0,R228-MAX(0,AK228-SUM(P228:Q228)))</f>
        <v/>
      </c>
      <c r="AC228" s="91">
        <f>MAX(0,S228-MAX(0,AK228-SUM(P228:R228)))</f>
        <v/>
      </c>
      <c r="AD228" s="91">
        <f>MAX(0,T228-MAX(0,AK228-SUM(P228:S228)))</f>
        <v/>
      </c>
      <c r="AE228" s="91">
        <f>MAX(0,U228-MAX(0,AK228-SUM(P228:T228)))</f>
        <v/>
      </c>
      <c r="AF228" s="91">
        <f>MAX(0,V228-MAX(0,AK228-SUM(P228:U228)))</f>
        <v/>
      </c>
      <c r="AG228" s="91">
        <f>MAX(0,W228-MAX(0,AK228-SUM(P228:V228)))</f>
        <v/>
      </c>
      <c r="AH228" s="91">
        <f>MAX(0,X228-MAX(0,AK228-SUM(P228:W228)))</f>
        <v/>
      </c>
      <c r="AI228" s="91">
        <f>MAX(0,Y228-MAX(0,AK228-SUM(P228:X228)))</f>
        <v/>
      </c>
      <c r="AJ228" s="92">
        <f>SUM(Z227:AI227)+AL228</f>
        <v/>
      </c>
      <c r="AK228" s="92">
        <f>$AK$7-(AJ228-SUM(P228:Y228))</f>
        <v/>
      </c>
      <c r="AL228" s="91">
        <f>SUMPRODUCT(Z227:AI227,$Z$6:$AI$6)/12</f>
        <v/>
      </c>
      <c r="AM228" s="88">
        <f>SUM(Z228:AI228)</f>
        <v/>
      </c>
      <c r="AO228" s="92">
        <f>IF(AY227&lt;0.005,0,MAX(0,AY227*(1+AY$6/12)-AY$7))</f>
        <v/>
      </c>
      <c r="AP228" s="92">
        <f>IF(AZ227&lt;0.005,0,MAX(0,AZ227*(1+AZ$6/12)-AZ$7))</f>
        <v/>
      </c>
      <c r="AQ228" s="92">
        <f>IF(BA227&lt;0.005,0,MAX(0,BA227*(1+BA$6/12)-BA$7))</f>
        <v/>
      </c>
      <c r="AR228" s="92">
        <f>IF(BB227&lt;0.005,0,MAX(0,BB227*(1+BB$6/12)-BB$7))</f>
        <v/>
      </c>
      <c r="AS228" s="92">
        <f>IF(BC227&lt;0.005,0,MAX(0,BC227*(1+BC$6/12)-BC$7))</f>
        <v/>
      </c>
      <c r="AT228" s="92">
        <f>IF(BD227&lt;0.005,0,MAX(0,BD227*(1+BD$6/12)-BD$7))</f>
        <v/>
      </c>
      <c r="AU228" s="92">
        <f>IF(BE227&lt;0.005,0,MAX(0,BE227*(1+BE$6/12)-BE$7))</f>
        <v/>
      </c>
      <c r="AV228" s="92">
        <f>IF(BF227&lt;0.005,0,MAX(0,BF227*(1+BF$6/12)-BF$7))</f>
        <v/>
      </c>
      <c r="AW228" s="92">
        <f>IF(BG227&lt;0.005,0,MAX(0,BG227*(1+BG$6/12)-BG$7))</f>
        <v/>
      </c>
      <c r="AX228" s="92">
        <f>IF(BH227&lt;0.005,0,MAX(0,BH227*(1+BH$6/12)-BH$7))</f>
        <v/>
      </c>
      <c r="AY228" s="91">
        <f>MAX(0,AO228-MAX(0,BJ228-0))</f>
        <v/>
      </c>
      <c r="AZ228" s="91">
        <f>MAX(0,AP228-MAX(0,BJ228-SUM(AO228:AO228)))</f>
        <v/>
      </c>
      <c r="BA228" s="91">
        <f>MAX(0,AQ228-MAX(0,BJ228-SUM(AO228:AP228)))</f>
        <v/>
      </c>
      <c r="BB228" s="91">
        <f>MAX(0,AR228-MAX(0,BJ228-SUM(AO228:AQ228)))</f>
        <v/>
      </c>
      <c r="BC228" s="91">
        <f>MAX(0,AS228-MAX(0,BJ228-SUM(AO228:AR228)))</f>
        <v/>
      </c>
      <c r="BD228" s="91">
        <f>MAX(0,AT228-MAX(0,BJ228-SUM(AO228:AS228)))</f>
        <v/>
      </c>
      <c r="BE228" s="91">
        <f>MAX(0,AU228-MAX(0,BJ228-SUM(AO228:AT228)))</f>
        <v/>
      </c>
      <c r="BF228" s="91">
        <f>MAX(0,AV228-MAX(0,BJ228-SUM(AO228:AU228)))</f>
        <v/>
      </c>
      <c r="BG228" s="91">
        <f>MAX(0,AW228-MAX(0,BJ228-SUM(AO228:AV228)))</f>
        <v/>
      </c>
      <c r="BH228" s="91">
        <f>MAX(0,AX228-MAX(0,BJ228-SUM(AO228:AW228)))</f>
        <v/>
      </c>
      <c r="BI228" s="92">
        <f>SUM(AY227:BH227)+BK228</f>
        <v/>
      </c>
      <c r="BJ228" s="92">
        <f>$BJ$7-(BI228-SUM(AO228:AX228))</f>
        <v/>
      </c>
      <c r="BK228" s="91">
        <f>SUMPRODUCT(AY227:BH227,$AY$6:$BH$6)/12</f>
        <v/>
      </c>
      <c r="BL228" s="88">
        <f>SUM(AY228:BH228)</f>
        <v/>
      </c>
    </row>
    <row r="229">
      <c r="A229" s="24" t="n">
        <v>219</v>
      </c>
      <c r="B229" s="90">
        <f>DATE(YEAR(Settings!$C$11),MONTH(Settings!$C$11)+A229,1)</f>
        <v/>
      </c>
      <c r="C229" s="91">
        <f>IF(C228&lt;0.005,0,MAX(0,C228*(1+C$6/12)-C$7))</f>
        <v/>
      </c>
      <c r="D229" s="91">
        <f>IF(D228&lt;0.005,0,MAX(0,D228*(1+D$6/12)-D$7))</f>
        <v/>
      </c>
      <c r="E229" s="91">
        <f>IF(E228&lt;0.005,0,MAX(0,E228*(1+E$6/12)-E$7))</f>
        <v/>
      </c>
      <c r="F229" s="91">
        <f>IF(F228&lt;0.005,0,MAX(0,F228*(1+F$6/12)-F$7))</f>
        <v/>
      </c>
      <c r="G229" s="91">
        <f>IF(G228&lt;0.005,0,MAX(0,G228*(1+G$6/12)-G$7))</f>
        <v/>
      </c>
      <c r="H229" s="91">
        <f>IF(H228&lt;0.005,0,MAX(0,H228*(1+H$6/12)-H$7))</f>
        <v/>
      </c>
      <c r="I229" s="91">
        <f>IF(I228&lt;0.005,0,MAX(0,I228*(1+I$6/12)-I$7))</f>
        <v/>
      </c>
      <c r="J229" s="91">
        <f>IF(J228&lt;0.005,0,MAX(0,J228*(1+J$6/12)-J$7))</f>
        <v/>
      </c>
      <c r="K229" s="91">
        <f>IF(K228&lt;0.005,0,MAX(0,K228*(1+K$6/12)-K$7))</f>
        <v/>
      </c>
      <c r="L229" s="91">
        <f>IF(L228&lt;0.005,0,MAX(0,L228*(1+L$6/12)-L$7))</f>
        <v/>
      </c>
      <c r="M229" s="91">
        <f>SUMPRODUCT(C228:L228,$C$6:$L$6)/12</f>
        <v/>
      </c>
      <c r="N229" s="88">
        <f>SUM(C229:L229)</f>
        <v/>
      </c>
      <c r="P229" s="92">
        <f>IF(Z228&lt;0.005,0,MAX(0,Z228*(1+Z$6/12)-Z$7))</f>
        <v/>
      </c>
      <c r="Q229" s="92">
        <f>IF(AA228&lt;0.005,0,MAX(0,AA228*(1+AA$6/12)-AA$7))</f>
        <v/>
      </c>
      <c r="R229" s="92">
        <f>IF(AB228&lt;0.005,0,MAX(0,AB228*(1+AB$6/12)-AB$7))</f>
        <v/>
      </c>
      <c r="S229" s="92">
        <f>IF(AC228&lt;0.005,0,MAX(0,AC228*(1+AC$6/12)-AC$7))</f>
        <v/>
      </c>
      <c r="T229" s="92">
        <f>IF(AD228&lt;0.005,0,MAX(0,AD228*(1+AD$6/12)-AD$7))</f>
        <v/>
      </c>
      <c r="U229" s="92">
        <f>IF(AE228&lt;0.005,0,MAX(0,AE228*(1+AE$6/12)-AE$7))</f>
        <v/>
      </c>
      <c r="V229" s="92">
        <f>IF(AF228&lt;0.005,0,MAX(0,AF228*(1+AF$6/12)-AF$7))</f>
        <v/>
      </c>
      <c r="W229" s="92">
        <f>IF(AG228&lt;0.005,0,MAX(0,AG228*(1+AG$6/12)-AG$7))</f>
        <v/>
      </c>
      <c r="X229" s="92">
        <f>IF(AH228&lt;0.005,0,MAX(0,AH228*(1+AH$6/12)-AH$7))</f>
        <v/>
      </c>
      <c r="Y229" s="92">
        <f>IF(AI228&lt;0.005,0,MAX(0,AI228*(1+AI$6/12)-AI$7))</f>
        <v/>
      </c>
      <c r="Z229" s="91">
        <f>MAX(0,P229-MAX(0,AK229-0))</f>
        <v/>
      </c>
      <c r="AA229" s="91">
        <f>MAX(0,Q229-MAX(0,AK229-SUM(P229:P229)))</f>
        <v/>
      </c>
      <c r="AB229" s="91">
        <f>MAX(0,R229-MAX(0,AK229-SUM(P229:Q229)))</f>
        <v/>
      </c>
      <c r="AC229" s="91">
        <f>MAX(0,S229-MAX(0,AK229-SUM(P229:R229)))</f>
        <v/>
      </c>
      <c r="AD229" s="91">
        <f>MAX(0,T229-MAX(0,AK229-SUM(P229:S229)))</f>
        <v/>
      </c>
      <c r="AE229" s="91">
        <f>MAX(0,U229-MAX(0,AK229-SUM(P229:T229)))</f>
        <v/>
      </c>
      <c r="AF229" s="91">
        <f>MAX(0,V229-MAX(0,AK229-SUM(P229:U229)))</f>
        <v/>
      </c>
      <c r="AG229" s="91">
        <f>MAX(0,W229-MAX(0,AK229-SUM(P229:V229)))</f>
        <v/>
      </c>
      <c r="AH229" s="91">
        <f>MAX(0,X229-MAX(0,AK229-SUM(P229:W229)))</f>
        <v/>
      </c>
      <c r="AI229" s="91">
        <f>MAX(0,Y229-MAX(0,AK229-SUM(P229:X229)))</f>
        <v/>
      </c>
      <c r="AJ229" s="92">
        <f>SUM(Z228:AI228)+AL229</f>
        <v/>
      </c>
      <c r="AK229" s="92">
        <f>$AK$7-(AJ229-SUM(P229:Y229))</f>
        <v/>
      </c>
      <c r="AL229" s="91">
        <f>SUMPRODUCT(Z228:AI228,$Z$6:$AI$6)/12</f>
        <v/>
      </c>
      <c r="AM229" s="88">
        <f>SUM(Z229:AI229)</f>
        <v/>
      </c>
      <c r="AO229" s="92">
        <f>IF(AY228&lt;0.005,0,MAX(0,AY228*(1+AY$6/12)-AY$7))</f>
        <v/>
      </c>
      <c r="AP229" s="92">
        <f>IF(AZ228&lt;0.005,0,MAX(0,AZ228*(1+AZ$6/12)-AZ$7))</f>
        <v/>
      </c>
      <c r="AQ229" s="92">
        <f>IF(BA228&lt;0.005,0,MAX(0,BA228*(1+BA$6/12)-BA$7))</f>
        <v/>
      </c>
      <c r="AR229" s="92">
        <f>IF(BB228&lt;0.005,0,MAX(0,BB228*(1+BB$6/12)-BB$7))</f>
        <v/>
      </c>
      <c r="AS229" s="92">
        <f>IF(BC228&lt;0.005,0,MAX(0,BC228*(1+BC$6/12)-BC$7))</f>
        <v/>
      </c>
      <c r="AT229" s="92">
        <f>IF(BD228&lt;0.005,0,MAX(0,BD228*(1+BD$6/12)-BD$7))</f>
        <v/>
      </c>
      <c r="AU229" s="92">
        <f>IF(BE228&lt;0.005,0,MAX(0,BE228*(1+BE$6/12)-BE$7))</f>
        <v/>
      </c>
      <c r="AV229" s="92">
        <f>IF(BF228&lt;0.005,0,MAX(0,BF228*(1+BF$6/12)-BF$7))</f>
        <v/>
      </c>
      <c r="AW229" s="92">
        <f>IF(BG228&lt;0.005,0,MAX(0,BG228*(1+BG$6/12)-BG$7))</f>
        <v/>
      </c>
      <c r="AX229" s="92">
        <f>IF(BH228&lt;0.005,0,MAX(0,BH228*(1+BH$6/12)-BH$7))</f>
        <v/>
      </c>
      <c r="AY229" s="91">
        <f>MAX(0,AO229-MAX(0,BJ229-0))</f>
        <v/>
      </c>
      <c r="AZ229" s="91">
        <f>MAX(0,AP229-MAX(0,BJ229-SUM(AO229:AO229)))</f>
        <v/>
      </c>
      <c r="BA229" s="91">
        <f>MAX(0,AQ229-MAX(0,BJ229-SUM(AO229:AP229)))</f>
        <v/>
      </c>
      <c r="BB229" s="91">
        <f>MAX(0,AR229-MAX(0,BJ229-SUM(AO229:AQ229)))</f>
        <v/>
      </c>
      <c r="BC229" s="91">
        <f>MAX(0,AS229-MAX(0,BJ229-SUM(AO229:AR229)))</f>
        <v/>
      </c>
      <c r="BD229" s="91">
        <f>MAX(0,AT229-MAX(0,BJ229-SUM(AO229:AS229)))</f>
        <v/>
      </c>
      <c r="BE229" s="91">
        <f>MAX(0,AU229-MAX(0,BJ229-SUM(AO229:AT229)))</f>
        <v/>
      </c>
      <c r="BF229" s="91">
        <f>MAX(0,AV229-MAX(0,BJ229-SUM(AO229:AU229)))</f>
        <v/>
      </c>
      <c r="BG229" s="91">
        <f>MAX(0,AW229-MAX(0,BJ229-SUM(AO229:AV229)))</f>
        <v/>
      </c>
      <c r="BH229" s="91">
        <f>MAX(0,AX229-MAX(0,BJ229-SUM(AO229:AW229)))</f>
        <v/>
      </c>
      <c r="BI229" s="92">
        <f>SUM(AY228:BH228)+BK229</f>
        <v/>
      </c>
      <c r="BJ229" s="92">
        <f>$BJ$7-(BI229-SUM(AO229:AX229))</f>
        <v/>
      </c>
      <c r="BK229" s="91">
        <f>SUMPRODUCT(AY228:BH228,$AY$6:$BH$6)/12</f>
        <v/>
      </c>
      <c r="BL229" s="88">
        <f>SUM(AY229:BH229)</f>
        <v/>
      </c>
    </row>
    <row r="230">
      <c r="A230" s="24" t="n">
        <v>220</v>
      </c>
      <c r="B230" s="90">
        <f>DATE(YEAR(Settings!$C$11),MONTH(Settings!$C$11)+A230,1)</f>
        <v/>
      </c>
      <c r="C230" s="91">
        <f>IF(C229&lt;0.005,0,MAX(0,C229*(1+C$6/12)-C$7))</f>
        <v/>
      </c>
      <c r="D230" s="91">
        <f>IF(D229&lt;0.005,0,MAX(0,D229*(1+D$6/12)-D$7))</f>
        <v/>
      </c>
      <c r="E230" s="91">
        <f>IF(E229&lt;0.005,0,MAX(0,E229*(1+E$6/12)-E$7))</f>
        <v/>
      </c>
      <c r="F230" s="91">
        <f>IF(F229&lt;0.005,0,MAX(0,F229*(1+F$6/12)-F$7))</f>
        <v/>
      </c>
      <c r="G230" s="91">
        <f>IF(G229&lt;0.005,0,MAX(0,G229*(1+G$6/12)-G$7))</f>
        <v/>
      </c>
      <c r="H230" s="91">
        <f>IF(H229&lt;0.005,0,MAX(0,H229*(1+H$6/12)-H$7))</f>
        <v/>
      </c>
      <c r="I230" s="91">
        <f>IF(I229&lt;0.005,0,MAX(0,I229*(1+I$6/12)-I$7))</f>
        <v/>
      </c>
      <c r="J230" s="91">
        <f>IF(J229&lt;0.005,0,MAX(0,J229*(1+J$6/12)-J$7))</f>
        <v/>
      </c>
      <c r="K230" s="91">
        <f>IF(K229&lt;0.005,0,MAX(0,K229*(1+K$6/12)-K$7))</f>
        <v/>
      </c>
      <c r="L230" s="91">
        <f>IF(L229&lt;0.005,0,MAX(0,L229*(1+L$6/12)-L$7))</f>
        <v/>
      </c>
      <c r="M230" s="91">
        <f>SUMPRODUCT(C229:L229,$C$6:$L$6)/12</f>
        <v/>
      </c>
      <c r="N230" s="88">
        <f>SUM(C230:L230)</f>
        <v/>
      </c>
      <c r="P230" s="92">
        <f>IF(Z229&lt;0.005,0,MAX(0,Z229*(1+Z$6/12)-Z$7))</f>
        <v/>
      </c>
      <c r="Q230" s="92">
        <f>IF(AA229&lt;0.005,0,MAX(0,AA229*(1+AA$6/12)-AA$7))</f>
        <v/>
      </c>
      <c r="R230" s="92">
        <f>IF(AB229&lt;0.005,0,MAX(0,AB229*(1+AB$6/12)-AB$7))</f>
        <v/>
      </c>
      <c r="S230" s="92">
        <f>IF(AC229&lt;0.005,0,MAX(0,AC229*(1+AC$6/12)-AC$7))</f>
        <v/>
      </c>
      <c r="T230" s="92">
        <f>IF(AD229&lt;0.005,0,MAX(0,AD229*(1+AD$6/12)-AD$7))</f>
        <v/>
      </c>
      <c r="U230" s="92">
        <f>IF(AE229&lt;0.005,0,MAX(0,AE229*(1+AE$6/12)-AE$7))</f>
        <v/>
      </c>
      <c r="V230" s="92">
        <f>IF(AF229&lt;0.005,0,MAX(0,AF229*(1+AF$6/12)-AF$7))</f>
        <v/>
      </c>
      <c r="W230" s="92">
        <f>IF(AG229&lt;0.005,0,MAX(0,AG229*(1+AG$6/12)-AG$7))</f>
        <v/>
      </c>
      <c r="X230" s="92">
        <f>IF(AH229&lt;0.005,0,MAX(0,AH229*(1+AH$6/12)-AH$7))</f>
        <v/>
      </c>
      <c r="Y230" s="92">
        <f>IF(AI229&lt;0.005,0,MAX(0,AI229*(1+AI$6/12)-AI$7))</f>
        <v/>
      </c>
      <c r="Z230" s="91">
        <f>MAX(0,P230-MAX(0,AK230-0))</f>
        <v/>
      </c>
      <c r="AA230" s="91">
        <f>MAX(0,Q230-MAX(0,AK230-SUM(P230:P230)))</f>
        <v/>
      </c>
      <c r="AB230" s="91">
        <f>MAX(0,R230-MAX(0,AK230-SUM(P230:Q230)))</f>
        <v/>
      </c>
      <c r="AC230" s="91">
        <f>MAX(0,S230-MAX(0,AK230-SUM(P230:R230)))</f>
        <v/>
      </c>
      <c r="AD230" s="91">
        <f>MAX(0,T230-MAX(0,AK230-SUM(P230:S230)))</f>
        <v/>
      </c>
      <c r="AE230" s="91">
        <f>MAX(0,U230-MAX(0,AK230-SUM(P230:T230)))</f>
        <v/>
      </c>
      <c r="AF230" s="91">
        <f>MAX(0,V230-MAX(0,AK230-SUM(P230:U230)))</f>
        <v/>
      </c>
      <c r="AG230" s="91">
        <f>MAX(0,W230-MAX(0,AK230-SUM(P230:V230)))</f>
        <v/>
      </c>
      <c r="AH230" s="91">
        <f>MAX(0,X230-MAX(0,AK230-SUM(P230:W230)))</f>
        <v/>
      </c>
      <c r="AI230" s="91">
        <f>MAX(0,Y230-MAX(0,AK230-SUM(P230:X230)))</f>
        <v/>
      </c>
      <c r="AJ230" s="92">
        <f>SUM(Z229:AI229)+AL230</f>
        <v/>
      </c>
      <c r="AK230" s="92">
        <f>$AK$7-(AJ230-SUM(P230:Y230))</f>
        <v/>
      </c>
      <c r="AL230" s="91">
        <f>SUMPRODUCT(Z229:AI229,$Z$6:$AI$6)/12</f>
        <v/>
      </c>
      <c r="AM230" s="88">
        <f>SUM(Z230:AI230)</f>
        <v/>
      </c>
      <c r="AO230" s="92">
        <f>IF(AY229&lt;0.005,0,MAX(0,AY229*(1+AY$6/12)-AY$7))</f>
        <v/>
      </c>
      <c r="AP230" s="92">
        <f>IF(AZ229&lt;0.005,0,MAX(0,AZ229*(1+AZ$6/12)-AZ$7))</f>
        <v/>
      </c>
      <c r="AQ230" s="92">
        <f>IF(BA229&lt;0.005,0,MAX(0,BA229*(1+BA$6/12)-BA$7))</f>
        <v/>
      </c>
      <c r="AR230" s="92">
        <f>IF(BB229&lt;0.005,0,MAX(0,BB229*(1+BB$6/12)-BB$7))</f>
        <v/>
      </c>
      <c r="AS230" s="92">
        <f>IF(BC229&lt;0.005,0,MAX(0,BC229*(1+BC$6/12)-BC$7))</f>
        <v/>
      </c>
      <c r="AT230" s="92">
        <f>IF(BD229&lt;0.005,0,MAX(0,BD229*(1+BD$6/12)-BD$7))</f>
        <v/>
      </c>
      <c r="AU230" s="92">
        <f>IF(BE229&lt;0.005,0,MAX(0,BE229*(1+BE$6/12)-BE$7))</f>
        <v/>
      </c>
      <c r="AV230" s="92">
        <f>IF(BF229&lt;0.005,0,MAX(0,BF229*(1+BF$6/12)-BF$7))</f>
        <v/>
      </c>
      <c r="AW230" s="92">
        <f>IF(BG229&lt;0.005,0,MAX(0,BG229*(1+BG$6/12)-BG$7))</f>
        <v/>
      </c>
      <c r="AX230" s="92">
        <f>IF(BH229&lt;0.005,0,MAX(0,BH229*(1+BH$6/12)-BH$7))</f>
        <v/>
      </c>
      <c r="AY230" s="91">
        <f>MAX(0,AO230-MAX(0,BJ230-0))</f>
        <v/>
      </c>
      <c r="AZ230" s="91">
        <f>MAX(0,AP230-MAX(0,BJ230-SUM(AO230:AO230)))</f>
        <v/>
      </c>
      <c r="BA230" s="91">
        <f>MAX(0,AQ230-MAX(0,BJ230-SUM(AO230:AP230)))</f>
        <v/>
      </c>
      <c r="BB230" s="91">
        <f>MAX(0,AR230-MAX(0,BJ230-SUM(AO230:AQ230)))</f>
        <v/>
      </c>
      <c r="BC230" s="91">
        <f>MAX(0,AS230-MAX(0,BJ230-SUM(AO230:AR230)))</f>
        <v/>
      </c>
      <c r="BD230" s="91">
        <f>MAX(0,AT230-MAX(0,BJ230-SUM(AO230:AS230)))</f>
        <v/>
      </c>
      <c r="BE230" s="91">
        <f>MAX(0,AU230-MAX(0,BJ230-SUM(AO230:AT230)))</f>
        <v/>
      </c>
      <c r="BF230" s="91">
        <f>MAX(0,AV230-MAX(0,BJ230-SUM(AO230:AU230)))</f>
        <v/>
      </c>
      <c r="BG230" s="91">
        <f>MAX(0,AW230-MAX(0,BJ230-SUM(AO230:AV230)))</f>
        <v/>
      </c>
      <c r="BH230" s="91">
        <f>MAX(0,AX230-MAX(0,BJ230-SUM(AO230:AW230)))</f>
        <v/>
      </c>
      <c r="BI230" s="92">
        <f>SUM(AY229:BH229)+BK230</f>
        <v/>
      </c>
      <c r="BJ230" s="92">
        <f>$BJ$7-(BI230-SUM(AO230:AX230))</f>
        <v/>
      </c>
      <c r="BK230" s="91">
        <f>SUMPRODUCT(AY229:BH229,$AY$6:$BH$6)/12</f>
        <v/>
      </c>
      <c r="BL230" s="88">
        <f>SUM(AY230:BH230)</f>
        <v/>
      </c>
    </row>
    <row r="231">
      <c r="A231" s="24" t="n">
        <v>221</v>
      </c>
      <c r="B231" s="90">
        <f>DATE(YEAR(Settings!$C$11),MONTH(Settings!$C$11)+A231,1)</f>
        <v/>
      </c>
      <c r="C231" s="91">
        <f>IF(C230&lt;0.005,0,MAX(0,C230*(1+C$6/12)-C$7))</f>
        <v/>
      </c>
      <c r="D231" s="91">
        <f>IF(D230&lt;0.005,0,MAX(0,D230*(1+D$6/12)-D$7))</f>
        <v/>
      </c>
      <c r="E231" s="91">
        <f>IF(E230&lt;0.005,0,MAX(0,E230*(1+E$6/12)-E$7))</f>
        <v/>
      </c>
      <c r="F231" s="91">
        <f>IF(F230&lt;0.005,0,MAX(0,F230*(1+F$6/12)-F$7))</f>
        <v/>
      </c>
      <c r="G231" s="91">
        <f>IF(G230&lt;0.005,0,MAX(0,G230*(1+G$6/12)-G$7))</f>
        <v/>
      </c>
      <c r="H231" s="91">
        <f>IF(H230&lt;0.005,0,MAX(0,H230*(1+H$6/12)-H$7))</f>
        <v/>
      </c>
      <c r="I231" s="91">
        <f>IF(I230&lt;0.005,0,MAX(0,I230*(1+I$6/12)-I$7))</f>
        <v/>
      </c>
      <c r="J231" s="91">
        <f>IF(J230&lt;0.005,0,MAX(0,J230*(1+J$6/12)-J$7))</f>
        <v/>
      </c>
      <c r="K231" s="91">
        <f>IF(K230&lt;0.005,0,MAX(0,K230*(1+K$6/12)-K$7))</f>
        <v/>
      </c>
      <c r="L231" s="91">
        <f>IF(L230&lt;0.005,0,MAX(0,L230*(1+L$6/12)-L$7))</f>
        <v/>
      </c>
      <c r="M231" s="91">
        <f>SUMPRODUCT(C230:L230,$C$6:$L$6)/12</f>
        <v/>
      </c>
      <c r="N231" s="88">
        <f>SUM(C231:L231)</f>
        <v/>
      </c>
      <c r="P231" s="92">
        <f>IF(Z230&lt;0.005,0,MAX(0,Z230*(1+Z$6/12)-Z$7))</f>
        <v/>
      </c>
      <c r="Q231" s="92">
        <f>IF(AA230&lt;0.005,0,MAX(0,AA230*(1+AA$6/12)-AA$7))</f>
        <v/>
      </c>
      <c r="R231" s="92">
        <f>IF(AB230&lt;0.005,0,MAX(0,AB230*(1+AB$6/12)-AB$7))</f>
        <v/>
      </c>
      <c r="S231" s="92">
        <f>IF(AC230&lt;0.005,0,MAX(0,AC230*(1+AC$6/12)-AC$7))</f>
        <v/>
      </c>
      <c r="T231" s="92">
        <f>IF(AD230&lt;0.005,0,MAX(0,AD230*(1+AD$6/12)-AD$7))</f>
        <v/>
      </c>
      <c r="U231" s="92">
        <f>IF(AE230&lt;0.005,0,MAX(0,AE230*(1+AE$6/12)-AE$7))</f>
        <v/>
      </c>
      <c r="V231" s="92">
        <f>IF(AF230&lt;0.005,0,MAX(0,AF230*(1+AF$6/12)-AF$7))</f>
        <v/>
      </c>
      <c r="W231" s="92">
        <f>IF(AG230&lt;0.005,0,MAX(0,AG230*(1+AG$6/12)-AG$7))</f>
        <v/>
      </c>
      <c r="X231" s="92">
        <f>IF(AH230&lt;0.005,0,MAX(0,AH230*(1+AH$6/12)-AH$7))</f>
        <v/>
      </c>
      <c r="Y231" s="92">
        <f>IF(AI230&lt;0.005,0,MAX(0,AI230*(1+AI$6/12)-AI$7))</f>
        <v/>
      </c>
      <c r="Z231" s="91">
        <f>MAX(0,P231-MAX(0,AK231-0))</f>
        <v/>
      </c>
      <c r="AA231" s="91">
        <f>MAX(0,Q231-MAX(0,AK231-SUM(P231:P231)))</f>
        <v/>
      </c>
      <c r="AB231" s="91">
        <f>MAX(0,R231-MAX(0,AK231-SUM(P231:Q231)))</f>
        <v/>
      </c>
      <c r="AC231" s="91">
        <f>MAX(0,S231-MAX(0,AK231-SUM(P231:R231)))</f>
        <v/>
      </c>
      <c r="AD231" s="91">
        <f>MAX(0,T231-MAX(0,AK231-SUM(P231:S231)))</f>
        <v/>
      </c>
      <c r="AE231" s="91">
        <f>MAX(0,U231-MAX(0,AK231-SUM(P231:T231)))</f>
        <v/>
      </c>
      <c r="AF231" s="91">
        <f>MAX(0,V231-MAX(0,AK231-SUM(P231:U231)))</f>
        <v/>
      </c>
      <c r="AG231" s="91">
        <f>MAX(0,W231-MAX(0,AK231-SUM(P231:V231)))</f>
        <v/>
      </c>
      <c r="AH231" s="91">
        <f>MAX(0,X231-MAX(0,AK231-SUM(P231:W231)))</f>
        <v/>
      </c>
      <c r="AI231" s="91">
        <f>MAX(0,Y231-MAX(0,AK231-SUM(P231:X231)))</f>
        <v/>
      </c>
      <c r="AJ231" s="92">
        <f>SUM(Z230:AI230)+AL231</f>
        <v/>
      </c>
      <c r="AK231" s="92">
        <f>$AK$7-(AJ231-SUM(P231:Y231))</f>
        <v/>
      </c>
      <c r="AL231" s="91">
        <f>SUMPRODUCT(Z230:AI230,$Z$6:$AI$6)/12</f>
        <v/>
      </c>
      <c r="AM231" s="88">
        <f>SUM(Z231:AI231)</f>
        <v/>
      </c>
      <c r="AO231" s="92">
        <f>IF(AY230&lt;0.005,0,MAX(0,AY230*(1+AY$6/12)-AY$7))</f>
        <v/>
      </c>
      <c r="AP231" s="92">
        <f>IF(AZ230&lt;0.005,0,MAX(0,AZ230*(1+AZ$6/12)-AZ$7))</f>
        <v/>
      </c>
      <c r="AQ231" s="92">
        <f>IF(BA230&lt;0.005,0,MAX(0,BA230*(1+BA$6/12)-BA$7))</f>
        <v/>
      </c>
      <c r="AR231" s="92">
        <f>IF(BB230&lt;0.005,0,MAX(0,BB230*(1+BB$6/12)-BB$7))</f>
        <v/>
      </c>
      <c r="AS231" s="92">
        <f>IF(BC230&lt;0.005,0,MAX(0,BC230*(1+BC$6/12)-BC$7))</f>
        <v/>
      </c>
      <c r="AT231" s="92">
        <f>IF(BD230&lt;0.005,0,MAX(0,BD230*(1+BD$6/12)-BD$7))</f>
        <v/>
      </c>
      <c r="AU231" s="92">
        <f>IF(BE230&lt;0.005,0,MAX(0,BE230*(1+BE$6/12)-BE$7))</f>
        <v/>
      </c>
      <c r="AV231" s="92">
        <f>IF(BF230&lt;0.005,0,MAX(0,BF230*(1+BF$6/12)-BF$7))</f>
        <v/>
      </c>
      <c r="AW231" s="92">
        <f>IF(BG230&lt;0.005,0,MAX(0,BG230*(1+BG$6/12)-BG$7))</f>
        <v/>
      </c>
      <c r="AX231" s="92">
        <f>IF(BH230&lt;0.005,0,MAX(0,BH230*(1+BH$6/12)-BH$7))</f>
        <v/>
      </c>
      <c r="AY231" s="91">
        <f>MAX(0,AO231-MAX(0,BJ231-0))</f>
        <v/>
      </c>
      <c r="AZ231" s="91">
        <f>MAX(0,AP231-MAX(0,BJ231-SUM(AO231:AO231)))</f>
        <v/>
      </c>
      <c r="BA231" s="91">
        <f>MAX(0,AQ231-MAX(0,BJ231-SUM(AO231:AP231)))</f>
        <v/>
      </c>
      <c r="BB231" s="91">
        <f>MAX(0,AR231-MAX(0,BJ231-SUM(AO231:AQ231)))</f>
        <v/>
      </c>
      <c r="BC231" s="91">
        <f>MAX(0,AS231-MAX(0,BJ231-SUM(AO231:AR231)))</f>
        <v/>
      </c>
      <c r="BD231" s="91">
        <f>MAX(0,AT231-MAX(0,BJ231-SUM(AO231:AS231)))</f>
        <v/>
      </c>
      <c r="BE231" s="91">
        <f>MAX(0,AU231-MAX(0,BJ231-SUM(AO231:AT231)))</f>
        <v/>
      </c>
      <c r="BF231" s="91">
        <f>MAX(0,AV231-MAX(0,BJ231-SUM(AO231:AU231)))</f>
        <v/>
      </c>
      <c r="BG231" s="91">
        <f>MAX(0,AW231-MAX(0,BJ231-SUM(AO231:AV231)))</f>
        <v/>
      </c>
      <c r="BH231" s="91">
        <f>MAX(0,AX231-MAX(0,BJ231-SUM(AO231:AW231)))</f>
        <v/>
      </c>
      <c r="BI231" s="92">
        <f>SUM(AY230:BH230)+BK231</f>
        <v/>
      </c>
      <c r="BJ231" s="92">
        <f>$BJ$7-(BI231-SUM(AO231:AX231))</f>
        <v/>
      </c>
      <c r="BK231" s="91">
        <f>SUMPRODUCT(AY230:BH230,$AY$6:$BH$6)/12</f>
        <v/>
      </c>
      <c r="BL231" s="88">
        <f>SUM(AY231:BH231)</f>
        <v/>
      </c>
    </row>
    <row r="232">
      <c r="A232" s="24" t="n">
        <v>222</v>
      </c>
      <c r="B232" s="90">
        <f>DATE(YEAR(Settings!$C$11),MONTH(Settings!$C$11)+A232,1)</f>
        <v/>
      </c>
      <c r="C232" s="91">
        <f>IF(C231&lt;0.005,0,MAX(0,C231*(1+C$6/12)-C$7))</f>
        <v/>
      </c>
      <c r="D232" s="91">
        <f>IF(D231&lt;0.005,0,MAX(0,D231*(1+D$6/12)-D$7))</f>
        <v/>
      </c>
      <c r="E232" s="91">
        <f>IF(E231&lt;0.005,0,MAX(0,E231*(1+E$6/12)-E$7))</f>
        <v/>
      </c>
      <c r="F232" s="91">
        <f>IF(F231&lt;0.005,0,MAX(0,F231*(1+F$6/12)-F$7))</f>
        <v/>
      </c>
      <c r="G232" s="91">
        <f>IF(G231&lt;0.005,0,MAX(0,G231*(1+G$6/12)-G$7))</f>
        <v/>
      </c>
      <c r="H232" s="91">
        <f>IF(H231&lt;0.005,0,MAX(0,H231*(1+H$6/12)-H$7))</f>
        <v/>
      </c>
      <c r="I232" s="91">
        <f>IF(I231&lt;0.005,0,MAX(0,I231*(1+I$6/12)-I$7))</f>
        <v/>
      </c>
      <c r="J232" s="91">
        <f>IF(J231&lt;0.005,0,MAX(0,J231*(1+J$6/12)-J$7))</f>
        <v/>
      </c>
      <c r="K232" s="91">
        <f>IF(K231&lt;0.005,0,MAX(0,K231*(1+K$6/12)-K$7))</f>
        <v/>
      </c>
      <c r="L232" s="91">
        <f>IF(L231&lt;0.005,0,MAX(0,L231*(1+L$6/12)-L$7))</f>
        <v/>
      </c>
      <c r="M232" s="91">
        <f>SUMPRODUCT(C231:L231,$C$6:$L$6)/12</f>
        <v/>
      </c>
      <c r="N232" s="88">
        <f>SUM(C232:L232)</f>
        <v/>
      </c>
      <c r="P232" s="92">
        <f>IF(Z231&lt;0.005,0,MAX(0,Z231*(1+Z$6/12)-Z$7))</f>
        <v/>
      </c>
      <c r="Q232" s="92">
        <f>IF(AA231&lt;0.005,0,MAX(0,AA231*(1+AA$6/12)-AA$7))</f>
        <v/>
      </c>
      <c r="R232" s="92">
        <f>IF(AB231&lt;0.005,0,MAX(0,AB231*(1+AB$6/12)-AB$7))</f>
        <v/>
      </c>
      <c r="S232" s="92">
        <f>IF(AC231&lt;0.005,0,MAX(0,AC231*(1+AC$6/12)-AC$7))</f>
        <v/>
      </c>
      <c r="T232" s="92">
        <f>IF(AD231&lt;0.005,0,MAX(0,AD231*(1+AD$6/12)-AD$7))</f>
        <v/>
      </c>
      <c r="U232" s="92">
        <f>IF(AE231&lt;0.005,0,MAX(0,AE231*(1+AE$6/12)-AE$7))</f>
        <v/>
      </c>
      <c r="V232" s="92">
        <f>IF(AF231&lt;0.005,0,MAX(0,AF231*(1+AF$6/12)-AF$7))</f>
        <v/>
      </c>
      <c r="W232" s="92">
        <f>IF(AG231&lt;0.005,0,MAX(0,AG231*(1+AG$6/12)-AG$7))</f>
        <v/>
      </c>
      <c r="X232" s="92">
        <f>IF(AH231&lt;0.005,0,MAX(0,AH231*(1+AH$6/12)-AH$7))</f>
        <v/>
      </c>
      <c r="Y232" s="92">
        <f>IF(AI231&lt;0.005,0,MAX(0,AI231*(1+AI$6/12)-AI$7))</f>
        <v/>
      </c>
      <c r="Z232" s="91">
        <f>MAX(0,P232-MAX(0,AK232-0))</f>
        <v/>
      </c>
      <c r="AA232" s="91">
        <f>MAX(0,Q232-MAX(0,AK232-SUM(P232:P232)))</f>
        <v/>
      </c>
      <c r="AB232" s="91">
        <f>MAX(0,R232-MAX(0,AK232-SUM(P232:Q232)))</f>
        <v/>
      </c>
      <c r="AC232" s="91">
        <f>MAX(0,S232-MAX(0,AK232-SUM(P232:R232)))</f>
        <v/>
      </c>
      <c r="AD232" s="91">
        <f>MAX(0,T232-MAX(0,AK232-SUM(P232:S232)))</f>
        <v/>
      </c>
      <c r="AE232" s="91">
        <f>MAX(0,U232-MAX(0,AK232-SUM(P232:T232)))</f>
        <v/>
      </c>
      <c r="AF232" s="91">
        <f>MAX(0,V232-MAX(0,AK232-SUM(P232:U232)))</f>
        <v/>
      </c>
      <c r="AG232" s="91">
        <f>MAX(0,W232-MAX(0,AK232-SUM(P232:V232)))</f>
        <v/>
      </c>
      <c r="AH232" s="91">
        <f>MAX(0,X232-MAX(0,AK232-SUM(P232:W232)))</f>
        <v/>
      </c>
      <c r="AI232" s="91">
        <f>MAX(0,Y232-MAX(0,AK232-SUM(P232:X232)))</f>
        <v/>
      </c>
      <c r="AJ232" s="92">
        <f>SUM(Z231:AI231)+AL232</f>
        <v/>
      </c>
      <c r="AK232" s="92">
        <f>$AK$7-(AJ232-SUM(P232:Y232))</f>
        <v/>
      </c>
      <c r="AL232" s="91">
        <f>SUMPRODUCT(Z231:AI231,$Z$6:$AI$6)/12</f>
        <v/>
      </c>
      <c r="AM232" s="88">
        <f>SUM(Z232:AI232)</f>
        <v/>
      </c>
      <c r="AO232" s="92">
        <f>IF(AY231&lt;0.005,0,MAX(0,AY231*(1+AY$6/12)-AY$7))</f>
        <v/>
      </c>
      <c r="AP232" s="92">
        <f>IF(AZ231&lt;0.005,0,MAX(0,AZ231*(1+AZ$6/12)-AZ$7))</f>
        <v/>
      </c>
      <c r="AQ232" s="92">
        <f>IF(BA231&lt;0.005,0,MAX(0,BA231*(1+BA$6/12)-BA$7))</f>
        <v/>
      </c>
      <c r="AR232" s="92">
        <f>IF(BB231&lt;0.005,0,MAX(0,BB231*(1+BB$6/12)-BB$7))</f>
        <v/>
      </c>
      <c r="AS232" s="92">
        <f>IF(BC231&lt;0.005,0,MAX(0,BC231*(1+BC$6/12)-BC$7))</f>
        <v/>
      </c>
      <c r="AT232" s="92">
        <f>IF(BD231&lt;0.005,0,MAX(0,BD231*(1+BD$6/12)-BD$7))</f>
        <v/>
      </c>
      <c r="AU232" s="92">
        <f>IF(BE231&lt;0.005,0,MAX(0,BE231*(1+BE$6/12)-BE$7))</f>
        <v/>
      </c>
      <c r="AV232" s="92">
        <f>IF(BF231&lt;0.005,0,MAX(0,BF231*(1+BF$6/12)-BF$7))</f>
        <v/>
      </c>
      <c r="AW232" s="92">
        <f>IF(BG231&lt;0.005,0,MAX(0,BG231*(1+BG$6/12)-BG$7))</f>
        <v/>
      </c>
      <c r="AX232" s="92">
        <f>IF(BH231&lt;0.005,0,MAX(0,BH231*(1+BH$6/12)-BH$7))</f>
        <v/>
      </c>
      <c r="AY232" s="91">
        <f>MAX(0,AO232-MAX(0,BJ232-0))</f>
        <v/>
      </c>
      <c r="AZ232" s="91">
        <f>MAX(0,AP232-MAX(0,BJ232-SUM(AO232:AO232)))</f>
        <v/>
      </c>
      <c r="BA232" s="91">
        <f>MAX(0,AQ232-MAX(0,BJ232-SUM(AO232:AP232)))</f>
        <v/>
      </c>
      <c r="BB232" s="91">
        <f>MAX(0,AR232-MAX(0,BJ232-SUM(AO232:AQ232)))</f>
        <v/>
      </c>
      <c r="BC232" s="91">
        <f>MAX(0,AS232-MAX(0,BJ232-SUM(AO232:AR232)))</f>
        <v/>
      </c>
      <c r="BD232" s="91">
        <f>MAX(0,AT232-MAX(0,BJ232-SUM(AO232:AS232)))</f>
        <v/>
      </c>
      <c r="BE232" s="91">
        <f>MAX(0,AU232-MAX(0,BJ232-SUM(AO232:AT232)))</f>
        <v/>
      </c>
      <c r="BF232" s="91">
        <f>MAX(0,AV232-MAX(0,BJ232-SUM(AO232:AU232)))</f>
        <v/>
      </c>
      <c r="BG232" s="91">
        <f>MAX(0,AW232-MAX(0,BJ232-SUM(AO232:AV232)))</f>
        <v/>
      </c>
      <c r="BH232" s="91">
        <f>MAX(0,AX232-MAX(0,BJ232-SUM(AO232:AW232)))</f>
        <v/>
      </c>
      <c r="BI232" s="92">
        <f>SUM(AY231:BH231)+BK232</f>
        <v/>
      </c>
      <c r="BJ232" s="92">
        <f>$BJ$7-(BI232-SUM(AO232:AX232))</f>
        <v/>
      </c>
      <c r="BK232" s="91">
        <f>SUMPRODUCT(AY231:BH231,$AY$6:$BH$6)/12</f>
        <v/>
      </c>
      <c r="BL232" s="88">
        <f>SUM(AY232:BH232)</f>
        <v/>
      </c>
    </row>
    <row r="233">
      <c r="A233" s="24" t="n">
        <v>223</v>
      </c>
      <c r="B233" s="90">
        <f>DATE(YEAR(Settings!$C$11),MONTH(Settings!$C$11)+A233,1)</f>
        <v/>
      </c>
      <c r="C233" s="91">
        <f>IF(C232&lt;0.005,0,MAX(0,C232*(1+C$6/12)-C$7))</f>
        <v/>
      </c>
      <c r="D233" s="91">
        <f>IF(D232&lt;0.005,0,MAX(0,D232*(1+D$6/12)-D$7))</f>
        <v/>
      </c>
      <c r="E233" s="91">
        <f>IF(E232&lt;0.005,0,MAX(0,E232*(1+E$6/12)-E$7))</f>
        <v/>
      </c>
      <c r="F233" s="91">
        <f>IF(F232&lt;0.005,0,MAX(0,F232*(1+F$6/12)-F$7))</f>
        <v/>
      </c>
      <c r="G233" s="91">
        <f>IF(G232&lt;0.005,0,MAX(0,G232*(1+G$6/12)-G$7))</f>
        <v/>
      </c>
      <c r="H233" s="91">
        <f>IF(H232&lt;0.005,0,MAX(0,H232*(1+H$6/12)-H$7))</f>
        <v/>
      </c>
      <c r="I233" s="91">
        <f>IF(I232&lt;0.005,0,MAX(0,I232*(1+I$6/12)-I$7))</f>
        <v/>
      </c>
      <c r="J233" s="91">
        <f>IF(J232&lt;0.005,0,MAX(0,J232*(1+J$6/12)-J$7))</f>
        <v/>
      </c>
      <c r="K233" s="91">
        <f>IF(K232&lt;0.005,0,MAX(0,K232*(1+K$6/12)-K$7))</f>
        <v/>
      </c>
      <c r="L233" s="91">
        <f>IF(L232&lt;0.005,0,MAX(0,L232*(1+L$6/12)-L$7))</f>
        <v/>
      </c>
      <c r="M233" s="91">
        <f>SUMPRODUCT(C232:L232,$C$6:$L$6)/12</f>
        <v/>
      </c>
      <c r="N233" s="88">
        <f>SUM(C233:L233)</f>
        <v/>
      </c>
      <c r="P233" s="92">
        <f>IF(Z232&lt;0.005,0,MAX(0,Z232*(1+Z$6/12)-Z$7))</f>
        <v/>
      </c>
      <c r="Q233" s="92">
        <f>IF(AA232&lt;0.005,0,MAX(0,AA232*(1+AA$6/12)-AA$7))</f>
        <v/>
      </c>
      <c r="R233" s="92">
        <f>IF(AB232&lt;0.005,0,MAX(0,AB232*(1+AB$6/12)-AB$7))</f>
        <v/>
      </c>
      <c r="S233" s="92">
        <f>IF(AC232&lt;0.005,0,MAX(0,AC232*(1+AC$6/12)-AC$7))</f>
        <v/>
      </c>
      <c r="T233" s="92">
        <f>IF(AD232&lt;0.005,0,MAX(0,AD232*(1+AD$6/12)-AD$7))</f>
        <v/>
      </c>
      <c r="U233" s="92">
        <f>IF(AE232&lt;0.005,0,MAX(0,AE232*(1+AE$6/12)-AE$7))</f>
        <v/>
      </c>
      <c r="V233" s="92">
        <f>IF(AF232&lt;0.005,0,MAX(0,AF232*(1+AF$6/12)-AF$7))</f>
        <v/>
      </c>
      <c r="W233" s="92">
        <f>IF(AG232&lt;0.005,0,MAX(0,AG232*(1+AG$6/12)-AG$7))</f>
        <v/>
      </c>
      <c r="X233" s="92">
        <f>IF(AH232&lt;0.005,0,MAX(0,AH232*(1+AH$6/12)-AH$7))</f>
        <v/>
      </c>
      <c r="Y233" s="92">
        <f>IF(AI232&lt;0.005,0,MAX(0,AI232*(1+AI$6/12)-AI$7))</f>
        <v/>
      </c>
      <c r="Z233" s="91">
        <f>MAX(0,P233-MAX(0,AK233-0))</f>
        <v/>
      </c>
      <c r="AA233" s="91">
        <f>MAX(0,Q233-MAX(0,AK233-SUM(P233:P233)))</f>
        <v/>
      </c>
      <c r="AB233" s="91">
        <f>MAX(0,R233-MAX(0,AK233-SUM(P233:Q233)))</f>
        <v/>
      </c>
      <c r="AC233" s="91">
        <f>MAX(0,S233-MAX(0,AK233-SUM(P233:R233)))</f>
        <v/>
      </c>
      <c r="AD233" s="91">
        <f>MAX(0,T233-MAX(0,AK233-SUM(P233:S233)))</f>
        <v/>
      </c>
      <c r="AE233" s="91">
        <f>MAX(0,U233-MAX(0,AK233-SUM(P233:T233)))</f>
        <v/>
      </c>
      <c r="AF233" s="91">
        <f>MAX(0,V233-MAX(0,AK233-SUM(P233:U233)))</f>
        <v/>
      </c>
      <c r="AG233" s="91">
        <f>MAX(0,W233-MAX(0,AK233-SUM(P233:V233)))</f>
        <v/>
      </c>
      <c r="AH233" s="91">
        <f>MAX(0,X233-MAX(0,AK233-SUM(P233:W233)))</f>
        <v/>
      </c>
      <c r="AI233" s="91">
        <f>MAX(0,Y233-MAX(0,AK233-SUM(P233:X233)))</f>
        <v/>
      </c>
      <c r="AJ233" s="92">
        <f>SUM(Z232:AI232)+AL233</f>
        <v/>
      </c>
      <c r="AK233" s="92">
        <f>$AK$7-(AJ233-SUM(P233:Y233))</f>
        <v/>
      </c>
      <c r="AL233" s="91">
        <f>SUMPRODUCT(Z232:AI232,$Z$6:$AI$6)/12</f>
        <v/>
      </c>
      <c r="AM233" s="88">
        <f>SUM(Z233:AI233)</f>
        <v/>
      </c>
      <c r="AO233" s="92">
        <f>IF(AY232&lt;0.005,0,MAX(0,AY232*(1+AY$6/12)-AY$7))</f>
        <v/>
      </c>
      <c r="AP233" s="92">
        <f>IF(AZ232&lt;0.005,0,MAX(0,AZ232*(1+AZ$6/12)-AZ$7))</f>
        <v/>
      </c>
      <c r="AQ233" s="92">
        <f>IF(BA232&lt;0.005,0,MAX(0,BA232*(1+BA$6/12)-BA$7))</f>
        <v/>
      </c>
      <c r="AR233" s="92">
        <f>IF(BB232&lt;0.005,0,MAX(0,BB232*(1+BB$6/12)-BB$7))</f>
        <v/>
      </c>
      <c r="AS233" s="92">
        <f>IF(BC232&lt;0.005,0,MAX(0,BC232*(1+BC$6/12)-BC$7))</f>
        <v/>
      </c>
      <c r="AT233" s="92">
        <f>IF(BD232&lt;0.005,0,MAX(0,BD232*(1+BD$6/12)-BD$7))</f>
        <v/>
      </c>
      <c r="AU233" s="92">
        <f>IF(BE232&lt;0.005,0,MAX(0,BE232*(1+BE$6/12)-BE$7))</f>
        <v/>
      </c>
      <c r="AV233" s="92">
        <f>IF(BF232&lt;0.005,0,MAX(0,BF232*(1+BF$6/12)-BF$7))</f>
        <v/>
      </c>
      <c r="AW233" s="92">
        <f>IF(BG232&lt;0.005,0,MAX(0,BG232*(1+BG$6/12)-BG$7))</f>
        <v/>
      </c>
      <c r="AX233" s="92">
        <f>IF(BH232&lt;0.005,0,MAX(0,BH232*(1+BH$6/12)-BH$7))</f>
        <v/>
      </c>
      <c r="AY233" s="91">
        <f>MAX(0,AO233-MAX(0,BJ233-0))</f>
        <v/>
      </c>
      <c r="AZ233" s="91">
        <f>MAX(0,AP233-MAX(0,BJ233-SUM(AO233:AO233)))</f>
        <v/>
      </c>
      <c r="BA233" s="91">
        <f>MAX(0,AQ233-MAX(0,BJ233-SUM(AO233:AP233)))</f>
        <v/>
      </c>
      <c r="BB233" s="91">
        <f>MAX(0,AR233-MAX(0,BJ233-SUM(AO233:AQ233)))</f>
        <v/>
      </c>
      <c r="BC233" s="91">
        <f>MAX(0,AS233-MAX(0,BJ233-SUM(AO233:AR233)))</f>
        <v/>
      </c>
      <c r="BD233" s="91">
        <f>MAX(0,AT233-MAX(0,BJ233-SUM(AO233:AS233)))</f>
        <v/>
      </c>
      <c r="BE233" s="91">
        <f>MAX(0,AU233-MAX(0,BJ233-SUM(AO233:AT233)))</f>
        <v/>
      </c>
      <c r="BF233" s="91">
        <f>MAX(0,AV233-MAX(0,BJ233-SUM(AO233:AU233)))</f>
        <v/>
      </c>
      <c r="BG233" s="91">
        <f>MAX(0,AW233-MAX(0,BJ233-SUM(AO233:AV233)))</f>
        <v/>
      </c>
      <c r="BH233" s="91">
        <f>MAX(0,AX233-MAX(0,BJ233-SUM(AO233:AW233)))</f>
        <v/>
      </c>
      <c r="BI233" s="92">
        <f>SUM(AY232:BH232)+BK233</f>
        <v/>
      </c>
      <c r="BJ233" s="92">
        <f>$BJ$7-(BI233-SUM(AO233:AX233))</f>
        <v/>
      </c>
      <c r="BK233" s="91">
        <f>SUMPRODUCT(AY232:BH232,$AY$6:$BH$6)/12</f>
        <v/>
      </c>
      <c r="BL233" s="88">
        <f>SUM(AY233:BH233)</f>
        <v/>
      </c>
    </row>
    <row r="234">
      <c r="A234" s="24" t="n">
        <v>224</v>
      </c>
      <c r="B234" s="90">
        <f>DATE(YEAR(Settings!$C$11),MONTH(Settings!$C$11)+A234,1)</f>
        <v/>
      </c>
      <c r="C234" s="91">
        <f>IF(C233&lt;0.005,0,MAX(0,C233*(1+C$6/12)-C$7))</f>
        <v/>
      </c>
      <c r="D234" s="91">
        <f>IF(D233&lt;0.005,0,MAX(0,D233*(1+D$6/12)-D$7))</f>
        <v/>
      </c>
      <c r="E234" s="91">
        <f>IF(E233&lt;0.005,0,MAX(0,E233*(1+E$6/12)-E$7))</f>
        <v/>
      </c>
      <c r="F234" s="91">
        <f>IF(F233&lt;0.005,0,MAX(0,F233*(1+F$6/12)-F$7))</f>
        <v/>
      </c>
      <c r="G234" s="91">
        <f>IF(G233&lt;0.005,0,MAX(0,G233*(1+G$6/12)-G$7))</f>
        <v/>
      </c>
      <c r="H234" s="91">
        <f>IF(H233&lt;0.005,0,MAX(0,H233*(1+H$6/12)-H$7))</f>
        <v/>
      </c>
      <c r="I234" s="91">
        <f>IF(I233&lt;0.005,0,MAX(0,I233*(1+I$6/12)-I$7))</f>
        <v/>
      </c>
      <c r="J234" s="91">
        <f>IF(J233&lt;0.005,0,MAX(0,J233*(1+J$6/12)-J$7))</f>
        <v/>
      </c>
      <c r="K234" s="91">
        <f>IF(K233&lt;0.005,0,MAX(0,K233*(1+K$6/12)-K$7))</f>
        <v/>
      </c>
      <c r="L234" s="91">
        <f>IF(L233&lt;0.005,0,MAX(0,L233*(1+L$6/12)-L$7))</f>
        <v/>
      </c>
      <c r="M234" s="91">
        <f>SUMPRODUCT(C233:L233,$C$6:$L$6)/12</f>
        <v/>
      </c>
      <c r="N234" s="88">
        <f>SUM(C234:L234)</f>
        <v/>
      </c>
      <c r="P234" s="92">
        <f>IF(Z233&lt;0.005,0,MAX(0,Z233*(1+Z$6/12)-Z$7))</f>
        <v/>
      </c>
      <c r="Q234" s="92">
        <f>IF(AA233&lt;0.005,0,MAX(0,AA233*(1+AA$6/12)-AA$7))</f>
        <v/>
      </c>
      <c r="R234" s="92">
        <f>IF(AB233&lt;0.005,0,MAX(0,AB233*(1+AB$6/12)-AB$7))</f>
        <v/>
      </c>
      <c r="S234" s="92">
        <f>IF(AC233&lt;0.005,0,MAX(0,AC233*(1+AC$6/12)-AC$7))</f>
        <v/>
      </c>
      <c r="T234" s="92">
        <f>IF(AD233&lt;0.005,0,MAX(0,AD233*(1+AD$6/12)-AD$7))</f>
        <v/>
      </c>
      <c r="U234" s="92">
        <f>IF(AE233&lt;0.005,0,MAX(0,AE233*(1+AE$6/12)-AE$7))</f>
        <v/>
      </c>
      <c r="V234" s="92">
        <f>IF(AF233&lt;0.005,0,MAX(0,AF233*(1+AF$6/12)-AF$7))</f>
        <v/>
      </c>
      <c r="W234" s="92">
        <f>IF(AG233&lt;0.005,0,MAX(0,AG233*(1+AG$6/12)-AG$7))</f>
        <v/>
      </c>
      <c r="X234" s="92">
        <f>IF(AH233&lt;0.005,0,MAX(0,AH233*(1+AH$6/12)-AH$7))</f>
        <v/>
      </c>
      <c r="Y234" s="92">
        <f>IF(AI233&lt;0.005,0,MAX(0,AI233*(1+AI$6/12)-AI$7))</f>
        <v/>
      </c>
      <c r="Z234" s="91">
        <f>MAX(0,P234-MAX(0,AK234-0))</f>
        <v/>
      </c>
      <c r="AA234" s="91">
        <f>MAX(0,Q234-MAX(0,AK234-SUM(P234:P234)))</f>
        <v/>
      </c>
      <c r="AB234" s="91">
        <f>MAX(0,R234-MAX(0,AK234-SUM(P234:Q234)))</f>
        <v/>
      </c>
      <c r="AC234" s="91">
        <f>MAX(0,S234-MAX(0,AK234-SUM(P234:R234)))</f>
        <v/>
      </c>
      <c r="AD234" s="91">
        <f>MAX(0,T234-MAX(0,AK234-SUM(P234:S234)))</f>
        <v/>
      </c>
      <c r="AE234" s="91">
        <f>MAX(0,U234-MAX(0,AK234-SUM(P234:T234)))</f>
        <v/>
      </c>
      <c r="AF234" s="91">
        <f>MAX(0,V234-MAX(0,AK234-SUM(P234:U234)))</f>
        <v/>
      </c>
      <c r="AG234" s="91">
        <f>MAX(0,W234-MAX(0,AK234-SUM(P234:V234)))</f>
        <v/>
      </c>
      <c r="AH234" s="91">
        <f>MAX(0,X234-MAX(0,AK234-SUM(P234:W234)))</f>
        <v/>
      </c>
      <c r="AI234" s="91">
        <f>MAX(0,Y234-MAX(0,AK234-SUM(P234:X234)))</f>
        <v/>
      </c>
      <c r="AJ234" s="92">
        <f>SUM(Z233:AI233)+AL234</f>
        <v/>
      </c>
      <c r="AK234" s="92">
        <f>$AK$7-(AJ234-SUM(P234:Y234))</f>
        <v/>
      </c>
      <c r="AL234" s="91">
        <f>SUMPRODUCT(Z233:AI233,$Z$6:$AI$6)/12</f>
        <v/>
      </c>
      <c r="AM234" s="88">
        <f>SUM(Z234:AI234)</f>
        <v/>
      </c>
      <c r="AO234" s="92">
        <f>IF(AY233&lt;0.005,0,MAX(0,AY233*(1+AY$6/12)-AY$7))</f>
        <v/>
      </c>
      <c r="AP234" s="92">
        <f>IF(AZ233&lt;0.005,0,MAX(0,AZ233*(1+AZ$6/12)-AZ$7))</f>
        <v/>
      </c>
      <c r="AQ234" s="92">
        <f>IF(BA233&lt;0.005,0,MAX(0,BA233*(1+BA$6/12)-BA$7))</f>
        <v/>
      </c>
      <c r="AR234" s="92">
        <f>IF(BB233&lt;0.005,0,MAX(0,BB233*(1+BB$6/12)-BB$7))</f>
        <v/>
      </c>
      <c r="AS234" s="92">
        <f>IF(BC233&lt;0.005,0,MAX(0,BC233*(1+BC$6/12)-BC$7))</f>
        <v/>
      </c>
      <c r="AT234" s="92">
        <f>IF(BD233&lt;0.005,0,MAX(0,BD233*(1+BD$6/12)-BD$7))</f>
        <v/>
      </c>
      <c r="AU234" s="92">
        <f>IF(BE233&lt;0.005,0,MAX(0,BE233*(1+BE$6/12)-BE$7))</f>
        <v/>
      </c>
      <c r="AV234" s="92">
        <f>IF(BF233&lt;0.005,0,MAX(0,BF233*(1+BF$6/12)-BF$7))</f>
        <v/>
      </c>
      <c r="AW234" s="92">
        <f>IF(BG233&lt;0.005,0,MAX(0,BG233*(1+BG$6/12)-BG$7))</f>
        <v/>
      </c>
      <c r="AX234" s="92">
        <f>IF(BH233&lt;0.005,0,MAX(0,BH233*(1+BH$6/12)-BH$7))</f>
        <v/>
      </c>
      <c r="AY234" s="91">
        <f>MAX(0,AO234-MAX(0,BJ234-0))</f>
        <v/>
      </c>
      <c r="AZ234" s="91">
        <f>MAX(0,AP234-MAX(0,BJ234-SUM(AO234:AO234)))</f>
        <v/>
      </c>
      <c r="BA234" s="91">
        <f>MAX(0,AQ234-MAX(0,BJ234-SUM(AO234:AP234)))</f>
        <v/>
      </c>
      <c r="BB234" s="91">
        <f>MAX(0,AR234-MAX(0,BJ234-SUM(AO234:AQ234)))</f>
        <v/>
      </c>
      <c r="BC234" s="91">
        <f>MAX(0,AS234-MAX(0,BJ234-SUM(AO234:AR234)))</f>
        <v/>
      </c>
      <c r="BD234" s="91">
        <f>MAX(0,AT234-MAX(0,BJ234-SUM(AO234:AS234)))</f>
        <v/>
      </c>
      <c r="BE234" s="91">
        <f>MAX(0,AU234-MAX(0,BJ234-SUM(AO234:AT234)))</f>
        <v/>
      </c>
      <c r="BF234" s="91">
        <f>MAX(0,AV234-MAX(0,BJ234-SUM(AO234:AU234)))</f>
        <v/>
      </c>
      <c r="BG234" s="91">
        <f>MAX(0,AW234-MAX(0,BJ234-SUM(AO234:AV234)))</f>
        <v/>
      </c>
      <c r="BH234" s="91">
        <f>MAX(0,AX234-MAX(0,BJ234-SUM(AO234:AW234)))</f>
        <v/>
      </c>
      <c r="BI234" s="92">
        <f>SUM(AY233:BH233)+BK234</f>
        <v/>
      </c>
      <c r="BJ234" s="92">
        <f>$BJ$7-(BI234-SUM(AO234:AX234))</f>
        <v/>
      </c>
      <c r="BK234" s="91">
        <f>SUMPRODUCT(AY233:BH233,$AY$6:$BH$6)/12</f>
        <v/>
      </c>
      <c r="BL234" s="88">
        <f>SUM(AY234:BH234)</f>
        <v/>
      </c>
    </row>
    <row r="235">
      <c r="A235" s="24" t="n">
        <v>225</v>
      </c>
      <c r="B235" s="90">
        <f>DATE(YEAR(Settings!$C$11),MONTH(Settings!$C$11)+A235,1)</f>
        <v/>
      </c>
      <c r="C235" s="91">
        <f>IF(C234&lt;0.005,0,MAX(0,C234*(1+C$6/12)-C$7))</f>
        <v/>
      </c>
      <c r="D235" s="91">
        <f>IF(D234&lt;0.005,0,MAX(0,D234*(1+D$6/12)-D$7))</f>
        <v/>
      </c>
      <c r="E235" s="91">
        <f>IF(E234&lt;0.005,0,MAX(0,E234*(1+E$6/12)-E$7))</f>
        <v/>
      </c>
      <c r="F235" s="91">
        <f>IF(F234&lt;0.005,0,MAX(0,F234*(1+F$6/12)-F$7))</f>
        <v/>
      </c>
      <c r="G235" s="91">
        <f>IF(G234&lt;0.005,0,MAX(0,G234*(1+G$6/12)-G$7))</f>
        <v/>
      </c>
      <c r="H235" s="91">
        <f>IF(H234&lt;0.005,0,MAX(0,H234*(1+H$6/12)-H$7))</f>
        <v/>
      </c>
      <c r="I235" s="91">
        <f>IF(I234&lt;0.005,0,MAX(0,I234*(1+I$6/12)-I$7))</f>
        <v/>
      </c>
      <c r="J235" s="91">
        <f>IF(J234&lt;0.005,0,MAX(0,J234*(1+J$6/12)-J$7))</f>
        <v/>
      </c>
      <c r="K235" s="91">
        <f>IF(K234&lt;0.005,0,MAX(0,K234*(1+K$6/12)-K$7))</f>
        <v/>
      </c>
      <c r="L235" s="91">
        <f>IF(L234&lt;0.005,0,MAX(0,L234*(1+L$6/12)-L$7))</f>
        <v/>
      </c>
      <c r="M235" s="91">
        <f>SUMPRODUCT(C234:L234,$C$6:$L$6)/12</f>
        <v/>
      </c>
      <c r="N235" s="88">
        <f>SUM(C235:L235)</f>
        <v/>
      </c>
      <c r="P235" s="92">
        <f>IF(Z234&lt;0.005,0,MAX(0,Z234*(1+Z$6/12)-Z$7))</f>
        <v/>
      </c>
      <c r="Q235" s="92">
        <f>IF(AA234&lt;0.005,0,MAX(0,AA234*(1+AA$6/12)-AA$7))</f>
        <v/>
      </c>
      <c r="R235" s="92">
        <f>IF(AB234&lt;0.005,0,MAX(0,AB234*(1+AB$6/12)-AB$7))</f>
        <v/>
      </c>
      <c r="S235" s="92">
        <f>IF(AC234&lt;0.005,0,MAX(0,AC234*(1+AC$6/12)-AC$7))</f>
        <v/>
      </c>
      <c r="T235" s="92">
        <f>IF(AD234&lt;0.005,0,MAX(0,AD234*(1+AD$6/12)-AD$7))</f>
        <v/>
      </c>
      <c r="U235" s="92">
        <f>IF(AE234&lt;0.005,0,MAX(0,AE234*(1+AE$6/12)-AE$7))</f>
        <v/>
      </c>
      <c r="V235" s="92">
        <f>IF(AF234&lt;0.005,0,MAX(0,AF234*(1+AF$6/12)-AF$7))</f>
        <v/>
      </c>
      <c r="W235" s="92">
        <f>IF(AG234&lt;0.005,0,MAX(0,AG234*(1+AG$6/12)-AG$7))</f>
        <v/>
      </c>
      <c r="X235" s="92">
        <f>IF(AH234&lt;0.005,0,MAX(0,AH234*(1+AH$6/12)-AH$7))</f>
        <v/>
      </c>
      <c r="Y235" s="92">
        <f>IF(AI234&lt;0.005,0,MAX(0,AI234*(1+AI$6/12)-AI$7))</f>
        <v/>
      </c>
      <c r="Z235" s="91">
        <f>MAX(0,P235-MAX(0,AK235-0))</f>
        <v/>
      </c>
      <c r="AA235" s="91">
        <f>MAX(0,Q235-MAX(0,AK235-SUM(P235:P235)))</f>
        <v/>
      </c>
      <c r="AB235" s="91">
        <f>MAX(0,R235-MAX(0,AK235-SUM(P235:Q235)))</f>
        <v/>
      </c>
      <c r="AC235" s="91">
        <f>MAX(0,S235-MAX(0,AK235-SUM(P235:R235)))</f>
        <v/>
      </c>
      <c r="AD235" s="91">
        <f>MAX(0,T235-MAX(0,AK235-SUM(P235:S235)))</f>
        <v/>
      </c>
      <c r="AE235" s="91">
        <f>MAX(0,U235-MAX(0,AK235-SUM(P235:T235)))</f>
        <v/>
      </c>
      <c r="AF235" s="91">
        <f>MAX(0,V235-MAX(0,AK235-SUM(P235:U235)))</f>
        <v/>
      </c>
      <c r="AG235" s="91">
        <f>MAX(0,W235-MAX(0,AK235-SUM(P235:V235)))</f>
        <v/>
      </c>
      <c r="AH235" s="91">
        <f>MAX(0,X235-MAX(0,AK235-SUM(P235:W235)))</f>
        <v/>
      </c>
      <c r="AI235" s="91">
        <f>MAX(0,Y235-MAX(0,AK235-SUM(P235:X235)))</f>
        <v/>
      </c>
      <c r="AJ235" s="92">
        <f>SUM(Z234:AI234)+AL235</f>
        <v/>
      </c>
      <c r="AK235" s="92">
        <f>$AK$7-(AJ235-SUM(P235:Y235))</f>
        <v/>
      </c>
      <c r="AL235" s="91">
        <f>SUMPRODUCT(Z234:AI234,$Z$6:$AI$6)/12</f>
        <v/>
      </c>
      <c r="AM235" s="88">
        <f>SUM(Z235:AI235)</f>
        <v/>
      </c>
      <c r="AO235" s="92">
        <f>IF(AY234&lt;0.005,0,MAX(0,AY234*(1+AY$6/12)-AY$7))</f>
        <v/>
      </c>
      <c r="AP235" s="92">
        <f>IF(AZ234&lt;0.005,0,MAX(0,AZ234*(1+AZ$6/12)-AZ$7))</f>
        <v/>
      </c>
      <c r="AQ235" s="92">
        <f>IF(BA234&lt;0.005,0,MAX(0,BA234*(1+BA$6/12)-BA$7))</f>
        <v/>
      </c>
      <c r="AR235" s="92">
        <f>IF(BB234&lt;0.005,0,MAX(0,BB234*(1+BB$6/12)-BB$7))</f>
        <v/>
      </c>
      <c r="AS235" s="92">
        <f>IF(BC234&lt;0.005,0,MAX(0,BC234*(1+BC$6/12)-BC$7))</f>
        <v/>
      </c>
      <c r="AT235" s="92">
        <f>IF(BD234&lt;0.005,0,MAX(0,BD234*(1+BD$6/12)-BD$7))</f>
        <v/>
      </c>
      <c r="AU235" s="92">
        <f>IF(BE234&lt;0.005,0,MAX(0,BE234*(1+BE$6/12)-BE$7))</f>
        <v/>
      </c>
      <c r="AV235" s="92">
        <f>IF(BF234&lt;0.005,0,MAX(0,BF234*(1+BF$6/12)-BF$7))</f>
        <v/>
      </c>
      <c r="AW235" s="92">
        <f>IF(BG234&lt;0.005,0,MAX(0,BG234*(1+BG$6/12)-BG$7))</f>
        <v/>
      </c>
      <c r="AX235" s="92">
        <f>IF(BH234&lt;0.005,0,MAX(0,BH234*(1+BH$6/12)-BH$7))</f>
        <v/>
      </c>
      <c r="AY235" s="91">
        <f>MAX(0,AO235-MAX(0,BJ235-0))</f>
        <v/>
      </c>
      <c r="AZ235" s="91">
        <f>MAX(0,AP235-MAX(0,BJ235-SUM(AO235:AO235)))</f>
        <v/>
      </c>
      <c r="BA235" s="91">
        <f>MAX(0,AQ235-MAX(0,BJ235-SUM(AO235:AP235)))</f>
        <v/>
      </c>
      <c r="BB235" s="91">
        <f>MAX(0,AR235-MAX(0,BJ235-SUM(AO235:AQ235)))</f>
        <v/>
      </c>
      <c r="BC235" s="91">
        <f>MAX(0,AS235-MAX(0,BJ235-SUM(AO235:AR235)))</f>
        <v/>
      </c>
      <c r="BD235" s="91">
        <f>MAX(0,AT235-MAX(0,BJ235-SUM(AO235:AS235)))</f>
        <v/>
      </c>
      <c r="BE235" s="91">
        <f>MAX(0,AU235-MAX(0,BJ235-SUM(AO235:AT235)))</f>
        <v/>
      </c>
      <c r="BF235" s="91">
        <f>MAX(0,AV235-MAX(0,BJ235-SUM(AO235:AU235)))</f>
        <v/>
      </c>
      <c r="BG235" s="91">
        <f>MAX(0,AW235-MAX(0,BJ235-SUM(AO235:AV235)))</f>
        <v/>
      </c>
      <c r="BH235" s="91">
        <f>MAX(0,AX235-MAX(0,BJ235-SUM(AO235:AW235)))</f>
        <v/>
      </c>
      <c r="BI235" s="92">
        <f>SUM(AY234:BH234)+BK235</f>
        <v/>
      </c>
      <c r="BJ235" s="92">
        <f>$BJ$7-(BI235-SUM(AO235:AX235))</f>
        <v/>
      </c>
      <c r="BK235" s="91">
        <f>SUMPRODUCT(AY234:BH234,$AY$6:$BH$6)/12</f>
        <v/>
      </c>
      <c r="BL235" s="88">
        <f>SUM(AY235:BH235)</f>
        <v/>
      </c>
    </row>
    <row r="236">
      <c r="A236" s="24" t="n">
        <v>226</v>
      </c>
      <c r="B236" s="90">
        <f>DATE(YEAR(Settings!$C$11),MONTH(Settings!$C$11)+A236,1)</f>
        <v/>
      </c>
      <c r="C236" s="91">
        <f>IF(C235&lt;0.005,0,MAX(0,C235*(1+C$6/12)-C$7))</f>
        <v/>
      </c>
      <c r="D236" s="91">
        <f>IF(D235&lt;0.005,0,MAX(0,D235*(1+D$6/12)-D$7))</f>
        <v/>
      </c>
      <c r="E236" s="91">
        <f>IF(E235&lt;0.005,0,MAX(0,E235*(1+E$6/12)-E$7))</f>
        <v/>
      </c>
      <c r="F236" s="91">
        <f>IF(F235&lt;0.005,0,MAX(0,F235*(1+F$6/12)-F$7))</f>
        <v/>
      </c>
      <c r="G236" s="91">
        <f>IF(G235&lt;0.005,0,MAX(0,G235*(1+G$6/12)-G$7))</f>
        <v/>
      </c>
      <c r="H236" s="91">
        <f>IF(H235&lt;0.005,0,MAX(0,H235*(1+H$6/12)-H$7))</f>
        <v/>
      </c>
      <c r="I236" s="91">
        <f>IF(I235&lt;0.005,0,MAX(0,I235*(1+I$6/12)-I$7))</f>
        <v/>
      </c>
      <c r="J236" s="91">
        <f>IF(J235&lt;0.005,0,MAX(0,J235*(1+J$6/12)-J$7))</f>
        <v/>
      </c>
      <c r="K236" s="91">
        <f>IF(K235&lt;0.005,0,MAX(0,K235*(1+K$6/12)-K$7))</f>
        <v/>
      </c>
      <c r="L236" s="91">
        <f>IF(L235&lt;0.005,0,MAX(0,L235*(1+L$6/12)-L$7))</f>
        <v/>
      </c>
      <c r="M236" s="91">
        <f>SUMPRODUCT(C235:L235,$C$6:$L$6)/12</f>
        <v/>
      </c>
      <c r="N236" s="88">
        <f>SUM(C236:L236)</f>
        <v/>
      </c>
      <c r="P236" s="92">
        <f>IF(Z235&lt;0.005,0,MAX(0,Z235*(1+Z$6/12)-Z$7))</f>
        <v/>
      </c>
      <c r="Q236" s="92">
        <f>IF(AA235&lt;0.005,0,MAX(0,AA235*(1+AA$6/12)-AA$7))</f>
        <v/>
      </c>
      <c r="R236" s="92">
        <f>IF(AB235&lt;0.005,0,MAX(0,AB235*(1+AB$6/12)-AB$7))</f>
        <v/>
      </c>
      <c r="S236" s="92">
        <f>IF(AC235&lt;0.005,0,MAX(0,AC235*(1+AC$6/12)-AC$7))</f>
        <v/>
      </c>
      <c r="T236" s="92">
        <f>IF(AD235&lt;0.005,0,MAX(0,AD235*(1+AD$6/12)-AD$7))</f>
        <v/>
      </c>
      <c r="U236" s="92">
        <f>IF(AE235&lt;0.005,0,MAX(0,AE235*(1+AE$6/12)-AE$7))</f>
        <v/>
      </c>
      <c r="V236" s="92">
        <f>IF(AF235&lt;0.005,0,MAX(0,AF235*(1+AF$6/12)-AF$7))</f>
        <v/>
      </c>
      <c r="W236" s="92">
        <f>IF(AG235&lt;0.005,0,MAX(0,AG235*(1+AG$6/12)-AG$7))</f>
        <v/>
      </c>
      <c r="X236" s="92">
        <f>IF(AH235&lt;0.005,0,MAX(0,AH235*(1+AH$6/12)-AH$7))</f>
        <v/>
      </c>
      <c r="Y236" s="92">
        <f>IF(AI235&lt;0.005,0,MAX(0,AI235*(1+AI$6/12)-AI$7))</f>
        <v/>
      </c>
      <c r="Z236" s="91">
        <f>MAX(0,P236-MAX(0,AK236-0))</f>
        <v/>
      </c>
      <c r="AA236" s="91">
        <f>MAX(0,Q236-MAX(0,AK236-SUM(P236:P236)))</f>
        <v/>
      </c>
      <c r="AB236" s="91">
        <f>MAX(0,R236-MAX(0,AK236-SUM(P236:Q236)))</f>
        <v/>
      </c>
      <c r="AC236" s="91">
        <f>MAX(0,S236-MAX(0,AK236-SUM(P236:R236)))</f>
        <v/>
      </c>
      <c r="AD236" s="91">
        <f>MAX(0,T236-MAX(0,AK236-SUM(P236:S236)))</f>
        <v/>
      </c>
      <c r="AE236" s="91">
        <f>MAX(0,U236-MAX(0,AK236-SUM(P236:T236)))</f>
        <v/>
      </c>
      <c r="AF236" s="91">
        <f>MAX(0,V236-MAX(0,AK236-SUM(P236:U236)))</f>
        <v/>
      </c>
      <c r="AG236" s="91">
        <f>MAX(0,W236-MAX(0,AK236-SUM(P236:V236)))</f>
        <v/>
      </c>
      <c r="AH236" s="91">
        <f>MAX(0,X236-MAX(0,AK236-SUM(P236:W236)))</f>
        <v/>
      </c>
      <c r="AI236" s="91">
        <f>MAX(0,Y236-MAX(0,AK236-SUM(P236:X236)))</f>
        <v/>
      </c>
      <c r="AJ236" s="92">
        <f>SUM(Z235:AI235)+AL236</f>
        <v/>
      </c>
      <c r="AK236" s="92">
        <f>$AK$7-(AJ236-SUM(P236:Y236))</f>
        <v/>
      </c>
      <c r="AL236" s="91">
        <f>SUMPRODUCT(Z235:AI235,$Z$6:$AI$6)/12</f>
        <v/>
      </c>
      <c r="AM236" s="88">
        <f>SUM(Z236:AI236)</f>
        <v/>
      </c>
      <c r="AO236" s="92">
        <f>IF(AY235&lt;0.005,0,MAX(0,AY235*(1+AY$6/12)-AY$7))</f>
        <v/>
      </c>
      <c r="AP236" s="92">
        <f>IF(AZ235&lt;0.005,0,MAX(0,AZ235*(1+AZ$6/12)-AZ$7))</f>
        <v/>
      </c>
      <c r="AQ236" s="92">
        <f>IF(BA235&lt;0.005,0,MAX(0,BA235*(1+BA$6/12)-BA$7))</f>
        <v/>
      </c>
      <c r="AR236" s="92">
        <f>IF(BB235&lt;0.005,0,MAX(0,BB235*(1+BB$6/12)-BB$7))</f>
        <v/>
      </c>
      <c r="AS236" s="92">
        <f>IF(BC235&lt;0.005,0,MAX(0,BC235*(1+BC$6/12)-BC$7))</f>
        <v/>
      </c>
      <c r="AT236" s="92">
        <f>IF(BD235&lt;0.005,0,MAX(0,BD235*(1+BD$6/12)-BD$7))</f>
        <v/>
      </c>
      <c r="AU236" s="92">
        <f>IF(BE235&lt;0.005,0,MAX(0,BE235*(1+BE$6/12)-BE$7))</f>
        <v/>
      </c>
      <c r="AV236" s="92">
        <f>IF(BF235&lt;0.005,0,MAX(0,BF235*(1+BF$6/12)-BF$7))</f>
        <v/>
      </c>
      <c r="AW236" s="92">
        <f>IF(BG235&lt;0.005,0,MAX(0,BG235*(1+BG$6/12)-BG$7))</f>
        <v/>
      </c>
      <c r="AX236" s="92">
        <f>IF(BH235&lt;0.005,0,MAX(0,BH235*(1+BH$6/12)-BH$7))</f>
        <v/>
      </c>
      <c r="AY236" s="91">
        <f>MAX(0,AO236-MAX(0,BJ236-0))</f>
        <v/>
      </c>
      <c r="AZ236" s="91">
        <f>MAX(0,AP236-MAX(0,BJ236-SUM(AO236:AO236)))</f>
        <v/>
      </c>
      <c r="BA236" s="91">
        <f>MAX(0,AQ236-MAX(0,BJ236-SUM(AO236:AP236)))</f>
        <v/>
      </c>
      <c r="BB236" s="91">
        <f>MAX(0,AR236-MAX(0,BJ236-SUM(AO236:AQ236)))</f>
        <v/>
      </c>
      <c r="BC236" s="91">
        <f>MAX(0,AS236-MAX(0,BJ236-SUM(AO236:AR236)))</f>
        <v/>
      </c>
      <c r="BD236" s="91">
        <f>MAX(0,AT236-MAX(0,BJ236-SUM(AO236:AS236)))</f>
        <v/>
      </c>
      <c r="BE236" s="91">
        <f>MAX(0,AU236-MAX(0,BJ236-SUM(AO236:AT236)))</f>
        <v/>
      </c>
      <c r="BF236" s="91">
        <f>MAX(0,AV236-MAX(0,BJ236-SUM(AO236:AU236)))</f>
        <v/>
      </c>
      <c r="BG236" s="91">
        <f>MAX(0,AW236-MAX(0,BJ236-SUM(AO236:AV236)))</f>
        <v/>
      </c>
      <c r="BH236" s="91">
        <f>MAX(0,AX236-MAX(0,BJ236-SUM(AO236:AW236)))</f>
        <v/>
      </c>
      <c r="BI236" s="92">
        <f>SUM(AY235:BH235)+BK236</f>
        <v/>
      </c>
      <c r="BJ236" s="92">
        <f>$BJ$7-(BI236-SUM(AO236:AX236))</f>
        <v/>
      </c>
      <c r="BK236" s="91">
        <f>SUMPRODUCT(AY235:BH235,$AY$6:$BH$6)/12</f>
        <v/>
      </c>
      <c r="BL236" s="88">
        <f>SUM(AY236:BH236)</f>
        <v/>
      </c>
    </row>
    <row r="237">
      <c r="A237" s="24" t="n">
        <v>227</v>
      </c>
      <c r="B237" s="90">
        <f>DATE(YEAR(Settings!$C$11),MONTH(Settings!$C$11)+A237,1)</f>
        <v/>
      </c>
      <c r="C237" s="91">
        <f>IF(C236&lt;0.005,0,MAX(0,C236*(1+C$6/12)-C$7))</f>
        <v/>
      </c>
      <c r="D237" s="91">
        <f>IF(D236&lt;0.005,0,MAX(0,D236*(1+D$6/12)-D$7))</f>
        <v/>
      </c>
      <c r="E237" s="91">
        <f>IF(E236&lt;0.005,0,MAX(0,E236*(1+E$6/12)-E$7))</f>
        <v/>
      </c>
      <c r="F237" s="91">
        <f>IF(F236&lt;0.005,0,MAX(0,F236*(1+F$6/12)-F$7))</f>
        <v/>
      </c>
      <c r="G237" s="91">
        <f>IF(G236&lt;0.005,0,MAX(0,G236*(1+G$6/12)-G$7))</f>
        <v/>
      </c>
      <c r="H237" s="91">
        <f>IF(H236&lt;0.005,0,MAX(0,H236*(1+H$6/12)-H$7))</f>
        <v/>
      </c>
      <c r="I237" s="91">
        <f>IF(I236&lt;0.005,0,MAX(0,I236*(1+I$6/12)-I$7))</f>
        <v/>
      </c>
      <c r="J237" s="91">
        <f>IF(J236&lt;0.005,0,MAX(0,J236*(1+J$6/12)-J$7))</f>
        <v/>
      </c>
      <c r="K237" s="91">
        <f>IF(K236&lt;0.005,0,MAX(0,K236*(1+K$6/12)-K$7))</f>
        <v/>
      </c>
      <c r="L237" s="91">
        <f>IF(L236&lt;0.005,0,MAX(0,L236*(1+L$6/12)-L$7))</f>
        <v/>
      </c>
      <c r="M237" s="91">
        <f>SUMPRODUCT(C236:L236,$C$6:$L$6)/12</f>
        <v/>
      </c>
      <c r="N237" s="88">
        <f>SUM(C237:L237)</f>
        <v/>
      </c>
      <c r="P237" s="92">
        <f>IF(Z236&lt;0.005,0,MAX(0,Z236*(1+Z$6/12)-Z$7))</f>
        <v/>
      </c>
      <c r="Q237" s="92">
        <f>IF(AA236&lt;0.005,0,MAX(0,AA236*(1+AA$6/12)-AA$7))</f>
        <v/>
      </c>
      <c r="R237" s="92">
        <f>IF(AB236&lt;0.005,0,MAX(0,AB236*(1+AB$6/12)-AB$7))</f>
        <v/>
      </c>
      <c r="S237" s="92">
        <f>IF(AC236&lt;0.005,0,MAX(0,AC236*(1+AC$6/12)-AC$7))</f>
        <v/>
      </c>
      <c r="T237" s="92">
        <f>IF(AD236&lt;0.005,0,MAX(0,AD236*(1+AD$6/12)-AD$7))</f>
        <v/>
      </c>
      <c r="U237" s="92">
        <f>IF(AE236&lt;0.005,0,MAX(0,AE236*(1+AE$6/12)-AE$7))</f>
        <v/>
      </c>
      <c r="V237" s="92">
        <f>IF(AF236&lt;0.005,0,MAX(0,AF236*(1+AF$6/12)-AF$7))</f>
        <v/>
      </c>
      <c r="W237" s="92">
        <f>IF(AG236&lt;0.005,0,MAX(0,AG236*(1+AG$6/12)-AG$7))</f>
        <v/>
      </c>
      <c r="X237" s="92">
        <f>IF(AH236&lt;0.005,0,MAX(0,AH236*(1+AH$6/12)-AH$7))</f>
        <v/>
      </c>
      <c r="Y237" s="92">
        <f>IF(AI236&lt;0.005,0,MAX(0,AI236*(1+AI$6/12)-AI$7))</f>
        <v/>
      </c>
      <c r="Z237" s="91">
        <f>MAX(0,P237-MAX(0,AK237-0))</f>
        <v/>
      </c>
      <c r="AA237" s="91">
        <f>MAX(0,Q237-MAX(0,AK237-SUM(P237:P237)))</f>
        <v/>
      </c>
      <c r="AB237" s="91">
        <f>MAX(0,R237-MAX(0,AK237-SUM(P237:Q237)))</f>
        <v/>
      </c>
      <c r="AC237" s="91">
        <f>MAX(0,S237-MAX(0,AK237-SUM(P237:R237)))</f>
        <v/>
      </c>
      <c r="AD237" s="91">
        <f>MAX(0,T237-MAX(0,AK237-SUM(P237:S237)))</f>
        <v/>
      </c>
      <c r="AE237" s="91">
        <f>MAX(0,U237-MAX(0,AK237-SUM(P237:T237)))</f>
        <v/>
      </c>
      <c r="AF237" s="91">
        <f>MAX(0,V237-MAX(0,AK237-SUM(P237:U237)))</f>
        <v/>
      </c>
      <c r="AG237" s="91">
        <f>MAX(0,W237-MAX(0,AK237-SUM(P237:V237)))</f>
        <v/>
      </c>
      <c r="AH237" s="91">
        <f>MAX(0,X237-MAX(0,AK237-SUM(P237:W237)))</f>
        <v/>
      </c>
      <c r="AI237" s="91">
        <f>MAX(0,Y237-MAX(0,AK237-SUM(P237:X237)))</f>
        <v/>
      </c>
      <c r="AJ237" s="92">
        <f>SUM(Z236:AI236)+AL237</f>
        <v/>
      </c>
      <c r="AK237" s="92">
        <f>$AK$7-(AJ237-SUM(P237:Y237))</f>
        <v/>
      </c>
      <c r="AL237" s="91">
        <f>SUMPRODUCT(Z236:AI236,$Z$6:$AI$6)/12</f>
        <v/>
      </c>
      <c r="AM237" s="88">
        <f>SUM(Z237:AI237)</f>
        <v/>
      </c>
      <c r="AO237" s="92">
        <f>IF(AY236&lt;0.005,0,MAX(0,AY236*(1+AY$6/12)-AY$7))</f>
        <v/>
      </c>
      <c r="AP237" s="92">
        <f>IF(AZ236&lt;0.005,0,MAX(0,AZ236*(1+AZ$6/12)-AZ$7))</f>
        <v/>
      </c>
      <c r="AQ237" s="92">
        <f>IF(BA236&lt;0.005,0,MAX(0,BA236*(1+BA$6/12)-BA$7))</f>
        <v/>
      </c>
      <c r="AR237" s="92">
        <f>IF(BB236&lt;0.005,0,MAX(0,BB236*(1+BB$6/12)-BB$7))</f>
        <v/>
      </c>
      <c r="AS237" s="92">
        <f>IF(BC236&lt;0.005,0,MAX(0,BC236*(1+BC$6/12)-BC$7))</f>
        <v/>
      </c>
      <c r="AT237" s="92">
        <f>IF(BD236&lt;0.005,0,MAX(0,BD236*(1+BD$6/12)-BD$7))</f>
        <v/>
      </c>
      <c r="AU237" s="92">
        <f>IF(BE236&lt;0.005,0,MAX(0,BE236*(1+BE$6/12)-BE$7))</f>
        <v/>
      </c>
      <c r="AV237" s="92">
        <f>IF(BF236&lt;0.005,0,MAX(0,BF236*(1+BF$6/12)-BF$7))</f>
        <v/>
      </c>
      <c r="AW237" s="92">
        <f>IF(BG236&lt;0.005,0,MAX(0,BG236*(1+BG$6/12)-BG$7))</f>
        <v/>
      </c>
      <c r="AX237" s="92">
        <f>IF(BH236&lt;0.005,0,MAX(0,BH236*(1+BH$6/12)-BH$7))</f>
        <v/>
      </c>
      <c r="AY237" s="91">
        <f>MAX(0,AO237-MAX(0,BJ237-0))</f>
        <v/>
      </c>
      <c r="AZ237" s="91">
        <f>MAX(0,AP237-MAX(0,BJ237-SUM(AO237:AO237)))</f>
        <v/>
      </c>
      <c r="BA237" s="91">
        <f>MAX(0,AQ237-MAX(0,BJ237-SUM(AO237:AP237)))</f>
        <v/>
      </c>
      <c r="BB237" s="91">
        <f>MAX(0,AR237-MAX(0,BJ237-SUM(AO237:AQ237)))</f>
        <v/>
      </c>
      <c r="BC237" s="91">
        <f>MAX(0,AS237-MAX(0,BJ237-SUM(AO237:AR237)))</f>
        <v/>
      </c>
      <c r="BD237" s="91">
        <f>MAX(0,AT237-MAX(0,BJ237-SUM(AO237:AS237)))</f>
        <v/>
      </c>
      <c r="BE237" s="91">
        <f>MAX(0,AU237-MAX(0,BJ237-SUM(AO237:AT237)))</f>
        <v/>
      </c>
      <c r="BF237" s="91">
        <f>MAX(0,AV237-MAX(0,BJ237-SUM(AO237:AU237)))</f>
        <v/>
      </c>
      <c r="BG237" s="91">
        <f>MAX(0,AW237-MAX(0,BJ237-SUM(AO237:AV237)))</f>
        <v/>
      </c>
      <c r="BH237" s="91">
        <f>MAX(0,AX237-MAX(0,BJ237-SUM(AO237:AW237)))</f>
        <v/>
      </c>
      <c r="BI237" s="92">
        <f>SUM(AY236:BH236)+BK237</f>
        <v/>
      </c>
      <c r="BJ237" s="92">
        <f>$BJ$7-(BI237-SUM(AO237:AX237))</f>
        <v/>
      </c>
      <c r="BK237" s="91">
        <f>SUMPRODUCT(AY236:BH236,$AY$6:$BH$6)/12</f>
        <v/>
      </c>
      <c r="BL237" s="88">
        <f>SUM(AY237:BH237)</f>
        <v/>
      </c>
    </row>
    <row r="238">
      <c r="A238" s="24" t="n">
        <v>228</v>
      </c>
      <c r="B238" s="90">
        <f>DATE(YEAR(Settings!$C$11),MONTH(Settings!$C$11)+A238,1)</f>
        <v/>
      </c>
      <c r="C238" s="91">
        <f>IF(C237&lt;0.005,0,MAX(0,C237*(1+C$6/12)-C$7))</f>
        <v/>
      </c>
      <c r="D238" s="91">
        <f>IF(D237&lt;0.005,0,MAX(0,D237*(1+D$6/12)-D$7))</f>
        <v/>
      </c>
      <c r="E238" s="91">
        <f>IF(E237&lt;0.005,0,MAX(0,E237*(1+E$6/12)-E$7))</f>
        <v/>
      </c>
      <c r="F238" s="91">
        <f>IF(F237&lt;0.005,0,MAX(0,F237*(1+F$6/12)-F$7))</f>
        <v/>
      </c>
      <c r="G238" s="91">
        <f>IF(G237&lt;0.005,0,MAX(0,G237*(1+G$6/12)-G$7))</f>
        <v/>
      </c>
      <c r="H238" s="91">
        <f>IF(H237&lt;0.005,0,MAX(0,H237*(1+H$6/12)-H$7))</f>
        <v/>
      </c>
      <c r="I238" s="91">
        <f>IF(I237&lt;0.005,0,MAX(0,I237*(1+I$6/12)-I$7))</f>
        <v/>
      </c>
      <c r="J238" s="91">
        <f>IF(J237&lt;0.005,0,MAX(0,J237*(1+J$6/12)-J$7))</f>
        <v/>
      </c>
      <c r="K238" s="91">
        <f>IF(K237&lt;0.005,0,MAX(0,K237*(1+K$6/12)-K$7))</f>
        <v/>
      </c>
      <c r="L238" s="91">
        <f>IF(L237&lt;0.005,0,MAX(0,L237*(1+L$6/12)-L$7))</f>
        <v/>
      </c>
      <c r="M238" s="91">
        <f>SUMPRODUCT(C237:L237,$C$6:$L$6)/12</f>
        <v/>
      </c>
      <c r="N238" s="88">
        <f>SUM(C238:L238)</f>
        <v/>
      </c>
      <c r="P238" s="92">
        <f>IF(Z237&lt;0.005,0,MAX(0,Z237*(1+Z$6/12)-Z$7))</f>
        <v/>
      </c>
      <c r="Q238" s="92">
        <f>IF(AA237&lt;0.005,0,MAX(0,AA237*(1+AA$6/12)-AA$7))</f>
        <v/>
      </c>
      <c r="R238" s="92">
        <f>IF(AB237&lt;0.005,0,MAX(0,AB237*(1+AB$6/12)-AB$7))</f>
        <v/>
      </c>
      <c r="S238" s="92">
        <f>IF(AC237&lt;0.005,0,MAX(0,AC237*(1+AC$6/12)-AC$7))</f>
        <v/>
      </c>
      <c r="T238" s="92">
        <f>IF(AD237&lt;0.005,0,MAX(0,AD237*(1+AD$6/12)-AD$7))</f>
        <v/>
      </c>
      <c r="U238" s="92">
        <f>IF(AE237&lt;0.005,0,MAX(0,AE237*(1+AE$6/12)-AE$7))</f>
        <v/>
      </c>
      <c r="V238" s="92">
        <f>IF(AF237&lt;0.005,0,MAX(0,AF237*(1+AF$6/12)-AF$7))</f>
        <v/>
      </c>
      <c r="W238" s="92">
        <f>IF(AG237&lt;0.005,0,MAX(0,AG237*(1+AG$6/12)-AG$7))</f>
        <v/>
      </c>
      <c r="X238" s="92">
        <f>IF(AH237&lt;0.005,0,MAX(0,AH237*(1+AH$6/12)-AH$7))</f>
        <v/>
      </c>
      <c r="Y238" s="92">
        <f>IF(AI237&lt;0.005,0,MAX(0,AI237*(1+AI$6/12)-AI$7))</f>
        <v/>
      </c>
      <c r="Z238" s="91">
        <f>MAX(0,P238-MAX(0,AK238-0))</f>
        <v/>
      </c>
      <c r="AA238" s="91">
        <f>MAX(0,Q238-MAX(0,AK238-SUM(P238:P238)))</f>
        <v/>
      </c>
      <c r="AB238" s="91">
        <f>MAX(0,R238-MAX(0,AK238-SUM(P238:Q238)))</f>
        <v/>
      </c>
      <c r="AC238" s="91">
        <f>MAX(0,S238-MAX(0,AK238-SUM(P238:R238)))</f>
        <v/>
      </c>
      <c r="AD238" s="91">
        <f>MAX(0,T238-MAX(0,AK238-SUM(P238:S238)))</f>
        <v/>
      </c>
      <c r="AE238" s="91">
        <f>MAX(0,U238-MAX(0,AK238-SUM(P238:T238)))</f>
        <v/>
      </c>
      <c r="AF238" s="91">
        <f>MAX(0,V238-MAX(0,AK238-SUM(P238:U238)))</f>
        <v/>
      </c>
      <c r="AG238" s="91">
        <f>MAX(0,W238-MAX(0,AK238-SUM(P238:V238)))</f>
        <v/>
      </c>
      <c r="AH238" s="91">
        <f>MAX(0,X238-MAX(0,AK238-SUM(P238:W238)))</f>
        <v/>
      </c>
      <c r="AI238" s="91">
        <f>MAX(0,Y238-MAX(0,AK238-SUM(P238:X238)))</f>
        <v/>
      </c>
      <c r="AJ238" s="92">
        <f>SUM(Z237:AI237)+AL238</f>
        <v/>
      </c>
      <c r="AK238" s="92">
        <f>$AK$7-(AJ238-SUM(P238:Y238))</f>
        <v/>
      </c>
      <c r="AL238" s="91">
        <f>SUMPRODUCT(Z237:AI237,$Z$6:$AI$6)/12</f>
        <v/>
      </c>
      <c r="AM238" s="88">
        <f>SUM(Z238:AI238)</f>
        <v/>
      </c>
      <c r="AO238" s="92">
        <f>IF(AY237&lt;0.005,0,MAX(0,AY237*(1+AY$6/12)-AY$7))</f>
        <v/>
      </c>
      <c r="AP238" s="92">
        <f>IF(AZ237&lt;0.005,0,MAX(0,AZ237*(1+AZ$6/12)-AZ$7))</f>
        <v/>
      </c>
      <c r="AQ238" s="92">
        <f>IF(BA237&lt;0.005,0,MAX(0,BA237*(1+BA$6/12)-BA$7))</f>
        <v/>
      </c>
      <c r="AR238" s="92">
        <f>IF(BB237&lt;0.005,0,MAX(0,BB237*(1+BB$6/12)-BB$7))</f>
        <v/>
      </c>
      <c r="AS238" s="92">
        <f>IF(BC237&lt;0.005,0,MAX(0,BC237*(1+BC$6/12)-BC$7))</f>
        <v/>
      </c>
      <c r="AT238" s="92">
        <f>IF(BD237&lt;0.005,0,MAX(0,BD237*(1+BD$6/12)-BD$7))</f>
        <v/>
      </c>
      <c r="AU238" s="92">
        <f>IF(BE237&lt;0.005,0,MAX(0,BE237*(1+BE$6/12)-BE$7))</f>
        <v/>
      </c>
      <c r="AV238" s="92">
        <f>IF(BF237&lt;0.005,0,MAX(0,BF237*(1+BF$6/12)-BF$7))</f>
        <v/>
      </c>
      <c r="AW238" s="92">
        <f>IF(BG237&lt;0.005,0,MAX(0,BG237*(1+BG$6/12)-BG$7))</f>
        <v/>
      </c>
      <c r="AX238" s="92">
        <f>IF(BH237&lt;0.005,0,MAX(0,BH237*(1+BH$6/12)-BH$7))</f>
        <v/>
      </c>
      <c r="AY238" s="91">
        <f>MAX(0,AO238-MAX(0,BJ238-0))</f>
        <v/>
      </c>
      <c r="AZ238" s="91">
        <f>MAX(0,AP238-MAX(0,BJ238-SUM(AO238:AO238)))</f>
        <v/>
      </c>
      <c r="BA238" s="91">
        <f>MAX(0,AQ238-MAX(0,BJ238-SUM(AO238:AP238)))</f>
        <v/>
      </c>
      <c r="BB238" s="91">
        <f>MAX(0,AR238-MAX(0,BJ238-SUM(AO238:AQ238)))</f>
        <v/>
      </c>
      <c r="BC238" s="91">
        <f>MAX(0,AS238-MAX(0,BJ238-SUM(AO238:AR238)))</f>
        <v/>
      </c>
      <c r="BD238" s="91">
        <f>MAX(0,AT238-MAX(0,BJ238-SUM(AO238:AS238)))</f>
        <v/>
      </c>
      <c r="BE238" s="91">
        <f>MAX(0,AU238-MAX(0,BJ238-SUM(AO238:AT238)))</f>
        <v/>
      </c>
      <c r="BF238" s="91">
        <f>MAX(0,AV238-MAX(0,BJ238-SUM(AO238:AU238)))</f>
        <v/>
      </c>
      <c r="BG238" s="91">
        <f>MAX(0,AW238-MAX(0,BJ238-SUM(AO238:AV238)))</f>
        <v/>
      </c>
      <c r="BH238" s="91">
        <f>MAX(0,AX238-MAX(0,BJ238-SUM(AO238:AW238)))</f>
        <v/>
      </c>
      <c r="BI238" s="92">
        <f>SUM(AY237:BH237)+BK238</f>
        <v/>
      </c>
      <c r="BJ238" s="92">
        <f>$BJ$7-(BI238-SUM(AO238:AX238))</f>
        <v/>
      </c>
      <c r="BK238" s="91">
        <f>SUMPRODUCT(AY237:BH237,$AY$6:$BH$6)/12</f>
        <v/>
      </c>
      <c r="BL238" s="88">
        <f>SUM(AY238:BH238)</f>
        <v/>
      </c>
    </row>
    <row r="239">
      <c r="A239" s="24" t="n">
        <v>229</v>
      </c>
      <c r="B239" s="90">
        <f>DATE(YEAR(Settings!$C$11),MONTH(Settings!$C$11)+A239,1)</f>
        <v/>
      </c>
      <c r="C239" s="91">
        <f>IF(C238&lt;0.005,0,MAX(0,C238*(1+C$6/12)-C$7))</f>
        <v/>
      </c>
      <c r="D239" s="91">
        <f>IF(D238&lt;0.005,0,MAX(0,D238*(1+D$6/12)-D$7))</f>
        <v/>
      </c>
      <c r="E239" s="91">
        <f>IF(E238&lt;0.005,0,MAX(0,E238*(1+E$6/12)-E$7))</f>
        <v/>
      </c>
      <c r="F239" s="91">
        <f>IF(F238&lt;0.005,0,MAX(0,F238*(1+F$6/12)-F$7))</f>
        <v/>
      </c>
      <c r="G239" s="91">
        <f>IF(G238&lt;0.005,0,MAX(0,G238*(1+G$6/12)-G$7))</f>
        <v/>
      </c>
      <c r="H239" s="91">
        <f>IF(H238&lt;0.005,0,MAX(0,H238*(1+H$6/12)-H$7))</f>
        <v/>
      </c>
      <c r="I239" s="91">
        <f>IF(I238&lt;0.005,0,MAX(0,I238*(1+I$6/12)-I$7))</f>
        <v/>
      </c>
      <c r="J239" s="91">
        <f>IF(J238&lt;0.005,0,MAX(0,J238*(1+J$6/12)-J$7))</f>
        <v/>
      </c>
      <c r="K239" s="91">
        <f>IF(K238&lt;0.005,0,MAX(0,K238*(1+K$6/12)-K$7))</f>
        <v/>
      </c>
      <c r="L239" s="91">
        <f>IF(L238&lt;0.005,0,MAX(0,L238*(1+L$6/12)-L$7))</f>
        <v/>
      </c>
      <c r="M239" s="91">
        <f>SUMPRODUCT(C238:L238,$C$6:$L$6)/12</f>
        <v/>
      </c>
      <c r="N239" s="88">
        <f>SUM(C239:L239)</f>
        <v/>
      </c>
      <c r="P239" s="92">
        <f>IF(Z238&lt;0.005,0,MAX(0,Z238*(1+Z$6/12)-Z$7))</f>
        <v/>
      </c>
      <c r="Q239" s="92">
        <f>IF(AA238&lt;0.005,0,MAX(0,AA238*(1+AA$6/12)-AA$7))</f>
        <v/>
      </c>
      <c r="R239" s="92">
        <f>IF(AB238&lt;0.005,0,MAX(0,AB238*(1+AB$6/12)-AB$7))</f>
        <v/>
      </c>
      <c r="S239" s="92">
        <f>IF(AC238&lt;0.005,0,MAX(0,AC238*(1+AC$6/12)-AC$7))</f>
        <v/>
      </c>
      <c r="T239" s="92">
        <f>IF(AD238&lt;0.005,0,MAX(0,AD238*(1+AD$6/12)-AD$7))</f>
        <v/>
      </c>
      <c r="U239" s="92">
        <f>IF(AE238&lt;0.005,0,MAX(0,AE238*(1+AE$6/12)-AE$7))</f>
        <v/>
      </c>
      <c r="V239" s="92">
        <f>IF(AF238&lt;0.005,0,MAX(0,AF238*(1+AF$6/12)-AF$7))</f>
        <v/>
      </c>
      <c r="W239" s="92">
        <f>IF(AG238&lt;0.005,0,MAX(0,AG238*(1+AG$6/12)-AG$7))</f>
        <v/>
      </c>
      <c r="X239" s="92">
        <f>IF(AH238&lt;0.005,0,MAX(0,AH238*(1+AH$6/12)-AH$7))</f>
        <v/>
      </c>
      <c r="Y239" s="92">
        <f>IF(AI238&lt;0.005,0,MAX(0,AI238*(1+AI$6/12)-AI$7))</f>
        <v/>
      </c>
      <c r="Z239" s="91">
        <f>MAX(0,P239-MAX(0,AK239-0))</f>
        <v/>
      </c>
      <c r="AA239" s="91">
        <f>MAX(0,Q239-MAX(0,AK239-SUM(P239:P239)))</f>
        <v/>
      </c>
      <c r="AB239" s="91">
        <f>MAX(0,R239-MAX(0,AK239-SUM(P239:Q239)))</f>
        <v/>
      </c>
      <c r="AC239" s="91">
        <f>MAX(0,S239-MAX(0,AK239-SUM(P239:R239)))</f>
        <v/>
      </c>
      <c r="AD239" s="91">
        <f>MAX(0,T239-MAX(0,AK239-SUM(P239:S239)))</f>
        <v/>
      </c>
      <c r="AE239" s="91">
        <f>MAX(0,U239-MAX(0,AK239-SUM(P239:T239)))</f>
        <v/>
      </c>
      <c r="AF239" s="91">
        <f>MAX(0,V239-MAX(0,AK239-SUM(P239:U239)))</f>
        <v/>
      </c>
      <c r="AG239" s="91">
        <f>MAX(0,W239-MAX(0,AK239-SUM(P239:V239)))</f>
        <v/>
      </c>
      <c r="AH239" s="91">
        <f>MAX(0,X239-MAX(0,AK239-SUM(P239:W239)))</f>
        <v/>
      </c>
      <c r="AI239" s="91">
        <f>MAX(0,Y239-MAX(0,AK239-SUM(P239:X239)))</f>
        <v/>
      </c>
      <c r="AJ239" s="92">
        <f>SUM(Z238:AI238)+AL239</f>
        <v/>
      </c>
      <c r="AK239" s="92">
        <f>$AK$7-(AJ239-SUM(P239:Y239))</f>
        <v/>
      </c>
      <c r="AL239" s="91">
        <f>SUMPRODUCT(Z238:AI238,$Z$6:$AI$6)/12</f>
        <v/>
      </c>
      <c r="AM239" s="88">
        <f>SUM(Z239:AI239)</f>
        <v/>
      </c>
      <c r="AO239" s="92">
        <f>IF(AY238&lt;0.005,0,MAX(0,AY238*(1+AY$6/12)-AY$7))</f>
        <v/>
      </c>
      <c r="AP239" s="92">
        <f>IF(AZ238&lt;0.005,0,MAX(0,AZ238*(1+AZ$6/12)-AZ$7))</f>
        <v/>
      </c>
      <c r="AQ239" s="92">
        <f>IF(BA238&lt;0.005,0,MAX(0,BA238*(1+BA$6/12)-BA$7))</f>
        <v/>
      </c>
      <c r="AR239" s="92">
        <f>IF(BB238&lt;0.005,0,MAX(0,BB238*(1+BB$6/12)-BB$7))</f>
        <v/>
      </c>
      <c r="AS239" s="92">
        <f>IF(BC238&lt;0.005,0,MAX(0,BC238*(1+BC$6/12)-BC$7))</f>
        <v/>
      </c>
      <c r="AT239" s="92">
        <f>IF(BD238&lt;0.005,0,MAX(0,BD238*(1+BD$6/12)-BD$7))</f>
        <v/>
      </c>
      <c r="AU239" s="92">
        <f>IF(BE238&lt;0.005,0,MAX(0,BE238*(1+BE$6/12)-BE$7))</f>
        <v/>
      </c>
      <c r="AV239" s="92">
        <f>IF(BF238&lt;0.005,0,MAX(0,BF238*(1+BF$6/12)-BF$7))</f>
        <v/>
      </c>
      <c r="AW239" s="92">
        <f>IF(BG238&lt;0.005,0,MAX(0,BG238*(1+BG$6/12)-BG$7))</f>
        <v/>
      </c>
      <c r="AX239" s="92">
        <f>IF(BH238&lt;0.005,0,MAX(0,BH238*(1+BH$6/12)-BH$7))</f>
        <v/>
      </c>
      <c r="AY239" s="91">
        <f>MAX(0,AO239-MAX(0,BJ239-0))</f>
        <v/>
      </c>
      <c r="AZ239" s="91">
        <f>MAX(0,AP239-MAX(0,BJ239-SUM(AO239:AO239)))</f>
        <v/>
      </c>
      <c r="BA239" s="91">
        <f>MAX(0,AQ239-MAX(0,BJ239-SUM(AO239:AP239)))</f>
        <v/>
      </c>
      <c r="BB239" s="91">
        <f>MAX(0,AR239-MAX(0,BJ239-SUM(AO239:AQ239)))</f>
        <v/>
      </c>
      <c r="BC239" s="91">
        <f>MAX(0,AS239-MAX(0,BJ239-SUM(AO239:AR239)))</f>
        <v/>
      </c>
      <c r="BD239" s="91">
        <f>MAX(0,AT239-MAX(0,BJ239-SUM(AO239:AS239)))</f>
        <v/>
      </c>
      <c r="BE239" s="91">
        <f>MAX(0,AU239-MAX(0,BJ239-SUM(AO239:AT239)))</f>
        <v/>
      </c>
      <c r="BF239" s="91">
        <f>MAX(0,AV239-MAX(0,BJ239-SUM(AO239:AU239)))</f>
        <v/>
      </c>
      <c r="BG239" s="91">
        <f>MAX(0,AW239-MAX(0,BJ239-SUM(AO239:AV239)))</f>
        <v/>
      </c>
      <c r="BH239" s="91">
        <f>MAX(0,AX239-MAX(0,BJ239-SUM(AO239:AW239)))</f>
        <v/>
      </c>
      <c r="BI239" s="92">
        <f>SUM(AY238:BH238)+BK239</f>
        <v/>
      </c>
      <c r="BJ239" s="92">
        <f>$BJ$7-(BI239-SUM(AO239:AX239))</f>
        <v/>
      </c>
      <c r="BK239" s="91">
        <f>SUMPRODUCT(AY238:BH238,$AY$6:$BH$6)/12</f>
        <v/>
      </c>
      <c r="BL239" s="88">
        <f>SUM(AY239:BH239)</f>
        <v/>
      </c>
    </row>
    <row r="240">
      <c r="A240" s="24" t="n">
        <v>230</v>
      </c>
      <c r="B240" s="90">
        <f>DATE(YEAR(Settings!$C$11),MONTH(Settings!$C$11)+A240,1)</f>
        <v/>
      </c>
      <c r="C240" s="91">
        <f>IF(C239&lt;0.005,0,MAX(0,C239*(1+C$6/12)-C$7))</f>
        <v/>
      </c>
      <c r="D240" s="91">
        <f>IF(D239&lt;0.005,0,MAX(0,D239*(1+D$6/12)-D$7))</f>
        <v/>
      </c>
      <c r="E240" s="91">
        <f>IF(E239&lt;0.005,0,MAX(0,E239*(1+E$6/12)-E$7))</f>
        <v/>
      </c>
      <c r="F240" s="91">
        <f>IF(F239&lt;0.005,0,MAX(0,F239*(1+F$6/12)-F$7))</f>
        <v/>
      </c>
      <c r="G240" s="91">
        <f>IF(G239&lt;0.005,0,MAX(0,G239*(1+G$6/12)-G$7))</f>
        <v/>
      </c>
      <c r="H240" s="91">
        <f>IF(H239&lt;0.005,0,MAX(0,H239*(1+H$6/12)-H$7))</f>
        <v/>
      </c>
      <c r="I240" s="91">
        <f>IF(I239&lt;0.005,0,MAX(0,I239*(1+I$6/12)-I$7))</f>
        <v/>
      </c>
      <c r="J240" s="91">
        <f>IF(J239&lt;0.005,0,MAX(0,J239*(1+J$6/12)-J$7))</f>
        <v/>
      </c>
      <c r="K240" s="91">
        <f>IF(K239&lt;0.005,0,MAX(0,K239*(1+K$6/12)-K$7))</f>
        <v/>
      </c>
      <c r="L240" s="91">
        <f>IF(L239&lt;0.005,0,MAX(0,L239*(1+L$6/12)-L$7))</f>
        <v/>
      </c>
      <c r="M240" s="91">
        <f>SUMPRODUCT(C239:L239,$C$6:$L$6)/12</f>
        <v/>
      </c>
      <c r="N240" s="88">
        <f>SUM(C240:L240)</f>
        <v/>
      </c>
      <c r="P240" s="92">
        <f>IF(Z239&lt;0.005,0,MAX(0,Z239*(1+Z$6/12)-Z$7))</f>
        <v/>
      </c>
      <c r="Q240" s="92">
        <f>IF(AA239&lt;0.005,0,MAX(0,AA239*(1+AA$6/12)-AA$7))</f>
        <v/>
      </c>
      <c r="R240" s="92">
        <f>IF(AB239&lt;0.005,0,MAX(0,AB239*(1+AB$6/12)-AB$7))</f>
        <v/>
      </c>
      <c r="S240" s="92">
        <f>IF(AC239&lt;0.005,0,MAX(0,AC239*(1+AC$6/12)-AC$7))</f>
        <v/>
      </c>
      <c r="T240" s="92">
        <f>IF(AD239&lt;0.005,0,MAX(0,AD239*(1+AD$6/12)-AD$7))</f>
        <v/>
      </c>
      <c r="U240" s="92">
        <f>IF(AE239&lt;0.005,0,MAX(0,AE239*(1+AE$6/12)-AE$7))</f>
        <v/>
      </c>
      <c r="V240" s="92">
        <f>IF(AF239&lt;0.005,0,MAX(0,AF239*(1+AF$6/12)-AF$7))</f>
        <v/>
      </c>
      <c r="W240" s="92">
        <f>IF(AG239&lt;0.005,0,MAX(0,AG239*(1+AG$6/12)-AG$7))</f>
        <v/>
      </c>
      <c r="X240" s="92">
        <f>IF(AH239&lt;0.005,0,MAX(0,AH239*(1+AH$6/12)-AH$7))</f>
        <v/>
      </c>
      <c r="Y240" s="92">
        <f>IF(AI239&lt;0.005,0,MAX(0,AI239*(1+AI$6/12)-AI$7))</f>
        <v/>
      </c>
      <c r="Z240" s="91">
        <f>MAX(0,P240-MAX(0,AK240-0))</f>
        <v/>
      </c>
      <c r="AA240" s="91">
        <f>MAX(0,Q240-MAX(0,AK240-SUM(P240:P240)))</f>
        <v/>
      </c>
      <c r="AB240" s="91">
        <f>MAX(0,R240-MAX(0,AK240-SUM(P240:Q240)))</f>
        <v/>
      </c>
      <c r="AC240" s="91">
        <f>MAX(0,S240-MAX(0,AK240-SUM(P240:R240)))</f>
        <v/>
      </c>
      <c r="AD240" s="91">
        <f>MAX(0,T240-MAX(0,AK240-SUM(P240:S240)))</f>
        <v/>
      </c>
      <c r="AE240" s="91">
        <f>MAX(0,U240-MAX(0,AK240-SUM(P240:T240)))</f>
        <v/>
      </c>
      <c r="AF240" s="91">
        <f>MAX(0,V240-MAX(0,AK240-SUM(P240:U240)))</f>
        <v/>
      </c>
      <c r="AG240" s="91">
        <f>MAX(0,W240-MAX(0,AK240-SUM(P240:V240)))</f>
        <v/>
      </c>
      <c r="AH240" s="91">
        <f>MAX(0,X240-MAX(0,AK240-SUM(P240:W240)))</f>
        <v/>
      </c>
      <c r="AI240" s="91">
        <f>MAX(0,Y240-MAX(0,AK240-SUM(P240:X240)))</f>
        <v/>
      </c>
      <c r="AJ240" s="92">
        <f>SUM(Z239:AI239)+AL240</f>
        <v/>
      </c>
      <c r="AK240" s="92">
        <f>$AK$7-(AJ240-SUM(P240:Y240))</f>
        <v/>
      </c>
      <c r="AL240" s="91">
        <f>SUMPRODUCT(Z239:AI239,$Z$6:$AI$6)/12</f>
        <v/>
      </c>
      <c r="AM240" s="88">
        <f>SUM(Z240:AI240)</f>
        <v/>
      </c>
      <c r="AO240" s="92">
        <f>IF(AY239&lt;0.005,0,MAX(0,AY239*(1+AY$6/12)-AY$7))</f>
        <v/>
      </c>
      <c r="AP240" s="92">
        <f>IF(AZ239&lt;0.005,0,MAX(0,AZ239*(1+AZ$6/12)-AZ$7))</f>
        <v/>
      </c>
      <c r="AQ240" s="92">
        <f>IF(BA239&lt;0.005,0,MAX(0,BA239*(1+BA$6/12)-BA$7))</f>
        <v/>
      </c>
      <c r="AR240" s="92">
        <f>IF(BB239&lt;0.005,0,MAX(0,BB239*(1+BB$6/12)-BB$7))</f>
        <v/>
      </c>
      <c r="AS240" s="92">
        <f>IF(BC239&lt;0.005,0,MAX(0,BC239*(1+BC$6/12)-BC$7))</f>
        <v/>
      </c>
      <c r="AT240" s="92">
        <f>IF(BD239&lt;0.005,0,MAX(0,BD239*(1+BD$6/12)-BD$7))</f>
        <v/>
      </c>
      <c r="AU240" s="92">
        <f>IF(BE239&lt;0.005,0,MAX(0,BE239*(1+BE$6/12)-BE$7))</f>
        <v/>
      </c>
      <c r="AV240" s="92">
        <f>IF(BF239&lt;0.005,0,MAX(0,BF239*(1+BF$6/12)-BF$7))</f>
        <v/>
      </c>
      <c r="AW240" s="92">
        <f>IF(BG239&lt;0.005,0,MAX(0,BG239*(1+BG$6/12)-BG$7))</f>
        <v/>
      </c>
      <c r="AX240" s="92">
        <f>IF(BH239&lt;0.005,0,MAX(0,BH239*(1+BH$6/12)-BH$7))</f>
        <v/>
      </c>
      <c r="AY240" s="91">
        <f>MAX(0,AO240-MAX(0,BJ240-0))</f>
        <v/>
      </c>
      <c r="AZ240" s="91">
        <f>MAX(0,AP240-MAX(0,BJ240-SUM(AO240:AO240)))</f>
        <v/>
      </c>
      <c r="BA240" s="91">
        <f>MAX(0,AQ240-MAX(0,BJ240-SUM(AO240:AP240)))</f>
        <v/>
      </c>
      <c r="BB240" s="91">
        <f>MAX(0,AR240-MAX(0,BJ240-SUM(AO240:AQ240)))</f>
        <v/>
      </c>
      <c r="BC240" s="91">
        <f>MAX(0,AS240-MAX(0,BJ240-SUM(AO240:AR240)))</f>
        <v/>
      </c>
      <c r="BD240" s="91">
        <f>MAX(0,AT240-MAX(0,BJ240-SUM(AO240:AS240)))</f>
        <v/>
      </c>
      <c r="BE240" s="91">
        <f>MAX(0,AU240-MAX(0,BJ240-SUM(AO240:AT240)))</f>
        <v/>
      </c>
      <c r="BF240" s="91">
        <f>MAX(0,AV240-MAX(0,BJ240-SUM(AO240:AU240)))</f>
        <v/>
      </c>
      <c r="BG240" s="91">
        <f>MAX(0,AW240-MAX(0,BJ240-SUM(AO240:AV240)))</f>
        <v/>
      </c>
      <c r="BH240" s="91">
        <f>MAX(0,AX240-MAX(0,BJ240-SUM(AO240:AW240)))</f>
        <v/>
      </c>
      <c r="BI240" s="92">
        <f>SUM(AY239:BH239)+BK240</f>
        <v/>
      </c>
      <c r="BJ240" s="92">
        <f>$BJ$7-(BI240-SUM(AO240:AX240))</f>
        <v/>
      </c>
      <c r="BK240" s="91">
        <f>SUMPRODUCT(AY239:BH239,$AY$6:$BH$6)/12</f>
        <v/>
      </c>
      <c r="BL240" s="88">
        <f>SUM(AY240:BH240)</f>
        <v/>
      </c>
    </row>
    <row r="241">
      <c r="A241" s="24" t="n">
        <v>231</v>
      </c>
      <c r="B241" s="90">
        <f>DATE(YEAR(Settings!$C$11),MONTH(Settings!$C$11)+A241,1)</f>
        <v/>
      </c>
      <c r="C241" s="91">
        <f>IF(C240&lt;0.005,0,MAX(0,C240*(1+C$6/12)-C$7))</f>
        <v/>
      </c>
      <c r="D241" s="91">
        <f>IF(D240&lt;0.005,0,MAX(0,D240*(1+D$6/12)-D$7))</f>
        <v/>
      </c>
      <c r="E241" s="91">
        <f>IF(E240&lt;0.005,0,MAX(0,E240*(1+E$6/12)-E$7))</f>
        <v/>
      </c>
      <c r="F241" s="91">
        <f>IF(F240&lt;0.005,0,MAX(0,F240*(1+F$6/12)-F$7))</f>
        <v/>
      </c>
      <c r="G241" s="91">
        <f>IF(G240&lt;0.005,0,MAX(0,G240*(1+G$6/12)-G$7))</f>
        <v/>
      </c>
      <c r="H241" s="91">
        <f>IF(H240&lt;0.005,0,MAX(0,H240*(1+H$6/12)-H$7))</f>
        <v/>
      </c>
      <c r="I241" s="91">
        <f>IF(I240&lt;0.005,0,MAX(0,I240*(1+I$6/12)-I$7))</f>
        <v/>
      </c>
      <c r="J241" s="91">
        <f>IF(J240&lt;0.005,0,MAX(0,J240*(1+J$6/12)-J$7))</f>
        <v/>
      </c>
      <c r="K241" s="91">
        <f>IF(K240&lt;0.005,0,MAX(0,K240*(1+K$6/12)-K$7))</f>
        <v/>
      </c>
      <c r="L241" s="91">
        <f>IF(L240&lt;0.005,0,MAX(0,L240*(1+L$6/12)-L$7))</f>
        <v/>
      </c>
      <c r="M241" s="91">
        <f>SUMPRODUCT(C240:L240,$C$6:$L$6)/12</f>
        <v/>
      </c>
      <c r="N241" s="88">
        <f>SUM(C241:L241)</f>
        <v/>
      </c>
      <c r="P241" s="92">
        <f>IF(Z240&lt;0.005,0,MAX(0,Z240*(1+Z$6/12)-Z$7))</f>
        <v/>
      </c>
      <c r="Q241" s="92">
        <f>IF(AA240&lt;0.005,0,MAX(0,AA240*(1+AA$6/12)-AA$7))</f>
        <v/>
      </c>
      <c r="R241" s="92">
        <f>IF(AB240&lt;0.005,0,MAX(0,AB240*(1+AB$6/12)-AB$7))</f>
        <v/>
      </c>
      <c r="S241" s="92">
        <f>IF(AC240&lt;0.005,0,MAX(0,AC240*(1+AC$6/12)-AC$7))</f>
        <v/>
      </c>
      <c r="T241" s="92">
        <f>IF(AD240&lt;0.005,0,MAX(0,AD240*(1+AD$6/12)-AD$7))</f>
        <v/>
      </c>
      <c r="U241" s="92">
        <f>IF(AE240&lt;0.005,0,MAX(0,AE240*(1+AE$6/12)-AE$7))</f>
        <v/>
      </c>
      <c r="V241" s="92">
        <f>IF(AF240&lt;0.005,0,MAX(0,AF240*(1+AF$6/12)-AF$7))</f>
        <v/>
      </c>
      <c r="W241" s="92">
        <f>IF(AG240&lt;0.005,0,MAX(0,AG240*(1+AG$6/12)-AG$7))</f>
        <v/>
      </c>
      <c r="X241" s="92">
        <f>IF(AH240&lt;0.005,0,MAX(0,AH240*(1+AH$6/12)-AH$7))</f>
        <v/>
      </c>
      <c r="Y241" s="92">
        <f>IF(AI240&lt;0.005,0,MAX(0,AI240*(1+AI$6/12)-AI$7))</f>
        <v/>
      </c>
      <c r="Z241" s="91">
        <f>MAX(0,P241-MAX(0,AK241-0))</f>
        <v/>
      </c>
      <c r="AA241" s="91">
        <f>MAX(0,Q241-MAX(0,AK241-SUM(P241:P241)))</f>
        <v/>
      </c>
      <c r="AB241" s="91">
        <f>MAX(0,R241-MAX(0,AK241-SUM(P241:Q241)))</f>
        <v/>
      </c>
      <c r="AC241" s="91">
        <f>MAX(0,S241-MAX(0,AK241-SUM(P241:R241)))</f>
        <v/>
      </c>
      <c r="AD241" s="91">
        <f>MAX(0,T241-MAX(0,AK241-SUM(P241:S241)))</f>
        <v/>
      </c>
      <c r="AE241" s="91">
        <f>MAX(0,U241-MAX(0,AK241-SUM(P241:T241)))</f>
        <v/>
      </c>
      <c r="AF241" s="91">
        <f>MAX(0,V241-MAX(0,AK241-SUM(P241:U241)))</f>
        <v/>
      </c>
      <c r="AG241" s="91">
        <f>MAX(0,W241-MAX(0,AK241-SUM(P241:V241)))</f>
        <v/>
      </c>
      <c r="AH241" s="91">
        <f>MAX(0,X241-MAX(0,AK241-SUM(P241:W241)))</f>
        <v/>
      </c>
      <c r="AI241" s="91">
        <f>MAX(0,Y241-MAX(0,AK241-SUM(P241:X241)))</f>
        <v/>
      </c>
      <c r="AJ241" s="92">
        <f>SUM(Z240:AI240)+AL241</f>
        <v/>
      </c>
      <c r="AK241" s="92">
        <f>$AK$7-(AJ241-SUM(P241:Y241))</f>
        <v/>
      </c>
      <c r="AL241" s="91">
        <f>SUMPRODUCT(Z240:AI240,$Z$6:$AI$6)/12</f>
        <v/>
      </c>
      <c r="AM241" s="88">
        <f>SUM(Z241:AI241)</f>
        <v/>
      </c>
      <c r="AO241" s="92">
        <f>IF(AY240&lt;0.005,0,MAX(0,AY240*(1+AY$6/12)-AY$7))</f>
        <v/>
      </c>
      <c r="AP241" s="92">
        <f>IF(AZ240&lt;0.005,0,MAX(0,AZ240*(1+AZ$6/12)-AZ$7))</f>
        <v/>
      </c>
      <c r="AQ241" s="92">
        <f>IF(BA240&lt;0.005,0,MAX(0,BA240*(1+BA$6/12)-BA$7))</f>
        <v/>
      </c>
      <c r="AR241" s="92">
        <f>IF(BB240&lt;0.005,0,MAX(0,BB240*(1+BB$6/12)-BB$7))</f>
        <v/>
      </c>
      <c r="AS241" s="92">
        <f>IF(BC240&lt;0.005,0,MAX(0,BC240*(1+BC$6/12)-BC$7))</f>
        <v/>
      </c>
      <c r="AT241" s="92">
        <f>IF(BD240&lt;0.005,0,MAX(0,BD240*(1+BD$6/12)-BD$7))</f>
        <v/>
      </c>
      <c r="AU241" s="92">
        <f>IF(BE240&lt;0.005,0,MAX(0,BE240*(1+BE$6/12)-BE$7))</f>
        <v/>
      </c>
      <c r="AV241" s="92">
        <f>IF(BF240&lt;0.005,0,MAX(0,BF240*(1+BF$6/12)-BF$7))</f>
        <v/>
      </c>
      <c r="AW241" s="92">
        <f>IF(BG240&lt;0.005,0,MAX(0,BG240*(1+BG$6/12)-BG$7))</f>
        <v/>
      </c>
      <c r="AX241" s="92">
        <f>IF(BH240&lt;0.005,0,MAX(0,BH240*(1+BH$6/12)-BH$7))</f>
        <v/>
      </c>
      <c r="AY241" s="91">
        <f>MAX(0,AO241-MAX(0,BJ241-0))</f>
        <v/>
      </c>
      <c r="AZ241" s="91">
        <f>MAX(0,AP241-MAX(0,BJ241-SUM(AO241:AO241)))</f>
        <v/>
      </c>
      <c r="BA241" s="91">
        <f>MAX(0,AQ241-MAX(0,BJ241-SUM(AO241:AP241)))</f>
        <v/>
      </c>
      <c r="BB241" s="91">
        <f>MAX(0,AR241-MAX(0,BJ241-SUM(AO241:AQ241)))</f>
        <v/>
      </c>
      <c r="BC241" s="91">
        <f>MAX(0,AS241-MAX(0,BJ241-SUM(AO241:AR241)))</f>
        <v/>
      </c>
      <c r="BD241" s="91">
        <f>MAX(0,AT241-MAX(0,BJ241-SUM(AO241:AS241)))</f>
        <v/>
      </c>
      <c r="BE241" s="91">
        <f>MAX(0,AU241-MAX(0,BJ241-SUM(AO241:AT241)))</f>
        <v/>
      </c>
      <c r="BF241" s="91">
        <f>MAX(0,AV241-MAX(0,BJ241-SUM(AO241:AU241)))</f>
        <v/>
      </c>
      <c r="BG241" s="91">
        <f>MAX(0,AW241-MAX(0,BJ241-SUM(AO241:AV241)))</f>
        <v/>
      </c>
      <c r="BH241" s="91">
        <f>MAX(0,AX241-MAX(0,BJ241-SUM(AO241:AW241)))</f>
        <v/>
      </c>
      <c r="BI241" s="92">
        <f>SUM(AY240:BH240)+BK241</f>
        <v/>
      </c>
      <c r="BJ241" s="92">
        <f>$BJ$7-(BI241-SUM(AO241:AX241))</f>
        <v/>
      </c>
      <c r="BK241" s="91">
        <f>SUMPRODUCT(AY240:BH240,$AY$6:$BH$6)/12</f>
        <v/>
      </c>
      <c r="BL241" s="88">
        <f>SUM(AY241:BH241)</f>
        <v/>
      </c>
    </row>
    <row r="242">
      <c r="A242" s="24" t="n">
        <v>232</v>
      </c>
      <c r="B242" s="90">
        <f>DATE(YEAR(Settings!$C$11),MONTH(Settings!$C$11)+A242,1)</f>
        <v/>
      </c>
      <c r="C242" s="91">
        <f>IF(C241&lt;0.005,0,MAX(0,C241*(1+C$6/12)-C$7))</f>
        <v/>
      </c>
      <c r="D242" s="91">
        <f>IF(D241&lt;0.005,0,MAX(0,D241*(1+D$6/12)-D$7))</f>
        <v/>
      </c>
      <c r="E242" s="91">
        <f>IF(E241&lt;0.005,0,MAX(0,E241*(1+E$6/12)-E$7))</f>
        <v/>
      </c>
      <c r="F242" s="91">
        <f>IF(F241&lt;0.005,0,MAX(0,F241*(1+F$6/12)-F$7))</f>
        <v/>
      </c>
      <c r="G242" s="91">
        <f>IF(G241&lt;0.005,0,MAX(0,G241*(1+G$6/12)-G$7))</f>
        <v/>
      </c>
      <c r="H242" s="91">
        <f>IF(H241&lt;0.005,0,MAX(0,H241*(1+H$6/12)-H$7))</f>
        <v/>
      </c>
      <c r="I242" s="91">
        <f>IF(I241&lt;0.005,0,MAX(0,I241*(1+I$6/12)-I$7))</f>
        <v/>
      </c>
      <c r="J242" s="91">
        <f>IF(J241&lt;0.005,0,MAX(0,J241*(1+J$6/12)-J$7))</f>
        <v/>
      </c>
      <c r="K242" s="91">
        <f>IF(K241&lt;0.005,0,MAX(0,K241*(1+K$6/12)-K$7))</f>
        <v/>
      </c>
      <c r="L242" s="91">
        <f>IF(L241&lt;0.005,0,MAX(0,L241*(1+L$6/12)-L$7))</f>
        <v/>
      </c>
      <c r="M242" s="91">
        <f>SUMPRODUCT(C241:L241,$C$6:$L$6)/12</f>
        <v/>
      </c>
      <c r="N242" s="88">
        <f>SUM(C242:L242)</f>
        <v/>
      </c>
      <c r="P242" s="92">
        <f>IF(Z241&lt;0.005,0,MAX(0,Z241*(1+Z$6/12)-Z$7))</f>
        <v/>
      </c>
      <c r="Q242" s="92">
        <f>IF(AA241&lt;0.005,0,MAX(0,AA241*(1+AA$6/12)-AA$7))</f>
        <v/>
      </c>
      <c r="R242" s="92">
        <f>IF(AB241&lt;0.005,0,MAX(0,AB241*(1+AB$6/12)-AB$7))</f>
        <v/>
      </c>
      <c r="S242" s="92">
        <f>IF(AC241&lt;0.005,0,MAX(0,AC241*(1+AC$6/12)-AC$7))</f>
        <v/>
      </c>
      <c r="T242" s="92">
        <f>IF(AD241&lt;0.005,0,MAX(0,AD241*(1+AD$6/12)-AD$7))</f>
        <v/>
      </c>
      <c r="U242" s="92">
        <f>IF(AE241&lt;0.005,0,MAX(0,AE241*(1+AE$6/12)-AE$7))</f>
        <v/>
      </c>
      <c r="V242" s="92">
        <f>IF(AF241&lt;0.005,0,MAX(0,AF241*(1+AF$6/12)-AF$7))</f>
        <v/>
      </c>
      <c r="W242" s="92">
        <f>IF(AG241&lt;0.005,0,MAX(0,AG241*(1+AG$6/12)-AG$7))</f>
        <v/>
      </c>
      <c r="X242" s="92">
        <f>IF(AH241&lt;0.005,0,MAX(0,AH241*(1+AH$6/12)-AH$7))</f>
        <v/>
      </c>
      <c r="Y242" s="92">
        <f>IF(AI241&lt;0.005,0,MAX(0,AI241*(1+AI$6/12)-AI$7))</f>
        <v/>
      </c>
      <c r="Z242" s="91">
        <f>MAX(0,P242-MAX(0,AK242-0))</f>
        <v/>
      </c>
      <c r="AA242" s="91">
        <f>MAX(0,Q242-MAX(0,AK242-SUM(P242:P242)))</f>
        <v/>
      </c>
      <c r="AB242" s="91">
        <f>MAX(0,R242-MAX(0,AK242-SUM(P242:Q242)))</f>
        <v/>
      </c>
      <c r="AC242" s="91">
        <f>MAX(0,S242-MAX(0,AK242-SUM(P242:R242)))</f>
        <v/>
      </c>
      <c r="AD242" s="91">
        <f>MAX(0,T242-MAX(0,AK242-SUM(P242:S242)))</f>
        <v/>
      </c>
      <c r="AE242" s="91">
        <f>MAX(0,U242-MAX(0,AK242-SUM(P242:T242)))</f>
        <v/>
      </c>
      <c r="AF242" s="91">
        <f>MAX(0,V242-MAX(0,AK242-SUM(P242:U242)))</f>
        <v/>
      </c>
      <c r="AG242" s="91">
        <f>MAX(0,W242-MAX(0,AK242-SUM(P242:V242)))</f>
        <v/>
      </c>
      <c r="AH242" s="91">
        <f>MAX(0,X242-MAX(0,AK242-SUM(P242:W242)))</f>
        <v/>
      </c>
      <c r="AI242" s="91">
        <f>MAX(0,Y242-MAX(0,AK242-SUM(P242:X242)))</f>
        <v/>
      </c>
      <c r="AJ242" s="92">
        <f>SUM(Z241:AI241)+AL242</f>
        <v/>
      </c>
      <c r="AK242" s="92">
        <f>$AK$7-(AJ242-SUM(P242:Y242))</f>
        <v/>
      </c>
      <c r="AL242" s="91">
        <f>SUMPRODUCT(Z241:AI241,$Z$6:$AI$6)/12</f>
        <v/>
      </c>
      <c r="AM242" s="88">
        <f>SUM(Z242:AI242)</f>
        <v/>
      </c>
      <c r="AO242" s="92">
        <f>IF(AY241&lt;0.005,0,MAX(0,AY241*(1+AY$6/12)-AY$7))</f>
        <v/>
      </c>
      <c r="AP242" s="92">
        <f>IF(AZ241&lt;0.005,0,MAX(0,AZ241*(1+AZ$6/12)-AZ$7))</f>
        <v/>
      </c>
      <c r="AQ242" s="92">
        <f>IF(BA241&lt;0.005,0,MAX(0,BA241*(1+BA$6/12)-BA$7))</f>
        <v/>
      </c>
      <c r="AR242" s="92">
        <f>IF(BB241&lt;0.005,0,MAX(0,BB241*(1+BB$6/12)-BB$7))</f>
        <v/>
      </c>
      <c r="AS242" s="92">
        <f>IF(BC241&lt;0.005,0,MAX(0,BC241*(1+BC$6/12)-BC$7))</f>
        <v/>
      </c>
      <c r="AT242" s="92">
        <f>IF(BD241&lt;0.005,0,MAX(0,BD241*(1+BD$6/12)-BD$7))</f>
        <v/>
      </c>
      <c r="AU242" s="92">
        <f>IF(BE241&lt;0.005,0,MAX(0,BE241*(1+BE$6/12)-BE$7))</f>
        <v/>
      </c>
      <c r="AV242" s="92">
        <f>IF(BF241&lt;0.005,0,MAX(0,BF241*(1+BF$6/12)-BF$7))</f>
        <v/>
      </c>
      <c r="AW242" s="92">
        <f>IF(BG241&lt;0.005,0,MAX(0,BG241*(1+BG$6/12)-BG$7))</f>
        <v/>
      </c>
      <c r="AX242" s="92">
        <f>IF(BH241&lt;0.005,0,MAX(0,BH241*(1+BH$6/12)-BH$7))</f>
        <v/>
      </c>
      <c r="AY242" s="91">
        <f>MAX(0,AO242-MAX(0,BJ242-0))</f>
        <v/>
      </c>
      <c r="AZ242" s="91">
        <f>MAX(0,AP242-MAX(0,BJ242-SUM(AO242:AO242)))</f>
        <v/>
      </c>
      <c r="BA242" s="91">
        <f>MAX(0,AQ242-MAX(0,BJ242-SUM(AO242:AP242)))</f>
        <v/>
      </c>
      <c r="BB242" s="91">
        <f>MAX(0,AR242-MAX(0,BJ242-SUM(AO242:AQ242)))</f>
        <v/>
      </c>
      <c r="BC242" s="91">
        <f>MAX(0,AS242-MAX(0,BJ242-SUM(AO242:AR242)))</f>
        <v/>
      </c>
      <c r="BD242" s="91">
        <f>MAX(0,AT242-MAX(0,BJ242-SUM(AO242:AS242)))</f>
        <v/>
      </c>
      <c r="BE242" s="91">
        <f>MAX(0,AU242-MAX(0,BJ242-SUM(AO242:AT242)))</f>
        <v/>
      </c>
      <c r="BF242" s="91">
        <f>MAX(0,AV242-MAX(0,BJ242-SUM(AO242:AU242)))</f>
        <v/>
      </c>
      <c r="BG242" s="91">
        <f>MAX(0,AW242-MAX(0,BJ242-SUM(AO242:AV242)))</f>
        <v/>
      </c>
      <c r="BH242" s="91">
        <f>MAX(0,AX242-MAX(0,BJ242-SUM(AO242:AW242)))</f>
        <v/>
      </c>
      <c r="BI242" s="92">
        <f>SUM(AY241:BH241)+BK242</f>
        <v/>
      </c>
      <c r="BJ242" s="92">
        <f>$BJ$7-(BI242-SUM(AO242:AX242))</f>
        <v/>
      </c>
      <c r="BK242" s="91">
        <f>SUMPRODUCT(AY241:BH241,$AY$6:$BH$6)/12</f>
        <v/>
      </c>
      <c r="BL242" s="88">
        <f>SUM(AY242:BH242)</f>
        <v/>
      </c>
    </row>
    <row r="243">
      <c r="A243" s="24" t="n">
        <v>233</v>
      </c>
      <c r="B243" s="90">
        <f>DATE(YEAR(Settings!$C$11),MONTH(Settings!$C$11)+A243,1)</f>
        <v/>
      </c>
      <c r="C243" s="91">
        <f>IF(C242&lt;0.005,0,MAX(0,C242*(1+C$6/12)-C$7))</f>
        <v/>
      </c>
      <c r="D243" s="91">
        <f>IF(D242&lt;0.005,0,MAX(0,D242*(1+D$6/12)-D$7))</f>
        <v/>
      </c>
      <c r="E243" s="91">
        <f>IF(E242&lt;0.005,0,MAX(0,E242*(1+E$6/12)-E$7))</f>
        <v/>
      </c>
      <c r="F243" s="91">
        <f>IF(F242&lt;0.005,0,MAX(0,F242*(1+F$6/12)-F$7))</f>
        <v/>
      </c>
      <c r="G243" s="91">
        <f>IF(G242&lt;0.005,0,MAX(0,G242*(1+G$6/12)-G$7))</f>
        <v/>
      </c>
      <c r="H243" s="91">
        <f>IF(H242&lt;0.005,0,MAX(0,H242*(1+H$6/12)-H$7))</f>
        <v/>
      </c>
      <c r="I243" s="91">
        <f>IF(I242&lt;0.005,0,MAX(0,I242*(1+I$6/12)-I$7))</f>
        <v/>
      </c>
      <c r="J243" s="91">
        <f>IF(J242&lt;0.005,0,MAX(0,J242*(1+J$6/12)-J$7))</f>
        <v/>
      </c>
      <c r="K243" s="91">
        <f>IF(K242&lt;0.005,0,MAX(0,K242*(1+K$6/12)-K$7))</f>
        <v/>
      </c>
      <c r="L243" s="91">
        <f>IF(L242&lt;0.005,0,MAX(0,L242*(1+L$6/12)-L$7))</f>
        <v/>
      </c>
      <c r="M243" s="91">
        <f>SUMPRODUCT(C242:L242,$C$6:$L$6)/12</f>
        <v/>
      </c>
      <c r="N243" s="88">
        <f>SUM(C243:L243)</f>
        <v/>
      </c>
      <c r="P243" s="92">
        <f>IF(Z242&lt;0.005,0,MAX(0,Z242*(1+Z$6/12)-Z$7))</f>
        <v/>
      </c>
      <c r="Q243" s="92">
        <f>IF(AA242&lt;0.005,0,MAX(0,AA242*(1+AA$6/12)-AA$7))</f>
        <v/>
      </c>
      <c r="R243" s="92">
        <f>IF(AB242&lt;0.005,0,MAX(0,AB242*(1+AB$6/12)-AB$7))</f>
        <v/>
      </c>
      <c r="S243" s="92">
        <f>IF(AC242&lt;0.005,0,MAX(0,AC242*(1+AC$6/12)-AC$7))</f>
        <v/>
      </c>
      <c r="T243" s="92">
        <f>IF(AD242&lt;0.005,0,MAX(0,AD242*(1+AD$6/12)-AD$7))</f>
        <v/>
      </c>
      <c r="U243" s="92">
        <f>IF(AE242&lt;0.005,0,MAX(0,AE242*(1+AE$6/12)-AE$7))</f>
        <v/>
      </c>
      <c r="V243" s="92">
        <f>IF(AF242&lt;0.005,0,MAX(0,AF242*(1+AF$6/12)-AF$7))</f>
        <v/>
      </c>
      <c r="W243" s="92">
        <f>IF(AG242&lt;0.005,0,MAX(0,AG242*(1+AG$6/12)-AG$7))</f>
        <v/>
      </c>
      <c r="X243" s="92">
        <f>IF(AH242&lt;0.005,0,MAX(0,AH242*(1+AH$6/12)-AH$7))</f>
        <v/>
      </c>
      <c r="Y243" s="92">
        <f>IF(AI242&lt;0.005,0,MAX(0,AI242*(1+AI$6/12)-AI$7))</f>
        <v/>
      </c>
      <c r="Z243" s="91">
        <f>MAX(0,P243-MAX(0,AK243-0))</f>
        <v/>
      </c>
      <c r="AA243" s="91">
        <f>MAX(0,Q243-MAX(0,AK243-SUM(P243:P243)))</f>
        <v/>
      </c>
      <c r="AB243" s="91">
        <f>MAX(0,R243-MAX(0,AK243-SUM(P243:Q243)))</f>
        <v/>
      </c>
      <c r="AC243" s="91">
        <f>MAX(0,S243-MAX(0,AK243-SUM(P243:R243)))</f>
        <v/>
      </c>
      <c r="AD243" s="91">
        <f>MAX(0,T243-MAX(0,AK243-SUM(P243:S243)))</f>
        <v/>
      </c>
      <c r="AE243" s="91">
        <f>MAX(0,U243-MAX(0,AK243-SUM(P243:T243)))</f>
        <v/>
      </c>
      <c r="AF243" s="91">
        <f>MAX(0,V243-MAX(0,AK243-SUM(P243:U243)))</f>
        <v/>
      </c>
      <c r="AG243" s="91">
        <f>MAX(0,W243-MAX(0,AK243-SUM(P243:V243)))</f>
        <v/>
      </c>
      <c r="AH243" s="91">
        <f>MAX(0,X243-MAX(0,AK243-SUM(P243:W243)))</f>
        <v/>
      </c>
      <c r="AI243" s="91">
        <f>MAX(0,Y243-MAX(0,AK243-SUM(P243:X243)))</f>
        <v/>
      </c>
      <c r="AJ243" s="92">
        <f>SUM(Z242:AI242)+AL243</f>
        <v/>
      </c>
      <c r="AK243" s="92">
        <f>$AK$7-(AJ243-SUM(P243:Y243))</f>
        <v/>
      </c>
      <c r="AL243" s="91">
        <f>SUMPRODUCT(Z242:AI242,$Z$6:$AI$6)/12</f>
        <v/>
      </c>
      <c r="AM243" s="88">
        <f>SUM(Z243:AI243)</f>
        <v/>
      </c>
      <c r="AO243" s="92">
        <f>IF(AY242&lt;0.005,0,MAX(0,AY242*(1+AY$6/12)-AY$7))</f>
        <v/>
      </c>
      <c r="AP243" s="92">
        <f>IF(AZ242&lt;0.005,0,MAX(0,AZ242*(1+AZ$6/12)-AZ$7))</f>
        <v/>
      </c>
      <c r="AQ243" s="92">
        <f>IF(BA242&lt;0.005,0,MAX(0,BA242*(1+BA$6/12)-BA$7))</f>
        <v/>
      </c>
      <c r="AR243" s="92">
        <f>IF(BB242&lt;0.005,0,MAX(0,BB242*(1+BB$6/12)-BB$7))</f>
        <v/>
      </c>
      <c r="AS243" s="92">
        <f>IF(BC242&lt;0.005,0,MAX(0,BC242*(1+BC$6/12)-BC$7))</f>
        <v/>
      </c>
      <c r="AT243" s="92">
        <f>IF(BD242&lt;0.005,0,MAX(0,BD242*(1+BD$6/12)-BD$7))</f>
        <v/>
      </c>
      <c r="AU243" s="92">
        <f>IF(BE242&lt;0.005,0,MAX(0,BE242*(1+BE$6/12)-BE$7))</f>
        <v/>
      </c>
      <c r="AV243" s="92">
        <f>IF(BF242&lt;0.005,0,MAX(0,BF242*(1+BF$6/12)-BF$7))</f>
        <v/>
      </c>
      <c r="AW243" s="92">
        <f>IF(BG242&lt;0.005,0,MAX(0,BG242*(1+BG$6/12)-BG$7))</f>
        <v/>
      </c>
      <c r="AX243" s="92">
        <f>IF(BH242&lt;0.005,0,MAX(0,BH242*(1+BH$6/12)-BH$7))</f>
        <v/>
      </c>
      <c r="AY243" s="91">
        <f>MAX(0,AO243-MAX(0,BJ243-0))</f>
        <v/>
      </c>
      <c r="AZ243" s="91">
        <f>MAX(0,AP243-MAX(0,BJ243-SUM(AO243:AO243)))</f>
        <v/>
      </c>
      <c r="BA243" s="91">
        <f>MAX(0,AQ243-MAX(0,BJ243-SUM(AO243:AP243)))</f>
        <v/>
      </c>
      <c r="BB243" s="91">
        <f>MAX(0,AR243-MAX(0,BJ243-SUM(AO243:AQ243)))</f>
        <v/>
      </c>
      <c r="BC243" s="91">
        <f>MAX(0,AS243-MAX(0,BJ243-SUM(AO243:AR243)))</f>
        <v/>
      </c>
      <c r="BD243" s="91">
        <f>MAX(0,AT243-MAX(0,BJ243-SUM(AO243:AS243)))</f>
        <v/>
      </c>
      <c r="BE243" s="91">
        <f>MAX(0,AU243-MAX(0,BJ243-SUM(AO243:AT243)))</f>
        <v/>
      </c>
      <c r="BF243" s="91">
        <f>MAX(0,AV243-MAX(0,BJ243-SUM(AO243:AU243)))</f>
        <v/>
      </c>
      <c r="BG243" s="91">
        <f>MAX(0,AW243-MAX(0,BJ243-SUM(AO243:AV243)))</f>
        <v/>
      </c>
      <c r="BH243" s="91">
        <f>MAX(0,AX243-MAX(0,BJ243-SUM(AO243:AW243)))</f>
        <v/>
      </c>
      <c r="BI243" s="92">
        <f>SUM(AY242:BH242)+BK243</f>
        <v/>
      </c>
      <c r="BJ243" s="92">
        <f>$BJ$7-(BI243-SUM(AO243:AX243))</f>
        <v/>
      </c>
      <c r="BK243" s="91">
        <f>SUMPRODUCT(AY242:BH242,$AY$6:$BH$6)/12</f>
        <v/>
      </c>
      <c r="BL243" s="88">
        <f>SUM(AY243:BH243)</f>
        <v/>
      </c>
    </row>
    <row r="244">
      <c r="A244" s="24" t="n">
        <v>234</v>
      </c>
      <c r="B244" s="90">
        <f>DATE(YEAR(Settings!$C$11),MONTH(Settings!$C$11)+A244,1)</f>
        <v/>
      </c>
      <c r="C244" s="91">
        <f>IF(C243&lt;0.005,0,MAX(0,C243*(1+C$6/12)-C$7))</f>
        <v/>
      </c>
      <c r="D244" s="91">
        <f>IF(D243&lt;0.005,0,MAX(0,D243*(1+D$6/12)-D$7))</f>
        <v/>
      </c>
      <c r="E244" s="91">
        <f>IF(E243&lt;0.005,0,MAX(0,E243*(1+E$6/12)-E$7))</f>
        <v/>
      </c>
      <c r="F244" s="91">
        <f>IF(F243&lt;0.005,0,MAX(0,F243*(1+F$6/12)-F$7))</f>
        <v/>
      </c>
      <c r="G244" s="91">
        <f>IF(G243&lt;0.005,0,MAX(0,G243*(1+G$6/12)-G$7))</f>
        <v/>
      </c>
      <c r="H244" s="91">
        <f>IF(H243&lt;0.005,0,MAX(0,H243*(1+H$6/12)-H$7))</f>
        <v/>
      </c>
      <c r="I244" s="91">
        <f>IF(I243&lt;0.005,0,MAX(0,I243*(1+I$6/12)-I$7))</f>
        <v/>
      </c>
      <c r="J244" s="91">
        <f>IF(J243&lt;0.005,0,MAX(0,J243*(1+J$6/12)-J$7))</f>
        <v/>
      </c>
      <c r="K244" s="91">
        <f>IF(K243&lt;0.005,0,MAX(0,K243*(1+K$6/12)-K$7))</f>
        <v/>
      </c>
      <c r="L244" s="91">
        <f>IF(L243&lt;0.005,0,MAX(0,L243*(1+L$6/12)-L$7))</f>
        <v/>
      </c>
      <c r="M244" s="91">
        <f>SUMPRODUCT(C243:L243,$C$6:$L$6)/12</f>
        <v/>
      </c>
      <c r="N244" s="88">
        <f>SUM(C244:L244)</f>
        <v/>
      </c>
      <c r="P244" s="92">
        <f>IF(Z243&lt;0.005,0,MAX(0,Z243*(1+Z$6/12)-Z$7))</f>
        <v/>
      </c>
      <c r="Q244" s="92">
        <f>IF(AA243&lt;0.005,0,MAX(0,AA243*(1+AA$6/12)-AA$7))</f>
        <v/>
      </c>
      <c r="R244" s="92">
        <f>IF(AB243&lt;0.005,0,MAX(0,AB243*(1+AB$6/12)-AB$7))</f>
        <v/>
      </c>
      <c r="S244" s="92">
        <f>IF(AC243&lt;0.005,0,MAX(0,AC243*(1+AC$6/12)-AC$7))</f>
        <v/>
      </c>
      <c r="T244" s="92">
        <f>IF(AD243&lt;0.005,0,MAX(0,AD243*(1+AD$6/12)-AD$7))</f>
        <v/>
      </c>
      <c r="U244" s="92">
        <f>IF(AE243&lt;0.005,0,MAX(0,AE243*(1+AE$6/12)-AE$7))</f>
        <v/>
      </c>
      <c r="V244" s="92">
        <f>IF(AF243&lt;0.005,0,MAX(0,AF243*(1+AF$6/12)-AF$7))</f>
        <v/>
      </c>
      <c r="W244" s="92">
        <f>IF(AG243&lt;0.005,0,MAX(0,AG243*(1+AG$6/12)-AG$7))</f>
        <v/>
      </c>
      <c r="X244" s="92">
        <f>IF(AH243&lt;0.005,0,MAX(0,AH243*(1+AH$6/12)-AH$7))</f>
        <v/>
      </c>
      <c r="Y244" s="92">
        <f>IF(AI243&lt;0.005,0,MAX(0,AI243*(1+AI$6/12)-AI$7))</f>
        <v/>
      </c>
      <c r="Z244" s="91">
        <f>MAX(0,P244-MAX(0,AK244-0))</f>
        <v/>
      </c>
      <c r="AA244" s="91">
        <f>MAX(0,Q244-MAX(0,AK244-SUM(P244:P244)))</f>
        <v/>
      </c>
      <c r="AB244" s="91">
        <f>MAX(0,R244-MAX(0,AK244-SUM(P244:Q244)))</f>
        <v/>
      </c>
      <c r="AC244" s="91">
        <f>MAX(0,S244-MAX(0,AK244-SUM(P244:R244)))</f>
        <v/>
      </c>
      <c r="AD244" s="91">
        <f>MAX(0,T244-MAX(0,AK244-SUM(P244:S244)))</f>
        <v/>
      </c>
      <c r="AE244" s="91">
        <f>MAX(0,U244-MAX(0,AK244-SUM(P244:T244)))</f>
        <v/>
      </c>
      <c r="AF244" s="91">
        <f>MAX(0,V244-MAX(0,AK244-SUM(P244:U244)))</f>
        <v/>
      </c>
      <c r="AG244" s="91">
        <f>MAX(0,W244-MAX(0,AK244-SUM(P244:V244)))</f>
        <v/>
      </c>
      <c r="AH244" s="91">
        <f>MAX(0,X244-MAX(0,AK244-SUM(P244:W244)))</f>
        <v/>
      </c>
      <c r="AI244" s="91">
        <f>MAX(0,Y244-MAX(0,AK244-SUM(P244:X244)))</f>
        <v/>
      </c>
      <c r="AJ244" s="92">
        <f>SUM(Z243:AI243)+AL244</f>
        <v/>
      </c>
      <c r="AK244" s="92">
        <f>$AK$7-(AJ244-SUM(P244:Y244))</f>
        <v/>
      </c>
      <c r="AL244" s="91">
        <f>SUMPRODUCT(Z243:AI243,$Z$6:$AI$6)/12</f>
        <v/>
      </c>
      <c r="AM244" s="88">
        <f>SUM(Z244:AI244)</f>
        <v/>
      </c>
      <c r="AO244" s="92">
        <f>IF(AY243&lt;0.005,0,MAX(0,AY243*(1+AY$6/12)-AY$7))</f>
        <v/>
      </c>
      <c r="AP244" s="92">
        <f>IF(AZ243&lt;0.005,0,MAX(0,AZ243*(1+AZ$6/12)-AZ$7))</f>
        <v/>
      </c>
      <c r="AQ244" s="92">
        <f>IF(BA243&lt;0.005,0,MAX(0,BA243*(1+BA$6/12)-BA$7))</f>
        <v/>
      </c>
      <c r="AR244" s="92">
        <f>IF(BB243&lt;0.005,0,MAX(0,BB243*(1+BB$6/12)-BB$7))</f>
        <v/>
      </c>
      <c r="AS244" s="92">
        <f>IF(BC243&lt;0.005,0,MAX(0,BC243*(1+BC$6/12)-BC$7))</f>
        <v/>
      </c>
      <c r="AT244" s="92">
        <f>IF(BD243&lt;0.005,0,MAX(0,BD243*(1+BD$6/12)-BD$7))</f>
        <v/>
      </c>
      <c r="AU244" s="92">
        <f>IF(BE243&lt;0.005,0,MAX(0,BE243*(1+BE$6/12)-BE$7))</f>
        <v/>
      </c>
      <c r="AV244" s="92">
        <f>IF(BF243&lt;0.005,0,MAX(0,BF243*(1+BF$6/12)-BF$7))</f>
        <v/>
      </c>
      <c r="AW244" s="92">
        <f>IF(BG243&lt;0.005,0,MAX(0,BG243*(1+BG$6/12)-BG$7))</f>
        <v/>
      </c>
      <c r="AX244" s="92">
        <f>IF(BH243&lt;0.005,0,MAX(0,BH243*(1+BH$6/12)-BH$7))</f>
        <v/>
      </c>
      <c r="AY244" s="91">
        <f>MAX(0,AO244-MAX(0,BJ244-0))</f>
        <v/>
      </c>
      <c r="AZ244" s="91">
        <f>MAX(0,AP244-MAX(0,BJ244-SUM(AO244:AO244)))</f>
        <v/>
      </c>
      <c r="BA244" s="91">
        <f>MAX(0,AQ244-MAX(0,BJ244-SUM(AO244:AP244)))</f>
        <v/>
      </c>
      <c r="BB244" s="91">
        <f>MAX(0,AR244-MAX(0,BJ244-SUM(AO244:AQ244)))</f>
        <v/>
      </c>
      <c r="BC244" s="91">
        <f>MAX(0,AS244-MAX(0,BJ244-SUM(AO244:AR244)))</f>
        <v/>
      </c>
      <c r="BD244" s="91">
        <f>MAX(0,AT244-MAX(0,BJ244-SUM(AO244:AS244)))</f>
        <v/>
      </c>
      <c r="BE244" s="91">
        <f>MAX(0,AU244-MAX(0,BJ244-SUM(AO244:AT244)))</f>
        <v/>
      </c>
      <c r="BF244" s="91">
        <f>MAX(0,AV244-MAX(0,BJ244-SUM(AO244:AU244)))</f>
        <v/>
      </c>
      <c r="BG244" s="91">
        <f>MAX(0,AW244-MAX(0,BJ244-SUM(AO244:AV244)))</f>
        <v/>
      </c>
      <c r="BH244" s="91">
        <f>MAX(0,AX244-MAX(0,BJ244-SUM(AO244:AW244)))</f>
        <v/>
      </c>
      <c r="BI244" s="92">
        <f>SUM(AY243:BH243)+BK244</f>
        <v/>
      </c>
      <c r="BJ244" s="92">
        <f>$BJ$7-(BI244-SUM(AO244:AX244))</f>
        <v/>
      </c>
      <c r="BK244" s="91">
        <f>SUMPRODUCT(AY243:BH243,$AY$6:$BH$6)/12</f>
        <v/>
      </c>
      <c r="BL244" s="88">
        <f>SUM(AY244:BH244)</f>
        <v/>
      </c>
    </row>
    <row r="245">
      <c r="A245" s="24" t="n">
        <v>235</v>
      </c>
      <c r="B245" s="90">
        <f>DATE(YEAR(Settings!$C$11),MONTH(Settings!$C$11)+A245,1)</f>
        <v/>
      </c>
      <c r="C245" s="91">
        <f>IF(C244&lt;0.005,0,MAX(0,C244*(1+C$6/12)-C$7))</f>
        <v/>
      </c>
      <c r="D245" s="91">
        <f>IF(D244&lt;0.005,0,MAX(0,D244*(1+D$6/12)-D$7))</f>
        <v/>
      </c>
      <c r="E245" s="91">
        <f>IF(E244&lt;0.005,0,MAX(0,E244*(1+E$6/12)-E$7))</f>
        <v/>
      </c>
      <c r="F245" s="91">
        <f>IF(F244&lt;0.005,0,MAX(0,F244*(1+F$6/12)-F$7))</f>
        <v/>
      </c>
      <c r="G245" s="91">
        <f>IF(G244&lt;0.005,0,MAX(0,G244*(1+G$6/12)-G$7))</f>
        <v/>
      </c>
      <c r="H245" s="91">
        <f>IF(H244&lt;0.005,0,MAX(0,H244*(1+H$6/12)-H$7))</f>
        <v/>
      </c>
      <c r="I245" s="91">
        <f>IF(I244&lt;0.005,0,MAX(0,I244*(1+I$6/12)-I$7))</f>
        <v/>
      </c>
      <c r="J245" s="91">
        <f>IF(J244&lt;0.005,0,MAX(0,J244*(1+J$6/12)-J$7))</f>
        <v/>
      </c>
      <c r="K245" s="91">
        <f>IF(K244&lt;0.005,0,MAX(0,K244*(1+K$6/12)-K$7))</f>
        <v/>
      </c>
      <c r="L245" s="91">
        <f>IF(L244&lt;0.005,0,MAX(0,L244*(1+L$6/12)-L$7))</f>
        <v/>
      </c>
      <c r="M245" s="91">
        <f>SUMPRODUCT(C244:L244,$C$6:$L$6)/12</f>
        <v/>
      </c>
      <c r="N245" s="88">
        <f>SUM(C245:L245)</f>
        <v/>
      </c>
      <c r="P245" s="92">
        <f>IF(Z244&lt;0.005,0,MAX(0,Z244*(1+Z$6/12)-Z$7))</f>
        <v/>
      </c>
      <c r="Q245" s="92">
        <f>IF(AA244&lt;0.005,0,MAX(0,AA244*(1+AA$6/12)-AA$7))</f>
        <v/>
      </c>
      <c r="R245" s="92">
        <f>IF(AB244&lt;0.005,0,MAX(0,AB244*(1+AB$6/12)-AB$7))</f>
        <v/>
      </c>
      <c r="S245" s="92">
        <f>IF(AC244&lt;0.005,0,MAX(0,AC244*(1+AC$6/12)-AC$7))</f>
        <v/>
      </c>
      <c r="T245" s="92">
        <f>IF(AD244&lt;0.005,0,MAX(0,AD244*(1+AD$6/12)-AD$7))</f>
        <v/>
      </c>
      <c r="U245" s="92">
        <f>IF(AE244&lt;0.005,0,MAX(0,AE244*(1+AE$6/12)-AE$7))</f>
        <v/>
      </c>
      <c r="V245" s="92">
        <f>IF(AF244&lt;0.005,0,MAX(0,AF244*(1+AF$6/12)-AF$7))</f>
        <v/>
      </c>
      <c r="W245" s="92">
        <f>IF(AG244&lt;0.005,0,MAX(0,AG244*(1+AG$6/12)-AG$7))</f>
        <v/>
      </c>
      <c r="X245" s="92">
        <f>IF(AH244&lt;0.005,0,MAX(0,AH244*(1+AH$6/12)-AH$7))</f>
        <v/>
      </c>
      <c r="Y245" s="92">
        <f>IF(AI244&lt;0.005,0,MAX(0,AI244*(1+AI$6/12)-AI$7))</f>
        <v/>
      </c>
      <c r="Z245" s="91">
        <f>MAX(0,P245-MAX(0,AK245-0))</f>
        <v/>
      </c>
      <c r="AA245" s="91">
        <f>MAX(0,Q245-MAX(0,AK245-SUM(P245:P245)))</f>
        <v/>
      </c>
      <c r="AB245" s="91">
        <f>MAX(0,R245-MAX(0,AK245-SUM(P245:Q245)))</f>
        <v/>
      </c>
      <c r="AC245" s="91">
        <f>MAX(0,S245-MAX(0,AK245-SUM(P245:R245)))</f>
        <v/>
      </c>
      <c r="AD245" s="91">
        <f>MAX(0,T245-MAX(0,AK245-SUM(P245:S245)))</f>
        <v/>
      </c>
      <c r="AE245" s="91">
        <f>MAX(0,U245-MAX(0,AK245-SUM(P245:T245)))</f>
        <v/>
      </c>
      <c r="AF245" s="91">
        <f>MAX(0,V245-MAX(0,AK245-SUM(P245:U245)))</f>
        <v/>
      </c>
      <c r="AG245" s="91">
        <f>MAX(0,W245-MAX(0,AK245-SUM(P245:V245)))</f>
        <v/>
      </c>
      <c r="AH245" s="91">
        <f>MAX(0,X245-MAX(0,AK245-SUM(P245:W245)))</f>
        <v/>
      </c>
      <c r="AI245" s="91">
        <f>MAX(0,Y245-MAX(0,AK245-SUM(P245:X245)))</f>
        <v/>
      </c>
      <c r="AJ245" s="92">
        <f>SUM(Z244:AI244)+AL245</f>
        <v/>
      </c>
      <c r="AK245" s="92">
        <f>$AK$7-(AJ245-SUM(P245:Y245))</f>
        <v/>
      </c>
      <c r="AL245" s="91">
        <f>SUMPRODUCT(Z244:AI244,$Z$6:$AI$6)/12</f>
        <v/>
      </c>
      <c r="AM245" s="88">
        <f>SUM(Z245:AI245)</f>
        <v/>
      </c>
      <c r="AO245" s="92">
        <f>IF(AY244&lt;0.005,0,MAX(0,AY244*(1+AY$6/12)-AY$7))</f>
        <v/>
      </c>
      <c r="AP245" s="92">
        <f>IF(AZ244&lt;0.005,0,MAX(0,AZ244*(1+AZ$6/12)-AZ$7))</f>
        <v/>
      </c>
      <c r="AQ245" s="92">
        <f>IF(BA244&lt;0.005,0,MAX(0,BA244*(1+BA$6/12)-BA$7))</f>
        <v/>
      </c>
      <c r="AR245" s="92">
        <f>IF(BB244&lt;0.005,0,MAX(0,BB244*(1+BB$6/12)-BB$7))</f>
        <v/>
      </c>
      <c r="AS245" s="92">
        <f>IF(BC244&lt;0.005,0,MAX(0,BC244*(1+BC$6/12)-BC$7))</f>
        <v/>
      </c>
      <c r="AT245" s="92">
        <f>IF(BD244&lt;0.005,0,MAX(0,BD244*(1+BD$6/12)-BD$7))</f>
        <v/>
      </c>
      <c r="AU245" s="92">
        <f>IF(BE244&lt;0.005,0,MAX(0,BE244*(1+BE$6/12)-BE$7))</f>
        <v/>
      </c>
      <c r="AV245" s="92">
        <f>IF(BF244&lt;0.005,0,MAX(0,BF244*(1+BF$6/12)-BF$7))</f>
        <v/>
      </c>
      <c r="AW245" s="92">
        <f>IF(BG244&lt;0.005,0,MAX(0,BG244*(1+BG$6/12)-BG$7))</f>
        <v/>
      </c>
      <c r="AX245" s="92">
        <f>IF(BH244&lt;0.005,0,MAX(0,BH244*(1+BH$6/12)-BH$7))</f>
        <v/>
      </c>
      <c r="AY245" s="91">
        <f>MAX(0,AO245-MAX(0,BJ245-0))</f>
        <v/>
      </c>
      <c r="AZ245" s="91">
        <f>MAX(0,AP245-MAX(0,BJ245-SUM(AO245:AO245)))</f>
        <v/>
      </c>
      <c r="BA245" s="91">
        <f>MAX(0,AQ245-MAX(0,BJ245-SUM(AO245:AP245)))</f>
        <v/>
      </c>
      <c r="BB245" s="91">
        <f>MAX(0,AR245-MAX(0,BJ245-SUM(AO245:AQ245)))</f>
        <v/>
      </c>
      <c r="BC245" s="91">
        <f>MAX(0,AS245-MAX(0,BJ245-SUM(AO245:AR245)))</f>
        <v/>
      </c>
      <c r="BD245" s="91">
        <f>MAX(0,AT245-MAX(0,BJ245-SUM(AO245:AS245)))</f>
        <v/>
      </c>
      <c r="BE245" s="91">
        <f>MAX(0,AU245-MAX(0,BJ245-SUM(AO245:AT245)))</f>
        <v/>
      </c>
      <c r="BF245" s="91">
        <f>MAX(0,AV245-MAX(0,BJ245-SUM(AO245:AU245)))</f>
        <v/>
      </c>
      <c r="BG245" s="91">
        <f>MAX(0,AW245-MAX(0,BJ245-SUM(AO245:AV245)))</f>
        <v/>
      </c>
      <c r="BH245" s="91">
        <f>MAX(0,AX245-MAX(0,BJ245-SUM(AO245:AW245)))</f>
        <v/>
      </c>
      <c r="BI245" s="92">
        <f>SUM(AY244:BH244)+BK245</f>
        <v/>
      </c>
      <c r="BJ245" s="92">
        <f>$BJ$7-(BI245-SUM(AO245:AX245))</f>
        <v/>
      </c>
      <c r="BK245" s="91">
        <f>SUMPRODUCT(AY244:BH244,$AY$6:$BH$6)/12</f>
        <v/>
      </c>
      <c r="BL245" s="88">
        <f>SUM(AY245:BH245)</f>
        <v/>
      </c>
    </row>
    <row r="246">
      <c r="A246" s="24" t="n">
        <v>236</v>
      </c>
      <c r="B246" s="90">
        <f>DATE(YEAR(Settings!$C$11),MONTH(Settings!$C$11)+A246,1)</f>
        <v/>
      </c>
      <c r="C246" s="91">
        <f>IF(C245&lt;0.005,0,MAX(0,C245*(1+C$6/12)-C$7))</f>
        <v/>
      </c>
      <c r="D246" s="91">
        <f>IF(D245&lt;0.005,0,MAX(0,D245*(1+D$6/12)-D$7))</f>
        <v/>
      </c>
      <c r="E246" s="91">
        <f>IF(E245&lt;0.005,0,MAX(0,E245*(1+E$6/12)-E$7))</f>
        <v/>
      </c>
      <c r="F246" s="91">
        <f>IF(F245&lt;0.005,0,MAX(0,F245*(1+F$6/12)-F$7))</f>
        <v/>
      </c>
      <c r="G246" s="91">
        <f>IF(G245&lt;0.005,0,MAX(0,G245*(1+G$6/12)-G$7))</f>
        <v/>
      </c>
      <c r="H246" s="91">
        <f>IF(H245&lt;0.005,0,MAX(0,H245*(1+H$6/12)-H$7))</f>
        <v/>
      </c>
      <c r="I246" s="91">
        <f>IF(I245&lt;0.005,0,MAX(0,I245*(1+I$6/12)-I$7))</f>
        <v/>
      </c>
      <c r="J246" s="91">
        <f>IF(J245&lt;0.005,0,MAX(0,J245*(1+J$6/12)-J$7))</f>
        <v/>
      </c>
      <c r="K246" s="91">
        <f>IF(K245&lt;0.005,0,MAX(0,K245*(1+K$6/12)-K$7))</f>
        <v/>
      </c>
      <c r="L246" s="91">
        <f>IF(L245&lt;0.005,0,MAX(0,L245*(1+L$6/12)-L$7))</f>
        <v/>
      </c>
      <c r="M246" s="91">
        <f>SUMPRODUCT(C245:L245,$C$6:$L$6)/12</f>
        <v/>
      </c>
      <c r="N246" s="88">
        <f>SUM(C246:L246)</f>
        <v/>
      </c>
      <c r="P246" s="92">
        <f>IF(Z245&lt;0.005,0,MAX(0,Z245*(1+Z$6/12)-Z$7))</f>
        <v/>
      </c>
      <c r="Q246" s="92">
        <f>IF(AA245&lt;0.005,0,MAX(0,AA245*(1+AA$6/12)-AA$7))</f>
        <v/>
      </c>
      <c r="R246" s="92">
        <f>IF(AB245&lt;0.005,0,MAX(0,AB245*(1+AB$6/12)-AB$7))</f>
        <v/>
      </c>
      <c r="S246" s="92">
        <f>IF(AC245&lt;0.005,0,MAX(0,AC245*(1+AC$6/12)-AC$7))</f>
        <v/>
      </c>
      <c r="T246" s="92">
        <f>IF(AD245&lt;0.005,0,MAX(0,AD245*(1+AD$6/12)-AD$7))</f>
        <v/>
      </c>
      <c r="U246" s="92">
        <f>IF(AE245&lt;0.005,0,MAX(0,AE245*(1+AE$6/12)-AE$7))</f>
        <v/>
      </c>
      <c r="V246" s="92">
        <f>IF(AF245&lt;0.005,0,MAX(0,AF245*(1+AF$6/12)-AF$7))</f>
        <v/>
      </c>
      <c r="W246" s="92">
        <f>IF(AG245&lt;0.005,0,MAX(0,AG245*(1+AG$6/12)-AG$7))</f>
        <v/>
      </c>
      <c r="X246" s="92">
        <f>IF(AH245&lt;0.005,0,MAX(0,AH245*(1+AH$6/12)-AH$7))</f>
        <v/>
      </c>
      <c r="Y246" s="92">
        <f>IF(AI245&lt;0.005,0,MAX(0,AI245*(1+AI$6/12)-AI$7))</f>
        <v/>
      </c>
      <c r="Z246" s="91">
        <f>MAX(0,P246-MAX(0,AK246-0))</f>
        <v/>
      </c>
      <c r="AA246" s="91">
        <f>MAX(0,Q246-MAX(0,AK246-SUM(P246:P246)))</f>
        <v/>
      </c>
      <c r="AB246" s="91">
        <f>MAX(0,R246-MAX(0,AK246-SUM(P246:Q246)))</f>
        <v/>
      </c>
      <c r="AC246" s="91">
        <f>MAX(0,S246-MAX(0,AK246-SUM(P246:R246)))</f>
        <v/>
      </c>
      <c r="AD246" s="91">
        <f>MAX(0,T246-MAX(0,AK246-SUM(P246:S246)))</f>
        <v/>
      </c>
      <c r="AE246" s="91">
        <f>MAX(0,U246-MAX(0,AK246-SUM(P246:T246)))</f>
        <v/>
      </c>
      <c r="AF246" s="91">
        <f>MAX(0,V246-MAX(0,AK246-SUM(P246:U246)))</f>
        <v/>
      </c>
      <c r="AG246" s="91">
        <f>MAX(0,W246-MAX(0,AK246-SUM(P246:V246)))</f>
        <v/>
      </c>
      <c r="AH246" s="91">
        <f>MAX(0,X246-MAX(0,AK246-SUM(P246:W246)))</f>
        <v/>
      </c>
      <c r="AI246" s="91">
        <f>MAX(0,Y246-MAX(0,AK246-SUM(P246:X246)))</f>
        <v/>
      </c>
      <c r="AJ246" s="92">
        <f>SUM(Z245:AI245)+AL246</f>
        <v/>
      </c>
      <c r="AK246" s="92">
        <f>$AK$7-(AJ246-SUM(P246:Y246))</f>
        <v/>
      </c>
      <c r="AL246" s="91">
        <f>SUMPRODUCT(Z245:AI245,$Z$6:$AI$6)/12</f>
        <v/>
      </c>
      <c r="AM246" s="88">
        <f>SUM(Z246:AI246)</f>
        <v/>
      </c>
      <c r="AO246" s="92">
        <f>IF(AY245&lt;0.005,0,MAX(0,AY245*(1+AY$6/12)-AY$7))</f>
        <v/>
      </c>
      <c r="AP246" s="92">
        <f>IF(AZ245&lt;0.005,0,MAX(0,AZ245*(1+AZ$6/12)-AZ$7))</f>
        <v/>
      </c>
      <c r="AQ246" s="92">
        <f>IF(BA245&lt;0.005,0,MAX(0,BA245*(1+BA$6/12)-BA$7))</f>
        <v/>
      </c>
      <c r="AR246" s="92">
        <f>IF(BB245&lt;0.005,0,MAX(0,BB245*(1+BB$6/12)-BB$7))</f>
        <v/>
      </c>
      <c r="AS246" s="92">
        <f>IF(BC245&lt;0.005,0,MAX(0,BC245*(1+BC$6/12)-BC$7))</f>
        <v/>
      </c>
      <c r="AT246" s="92">
        <f>IF(BD245&lt;0.005,0,MAX(0,BD245*(1+BD$6/12)-BD$7))</f>
        <v/>
      </c>
      <c r="AU246" s="92">
        <f>IF(BE245&lt;0.005,0,MAX(0,BE245*(1+BE$6/12)-BE$7))</f>
        <v/>
      </c>
      <c r="AV246" s="92">
        <f>IF(BF245&lt;0.005,0,MAX(0,BF245*(1+BF$6/12)-BF$7))</f>
        <v/>
      </c>
      <c r="AW246" s="92">
        <f>IF(BG245&lt;0.005,0,MAX(0,BG245*(1+BG$6/12)-BG$7))</f>
        <v/>
      </c>
      <c r="AX246" s="92">
        <f>IF(BH245&lt;0.005,0,MAX(0,BH245*(1+BH$6/12)-BH$7))</f>
        <v/>
      </c>
      <c r="AY246" s="91">
        <f>MAX(0,AO246-MAX(0,BJ246-0))</f>
        <v/>
      </c>
      <c r="AZ246" s="91">
        <f>MAX(0,AP246-MAX(0,BJ246-SUM(AO246:AO246)))</f>
        <v/>
      </c>
      <c r="BA246" s="91">
        <f>MAX(0,AQ246-MAX(0,BJ246-SUM(AO246:AP246)))</f>
        <v/>
      </c>
      <c r="BB246" s="91">
        <f>MAX(0,AR246-MAX(0,BJ246-SUM(AO246:AQ246)))</f>
        <v/>
      </c>
      <c r="BC246" s="91">
        <f>MAX(0,AS246-MAX(0,BJ246-SUM(AO246:AR246)))</f>
        <v/>
      </c>
      <c r="BD246" s="91">
        <f>MAX(0,AT246-MAX(0,BJ246-SUM(AO246:AS246)))</f>
        <v/>
      </c>
      <c r="BE246" s="91">
        <f>MAX(0,AU246-MAX(0,BJ246-SUM(AO246:AT246)))</f>
        <v/>
      </c>
      <c r="BF246" s="91">
        <f>MAX(0,AV246-MAX(0,BJ246-SUM(AO246:AU246)))</f>
        <v/>
      </c>
      <c r="BG246" s="91">
        <f>MAX(0,AW246-MAX(0,BJ246-SUM(AO246:AV246)))</f>
        <v/>
      </c>
      <c r="BH246" s="91">
        <f>MAX(0,AX246-MAX(0,BJ246-SUM(AO246:AW246)))</f>
        <v/>
      </c>
      <c r="BI246" s="92">
        <f>SUM(AY245:BH245)+BK246</f>
        <v/>
      </c>
      <c r="BJ246" s="92">
        <f>$BJ$7-(BI246-SUM(AO246:AX246))</f>
        <v/>
      </c>
      <c r="BK246" s="91">
        <f>SUMPRODUCT(AY245:BH245,$AY$6:$BH$6)/12</f>
        <v/>
      </c>
      <c r="BL246" s="88">
        <f>SUM(AY246:BH246)</f>
        <v/>
      </c>
    </row>
    <row r="247">
      <c r="A247" s="24" t="n">
        <v>237</v>
      </c>
      <c r="B247" s="90">
        <f>DATE(YEAR(Settings!$C$11),MONTH(Settings!$C$11)+A247,1)</f>
        <v/>
      </c>
      <c r="C247" s="91">
        <f>IF(C246&lt;0.005,0,MAX(0,C246*(1+C$6/12)-C$7))</f>
        <v/>
      </c>
      <c r="D247" s="91">
        <f>IF(D246&lt;0.005,0,MAX(0,D246*(1+D$6/12)-D$7))</f>
        <v/>
      </c>
      <c r="E247" s="91">
        <f>IF(E246&lt;0.005,0,MAX(0,E246*(1+E$6/12)-E$7))</f>
        <v/>
      </c>
      <c r="F247" s="91">
        <f>IF(F246&lt;0.005,0,MAX(0,F246*(1+F$6/12)-F$7))</f>
        <v/>
      </c>
      <c r="G247" s="91">
        <f>IF(G246&lt;0.005,0,MAX(0,G246*(1+G$6/12)-G$7))</f>
        <v/>
      </c>
      <c r="H247" s="91">
        <f>IF(H246&lt;0.005,0,MAX(0,H246*(1+H$6/12)-H$7))</f>
        <v/>
      </c>
      <c r="I247" s="91">
        <f>IF(I246&lt;0.005,0,MAX(0,I246*(1+I$6/12)-I$7))</f>
        <v/>
      </c>
      <c r="J247" s="91">
        <f>IF(J246&lt;0.005,0,MAX(0,J246*(1+J$6/12)-J$7))</f>
        <v/>
      </c>
      <c r="K247" s="91">
        <f>IF(K246&lt;0.005,0,MAX(0,K246*(1+K$6/12)-K$7))</f>
        <v/>
      </c>
      <c r="L247" s="91">
        <f>IF(L246&lt;0.005,0,MAX(0,L246*(1+L$6/12)-L$7))</f>
        <v/>
      </c>
      <c r="M247" s="91">
        <f>SUMPRODUCT(C246:L246,$C$6:$L$6)/12</f>
        <v/>
      </c>
      <c r="N247" s="88">
        <f>SUM(C247:L247)</f>
        <v/>
      </c>
      <c r="P247" s="92">
        <f>IF(Z246&lt;0.005,0,MAX(0,Z246*(1+Z$6/12)-Z$7))</f>
        <v/>
      </c>
      <c r="Q247" s="92">
        <f>IF(AA246&lt;0.005,0,MAX(0,AA246*(1+AA$6/12)-AA$7))</f>
        <v/>
      </c>
      <c r="R247" s="92">
        <f>IF(AB246&lt;0.005,0,MAX(0,AB246*(1+AB$6/12)-AB$7))</f>
        <v/>
      </c>
      <c r="S247" s="92">
        <f>IF(AC246&lt;0.005,0,MAX(0,AC246*(1+AC$6/12)-AC$7))</f>
        <v/>
      </c>
      <c r="T247" s="92">
        <f>IF(AD246&lt;0.005,0,MAX(0,AD246*(1+AD$6/12)-AD$7))</f>
        <v/>
      </c>
      <c r="U247" s="92">
        <f>IF(AE246&lt;0.005,0,MAX(0,AE246*(1+AE$6/12)-AE$7))</f>
        <v/>
      </c>
      <c r="V247" s="92">
        <f>IF(AF246&lt;0.005,0,MAX(0,AF246*(1+AF$6/12)-AF$7))</f>
        <v/>
      </c>
      <c r="W247" s="92">
        <f>IF(AG246&lt;0.005,0,MAX(0,AG246*(1+AG$6/12)-AG$7))</f>
        <v/>
      </c>
      <c r="X247" s="92">
        <f>IF(AH246&lt;0.005,0,MAX(0,AH246*(1+AH$6/12)-AH$7))</f>
        <v/>
      </c>
      <c r="Y247" s="92">
        <f>IF(AI246&lt;0.005,0,MAX(0,AI246*(1+AI$6/12)-AI$7))</f>
        <v/>
      </c>
      <c r="Z247" s="91">
        <f>MAX(0,P247-MAX(0,AK247-0))</f>
        <v/>
      </c>
      <c r="AA247" s="91">
        <f>MAX(0,Q247-MAX(0,AK247-SUM(P247:P247)))</f>
        <v/>
      </c>
      <c r="AB247" s="91">
        <f>MAX(0,R247-MAX(0,AK247-SUM(P247:Q247)))</f>
        <v/>
      </c>
      <c r="AC247" s="91">
        <f>MAX(0,S247-MAX(0,AK247-SUM(P247:R247)))</f>
        <v/>
      </c>
      <c r="AD247" s="91">
        <f>MAX(0,T247-MAX(0,AK247-SUM(P247:S247)))</f>
        <v/>
      </c>
      <c r="AE247" s="91">
        <f>MAX(0,U247-MAX(0,AK247-SUM(P247:T247)))</f>
        <v/>
      </c>
      <c r="AF247" s="91">
        <f>MAX(0,V247-MAX(0,AK247-SUM(P247:U247)))</f>
        <v/>
      </c>
      <c r="AG247" s="91">
        <f>MAX(0,W247-MAX(0,AK247-SUM(P247:V247)))</f>
        <v/>
      </c>
      <c r="AH247" s="91">
        <f>MAX(0,X247-MAX(0,AK247-SUM(P247:W247)))</f>
        <v/>
      </c>
      <c r="AI247" s="91">
        <f>MAX(0,Y247-MAX(0,AK247-SUM(P247:X247)))</f>
        <v/>
      </c>
      <c r="AJ247" s="92">
        <f>SUM(Z246:AI246)+AL247</f>
        <v/>
      </c>
      <c r="AK247" s="92">
        <f>$AK$7-(AJ247-SUM(P247:Y247))</f>
        <v/>
      </c>
      <c r="AL247" s="91">
        <f>SUMPRODUCT(Z246:AI246,$Z$6:$AI$6)/12</f>
        <v/>
      </c>
      <c r="AM247" s="88">
        <f>SUM(Z247:AI247)</f>
        <v/>
      </c>
      <c r="AO247" s="92">
        <f>IF(AY246&lt;0.005,0,MAX(0,AY246*(1+AY$6/12)-AY$7))</f>
        <v/>
      </c>
      <c r="AP247" s="92">
        <f>IF(AZ246&lt;0.005,0,MAX(0,AZ246*(1+AZ$6/12)-AZ$7))</f>
        <v/>
      </c>
      <c r="AQ247" s="92">
        <f>IF(BA246&lt;0.005,0,MAX(0,BA246*(1+BA$6/12)-BA$7))</f>
        <v/>
      </c>
      <c r="AR247" s="92">
        <f>IF(BB246&lt;0.005,0,MAX(0,BB246*(1+BB$6/12)-BB$7))</f>
        <v/>
      </c>
      <c r="AS247" s="92">
        <f>IF(BC246&lt;0.005,0,MAX(0,BC246*(1+BC$6/12)-BC$7))</f>
        <v/>
      </c>
      <c r="AT247" s="92">
        <f>IF(BD246&lt;0.005,0,MAX(0,BD246*(1+BD$6/12)-BD$7))</f>
        <v/>
      </c>
      <c r="AU247" s="92">
        <f>IF(BE246&lt;0.005,0,MAX(0,BE246*(1+BE$6/12)-BE$7))</f>
        <v/>
      </c>
      <c r="AV247" s="92">
        <f>IF(BF246&lt;0.005,0,MAX(0,BF246*(1+BF$6/12)-BF$7))</f>
        <v/>
      </c>
      <c r="AW247" s="92">
        <f>IF(BG246&lt;0.005,0,MAX(0,BG246*(1+BG$6/12)-BG$7))</f>
        <v/>
      </c>
      <c r="AX247" s="92">
        <f>IF(BH246&lt;0.005,0,MAX(0,BH246*(1+BH$6/12)-BH$7))</f>
        <v/>
      </c>
      <c r="AY247" s="91">
        <f>MAX(0,AO247-MAX(0,BJ247-0))</f>
        <v/>
      </c>
      <c r="AZ247" s="91">
        <f>MAX(0,AP247-MAX(0,BJ247-SUM(AO247:AO247)))</f>
        <v/>
      </c>
      <c r="BA247" s="91">
        <f>MAX(0,AQ247-MAX(0,BJ247-SUM(AO247:AP247)))</f>
        <v/>
      </c>
      <c r="BB247" s="91">
        <f>MAX(0,AR247-MAX(0,BJ247-SUM(AO247:AQ247)))</f>
        <v/>
      </c>
      <c r="BC247" s="91">
        <f>MAX(0,AS247-MAX(0,BJ247-SUM(AO247:AR247)))</f>
        <v/>
      </c>
      <c r="BD247" s="91">
        <f>MAX(0,AT247-MAX(0,BJ247-SUM(AO247:AS247)))</f>
        <v/>
      </c>
      <c r="BE247" s="91">
        <f>MAX(0,AU247-MAX(0,BJ247-SUM(AO247:AT247)))</f>
        <v/>
      </c>
      <c r="BF247" s="91">
        <f>MAX(0,AV247-MAX(0,BJ247-SUM(AO247:AU247)))</f>
        <v/>
      </c>
      <c r="BG247" s="91">
        <f>MAX(0,AW247-MAX(0,BJ247-SUM(AO247:AV247)))</f>
        <v/>
      </c>
      <c r="BH247" s="91">
        <f>MAX(0,AX247-MAX(0,BJ247-SUM(AO247:AW247)))</f>
        <v/>
      </c>
      <c r="BI247" s="92">
        <f>SUM(AY246:BH246)+BK247</f>
        <v/>
      </c>
      <c r="BJ247" s="92">
        <f>$BJ$7-(BI247-SUM(AO247:AX247))</f>
        <v/>
      </c>
      <c r="BK247" s="91">
        <f>SUMPRODUCT(AY246:BH246,$AY$6:$BH$6)/12</f>
        <v/>
      </c>
      <c r="BL247" s="88">
        <f>SUM(AY247:BH247)</f>
        <v/>
      </c>
    </row>
    <row r="248">
      <c r="A248" s="24" t="n">
        <v>238</v>
      </c>
      <c r="B248" s="90">
        <f>DATE(YEAR(Settings!$C$11),MONTH(Settings!$C$11)+A248,1)</f>
        <v/>
      </c>
      <c r="C248" s="91">
        <f>IF(C247&lt;0.005,0,MAX(0,C247*(1+C$6/12)-C$7))</f>
        <v/>
      </c>
      <c r="D248" s="91">
        <f>IF(D247&lt;0.005,0,MAX(0,D247*(1+D$6/12)-D$7))</f>
        <v/>
      </c>
      <c r="E248" s="91">
        <f>IF(E247&lt;0.005,0,MAX(0,E247*(1+E$6/12)-E$7))</f>
        <v/>
      </c>
      <c r="F248" s="91">
        <f>IF(F247&lt;0.005,0,MAX(0,F247*(1+F$6/12)-F$7))</f>
        <v/>
      </c>
      <c r="G248" s="91">
        <f>IF(G247&lt;0.005,0,MAX(0,G247*(1+G$6/12)-G$7))</f>
        <v/>
      </c>
      <c r="H248" s="91">
        <f>IF(H247&lt;0.005,0,MAX(0,H247*(1+H$6/12)-H$7))</f>
        <v/>
      </c>
      <c r="I248" s="91">
        <f>IF(I247&lt;0.005,0,MAX(0,I247*(1+I$6/12)-I$7))</f>
        <v/>
      </c>
      <c r="J248" s="91">
        <f>IF(J247&lt;0.005,0,MAX(0,J247*(1+J$6/12)-J$7))</f>
        <v/>
      </c>
      <c r="K248" s="91">
        <f>IF(K247&lt;0.005,0,MAX(0,K247*(1+K$6/12)-K$7))</f>
        <v/>
      </c>
      <c r="L248" s="91">
        <f>IF(L247&lt;0.005,0,MAX(0,L247*(1+L$6/12)-L$7))</f>
        <v/>
      </c>
      <c r="M248" s="91">
        <f>SUMPRODUCT(C247:L247,$C$6:$L$6)/12</f>
        <v/>
      </c>
      <c r="N248" s="88">
        <f>SUM(C248:L248)</f>
        <v/>
      </c>
      <c r="P248" s="92">
        <f>IF(Z247&lt;0.005,0,MAX(0,Z247*(1+Z$6/12)-Z$7))</f>
        <v/>
      </c>
      <c r="Q248" s="92">
        <f>IF(AA247&lt;0.005,0,MAX(0,AA247*(1+AA$6/12)-AA$7))</f>
        <v/>
      </c>
      <c r="R248" s="92">
        <f>IF(AB247&lt;0.005,0,MAX(0,AB247*(1+AB$6/12)-AB$7))</f>
        <v/>
      </c>
      <c r="S248" s="92">
        <f>IF(AC247&lt;0.005,0,MAX(0,AC247*(1+AC$6/12)-AC$7))</f>
        <v/>
      </c>
      <c r="T248" s="92">
        <f>IF(AD247&lt;0.005,0,MAX(0,AD247*(1+AD$6/12)-AD$7))</f>
        <v/>
      </c>
      <c r="U248" s="92">
        <f>IF(AE247&lt;0.005,0,MAX(0,AE247*(1+AE$6/12)-AE$7))</f>
        <v/>
      </c>
      <c r="V248" s="92">
        <f>IF(AF247&lt;0.005,0,MAX(0,AF247*(1+AF$6/12)-AF$7))</f>
        <v/>
      </c>
      <c r="W248" s="92">
        <f>IF(AG247&lt;0.005,0,MAX(0,AG247*(1+AG$6/12)-AG$7))</f>
        <v/>
      </c>
      <c r="X248" s="92">
        <f>IF(AH247&lt;0.005,0,MAX(0,AH247*(1+AH$6/12)-AH$7))</f>
        <v/>
      </c>
      <c r="Y248" s="92">
        <f>IF(AI247&lt;0.005,0,MAX(0,AI247*(1+AI$6/12)-AI$7))</f>
        <v/>
      </c>
      <c r="Z248" s="91">
        <f>MAX(0,P248-MAX(0,AK248-0))</f>
        <v/>
      </c>
      <c r="AA248" s="91">
        <f>MAX(0,Q248-MAX(0,AK248-SUM(P248:P248)))</f>
        <v/>
      </c>
      <c r="AB248" s="91">
        <f>MAX(0,R248-MAX(0,AK248-SUM(P248:Q248)))</f>
        <v/>
      </c>
      <c r="AC248" s="91">
        <f>MAX(0,S248-MAX(0,AK248-SUM(P248:R248)))</f>
        <v/>
      </c>
      <c r="AD248" s="91">
        <f>MAX(0,T248-MAX(0,AK248-SUM(P248:S248)))</f>
        <v/>
      </c>
      <c r="AE248" s="91">
        <f>MAX(0,U248-MAX(0,AK248-SUM(P248:T248)))</f>
        <v/>
      </c>
      <c r="AF248" s="91">
        <f>MAX(0,V248-MAX(0,AK248-SUM(P248:U248)))</f>
        <v/>
      </c>
      <c r="AG248" s="91">
        <f>MAX(0,W248-MAX(0,AK248-SUM(P248:V248)))</f>
        <v/>
      </c>
      <c r="AH248" s="91">
        <f>MAX(0,X248-MAX(0,AK248-SUM(P248:W248)))</f>
        <v/>
      </c>
      <c r="AI248" s="91">
        <f>MAX(0,Y248-MAX(0,AK248-SUM(P248:X248)))</f>
        <v/>
      </c>
      <c r="AJ248" s="92">
        <f>SUM(Z247:AI247)+AL248</f>
        <v/>
      </c>
      <c r="AK248" s="92">
        <f>$AK$7-(AJ248-SUM(P248:Y248))</f>
        <v/>
      </c>
      <c r="AL248" s="91">
        <f>SUMPRODUCT(Z247:AI247,$Z$6:$AI$6)/12</f>
        <v/>
      </c>
      <c r="AM248" s="88">
        <f>SUM(Z248:AI248)</f>
        <v/>
      </c>
      <c r="AO248" s="92">
        <f>IF(AY247&lt;0.005,0,MAX(0,AY247*(1+AY$6/12)-AY$7))</f>
        <v/>
      </c>
      <c r="AP248" s="92">
        <f>IF(AZ247&lt;0.005,0,MAX(0,AZ247*(1+AZ$6/12)-AZ$7))</f>
        <v/>
      </c>
      <c r="AQ248" s="92">
        <f>IF(BA247&lt;0.005,0,MAX(0,BA247*(1+BA$6/12)-BA$7))</f>
        <v/>
      </c>
      <c r="AR248" s="92">
        <f>IF(BB247&lt;0.005,0,MAX(0,BB247*(1+BB$6/12)-BB$7))</f>
        <v/>
      </c>
      <c r="AS248" s="92">
        <f>IF(BC247&lt;0.005,0,MAX(0,BC247*(1+BC$6/12)-BC$7))</f>
        <v/>
      </c>
      <c r="AT248" s="92">
        <f>IF(BD247&lt;0.005,0,MAX(0,BD247*(1+BD$6/12)-BD$7))</f>
        <v/>
      </c>
      <c r="AU248" s="92">
        <f>IF(BE247&lt;0.005,0,MAX(0,BE247*(1+BE$6/12)-BE$7))</f>
        <v/>
      </c>
      <c r="AV248" s="92">
        <f>IF(BF247&lt;0.005,0,MAX(0,BF247*(1+BF$6/12)-BF$7))</f>
        <v/>
      </c>
      <c r="AW248" s="92">
        <f>IF(BG247&lt;0.005,0,MAX(0,BG247*(1+BG$6/12)-BG$7))</f>
        <v/>
      </c>
      <c r="AX248" s="92">
        <f>IF(BH247&lt;0.005,0,MAX(0,BH247*(1+BH$6/12)-BH$7))</f>
        <v/>
      </c>
      <c r="AY248" s="91">
        <f>MAX(0,AO248-MAX(0,BJ248-0))</f>
        <v/>
      </c>
      <c r="AZ248" s="91">
        <f>MAX(0,AP248-MAX(0,BJ248-SUM(AO248:AO248)))</f>
        <v/>
      </c>
      <c r="BA248" s="91">
        <f>MAX(0,AQ248-MAX(0,BJ248-SUM(AO248:AP248)))</f>
        <v/>
      </c>
      <c r="BB248" s="91">
        <f>MAX(0,AR248-MAX(0,BJ248-SUM(AO248:AQ248)))</f>
        <v/>
      </c>
      <c r="BC248" s="91">
        <f>MAX(0,AS248-MAX(0,BJ248-SUM(AO248:AR248)))</f>
        <v/>
      </c>
      <c r="BD248" s="91">
        <f>MAX(0,AT248-MAX(0,BJ248-SUM(AO248:AS248)))</f>
        <v/>
      </c>
      <c r="BE248" s="91">
        <f>MAX(0,AU248-MAX(0,BJ248-SUM(AO248:AT248)))</f>
        <v/>
      </c>
      <c r="BF248" s="91">
        <f>MAX(0,AV248-MAX(0,BJ248-SUM(AO248:AU248)))</f>
        <v/>
      </c>
      <c r="BG248" s="91">
        <f>MAX(0,AW248-MAX(0,BJ248-SUM(AO248:AV248)))</f>
        <v/>
      </c>
      <c r="BH248" s="91">
        <f>MAX(0,AX248-MAX(0,BJ248-SUM(AO248:AW248)))</f>
        <v/>
      </c>
      <c r="BI248" s="92">
        <f>SUM(AY247:BH247)+BK248</f>
        <v/>
      </c>
      <c r="BJ248" s="92">
        <f>$BJ$7-(BI248-SUM(AO248:AX248))</f>
        <v/>
      </c>
      <c r="BK248" s="91">
        <f>SUMPRODUCT(AY247:BH247,$AY$6:$BH$6)/12</f>
        <v/>
      </c>
      <c r="BL248" s="88">
        <f>SUM(AY248:BH248)</f>
        <v/>
      </c>
    </row>
    <row r="249">
      <c r="A249" s="24" t="n">
        <v>239</v>
      </c>
      <c r="B249" s="90">
        <f>DATE(YEAR(Settings!$C$11),MONTH(Settings!$C$11)+A249,1)</f>
        <v/>
      </c>
      <c r="C249" s="91">
        <f>IF(C248&lt;0.005,0,MAX(0,C248*(1+C$6/12)-C$7))</f>
        <v/>
      </c>
      <c r="D249" s="91">
        <f>IF(D248&lt;0.005,0,MAX(0,D248*(1+D$6/12)-D$7))</f>
        <v/>
      </c>
      <c r="E249" s="91">
        <f>IF(E248&lt;0.005,0,MAX(0,E248*(1+E$6/12)-E$7))</f>
        <v/>
      </c>
      <c r="F249" s="91">
        <f>IF(F248&lt;0.005,0,MAX(0,F248*(1+F$6/12)-F$7))</f>
        <v/>
      </c>
      <c r="G249" s="91">
        <f>IF(G248&lt;0.005,0,MAX(0,G248*(1+G$6/12)-G$7))</f>
        <v/>
      </c>
      <c r="H249" s="91">
        <f>IF(H248&lt;0.005,0,MAX(0,H248*(1+H$6/12)-H$7))</f>
        <v/>
      </c>
      <c r="I249" s="91">
        <f>IF(I248&lt;0.005,0,MAX(0,I248*(1+I$6/12)-I$7))</f>
        <v/>
      </c>
      <c r="J249" s="91">
        <f>IF(J248&lt;0.005,0,MAX(0,J248*(1+J$6/12)-J$7))</f>
        <v/>
      </c>
      <c r="K249" s="91">
        <f>IF(K248&lt;0.005,0,MAX(0,K248*(1+K$6/12)-K$7))</f>
        <v/>
      </c>
      <c r="L249" s="91">
        <f>IF(L248&lt;0.005,0,MAX(0,L248*(1+L$6/12)-L$7))</f>
        <v/>
      </c>
      <c r="M249" s="91">
        <f>SUMPRODUCT(C248:L248,$C$6:$L$6)/12</f>
        <v/>
      </c>
      <c r="N249" s="88">
        <f>SUM(C249:L249)</f>
        <v/>
      </c>
      <c r="P249" s="92">
        <f>IF(Z248&lt;0.005,0,MAX(0,Z248*(1+Z$6/12)-Z$7))</f>
        <v/>
      </c>
      <c r="Q249" s="92">
        <f>IF(AA248&lt;0.005,0,MAX(0,AA248*(1+AA$6/12)-AA$7))</f>
        <v/>
      </c>
      <c r="R249" s="92">
        <f>IF(AB248&lt;0.005,0,MAX(0,AB248*(1+AB$6/12)-AB$7))</f>
        <v/>
      </c>
      <c r="S249" s="92">
        <f>IF(AC248&lt;0.005,0,MAX(0,AC248*(1+AC$6/12)-AC$7))</f>
        <v/>
      </c>
      <c r="T249" s="92">
        <f>IF(AD248&lt;0.005,0,MAX(0,AD248*(1+AD$6/12)-AD$7))</f>
        <v/>
      </c>
      <c r="U249" s="92">
        <f>IF(AE248&lt;0.005,0,MAX(0,AE248*(1+AE$6/12)-AE$7))</f>
        <v/>
      </c>
      <c r="V249" s="92">
        <f>IF(AF248&lt;0.005,0,MAX(0,AF248*(1+AF$6/12)-AF$7))</f>
        <v/>
      </c>
      <c r="W249" s="92">
        <f>IF(AG248&lt;0.005,0,MAX(0,AG248*(1+AG$6/12)-AG$7))</f>
        <v/>
      </c>
      <c r="X249" s="92">
        <f>IF(AH248&lt;0.005,0,MAX(0,AH248*(1+AH$6/12)-AH$7))</f>
        <v/>
      </c>
      <c r="Y249" s="92">
        <f>IF(AI248&lt;0.005,0,MAX(0,AI248*(1+AI$6/12)-AI$7))</f>
        <v/>
      </c>
      <c r="Z249" s="91">
        <f>MAX(0,P249-MAX(0,AK249-0))</f>
        <v/>
      </c>
      <c r="AA249" s="91">
        <f>MAX(0,Q249-MAX(0,AK249-SUM(P249:P249)))</f>
        <v/>
      </c>
      <c r="AB249" s="91">
        <f>MAX(0,R249-MAX(0,AK249-SUM(P249:Q249)))</f>
        <v/>
      </c>
      <c r="AC249" s="91">
        <f>MAX(0,S249-MAX(0,AK249-SUM(P249:R249)))</f>
        <v/>
      </c>
      <c r="AD249" s="91">
        <f>MAX(0,T249-MAX(0,AK249-SUM(P249:S249)))</f>
        <v/>
      </c>
      <c r="AE249" s="91">
        <f>MAX(0,U249-MAX(0,AK249-SUM(P249:T249)))</f>
        <v/>
      </c>
      <c r="AF249" s="91">
        <f>MAX(0,V249-MAX(0,AK249-SUM(P249:U249)))</f>
        <v/>
      </c>
      <c r="AG249" s="91">
        <f>MAX(0,W249-MAX(0,AK249-SUM(P249:V249)))</f>
        <v/>
      </c>
      <c r="AH249" s="91">
        <f>MAX(0,X249-MAX(0,AK249-SUM(P249:W249)))</f>
        <v/>
      </c>
      <c r="AI249" s="91">
        <f>MAX(0,Y249-MAX(0,AK249-SUM(P249:X249)))</f>
        <v/>
      </c>
      <c r="AJ249" s="92">
        <f>SUM(Z248:AI248)+AL249</f>
        <v/>
      </c>
      <c r="AK249" s="92">
        <f>$AK$7-(AJ249-SUM(P249:Y249))</f>
        <v/>
      </c>
      <c r="AL249" s="91">
        <f>SUMPRODUCT(Z248:AI248,$Z$6:$AI$6)/12</f>
        <v/>
      </c>
      <c r="AM249" s="88">
        <f>SUM(Z249:AI249)</f>
        <v/>
      </c>
      <c r="AO249" s="92">
        <f>IF(AY248&lt;0.005,0,MAX(0,AY248*(1+AY$6/12)-AY$7))</f>
        <v/>
      </c>
      <c r="AP249" s="92">
        <f>IF(AZ248&lt;0.005,0,MAX(0,AZ248*(1+AZ$6/12)-AZ$7))</f>
        <v/>
      </c>
      <c r="AQ249" s="92">
        <f>IF(BA248&lt;0.005,0,MAX(0,BA248*(1+BA$6/12)-BA$7))</f>
        <v/>
      </c>
      <c r="AR249" s="92">
        <f>IF(BB248&lt;0.005,0,MAX(0,BB248*(1+BB$6/12)-BB$7))</f>
        <v/>
      </c>
      <c r="AS249" s="92">
        <f>IF(BC248&lt;0.005,0,MAX(0,BC248*(1+BC$6/12)-BC$7))</f>
        <v/>
      </c>
      <c r="AT249" s="92">
        <f>IF(BD248&lt;0.005,0,MAX(0,BD248*(1+BD$6/12)-BD$7))</f>
        <v/>
      </c>
      <c r="AU249" s="92">
        <f>IF(BE248&lt;0.005,0,MAX(0,BE248*(1+BE$6/12)-BE$7))</f>
        <v/>
      </c>
      <c r="AV249" s="92">
        <f>IF(BF248&lt;0.005,0,MAX(0,BF248*(1+BF$6/12)-BF$7))</f>
        <v/>
      </c>
      <c r="AW249" s="92">
        <f>IF(BG248&lt;0.005,0,MAX(0,BG248*(1+BG$6/12)-BG$7))</f>
        <v/>
      </c>
      <c r="AX249" s="92">
        <f>IF(BH248&lt;0.005,0,MAX(0,BH248*(1+BH$6/12)-BH$7))</f>
        <v/>
      </c>
      <c r="AY249" s="91">
        <f>MAX(0,AO249-MAX(0,BJ249-0))</f>
        <v/>
      </c>
      <c r="AZ249" s="91">
        <f>MAX(0,AP249-MAX(0,BJ249-SUM(AO249:AO249)))</f>
        <v/>
      </c>
      <c r="BA249" s="91">
        <f>MAX(0,AQ249-MAX(0,BJ249-SUM(AO249:AP249)))</f>
        <v/>
      </c>
      <c r="BB249" s="91">
        <f>MAX(0,AR249-MAX(0,BJ249-SUM(AO249:AQ249)))</f>
        <v/>
      </c>
      <c r="BC249" s="91">
        <f>MAX(0,AS249-MAX(0,BJ249-SUM(AO249:AR249)))</f>
        <v/>
      </c>
      <c r="BD249" s="91">
        <f>MAX(0,AT249-MAX(0,BJ249-SUM(AO249:AS249)))</f>
        <v/>
      </c>
      <c r="BE249" s="91">
        <f>MAX(0,AU249-MAX(0,BJ249-SUM(AO249:AT249)))</f>
        <v/>
      </c>
      <c r="BF249" s="91">
        <f>MAX(0,AV249-MAX(0,BJ249-SUM(AO249:AU249)))</f>
        <v/>
      </c>
      <c r="BG249" s="91">
        <f>MAX(0,AW249-MAX(0,BJ249-SUM(AO249:AV249)))</f>
        <v/>
      </c>
      <c r="BH249" s="91">
        <f>MAX(0,AX249-MAX(0,BJ249-SUM(AO249:AW249)))</f>
        <v/>
      </c>
      <c r="BI249" s="92">
        <f>SUM(AY248:BH248)+BK249</f>
        <v/>
      </c>
      <c r="BJ249" s="92">
        <f>$BJ$7-(BI249-SUM(AO249:AX249))</f>
        <v/>
      </c>
      <c r="BK249" s="91">
        <f>SUMPRODUCT(AY248:BH248,$AY$6:$BH$6)/12</f>
        <v/>
      </c>
      <c r="BL249" s="88">
        <f>SUM(AY249:BH249)</f>
        <v/>
      </c>
    </row>
    <row r="250">
      <c r="A250" s="24" t="n">
        <v>240</v>
      </c>
      <c r="B250" s="90">
        <f>DATE(YEAR(Settings!$C$11),MONTH(Settings!$C$11)+A250,1)</f>
        <v/>
      </c>
      <c r="C250" s="91">
        <f>IF(C249&lt;0.005,0,MAX(0,C249*(1+C$6/12)-C$7))</f>
        <v/>
      </c>
      <c r="D250" s="91">
        <f>IF(D249&lt;0.005,0,MAX(0,D249*(1+D$6/12)-D$7))</f>
        <v/>
      </c>
      <c r="E250" s="91">
        <f>IF(E249&lt;0.005,0,MAX(0,E249*(1+E$6/12)-E$7))</f>
        <v/>
      </c>
      <c r="F250" s="91">
        <f>IF(F249&lt;0.005,0,MAX(0,F249*(1+F$6/12)-F$7))</f>
        <v/>
      </c>
      <c r="G250" s="91">
        <f>IF(G249&lt;0.005,0,MAX(0,G249*(1+G$6/12)-G$7))</f>
        <v/>
      </c>
      <c r="H250" s="91">
        <f>IF(H249&lt;0.005,0,MAX(0,H249*(1+H$6/12)-H$7))</f>
        <v/>
      </c>
      <c r="I250" s="91">
        <f>IF(I249&lt;0.005,0,MAX(0,I249*(1+I$6/12)-I$7))</f>
        <v/>
      </c>
      <c r="J250" s="91">
        <f>IF(J249&lt;0.005,0,MAX(0,J249*(1+J$6/12)-J$7))</f>
        <v/>
      </c>
      <c r="K250" s="91">
        <f>IF(K249&lt;0.005,0,MAX(0,K249*(1+K$6/12)-K$7))</f>
        <v/>
      </c>
      <c r="L250" s="91">
        <f>IF(L249&lt;0.005,0,MAX(0,L249*(1+L$6/12)-L$7))</f>
        <v/>
      </c>
      <c r="M250" s="91">
        <f>SUMPRODUCT(C249:L249,$C$6:$L$6)/12</f>
        <v/>
      </c>
      <c r="N250" s="88">
        <f>SUM(C250:L250)</f>
        <v/>
      </c>
      <c r="P250" s="92">
        <f>IF(Z249&lt;0.005,0,MAX(0,Z249*(1+Z$6/12)-Z$7))</f>
        <v/>
      </c>
      <c r="Q250" s="92">
        <f>IF(AA249&lt;0.005,0,MAX(0,AA249*(1+AA$6/12)-AA$7))</f>
        <v/>
      </c>
      <c r="R250" s="92">
        <f>IF(AB249&lt;0.005,0,MAX(0,AB249*(1+AB$6/12)-AB$7))</f>
        <v/>
      </c>
      <c r="S250" s="92">
        <f>IF(AC249&lt;0.005,0,MAX(0,AC249*(1+AC$6/12)-AC$7))</f>
        <v/>
      </c>
      <c r="T250" s="92">
        <f>IF(AD249&lt;0.005,0,MAX(0,AD249*(1+AD$6/12)-AD$7))</f>
        <v/>
      </c>
      <c r="U250" s="92">
        <f>IF(AE249&lt;0.005,0,MAX(0,AE249*(1+AE$6/12)-AE$7))</f>
        <v/>
      </c>
      <c r="V250" s="92">
        <f>IF(AF249&lt;0.005,0,MAX(0,AF249*(1+AF$6/12)-AF$7))</f>
        <v/>
      </c>
      <c r="W250" s="92">
        <f>IF(AG249&lt;0.005,0,MAX(0,AG249*(1+AG$6/12)-AG$7))</f>
        <v/>
      </c>
      <c r="X250" s="92">
        <f>IF(AH249&lt;0.005,0,MAX(0,AH249*(1+AH$6/12)-AH$7))</f>
        <v/>
      </c>
      <c r="Y250" s="92">
        <f>IF(AI249&lt;0.005,0,MAX(0,AI249*(1+AI$6/12)-AI$7))</f>
        <v/>
      </c>
      <c r="Z250" s="91">
        <f>MAX(0,P250-MAX(0,AK250-0))</f>
        <v/>
      </c>
      <c r="AA250" s="91">
        <f>MAX(0,Q250-MAX(0,AK250-SUM(P250:P250)))</f>
        <v/>
      </c>
      <c r="AB250" s="91">
        <f>MAX(0,R250-MAX(0,AK250-SUM(P250:Q250)))</f>
        <v/>
      </c>
      <c r="AC250" s="91">
        <f>MAX(0,S250-MAX(0,AK250-SUM(P250:R250)))</f>
        <v/>
      </c>
      <c r="AD250" s="91">
        <f>MAX(0,T250-MAX(0,AK250-SUM(P250:S250)))</f>
        <v/>
      </c>
      <c r="AE250" s="91">
        <f>MAX(0,U250-MAX(0,AK250-SUM(P250:T250)))</f>
        <v/>
      </c>
      <c r="AF250" s="91">
        <f>MAX(0,V250-MAX(0,AK250-SUM(P250:U250)))</f>
        <v/>
      </c>
      <c r="AG250" s="91">
        <f>MAX(0,W250-MAX(0,AK250-SUM(P250:V250)))</f>
        <v/>
      </c>
      <c r="AH250" s="91">
        <f>MAX(0,X250-MAX(0,AK250-SUM(P250:W250)))</f>
        <v/>
      </c>
      <c r="AI250" s="91">
        <f>MAX(0,Y250-MAX(0,AK250-SUM(P250:X250)))</f>
        <v/>
      </c>
      <c r="AJ250" s="92">
        <f>SUM(Z249:AI249)+AL250</f>
        <v/>
      </c>
      <c r="AK250" s="92">
        <f>$AK$7-(AJ250-SUM(P250:Y250))</f>
        <v/>
      </c>
      <c r="AL250" s="91">
        <f>SUMPRODUCT(Z249:AI249,$Z$6:$AI$6)/12</f>
        <v/>
      </c>
      <c r="AM250" s="88">
        <f>SUM(Z250:AI250)</f>
        <v/>
      </c>
      <c r="AO250" s="92">
        <f>IF(AY249&lt;0.005,0,MAX(0,AY249*(1+AY$6/12)-AY$7))</f>
        <v/>
      </c>
      <c r="AP250" s="92">
        <f>IF(AZ249&lt;0.005,0,MAX(0,AZ249*(1+AZ$6/12)-AZ$7))</f>
        <v/>
      </c>
      <c r="AQ250" s="92">
        <f>IF(BA249&lt;0.005,0,MAX(0,BA249*(1+BA$6/12)-BA$7))</f>
        <v/>
      </c>
      <c r="AR250" s="92">
        <f>IF(BB249&lt;0.005,0,MAX(0,BB249*(1+BB$6/12)-BB$7))</f>
        <v/>
      </c>
      <c r="AS250" s="92">
        <f>IF(BC249&lt;0.005,0,MAX(0,BC249*(1+BC$6/12)-BC$7))</f>
        <v/>
      </c>
      <c r="AT250" s="92">
        <f>IF(BD249&lt;0.005,0,MAX(0,BD249*(1+BD$6/12)-BD$7))</f>
        <v/>
      </c>
      <c r="AU250" s="92">
        <f>IF(BE249&lt;0.005,0,MAX(0,BE249*(1+BE$6/12)-BE$7))</f>
        <v/>
      </c>
      <c r="AV250" s="92">
        <f>IF(BF249&lt;0.005,0,MAX(0,BF249*(1+BF$6/12)-BF$7))</f>
        <v/>
      </c>
      <c r="AW250" s="92">
        <f>IF(BG249&lt;0.005,0,MAX(0,BG249*(1+BG$6/12)-BG$7))</f>
        <v/>
      </c>
      <c r="AX250" s="92">
        <f>IF(BH249&lt;0.005,0,MAX(0,BH249*(1+BH$6/12)-BH$7))</f>
        <v/>
      </c>
      <c r="AY250" s="91">
        <f>MAX(0,AO250-MAX(0,BJ250-0))</f>
        <v/>
      </c>
      <c r="AZ250" s="91">
        <f>MAX(0,AP250-MAX(0,BJ250-SUM(AO250:AO250)))</f>
        <v/>
      </c>
      <c r="BA250" s="91">
        <f>MAX(0,AQ250-MAX(0,BJ250-SUM(AO250:AP250)))</f>
        <v/>
      </c>
      <c r="BB250" s="91">
        <f>MAX(0,AR250-MAX(0,BJ250-SUM(AO250:AQ250)))</f>
        <v/>
      </c>
      <c r="BC250" s="91">
        <f>MAX(0,AS250-MAX(0,BJ250-SUM(AO250:AR250)))</f>
        <v/>
      </c>
      <c r="BD250" s="91">
        <f>MAX(0,AT250-MAX(0,BJ250-SUM(AO250:AS250)))</f>
        <v/>
      </c>
      <c r="BE250" s="91">
        <f>MAX(0,AU250-MAX(0,BJ250-SUM(AO250:AT250)))</f>
        <v/>
      </c>
      <c r="BF250" s="91">
        <f>MAX(0,AV250-MAX(0,BJ250-SUM(AO250:AU250)))</f>
        <v/>
      </c>
      <c r="BG250" s="91">
        <f>MAX(0,AW250-MAX(0,BJ250-SUM(AO250:AV250)))</f>
        <v/>
      </c>
      <c r="BH250" s="91">
        <f>MAX(0,AX250-MAX(0,BJ250-SUM(AO250:AW250)))</f>
        <v/>
      </c>
      <c r="BI250" s="92">
        <f>SUM(AY249:BH249)+BK250</f>
        <v/>
      </c>
      <c r="BJ250" s="92">
        <f>$BJ$7-(BI250-SUM(AO250:AX250))</f>
        <v/>
      </c>
      <c r="BK250" s="91">
        <f>SUMPRODUCT(AY249:BH249,$AY$6:$BH$6)/12</f>
        <v/>
      </c>
      <c r="BL250" s="88">
        <f>SUM(AY250:BH250)</f>
        <v/>
      </c>
    </row>
    <row r="251">
      <c r="A251" s="24" t="n">
        <v>241</v>
      </c>
      <c r="B251" s="90">
        <f>DATE(YEAR(Settings!$C$11),MONTH(Settings!$C$11)+A251,1)</f>
        <v/>
      </c>
      <c r="C251" s="91">
        <f>IF(C250&lt;0.005,0,MAX(0,C250*(1+C$6/12)-C$7))</f>
        <v/>
      </c>
      <c r="D251" s="91">
        <f>IF(D250&lt;0.005,0,MAX(0,D250*(1+D$6/12)-D$7))</f>
        <v/>
      </c>
      <c r="E251" s="91">
        <f>IF(E250&lt;0.005,0,MAX(0,E250*(1+E$6/12)-E$7))</f>
        <v/>
      </c>
      <c r="F251" s="91">
        <f>IF(F250&lt;0.005,0,MAX(0,F250*(1+F$6/12)-F$7))</f>
        <v/>
      </c>
      <c r="G251" s="91">
        <f>IF(G250&lt;0.005,0,MAX(0,G250*(1+G$6/12)-G$7))</f>
        <v/>
      </c>
      <c r="H251" s="91">
        <f>IF(H250&lt;0.005,0,MAX(0,H250*(1+H$6/12)-H$7))</f>
        <v/>
      </c>
      <c r="I251" s="91">
        <f>IF(I250&lt;0.005,0,MAX(0,I250*(1+I$6/12)-I$7))</f>
        <v/>
      </c>
      <c r="J251" s="91">
        <f>IF(J250&lt;0.005,0,MAX(0,J250*(1+J$6/12)-J$7))</f>
        <v/>
      </c>
      <c r="K251" s="91">
        <f>IF(K250&lt;0.005,0,MAX(0,K250*(1+K$6/12)-K$7))</f>
        <v/>
      </c>
      <c r="L251" s="91">
        <f>IF(L250&lt;0.005,0,MAX(0,L250*(1+L$6/12)-L$7))</f>
        <v/>
      </c>
      <c r="M251" s="91">
        <f>SUMPRODUCT(C250:L250,$C$6:$L$6)/12</f>
        <v/>
      </c>
      <c r="N251" s="88">
        <f>SUM(C251:L251)</f>
        <v/>
      </c>
      <c r="P251" s="92">
        <f>IF(Z250&lt;0.005,0,MAX(0,Z250*(1+Z$6/12)-Z$7))</f>
        <v/>
      </c>
      <c r="Q251" s="92">
        <f>IF(AA250&lt;0.005,0,MAX(0,AA250*(1+AA$6/12)-AA$7))</f>
        <v/>
      </c>
      <c r="R251" s="92">
        <f>IF(AB250&lt;0.005,0,MAX(0,AB250*(1+AB$6/12)-AB$7))</f>
        <v/>
      </c>
      <c r="S251" s="92">
        <f>IF(AC250&lt;0.005,0,MAX(0,AC250*(1+AC$6/12)-AC$7))</f>
        <v/>
      </c>
      <c r="T251" s="92">
        <f>IF(AD250&lt;0.005,0,MAX(0,AD250*(1+AD$6/12)-AD$7))</f>
        <v/>
      </c>
      <c r="U251" s="92">
        <f>IF(AE250&lt;0.005,0,MAX(0,AE250*(1+AE$6/12)-AE$7))</f>
        <v/>
      </c>
      <c r="V251" s="92">
        <f>IF(AF250&lt;0.005,0,MAX(0,AF250*(1+AF$6/12)-AF$7))</f>
        <v/>
      </c>
      <c r="W251" s="92">
        <f>IF(AG250&lt;0.005,0,MAX(0,AG250*(1+AG$6/12)-AG$7))</f>
        <v/>
      </c>
      <c r="X251" s="92">
        <f>IF(AH250&lt;0.005,0,MAX(0,AH250*(1+AH$6/12)-AH$7))</f>
        <v/>
      </c>
      <c r="Y251" s="92">
        <f>IF(AI250&lt;0.005,0,MAX(0,AI250*(1+AI$6/12)-AI$7))</f>
        <v/>
      </c>
      <c r="Z251" s="91">
        <f>MAX(0,P251-MAX(0,AK251-0))</f>
        <v/>
      </c>
      <c r="AA251" s="91">
        <f>MAX(0,Q251-MAX(0,AK251-SUM(P251:P251)))</f>
        <v/>
      </c>
      <c r="AB251" s="91">
        <f>MAX(0,R251-MAX(0,AK251-SUM(P251:Q251)))</f>
        <v/>
      </c>
      <c r="AC251" s="91">
        <f>MAX(0,S251-MAX(0,AK251-SUM(P251:R251)))</f>
        <v/>
      </c>
      <c r="AD251" s="91">
        <f>MAX(0,T251-MAX(0,AK251-SUM(P251:S251)))</f>
        <v/>
      </c>
      <c r="AE251" s="91">
        <f>MAX(0,U251-MAX(0,AK251-SUM(P251:T251)))</f>
        <v/>
      </c>
      <c r="AF251" s="91">
        <f>MAX(0,V251-MAX(0,AK251-SUM(P251:U251)))</f>
        <v/>
      </c>
      <c r="AG251" s="91">
        <f>MAX(0,W251-MAX(0,AK251-SUM(P251:V251)))</f>
        <v/>
      </c>
      <c r="AH251" s="91">
        <f>MAX(0,X251-MAX(0,AK251-SUM(P251:W251)))</f>
        <v/>
      </c>
      <c r="AI251" s="91">
        <f>MAX(0,Y251-MAX(0,AK251-SUM(P251:X251)))</f>
        <v/>
      </c>
      <c r="AJ251" s="92">
        <f>SUM(Z250:AI250)+AL251</f>
        <v/>
      </c>
      <c r="AK251" s="92">
        <f>$AK$7-(AJ251-SUM(P251:Y251))</f>
        <v/>
      </c>
      <c r="AL251" s="91">
        <f>SUMPRODUCT(Z250:AI250,$Z$6:$AI$6)/12</f>
        <v/>
      </c>
      <c r="AM251" s="88">
        <f>SUM(Z251:AI251)</f>
        <v/>
      </c>
      <c r="AO251" s="92">
        <f>IF(AY250&lt;0.005,0,MAX(0,AY250*(1+AY$6/12)-AY$7))</f>
        <v/>
      </c>
      <c r="AP251" s="92">
        <f>IF(AZ250&lt;0.005,0,MAX(0,AZ250*(1+AZ$6/12)-AZ$7))</f>
        <v/>
      </c>
      <c r="AQ251" s="92">
        <f>IF(BA250&lt;0.005,0,MAX(0,BA250*(1+BA$6/12)-BA$7))</f>
        <v/>
      </c>
      <c r="AR251" s="92">
        <f>IF(BB250&lt;0.005,0,MAX(0,BB250*(1+BB$6/12)-BB$7))</f>
        <v/>
      </c>
      <c r="AS251" s="92">
        <f>IF(BC250&lt;0.005,0,MAX(0,BC250*(1+BC$6/12)-BC$7))</f>
        <v/>
      </c>
      <c r="AT251" s="92">
        <f>IF(BD250&lt;0.005,0,MAX(0,BD250*(1+BD$6/12)-BD$7))</f>
        <v/>
      </c>
      <c r="AU251" s="92">
        <f>IF(BE250&lt;0.005,0,MAX(0,BE250*(1+BE$6/12)-BE$7))</f>
        <v/>
      </c>
      <c r="AV251" s="92">
        <f>IF(BF250&lt;0.005,0,MAX(0,BF250*(1+BF$6/12)-BF$7))</f>
        <v/>
      </c>
      <c r="AW251" s="92">
        <f>IF(BG250&lt;0.005,0,MAX(0,BG250*(1+BG$6/12)-BG$7))</f>
        <v/>
      </c>
      <c r="AX251" s="92">
        <f>IF(BH250&lt;0.005,0,MAX(0,BH250*(1+BH$6/12)-BH$7))</f>
        <v/>
      </c>
      <c r="AY251" s="91">
        <f>MAX(0,AO251-MAX(0,BJ251-0))</f>
        <v/>
      </c>
      <c r="AZ251" s="91">
        <f>MAX(0,AP251-MAX(0,BJ251-SUM(AO251:AO251)))</f>
        <v/>
      </c>
      <c r="BA251" s="91">
        <f>MAX(0,AQ251-MAX(0,BJ251-SUM(AO251:AP251)))</f>
        <v/>
      </c>
      <c r="BB251" s="91">
        <f>MAX(0,AR251-MAX(0,BJ251-SUM(AO251:AQ251)))</f>
        <v/>
      </c>
      <c r="BC251" s="91">
        <f>MAX(0,AS251-MAX(0,BJ251-SUM(AO251:AR251)))</f>
        <v/>
      </c>
      <c r="BD251" s="91">
        <f>MAX(0,AT251-MAX(0,BJ251-SUM(AO251:AS251)))</f>
        <v/>
      </c>
      <c r="BE251" s="91">
        <f>MAX(0,AU251-MAX(0,BJ251-SUM(AO251:AT251)))</f>
        <v/>
      </c>
      <c r="BF251" s="91">
        <f>MAX(0,AV251-MAX(0,BJ251-SUM(AO251:AU251)))</f>
        <v/>
      </c>
      <c r="BG251" s="91">
        <f>MAX(0,AW251-MAX(0,BJ251-SUM(AO251:AV251)))</f>
        <v/>
      </c>
      <c r="BH251" s="91">
        <f>MAX(0,AX251-MAX(0,BJ251-SUM(AO251:AW251)))</f>
        <v/>
      </c>
      <c r="BI251" s="92">
        <f>SUM(AY250:BH250)+BK251</f>
        <v/>
      </c>
      <c r="BJ251" s="92">
        <f>$BJ$7-(BI251-SUM(AO251:AX251))</f>
        <v/>
      </c>
      <c r="BK251" s="91">
        <f>SUMPRODUCT(AY250:BH250,$AY$6:$BH$6)/12</f>
        <v/>
      </c>
      <c r="BL251" s="88">
        <f>SUM(AY251:BH251)</f>
        <v/>
      </c>
    </row>
    <row r="252">
      <c r="A252" s="24" t="n">
        <v>242</v>
      </c>
      <c r="B252" s="90">
        <f>DATE(YEAR(Settings!$C$11),MONTH(Settings!$C$11)+A252,1)</f>
        <v/>
      </c>
      <c r="C252" s="91">
        <f>IF(C251&lt;0.005,0,MAX(0,C251*(1+C$6/12)-C$7))</f>
        <v/>
      </c>
      <c r="D252" s="91">
        <f>IF(D251&lt;0.005,0,MAX(0,D251*(1+D$6/12)-D$7))</f>
        <v/>
      </c>
      <c r="E252" s="91">
        <f>IF(E251&lt;0.005,0,MAX(0,E251*(1+E$6/12)-E$7))</f>
        <v/>
      </c>
      <c r="F252" s="91">
        <f>IF(F251&lt;0.005,0,MAX(0,F251*(1+F$6/12)-F$7))</f>
        <v/>
      </c>
      <c r="G252" s="91">
        <f>IF(G251&lt;0.005,0,MAX(0,G251*(1+G$6/12)-G$7))</f>
        <v/>
      </c>
      <c r="H252" s="91">
        <f>IF(H251&lt;0.005,0,MAX(0,H251*(1+H$6/12)-H$7))</f>
        <v/>
      </c>
      <c r="I252" s="91">
        <f>IF(I251&lt;0.005,0,MAX(0,I251*(1+I$6/12)-I$7))</f>
        <v/>
      </c>
      <c r="J252" s="91">
        <f>IF(J251&lt;0.005,0,MAX(0,J251*(1+J$6/12)-J$7))</f>
        <v/>
      </c>
      <c r="K252" s="91">
        <f>IF(K251&lt;0.005,0,MAX(0,K251*(1+K$6/12)-K$7))</f>
        <v/>
      </c>
      <c r="L252" s="91">
        <f>IF(L251&lt;0.005,0,MAX(0,L251*(1+L$6/12)-L$7))</f>
        <v/>
      </c>
      <c r="M252" s="91">
        <f>SUMPRODUCT(C251:L251,$C$6:$L$6)/12</f>
        <v/>
      </c>
      <c r="N252" s="88">
        <f>SUM(C252:L252)</f>
        <v/>
      </c>
      <c r="P252" s="92">
        <f>IF(Z251&lt;0.005,0,MAX(0,Z251*(1+Z$6/12)-Z$7))</f>
        <v/>
      </c>
      <c r="Q252" s="92">
        <f>IF(AA251&lt;0.005,0,MAX(0,AA251*(1+AA$6/12)-AA$7))</f>
        <v/>
      </c>
      <c r="R252" s="92">
        <f>IF(AB251&lt;0.005,0,MAX(0,AB251*(1+AB$6/12)-AB$7))</f>
        <v/>
      </c>
      <c r="S252" s="92">
        <f>IF(AC251&lt;0.005,0,MAX(0,AC251*(1+AC$6/12)-AC$7))</f>
        <v/>
      </c>
      <c r="T252" s="92">
        <f>IF(AD251&lt;0.005,0,MAX(0,AD251*(1+AD$6/12)-AD$7))</f>
        <v/>
      </c>
      <c r="U252" s="92">
        <f>IF(AE251&lt;0.005,0,MAX(0,AE251*(1+AE$6/12)-AE$7))</f>
        <v/>
      </c>
      <c r="V252" s="92">
        <f>IF(AF251&lt;0.005,0,MAX(0,AF251*(1+AF$6/12)-AF$7))</f>
        <v/>
      </c>
      <c r="W252" s="92">
        <f>IF(AG251&lt;0.005,0,MAX(0,AG251*(1+AG$6/12)-AG$7))</f>
        <v/>
      </c>
      <c r="X252" s="92">
        <f>IF(AH251&lt;0.005,0,MAX(0,AH251*(1+AH$6/12)-AH$7))</f>
        <v/>
      </c>
      <c r="Y252" s="92">
        <f>IF(AI251&lt;0.005,0,MAX(0,AI251*(1+AI$6/12)-AI$7))</f>
        <v/>
      </c>
      <c r="Z252" s="91">
        <f>MAX(0,P252-MAX(0,AK252-0))</f>
        <v/>
      </c>
      <c r="AA252" s="91">
        <f>MAX(0,Q252-MAX(0,AK252-SUM(P252:P252)))</f>
        <v/>
      </c>
      <c r="AB252" s="91">
        <f>MAX(0,R252-MAX(0,AK252-SUM(P252:Q252)))</f>
        <v/>
      </c>
      <c r="AC252" s="91">
        <f>MAX(0,S252-MAX(0,AK252-SUM(P252:R252)))</f>
        <v/>
      </c>
      <c r="AD252" s="91">
        <f>MAX(0,T252-MAX(0,AK252-SUM(P252:S252)))</f>
        <v/>
      </c>
      <c r="AE252" s="91">
        <f>MAX(0,U252-MAX(0,AK252-SUM(P252:T252)))</f>
        <v/>
      </c>
      <c r="AF252" s="91">
        <f>MAX(0,V252-MAX(0,AK252-SUM(P252:U252)))</f>
        <v/>
      </c>
      <c r="AG252" s="91">
        <f>MAX(0,W252-MAX(0,AK252-SUM(P252:V252)))</f>
        <v/>
      </c>
      <c r="AH252" s="91">
        <f>MAX(0,X252-MAX(0,AK252-SUM(P252:W252)))</f>
        <v/>
      </c>
      <c r="AI252" s="91">
        <f>MAX(0,Y252-MAX(0,AK252-SUM(P252:X252)))</f>
        <v/>
      </c>
      <c r="AJ252" s="92">
        <f>SUM(Z251:AI251)+AL252</f>
        <v/>
      </c>
      <c r="AK252" s="92">
        <f>$AK$7-(AJ252-SUM(P252:Y252))</f>
        <v/>
      </c>
      <c r="AL252" s="91">
        <f>SUMPRODUCT(Z251:AI251,$Z$6:$AI$6)/12</f>
        <v/>
      </c>
      <c r="AM252" s="88">
        <f>SUM(Z252:AI252)</f>
        <v/>
      </c>
      <c r="AO252" s="92">
        <f>IF(AY251&lt;0.005,0,MAX(0,AY251*(1+AY$6/12)-AY$7))</f>
        <v/>
      </c>
      <c r="AP252" s="92">
        <f>IF(AZ251&lt;0.005,0,MAX(0,AZ251*(1+AZ$6/12)-AZ$7))</f>
        <v/>
      </c>
      <c r="AQ252" s="92">
        <f>IF(BA251&lt;0.005,0,MAX(0,BA251*(1+BA$6/12)-BA$7))</f>
        <v/>
      </c>
      <c r="AR252" s="92">
        <f>IF(BB251&lt;0.005,0,MAX(0,BB251*(1+BB$6/12)-BB$7))</f>
        <v/>
      </c>
      <c r="AS252" s="92">
        <f>IF(BC251&lt;0.005,0,MAX(0,BC251*(1+BC$6/12)-BC$7))</f>
        <v/>
      </c>
      <c r="AT252" s="92">
        <f>IF(BD251&lt;0.005,0,MAX(0,BD251*(1+BD$6/12)-BD$7))</f>
        <v/>
      </c>
      <c r="AU252" s="92">
        <f>IF(BE251&lt;0.005,0,MAX(0,BE251*(1+BE$6/12)-BE$7))</f>
        <v/>
      </c>
      <c r="AV252" s="92">
        <f>IF(BF251&lt;0.005,0,MAX(0,BF251*(1+BF$6/12)-BF$7))</f>
        <v/>
      </c>
      <c r="AW252" s="92">
        <f>IF(BG251&lt;0.005,0,MAX(0,BG251*(1+BG$6/12)-BG$7))</f>
        <v/>
      </c>
      <c r="AX252" s="92">
        <f>IF(BH251&lt;0.005,0,MAX(0,BH251*(1+BH$6/12)-BH$7))</f>
        <v/>
      </c>
      <c r="AY252" s="91">
        <f>MAX(0,AO252-MAX(0,BJ252-0))</f>
        <v/>
      </c>
      <c r="AZ252" s="91">
        <f>MAX(0,AP252-MAX(0,BJ252-SUM(AO252:AO252)))</f>
        <v/>
      </c>
      <c r="BA252" s="91">
        <f>MAX(0,AQ252-MAX(0,BJ252-SUM(AO252:AP252)))</f>
        <v/>
      </c>
      <c r="BB252" s="91">
        <f>MAX(0,AR252-MAX(0,BJ252-SUM(AO252:AQ252)))</f>
        <v/>
      </c>
      <c r="BC252" s="91">
        <f>MAX(0,AS252-MAX(0,BJ252-SUM(AO252:AR252)))</f>
        <v/>
      </c>
      <c r="BD252" s="91">
        <f>MAX(0,AT252-MAX(0,BJ252-SUM(AO252:AS252)))</f>
        <v/>
      </c>
      <c r="BE252" s="91">
        <f>MAX(0,AU252-MAX(0,BJ252-SUM(AO252:AT252)))</f>
        <v/>
      </c>
      <c r="BF252" s="91">
        <f>MAX(0,AV252-MAX(0,BJ252-SUM(AO252:AU252)))</f>
        <v/>
      </c>
      <c r="BG252" s="91">
        <f>MAX(0,AW252-MAX(0,BJ252-SUM(AO252:AV252)))</f>
        <v/>
      </c>
      <c r="BH252" s="91">
        <f>MAX(0,AX252-MAX(0,BJ252-SUM(AO252:AW252)))</f>
        <v/>
      </c>
      <c r="BI252" s="92">
        <f>SUM(AY251:BH251)+BK252</f>
        <v/>
      </c>
      <c r="BJ252" s="92">
        <f>$BJ$7-(BI252-SUM(AO252:AX252))</f>
        <v/>
      </c>
      <c r="BK252" s="91">
        <f>SUMPRODUCT(AY251:BH251,$AY$6:$BH$6)/12</f>
        <v/>
      </c>
      <c r="BL252" s="88">
        <f>SUM(AY252:BH252)</f>
        <v/>
      </c>
    </row>
    <row r="253">
      <c r="A253" s="24" t="n">
        <v>243</v>
      </c>
      <c r="B253" s="90">
        <f>DATE(YEAR(Settings!$C$11),MONTH(Settings!$C$11)+A253,1)</f>
        <v/>
      </c>
      <c r="C253" s="91">
        <f>IF(C252&lt;0.005,0,MAX(0,C252*(1+C$6/12)-C$7))</f>
        <v/>
      </c>
      <c r="D253" s="91">
        <f>IF(D252&lt;0.005,0,MAX(0,D252*(1+D$6/12)-D$7))</f>
        <v/>
      </c>
      <c r="E253" s="91">
        <f>IF(E252&lt;0.005,0,MAX(0,E252*(1+E$6/12)-E$7))</f>
        <v/>
      </c>
      <c r="F253" s="91">
        <f>IF(F252&lt;0.005,0,MAX(0,F252*(1+F$6/12)-F$7))</f>
        <v/>
      </c>
      <c r="G253" s="91">
        <f>IF(G252&lt;0.005,0,MAX(0,G252*(1+G$6/12)-G$7))</f>
        <v/>
      </c>
      <c r="H253" s="91">
        <f>IF(H252&lt;0.005,0,MAX(0,H252*(1+H$6/12)-H$7))</f>
        <v/>
      </c>
      <c r="I253" s="91">
        <f>IF(I252&lt;0.005,0,MAX(0,I252*(1+I$6/12)-I$7))</f>
        <v/>
      </c>
      <c r="J253" s="91">
        <f>IF(J252&lt;0.005,0,MAX(0,J252*(1+J$6/12)-J$7))</f>
        <v/>
      </c>
      <c r="K253" s="91">
        <f>IF(K252&lt;0.005,0,MAX(0,K252*(1+K$6/12)-K$7))</f>
        <v/>
      </c>
      <c r="L253" s="91">
        <f>IF(L252&lt;0.005,0,MAX(0,L252*(1+L$6/12)-L$7))</f>
        <v/>
      </c>
      <c r="M253" s="91">
        <f>SUMPRODUCT(C252:L252,$C$6:$L$6)/12</f>
        <v/>
      </c>
      <c r="N253" s="88">
        <f>SUM(C253:L253)</f>
        <v/>
      </c>
      <c r="P253" s="92">
        <f>IF(Z252&lt;0.005,0,MAX(0,Z252*(1+Z$6/12)-Z$7))</f>
        <v/>
      </c>
      <c r="Q253" s="92">
        <f>IF(AA252&lt;0.005,0,MAX(0,AA252*(1+AA$6/12)-AA$7))</f>
        <v/>
      </c>
      <c r="R253" s="92">
        <f>IF(AB252&lt;0.005,0,MAX(0,AB252*(1+AB$6/12)-AB$7))</f>
        <v/>
      </c>
      <c r="S253" s="92">
        <f>IF(AC252&lt;0.005,0,MAX(0,AC252*(1+AC$6/12)-AC$7))</f>
        <v/>
      </c>
      <c r="T253" s="92">
        <f>IF(AD252&lt;0.005,0,MAX(0,AD252*(1+AD$6/12)-AD$7))</f>
        <v/>
      </c>
      <c r="U253" s="92">
        <f>IF(AE252&lt;0.005,0,MAX(0,AE252*(1+AE$6/12)-AE$7))</f>
        <v/>
      </c>
      <c r="V253" s="92">
        <f>IF(AF252&lt;0.005,0,MAX(0,AF252*(1+AF$6/12)-AF$7))</f>
        <v/>
      </c>
      <c r="W253" s="92">
        <f>IF(AG252&lt;0.005,0,MAX(0,AG252*(1+AG$6/12)-AG$7))</f>
        <v/>
      </c>
      <c r="X253" s="92">
        <f>IF(AH252&lt;0.005,0,MAX(0,AH252*(1+AH$6/12)-AH$7))</f>
        <v/>
      </c>
      <c r="Y253" s="92">
        <f>IF(AI252&lt;0.005,0,MAX(0,AI252*(1+AI$6/12)-AI$7))</f>
        <v/>
      </c>
      <c r="Z253" s="91">
        <f>MAX(0,P253-MAX(0,AK253-0))</f>
        <v/>
      </c>
      <c r="AA253" s="91">
        <f>MAX(0,Q253-MAX(0,AK253-SUM(P253:P253)))</f>
        <v/>
      </c>
      <c r="AB253" s="91">
        <f>MAX(0,R253-MAX(0,AK253-SUM(P253:Q253)))</f>
        <v/>
      </c>
      <c r="AC253" s="91">
        <f>MAX(0,S253-MAX(0,AK253-SUM(P253:R253)))</f>
        <v/>
      </c>
      <c r="AD253" s="91">
        <f>MAX(0,T253-MAX(0,AK253-SUM(P253:S253)))</f>
        <v/>
      </c>
      <c r="AE253" s="91">
        <f>MAX(0,U253-MAX(0,AK253-SUM(P253:T253)))</f>
        <v/>
      </c>
      <c r="AF253" s="91">
        <f>MAX(0,V253-MAX(0,AK253-SUM(P253:U253)))</f>
        <v/>
      </c>
      <c r="AG253" s="91">
        <f>MAX(0,W253-MAX(0,AK253-SUM(P253:V253)))</f>
        <v/>
      </c>
      <c r="AH253" s="91">
        <f>MAX(0,X253-MAX(0,AK253-SUM(P253:W253)))</f>
        <v/>
      </c>
      <c r="AI253" s="91">
        <f>MAX(0,Y253-MAX(0,AK253-SUM(P253:X253)))</f>
        <v/>
      </c>
      <c r="AJ253" s="92">
        <f>SUM(Z252:AI252)+AL253</f>
        <v/>
      </c>
      <c r="AK253" s="92">
        <f>$AK$7-(AJ253-SUM(P253:Y253))</f>
        <v/>
      </c>
      <c r="AL253" s="91">
        <f>SUMPRODUCT(Z252:AI252,$Z$6:$AI$6)/12</f>
        <v/>
      </c>
      <c r="AM253" s="88">
        <f>SUM(Z253:AI253)</f>
        <v/>
      </c>
      <c r="AO253" s="92">
        <f>IF(AY252&lt;0.005,0,MAX(0,AY252*(1+AY$6/12)-AY$7))</f>
        <v/>
      </c>
      <c r="AP253" s="92">
        <f>IF(AZ252&lt;0.005,0,MAX(0,AZ252*(1+AZ$6/12)-AZ$7))</f>
        <v/>
      </c>
      <c r="AQ253" s="92">
        <f>IF(BA252&lt;0.005,0,MAX(0,BA252*(1+BA$6/12)-BA$7))</f>
        <v/>
      </c>
      <c r="AR253" s="92">
        <f>IF(BB252&lt;0.005,0,MAX(0,BB252*(1+BB$6/12)-BB$7))</f>
        <v/>
      </c>
      <c r="AS253" s="92">
        <f>IF(BC252&lt;0.005,0,MAX(0,BC252*(1+BC$6/12)-BC$7))</f>
        <v/>
      </c>
      <c r="AT253" s="92">
        <f>IF(BD252&lt;0.005,0,MAX(0,BD252*(1+BD$6/12)-BD$7))</f>
        <v/>
      </c>
      <c r="AU253" s="92">
        <f>IF(BE252&lt;0.005,0,MAX(0,BE252*(1+BE$6/12)-BE$7))</f>
        <v/>
      </c>
      <c r="AV253" s="92">
        <f>IF(BF252&lt;0.005,0,MAX(0,BF252*(1+BF$6/12)-BF$7))</f>
        <v/>
      </c>
      <c r="AW253" s="92">
        <f>IF(BG252&lt;0.005,0,MAX(0,BG252*(1+BG$6/12)-BG$7))</f>
        <v/>
      </c>
      <c r="AX253" s="92">
        <f>IF(BH252&lt;0.005,0,MAX(0,BH252*(1+BH$6/12)-BH$7))</f>
        <v/>
      </c>
      <c r="AY253" s="91">
        <f>MAX(0,AO253-MAX(0,BJ253-0))</f>
        <v/>
      </c>
      <c r="AZ253" s="91">
        <f>MAX(0,AP253-MAX(0,BJ253-SUM(AO253:AO253)))</f>
        <v/>
      </c>
      <c r="BA253" s="91">
        <f>MAX(0,AQ253-MAX(0,BJ253-SUM(AO253:AP253)))</f>
        <v/>
      </c>
      <c r="BB253" s="91">
        <f>MAX(0,AR253-MAX(0,BJ253-SUM(AO253:AQ253)))</f>
        <v/>
      </c>
      <c r="BC253" s="91">
        <f>MAX(0,AS253-MAX(0,BJ253-SUM(AO253:AR253)))</f>
        <v/>
      </c>
      <c r="BD253" s="91">
        <f>MAX(0,AT253-MAX(0,BJ253-SUM(AO253:AS253)))</f>
        <v/>
      </c>
      <c r="BE253" s="91">
        <f>MAX(0,AU253-MAX(0,BJ253-SUM(AO253:AT253)))</f>
        <v/>
      </c>
      <c r="BF253" s="91">
        <f>MAX(0,AV253-MAX(0,BJ253-SUM(AO253:AU253)))</f>
        <v/>
      </c>
      <c r="BG253" s="91">
        <f>MAX(0,AW253-MAX(0,BJ253-SUM(AO253:AV253)))</f>
        <v/>
      </c>
      <c r="BH253" s="91">
        <f>MAX(0,AX253-MAX(0,BJ253-SUM(AO253:AW253)))</f>
        <v/>
      </c>
      <c r="BI253" s="92">
        <f>SUM(AY252:BH252)+BK253</f>
        <v/>
      </c>
      <c r="BJ253" s="92">
        <f>$BJ$7-(BI253-SUM(AO253:AX253))</f>
        <v/>
      </c>
      <c r="BK253" s="91">
        <f>SUMPRODUCT(AY252:BH252,$AY$6:$BH$6)/12</f>
        <v/>
      </c>
      <c r="BL253" s="88">
        <f>SUM(AY253:BH253)</f>
        <v/>
      </c>
    </row>
    <row r="254">
      <c r="A254" s="24" t="n">
        <v>244</v>
      </c>
      <c r="B254" s="90">
        <f>DATE(YEAR(Settings!$C$11),MONTH(Settings!$C$11)+A254,1)</f>
        <v/>
      </c>
      <c r="C254" s="91">
        <f>IF(C253&lt;0.005,0,MAX(0,C253*(1+C$6/12)-C$7))</f>
        <v/>
      </c>
      <c r="D254" s="91">
        <f>IF(D253&lt;0.005,0,MAX(0,D253*(1+D$6/12)-D$7))</f>
        <v/>
      </c>
      <c r="E254" s="91">
        <f>IF(E253&lt;0.005,0,MAX(0,E253*(1+E$6/12)-E$7))</f>
        <v/>
      </c>
      <c r="F254" s="91">
        <f>IF(F253&lt;0.005,0,MAX(0,F253*(1+F$6/12)-F$7))</f>
        <v/>
      </c>
      <c r="G254" s="91">
        <f>IF(G253&lt;0.005,0,MAX(0,G253*(1+G$6/12)-G$7))</f>
        <v/>
      </c>
      <c r="H254" s="91">
        <f>IF(H253&lt;0.005,0,MAX(0,H253*(1+H$6/12)-H$7))</f>
        <v/>
      </c>
      <c r="I254" s="91">
        <f>IF(I253&lt;0.005,0,MAX(0,I253*(1+I$6/12)-I$7))</f>
        <v/>
      </c>
      <c r="J254" s="91">
        <f>IF(J253&lt;0.005,0,MAX(0,J253*(1+J$6/12)-J$7))</f>
        <v/>
      </c>
      <c r="K254" s="91">
        <f>IF(K253&lt;0.005,0,MAX(0,K253*(1+K$6/12)-K$7))</f>
        <v/>
      </c>
      <c r="L254" s="91">
        <f>IF(L253&lt;0.005,0,MAX(0,L253*(1+L$6/12)-L$7))</f>
        <v/>
      </c>
      <c r="M254" s="91">
        <f>SUMPRODUCT(C253:L253,$C$6:$L$6)/12</f>
        <v/>
      </c>
      <c r="N254" s="88">
        <f>SUM(C254:L254)</f>
        <v/>
      </c>
      <c r="P254" s="92">
        <f>IF(Z253&lt;0.005,0,MAX(0,Z253*(1+Z$6/12)-Z$7))</f>
        <v/>
      </c>
      <c r="Q254" s="92">
        <f>IF(AA253&lt;0.005,0,MAX(0,AA253*(1+AA$6/12)-AA$7))</f>
        <v/>
      </c>
      <c r="R254" s="92">
        <f>IF(AB253&lt;0.005,0,MAX(0,AB253*(1+AB$6/12)-AB$7))</f>
        <v/>
      </c>
      <c r="S254" s="92">
        <f>IF(AC253&lt;0.005,0,MAX(0,AC253*(1+AC$6/12)-AC$7))</f>
        <v/>
      </c>
      <c r="T254" s="92">
        <f>IF(AD253&lt;0.005,0,MAX(0,AD253*(1+AD$6/12)-AD$7))</f>
        <v/>
      </c>
      <c r="U254" s="92">
        <f>IF(AE253&lt;0.005,0,MAX(0,AE253*(1+AE$6/12)-AE$7))</f>
        <v/>
      </c>
      <c r="V254" s="92">
        <f>IF(AF253&lt;0.005,0,MAX(0,AF253*(1+AF$6/12)-AF$7))</f>
        <v/>
      </c>
      <c r="W254" s="92">
        <f>IF(AG253&lt;0.005,0,MAX(0,AG253*(1+AG$6/12)-AG$7))</f>
        <v/>
      </c>
      <c r="X254" s="92">
        <f>IF(AH253&lt;0.005,0,MAX(0,AH253*(1+AH$6/12)-AH$7))</f>
        <v/>
      </c>
      <c r="Y254" s="92">
        <f>IF(AI253&lt;0.005,0,MAX(0,AI253*(1+AI$6/12)-AI$7))</f>
        <v/>
      </c>
      <c r="Z254" s="91">
        <f>MAX(0,P254-MAX(0,AK254-0))</f>
        <v/>
      </c>
      <c r="AA254" s="91">
        <f>MAX(0,Q254-MAX(0,AK254-SUM(P254:P254)))</f>
        <v/>
      </c>
      <c r="AB254" s="91">
        <f>MAX(0,R254-MAX(0,AK254-SUM(P254:Q254)))</f>
        <v/>
      </c>
      <c r="AC254" s="91">
        <f>MAX(0,S254-MAX(0,AK254-SUM(P254:R254)))</f>
        <v/>
      </c>
      <c r="AD254" s="91">
        <f>MAX(0,T254-MAX(0,AK254-SUM(P254:S254)))</f>
        <v/>
      </c>
      <c r="AE254" s="91">
        <f>MAX(0,U254-MAX(0,AK254-SUM(P254:T254)))</f>
        <v/>
      </c>
      <c r="AF254" s="91">
        <f>MAX(0,V254-MAX(0,AK254-SUM(P254:U254)))</f>
        <v/>
      </c>
      <c r="AG254" s="91">
        <f>MAX(0,W254-MAX(0,AK254-SUM(P254:V254)))</f>
        <v/>
      </c>
      <c r="AH254" s="91">
        <f>MAX(0,X254-MAX(0,AK254-SUM(P254:W254)))</f>
        <v/>
      </c>
      <c r="AI254" s="91">
        <f>MAX(0,Y254-MAX(0,AK254-SUM(P254:X254)))</f>
        <v/>
      </c>
      <c r="AJ254" s="92">
        <f>SUM(Z253:AI253)+AL254</f>
        <v/>
      </c>
      <c r="AK254" s="92">
        <f>$AK$7-(AJ254-SUM(P254:Y254))</f>
        <v/>
      </c>
      <c r="AL254" s="91">
        <f>SUMPRODUCT(Z253:AI253,$Z$6:$AI$6)/12</f>
        <v/>
      </c>
      <c r="AM254" s="88">
        <f>SUM(Z254:AI254)</f>
        <v/>
      </c>
      <c r="AO254" s="92">
        <f>IF(AY253&lt;0.005,0,MAX(0,AY253*(1+AY$6/12)-AY$7))</f>
        <v/>
      </c>
      <c r="AP254" s="92">
        <f>IF(AZ253&lt;0.005,0,MAX(0,AZ253*(1+AZ$6/12)-AZ$7))</f>
        <v/>
      </c>
      <c r="AQ254" s="92">
        <f>IF(BA253&lt;0.005,0,MAX(0,BA253*(1+BA$6/12)-BA$7))</f>
        <v/>
      </c>
      <c r="AR254" s="92">
        <f>IF(BB253&lt;0.005,0,MAX(0,BB253*(1+BB$6/12)-BB$7))</f>
        <v/>
      </c>
      <c r="AS254" s="92">
        <f>IF(BC253&lt;0.005,0,MAX(0,BC253*(1+BC$6/12)-BC$7))</f>
        <v/>
      </c>
      <c r="AT254" s="92">
        <f>IF(BD253&lt;0.005,0,MAX(0,BD253*(1+BD$6/12)-BD$7))</f>
        <v/>
      </c>
      <c r="AU254" s="92">
        <f>IF(BE253&lt;0.005,0,MAX(0,BE253*(1+BE$6/12)-BE$7))</f>
        <v/>
      </c>
      <c r="AV254" s="92">
        <f>IF(BF253&lt;0.005,0,MAX(0,BF253*(1+BF$6/12)-BF$7))</f>
        <v/>
      </c>
      <c r="AW254" s="92">
        <f>IF(BG253&lt;0.005,0,MAX(0,BG253*(1+BG$6/12)-BG$7))</f>
        <v/>
      </c>
      <c r="AX254" s="92">
        <f>IF(BH253&lt;0.005,0,MAX(0,BH253*(1+BH$6/12)-BH$7))</f>
        <v/>
      </c>
      <c r="AY254" s="91">
        <f>MAX(0,AO254-MAX(0,BJ254-0))</f>
        <v/>
      </c>
      <c r="AZ254" s="91">
        <f>MAX(0,AP254-MAX(0,BJ254-SUM(AO254:AO254)))</f>
        <v/>
      </c>
      <c r="BA254" s="91">
        <f>MAX(0,AQ254-MAX(0,BJ254-SUM(AO254:AP254)))</f>
        <v/>
      </c>
      <c r="BB254" s="91">
        <f>MAX(0,AR254-MAX(0,BJ254-SUM(AO254:AQ254)))</f>
        <v/>
      </c>
      <c r="BC254" s="91">
        <f>MAX(0,AS254-MAX(0,BJ254-SUM(AO254:AR254)))</f>
        <v/>
      </c>
      <c r="BD254" s="91">
        <f>MAX(0,AT254-MAX(0,BJ254-SUM(AO254:AS254)))</f>
        <v/>
      </c>
      <c r="BE254" s="91">
        <f>MAX(0,AU254-MAX(0,BJ254-SUM(AO254:AT254)))</f>
        <v/>
      </c>
      <c r="BF254" s="91">
        <f>MAX(0,AV254-MAX(0,BJ254-SUM(AO254:AU254)))</f>
        <v/>
      </c>
      <c r="BG254" s="91">
        <f>MAX(0,AW254-MAX(0,BJ254-SUM(AO254:AV254)))</f>
        <v/>
      </c>
      <c r="BH254" s="91">
        <f>MAX(0,AX254-MAX(0,BJ254-SUM(AO254:AW254)))</f>
        <v/>
      </c>
      <c r="BI254" s="92">
        <f>SUM(AY253:BH253)+BK254</f>
        <v/>
      </c>
      <c r="BJ254" s="92">
        <f>$BJ$7-(BI254-SUM(AO254:AX254))</f>
        <v/>
      </c>
      <c r="BK254" s="91">
        <f>SUMPRODUCT(AY253:BH253,$AY$6:$BH$6)/12</f>
        <v/>
      </c>
      <c r="BL254" s="88">
        <f>SUM(AY254:BH254)</f>
        <v/>
      </c>
    </row>
    <row r="255">
      <c r="A255" s="24" t="n">
        <v>245</v>
      </c>
      <c r="B255" s="90">
        <f>DATE(YEAR(Settings!$C$11),MONTH(Settings!$C$11)+A255,1)</f>
        <v/>
      </c>
      <c r="C255" s="91">
        <f>IF(C254&lt;0.005,0,MAX(0,C254*(1+C$6/12)-C$7))</f>
        <v/>
      </c>
      <c r="D255" s="91">
        <f>IF(D254&lt;0.005,0,MAX(0,D254*(1+D$6/12)-D$7))</f>
        <v/>
      </c>
      <c r="E255" s="91">
        <f>IF(E254&lt;0.005,0,MAX(0,E254*(1+E$6/12)-E$7))</f>
        <v/>
      </c>
      <c r="F255" s="91">
        <f>IF(F254&lt;0.005,0,MAX(0,F254*(1+F$6/12)-F$7))</f>
        <v/>
      </c>
      <c r="G255" s="91">
        <f>IF(G254&lt;0.005,0,MAX(0,G254*(1+G$6/12)-G$7))</f>
        <v/>
      </c>
      <c r="H255" s="91">
        <f>IF(H254&lt;0.005,0,MAX(0,H254*(1+H$6/12)-H$7))</f>
        <v/>
      </c>
      <c r="I255" s="91">
        <f>IF(I254&lt;0.005,0,MAX(0,I254*(1+I$6/12)-I$7))</f>
        <v/>
      </c>
      <c r="J255" s="91">
        <f>IF(J254&lt;0.005,0,MAX(0,J254*(1+J$6/12)-J$7))</f>
        <v/>
      </c>
      <c r="K255" s="91">
        <f>IF(K254&lt;0.005,0,MAX(0,K254*(1+K$6/12)-K$7))</f>
        <v/>
      </c>
      <c r="L255" s="91">
        <f>IF(L254&lt;0.005,0,MAX(0,L254*(1+L$6/12)-L$7))</f>
        <v/>
      </c>
      <c r="M255" s="91">
        <f>SUMPRODUCT(C254:L254,$C$6:$L$6)/12</f>
        <v/>
      </c>
      <c r="N255" s="88">
        <f>SUM(C255:L255)</f>
        <v/>
      </c>
      <c r="P255" s="92">
        <f>IF(Z254&lt;0.005,0,MAX(0,Z254*(1+Z$6/12)-Z$7))</f>
        <v/>
      </c>
      <c r="Q255" s="92">
        <f>IF(AA254&lt;0.005,0,MAX(0,AA254*(1+AA$6/12)-AA$7))</f>
        <v/>
      </c>
      <c r="R255" s="92">
        <f>IF(AB254&lt;0.005,0,MAX(0,AB254*(1+AB$6/12)-AB$7))</f>
        <v/>
      </c>
      <c r="S255" s="92">
        <f>IF(AC254&lt;0.005,0,MAX(0,AC254*(1+AC$6/12)-AC$7))</f>
        <v/>
      </c>
      <c r="T255" s="92">
        <f>IF(AD254&lt;0.005,0,MAX(0,AD254*(1+AD$6/12)-AD$7))</f>
        <v/>
      </c>
      <c r="U255" s="92">
        <f>IF(AE254&lt;0.005,0,MAX(0,AE254*(1+AE$6/12)-AE$7))</f>
        <v/>
      </c>
      <c r="V255" s="92">
        <f>IF(AF254&lt;0.005,0,MAX(0,AF254*(1+AF$6/12)-AF$7))</f>
        <v/>
      </c>
      <c r="W255" s="92">
        <f>IF(AG254&lt;0.005,0,MAX(0,AG254*(1+AG$6/12)-AG$7))</f>
        <v/>
      </c>
      <c r="X255" s="92">
        <f>IF(AH254&lt;0.005,0,MAX(0,AH254*(1+AH$6/12)-AH$7))</f>
        <v/>
      </c>
      <c r="Y255" s="92">
        <f>IF(AI254&lt;0.005,0,MAX(0,AI254*(1+AI$6/12)-AI$7))</f>
        <v/>
      </c>
      <c r="Z255" s="91">
        <f>MAX(0,P255-MAX(0,AK255-0))</f>
        <v/>
      </c>
      <c r="AA255" s="91">
        <f>MAX(0,Q255-MAX(0,AK255-SUM(P255:P255)))</f>
        <v/>
      </c>
      <c r="AB255" s="91">
        <f>MAX(0,R255-MAX(0,AK255-SUM(P255:Q255)))</f>
        <v/>
      </c>
      <c r="AC255" s="91">
        <f>MAX(0,S255-MAX(0,AK255-SUM(P255:R255)))</f>
        <v/>
      </c>
      <c r="AD255" s="91">
        <f>MAX(0,T255-MAX(0,AK255-SUM(P255:S255)))</f>
        <v/>
      </c>
      <c r="AE255" s="91">
        <f>MAX(0,U255-MAX(0,AK255-SUM(P255:T255)))</f>
        <v/>
      </c>
      <c r="AF255" s="91">
        <f>MAX(0,V255-MAX(0,AK255-SUM(P255:U255)))</f>
        <v/>
      </c>
      <c r="AG255" s="91">
        <f>MAX(0,W255-MAX(0,AK255-SUM(P255:V255)))</f>
        <v/>
      </c>
      <c r="AH255" s="91">
        <f>MAX(0,X255-MAX(0,AK255-SUM(P255:W255)))</f>
        <v/>
      </c>
      <c r="AI255" s="91">
        <f>MAX(0,Y255-MAX(0,AK255-SUM(P255:X255)))</f>
        <v/>
      </c>
      <c r="AJ255" s="92">
        <f>SUM(Z254:AI254)+AL255</f>
        <v/>
      </c>
      <c r="AK255" s="92">
        <f>$AK$7-(AJ255-SUM(P255:Y255))</f>
        <v/>
      </c>
      <c r="AL255" s="91">
        <f>SUMPRODUCT(Z254:AI254,$Z$6:$AI$6)/12</f>
        <v/>
      </c>
      <c r="AM255" s="88">
        <f>SUM(Z255:AI255)</f>
        <v/>
      </c>
      <c r="AO255" s="92">
        <f>IF(AY254&lt;0.005,0,MAX(0,AY254*(1+AY$6/12)-AY$7))</f>
        <v/>
      </c>
      <c r="AP255" s="92">
        <f>IF(AZ254&lt;0.005,0,MAX(0,AZ254*(1+AZ$6/12)-AZ$7))</f>
        <v/>
      </c>
      <c r="AQ255" s="92">
        <f>IF(BA254&lt;0.005,0,MAX(0,BA254*(1+BA$6/12)-BA$7))</f>
        <v/>
      </c>
      <c r="AR255" s="92">
        <f>IF(BB254&lt;0.005,0,MAX(0,BB254*(1+BB$6/12)-BB$7))</f>
        <v/>
      </c>
      <c r="AS255" s="92">
        <f>IF(BC254&lt;0.005,0,MAX(0,BC254*(1+BC$6/12)-BC$7))</f>
        <v/>
      </c>
      <c r="AT255" s="92">
        <f>IF(BD254&lt;0.005,0,MAX(0,BD254*(1+BD$6/12)-BD$7))</f>
        <v/>
      </c>
      <c r="AU255" s="92">
        <f>IF(BE254&lt;0.005,0,MAX(0,BE254*(1+BE$6/12)-BE$7))</f>
        <v/>
      </c>
      <c r="AV255" s="92">
        <f>IF(BF254&lt;0.005,0,MAX(0,BF254*(1+BF$6/12)-BF$7))</f>
        <v/>
      </c>
      <c r="AW255" s="92">
        <f>IF(BG254&lt;0.005,0,MAX(0,BG254*(1+BG$6/12)-BG$7))</f>
        <v/>
      </c>
      <c r="AX255" s="92">
        <f>IF(BH254&lt;0.005,0,MAX(0,BH254*(1+BH$6/12)-BH$7))</f>
        <v/>
      </c>
      <c r="AY255" s="91">
        <f>MAX(0,AO255-MAX(0,BJ255-0))</f>
        <v/>
      </c>
      <c r="AZ255" s="91">
        <f>MAX(0,AP255-MAX(0,BJ255-SUM(AO255:AO255)))</f>
        <v/>
      </c>
      <c r="BA255" s="91">
        <f>MAX(0,AQ255-MAX(0,BJ255-SUM(AO255:AP255)))</f>
        <v/>
      </c>
      <c r="BB255" s="91">
        <f>MAX(0,AR255-MAX(0,BJ255-SUM(AO255:AQ255)))</f>
        <v/>
      </c>
      <c r="BC255" s="91">
        <f>MAX(0,AS255-MAX(0,BJ255-SUM(AO255:AR255)))</f>
        <v/>
      </c>
      <c r="BD255" s="91">
        <f>MAX(0,AT255-MAX(0,BJ255-SUM(AO255:AS255)))</f>
        <v/>
      </c>
      <c r="BE255" s="91">
        <f>MAX(0,AU255-MAX(0,BJ255-SUM(AO255:AT255)))</f>
        <v/>
      </c>
      <c r="BF255" s="91">
        <f>MAX(0,AV255-MAX(0,BJ255-SUM(AO255:AU255)))</f>
        <v/>
      </c>
      <c r="BG255" s="91">
        <f>MAX(0,AW255-MAX(0,BJ255-SUM(AO255:AV255)))</f>
        <v/>
      </c>
      <c r="BH255" s="91">
        <f>MAX(0,AX255-MAX(0,BJ255-SUM(AO255:AW255)))</f>
        <v/>
      </c>
      <c r="BI255" s="92">
        <f>SUM(AY254:BH254)+BK255</f>
        <v/>
      </c>
      <c r="BJ255" s="92">
        <f>$BJ$7-(BI255-SUM(AO255:AX255))</f>
        <v/>
      </c>
      <c r="BK255" s="91">
        <f>SUMPRODUCT(AY254:BH254,$AY$6:$BH$6)/12</f>
        <v/>
      </c>
      <c r="BL255" s="88">
        <f>SUM(AY255:BH255)</f>
        <v/>
      </c>
    </row>
    <row r="256">
      <c r="A256" s="24" t="n">
        <v>246</v>
      </c>
      <c r="B256" s="90">
        <f>DATE(YEAR(Settings!$C$11),MONTH(Settings!$C$11)+A256,1)</f>
        <v/>
      </c>
      <c r="C256" s="91">
        <f>IF(C255&lt;0.005,0,MAX(0,C255*(1+C$6/12)-C$7))</f>
        <v/>
      </c>
      <c r="D256" s="91">
        <f>IF(D255&lt;0.005,0,MAX(0,D255*(1+D$6/12)-D$7))</f>
        <v/>
      </c>
      <c r="E256" s="91">
        <f>IF(E255&lt;0.005,0,MAX(0,E255*(1+E$6/12)-E$7))</f>
        <v/>
      </c>
      <c r="F256" s="91">
        <f>IF(F255&lt;0.005,0,MAX(0,F255*(1+F$6/12)-F$7))</f>
        <v/>
      </c>
      <c r="G256" s="91">
        <f>IF(G255&lt;0.005,0,MAX(0,G255*(1+G$6/12)-G$7))</f>
        <v/>
      </c>
      <c r="H256" s="91">
        <f>IF(H255&lt;0.005,0,MAX(0,H255*(1+H$6/12)-H$7))</f>
        <v/>
      </c>
      <c r="I256" s="91">
        <f>IF(I255&lt;0.005,0,MAX(0,I255*(1+I$6/12)-I$7))</f>
        <v/>
      </c>
      <c r="J256" s="91">
        <f>IF(J255&lt;0.005,0,MAX(0,J255*(1+J$6/12)-J$7))</f>
        <v/>
      </c>
      <c r="K256" s="91">
        <f>IF(K255&lt;0.005,0,MAX(0,K255*(1+K$6/12)-K$7))</f>
        <v/>
      </c>
      <c r="L256" s="91">
        <f>IF(L255&lt;0.005,0,MAX(0,L255*(1+L$6/12)-L$7))</f>
        <v/>
      </c>
      <c r="M256" s="91">
        <f>SUMPRODUCT(C255:L255,$C$6:$L$6)/12</f>
        <v/>
      </c>
      <c r="N256" s="88">
        <f>SUM(C256:L256)</f>
        <v/>
      </c>
      <c r="P256" s="92">
        <f>IF(Z255&lt;0.005,0,MAX(0,Z255*(1+Z$6/12)-Z$7))</f>
        <v/>
      </c>
      <c r="Q256" s="92">
        <f>IF(AA255&lt;0.005,0,MAX(0,AA255*(1+AA$6/12)-AA$7))</f>
        <v/>
      </c>
      <c r="R256" s="92">
        <f>IF(AB255&lt;0.005,0,MAX(0,AB255*(1+AB$6/12)-AB$7))</f>
        <v/>
      </c>
      <c r="S256" s="92">
        <f>IF(AC255&lt;0.005,0,MAX(0,AC255*(1+AC$6/12)-AC$7))</f>
        <v/>
      </c>
      <c r="T256" s="92">
        <f>IF(AD255&lt;0.005,0,MAX(0,AD255*(1+AD$6/12)-AD$7))</f>
        <v/>
      </c>
      <c r="U256" s="92">
        <f>IF(AE255&lt;0.005,0,MAX(0,AE255*(1+AE$6/12)-AE$7))</f>
        <v/>
      </c>
      <c r="V256" s="92">
        <f>IF(AF255&lt;0.005,0,MAX(0,AF255*(1+AF$6/12)-AF$7))</f>
        <v/>
      </c>
      <c r="W256" s="92">
        <f>IF(AG255&lt;0.005,0,MAX(0,AG255*(1+AG$6/12)-AG$7))</f>
        <v/>
      </c>
      <c r="X256" s="92">
        <f>IF(AH255&lt;0.005,0,MAX(0,AH255*(1+AH$6/12)-AH$7))</f>
        <v/>
      </c>
      <c r="Y256" s="92">
        <f>IF(AI255&lt;0.005,0,MAX(0,AI255*(1+AI$6/12)-AI$7))</f>
        <v/>
      </c>
      <c r="Z256" s="91">
        <f>MAX(0,P256-MAX(0,AK256-0))</f>
        <v/>
      </c>
      <c r="AA256" s="91">
        <f>MAX(0,Q256-MAX(0,AK256-SUM(P256:P256)))</f>
        <v/>
      </c>
      <c r="AB256" s="91">
        <f>MAX(0,R256-MAX(0,AK256-SUM(P256:Q256)))</f>
        <v/>
      </c>
      <c r="AC256" s="91">
        <f>MAX(0,S256-MAX(0,AK256-SUM(P256:R256)))</f>
        <v/>
      </c>
      <c r="AD256" s="91">
        <f>MAX(0,T256-MAX(0,AK256-SUM(P256:S256)))</f>
        <v/>
      </c>
      <c r="AE256" s="91">
        <f>MAX(0,U256-MAX(0,AK256-SUM(P256:T256)))</f>
        <v/>
      </c>
      <c r="AF256" s="91">
        <f>MAX(0,V256-MAX(0,AK256-SUM(P256:U256)))</f>
        <v/>
      </c>
      <c r="AG256" s="91">
        <f>MAX(0,W256-MAX(0,AK256-SUM(P256:V256)))</f>
        <v/>
      </c>
      <c r="AH256" s="91">
        <f>MAX(0,X256-MAX(0,AK256-SUM(P256:W256)))</f>
        <v/>
      </c>
      <c r="AI256" s="91">
        <f>MAX(0,Y256-MAX(0,AK256-SUM(P256:X256)))</f>
        <v/>
      </c>
      <c r="AJ256" s="92">
        <f>SUM(Z255:AI255)+AL256</f>
        <v/>
      </c>
      <c r="AK256" s="92">
        <f>$AK$7-(AJ256-SUM(P256:Y256))</f>
        <v/>
      </c>
      <c r="AL256" s="91">
        <f>SUMPRODUCT(Z255:AI255,$Z$6:$AI$6)/12</f>
        <v/>
      </c>
      <c r="AM256" s="88">
        <f>SUM(Z256:AI256)</f>
        <v/>
      </c>
      <c r="AO256" s="92">
        <f>IF(AY255&lt;0.005,0,MAX(0,AY255*(1+AY$6/12)-AY$7))</f>
        <v/>
      </c>
      <c r="AP256" s="92">
        <f>IF(AZ255&lt;0.005,0,MAX(0,AZ255*(1+AZ$6/12)-AZ$7))</f>
        <v/>
      </c>
      <c r="AQ256" s="92">
        <f>IF(BA255&lt;0.005,0,MAX(0,BA255*(1+BA$6/12)-BA$7))</f>
        <v/>
      </c>
      <c r="AR256" s="92">
        <f>IF(BB255&lt;0.005,0,MAX(0,BB255*(1+BB$6/12)-BB$7))</f>
        <v/>
      </c>
      <c r="AS256" s="92">
        <f>IF(BC255&lt;0.005,0,MAX(0,BC255*(1+BC$6/12)-BC$7))</f>
        <v/>
      </c>
      <c r="AT256" s="92">
        <f>IF(BD255&lt;0.005,0,MAX(0,BD255*(1+BD$6/12)-BD$7))</f>
        <v/>
      </c>
      <c r="AU256" s="92">
        <f>IF(BE255&lt;0.005,0,MAX(0,BE255*(1+BE$6/12)-BE$7))</f>
        <v/>
      </c>
      <c r="AV256" s="92">
        <f>IF(BF255&lt;0.005,0,MAX(0,BF255*(1+BF$6/12)-BF$7))</f>
        <v/>
      </c>
      <c r="AW256" s="92">
        <f>IF(BG255&lt;0.005,0,MAX(0,BG255*(1+BG$6/12)-BG$7))</f>
        <v/>
      </c>
      <c r="AX256" s="92">
        <f>IF(BH255&lt;0.005,0,MAX(0,BH255*(1+BH$6/12)-BH$7))</f>
        <v/>
      </c>
      <c r="AY256" s="91">
        <f>MAX(0,AO256-MAX(0,BJ256-0))</f>
        <v/>
      </c>
      <c r="AZ256" s="91">
        <f>MAX(0,AP256-MAX(0,BJ256-SUM(AO256:AO256)))</f>
        <v/>
      </c>
      <c r="BA256" s="91">
        <f>MAX(0,AQ256-MAX(0,BJ256-SUM(AO256:AP256)))</f>
        <v/>
      </c>
      <c r="BB256" s="91">
        <f>MAX(0,AR256-MAX(0,BJ256-SUM(AO256:AQ256)))</f>
        <v/>
      </c>
      <c r="BC256" s="91">
        <f>MAX(0,AS256-MAX(0,BJ256-SUM(AO256:AR256)))</f>
        <v/>
      </c>
      <c r="BD256" s="91">
        <f>MAX(0,AT256-MAX(0,BJ256-SUM(AO256:AS256)))</f>
        <v/>
      </c>
      <c r="BE256" s="91">
        <f>MAX(0,AU256-MAX(0,BJ256-SUM(AO256:AT256)))</f>
        <v/>
      </c>
      <c r="BF256" s="91">
        <f>MAX(0,AV256-MAX(0,BJ256-SUM(AO256:AU256)))</f>
        <v/>
      </c>
      <c r="BG256" s="91">
        <f>MAX(0,AW256-MAX(0,BJ256-SUM(AO256:AV256)))</f>
        <v/>
      </c>
      <c r="BH256" s="91">
        <f>MAX(0,AX256-MAX(0,BJ256-SUM(AO256:AW256)))</f>
        <v/>
      </c>
      <c r="BI256" s="92">
        <f>SUM(AY255:BH255)+BK256</f>
        <v/>
      </c>
      <c r="BJ256" s="92">
        <f>$BJ$7-(BI256-SUM(AO256:AX256))</f>
        <v/>
      </c>
      <c r="BK256" s="91">
        <f>SUMPRODUCT(AY255:BH255,$AY$6:$BH$6)/12</f>
        <v/>
      </c>
      <c r="BL256" s="88">
        <f>SUM(AY256:BH256)</f>
        <v/>
      </c>
    </row>
    <row r="257">
      <c r="A257" s="24" t="n">
        <v>247</v>
      </c>
      <c r="B257" s="90">
        <f>DATE(YEAR(Settings!$C$11),MONTH(Settings!$C$11)+A257,1)</f>
        <v/>
      </c>
      <c r="C257" s="91">
        <f>IF(C256&lt;0.005,0,MAX(0,C256*(1+C$6/12)-C$7))</f>
        <v/>
      </c>
      <c r="D257" s="91">
        <f>IF(D256&lt;0.005,0,MAX(0,D256*(1+D$6/12)-D$7))</f>
        <v/>
      </c>
      <c r="E257" s="91">
        <f>IF(E256&lt;0.005,0,MAX(0,E256*(1+E$6/12)-E$7))</f>
        <v/>
      </c>
      <c r="F257" s="91">
        <f>IF(F256&lt;0.005,0,MAX(0,F256*(1+F$6/12)-F$7))</f>
        <v/>
      </c>
      <c r="G257" s="91">
        <f>IF(G256&lt;0.005,0,MAX(0,G256*(1+G$6/12)-G$7))</f>
        <v/>
      </c>
      <c r="H257" s="91">
        <f>IF(H256&lt;0.005,0,MAX(0,H256*(1+H$6/12)-H$7))</f>
        <v/>
      </c>
      <c r="I257" s="91">
        <f>IF(I256&lt;0.005,0,MAX(0,I256*(1+I$6/12)-I$7))</f>
        <v/>
      </c>
      <c r="J257" s="91">
        <f>IF(J256&lt;0.005,0,MAX(0,J256*(1+J$6/12)-J$7))</f>
        <v/>
      </c>
      <c r="K257" s="91">
        <f>IF(K256&lt;0.005,0,MAX(0,K256*(1+K$6/12)-K$7))</f>
        <v/>
      </c>
      <c r="L257" s="91">
        <f>IF(L256&lt;0.005,0,MAX(0,L256*(1+L$6/12)-L$7))</f>
        <v/>
      </c>
      <c r="M257" s="91">
        <f>SUMPRODUCT(C256:L256,$C$6:$L$6)/12</f>
        <v/>
      </c>
      <c r="N257" s="88">
        <f>SUM(C257:L257)</f>
        <v/>
      </c>
      <c r="P257" s="92">
        <f>IF(Z256&lt;0.005,0,MAX(0,Z256*(1+Z$6/12)-Z$7))</f>
        <v/>
      </c>
      <c r="Q257" s="92">
        <f>IF(AA256&lt;0.005,0,MAX(0,AA256*(1+AA$6/12)-AA$7))</f>
        <v/>
      </c>
      <c r="R257" s="92">
        <f>IF(AB256&lt;0.005,0,MAX(0,AB256*(1+AB$6/12)-AB$7))</f>
        <v/>
      </c>
      <c r="S257" s="92">
        <f>IF(AC256&lt;0.005,0,MAX(0,AC256*(1+AC$6/12)-AC$7))</f>
        <v/>
      </c>
      <c r="T257" s="92">
        <f>IF(AD256&lt;0.005,0,MAX(0,AD256*(1+AD$6/12)-AD$7))</f>
        <v/>
      </c>
      <c r="U257" s="92">
        <f>IF(AE256&lt;0.005,0,MAX(0,AE256*(1+AE$6/12)-AE$7))</f>
        <v/>
      </c>
      <c r="V257" s="92">
        <f>IF(AF256&lt;0.005,0,MAX(0,AF256*(1+AF$6/12)-AF$7))</f>
        <v/>
      </c>
      <c r="W257" s="92">
        <f>IF(AG256&lt;0.005,0,MAX(0,AG256*(1+AG$6/12)-AG$7))</f>
        <v/>
      </c>
      <c r="X257" s="92">
        <f>IF(AH256&lt;0.005,0,MAX(0,AH256*(1+AH$6/12)-AH$7))</f>
        <v/>
      </c>
      <c r="Y257" s="92">
        <f>IF(AI256&lt;0.005,0,MAX(0,AI256*(1+AI$6/12)-AI$7))</f>
        <v/>
      </c>
      <c r="Z257" s="91">
        <f>MAX(0,P257-MAX(0,AK257-0))</f>
        <v/>
      </c>
      <c r="AA257" s="91">
        <f>MAX(0,Q257-MAX(0,AK257-SUM(P257:P257)))</f>
        <v/>
      </c>
      <c r="AB257" s="91">
        <f>MAX(0,R257-MAX(0,AK257-SUM(P257:Q257)))</f>
        <v/>
      </c>
      <c r="AC257" s="91">
        <f>MAX(0,S257-MAX(0,AK257-SUM(P257:R257)))</f>
        <v/>
      </c>
      <c r="AD257" s="91">
        <f>MAX(0,T257-MAX(0,AK257-SUM(P257:S257)))</f>
        <v/>
      </c>
      <c r="AE257" s="91">
        <f>MAX(0,U257-MAX(0,AK257-SUM(P257:T257)))</f>
        <v/>
      </c>
      <c r="AF257" s="91">
        <f>MAX(0,V257-MAX(0,AK257-SUM(P257:U257)))</f>
        <v/>
      </c>
      <c r="AG257" s="91">
        <f>MAX(0,W257-MAX(0,AK257-SUM(P257:V257)))</f>
        <v/>
      </c>
      <c r="AH257" s="91">
        <f>MAX(0,X257-MAX(0,AK257-SUM(P257:W257)))</f>
        <v/>
      </c>
      <c r="AI257" s="91">
        <f>MAX(0,Y257-MAX(0,AK257-SUM(P257:X257)))</f>
        <v/>
      </c>
      <c r="AJ257" s="92">
        <f>SUM(Z256:AI256)+AL257</f>
        <v/>
      </c>
      <c r="AK257" s="92">
        <f>$AK$7-(AJ257-SUM(P257:Y257))</f>
        <v/>
      </c>
      <c r="AL257" s="91">
        <f>SUMPRODUCT(Z256:AI256,$Z$6:$AI$6)/12</f>
        <v/>
      </c>
      <c r="AM257" s="88">
        <f>SUM(Z257:AI257)</f>
        <v/>
      </c>
      <c r="AO257" s="92">
        <f>IF(AY256&lt;0.005,0,MAX(0,AY256*(1+AY$6/12)-AY$7))</f>
        <v/>
      </c>
      <c r="AP257" s="92">
        <f>IF(AZ256&lt;0.005,0,MAX(0,AZ256*(1+AZ$6/12)-AZ$7))</f>
        <v/>
      </c>
      <c r="AQ257" s="92">
        <f>IF(BA256&lt;0.005,0,MAX(0,BA256*(1+BA$6/12)-BA$7))</f>
        <v/>
      </c>
      <c r="AR257" s="92">
        <f>IF(BB256&lt;0.005,0,MAX(0,BB256*(1+BB$6/12)-BB$7))</f>
        <v/>
      </c>
      <c r="AS257" s="92">
        <f>IF(BC256&lt;0.005,0,MAX(0,BC256*(1+BC$6/12)-BC$7))</f>
        <v/>
      </c>
      <c r="AT257" s="92">
        <f>IF(BD256&lt;0.005,0,MAX(0,BD256*(1+BD$6/12)-BD$7))</f>
        <v/>
      </c>
      <c r="AU257" s="92">
        <f>IF(BE256&lt;0.005,0,MAX(0,BE256*(1+BE$6/12)-BE$7))</f>
        <v/>
      </c>
      <c r="AV257" s="92">
        <f>IF(BF256&lt;0.005,0,MAX(0,BF256*(1+BF$6/12)-BF$7))</f>
        <v/>
      </c>
      <c r="AW257" s="92">
        <f>IF(BG256&lt;0.005,0,MAX(0,BG256*(1+BG$6/12)-BG$7))</f>
        <v/>
      </c>
      <c r="AX257" s="92">
        <f>IF(BH256&lt;0.005,0,MAX(0,BH256*(1+BH$6/12)-BH$7))</f>
        <v/>
      </c>
      <c r="AY257" s="91">
        <f>MAX(0,AO257-MAX(0,BJ257-0))</f>
        <v/>
      </c>
      <c r="AZ257" s="91">
        <f>MAX(0,AP257-MAX(0,BJ257-SUM(AO257:AO257)))</f>
        <v/>
      </c>
      <c r="BA257" s="91">
        <f>MAX(0,AQ257-MAX(0,BJ257-SUM(AO257:AP257)))</f>
        <v/>
      </c>
      <c r="BB257" s="91">
        <f>MAX(0,AR257-MAX(0,BJ257-SUM(AO257:AQ257)))</f>
        <v/>
      </c>
      <c r="BC257" s="91">
        <f>MAX(0,AS257-MAX(0,BJ257-SUM(AO257:AR257)))</f>
        <v/>
      </c>
      <c r="BD257" s="91">
        <f>MAX(0,AT257-MAX(0,BJ257-SUM(AO257:AS257)))</f>
        <v/>
      </c>
      <c r="BE257" s="91">
        <f>MAX(0,AU257-MAX(0,BJ257-SUM(AO257:AT257)))</f>
        <v/>
      </c>
      <c r="BF257" s="91">
        <f>MAX(0,AV257-MAX(0,BJ257-SUM(AO257:AU257)))</f>
        <v/>
      </c>
      <c r="BG257" s="91">
        <f>MAX(0,AW257-MAX(0,BJ257-SUM(AO257:AV257)))</f>
        <v/>
      </c>
      <c r="BH257" s="91">
        <f>MAX(0,AX257-MAX(0,BJ257-SUM(AO257:AW257)))</f>
        <v/>
      </c>
      <c r="BI257" s="92">
        <f>SUM(AY256:BH256)+BK257</f>
        <v/>
      </c>
      <c r="BJ257" s="92">
        <f>$BJ$7-(BI257-SUM(AO257:AX257))</f>
        <v/>
      </c>
      <c r="BK257" s="91">
        <f>SUMPRODUCT(AY256:BH256,$AY$6:$BH$6)/12</f>
        <v/>
      </c>
      <c r="BL257" s="88">
        <f>SUM(AY257:BH257)</f>
        <v/>
      </c>
    </row>
    <row r="258">
      <c r="A258" s="24" t="n">
        <v>248</v>
      </c>
      <c r="B258" s="90">
        <f>DATE(YEAR(Settings!$C$11),MONTH(Settings!$C$11)+A258,1)</f>
        <v/>
      </c>
      <c r="C258" s="91">
        <f>IF(C257&lt;0.005,0,MAX(0,C257*(1+C$6/12)-C$7))</f>
        <v/>
      </c>
      <c r="D258" s="91">
        <f>IF(D257&lt;0.005,0,MAX(0,D257*(1+D$6/12)-D$7))</f>
        <v/>
      </c>
      <c r="E258" s="91">
        <f>IF(E257&lt;0.005,0,MAX(0,E257*(1+E$6/12)-E$7))</f>
        <v/>
      </c>
      <c r="F258" s="91">
        <f>IF(F257&lt;0.005,0,MAX(0,F257*(1+F$6/12)-F$7))</f>
        <v/>
      </c>
      <c r="G258" s="91">
        <f>IF(G257&lt;0.005,0,MAX(0,G257*(1+G$6/12)-G$7))</f>
        <v/>
      </c>
      <c r="H258" s="91">
        <f>IF(H257&lt;0.005,0,MAX(0,H257*(1+H$6/12)-H$7))</f>
        <v/>
      </c>
      <c r="I258" s="91">
        <f>IF(I257&lt;0.005,0,MAX(0,I257*(1+I$6/12)-I$7))</f>
        <v/>
      </c>
      <c r="J258" s="91">
        <f>IF(J257&lt;0.005,0,MAX(0,J257*(1+J$6/12)-J$7))</f>
        <v/>
      </c>
      <c r="K258" s="91">
        <f>IF(K257&lt;0.005,0,MAX(0,K257*(1+K$6/12)-K$7))</f>
        <v/>
      </c>
      <c r="L258" s="91">
        <f>IF(L257&lt;0.005,0,MAX(0,L257*(1+L$6/12)-L$7))</f>
        <v/>
      </c>
      <c r="M258" s="91">
        <f>SUMPRODUCT(C257:L257,$C$6:$L$6)/12</f>
        <v/>
      </c>
      <c r="N258" s="88">
        <f>SUM(C258:L258)</f>
        <v/>
      </c>
      <c r="P258" s="92">
        <f>IF(Z257&lt;0.005,0,MAX(0,Z257*(1+Z$6/12)-Z$7))</f>
        <v/>
      </c>
      <c r="Q258" s="92">
        <f>IF(AA257&lt;0.005,0,MAX(0,AA257*(1+AA$6/12)-AA$7))</f>
        <v/>
      </c>
      <c r="R258" s="92">
        <f>IF(AB257&lt;0.005,0,MAX(0,AB257*(1+AB$6/12)-AB$7))</f>
        <v/>
      </c>
      <c r="S258" s="92">
        <f>IF(AC257&lt;0.005,0,MAX(0,AC257*(1+AC$6/12)-AC$7))</f>
        <v/>
      </c>
      <c r="T258" s="92">
        <f>IF(AD257&lt;0.005,0,MAX(0,AD257*(1+AD$6/12)-AD$7))</f>
        <v/>
      </c>
      <c r="U258" s="92">
        <f>IF(AE257&lt;0.005,0,MAX(0,AE257*(1+AE$6/12)-AE$7))</f>
        <v/>
      </c>
      <c r="V258" s="92">
        <f>IF(AF257&lt;0.005,0,MAX(0,AF257*(1+AF$6/12)-AF$7))</f>
        <v/>
      </c>
      <c r="W258" s="92">
        <f>IF(AG257&lt;0.005,0,MAX(0,AG257*(1+AG$6/12)-AG$7))</f>
        <v/>
      </c>
      <c r="X258" s="92">
        <f>IF(AH257&lt;0.005,0,MAX(0,AH257*(1+AH$6/12)-AH$7))</f>
        <v/>
      </c>
      <c r="Y258" s="92">
        <f>IF(AI257&lt;0.005,0,MAX(0,AI257*(1+AI$6/12)-AI$7))</f>
        <v/>
      </c>
      <c r="Z258" s="91">
        <f>MAX(0,P258-MAX(0,AK258-0))</f>
        <v/>
      </c>
      <c r="AA258" s="91">
        <f>MAX(0,Q258-MAX(0,AK258-SUM(P258:P258)))</f>
        <v/>
      </c>
      <c r="AB258" s="91">
        <f>MAX(0,R258-MAX(0,AK258-SUM(P258:Q258)))</f>
        <v/>
      </c>
      <c r="AC258" s="91">
        <f>MAX(0,S258-MAX(0,AK258-SUM(P258:R258)))</f>
        <v/>
      </c>
      <c r="AD258" s="91">
        <f>MAX(0,T258-MAX(0,AK258-SUM(P258:S258)))</f>
        <v/>
      </c>
      <c r="AE258" s="91">
        <f>MAX(0,U258-MAX(0,AK258-SUM(P258:T258)))</f>
        <v/>
      </c>
      <c r="AF258" s="91">
        <f>MAX(0,V258-MAX(0,AK258-SUM(P258:U258)))</f>
        <v/>
      </c>
      <c r="AG258" s="91">
        <f>MAX(0,W258-MAX(0,AK258-SUM(P258:V258)))</f>
        <v/>
      </c>
      <c r="AH258" s="91">
        <f>MAX(0,X258-MAX(0,AK258-SUM(P258:W258)))</f>
        <v/>
      </c>
      <c r="AI258" s="91">
        <f>MAX(0,Y258-MAX(0,AK258-SUM(P258:X258)))</f>
        <v/>
      </c>
      <c r="AJ258" s="92">
        <f>SUM(Z257:AI257)+AL258</f>
        <v/>
      </c>
      <c r="AK258" s="92">
        <f>$AK$7-(AJ258-SUM(P258:Y258))</f>
        <v/>
      </c>
      <c r="AL258" s="91">
        <f>SUMPRODUCT(Z257:AI257,$Z$6:$AI$6)/12</f>
        <v/>
      </c>
      <c r="AM258" s="88">
        <f>SUM(Z258:AI258)</f>
        <v/>
      </c>
      <c r="AO258" s="92">
        <f>IF(AY257&lt;0.005,0,MAX(0,AY257*(1+AY$6/12)-AY$7))</f>
        <v/>
      </c>
      <c r="AP258" s="92">
        <f>IF(AZ257&lt;0.005,0,MAX(0,AZ257*(1+AZ$6/12)-AZ$7))</f>
        <v/>
      </c>
      <c r="AQ258" s="92">
        <f>IF(BA257&lt;0.005,0,MAX(0,BA257*(1+BA$6/12)-BA$7))</f>
        <v/>
      </c>
      <c r="AR258" s="92">
        <f>IF(BB257&lt;0.005,0,MAX(0,BB257*(1+BB$6/12)-BB$7))</f>
        <v/>
      </c>
      <c r="AS258" s="92">
        <f>IF(BC257&lt;0.005,0,MAX(0,BC257*(1+BC$6/12)-BC$7))</f>
        <v/>
      </c>
      <c r="AT258" s="92">
        <f>IF(BD257&lt;0.005,0,MAX(0,BD257*(1+BD$6/12)-BD$7))</f>
        <v/>
      </c>
      <c r="AU258" s="92">
        <f>IF(BE257&lt;0.005,0,MAX(0,BE257*(1+BE$6/12)-BE$7))</f>
        <v/>
      </c>
      <c r="AV258" s="92">
        <f>IF(BF257&lt;0.005,0,MAX(0,BF257*(1+BF$6/12)-BF$7))</f>
        <v/>
      </c>
      <c r="AW258" s="92">
        <f>IF(BG257&lt;0.005,0,MAX(0,BG257*(1+BG$6/12)-BG$7))</f>
        <v/>
      </c>
      <c r="AX258" s="92">
        <f>IF(BH257&lt;0.005,0,MAX(0,BH257*(1+BH$6/12)-BH$7))</f>
        <v/>
      </c>
      <c r="AY258" s="91">
        <f>MAX(0,AO258-MAX(0,BJ258-0))</f>
        <v/>
      </c>
      <c r="AZ258" s="91">
        <f>MAX(0,AP258-MAX(0,BJ258-SUM(AO258:AO258)))</f>
        <v/>
      </c>
      <c r="BA258" s="91">
        <f>MAX(0,AQ258-MAX(0,BJ258-SUM(AO258:AP258)))</f>
        <v/>
      </c>
      <c r="BB258" s="91">
        <f>MAX(0,AR258-MAX(0,BJ258-SUM(AO258:AQ258)))</f>
        <v/>
      </c>
      <c r="BC258" s="91">
        <f>MAX(0,AS258-MAX(0,BJ258-SUM(AO258:AR258)))</f>
        <v/>
      </c>
      <c r="BD258" s="91">
        <f>MAX(0,AT258-MAX(0,BJ258-SUM(AO258:AS258)))</f>
        <v/>
      </c>
      <c r="BE258" s="91">
        <f>MAX(0,AU258-MAX(0,BJ258-SUM(AO258:AT258)))</f>
        <v/>
      </c>
      <c r="BF258" s="91">
        <f>MAX(0,AV258-MAX(0,BJ258-SUM(AO258:AU258)))</f>
        <v/>
      </c>
      <c r="BG258" s="91">
        <f>MAX(0,AW258-MAX(0,BJ258-SUM(AO258:AV258)))</f>
        <v/>
      </c>
      <c r="BH258" s="91">
        <f>MAX(0,AX258-MAX(0,BJ258-SUM(AO258:AW258)))</f>
        <v/>
      </c>
      <c r="BI258" s="92">
        <f>SUM(AY257:BH257)+BK258</f>
        <v/>
      </c>
      <c r="BJ258" s="92">
        <f>$BJ$7-(BI258-SUM(AO258:AX258))</f>
        <v/>
      </c>
      <c r="BK258" s="91">
        <f>SUMPRODUCT(AY257:BH257,$AY$6:$BH$6)/12</f>
        <v/>
      </c>
      <c r="BL258" s="88">
        <f>SUM(AY258:BH258)</f>
        <v/>
      </c>
    </row>
    <row r="259">
      <c r="A259" s="24" t="n">
        <v>249</v>
      </c>
      <c r="B259" s="90">
        <f>DATE(YEAR(Settings!$C$11),MONTH(Settings!$C$11)+A259,1)</f>
        <v/>
      </c>
      <c r="C259" s="91">
        <f>IF(C258&lt;0.005,0,MAX(0,C258*(1+C$6/12)-C$7))</f>
        <v/>
      </c>
      <c r="D259" s="91">
        <f>IF(D258&lt;0.005,0,MAX(0,D258*(1+D$6/12)-D$7))</f>
        <v/>
      </c>
      <c r="E259" s="91">
        <f>IF(E258&lt;0.005,0,MAX(0,E258*(1+E$6/12)-E$7))</f>
        <v/>
      </c>
      <c r="F259" s="91">
        <f>IF(F258&lt;0.005,0,MAX(0,F258*(1+F$6/12)-F$7))</f>
        <v/>
      </c>
      <c r="G259" s="91">
        <f>IF(G258&lt;0.005,0,MAX(0,G258*(1+G$6/12)-G$7))</f>
        <v/>
      </c>
      <c r="H259" s="91">
        <f>IF(H258&lt;0.005,0,MAX(0,H258*(1+H$6/12)-H$7))</f>
        <v/>
      </c>
      <c r="I259" s="91">
        <f>IF(I258&lt;0.005,0,MAX(0,I258*(1+I$6/12)-I$7))</f>
        <v/>
      </c>
      <c r="J259" s="91">
        <f>IF(J258&lt;0.005,0,MAX(0,J258*(1+J$6/12)-J$7))</f>
        <v/>
      </c>
      <c r="K259" s="91">
        <f>IF(K258&lt;0.005,0,MAX(0,K258*(1+K$6/12)-K$7))</f>
        <v/>
      </c>
      <c r="L259" s="91">
        <f>IF(L258&lt;0.005,0,MAX(0,L258*(1+L$6/12)-L$7))</f>
        <v/>
      </c>
      <c r="M259" s="91">
        <f>SUMPRODUCT(C258:L258,$C$6:$L$6)/12</f>
        <v/>
      </c>
      <c r="N259" s="88">
        <f>SUM(C259:L259)</f>
        <v/>
      </c>
      <c r="P259" s="92">
        <f>IF(Z258&lt;0.005,0,MAX(0,Z258*(1+Z$6/12)-Z$7))</f>
        <v/>
      </c>
      <c r="Q259" s="92">
        <f>IF(AA258&lt;0.005,0,MAX(0,AA258*(1+AA$6/12)-AA$7))</f>
        <v/>
      </c>
      <c r="R259" s="92">
        <f>IF(AB258&lt;0.005,0,MAX(0,AB258*(1+AB$6/12)-AB$7))</f>
        <v/>
      </c>
      <c r="S259" s="92">
        <f>IF(AC258&lt;0.005,0,MAX(0,AC258*(1+AC$6/12)-AC$7))</f>
        <v/>
      </c>
      <c r="T259" s="92">
        <f>IF(AD258&lt;0.005,0,MAX(0,AD258*(1+AD$6/12)-AD$7))</f>
        <v/>
      </c>
      <c r="U259" s="92">
        <f>IF(AE258&lt;0.005,0,MAX(0,AE258*(1+AE$6/12)-AE$7))</f>
        <v/>
      </c>
      <c r="V259" s="92">
        <f>IF(AF258&lt;0.005,0,MAX(0,AF258*(1+AF$6/12)-AF$7))</f>
        <v/>
      </c>
      <c r="W259" s="92">
        <f>IF(AG258&lt;0.005,0,MAX(0,AG258*(1+AG$6/12)-AG$7))</f>
        <v/>
      </c>
      <c r="X259" s="92">
        <f>IF(AH258&lt;0.005,0,MAX(0,AH258*(1+AH$6/12)-AH$7))</f>
        <v/>
      </c>
      <c r="Y259" s="92">
        <f>IF(AI258&lt;0.005,0,MAX(0,AI258*(1+AI$6/12)-AI$7))</f>
        <v/>
      </c>
      <c r="Z259" s="91">
        <f>MAX(0,P259-MAX(0,AK259-0))</f>
        <v/>
      </c>
      <c r="AA259" s="91">
        <f>MAX(0,Q259-MAX(0,AK259-SUM(P259:P259)))</f>
        <v/>
      </c>
      <c r="AB259" s="91">
        <f>MAX(0,R259-MAX(0,AK259-SUM(P259:Q259)))</f>
        <v/>
      </c>
      <c r="AC259" s="91">
        <f>MAX(0,S259-MAX(0,AK259-SUM(P259:R259)))</f>
        <v/>
      </c>
      <c r="AD259" s="91">
        <f>MAX(0,T259-MAX(0,AK259-SUM(P259:S259)))</f>
        <v/>
      </c>
      <c r="AE259" s="91">
        <f>MAX(0,U259-MAX(0,AK259-SUM(P259:T259)))</f>
        <v/>
      </c>
      <c r="AF259" s="91">
        <f>MAX(0,V259-MAX(0,AK259-SUM(P259:U259)))</f>
        <v/>
      </c>
      <c r="AG259" s="91">
        <f>MAX(0,W259-MAX(0,AK259-SUM(P259:V259)))</f>
        <v/>
      </c>
      <c r="AH259" s="91">
        <f>MAX(0,X259-MAX(0,AK259-SUM(P259:W259)))</f>
        <v/>
      </c>
      <c r="AI259" s="91">
        <f>MAX(0,Y259-MAX(0,AK259-SUM(P259:X259)))</f>
        <v/>
      </c>
      <c r="AJ259" s="92">
        <f>SUM(Z258:AI258)+AL259</f>
        <v/>
      </c>
      <c r="AK259" s="92">
        <f>$AK$7-(AJ259-SUM(P259:Y259))</f>
        <v/>
      </c>
      <c r="AL259" s="91">
        <f>SUMPRODUCT(Z258:AI258,$Z$6:$AI$6)/12</f>
        <v/>
      </c>
      <c r="AM259" s="88">
        <f>SUM(Z259:AI259)</f>
        <v/>
      </c>
      <c r="AO259" s="92">
        <f>IF(AY258&lt;0.005,0,MAX(0,AY258*(1+AY$6/12)-AY$7))</f>
        <v/>
      </c>
      <c r="AP259" s="92">
        <f>IF(AZ258&lt;0.005,0,MAX(0,AZ258*(1+AZ$6/12)-AZ$7))</f>
        <v/>
      </c>
      <c r="AQ259" s="92">
        <f>IF(BA258&lt;0.005,0,MAX(0,BA258*(1+BA$6/12)-BA$7))</f>
        <v/>
      </c>
      <c r="AR259" s="92">
        <f>IF(BB258&lt;0.005,0,MAX(0,BB258*(1+BB$6/12)-BB$7))</f>
        <v/>
      </c>
      <c r="AS259" s="92">
        <f>IF(BC258&lt;0.005,0,MAX(0,BC258*(1+BC$6/12)-BC$7))</f>
        <v/>
      </c>
      <c r="AT259" s="92">
        <f>IF(BD258&lt;0.005,0,MAX(0,BD258*(1+BD$6/12)-BD$7))</f>
        <v/>
      </c>
      <c r="AU259" s="92">
        <f>IF(BE258&lt;0.005,0,MAX(0,BE258*(1+BE$6/12)-BE$7))</f>
        <v/>
      </c>
      <c r="AV259" s="92">
        <f>IF(BF258&lt;0.005,0,MAX(0,BF258*(1+BF$6/12)-BF$7))</f>
        <v/>
      </c>
      <c r="AW259" s="92">
        <f>IF(BG258&lt;0.005,0,MAX(0,BG258*(1+BG$6/12)-BG$7))</f>
        <v/>
      </c>
      <c r="AX259" s="92">
        <f>IF(BH258&lt;0.005,0,MAX(0,BH258*(1+BH$6/12)-BH$7))</f>
        <v/>
      </c>
      <c r="AY259" s="91">
        <f>MAX(0,AO259-MAX(0,BJ259-0))</f>
        <v/>
      </c>
      <c r="AZ259" s="91">
        <f>MAX(0,AP259-MAX(0,BJ259-SUM(AO259:AO259)))</f>
        <v/>
      </c>
      <c r="BA259" s="91">
        <f>MAX(0,AQ259-MAX(0,BJ259-SUM(AO259:AP259)))</f>
        <v/>
      </c>
      <c r="BB259" s="91">
        <f>MAX(0,AR259-MAX(0,BJ259-SUM(AO259:AQ259)))</f>
        <v/>
      </c>
      <c r="BC259" s="91">
        <f>MAX(0,AS259-MAX(0,BJ259-SUM(AO259:AR259)))</f>
        <v/>
      </c>
      <c r="BD259" s="91">
        <f>MAX(0,AT259-MAX(0,BJ259-SUM(AO259:AS259)))</f>
        <v/>
      </c>
      <c r="BE259" s="91">
        <f>MAX(0,AU259-MAX(0,BJ259-SUM(AO259:AT259)))</f>
        <v/>
      </c>
      <c r="BF259" s="91">
        <f>MAX(0,AV259-MAX(0,BJ259-SUM(AO259:AU259)))</f>
        <v/>
      </c>
      <c r="BG259" s="91">
        <f>MAX(0,AW259-MAX(0,BJ259-SUM(AO259:AV259)))</f>
        <v/>
      </c>
      <c r="BH259" s="91">
        <f>MAX(0,AX259-MAX(0,BJ259-SUM(AO259:AW259)))</f>
        <v/>
      </c>
      <c r="BI259" s="92">
        <f>SUM(AY258:BH258)+BK259</f>
        <v/>
      </c>
      <c r="BJ259" s="92">
        <f>$BJ$7-(BI259-SUM(AO259:AX259))</f>
        <v/>
      </c>
      <c r="BK259" s="91">
        <f>SUMPRODUCT(AY258:BH258,$AY$6:$BH$6)/12</f>
        <v/>
      </c>
      <c r="BL259" s="88">
        <f>SUM(AY259:BH259)</f>
        <v/>
      </c>
    </row>
    <row r="260">
      <c r="A260" s="24" t="n">
        <v>250</v>
      </c>
      <c r="B260" s="90">
        <f>DATE(YEAR(Settings!$C$11),MONTH(Settings!$C$11)+A260,1)</f>
        <v/>
      </c>
      <c r="C260" s="91">
        <f>IF(C259&lt;0.005,0,MAX(0,C259*(1+C$6/12)-C$7))</f>
        <v/>
      </c>
      <c r="D260" s="91">
        <f>IF(D259&lt;0.005,0,MAX(0,D259*(1+D$6/12)-D$7))</f>
        <v/>
      </c>
      <c r="E260" s="91">
        <f>IF(E259&lt;0.005,0,MAX(0,E259*(1+E$6/12)-E$7))</f>
        <v/>
      </c>
      <c r="F260" s="91">
        <f>IF(F259&lt;0.005,0,MAX(0,F259*(1+F$6/12)-F$7))</f>
        <v/>
      </c>
      <c r="G260" s="91">
        <f>IF(G259&lt;0.005,0,MAX(0,G259*(1+G$6/12)-G$7))</f>
        <v/>
      </c>
      <c r="H260" s="91">
        <f>IF(H259&lt;0.005,0,MAX(0,H259*(1+H$6/12)-H$7))</f>
        <v/>
      </c>
      <c r="I260" s="91">
        <f>IF(I259&lt;0.005,0,MAX(0,I259*(1+I$6/12)-I$7))</f>
        <v/>
      </c>
      <c r="J260" s="91">
        <f>IF(J259&lt;0.005,0,MAX(0,J259*(1+J$6/12)-J$7))</f>
        <v/>
      </c>
      <c r="K260" s="91">
        <f>IF(K259&lt;0.005,0,MAX(0,K259*(1+K$6/12)-K$7))</f>
        <v/>
      </c>
      <c r="L260" s="91">
        <f>IF(L259&lt;0.005,0,MAX(0,L259*(1+L$6/12)-L$7))</f>
        <v/>
      </c>
      <c r="M260" s="91">
        <f>SUMPRODUCT(C259:L259,$C$6:$L$6)/12</f>
        <v/>
      </c>
      <c r="N260" s="88">
        <f>SUM(C260:L260)</f>
        <v/>
      </c>
      <c r="P260" s="92">
        <f>IF(Z259&lt;0.005,0,MAX(0,Z259*(1+Z$6/12)-Z$7))</f>
        <v/>
      </c>
      <c r="Q260" s="92">
        <f>IF(AA259&lt;0.005,0,MAX(0,AA259*(1+AA$6/12)-AA$7))</f>
        <v/>
      </c>
      <c r="R260" s="92">
        <f>IF(AB259&lt;0.005,0,MAX(0,AB259*(1+AB$6/12)-AB$7))</f>
        <v/>
      </c>
      <c r="S260" s="92">
        <f>IF(AC259&lt;0.005,0,MAX(0,AC259*(1+AC$6/12)-AC$7))</f>
        <v/>
      </c>
      <c r="T260" s="92">
        <f>IF(AD259&lt;0.005,0,MAX(0,AD259*(1+AD$6/12)-AD$7))</f>
        <v/>
      </c>
      <c r="U260" s="92">
        <f>IF(AE259&lt;0.005,0,MAX(0,AE259*(1+AE$6/12)-AE$7))</f>
        <v/>
      </c>
      <c r="V260" s="92">
        <f>IF(AF259&lt;0.005,0,MAX(0,AF259*(1+AF$6/12)-AF$7))</f>
        <v/>
      </c>
      <c r="W260" s="92">
        <f>IF(AG259&lt;0.005,0,MAX(0,AG259*(1+AG$6/12)-AG$7))</f>
        <v/>
      </c>
      <c r="X260" s="92">
        <f>IF(AH259&lt;0.005,0,MAX(0,AH259*(1+AH$6/12)-AH$7))</f>
        <v/>
      </c>
      <c r="Y260" s="92">
        <f>IF(AI259&lt;0.005,0,MAX(0,AI259*(1+AI$6/12)-AI$7))</f>
        <v/>
      </c>
      <c r="Z260" s="91">
        <f>MAX(0,P260-MAX(0,AK260-0))</f>
        <v/>
      </c>
      <c r="AA260" s="91">
        <f>MAX(0,Q260-MAX(0,AK260-SUM(P260:P260)))</f>
        <v/>
      </c>
      <c r="AB260" s="91">
        <f>MAX(0,R260-MAX(0,AK260-SUM(P260:Q260)))</f>
        <v/>
      </c>
      <c r="AC260" s="91">
        <f>MAX(0,S260-MAX(0,AK260-SUM(P260:R260)))</f>
        <v/>
      </c>
      <c r="AD260" s="91">
        <f>MAX(0,T260-MAX(0,AK260-SUM(P260:S260)))</f>
        <v/>
      </c>
      <c r="AE260" s="91">
        <f>MAX(0,U260-MAX(0,AK260-SUM(P260:T260)))</f>
        <v/>
      </c>
      <c r="AF260" s="91">
        <f>MAX(0,V260-MAX(0,AK260-SUM(P260:U260)))</f>
        <v/>
      </c>
      <c r="AG260" s="91">
        <f>MAX(0,W260-MAX(0,AK260-SUM(P260:V260)))</f>
        <v/>
      </c>
      <c r="AH260" s="91">
        <f>MAX(0,X260-MAX(0,AK260-SUM(P260:W260)))</f>
        <v/>
      </c>
      <c r="AI260" s="91">
        <f>MAX(0,Y260-MAX(0,AK260-SUM(P260:X260)))</f>
        <v/>
      </c>
      <c r="AJ260" s="92">
        <f>SUM(Z259:AI259)+AL260</f>
        <v/>
      </c>
      <c r="AK260" s="92">
        <f>$AK$7-(AJ260-SUM(P260:Y260))</f>
        <v/>
      </c>
      <c r="AL260" s="91">
        <f>SUMPRODUCT(Z259:AI259,$Z$6:$AI$6)/12</f>
        <v/>
      </c>
      <c r="AM260" s="88">
        <f>SUM(Z260:AI260)</f>
        <v/>
      </c>
      <c r="AO260" s="92">
        <f>IF(AY259&lt;0.005,0,MAX(0,AY259*(1+AY$6/12)-AY$7))</f>
        <v/>
      </c>
      <c r="AP260" s="92">
        <f>IF(AZ259&lt;0.005,0,MAX(0,AZ259*(1+AZ$6/12)-AZ$7))</f>
        <v/>
      </c>
      <c r="AQ260" s="92">
        <f>IF(BA259&lt;0.005,0,MAX(0,BA259*(1+BA$6/12)-BA$7))</f>
        <v/>
      </c>
      <c r="AR260" s="92">
        <f>IF(BB259&lt;0.005,0,MAX(0,BB259*(1+BB$6/12)-BB$7))</f>
        <v/>
      </c>
      <c r="AS260" s="92">
        <f>IF(BC259&lt;0.005,0,MAX(0,BC259*(1+BC$6/12)-BC$7))</f>
        <v/>
      </c>
      <c r="AT260" s="92">
        <f>IF(BD259&lt;0.005,0,MAX(0,BD259*(1+BD$6/12)-BD$7))</f>
        <v/>
      </c>
      <c r="AU260" s="92">
        <f>IF(BE259&lt;0.005,0,MAX(0,BE259*(1+BE$6/12)-BE$7))</f>
        <v/>
      </c>
      <c r="AV260" s="92">
        <f>IF(BF259&lt;0.005,0,MAX(0,BF259*(1+BF$6/12)-BF$7))</f>
        <v/>
      </c>
      <c r="AW260" s="92">
        <f>IF(BG259&lt;0.005,0,MAX(0,BG259*(1+BG$6/12)-BG$7))</f>
        <v/>
      </c>
      <c r="AX260" s="92">
        <f>IF(BH259&lt;0.005,0,MAX(0,BH259*(1+BH$6/12)-BH$7))</f>
        <v/>
      </c>
      <c r="AY260" s="91">
        <f>MAX(0,AO260-MAX(0,BJ260-0))</f>
        <v/>
      </c>
      <c r="AZ260" s="91">
        <f>MAX(0,AP260-MAX(0,BJ260-SUM(AO260:AO260)))</f>
        <v/>
      </c>
      <c r="BA260" s="91">
        <f>MAX(0,AQ260-MAX(0,BJ260-SUM(AO260:AP260)))</f>
        <v/>
      </c>
      <c r="BB260" s="91">
        <f>MAX(0,AR260-MAX(0,BJ260-SUM(AO260:AQ260)))</f>
        <v/>
      </c>
      <c r="BC260" s="91">
        <f>MAX(0,AS260-MAX(0,BJ260-SUM(AO260:AR260)))</f>
        <v/>
      </c>
      <c r="BD260" s="91">
        <f>MAX(0,AT260-MAX(0,BJ260-SUM(AO260:AS260)))</f>
        <v/>
      </c>
      <c r="BE260" s="91">
        <f>MAX(0,AU260-MAX(0,BJ260-SUM(AO260:AT260)))</f>
        <v/>
      </c>
      <c r="BF260" s="91">
        <f>MAX(0,AV260-MAX(0,BJ260-SUM(AO260:AU260)))</f>
        <v/>
      </c>
      <c r="BG260" s="91">
        <f>MAX(0,AW260-MAX(0,BJ260-SUM(AO260:AV260)))</f>
        <v/>
      </c>
      <c r="BH260" s="91">
        <f>MAX(0,AX260-MAX(0,BJ260-SUM(AO260:AW260)))</f>
        <v/>
      </c>
      <c r="BI260" s="92">
        <f>SUM(AY259:BH259)+BK260</f>
        <v/>
      </c>
      <c r="BJ260" s="92">
        <f>$BJ$7-(BI260-SUM(AO260:AX260))</f>
        <v/>
      </c>
      <c r="BK260" s="91">
        <f>SUMPRODUCT(AY259:BH259,$AY$6:$BH$6)/12</f>
        <v/>
      </c>
      <c r="BL260" s="88">
        <f>SUM(AY260:BH260)</f>
        <v/>
      </c>
    </row>
    <row r="261">
      <c r="A261" s="24" t="n">
        <v>251</v>
      </c>
      <c r="B261" s="90">
        <f>DATE(YEAR(Settings!$C$11),MONTH(Settings!$C$11)+A261,1)</f>
        <v/>
      </c>
      <c r="C261" s="91">
        <f>IF(C260&lt;0.005,0,MAX(0,C260*(1+C$6/12)-C$7))</f>
        <v/>
      </c>
      <c r="D261" s="91">
        <f>IF(D260&lt;0.005,0,MAX(0,D260*(1+D$6/12)-D$7))</f>
        <v/>
      </c>
      <c r="E261" s="91">
        <f>IF(E260&lt;0.005,0,MAX(0,E260*(1+E$6/12)-E$7))</f>
        <v/>
      </c>
      <c r="F261" s="91">
        <f>IF(F260&lt;0.005,0,MAX(0,F260*(1+F$6/12)-F$7))</f>
        <v/>
      </c>
      <c r="G261" s="91">
        <f>IF(G260&lt;0.005,0,MAX(0,G260*(1+G$6/12)-G$7))</f>
        <v/>
      </c>
      <c r="H261" s="91">
        <f>IF(H260&lt;0.005,0,MAX(0,H260*(1+H$6/12)-H$7))</f>
        <v/>
      </c>
      <c r="I261" s="91">
        <f>IF(I260&lt;0.005,0,MAX(0,I260*(1+I$6/12)-I$7))</f>
        <v/>
      </c>
      <c r="J261" s="91">
        <f>IF(J260&lt;0.005,0,MAX(0,J260*(1+J$6/12)-J$7))</f>
        <v/>
      </c>
      <c r="K261" s="91">
        <f>IF(K260&lt;0.005,0,MAX(0,K260*(1+K$6/12)-K$7))</f>
        <v/>
      </c>
      <c r="L261" s="91">
        <f>IF(L260&lt;0.005,0,MAX(0,L260*(1+L$6/12)-L$7))</f>
        <v/>
      </c>
      <c r="M261" s="91">
        <f>SUMPRODUCT(C260:L260,$C$6:$L$6)/12</f>
        <v/>
      </c>
      <c r="N261" s="88">
        <f>SUM(C261:L261)</f>
        <v/>
      </c>
      <c r="P261" s="92">
        <f>IF(Z260&lt;0.005,0,MAX(0,Z260*(1+Z$6/12)-Z$7))</f>
        <v/>
      </c>
      <c r="Q261" s="92">
        <f>IF(AA260&lt;0.005,0,MAX(0,AA260*(1+AA$6/12)-AA$7))</f>
        <v/>
      </c>
      <c r="R261" s="92">
        <f>IF(AB260&lt;0.005,0,MAX(0,AB260*(1+AB$6/12)-AB$7))</f>
        <v/>
      </c>
      <c r="S261" s="92">
        <f>IF(AC260&lt;0.005,0,MAX(0,AC260*(1+AC$6/12)-AC$7))</f>
        <v/>
      </c>
      <c r="T261" s="92">
        <f>IF(AD260&lt;0.005,0,MAX(0,AD260*(1+AD$6/12)-AD$7))</f>
        <v/>
      </c>
      <c r="U261" s="92">
        <f>IF(AE260&lt;0.005,0,MAX(0,AE260*(1+AE$6/12)-AE$7))</f>
        <v/>
      </c>
      <c r="V261" s="92">
        <f>IF(AF260&lt;0.005,0,MAX(0,AF260*(1+AF$6/12)-AF$7))</f>
        <v/>
      </c>
      <c r="W261" s="92">
        <f>IF(AG260&lt;0.005,0,MAX(0,AG260*(1+AG$6/12)-AG$7))</f>
        <v/>
      </c>
      <c r="X261" s="92">
        <f>IF(AH260&lt;0.005,0,MAX(0,AH260*(1+AH$6/12)-AH$7))</f>
        <v/>
      </c>
      <c r="Y261" s="92">
        <f>IF(AI260&lt;0.005,0,MAX(0,AI260*(1+AI$6/12)-AI$7))</f>
        <v/>
      </c>
      <c r="Z261" s="91">
        <f>MAX(0,P261-MAX(0,AK261-0))</f>
        <v/>
      </c>
      <c r="AA261" s="91">
        <f>MAX(0,Q261-MAX(0,AK261-SUM(P261:P261)))</f>
        <v/>
      </c>
      <c r="AB261" s="91">
        <f>MAX(0,R261-MAX(0,AK261-SUM(P261:Q261)))</f>
        <v/>
      </c>
      <c r="AC261" s="91">
        <f>MAX(0,S261-MAX(0,AK261-SUM(P261:R261)))</f>
        <v/>
      </c>
      <c r="AD261" s="91">
        <f>MAX(0,T261-MAX(0,AK261-SUM(P261:S261)))</f>
        <v/>
      </c>
      <c r="AE261" s="91">
        <f>MAX(0,U261-MAX(0,AK261-SUM(P261:T261)))</f>
        <v/>
      </c>
      <c r="AF261" s="91">
        <f>MAX(0,V261-MAX(0,AK261-SUM(P261:U261)))</f>
        <v/>
      </c>
      <c r="AG261" s="91">
        <f>MAX(0,W261-MAX(0,AK261-SUM(P261:V261)))</f>
        <v/>
      </c>
      <c r="AH261" s="91">
        <f>MAX(0,X261-MAX(0,AK261-SUM(P261:W261)))</f>
        <v/>
      </c>
      <c r="AI261" s="91">
        <f>MAX(0,Y261-MAX(0,AK261-SUM(P261:X261)))</f>
        <v/>
      </c>
      <c r="AJ261" s="92">
        <f>SUM(Z260:AI260)+AL261</f>
        <v/>
      </c>
      <c r="AK261" s="92">
        <f>$AK$7-(AJ261-SUM(P261:Y261))</f>
        <v/>
      </c>
      <c r="AL261" s="91">
        <f>SUMPRODUCT(Z260:AI260,$Z$6:$AI$6)/12</f>
        <v/>
      </c>
      <c r="AM261" s="88">
        <f>SUM(Z261:AI261)</f>
        <v/>
      </c>
      <c r="AO261" s="92">
        <f>IF(AY260&lt;0.005,0,MAX(0,AY260*(1+AY$6/12)-AY$7))</f>
        <v/>
      </c>
      <c r="AP261" s="92">
        <f>IF(AZ260&lt;0.005,0,MAX(0,AZ260*(1+AZ$6/12)-AZ$7))</f>
        <v/>
      </c>
      <c r="AQ261" s="92">
        <f>IF(BA260&lt;0.005,0,MAX(0,BA260*(1+BA$6/12)-BA$7))</f>
        <v/>
      </c>
      <c r="AR261" s="92">
        <f>IF(BB260&lt;0.005,0,MAX(0,BB260*(1+BB$6/12)-BB$7))</f>
        <v/>
      </c>
      <c r="AS261" s="92">
        <f>IF(BC260&lt;0.005,0,MAX(0,BC260*(1+BC$6/12)-BC$7))</f>
        <v/>
      </c>
      <c r="AT261" s="92">
        <f>IF(BD260&lt;0.005,0,MAX(0,BD260*(1+BD$6/12)-BD$7))</f>
        <v/>
      </c>
      <c r="AU261" s="92">
        <f>IF(BE260&lt;0.005,0,MAX(0,BE260*(1+BE$6/12)-BE$7))</f>
        <v/>
      </c>
      <c r="AV261" s="92">
        <f>IF(BF260&lt;0.005,0,MAX(0,BF260*(1+BF$6/12)-BF$7))</f>
        <v/>
      </c>
      <c r="AW261" s="92">
        <f>IF(BG260&lt;0.005,0,MAX(0,BG260*(1+BG$6/12)-BG$7))</f>
        <v/>
      </c>
      <c r="AX261" s="92">
        <f>IF(BH260&lt;0.005,0,MAX(0,BH260*(1+BH$6/12)-BH$7))</f>
        <v/>
      </c>
      <c r="AY261" s="91">
        <f>MAX(0,AO261-MAX(0,BJ261-0))</f>
        <v/>
      </c>
      <c r="AZ261" s="91">
        <f>MAX(0,AP261-MAX(0,BJ261-SUM(AO261:AO261)))</f>
        <v/>
      </c>
      <c r="BA261" s="91">
        <f>MAX(0,AQ261-MAX(0,BJ261-SUM(AO261:AP261)))</f>
        <v/>
      </c>
      <c r="BB261" s="91">
        <f>MAX(0,AR261-MAX(0,BJ261-SUM(AO261:AQ261)))</f>
        <v/>
      </c>
      <c r="BC261" s="91">
        <f>MAX(0,AS261-MAX(0,BJ261-SUM(AO261:AR261)))</f>
        <v/>
      </c>
      <c r="BD261" s="91">
        <f>MAX(0,AT261-MAX(0,BJ261-SUM(AO261:AS261)))</f>
        <v/>
      </c>
      <c r="BE261" s="91">
        <f>MAX(0,AU261-MAX(0,BJ261-SUM(AO261:AT261)))</f>
        <v/>
      </c>
      <c r="BF261" s="91">
        <f>MAX(0,AV261-MAX(0,BJ261-SUM(AO261:AU261)))</f>
        <v/>
      </c>
      <c r="BG261" s="91">
        <f>MAX(0,AW261-MAX(0,BJ261-SUM(AO261:AV261)))</f>
        <v/>
      </c>
      <c r="BH261" s="91">
        <f>MAX(0,AX261-MAX(0,BJ261-SUM(AO261:AW261)))</f>
        <v/>
      </c>
      <c r="BI261" s="92">
        <f>SUM(AY260:BH260)+BK261</f>
        <v/>
      </c>
      <c r="BJ261" s="92">
        <f>$BJ$7-(BI261-SUM(AO261:AX261))</f>
        <v/>
      </c>
      <c r="BK261" s="91">
        <f>SUMPRODUCT(AY260:BH260,$AY$6:$BH$6)/12</f>
        <v/>
      </c>
      <c r="BL261" s="88">
        <f>SUM(AY261:BH261)</f>
        <v/>
      </c>
    </row>
    <row r="262">
      <c r="A262" s="24" t="n">
        <v>252</v>
      </c>
      <c r="B262" s="90">
        <f>DATE(YEAR(Settings!$C$11),MONTH(Settings!$C$11)+A262,1)</f>
        <v/>
      </c>
      <c r="C262" s="91">
        <f>IF(C261&lt;0.005,0,MAX(0,C261*(1+C$6/12)-C$7))</f>
        <v/>
      </c>
      <c r="D262" s="91">
        <f>IF(D261&lt;0.005,0,MAX(0,D261*(1+D$6/12)-D$7))</f>
        <v/>
      </c>
      <c r="E262" s="91">
        <f>IF(E261&lt;0.005,0,MAX(0,E261*(1+E$6/12)-E$7))</f>
        <v/>
      </c>
      <c r="F262" s="91">
        <f>IF(F261&lt;0.005,0,MAX(0,F261*(1+F$6/12)-F$7))</f>
        <v/>
      </c>
      <c r="G262" s="91">
        <f>IF(G261&lt;0.005,0,MAX(0,G261*(1+G$6/12)-G$7))</f>
        <v/>
      </c>
      <c r="H262" s="91">
        <f>IF(H261&lt;0.005,0,MAX(0,H261*(1+H$6/12)-H$7))</f>
        <v/>
      </c>
      <c r="I262" s="91">
        <f>IF(I261&lt;0.005,0,MAX(0,I261*(1+I$6/12)-I$7))</f>
        <v/>
      </c>
      <c r="J262" s="91">
        <f>IF(J261&lt;0.005,0,MAX(0,J261*(1+J$6/12)-J$7))</f>
        <v/>
      </c>
      <c r="K262" s="91">
        <f>IF(K261&lt;0.005,0,MAX(0,K261*(1+K$6/12)-K$7))</f>
        <v/>
      </c>
      <c r="L262" s="91">
        <f>IF(L261&lt;0.005,0,MAX(0,L261*(1+L$6/12)-L$7))</f>
        <v/>
      </c>
      <c r="M262" s="91">
        <f>SUMPRODUCT(C261:L261,$C$6:$L$6)/12</f>
        <v/>
      </c>
      <c r="N262" s="88">
        <f>SUM(C262:L262)</f>
        <v/>
      </c>
      <c r="P262" s="92">
        <f>IF(Z261&lt;0.005,0,MAX(0,Z261*(1+Z$6/12)-Z$7))</f>
        <v/>
      </c>
      <c r="Q262" s="92">
        <f>IF(AA261&lt;0.005,0,MAX(0,AA261*(1+AA$6/12)-AA$7))</f>
        <v/>
      </c>
      <c r="R262" s="92">
        <f>IF(AB261&lt;0.005,0,MAX(0,AB261*(1+AB$6/12)-AB$7))</f>
        <v/>
      </c>
      <c r="S262" s="92">
        <f>IF(AC261&lt;0.005,0,MAX(0,AC261*(1+AC$6/12)-AC$7))</f>
        <v/>
      </c>
      <c r="T262" s="92">
        <f>IF(AD261&lt;0.005,0,MAX(0,AD261*(1+AD$6/12)-AD$7))</f>
        <v/>
      </c>
      <c r="U262" s="92">
        <f>IF(AE261&lt;0.005,0,MAX(0,AE261*(1+AE$6/12)-AE$7))</f>
        <v/>
      </c>
      <c r="V262" s="92">
        <f>IF(AF261&lt;0.005,0,MAX(0,AF261*(1+AF$6/12)-AF$7))</f>
        <v/>
      </c>
      <c r="W262" s="92">
        <f>IF(AG261&lt;0.005,0,MAX(0,AG261*(1+AG$6/12)-AG$7))</f>
        <v/>
      </c>
      <c r="X262" s="92">
        <f>IF(AH261&lt;0.005,0,MAX(0,AH261*(1+AH$6/12)-AH$7))</f>
        <v/>
      </c>
      <c r="Y262" s="92">
        <f>IF(AI261&lt;0.005,0,MAX(0,AI261*(1+AI$6/12)-AI$7))</f>
        <v/>
      </c>
      <c r="Z262" s="91">
        <f>MAX(0,P262-MAX(0,AK262-0))</f>
        <v/>
      </c>
      <c r="AA262" s="91">
        <f>MAX(0,Q262-MAX(0,AK262-SUM(P262:P262)))</f>
        <v/>
      </c>
      <c r="AB262" s="91">
        <f>MAX(0,R262-MAX(0,AK262-SUM(P262:Q262)))</f>
        <v/>
      </c>
      <c r="AC262" s="91">
        <f>MAX(0,S262-MAX(0,AK262-SUM(P262:R262)))</f>
        <v/>
      </c>
      <c r="AD262" s="91">
        <f>MAX(0,T262-MAX(0,AK262-SUM(P262:S262)))</f>
        <v/>
      </c>
      <c r="AE262" s="91">
        <f>MAX(0,U262-MAX(0,AK262-SUM(P262:T262)))</f>
        <v/>
      </c>
      <c r="AF262" s="91">
        <f>MAX(0,V262-MAX(0,AK262-SUM(P262:U262)))</f>
        <v/>
      </c>
      <c r="AG262" s="91">
        <f>MAX(0,W262-MAX(0,AK262-SUM(P262:V262)))</f>
        <v/>
      </c>
      <c r="AH262" s="91">
        <f>MAX(0,X262-MAX(0,AK262-SUM(P262:W262)))</f>
        <v/>
      </c>
      <c r="AI262" s="91">
        <f>MAX(0,Y262-MAX(0,AK262-SUM(P262:X262)))</f>
        <v/>
      </c>
      <c r="AJ262" s="92">
        <f>SUM(Z261:AI261)+AL262</f>
        <v/>
      </c>
      <c r="AK262" s="92">
        <f>$AK$7-(AJ262-SUM(P262:Y262))</f>
        <v/>
      </c>
      <c r="AL262" s="91">
        <f>SUMPRODUCT(Z261:AI261,$Z$6:$AI$6)/12</f>
        <v/>
      </c>
      <c r="AM262" s="88">
        <f>SUM(Z262:AI262)</f>
        <v/>
      </c>
      <c r="AO262" s="92">
        <f>IF(AY261&lt;0.005,0,MAX(0,AY261*(1+AY$6/12)-AY$7))</f>
        <v/>
      </c>
      <c r="AP262" s="92">
        <f>IF(AZ261&lt;0.005,0,MAX(0,AZ261*(1+AZ$6/12)-AZ$7))</f>
        <v/>
      </c>
      <c r="AQ262" s="92">
        <f>IF(BA261&lt;0.005,0,MAX(0,BA261*(1+BA$6/12)-BA$7))</f>
        <v/>
      </c>
      <c r="AR262" s="92">
        <f>IF(BB261&lt;0.005,0,MAX(0,BB261*(1+BB$6/12)-BB$7))</f>
        <v/>
      </c>
      <c r="AS262" s="92">
        <f>IF(BC261&lt;0.005,0,MAX(0,BC261*(1+BC$6/12)-BC$7))</f>
        <v/>
      </c>
      <c r="AT262" s="92">
        <f>IF(BD261&lt;0.005,0,MAX(0,BD261*(1+BD$6/12)-BD$7))</f>
        <v/>
      </c>
      <c r="AU262" s="92">
        <f>IF(BE261&lt;0.005,0,MAX(0,BE261*(1+BE$6/12)-BE$7))</f>
        <v/>
      </c>
      <c r="AV262" s="92">
        <f>IF(BF261&lt;0.005,0,MAX(0,BF261*(1+BF$6/12)-BF$7))</f>
        <v/>
      </c>
      <c r="AW262" s="92">
        <f>IF(BG261&lt;0.005,0,MAX(0,BG261*(1+BG$6/12)-BG$7))</f>
        <v/>
      </c>
      <c r="AX262" s="92">
        <f>IF(BH261&lt;0.005,0,MAX(0,BH261*(1+BH$6/12)-BH$7))</f>
        <v/>
      </c>
      <c r="AY262" s="91">
        <f>MAX(0,AO262-MAX(0,BJ262-0))</f>
        <v/>
      </c>
      <c r="AZ262" s="91">
        <f>MAX(0,AP262-MAX(0,BJ262-SUM(AO262:AO262)))</f>
        <v/>
      </c>
      <c r="BA262" s="91">
        <f>MAX(0,AQ262-MAX(0,BJ262-SUM(AO262:AP262)))</f>
        <v/>
      </c>
      <c r="BB262" s="91">
        <f>MAX(0,AR262-MAX(0,BJ262-SUM(AO262:AQ262)))</f>
        <v/>
      </c>
      <c r="BC262" s="91">
        <f>MAX(0,AS262-MAX(0,BJ262-SUM(AO262:AR262)))</f>
        <v/>
      </c>
      <c r="BD262" s="91">
        <f>MAX(0,AT262-MAX(0,BJ262-SUM(AO262:AS262)))</f>
        <v/>
      </c>
      <c r="BE262" s="91">
        <f>MAX(0,AU262-MAX(0,BJ262-SUM(AO262:AT262)))</f>
        <v/>
      </c>
      <c r="BF262" s="91">
        <f>MAX(0,AV262-MAX(0,BJ262-SUM(AO262:AU262)))</f>
        <v/>
      </c>
      <c r="BG262" s="91">
        <f>MAX(0,AW262-MAX(0,BJ262-SUM(AO262:AV262)))</f>
        <v/>
      </c>
      <c r="BH262" s="91">
        <f>MAX(0,AX262-MAX(0,BJ262-SUM(AO262:AW262)))</f>
        <v/>
      </c>
      <c r="BI262" s="92">
        <f>SUM(AY261:BH261)+BK262</f>
        <v/>
      </c>
      <c r="BJ262" s="92">
        <f>$BJ$7-(BI262-SUM(AO262:AX262))</f>
        <v/>
      </c>
      <c r="BK262" s="91">
        <f>SUMPRODUCT(AY261:BH261,$AY$6:$BH$6)/12</f>
        <v/>
      </c>
      <c r="BL262" s="88">
        <f>SUM(AY262:BH262)</f>
        <v/>
      </c>
    </row>
    <row r="263">
      <c r="A263" s="24" t="n">
        <v>253</v>
      </c>
      <c r="B263" s="90">
        <f>DATE(YEAR(Settings!$C$11),MONTH(Settings!$C$11)+A263,1)</f>
        <v/>
      </c>
      <c r="C263" s="91">
        <f>IF(C262&lt;0.005,0,MAX(0,C262*(1+C$6/12)-C$7))</f>
        <v/>
      </c>
      <c r="D263" s="91">
        <f>IF(D262&lt;0.005,0,MAX(0,D262*(1+D$6/12)-D$7))</f>
        <v/>
      </c>
      <c r="E263" s="91">
        <f>IF(E262&lt;0.005,0,MAX(0,E262*(1+E$6/12)-E$7))</f>
        <v/>
      </c>
      <c r="F263" s="91">
        <f>IF(F262&lt;0.005,0,MAX(0,F262*(1+F$6/12)-F$7))</f>
        <v/>
      </c>
      <c r="G263" s="91">
        <f>IF(G262&lt;0.005,0,MAX(0,G262*(1+G$6/12)-G$7))</f>
        <v/>
      </c>
      <c r="H263" s="91">
        <f>IF(H262&lt;0.005,0,MAX(0,H262*(1+H$6/12)-H$7))</f>
        <v/>
      </c>
      <c r="I263" s="91">
        <f>IF(I262&lt;0.005,0,MAX(0,I262*(1+I$6/12)-I$7))</f>
        <v/>
      </c>
      <c r="J263" s="91">
        <f>IF(J262&lt;0.005,0,MAX(0,J262*(1+J$6/12)-J$7))</f>
        <v/>
      </c>
      <c r="K263" s="91">
        <f>IF(K262&lt;0.005,0,MAX(0,K262*(1+K$6/12)-K$7))</f>
        <v/>
      </c>
      <c r="L263" s="91">
        <f>IF(L262&lt;0.005,0,MAX(0,L262*(1+L$6/12)-L$7))</f>
        <v/>
      </c>
      <c r="M263" s="91">
        <f>SUMPRODUCT(C262:L262,$C$6:$L$6)/12</f>
        <v/>
      </c>
      <c r="N263" s="88">
        <f>SUM(C263:L263)</f>
        <v/>
      </c>
      <c r="P263" s="92">
        <f>IF(Z262&lt;0.005,0,MAX(0,Z262*(1+Z$6/12)-Z$7))</f>
        <v/>
      </c>
      <c r="Q263" s="92">
        <f>IF(AA262&lt;0.005,0,MAX(0,AA262*(1+AA$6/12)-AA$7))</f>
        <v/>
      </c>
      <c r="R263" s="92">
        <f>IF(AB262&lt;0.005,0,MAX(0,AB262*(1+AB$6/12)-AB$7))</f>
        <v/>
      </c>
      <c r="S263" s="92">
        <f>IF(AC262&lt;0.005,0,MAX(0,AC262*(1+AC$6/12)-AC$7))</f>
        <v/>
      </c>
      <c r="T263" s="92">
        <f>IF(AD262&lt;0.005,0,MAX(0,AD262*(1+AD$6/12)-AD$7))</f>
        <v/>
      </c>
      <c r="U263" s="92">
        <f>IF(AE262&lt;0.005,0,MAX(0,AE262*(1+AE$6/12)-AE$7))</f>
        <v/>
      </c>
      <c r="V263" s="92">
        <f>IF(AF262&lt;0.005,0,MAX(0,AF262*(1+AF$6/12)-AF$7))</f>
        <v/>
      </c>
      <c r="W263" s="92">
        <f>IF(AG262&lt;0.005,0,MAX(0,AG262*(1+AG$6/12)-AG$7))</f>
        <v/>
      </c>
      <c r="X263" s="92">
        <f>IF(AH262&lt;0.005,0,MAX(0,AH262*(1+AH$6/12)-AH$7))</f>
        <v/>
      </c>
      <c r="Y263" s="92">
        <f>IF(AI262&lt;0.005,0,MAX(0,AI262*(1+AI$6/12)-AI$7))</f>
        <v/>
      </c>
      <c r="Z263" s="91">
        <f>MAX(0,P263-MAX(0,AK263-0))</f>
        <v/>
      </c>
      <c r="AA263" s="91">
        <f>MAX(0,Q263-MAX(0,AK263-SUM(P263:P263)))</f>
        <v/>
      </c>
      <c r="AB263" s="91">
        <f>MAX(0,R263-MAX(0,AK263-SUM(P263:Q263)))</f>
        <v/>
      </c>
      <c r="AC263" s="91">
        <f>MAX(0,S263-MAX(0,AK263-SUM(P263:R263)))</f>
        <v/>
      </c>
      <c r="AD263" s="91">
        <f>MAX(0,T263-MAX(0,AK263-SUM(P263:S263)))</f>
        <v/>
      </c>
      <c r="AE263" s="91">
        <f>MAX(0,U263-MAX(0,AK263-SUM(P263:T263)))</f>
        <v/>
      </c>
      <c r="AF263" s="91">
        <f>MAX(0,V263-MAX(0,AK263-SUM(P263:U263)))</f>
        <v/>
      </c>
      <c r="AG263" s="91">
        <f>MAX(0,W263-MAX(0,AK263-SUM(P263:V263)))</f>
        <v/>
      </c>
      <c r="AH263" s="91">
        <f>MAX(0,X263-MAX(0,AK263-SUM(P263:W263)))</f>
        <v/>
      </c>
      <c r="AI263" s="91">
        <f>MAX(0,Y263-MAX(0,AK263-SUM(P263:X263)))</f>
        <v/>
      </c>
      <c r="AJ263" s="92">
        <f>SUM(Z262:AI262)+AL263</f>
        <v/>
      </c>
      <c r="AK263" s="92">
        <f>$AK$7-(AJ263-SUM(P263:Y263))</f>
        <v/>
      </c>
      <c r="AL263" s="91">
        <f>SUMPRODUCT(Z262:AI262,$Z$6:$AI$6)/12</f>
        <v/>
      </c>
      <c r="AM263" s="88">
        <f>SUM(Z263:AI263)</f>
        <v/>
      </c>
      <c r="AO263" s="92">
        <f>IF(AY262&lt;0.005,0,MAX(0,AY262*(1+AY$6/12)-AY$7))</f>
        <v/>
      </c>
      <c r="AP263" s="92">
        <f>IF(AZ262&lt;0.005,0,MAX(0,AZ262*(1+AZ$6/12)-AZ$7))</f>
        <v/>
      </c>
      <c r="AQ263" s="92">
        <f>IF(BA262&lt;0.005,0,MAX(0,BA262*(1+BA$6/12)-BA$7))</f>
        <v/>
      </c>
      <c r="AR263" s="92">
        <f>IF(BB262&lt;0.005,0,MAX(0,BB262*(1+BB$6/12)-BB$7))</f>
        <v/>
      </c>
      <c r="AS263" s="92">
        <f>IF(BC262&lt;0.005,0,MAX(0,BC262*(1+BC$6/12)-BC$7))</f>
        <v/>
      </c>
      <c r="AT263" s="92">
        <f>IF(BD262&lt;0.005,0,MAX(0,BD262*(1+BD$6/12)-BD$7))</f>
        <v/>
      </c>
      <c r="AU263" s="92">
        <f>IF(BE262&lt;0.005,0,MAX(0,BE262*(1+BE$6/12)-BE$7))</f>
        <v/>
      </c>
      <c r="AV263" s="92">
        <f>IF(BF262&lt;0.005,0,MAX(0,BF262*(1+BF$6/12)-BF$7))</f>
        <v/>
      </c>
      <c r="AW263" s="92">
        <f>IF(BG262&lt;0.005,0,MAX(0,BG262*(1+BG$6/12)-BG$7))</f>
        <v/>
      </c>
      <c r="AX263" s="92">
        <f>IF(BH262&lt;0.005,0,MAX(0,BH262*(1+BH$6/12)-BH$7))</f>
        <v/>
      </c>
      <c r="AY263" s="91">
        <f>MAX(0,AO263-MAX(0,BJ263-0))</f>
        <v/>
      </c>
      <c r="AZ263" s="91">
        <f>MAX(0,AP263-MAX(0,BJ263-SUM(AO263:AO263)))</f>
        <v/>
      </c>
      <c r="BA263" s="91">
        <f>MAX(0,AQ263-MAX(0,BJ263-SUM(AO263:AP263)))</f>
        <v/>
      </c>
      <c r="BB263" s="91">
        <f>MAX(0,AR263-MAX(0,BJ263-SUM(AO263:AQ263)))</f>
        <v/>
      </c>
      <c r="BC263" s="91">
        <f>MAX(0,AS263-MAX(0,BJ263-SUM(AO263:AR263)))</f>
        <v/>
      </c>
      <c r="BD263" s="91">
        <f>MAX(0,AT263-MAX(0,BJ263-SUM(AO263:AS263)))</f>
        <v/>
      </c>
      <c r="BE263" s="91">
        <f>MAX(0,AU263-MAX(0,BJ263-SUM(AO263:AT263)))</f>
        <v/>
      </c>
      <c r="BF263" s="91">
        <f>MAX(0,AV263-MAX(0,BJ263-SUM(AO263:AU263)))</f>
        <v/>
      </c>
      <c r="BG263" s="91">
        <f>MAX(0,AW263-MAX(0,BJ263-SUM(AO263:AV263)))</f>
        <v/>
      </c>
      <c r="BH263" s="91">
        <f>MAX(0,AX263-MAX(0,BJ263-SUM(AO263:AW263)))</f>
        <v/>
      </c>
      <c r="BI263" s="92">
        <f>SUM(AY262:BH262)+BK263</f>
        <v/>
      </c>
      <c r="BJ263" s="92">
        <f>$BJ$7-(BI263-SUM(AO263:AX263))</f>
        <v/>
      </c>
      <c r="BK263" s="91">
        <f>SUMPRODUCT(AY262:BH262,$AY$6:$BH$6)/12</f>
        <v/>
      </c>
      <c r="BL263" s="88">
        <f>SUM(AY263:BH263)</f>
        <v/>
      </c>
    </row>
    <row r="264">
      <c r="A264" s="24" t="n">
        <v>254</v>
      </c>
      <c r="B264" s="90">
        <f>DATE(YEAR(Settings!$C$11),MONTH(Settings!$C$11)+A264,1)</f>
        <v/>
      </c>
      <c r="C264" s="91">
        <f>IF(C263&lt;0.005,0,MAX(0,C263*(1+C$6/12)-C$7))</f>
        <v/>
      </c>
      <c r="D264" s="91">
        <f>IF(D263&lt;0.005,0,MAX(0,D263*(1+D$6/12)-D$7))</f>
        <v/>
      </c>
      <c r="E264" s="91">
        <f>IF(E263&lt;0.005,0,MAX(0,E263*(1+E$6/12)-E$7))</f>
        <v/>
      </c>
      <c r="F264" s="91">
        <f>IF(F263&lt;0.005,0,MAX(0,F263*(1+F$6/12)-F$7))</f>
        <v/>
      </c>
      <c r="G264" s="91">
        <f>IF(G263&lt;0.005,0,MAX(0,G263*(1+G$6/12)-G$7))</f>
        <v/>
      </c>
      <c r="H264" s="91">
        <f>IF(H263&lt;0.005,0,MAX(0,H263*(1+H$6/12)-H$7))</f>
        <v/>
      </c>
      <c r="I264" s="91">
        <f>IF(I263&lt;0.005,0,MAX(0,I263*(1+I$6/12)-I$7))</f>
        <v/>
      </c>
      <c r="J264" s="91">
        <f>IF(J263&lt;0.005,0,MAX(0,J263*(1+J$6/12)-J$7))</f>
        <v/>
      </c>
      <c r="K264" s="91">
        <f>IF(K263&lt;0.005,0,MAX(0,K263*(1+K$6/12)-K$7))</f>
        <v/>
      </c>
      <c r="L264" s="91">
        <f>IF(L263&lt;0.005,0,MAX(0,L263*(1+L$6/12)-L$7))</f>
        <v/>
      </c>
      <c r="M264" s="91">
        <f>SUMPRODUCT(C263:L263,$C$6:$L$6)/12</f>
        <v/>
      </c>
      <c r="N264" s="88">
        <f>SUM(C264:L264)</f>
        <v/>
      </c>
      <c r="P264" s="92">
        <f>IF(Z263&lt;0.005,0,MAX(0,Z263*(1+Z$6/12)-Z$7))</f>
        <v/>
      </c>
      <c r="Q264" s="92">
        <f>IF(AA263&lt;0.005,0,MAX(0,AA263*(1+AA$6/12)-AA$7))</f>
        <v/>
      </c>
      <c r="R264" s="92">
        <f>IF(AB263&lt;0.005,0,MAX(0,AB263*(1+AB$6/12)-AB$7))</f>
        <v/>
      </c>
      <c r="S264" s="92">
        <f>IF(AC263&lt;0.005,0,MAX(0,AC263*(1+AC$6/12)-AC$7))</f>
        <v/>
      </c>
      <c r="T264" s="92">
        <f>IF(AD263&lt;0.005,0,MAX(0,AD263*(1+AD$6/12)-AD$7))</f>
        <v/>
      </c>
      <c r="U264" s="92">
        <f>IF(AE263&lt;0.005,0,MAX(0,AE263*(1+AE$6/12)-AE$7))</f>
        <v/>
      </c>
      <c r="V264" s="92">
        <f>IF(AF263&lt;0.005,0,MAX(0,AF263*(1+AF$6/12)-AF$7))</f>
        <v/>
      </c>
      <c r="W264" s="92">
        <f>IF(AG263&lt;0.005,0,MAX(0,AG263*(1+AG$6/12)-AG$7))</f>
        <v/>
      </c>
      <c r="X264" s="92">
        <f>IF(AH263&lt;0.005,0,MAX(0,AH263*(1+AH$6/12)-AH$7))</f>
        <v/>
      </c>
      <c r="Y264" s="92">
        <f>IF(AI263&lt;0.005,0,MAX(0,AI263*(1+AI$6/12)-AI$7))</f>
        <v/>
      </c>
      <c r="Z264" s="91">
        <f>MAX(0,P264-MAX(0,AK264-0))</f>
        <v/>
      </c>
      <c r="AA264" s="91">
        <f>MAX(0,Q264-MAX(0,AK264-SUM(P264:P264)))</f>
        <v/>
      </c>
      <c r="AB264" s="91">
        <f>MAX(0,R264-MAX(0,AK264-SUM(P264:Q264)))</f>
        <v/>
      </c>
      <c r="AC264" s="91">
        <f>MAX(0,S264-MAX(0,AK264-SUM(P264:R264)))</f>
        <v/>
      </c>
      <c r="AD264" s="91">
        <f>MAX(0,T264-MAX(0,AK264-SUM(P264:S264)))</f>
        <v/>
      </c>
      <c r="AE264" s="91">
        <f>MAX(0,U264-MAX(0,AK264-SUM(P264:T264)))</f>
        <v/>
      </c>
      <c r="AF264" s="91">
        <f>MAX(0,V264-MAX(0,AK264-SUM(P264:U264)))</f>
        <v/>
      </c>
      <c r="AG264" s="91">
        <f>MAX(0,W264-MAX(0,AK264-SUM(P264:V264)))</f>
        <v/>
      </c>
      <c r="AH264" s="91">
        <f>MAX(0,X264-MAX(0,AK264-SUM(P264:W264)))</f>
        <v/>
      </c>
      <c r="AI264" s="91">
        <f>MAX(0,Y264-MAX(0,AK264-SUM(P264:X264)))</f>
        <v/>
      </c>
      <c r="AJ264" s="92">
        <f>SUM(Z263:AI263)+AL264</f>
        <v/>
      </c>
      <c r="AK264" s="92">
        <f>$AK$7-(AJ264-SUM(P264:Y264))</f>
        <v/>
      </c>
      <c r="AL264" s="91">
        <f>SUMPRODUCT(Z263:AI263,$Z$6:$AI$6)/12</f>
        <v/>
      </c>
      <c r="AM264" s="88">
        <f>SUM(Z264:AI264)</f>
        <v/>
      </c>
      <c r="AO264" s="92">
        <f>IF(AY263&lt;0.005,0,MAX(0,AY263*(1+AY$6/12)-AY$7))</f>
        <v/>
      </c>
      <c r="AP264" s="92">
        <f>IF(AZ263&lt;0.005,0,MAX(0,AZ263*(1+AZ$6/12)-AZ$7))</f>
        <v/>
      </c>
      <c r="AQ264" s="92">
        <f>IF(BA263&lt;0.005,0,MAX(0,BA263*(1+BA$6/12)-BA$7))</f>
        <v/>
      </c>
      <c r="AR264" s="92">
        <f>IF(BB263&lt;0.005,0,MAX(0,BB263*(1+BB$6/12)-BB$7))</f>
        <v/>
      </c>
      <c r="AS264" s="92">
        <f>IF(BC263&lt;0.005,0,MAX(0,BC263*(1+BC$6/12)-BC$7))</f>
        <v/>
      </c>
      <c r="AT264" s="92">
        <f>IF(BD263&lt;0.005,0,MAX(0,BD263*(1+BD$6/12)-BD$7))</f>
        <v/>
      </c>
      <c r="AU264" s="92">
        <f>IF(BE263&lt;0.005,0,MAX(0,BE263*(1+BE$6/12)-BE$7))</f>
        <v/>
      </c>
      <c r="AV264" s="92">
        <f>IF(BF263&lt;0.005,0,MAX(0,BF263*(1+BF$6/12)-BF$7))</f>
        <v/>
      </c>
      <c r="AW264" s="92">
        <f>IF(BG263&lt;0.005,0,MAX(0,BG263*(1+BG$6/12)-BG$7))</f>
        <v/>
      </c>
      <c r="AX264" s="92">
        <f>IF(BH263&lt;0.005,0,MAX(0,BH263*(1+BH$6/12)-BH$7))</f>
        <v/>
      </c>
      <c r="AY264" s="91">
        <f>MAX(0,AO264-MAX(0,BJ264-0))</f>
        <v/>
      </c>
      <c r="AZ264" s="91">
        <f>MAX(0,AP264-MAX(0,BJ264-SUM(AO264:AO264)))</f>
        <v/>
      </c>
      <c r="BA264" s="91">
        <f>MAX(0,AQ264-MAX(0,BJ264-SUM(AO264:AP264)))</f>
        <v/>
      </c>
      <c r="BB264" s="91">
        <f>MAX(0,AR264-MAX(0,BJ264-SUM(AO264:AQ264)))</f>
        <v/>
      </c>
      <c r="BC264" s="91">
        <f>MAX(0,AS264-MAX(0,BJ264-SUM(AO264:AR264)))</f>
        <v/>
      </c>
      <c r="BD264" s="91">
        <f>MAX(0,AT264-MAX(0,BJ264-SUM(AO264:AS264)))</f>
        <v/>
      </c>
      <c r="BE264" s="91">
        <f>MAX(0,AU264-MAX(0,BJ264-SUM(AO264:AT264)))</f>
        <v/>
      </c>
      <c r="BF264" s="91">
        <f>MAX(0,AV264-MAX(0,BJ264-SUM(AO264:AU264)))</f>
        <v/>
      </c>
      <c r="BG264" s="91">
        <f>MAX(0,AW264-MAX(0,BJ264-SUM(AO264:AV264)))</f>
        <v/>
      </c>
      <c r="BH264" s="91">
        <f>MAX(0,AX264-MAX(0,BJ264-SUM(AO264:AW264)))</f>
        <v/>
      </c>
      <c r="BI264" s="92">
        <f>SUM(AY263:BH263)+BK264</f>
        <v/>
      </c>
      <c r="BJ264" s="92">
        <f>$BJ$7-(BI264-SUM(AO264:AX264))</f>
        <v/>
      </c>
      <c r="BK264" s="91">
        <f>SUMPRODUCT(AY263:BH263,$AY$6:$BH$6)/12</f>
        <v/>
      </c>
      <c r="BL264" s="88">
        <f>SUM(AY264:BH264)</f>
        <v/>
      </c>
    </row>
    <row r="265">
      <c r="A265" s="24" t="n">
        <v>255</v>
      </c>
      <c r="B265" s="90">
        <f>DATE(YEAR(Settings!$C$11),MONTH(Settings!$C$11)+A265,1)</f>
        <v/>
      </c>
      <c r="C265" s="91">
        <f>IF(C264&lt;0.005,0,MAX(0,C264*(1+C$6/12)-C$7))</f>
        <v/>
      </c>
      <c r="D265" s="91">
        <f>IF(D264&lt;0.005,0,MAX(0,D264*(1+D$6/12)-D$7))</f>
        <v/>
      </c>
      <c r="E265" s="91">
        <f>IF(E264&lt;0.005,0,MAX(0,E264*(1+E$6/12)-E$7))</f>
        <v/>
      </c>
      <c r="F265" s="91">
        <f>IF(F264&lt;0.005,0,MAX(0,F264*(1+F$6/12)-F$7))</f>
        <v/>
      </c>
      <c r="G265" s="91">
        <f>IF(G264&lt;0.005,0,MAX(0,G264*(1+G$6/12)-G$7))</f>
        <v/>
      </c>
      <c r="H265" s="91">
        <f>IF(H264&lt;0.005,0,MAX(0,H264*(1+H$6/12)-H$7))</f>
        <v/>
      </c>
      <c r="I265" s="91">
        <f>IF(I264&lt;0.005,0,MAX(0,I264*(1+I$6/12)-I$7))</f>
        <v/>
      </c>
      <c r="J265" s="91">
        <f>IF(J264&lt;0.005,0,MAX(0,J264*(1+J$6/12)-J$7))</f>
        <v/>
      </c>
      <c r="K265" s="91">
        <f>IF(K264&lt;0.005,0,MAX(0,K264*(1+K$6/12)-K$7))</f>
        <v/>
      </c>
      <c r="L265" s="91">
        <f>IF(L264&lt;0.005,0,MAX(0,L264*(1+L$6/12)-L$7))</f>
        <v/>
      </c>
      <c r="M265" s="91">
        <f>SUMPRODUCT(C264:L264,$C$6:$L$6)/12</f>
        <v/>
      </c>
      <c r="N265" s="88">
        <f>SUM(C265:L265)</f>
        <v/>
      </c>
      <c r="P265" s="92">
        <f>IF(Z264&lt;0.005,0,MAX(0,Z264*(1+Z$6/12)-Z$7))</f>
        <v/>
      </c>
      <c r="Q265" s="92">
        <f>IF(AA264&lt;0.005,0,MAX(0,AA264*(1+AA$6/12)-AA$7))</f>
        <v/>
      </c>
      <c r="R265" s="92">
        <f>IF(AB264&lt;0.005,0,MAX(0,AB264*(1+AB$6/12)-AB$7))</f>
        <v/>
      </c>
      <c r="S265" s="92">
        <f>IF(AC264&lt;0.005,0,MAX(0,AC264*(1+AC$6/12)-AC$7))</f>
        <v/>
      </c>
      <c r="T265" s="92">
        <f>IF(AD264&lt;0.005,0,MAX(0,AD264*(1+AD$6/12)-AD$7))</f>
        <v/>
      </c>
      <c r="U265" s="92">
        <f>IF(AE264&lt;0.005,0,MAX(0,AE264*(1+AE$6/12)-AE$7))</f>
        <v/>
      </c>
      <c r="V265" s="92">
        <f>IF(AF264&lt;0.005,0,MAX(0,AF264*(1+AF$6/12)-AF$7))</f>
        <v/>
      </c>
      <c r="W265" s="92">
        <f>IF(AG264&lt;0.005,0,MAX(0,AG264*(1+AG$6/12)-AG$7))</f>
        <v/>
      </c>
      <c r="X265" s="92">
        <f>IF(AH264&lt;0.005,0,MAX(0,AH264*(1+AH$6/12)-AH$7))</f>
        <v/>
      </c>
      <c r="Y265" s="92">
        <f>IF(AI264&lt;0.005,0,MAX(0,AI264*(1+AI$6/12)-AI$7))</f>
        <v/>
      </c>
      <c r="Z265" s="91">
        <f>MAX(0,P265-MAX(0,AK265-0))</f>
        <v/>
      </c>
      <c r="AA265" s="91">
        <f>MAX(0,Q265-MAX(0,AK265-SUM(P265:P265)))</f>
        <v/>
      </c>
      <c r="AB265" s="91">
        <f>MAX(0,R265-MAX(0,AK265-SUM(P265:Q265)))</f>
        <v/>
      </c>
      <c r="AC265" s="91">
        <f>MAX(0,S265-MAX(0,AK265-SUM(P265:R265)))</f>
        <v/>
      </c>
      <c r="AD265" s="91">
        <f>MAX(0,T265-MAX(0,AK265-SUM(P265:S265)))</f>
        <v/>
      </c>
      <c r="AE265" s="91">
        <f>MAX(0,U265-MAX(0,AK265-SUM(P265:T265)))</f>
        <v/>
      </c>
      <c r="AF265" s="91">
        <f>MAX(0,V265-MAX(0,AK265-SUM(P265:U265)))</f>
        <v/>
      </c>
      <c r="AG265" s="91">
        <f>MAX(0,W265-MAX(0,AK265-SUM(P265:V265)))</f>
        <v/>
      </c>
      <c r="AH265" s="91">
        <f>MAX(0,X265-MAX(0,AK265-SUM(P265:W265)))</f>
        <v/>
      </c>
      <c r="AI265" s="91">
        <f>MAX(0,Y265-MAX(0,AK265-SUM(P265:X265)))</f>
        <v/>
      </c>
      <c r="AJ265" s="92">
        <f>SUM(Z264:AI264)+AL265</f>
        <v/>
      </c>
      <c r="AK265" s="92">
        <f>$AK$7-(AJ265-SUM(P265:Y265))</f>
        <v/>
      </c>
      <c r="AL265" s="91">
        <f>SUMPRODUCT(Z264:AI264,$Z$6:$AI$6)/12</f>
        <v/>
      </c>
      <c r="AM265" s="88">
        <f>SUM(Z265:AI265)</f>
        <v/>
      </c>
      <c r="AO265" s="92">
        <f>IF(AY264&lt;0.005,0,MAX(0,AY264*(1+AY$6/12)-AY$7))</f>
        <v/>
      </c>
      <c r="AP265" s="92">
        <f>IF(AZ264&lt;0.005,0,MAX(0,AZ264*(1+AZ$6/12)-AZ$7))</f>
        <v/>
      </c>
      <c r="AQ265" s="92">
        <f>IF(BA264&lt;0.005,0,MAX(0,BA264*(1+BA$6/12)-BA$7))</f>
        <v/>
      </c>
      <c r="AR265" s="92">
        <f>IF(BB264&lt;0.005,0,MAX(0,BB264*(1+BB$6/12)-BB$7))</f>
        <v/>
      </c>
      <c r="AS265" s="92">
        <f>IF(BC264&lt;0.005,0,MAX(0,BC264*(1+BC$6/12)-BC$7))</f>
        <v/>
      </c>
      <c r="AT265" s="92">
        <f>IF(BD264&lt;0.005,0,MAX(0,BD264*(1+BD$6/12)-BD$7))</f>
        <v/>
      </c>
      <c r="AU265" s="92">
        <f>IF(BE264&lt;0.005,0,MAX(0,BE264*(1+BE$6/12)-BE$7))</f>
        <v/>
      </c>
      <c r="AV265" s="92">
        <f>IF(BF264&lt;0.005,0,MAX(0,BF264*(1+BF$6/12)-BF$7))</f>
        <v/>
      </c>
      <c r="AW265" s="92">
        <f>IF(BG264&lt;0.005,0,MAX(0,BG264*(1+BG$6/12)-BG$7))</f>
        <v/>
      </c>
      <c r="AX265" s="92">
        <f>IF(BH264&lt;0.005,0,MAX(0,BH264*(1+BH$6/12)-BH$7))</f>
        <v/>
      </c>
      <c r="AY265" s="91">
        <f>MAX(0,AO265-MAX(0,BJ265-0))</f>
        <v/>
      </c>
      <c r="AZ265" s="91">
        <f>MAX(0,AP265-MAX(0,BJ265-SUM(AO265:AO265)))</f>
        <v/>
      </c>
      <c r="BA265" s="91">
        <f>MAX(0,AQ265-MAX(0,BJ265-SUM(AO265:AP265)))</f>
        <v/>
      </c>
      <c r="BB265" s="91">
        <f>MAX(0,AR265-MAX(0,BJ265-SUM(AO265:AQ265)))</f>
        <v/>
      </c>
      <c r="BC265" s="91">
        <f>MAX(0,AS265-MAX(0,BJ265-SUM(AO265:AR265)))</f>
        <v/>
      </c>
      <c r="BD265" s="91">
        <f>MAX(0,AT265-MAX(0,BJ265-SUM(AO265:AS265)))</f>
        <v/>
      </c>
      <c r="BE265" s="91">
        <f>MAX(0,AU265-MAX(0,BJ265-SUM(AO265:AT265)))</f>
        <v/>
      </c>
      <c r="BF265" s="91">
        <f>MAX(0,AV265-MAX(0,BJ265-SUM(AO265:AU265)))</f>
        <v/>
      </c>
      <c r="BG265" s="91">
        <f>MAX(0,AW265-MAX(0,BJ265-SUM(AO265:AV265)))</f>
        <v/>
      </c>
      <c r="BH265" s="91">
        <f>MAX(0,AX265-MAX(0,BJ265-SUM(AO265:AW265)))</f>
        <v/>
      </c>
      <c r="BI265" s="92">
        <f>SUM(AY264:BH264)+BK265</f>
        <v/>
      </c>
      <c r="BJ265" s="92">
        <f>$BJ$7-(BI265-SUM(AO265:AX265))</f>
        <v/>
      </c>
      <c r="BK265" s="91">
        <f>SUMPRODUCT(AY264:BH264,$AY$6:$BH$6)/12</f>
        <v/>
      </c>
      <c r="BL265" s="88">
        <f>SUM(AY265:BH265)</f>
        <v/>
      </c>
    </row>
    <row r="266">
      <c r="A266" s="24" t="n">
        <v>256</v>
      </c>
      <c r="B266" s="90">
        <f>DATE(YEAR(Settings!$C$11),MONTH(Settings!$C$11)+A266,1)</f>
        <v/>
      </c>
      <c r="C266" s="91">
        <f>IF(C265&lt;0.005,0,MAX(0,C265*(1+C$6/12)-C$7))</f>
        <v/>
      </c>
      <c r="D266" s="91">
        <f>IF(D265&lt;0.005,0,MAX(0,D265*(1+D$6/12)-D$7))</f>
        <v/>
      </c>
      <c r="E266" s="91">
        <f>IF(E265&lt;0.005,0,MAX(0,E265*(1+E$6/12)-E$7))</f>
        <v/>
      </c>
      <c r="F266" s="91">
        <f>IF(F265&lt;0.005,0,MAX(0,F265*(1+F$6/12)-F$7))</f>
        <v/>
      </c>
      <c r="G266" s="91">
        <f>IF(G265&lt;0.005,0,MAX(0,G265*(1+G$6/12)-G$7))</f>
        <v/>
      </c>
      <c r="H266" s="91">
        <f>IF(H265&lt;0.005,0,MAX(0,H265*(1+H$6/12)-H$7))</f>
        <v/>
      </c>
      <c r="I266" s="91">
        <f>IF(I265&lt;0.005,0,MAX(0,I265*(1+I$6/12)-I$7))</f>
        <v/>
      </c>
      <c r="J266" s="91">
        <f>IF(J265&lt;0.005,0,MAX(0,J265*(1+J$6/12)-J$7))</f>
        <v/>
      </c>
      <c r="K266" s="91">
        <f>IF(K265&lt;0.005,0,MAX(0,K265*(1+K$6/12)-K$7))</f>
        <v/>
      </c>
      <c r="L266" s="91">
        <f>IF(L265&lt;0.005,0,MAX(0,L265*(1+L$6/12)-L$7))</f>
        <v/>
      </c>
      <c r="M266" s="91">
        <f>SUMPRODUCT(C265:L265,$C$6:$L$6)/12</f>
        <v/>
      </c>
      <c r="N266" s="88">
        <f>SUM(C266:L266)</f>
        <v/>
      </c>
      <c r="P266" s="92">
        <f>IF(Z265&lt;0.005,0,MAX(0,Z265*(1+Z$6/12)-Z$7))</f>
        <v/>
      </c>
      <c r="Q266" s="92">
        <f>IF(AA265&lt;0.005,0,MAX(0,AA265*(1+AA$6/12)-AA$7))</f>
        <v/>
      </c>
      <c r="R266" s="92">
        <f>IF(AB265&lt;0.005,0,MAX(0,AB265*(1+AB$6/12)-AB$7))</f>
        <v/>
      </c>
      <c r="S266" s="92">
        <f>IF(AC265&lt;0.005,0,MAX(0,AC265*(1+AC$6/12)-AC$7))</f>
        <v/>
      </c>
      <c r="T266" s="92">
        <f>IF(AD265&lt;0.005,0,MAX(0,AD265*(1+AD$6/12)-AD$7))</f>
        <v/>
      </c>
      <c r="U266" s="92">
        <f>IF(AE265&lt;0.005,0,MAX(0,AE265*(1+AE$6/12)-AE$7))</f>
        <v/>
      </c>
      <c r="V266" s="92">
        <f>IF(AF265&lt;0.005,0,MAX(0,AF265*(1+AF$6/12)-AF$7))</f>
        <v/>
      </c>
      <c r="W266" s="92">
        <f>IF(AG265&lt;0.005,0,MAX(0,AG265*(1+AG$6/12)-AG$7))</f>
        <v/>
      </c>
      <c r="X266" s="92">
        <f>IF(AH265&lt;0.005,0,MAX(0,AH265*(1+AH$6/12)-AH$7))</f>
        <v/>
      </c>
      <c r="Y266" s="92">
        <f>IF(AI265&lt;0.005,0,MAX(0,AI265*(1+AI$6/12)-AI$7))</f>
        <v/>
      </c>
      <c r="Z266" s="91">
        <f>MAX(0,P266-MAX(0,AK266-0))</f>
        <v/>
      </c>
      <c r="AA266" s="91">
        <f>MAX(0,Q266-MAX(0,AK266-SUM(P266:P266)))</f>
        <v/>
      </c>
      <c r="AB266" s="91">
        <f>MAX(0,R266-MAX(0,AK266-SUM(P266:Q266)))</f>
        <v/>
      </c>
      <c r="AC266" s="91">
        <f>MAX(0,S266-MAX(0,AK266-SUM(P266:R266)))</f>
        <v/>
      </c>
      <c r="AD266" s="91">
        <f>MAX(0,T266-MAX(0,AK266-SUM(P266:S266)))</f>
        <v/>
      </c>
      <c r="AE266" s="91">
        <f>MAX(0,U266-MAX(0,AK266-SUM(P266:T266)))</f>
        <v/>
      </c>
      <c r="AF266" s="91">
        <f>MAX(0,V266-MAX(0,AK266-SUM(P266:U266)))</f>
        <v/>
      </c>
      <c r="AG266" s="91">
        <f>MAX(0,W266-MAX(0,AK266-SUM(P266:V266)))</f>
        <v/>
      </c>
      <c r="AH266" s="91">
        <f>MAX(0,X266-MAX(0,AK266-SUM(P266:W266)))</f>
        <v/>
      </c>
      <c r="AI266" s="91">
        <f>MAX(0,Y266-MAX(0,AK266-SUM(P266:X266)))</f>
        <v/>
      </c>
      <c r="AJ266" s="92">
        <f>SUM(Z265:AI265)+AL266</f>
        <v/>
      </c>
      <c r="AK266" s="92">
        <f>$AK$7-(AJ266-SUM(P266:Y266))</f>
        <v/>
      </c>
      <c r="AL266" s="91">
        <f>SUMPRODUCT(Z265:AI265,$Z$6:$AI$6)/12</f>
        <v/>
      </c>
      <c r="AM266" s="88">
        <f>SUM(Z266:AI266)</f>
        <v/>
      </c>
      <c r="AO266" s="92">
        <f>IF(AY265&lt;0.005,0,MAX(0,AY265*(1+AY$6/12)-AY$7))</f>
        <v/>
      </c>
      <c r="AP266" s="92">
        <f>IF(AZ265&lt;0.005,0,MAX(0,AZ265*(1+AZ$6/12)-AZ$7))</f>
        <v/>
      </c>
      <c r="AQ266" s="92">
        <f>IF(BA265&lt;0.005,0,MAX(0,BA265*(1+BA$6/12)-BA$7))</f>
        <v/>
      </c>
      <c r="AR266" s="92">
        <f>IF(BB265&lt;0.005,0,MAX(0,BB265*(1+BB$6/12)-BB$7))</f>
        <v/>
      </c>
      <c r="AS266" s="92">
        <f>IF(BC265&lt;0.005,0,MAX(0,BC265*(1+BC$6/12)-BC$7))</f>
        <v/>
      </c>
      <c r="AT266" s="92">
        <f>IF(BD265&lt;0.005,0,MAX(0,BD265*(1+BD$6/12)-BD$7))</f>
        <v/>
      </c>
      <c r="AU266" s="92">
        <f>IF(BE265&lt;0.005,0,MAX(0,BE265*(1+BE$6/12)-BE$7))</f>
        <v/>
      </c>
      <c r="AV266" s="92">
        <f>IF(BF265&lt;0.005,0,MAX(0,BF265*(1+BF$6/12)-BF$7))</f>
        <v/>
      </c>
      <c r="AW266" s="92">
        <f>IF(BG265&lt;0.005,0,MAX(0,BG265*(1+BG$6/12)-BG$7))</f>
        <v/>
      </c>
      <c r="AX266" s="92">
        <f>IF(BH265&lt;0.005,0,MAX(0,BH265*(1+BH$6/12)-BH$7))</f>
        <v/>
      </c>
      <c r="AY266" s="91">
        <f>MAX(0,AO266-MAX(0,BJ266-0))</f>
        <v/>
      </c>
      <c r="AZ266" s="91">
        <f>MAX(0,AP266-MAX(0,BJ266-SUM(AO266:AO266)))</f>
        <v/>
      </c>
      <c r="BA266" s="91">
        <f>MAX(0,AQ266-MAX(0,BJ266-SUM(AO266:AP266)))</f>
        <v/>
      </c>
      <c r="BB266" s="91">
        <f>MAX(0,AR266-MAX(0,BJ266-SUM(AO266:AQ266)))</f>
        <v/>
      </c>
      <c r="BC266" s="91">
        <f>MAX(0,AS266-MAX(0,BJ266-SUM(AO266:AR266)))</f>
        <v/>
      </c>
      <c r="BD266" s="91">
        <f>MAX(0,AT266-MAX(0,BJ266-SUM(AO266:AS266)))</f>
        <v/>
      </c>
      <c r="BE266" s="91">
        <f>MAX(0,AU266-MAX(0,BJ266-SUM(AO266:AT266)))</f>
        <v/>
      </c>
      <c r="BF266" s="91">
        <f>MAX(0,AV266-MAX(0,BJ266-SUM(AO266:AU266)))</f>
        <v/>
      </c>
      <c r="BG266" s="91">
        <f>MAX(0,AW266-MAX(0,BJ266-SUM(AO266:AV266)))</f>
        <v/>
      </c>
      <c r="BH266" s="91">
        <f>MAX(0,AX266-MAX(0,BJ266-SUM(AO266:AW266)))</f>
        <v/>
      </c>
      <c r="BI266" s="92">
        <f>SUM(AY265:BH265)+BK266</f>
        <v/>
      </c>
      <c r="BJ266" s="92">
        <f>$BJ$7-(BI266-SUM(AO266:AX266))</f>
        <v/>
      </c>
      <c r="BK266" s="91">
        <f>SUMPRODUCT(AY265:BH265,$AY$6:$BH$6)/12</f>
        <v/>
      </c>
      <c r="BL266" s="88">
        <f>SUM(AY266:BH266)</f>
        <v/>
      </c>
    </row>
    <row r="267">
      <c r="A267" s="24" t="n">
        <v>257</v>
      </c>
      <c r="B267" s="90">
        <f>DATE(YEAR(Settings!$C$11),MONTH(Settings!$C$11)+A267,1)</f>
        <v/>
      </c>
      <c r="C267" s="91">
        <f>IF(C266&lt;0.005,0,MAX(0,C266*(1+C$6/12)-C$7))</f>
        <v/>
      </c>
      <c r="D267" s="91">
        <f>IF(D266&lt;0.005,0,MAX(0,D266*(1+D$6/12)-D$7))</f>
        <v/>
      </c>
      <c r="E267" s="91">
        <f>IF(E266&lt;0.005,0,MAX(0,E266*(1+E$6/12)-E$7))</f>
        <v/>
      </c>
      <c r="F267" s="91">
        <f>IF(F266&lt;0.005,0,MAX(0,F266*(1+F$6/12)-F$7))</f>
        <v/>
      </c>
      <c r="G267" s="91">
        <f>IF(G266&lt;0.005,0,MAX(0,G266*(1+G$6/12)-G$7))</f>
        <v/>
      </c>
      <c r="H267" s="91">
        <f>IF(H266&lt;0.005,0,MAX(0,H266*(1+H$6/12)-H$7))</f>
        <v/>
      </c>
      <c r="I267" s="91">
        <f>IF(I266&lt;0.005,0,MAX(0,I266*(1+I$6/12)-I$7))</f>
        <v/>
      </c>
      <c r="J267" s="91">
        <f>IF(J266&lt;0.005,0,MAX(0,J266*(1+J$6/12)-J$7))</f>
        <v/>
      </c>
      <c r="K267" s="91">
        <f>IF(K266&lt;0.005,0,MAX(0,K266*(1+K$6/12)-K$7))</f>
        <v/>
      </c>
      <c r="L267" s="91">
        <f>IF(L266&lt;0.005,0,MAX(0,L266*(1+L$6/12)-L$7))</f>
        <v/>
      </c>
      <c r="M267" s="91">
        <f>SUMPRODUCT(C266:L266,$C$6:$L$6)/12</f>
        <v/>
      </c>
      <c r="N267" s="88">
        <f>SUM(C267:L267)</f>
        <v/>
      </c>
      <c r="P267" s="92">
        <f>IF(Z266&lt;0.005,0,MAX(0,Z266*(1+Z$6/12)-Z$7))</f>
        <v/>
      </c>
      <c r="Q267" s="92">
        <f>IF(AA266&lt;0.005,0,MAX(0,AA266*(1+AA$6/12)-AA$7))</f>
        <v/>
      </c>
      <c r="R267" s="92">
        <f>IF(AB266&lt;0.005,0,MAX(0,AB266*(1+AB$6/12)-AB$7))</f>
        <v/>
      </c>
      <c r="S267" s="92">
        <f>IF(AC266&lt;0.005,0,MAX(0,AC266*(1+AC$6/12)-AC$7))</f>
        <v/>
      </c>
      <c r="T267" s="92">
        <f>IF(AD266&lt;0.005,0,MAX(0,AD266*(1+AD$6/12)-AD$7))</f>
        <v/>
      </c>
      <c r="U267" s="92">
        <f>IF(AE266&lt;0.005,0,MAX(0,AE266*(1+AE$6/12)-AE$7))</f>
        <v/>
      </c>
      <c r="V267" s="92">
        <f>IF(AF266&lt;0.005,0,MAX(0,AF266*(1+AF$6/12)-AF$7))</f>
        <v/>
      </c>
      <c r="W267" s="92">
        <f>IF(AG266&lt;0.005,0,MAX(0,AG266*(1+AG$6/12)-AG$7))</f>
        <v/>
      </c>
      <c r="X267" s="92">
        <f>IF(AH266&lt;0.005,0,MAX(0,AH266*(1+AH$6/12)-AH$7))</f>
        <v/>
      </c>
      <c r="Y267" s="92">
        <f>IF(AI266&lt;0.005,0,MAX(0,AI266*(1+AI$6/12)-AI$7))</f>
        <v/>
      </c>
      <c r="Z267" s="91">
        <f>MAX(0,P267-MAX(0,AK267-0))</f>
        <v/>
      </c>
      <c r="AA267" s="91">
        <f>MAX(0,Q267-MAX(0,AK267-SUM(P267:P267)))</f>
        <v/>
      </c>
      <c r="AB267" s="91">
        <f>MAX(0,R267-MAX(0,AK267-SUM(P267:Q267)))</f>
        <v/>
      </c>
      <c r="AC267" s="91">
        <f>MAX(0,S267-MAX(0,AK267-SUM(P267:R267)))</f>
        <v/>
      </c>
      <c r="AD267" s="91">
        <f>MAX(0,T267-MAX(0,AK267-SUM(P267:S267)))</f>
        <v/>
      </c>
      <c r="AE267" s="91">
        <f>MAX(0,U267-MAX(0,AK267-SUM(P267:T267)))</f>
        <v/>
      </c>
      <c r="AF267" s="91">
        <f>MAX(0,V267-MAX(0,AK267-SUM(P267:U267)))</f>
        <v/>
      </c>
      <c r="AG267" s="91">
        <f>MAX(0,W267-MAX(0,AK267-SUM(P267:V267)))</f>
        <v/>
      </c>
      <c r="AH267" s="91">
        <f>MAX(0,X267-MAX(0,AK267-SUM(P267:W267)))</f>
        <v/>
      </c>
      <c r="AI267" s="91">
        <f>MAX(0,Y267-MAX(0,AK267-SUM(P267:X267)))</f>
        <v/>
      </c>
      <c r="AJ267" s="92">
        <f>SUM(Z266:AI266)+AL267</f>
        <v/>
      </c>
      <c r="AK267" s="92">
        <f>$AK$7-(AJ267-SUM(P267:Y267))</f>
        <v/>
      </c>
      <c r="AL267" s="91">
        <f>SUMPRODUCT(Z266:AI266,$Z$6:$AI$6)/12</f>
        <v/>
      </c>
      <c r="AM267" s="88">
        <f>SUM(Z267:AI267)</f>
        <v/>
      </c>
      <c r="AO267" s="92">
        <f>IF(AY266&lt;0.005,0,MAX(0,AY266*(1+AY$6/12)-AY$7))</f>
        <v/>
      </c>
      <c r="AP267" s="92">
        <f>IF(AZ266&lt;0.005,0,MAX(0,AZ266*(1+AZ$6/12)-AZ$7))</f>
        <v/>
      </c>
      <c r="AQ267" s="92">
        <f>IF(BA266&lt;0.005,0,MAX(0,BA266*(1+BA$6/12)-BA$7))</f>
        <v/>
      </c>
      <c r="AR267" s="92">
        <f>IF(BB266&lt;0.005,0,MAX(0,BB266*(1+BB$6/12)-BB$7))</f>
        <v/>
      </c>
      <c r="AS267" s="92">
        <f>IF(BC266&lt;0.005,0,MAX(0,BC266*(1+BC$6/12)-BC$7))</f>
        <v/>
      </c>
      <c r="AT267" s="92">
        <f>IF(BD266&lt;0.005,0,MAX(0,BD266*(1+BD$6/12)-BD$7))</f>
        <v/>
      </c>
      <c r="AU267" s="92">
        <f>IF(BE266&lt;0.005,0,MAX(0,BE266*(1+BE$6/12)-BE$7))</f>
        <v/>
      </c>
      <c r="AV267" s="92">
        <f>IF(BF266&lt;0.005,0,MAX(0,BF266*(1+BF$6/12)-BF$7))</f>
        <v/>
      </c>
      <c r="AW267" s="92">
        <f>IF(BG266&lt;0.005,0,MAX(0,BG266*(1+BG$6/12)-BG$7))</f>
        <v/>
      </c>
      <c r="AX267" s="92">
        <f>IF(BH266&lt;0.005,0,MAX(0,BH266*(1+BH$6/12)-BH$7))</f>
        <v/>
      </c>
      <c r="AY267" s="91">
        <f>MAX(0,AO267-MAX(0,BJ267-0))</f>
        <v/>
      </c>
      <c r="AZ267" s="91">
        <f>MAX(0,AP267-MAX(0,BJ267-SUM(AO267:AO267)))</f>
        <v/>
      </c>
      <c r="BA267" s="91">
        <f>MAX(0,AQ267-MAX(0,BJ267-SUM(AO267:AP267)))</f>
        <v/>
      </c>
      <c r="BB267" s="91">
        <f>MAX(0,AR267-MAX(0,BJ267-SUM(AO267:AQ267)))</f>
        <v/>
      </c>
      <c r="BC267" s="91">
        <f>MAX(0,AS267-MAX(0,BJ267-SUM(AO267:AR267)))</f>
        <v/>
      </c>
      <c r="BD267" s="91">
        <f>MAX(0,AT267-MAX(0,BJ267-SUM(AO267:AS267)))</f>
        <v/>
      </c>
      <c r="BE267" s="91">
        <f>MAX(0,AU267-MAX(0,BJ267-SUM(AO267:AT267)))</f>
        <v/>
      </c>
      <c r="BF267" s="91">
        <f>MAX(0,AV267-MAX(0,BJ267-SUM(AO267:AU267)))</f>
        <v/>
      </c>
      <c r="BG267" s="91">
        <f>MAX(0,AW267-MAX(0,BJ267-SUM(AO267:AV267)))</f>
        <v/>
      </c>
      <c r="BH267" s="91">
        <f>MAX(0,AX267-MAX(0,BJ267-SUM(AO267:AW267)))</f>
        <v/>
      </c>
      <c r="BI267" s="92">
        <f>SUM(AY266:BH266)+BK267</f>
        <v/>
      </c>
      <c r="BJ267" s="92">
        <f>$BJ$7-(BI267-SUM(AO267:AX267))</f>
        <v/>
      </c>
      <c r="BK267" s="91">
        <f>SUMPRODUCT(AY266:BH266,$AY$6:$BH$6)/12</f>
        <v/>
      </c>
      <c r="BL267" s="88">
        <f>SUM(AY267:BH267)</f>
        <v/>
      </c>
    </row>
    <row r="268">
      <c r="A268" s="24" t="n">
        <v>258</v>
      </c>
      <c r="B268" s="90">
        <f>DATE(YEAR(Settings!$C$11),MONTH(Settings!$C$11)+A268,1)</f>
        <v/>
      </c>
      <c r="C268" s="91">
        <f>IF(C267&lt;0.005,0,MAX(0,C267*(1+C$6/12)-C$7))</f>
        <v/>
      </c>
      <c r="D268" s="91">
        <f>IF(D267&lt;0.005,0,MAX(0,D267*(1+D$6/12)-D$7))</f>
        <v/>
      </c>
      <c r="E268" s="91">
        <f>IF(E267&lt;0.005,0,MAX(0,E267*(1+E$6/12)-E$7))</f>
        <v/>
      </c>
      <c r="F268" s="91">
        <f>IF(F267&lt;0.005,0,MAX(0,F267*(1+F$6/12)-F$7))</f>
        <v/>
      </c>
      <c r="G268" s="91">
        <f>IF(G267&lt;0.005,0,MAX(0,G267*(1+G$6/12)-G$7))</f>
        <v/>
      </c>
      <c r="H268" s="91">
        <f>IF(H267&lt;0.005,0,MAX(0,H267*(1+H$6/12)-H$7))</f>
        <v/>
      </c>
      <c r="I268" s="91">
        <f>IF(I267&lt;0.005,0,MAX(0,I267*(1+I$6/12)-I$7))</f>
        <v/>
      </c>
      <c r="J268" s="91">
        <f>IF(J267&lt;0.005,0,MAX(0,J267*(1+J$6/12)-J$7))</f>
        <v/>
      </c>
      <c r="K268" s="91">
        <f>IF(K267&lt;0.005,0,MAX(0,K267*(1+K$6/12)-K$7))</f>
        <v/>
      </c>
      <c r="L268" s="91">
        <f>IF(L267&lt;0.005,0,MAX(0,L267*(1+L$6/12)-L$7))</f>
        <v/>
      </c>
      <c r="M268" s="91">
        <f>SUMPRODUCT(C267:L267,$C$6:$L$6)/12</f>
        <v/>
      </c>
      <c r="N268" s="88">
        <f>SUM(C268:L268)</f>
        <v/>
      </c>
      <c r="P268" s="92">
        <f>IF(Z267&lt;0.005,0,MAX(0,Z267*(1+Z$6/12)-Z$7))</f>
        <v/>
      </c>
      <c r="Q268" s="92">
        <f>IF(AA267&lt;0.005,0,MAX(0,AA267*(1+AA$6/12)-AA$7))</f>
        <v/>
      </c>
      <c r="R268" s="92">
        <f>IF(AB267&lt;0.005,0,MAX(0,AB267*(1+AB$6/12)-AB$7))</f>
        <v/>
      </c>
      <c r="S268" s="92">
        <f>IF(AC267&lt;0.005,0,MAX(0,AC267*(1+AC$6/12)-AC$7))</f>
        <v/>
      </c>
      <c r="T268" s="92">
        <f>IF(AD267&lt;0.005,0,MAX(0,AD267*(1+AD$6/12)-AD$7))</f>
        <v/>
      </c>
      <c r="U268" s="92">
        <f>IF(AE267&lt;0.005,0,MAX(0,AE267*(1+AE$6/12)-AE$7))</f>
        <v/>
      </c>
      <c r="V268" s="92">
        <f>IF(AF267&lt;0.005,0,MAX(0,AF267*(1+AF$6/12)-AF$7))</f>
        <v/>
      </c>
      <c r="W268" s="92">
        <f>IF(AG267&lt;0.005,0,MAX(0,AG267*(1+AG$6/12)-AG$7))</f>
        <v/>
      </c>
      <c r="X268" s="92">
        <f>IF(AH267&lt;0.005,0,MAX(0,AH267*(1+AH$6/12)-AH$7))</f>
        <v/>
      </c>
      <c r="Y268" s="92">
        <f>IF(AI267&lt;0.005,0,MAX(0,AI267*(1+AI$6/12)-AI$7))</f>
        <v/>
      </c>
      <c r="Z268" s="91">
        <f>MAX(0,P268-MAX(0,AK268-0))</f>
        <v/>
      </c>
      <c r="AA268" s="91">
        <f>MAX(0,Q268-MAX(0,AK268-SUM(P268:P268)))</f>
        <v/>
      </c>
      <c r="AB268" s="91">
        <f>MAX(0,R268-MAX(0,AK268-SUM(P268:Q268)))</f>
        <v/>
      </c>
      <c r="AC268" s="91">
        <f>MAX(0,S268-MAX(0,AK268-SUM(P268:R268)))</f>
        <v/>
      </c>
      <c r="AD268" s="91">
        <f>MAX(0,T268-MAX(0,AK268-SUM(P268:S268)))</f>
        <v/>
      </c>
      <c r="AE268" s="91">
        <f>MAX(0,U268-MAX(0,AK268-SUM(P268:T268)))</f>
        <v/>
      </c>
      <c r="AF268" s="91">
        <f>MAX(0,V268-MAX(0,AK268-SUM(P268:U268)))</f>
        <v/>
      </c>
      <c r="AG268" s="91">
        <f>MAX(0,W268-MAX(0,AK268-SUM(P268:V268)))</f>
        <v/>
      </c>
      <c r="AH268" s="91">
        <f>MAX(0,X268-MAX(0,AK268-SUM(P268:W268)))</f>
        <v/>
      </c>
      <c r="AI268" s="91">
        <f>MAX(0,Y268-MAX(0,AK268-SUM(P268:X268)))</f>
        <v/>
      </c>
      <c r="AJ268" s="92">
        <f>SUM(Z267:AI267)+AL268</f>
        <v/>
      </c>
      <c r="AK268" s="92">
        <f>$AK$7-(AJ268-SUM(P268:Y268))</f>
        <v/>
      </c>
      <c r="AL268" s="91">
        <f>SUMPRODUCT(Z267:AI267,$Z$6:$AI$6)/12</f>
        <v/>
      </c>
      <c r="AM268" s="88">
        <f>SUM(Z268:AI268)</f>
        <v/>
      </c>
      <c r="AO268" s="92">
        <f>IF(AY267&lt;0.005,0,MAX(0,AY267*(1+AY$6/12)-AY$7))</f>
        <v/>
      </c>
      <c r="AP268" s="92">
        <f>IF(AZ267&lt;0.005,0,MAX(0,AZ267*(1+AZ$6/12)-AZ$7))</f>
        <v/>
      </c>
      <c r="AQ268" s="92">
        <f>IF(BA267&lt;0.005,0,MAX(0,BA267*(1+BA$6/12)-BA$7))</f>
        <v/>
      </c>
      <c r="AR268" s="92">
        <f>IF(BB267&lt;0.005,0,MAX(0,BB267*(1+BB$6/12)-BB$7))</f>
        <v/>
      </c>
      <c r="AS268" s="92">
        <f>IF(BC267&lt;0.005,0,MAX(0,BC267*(1+BC$6/12)-BC$7))</f>
        <v/>
      </c>
      <c r="AT268" s="92">
        <f>IF(BD267&lt;0.005,0,MAX(0,BD267*(1+BD$6/12)-BD$7))</f>
        <v/>
      </c>
      <c r="AU268" s="92">
        <f>IF(BE267&lt;0.005,0,MAX(0,BE267*(1+BE$6/12)-BE$7))</f>
        <v/>
      </c>
      <c r="AV268" s="92">
        <f>IF(BF267&lt;0.005,0,MAX(0,BF267*(1+BF$6/12)-BF$7))</f>
        <v/>
      </c>
      <c r="AW268" s="92">
        <f>IF(BG267&lt;0.005,0,MAX(0,BG267*(1+BG$6/12)-BG$7))</f>
        <v/>
      </c>
      <c r="AX268" s="92">
        <f>IF(BH267&lt;0.005,0,MAX(0,BH267*(1+BH$6/12)-BH$7))</f>
        <v/>
      </c>
      <c r="AY268" s="91">
        <f>MAX(0,AO268-MAX(0,BJ268-0))</f>
        <v/>
      </c>
      <c r="AZ268" s="91">
        <f>MAX(0,AP268-MAX(0,BJ268-SUM(AO268:AO268)))</f>
        <v/>
      </c>
      <c r="BA268" s="91">
        <f>MAX(0,AQ268-MAX(0,BJ268-SUM(AO268:AP268)))</f>
        <v/>
      </c>
      <c r="BB268" s="91">
        <f>MAX(0,AR268-MAX(0,BJ268-SUM(AO268:AQ268)))</f>
        <v/>
      </c>
      <c r="BC268" s="91">
        <f>MAX(0,AS268-MAX(0,BJ268-SUM(AO268:AR268)))</f>
        <v/>
      </c>
      <c r="BD268" s="91">
        <f>MAX(0,AT268-MAX(0,BJ268-SUM(AO268:AS268)))</f>
        <v/>
      </c>
      <c r="BE268" s="91">
        <f>MAX(0,AU268-MAX(0,BJ268-SUM(AO268:AT268)))</f>
        <v/>
      </c>
      <c r="BF268" s="91">
        <f>MAX(0,AV268-MAX(0,BJ268-SUM(AO268:AU268)))</f>
        <v/>
      </c>
      <c r="BG268" s="91">
        <f>MAX(0,AW268-MAX(0,BJ268-SUM(AO268:AV268)))</f>
        <v/>
      </c>
      <c r="BH268" s="91">
        <f>MAX(0,AX268-MAX(0,BJ268-SUM(AO268:AW268)))</f>
        <v/>
      </c>
      <c r="BI268" s="92">
        <f>SUM(AY267:BH267)+BK268</f>
        <v/>
      </c>
      <c r="BJ268" s="92">
        <f>$BJ$7-(BI268-SUM(AO268:AX268))</f>
        <v/>
      </c>
      <c r="BK268" s="91">
        <f>SUMPRODUCT(AY267:BH267,$AY$6:$BH$6)/12</f>
        <v/>
      </c>
      <c r="BL268" s="88">
        <f>SUM(AY268:BH268)</f>
        <v/>
      </c>
    </row>
    <row r="269">
      <c r="A269" s="24" t="n">
        <v>259</v>
      </c>
      <c r="B269" s="90">
        <f>DATE(YEAR(Settings!$C$11),MONTH(Settings!$C$11)+A269,1)</f>
        <v/>
      </c>
      <c r="C269" s="91">
        <f>IF(C268&lt;0.005,0,MAX(0,C268*(1+C$6/12)-C$7))</f>
        <v/>
      </c>
      <c r="D269" s="91">
        <f>IF(D268&lt;0.005,0,MAX(0,D268*(1+D$6/12)-D$7))</f>
        <v/>
      </c>
      <c r="E269" s="91">
        <f>IF(E268&lt;0.005,0,MAX(0,E268*(1+E$6/12)-E$7))</f>
        <v/>
      </c>
      <c r="F269" s="91">
        <f>IF(F268&lt;0.005,0,MAX(0,F268*(1+F$6/12)-F$7))</f>
        <v/>
      </c>
      <c r="G269" s="91">
        <f>IF(G268&lt;0.005,0,MAX(0,G268*(1+G$6/12)-G$7))</f>
        <v/>
      </c>
      <c r="H269" s="91">
        <f>IF(H268&lt;0.005,0,MAX(0,H268*(1+H$6/12)-H$7))</f>
        <v/>
      </c>
      <c r="I269" s="91">
        <f>IF(I268&lt;0.005,0,MAX(0,I268*(1+I$6/12)-I$7))</f>
        <v/>
      </c>
      <c r="J269" s="91">
        <f>IF(J268&lt;0.005,0,MAX(0,J268*(1+J$6/12)-J$7))</f>
        <v/>
      </c>
      <c r="K269" s="91">
        <f>IF(K268&lt;0.005,0,MAX(0,K268*(1+K$6/12)-K$7))</f>
        <v/>
      </c>
      <c r="L269" s="91">
        <f>IF(L268&lt;0.005,0,MAX(0,L268*(1+L$6/12)-L$7))</f>
        <v/>
      </c>
      <c r="M269" s="91">
        <f>SUMPRODUCT(C268:L268,$C$6:$L$6)/12</f>
        <v/>
      </c>
      <c r="N269" s="88">
        <f>SUM(C269:L269)</f>
        <v/>
      </c>
      <c r="P269" s="92">
        <f>IF(Z268&lt;0.005,0,MAX(0,Z268*(1+Z$6/12)-Z$7))</f>
        <v/>
      </c>
      <c r="Q269" s="92">
        <f>IF(AA268&lt;0.005,0,MAX(0,AA268*(1+AA$6/12)-AA$7))</f>
        <v/>
      </c>
      <c r="R269" s="92">
        <f>IF(AB268&lt;0.005,0,MAX(0,AB268*(1+AB$6/12)-AB$7))</f>
        <v/>
      </c>
      <c r="S269" s="92">
        <f>IF(AC268&lt;0.005,0,MAX(0,AC268*(1+AC$6/12)-AC$7))</f>
        <v/>
      </c>
      <c r="T269" s="92">
        <f>IF(AD268&lt;0.005,0,MAX(0,AD268*(1+AD$6/12)-AD$7))</f>
        <v/>
      </c>
      <c r="U269" s="92">
        <f>IF(AE268&lt;0.005,0,MAX(0,AE268*(1+AE$6/12)-AE$7))</f>
        <v/>
      </c>
      <c r="V269" s="92">
        <f>IF(AF268&lt;0.005,0,MAX(0,AF268*(1+AF$6/12)-AF$7))</f>
        <v/>
      </c>
      <c r="W269" s="92">
        <f>IF(AG268&lt;0.005,0,MAX(0,AG268*(1+AG$6/12)-AG$7))</f>
        <v/>
      </c>
      <c r="X269" s="92">
        <f>IF(AH268&lt;0.005,0,MAX(0,AH268*(1+AH$6/12)-AH$7))</f>
        <v/>
      </c>
      <c r="Y269" s="92">
        <f>IF(AI268&lt;0.005,0,MAX(0,AI268*(1+AI$6/12)-AI$7))</f>
        <v/>
      </c>
      <c r="Z269" s="91">
        <f>MAX(0,P269-MAX(0,AK269-0))</f>
        <v/>
      </c>
      <c r="AA269" s="91">
        <f>MAX(0,Q269-MAX(0,AK269-SUM(P269:P269)))</f>
        <v/>
      </c>
      <c r="AB269" s="91">
        <f>MAX(0,R269-MAX(0,AK269-SUM(P269:Q269)))</f>
        <v/>
      </c>
      <c r="AC269" s="91">
        <f>MAX(0,S269-MAX(0,AK269-SUM(P269:R269)))</f>
        <v/>
      </c>
      <c r="AD269" s="91">
        <f>MAX(0,T269-MAX(0,AK269-SUM(P269:S269)))</f>
        <v/>
      </c>
      <c r="AE269" s="91">
        <f>MAX(0,U269-MAX(0,AK269-SUM(P269:T269)))</f>
        <v/>
      </c>
      <c r="AF269" s="91">
        <f>MAX(0,V269-MAX(0,AK269-SUM(P269:U269)))</f>
        <v/>
      </c>
      <c r="AG269" s="91">
        <f>MAX(0,W269-MAX(0,AK269-SUM(P269:V269)))</f>
        <v/>
      </c>
      <c r="AH269" s="91">
        <f>MAX(0,X269-MAX(0,AK269-SUM(P269:W269)))</f>
        <v/>
      </c>
      <c r="AI269" s="91">
        <f>MAX(0,Y269-MAX(0,AK269-SUM(P269:X269)))</f>
        <v/>
      </c>
      <c r="AJ269" s="92">
        <f>SUM(Z268:AI268)+AL269</f>
        <v/>
      </c>
      <c r="AK269" s="92">
        <f>$AK$7-(AJ269-SUM(P269:Y269))</f>
        <v/>
      </c>
      <c r="AL269" s="91">
        <f>SUMPRODUCT(Z268:AI268,$Z$6:$AI$6)/12</f>
        <v/>
      </c>
      <c r="AM269" s="88">
        <f>SUM(Z269:AI269)</f>
        <v/>
      </c>
      <c r="AO269" s="92">
        <f>IF(AY268&lt;0.005,0,MAX(0,AY268*(1+AY$6/12)-AY$7))</f>
        <v/>
      </c>
      <c r="AP269" s="92">
        <f>IF(AZ268&lt;0.005,0,MAX(0,AZ268*(1+AZ$6/12)-AZ$7))</f>
        <v/>
      </c>
      <c r="AQ269" s="92">
        <f>IF(BA268&lt;0.005,0,MAX(0,BA268*(1+BA$6/12)-BA$7))</f>
        <v/>
      </c>
      <c r="AR269" s="92">
        <f>IF(BB268&lt;0.005,0,MAX(0,BB268*(1+BB$6/12)-BB$7))</f>
        <v/>
      </c>
      <c r="AS269" s="92">
        <f>IF(BC268&lt;0.005,0,MAX(0,BC268*(1+BC$6/12)-BC$7))</f>
        <v/>
      </c>
      <c r="AT269" s="92">
        <f>IF(BD268&lt;0.005,0,MAX(0,BD268*(1+BD$6/12)-BD$7))</f>
        <v/>
      </c>
      <c r="AU269" s="92">
        <f>IF(BE268&lt;0.005,0,MAX(0,BE268*(1+BE$6/12)-BE$7))</f>
        <v/>
      </c>
      <c r="AV269" s="92">
        <f>IF(BF268&lt;0.005,0,MAX(0,BF268*(1+BF$6/12)-BF$7))</f>
        <v/>
      </c>
      <c r="AW269" s="92">
        <f>IF(BG268&lt;0.005,0,MAX(0,BG268*(1+BG$6/12)-BG$7))</f>
        <v/>
      </c>
      <c r="AX269" s="92">
        <f>IF(BH268&lt;0.005,0,MAX(0,BH268*(1+BH$6/12)-BH$7))</f>
        <v/>
      </c>
      <c r="AY269" s="91">
        <f>MAX(0,AO269-MAX(0,BJ269-0))</f>
        <v/>
      </c>
      <c r="AZ269" s="91">
        <f>MAX(0,AP269-MAX(0,BJ269-SUM(AO269:AO269)))</f>
        <v/>
      </c>
      <c r="BA269" s="91">
        <f>MAX(0,AQ269-MAX(0,BJ269-SUM(AO269:AP269)))</f>
        <v/>
      </c>
      <c r="BB269" s="91">
        <f>MAX(0,AR269-MAX(0,BJ269-SUM(AO269:AQ269)))</f>
        <v/>
      </c>
      <c r="BC269" s="91">
        <f>MAX(0,AS269-MAX(0,BJ269-SUM(AO269:AR269)))</f>
        <v/>
      </c>
      <c r="BD269" s="91">
        <f>MAX(0,AT269-MAX(0,BJ269-SUM(AO269:AS269)))</f>
        <v/>
      </c>
      <c r="BE269" s="91">
        <f>MAX(0,AU269-MAX(0,BJ269-SUM(AO269:AT269)))</f>
        <v/>
      </c>
      <c r="BF269" s="91">
        <f>MAX(0,AV269-MAX(0,BJ269-SUM(AO269:AU269)))</f>
        <v/>
      </c>
      <c r="BG269" s="91">
        <f>MAX(0,AW269-MAX(0,BJ269-SUM(AO269:AV269)))</f>
        <v/>
      </c>
      <c r="BH269" s="91">
        <f>MAX(0,AX269-MAX(0,BJ269-SUM(AO269:AW269)))</f>
        <v/>
      </c>
      <c r="BI269" s="92">
        <f>SUM(AY268:BH268)+BK269</f>
        <v/>
      </c>
      <c r="BJ269" s="92">
        <f>$BJ$7-(BI269-SUM(AO269:AX269))</f>
        <v/>
      </c>
      <c r="BK269" s="91">
        <f>SUMPRODUCT(AY268:BH268,$AY$6:$BH$6)/12</f>
        <v/>
      </c>
      <c r="BL269" s="88">
        <f>SUM(AY269:BH269)</f>
        <v/>
      </c>
    </row>
    <row r="270">
      <c r="A270" s="24" t="n">
        <v>260</v>
      </c>
      <c r="B270" s="90">
        <f>DATE(YEAR(Settings!$C$11),MONTH(Settings!$C$11)+A270,1)</f>
        <v/>
      </c>
      <c r="C270" s="91">
        <f>IF(C269&lt;0.005,0,MAX(0,C269*(1+C$6/12)-C$7))</f>
        <v/>
      </c>
      <c r="D270" s="91">
        <f>IF(D269&lt;0.005,0,MAX(0,D269*(1+D$6/12)-D$7))</f>
        <v/>
      </c>
      <c r="E270" s="91">
        <f>IF(E269&lt;0.005,0,MAX(0,E269*(1+E$6/12)-E$7))</f>
        <v/>
      </c>
      <c r="F270" s="91">
        <f>IF(F269&lt;0.005,0,MAX(0,F269*(1+F$6/12)-F$7))</f>
        <v/>
      </c>
      <c r="G270" s="91">
        <f>IF(G269&lt;0.005,0,MAX(0,G269*(1+G$6/12)-G$7))</f>
        <v/>
      </c>
      <c r="H270" s="91">
        <f>IF(H269&lt;0.005,0,MAX(0,H269*(1+H$6/12)-H$7))</f>
        <v/>
      </c>
      <c r="I270" s="91">
        <f>IF(I269&lt;0.005,0,MAX(0,I269*(1+I$6/12)-I$7))</f>
        <v/>
      </c>
      <c r="J270" s="91">
        <f>IF(J269&lt;0.005,0,MAX(0,J269*(1+J$6/12)-J$7))</f>
        <v/>
      </c>
      <c r="K270" s="91">
        <f>IF(K269&lt;0.005,0,MAX(0,K269*(1+K$6/12)-K$7))</f>
        <v/>
      </c>
      <c r="L270" s="91">
        <f>IF(L269&lt;0.005,0,MAX(0,L269*(1+L$6/12)-L$7))</f>
        <v/>
      </c>
      <c r="M270" s="91">
        <f>SUMPRODUCT(C269:L269,$C$6:$L$6)/12</f>
        <v/>
      </c>
      <c r="N270" s="88">
        <f>SUM(C270:L270)</f>
        <v/>
      </c>
      <c r="P270" s="92">
        <f>IF(Z269&lt;0.005,0,MAX(0,Z269*(1+Z$6/12)-Z$7))</f>
        <v/>
      </c>
      <c r="Q270" s="92">
        <f>IF(AA269&lt;0.005,0,MAX(0,AA269*(1+AA$6/12)-AA$7))</f>
        <v/>
      </c>
      <c r="R270" s="92">
        <f>IF(AB269&lt;0.005,0,MAX(0,AB269*(1+AB$6/12)-AB$7))</f>
        <v/>
      </c>
      <c r="S270" s="92">
        <f>IF(AC269&lt;0.005,0,MAX(0,AC269*(1+AC$6/12)-AC$7))</f>
        <v/>
      </c>
      <c r="T270" s="92">
        <f>IF(AD269&lt;0.005,0,MAX(0,AD269*(1+AD$6/12)-AD$7))</f>
        <v/>
      </c>
      <c r="U270" s="92">
        <f>IF(AE269&lt;0.005,0,MAX(0,AE269*(1+AE$6/12)-AE$7))</f>
        <v/>
      </c>
      <c r="V270" s="92">
        <f>IF(AF269&lt;0.005,0,MAX(0,AF269*(1+AF$6/12)-AF$7))</f>
        <v/>
      </c>
      <c r="W270" s="92">
        <f>IF(AG269&lt;0.005,0,MAX(0,AG269*(1+AG$6/12)-AG$7))</f>
        <v/>
      </c>
      <c r="X270" s="92">
        <f>IF(AH269&lt;0.005,0,MAX(0,AH269*(1+AH$6/12)-AH$7))</f>
        <v/>
      </c>
      <c r="Y270" s="92">
        <f>IF(AI269&lt;0.005,0,MAX(0,AI269*(1+AI$6/12)-AI$7))</f>
        <v/>
      </c>
      <c r="Z270" s="91">
        <f>MAX(0,P270-MAX(0,AK270-0))</f>
        <v/>
      </c>
      <c r="AA270" s="91">
        <f>MAX(0,Q270-MAX(0,AK270-SUM(P270:P270)))</f>
        <v/>
      </c>
      <c r="AB270" s="91">
        <f>MAX(0,R270-MAX(0,AK270-SUM(P270:Q270)))</f>
        <v/>
      </c>
      <c r="AC270" s="91">
        <f>MAX(0,S270-MAX(0,AK270-SUM(P270:R270)))</f>
        <v/>
      </c>
      <c r="AD270" s="91">
        <f>MAX(0,T270-MAX(0,AK270-SUM(P270:S270)))</f>
        <v/>
      </c>
      <c r="AE270" s="91">
        <f>MAX(0,U270-MAX(0,AK270-SUM(P270:T270)))</f>
        <v/>
      </c>
      <c r="AF270" s="91">
        <f>MAX(0,V270-MAX(0,AK270-SUM(P270:U270)))</f>
        <v/>
      </c>
      <c r="AG270" s="91">
        <f>MAX(0,W270-MAX(0,AK270-SUM(P270:V270)))</f>
        <v/>
      </c>
      <c r="AH270" s="91">
        <f>MAX(0,X270-MAX(0,AK270-SUM(P270:W270)))</f>
        <v/>
      </c>
      <c r="AI270" s="91">
        <f>MAX(0,Y270-MAX(0,AK270-SUM(P270:X270)))</f>
        <v/>
      </c>
      <c r="AJ270" s="92">
        <f>SUM(Z269:AI269)+AL270</f>
        <v/>
      </c>
      <c r="AK270" s="92">
        <f>$AK$7-(AJ270-SUM(P270:Y270))</f>
        <v/>
      </c>
      <c r="AL270" s="91">
        <f>SUMPRODUCT(Z269:AI269,$Z$6:$AI$6)/12</f>
        <v/>
      </c>
      <c r="AM270" s="88">
        <f>SUM(Z270:AI270)</f>
        <v/>
      </c>
      <c r="AO270" s="92">
        <f>IF(AY269&lt;0.005,0,MAX(0,AY269*(1+AY$6/12)-AY$7))</f>
        <v/>
      </c>
      <c r="AP270" s="92">
        <f>IF(AZ269&lt;0.005,0,MAX(0,AZ269*(1+AZ$6/12)-AZ$7))</f>
        <v/>
      </c>
      <c r="AQ270" s="92">
        <f>IF(BA269&lt;0.005,0,MAX(0,BA269*(1+BA$6/12)-BA$7))</f>
        <v/>
      </c>
      <c r="AR270" s="92">
        <f>IF(BB269&lt;0.005,0,MAX(0,BB269*(1+BB$6/12)-BB$7))</f>
        <v/>
      </c>
      <c r="AS270" s="92">
        <f>IF(BC269&lt;0.005,0,MAX(0,BC269*(1+BC$6/12)-BC$7))</f>
        <v/>
      </c>
      <c r="AT270" s="92">
        <f>IF(BD269&lt;0.005,0,MAX(0,BD269*(1+BD$6/12)-BD$7))</f>
        <v/>
      </c>
      <c r="AU270" s="92">
        <f>IF(BE269&lt;0.005,0,MAX(0,BE269*(1+BE$6/12)-BE$7))</f>
        <v/>
      </c>
      <c r="AV270" s="92">
        <f>IF(BF269&lt;0.005,0,MAX(0,BF269*(1+BF$6/12)-BF$7))</f>
        <v/>
      </c>
      <c r="AW270" s="92">
        <f>IF(BG269&lt;0.005,0,MAX(0,BG269*(1+BG$6/12)-BG$7))</f>
        <v/>
      </c>
      <c r="AX270" s="92">
        <f>IF(BH269&lt;0.005,0,MAX(0,BH269*(1+BH$6/12)-BH$7))</f>
        <v/>
      </c>
      <c r="AY270" s="91">
        <f>MAX(0,AO270-MAX(0,BJ270-0))</f>
        <v/>
      </c>
      <c r="AZ270" s="91">
        <f>MAX(0,AP270-MAX(0,BJ270-SUM(AO270:AO270)))</f>
        <v/>
      </c>
      <c r="BA270" s="91">
        <f>MAX(0,AQ270-MAX(0,BJ270-SUM(AO270:AP270)))</f>
        <v/>
      </c>
      <c r="BB270" s="91">
        <f>MAX(0,AR270-MAX(0,BJ270-SUM(AO270:AQ270)))</f>
        <v/>
      </c>
      <c r="BC270" s="91">
        <f>MAX(0,AS270-MAX(0,BJ270-SUM(AO270:AR270)))</f>
        <v/>
      </c>
      <c r="BD270" s="91">
        <f>MAX(0,AT270-MAX(0,BJ270-SUM(AO270:AS270)))</f>
        <v/>
      </c>
      <c r="BE270" s="91">
        <f>MAX(0,AU270-MAX(0,BJ270-SUM(AO270:AT270)))</f>
        <v/>
      </c>
      <c r="BF270" s="91">
        <f>MAX(0,AV270-MAX(0,BJ270-SUM(AO270:AU270)))</f>
        <v/>
      </c>
      <c r="BG270" s="91">
        <f>MAX(0,AW270-MAX(0,BJ270-SUM(AO270:AV270)))</f>
        <v/>
      </c>
      <c r="BH270" s="91">
        <f>MAX(0,AX270-MAX(0,BJ270-SUM(AO270:AW270)))</f>
        <v/>
      </c>
      <c r="BI270" s="92">
        <f>SUM(AY269:BH269)+BK270</f>
        <v/>
      </c>
      <c r="BJ270" s="92">
        <f>$BJ$7-(BI270-SUM(AO270:AX270))</f>
        <v/>
      </c>
      <c r="BK270" s="91">
        <f>SUMPRODUCT(AY269:BH269,$AY$6:$BH$6)/12</f>
        <v/>
      </c>
      <c r="BL270" s="88">
        <f>SUM(AY270:BH270)</f>
        <v/>
      </c>
    </row>
    <row r="271">
      <c r="A271" s="24" t="n">
        <v>261</v>
      </c>
      <c r="B271" s="90">
        <f>DATE(YEAR(Settings!$C$11),MONTH(Settings!$C$11)+A271,1)</f>
        <v/>
      </c>
      <c r="C271" s="91">
        <f>IF(C270&lt;0.005,0,MAX(0,C270*(1+C$6/12)-C$7))</f>
        <v/>
      </c>
      <c r="D271" s="91">
        <f>IF(D270&lt;0.005,0,MAX(0,D270*(1+D$6/12)-D$7))</f>
        <v/>
      </c>
      <c r="E271" s="91">
        <f>IF(E270&lt;0.005,0,MAX(0,E270*(1+E$6/12)-E$7))</f>
        <v/>
      </c>
      <c r="F271" s="91">
        <f>IF(F270&lt;0.005,0,MAX(0,F270*(1+F$6/12)-F$7))</f>
        <v/>
      </c>
      <c r="G271" s="91">
        <f>IF(G270&lt;0.005,0,MAX(0,G270*(1+G$6/12)-G$7))</f>
        <v/>
      </c>
      <c r="H271" s="91">
        <f>IF(H270&lt;0.005,0,MAX(0,H270*(1+H$6/12)-H$7))</f>
        <v/>
      </c>
      <c r="I271" s="91">
        <f>IF(I270&lt;0.005,0,MAX(0,I270*(1+I$6/12)-I$7))</f>
        <v/>
      </c>
      <c r="J271" s="91">
        <f>IF(J270&lt;0.005,0,MAX(0,J270*(1+J$6/12)-J$7))</f>
        <v/>
      </c>
      <c r="K271" s="91">
        <f>IF(K270&lt;0.005,0,MAX(0,K270*(1+K$6/12)-K$7))</f>
        <v/>
      </c>
      <c r="L271" s="91">
        <f>IF(L270&lt;0.005,0,MAX(0,L270*(1+L$6/12)-L$7))</f>
        <v/>
      </c>
      <c r="M271" s="91">
        <f>SUMPRODUCT(C270:L270,$C$6:$L$6)/12</f>
        <v/>
      </c>
      <c r="N271" s="88">
        <f>SUM(C271:L271)</f>
        <v/>
      </c>
      <c r="P271" s="92">
        <f>IF(Z270&lt;0.005,0,MAX(0,Z270*(1+Z$6/12)-Z$7))</f>
        <v/>
      </c>
      <c r="Q271" s="92">
        <f>IF(AA270&lt;0.005,0,MAX(0,AA270*(1+AA$6/12)-AA$7))</f>
        <v/>
      </c>
      <c r="R271" s="92">
        <f>IF(AB270&lt;0.005,0,MAX(0,AB270*(1+AB$6/12)-AB$7))</f>
        <v/>
      </c>
      <c r="S271" s="92">
        <f>IF(AC270&lt;0.005,0,MAX(0,AC270*(1+AC$6/12)-AC$7))</f>
        <v/>
      </c>
      <c r="T271" s="92">
        <f>IF(AD270&lt;0.005,0,MAX(0,AD270*(1+AD$6/12)-AD$7))</f>
        <v/>
      </c>
      <c r="U271" s="92">
        <f>IF(AE270&lt;0.005,0,MAX(0,AE270*(1+AE$6/12)-AE$7))</f>
        <v/>
      </c>
      <c r="V271" s="92">
        <f>IF(AF270&lt;0.005,0,MAX(0,AF270*(1+AF$6/12)-AF$7))</f>
        <v/>
      </c>
      <c r="W271" s="92">
        <f>IF(AG270&lt;0.005,0,MAX(0,AG270*(1+AG$6/12)-AG$7))</f>
        <v/>
      </c>
      <c r="X271" s="92">
        <f>IF(AH270&lt;0.005,0,MAX(0,AH270*(1+AH$6/12)-AH$7))</f>
        <v/>
      </c>
      <c r="Y271" s="92">
        <f>IF(AI270&lt;0.005,0,MAX(0,AI270*(1+AI$6/12)-AI$7))</f>
        <v/>
      </c>
      <c r="Z271" s="91">
        <f>MAX(0,P271-MAX(0,AK271-0))</f>
        <v/>
      </c>
      <c r="AA271" s="91">
        <f>MAX(0,Q271-MAX(0,AK271-SUM(P271:P271)))</f>
        <v/>
      </c>
      <c r="AB271" s="91">
        <f>MAX(0,R271-MAX(0,AK271-SUM(P271:Q271)))</f>
        <v/>
      </c>
      <c r="AC271" s="91">
        <f>MAX(0,S271-MAX(0,AK271-SUM(P271:R271)))</f>
        <v/>
      </c>
      <c r="AD271" s="91">
        <f>MAX(0,T271-MAX(0,AK271-SUM(P271:S271)))</f>
        <v/>
      </c>
      <c r="AE271" s="91">
        <f>MAX(0,U271-MAX(0,AK271-SUM(P271:T271)))</f>
        <v/>
      </c>
      <c r="AF271" s="91">
        <f>MAX(0,V271-MAX(0,AK271-SUM(P271:U271)))</f>
        <v/>
      </c>
      <c r="AG271" s="91">
        <f>MAX(0,W271-MAX(0,AK271-SUM(P271:V271)))</f>
        <v/>
      </c>
      <c r="AH271" s="91">
        <f>MAX(0,X271-MAX(0,AK271-SUM(P271:W271)))</f>
        <v/>
      </c>
      <c r="AI271" s="91">
        <f>MAX(0,Y271-MAX(0,AK271-SUM(P271:X271)))</f>
        <v/>
      </c>
      <c r="AJ271" s="92">
        <f>SUM(Z270:AI270)+AL271</f>
        <v/>
      </c>
      <c r="AK271" s="92">
        <f>$AK$7-(AJ271-SUM(P271:Y271))</f>
        <v/>
      </c>
      <c r="AL271" s="91">
        <f>SUMPRODUCT(Z270:AI270,$Z$6:$AI$6)/12</f>
        <v/>
      </c>
      <c r="AM271" s="88">
        <f>SUM(Z271:AI271)</f>
        <v/>
      </c>
      <c r="AO271" s="92">
        <f>IF(AY270&lt;0.005,0,MAX(0,AY270*(1+AY$6/12)-AY$7))</f>
        <v/>
      </c>
      <c r="AP271" s="92">
        <f>IF(AZ270&lt;0.005,0,MAX(0,AZ270*(1+AZ$6/12)-AZ$7))</f>
        <v/>
      </c>
      <c r="AQ271" s="92">
        <f>IF(BA270&lt;0.005,0,MAX(0,BA270*(1+BA$6/12)-BA$7))</f>
        <v/>
      </c>
      <c r="AR271" s="92">
        <f>IF(BB270&lt;0.005,0,MAX(0,BB270*(1+BB$6/12)-BB$7))</f>
        <v/>
      </c>
      <c r="AS271" s="92">
        <f>IF(BC270&lt;0.005,0,MAX(0,BC270*(1+BC$6/12)-BC$7))</f>
        <v/>
      </c>
      <c r="AT271" s="92">
        <f>IF(BD270&lt;0.005,0,MAX(0,BD270*(1+BD$6/12)-BD$7))</f>
        <v/>
      </c>
      <c r="AU271" s="92">
        <f>IF(BE270&lt;0.005,0,MAX(0,BE270*(1+BE$6/12)-BE$7))</f>
        <v/>
      </c>
      <c r="AV271" s="92">
        <f>IF(BF270&lt;0.005,0,MAX(0,BF270*(1+BF$6/12)-BF$7))</f>
        <v/>
      </c>
      <c r="AW271" s="92">
        <f>IF(BG270&lt;0.005,0,MAX(0,BG270*(1+BG$6/12)-BG$7))</f>
        <v/>
      </c>
      <c r="AX271" s="92">
        <f>IF(BH270&lt;0.005,0,MAX(0,BH270*(1+BH$6/12)-BH$7))</f>
        <v/>
      </c>
      <c r="AY271" s="91">
        <f>MAX(0,AO271-MAX(0,BJ271-0))</f>
        <v/>
      </c>
      <c r="AZ271" s="91">
        <f>MAX(0,AP271-MAX(0,BJ271-SUM(AO271:AO271)))</f>
        <v/>
      </c>
      <c r="BA271" s="91">
        <f>MAX(0,AQ271-MAX(0,BJ271-SUM(AO271:AP271)))</f>
        <v/>
      </c>
      <c r="BB271" s="91">
        <f>MAX(0,AR271-MAX(0,BJ271-SUM(AO271:AQ271)))</f>
        <v/>
      </c>
      <c r="BC271" s="91">
        <f>MAX(0,AS271-MAX(0,BJ271-SUM(AO271:AR271)))</f>
        <v/>
      </c>
      <c r="BD271" s="91">
        <f>MAX(0,AT271-MAX(0,BJ271-SUM(AO271:AS271)))</f>
        <v/>
      </c>
      <c r="BE271" s="91">
        <f>MAX(0,AU271-MAX(0,BJ271-SUM(AO271:AT271)))</f>
        <v/>
      </c>
      <c r="BF271" s="91">
        <f>MAX(0,AV271-MAX(0,BJ271-SUM(AO271:AU271)))</f>
        <v/>
      </c>
      <c r="BG271" s="91">
        <f>MAX(0,AW271-MAX(0,BJ271-SUM(AO271:AV271)))</f>
        <v/>
      </c>
      <c r="BH271" s="91">
        <f>MAX(0,AX271-MAX(0,BJ271-SUM(AO271:AW271)))</f>
        <v/>
      </c>
      <c r="BI271" s="92">
        <f>SUM(AY270:BH270)+BK271</f>
        <v/>
      </c>
      <c r="BJ271" s="92">
        <f>$BJ$7-(BI271-SUM(AO271:AX271))</f>
        <v/>
      </c>
      <c r="BK271" s="91">
        <f>SUMPRODUCT(AY270:BH270,$AY$6:$BH$6)/12</f>
        <v/>
      </c>
      <c r="BL271" s="88">
        <f>SUM(AY271:BH271)</f>
        <v/>
      </c>
    </row>
    <row r="272">
      <c r="A272" s="24" t="n">
        <v>262</v>
      </c>
      <c r="B272" s="90">
        <f>DATE(YEAR(Settings!$C$11),MONTH(Settings!$C$11)+A272,1)</f>
        <v/>
      </c>
      <c r="C272" s="91">
        <f>IF(C271&lt;0.005,0,MAX(0,C271*(1+C$6/12)-C$7))</f>
        <v/>
      </c>
      <c r="D272" s="91">
        <f>IF(D271&lt;0.005,0,MAX(0,D271*(1+D$6/12)-D$7))</f>
        <v/>
      </c>
      <c r="E272" s="91">
        <f>IF(E271&lt;0.005,0,MAX(0,E271*(1+E$6/12)-E$7))</f>
        <v/>
      </c>
      <c r="F272" s="91">
        <f>IF(F271&lt;0.005,0,MAX(0,F271*(1+F$6/12)-F$7))</f>
        <v/>
      </c>
      <c r="G272" s="91">
        <f>IF(G271&lt;0.005,0,MAX(0,G271*(1+G$6/12)-G$7))</f>
        <v/>
      </c>
      <c r="H272" s="91">
        <f>IF(H271&lt;0.005,0,MAX(0,H271*(1+H$6/12)-H$7))</f>
        <v/>
      </c>
      <c r="I272" s="91">
        <f>IF(I271&lt;0.005,0,MAX(0,I271*(1+I$6/12)-I$7))</f>
        <v/>
      </c>
      <c r="J272" s="91">
        <f>IF(J271&lt;0.005,0,MAX(0,J271*(1+J$6/12)-J$7))</f>
        <v/>
      </c>
      <c r="K272" s="91">
        <f>IF(K271&lt;0.005,0,MAX(0,K271*(1+K$6/12)-K$7))</f>
        <v/>
      </c>
      <c r="L272" s="91">
        <f>IF(L271&lt;0.005,0,MAX(0,L271*(1+L$6/12)-L$7))</f>
        <v/>
      </c>
      <c r="M272" s="91">
        <f>SUMPRODUCT(C271:L271,$C$6:$L$6)/12</f>
        <v/>
      </c>
      <c r="N272" s="88">
        <f>SUM(C272:L272)</f>
        <v/>
      </c>
      <c r="P272" s="92">
        <f>IF(Z271&lt;0.005,0,MAX(0,Z271*(1+Z$6/12)-Z$7))</f>
        <v/>
      </c>
      <c r="Q272" s="92">
        <f>IF(AA271&lt;0.005,0,MAX(0,AA271*(1+AA$6/12)-AA$7))</f>
        <v/>
      </c>
      <c r="R272" s="92">
        <f>IF(AB271&lt;0.005,0,MAX(0,AB271*(1+AB$6/12)-AB$7))</f>
        <v/>
      </c>
      <c r="S272" s="92">
        <f>IF(AC271&lt;0.005,0,MAX(0,AC271*(1+AC$6/12)-AC$7))</f>
        <v/>
      </c>
      <c r="T272" s="92">
        <f>IF(AD271&lt;0.005,0,MAX(0,AD271*(1+AD$6/12)-AD$7))</f>
        <v/>
      </c>
      <c r="U272" s="92">
        <f>IF(AE271&lt;0.005,0,MAX(0,AE271*(1+AE$6/12)-AE$7))</f>
        <v/>
      </c>
      <c r="V272" s="92">
        <f>IF(AF271&lt;0.005,0,MAX(0,AF271*(1+AF$6/12)-AF$7))</f>
        <v/>
      </c>
      <c r="W272" s="92">
        <f>IF(AG271&lt;0.005,0,MAX(0,AG271*(1+AG$6/12)-AG$7))</f>
        <v/>
      </c>
      <c r="X272" s="92">
        <f>IF(AH271&lt;0.005,0,MAX(0,AH271*(1+AH$6/12)-AH$7))</f>
        <v/>
      </c>
      <c r="Y272" s="92">
        <f>IF(AI271&lt;0.005,0,MAX(0,AI271*(1+AI$6/12)-AI$7))</f>
        <v/>
      </c>
      <c r="Z272" s="91">
        <f>MAX(0,P272-MAX(0,AK272-0))</f>
        <v/>
      </c>
      <c r="AA272" s="91">
        <f>MAX(0,Q272-MAX(0,AK272-SUM(P272:P272)))</f>
        <v/>
      </c>
      <c r="AB272" s="91">
        <f>MAX(0,R272-MAX(0,AK272-SUM(P272:Q272)))</f>
        <v/>
      </c>
      <c r="AC272" s="91">
        <f>MAX(0,S272-MAX(0,AK272-SUM(P272:R272)))</f>
        <v/>
      </c>
      <c r="AD272" s="91">
        <f>MAX(0,T272-MAX(0,AK272-SUM(P272:S272)))</f>
        <v/>
      </c>
      <c r="AE272" s="91">
        <f>MAX(0,U272-MAX(0,AK272-SUM(P272:T272)))</f>
        <v/>
      </c>
      <c r="AF272" s="91">
        <f>MAX(0,V272-MAX(0,AK272-SUM(P272:U272)))</f>
        <v/>
      </c>
      <c r="AG272" s="91">
        <f>MAX(0,W272-MAX(0,AK272-SUM(P272:V272)))</f>
        <v/>
      </c>
      <c r="AH272" s="91">
        <f>MAX(0,X272-MAX(0,AK272-SUM(P272:W272)))</f>
        <v/>
      </c>
      <c r="AI272" s="91">
        <f>MAX(0,Y272-MAX(0,AK272-SUM(P272:X272)))</f>
        <v/>
      </c>
      <c r="AJ272" s="92">
        <f>SUM(Z271:AI271)+AL272</f>
        <v/>
      </c>
      <c r="AK272" s="92">
        <f>$AK$7-(AJ272-SUM(P272:Y272))</f>
        <v/>
      </c>
      <c r="AL272" s="91">
        <f>SUMPRODUCT(Z271:AI271,$Z$6:$AI$6)/12</f>
        <v/>
      </c>
      <c r="AM272" s="88">
        <f>SUM(Z272:AI272)</f>
        <v/>
      </c>
      <c r="AO272" s="92">
        <f>IF(AY271&lt;0.005,0,MAX(0,AY271*(1+AY$6/12)-AY$7))</f>
        <v/>
      </c>
      <c r="AP272" s="92">
        <f>IF(AZ271&lt;0.005,0,MAX(0,AZ271*(1+AZ$6/12)-AZ$7))</f>
        <v/>
      </c>
      <c r="AQ272" s="92">
        <f>IF(BA271&lt;0.005,0,MAX(0,BA271*(1+BA$6/12)-BA$7))</f>
        <v/>
      </c>
      <c r="AR272" s="92">
        <f>IF(BB271&lt;0.005,0,MAX(0,BB271*(1+BB$6/12)-BB$7))</f>
        <v/>
      </c>
      <c r="AS272" s="92">
        <f>IF(BC271&lt;0.005,0,MAX(0,BC271*(1+BC$6/12)-BC$7))</f>
        <v/>
      </c>
      <c r="AT272" s="92">
        <f>IF(BD271&lt;0.005,0,MAX(0,BD271*(1+BD$6/12)-BD$7))</f>
        <v/>
      </c>
      <c r="AU272" s="92">
        <f>IF(BE271&lt;0.005,0,MAX(0,BE271*(1+BE$6/12)-BE$7))</f>
        <v/>
      </c>
      <c r="AV272" s="92">
        <f>IF(BF271&lt;0.005,0,MAX(0,BF271*(1+BF$6/12)-BF$7))</f>
        <v/>
      </c>
      <c r="AW272" s="92">
        <f>IF(BG271&lt;0.005,0,MAX(0,BG271*(1+BG$6/12)-BG$7))</f>
        <v/>
      </c>
      <c r="AX272" s="92">
        <f>IF(BH271&lt;0.005,0,MAX(0,BH271*(1+BH$6/12)-BH$7))</f>
        <v/>
      </c>
      <c r="AY272" s="91">
        <f>MAX(0,AO272-MAX(0,BJ272-0))</f>
        <v/>
      </c>
      <c r="AZ272" s="91">
        <f>MAX(0,AP272-MAX(0,BJ272-SUM(AO272:AO272)))</f>
        <v/>
      </c>
      <c r="BA272" s="91">
        <f>MAX(0,AQ272-MAX(0,BJ272-SUM(AO272:AP272)))</f>
        <v/>
      </c>
      <c r="BB272" s="91">
        <f>MAX(0,AR272-MAX(0,BJ272-SUM(AO272:AQ272)))</f>
        <v/>
      </c>
      <c r="BC272" s="91">
        <f>MAX(0,AS272-MAX(0,BJ272-SUM(AO272:AR272)))</f>
        <v/>
      </c>
      <c r="BD272" s="91">
        <f>MAX(0,AT272-MAX(0,BJ272-SUM(AO272:AS272)))</f>
        <v/>
      </c>
      <c r="BE272" s="91">
        <f>MAX(0,AU272-MAX(0,BJ272-SUM(AO272:AT272)))</f>
        <v/>
      </c>
      <c r="BF272" s="91">
        <f>MAX(0,AV272-MAX(0,BJ272-SUM(AO272:AU272)))</f>
        <v/>
      </c>
      <c r="BG272" s="91">
        <f>MAX(0,AW272-MAX(0,BJ272-SUM(AO272:AV272)))</f>
        <v/>
      </c>
      <c r="BH272" s="91">
        <f>MAX(0,AX272-MAX(0,BJ272-SUM(AO272:AW272)))</f>
        <v/>
      </c>
      <c r="BI272" s="92">
        <f>SUM(AY271:BH271)+BK272</f>
        <v/>
      </c>
      <c r="BJ272" s="92">
        <f>$BJ$7-(BI272-SUM(AO272:AX272))</f>
        <v/>
      </c>
      <c r="BK272" s="91">
        <f>SUMPRODUCT(AY271:BH271,$AY$6:$BH$6)/12</f>
        <v/>
      </c>
      <c r="BL272" s="88">
        <f>SUM(AY272:BH272)</f>
        <v/>
      </c>
    </row>
    <row r="273">
      <c r="A273" s="24" t="n">
        <v>263</v>
      </c>
      <c r="B273" s="90">
        <f>DATE(YEAR(Settings!$C$11),MONTH(Settings!$C$11)+A273,1)</f>
        <v/>
      </c>
      <c r="C273" s="91">
        <f>IF(C272&lt;0.005,0,MAX(0,C272*(1+C$6/12)-C$7))</f>
        <v/>
      </c>
      <c r="D273" s="91">
        <f>IF(D272&lt;0.005,0,MAX(0,D272*(1+D$6/12)-D$7))</f>
        <v/>
      </c>
      <c r="E273" s="91">
        <f>IF(E272&lt;0.005,0,MAX(0,E272*(1+E$6/12)-E$7))</f>
        <v/>
      </c>
      <c r="F273" s="91">
        <f>IF(F272&lt;0.005,0,MAX(0,F272*(1+F$6/12)-F$7))</f>
        <v/>
      </c>
      <c r="G273" s="91">
        <f>IF(G272&lt;0.005,0,MAX(0,G272*(1+G$6/12)-G$7))</f>
        <v/>
      </c>
      <c r="H273" s="91">
        <f>IF(H272&lt;0.005,0,MAX(0,H272*(1+H$6/12)-H$7))</f>
        <v/>
      </c>
      <c r="I273" s="91">
        <f>IF(I272&lt;0.005,0,MAX(0,I272*(1+I$6/12)-I$7))</f>
        <v/>
      </c>
      <c r="J273" s="91">
        <f>IF(J272&lt;0.005,0,MAX(0,J272*(1+J$6/12)-J$7))</f>
        <v/>
      </c>
      <c r="K273" s="91">
        <f>IF(K272&lt;0.005,0,MAX(0,K272*(1+K$6/12)-K$7))</f>
        <v/>
      </c>
      <c r="L273" s="91">
        <f>IF(L272&lt;0.005,0,MAX(0,L272*(1+L$6/12)-L$7))</f>
        <v/>
      </c>
      <c r="M273" s="91">
        <f>SUMPRODUCT(C272:L272,$C$6:$L$6)/12</f>
        <v/>
      </c>
      <c r="N273" s="88">
        <f>SUM(C273:L273)</f>
        <v/>
      </c>
      <c r="P273" s="92">
        <f>IF(Z272&lt;0.005,0,MAX(0,Z272*(1+Z$6/12)-Z$7))</f>
        <v/>
      </c>
      <c r="Q273" s="92">
        <f>IF(AA272&lt;0.005,0,MAX(0,AA272*(1+AA$6/12)-AA$7))</f>
        <v/>
      </c>
      <c r="R273" s="92">
        <f>IF(AB272&lt;0.005,0,MAX(0,AB272*(1+AB$6/12)-AB$7))</f>
        <v/>
      </c>
      <c r="S273" s="92">
        <f>IF(AC272&lt;0.005,0,MAX(0,AC272*(1+AC$6/12)-AC$7))</f>
        <v/>
      </c>
      <c r="T273" s="92">
        <f>IF(AD272&lt;0.005,0,MAX(0,AD272*(1+AD$6/12)-AD$7))</f>
        <v/>
      </c>
      <c r="U273" s="92">
        <f>IF(AE272&lt;0.005,0,MAX(0,AE272*(1+AE$6/12)-AE$7))</f>
        <v/>
      </c>
      <c r="V273" s="92">
        <f>IF(AF272&lt;0.005,0,MAX(0,AF272*(1+AF$6/12)-AF$7))</f>
        <v/>
      </c>
      <c r="W273" s="92">
        <f>IF(AG272&lt;0.005,0,MAX(0,AG272*(1+AG$6/12)-AG$7))</f>
        <v/>
      </c>
      <c r="X273" s="92">
        <f>IF(AH272&lt;0.005,0,MAX(0,AH272*(1+AH$6/12)-AH$7))</f>
        <v/>
      </c>
      <c r="Y273" s="92">
        <f>IF(AI272&lt;0.005,0,MAX(0,AI272*(1+AI$6/12)-AI$7))</f>
        <v/>
      </c>
      <c r="Z273" s="91">
        <f>MAX(0,P273-MAX(0,AK273-0))</f>
        <v/>
      </c>
      <c r="AA273" s="91">
        <f>MAX(0,Q273-MAX(0,AK273-SUM(P273:P273)))</f>
        <v/>
      </c>
      <c r="AB273" s="91">
        <f>MAX(0,R273-MAX(0,AK273-SUM(P273:Q273)))</f>
        <v/>
      </c>
      <c r="AC273" s="91">
        <f>MAX(0,S273-MAX(0,AK273-SUM(P273:R273)))</f>
        <v/>
      </c>
      <c r="AD273" s="91">
        <f>MAX(0,T273-MAX(0,AK273-SUM(P273:S273)))</f>
        <v/>
      </c>
      <c r="AE273" s="91">
        <f>MAX(0,U273-MAX(0,AK273-SUM(P273:T273)))</f>
        <v/>
      </c>
      <c r="AF273" s="91">
        <f>MAX(0,V273-MAX(0,AK273-SUM(P273:U273)))</f>
        <v/>
      </c>
      <c r="AG273" s="91">
        <f>MAX(0,W273-MAX(0,AK273-SUM(P273:V273)))</f>
        <v/>
      </c>
      <c r="AH273" s="91">
        <f>MAX(0,X273-MAX(0,AK273-SUM(P273:W273)))</f>
        <v/>
      </c>
      <c r="AI273" s="91">
        <f>MAX(0,Y273-MAX(0,AK273-SUM(P273:X273)))</f>
        <v/>
      </c>
      <c r="AJ273" s="92">
        <f>SUM(Z272:AI272)+AL273</f>
        <v/>
      </c>
      <c r="AK273" s="92">
        <f>$AK$7-(AJ273-SUM(P273:Y273))</f>
        <v/>
      </c>
      <c r="AL273" s="91">
        <f>SUMPRODUCT(Z272:AI272,$Z$6:$AI$6)/12</f>
        <v/>
      </c>
      <c r="AM273" s="88">
        <f>SUM(Z273:AI273)</f>
        <v/>
      </c>
      <c r="AO273" s="92">
        <f>IF(AY272&lt;0.005,0,MAX(0,AY272*(1+AY$6/12)-AY$7))</f>
        <v/>
      </c>
      <c r="AP273" s="92">
        <f>IF(AZ272&lt;0.005,0,MAX(0,AZ272*(1+AZ$6/12)-AZ$7))</f>
        <v/>
      </c>
      <c r="AQ273" s="92">
        <f>IF(BA272&lt;0.005,0,MAX(0,BA272*(1+BA$6/12)-BA$7))</f>
        <v/>
      </c>
      <c r="AR273" s="92">
        <f>IF(BB272&lt;0.005,0,MAX(0,BB272*(1+BB$6/12)-BB$7))</f>
        <v/>
      </c>
      <c r="AS273" s="92">
        <f>IF(BC272&lt;0.005,0,MAX(0,BC272*(1+BC$6/12)-BC$7))</f>
        <v/>
      </c>
      <c r="AT273" s="92">
        <f>IF(BD272&lt;0.005,0,MAX(0,BD272*(1+BD$6/12)-BD$7))</f>
        <v/>
      </c>
      <c r="AU273" s="92">
        <f>IF(BE272&lt;0.005,0,MAX(0,BE272*(1+BE$6/12)-BE$7))</f>
        <v/>
      </c>
      <c r="AV273" s="92">
        <f>IF(BF272&lt;0.005,0,MAX(0,BF272*(1+BF$6/12)-BF$7))</f>
        <v/>
      </c>
      <c r="AW273" s="92">
        <f>IF(BG272&lt;0.005,0,MAX(0,BG272*(1+BG$6/12)-BG$7))</f>
        <v/>
      </c>
      <c r="AX273" s="92">
        <f>IF(BH272&lt;0.005,0,MAX(0,BH272*(1+BH$6/12)-BH$7))</f>
        <v/>
      </c>
      <c r="AY273" s="91">
        <f>MAX(0,AO273-MAX(0,BJ273-0))</f>
        <v/>
      </c>
      <c r="AZ273" s="91">
        <f>MAX(0,AP273-MAX(0,BJ273-SUM(AO273:AO273)))</f>
        <v/>
      </c>
      <c r="BA273" s="91">
        <f>MAX(0,AQ273-MAX(0,BJ273-SUM(AO273:AP273)))</f>
        <v/>
      </c>
      <c r="BB273" s="91">
        <f>MAX(0,AR273-MAX(0,BJ273-SUM(AO273:AQ273)))</f>
        <v/>
      </c>
      <c r="BC273" s="91">
        <f>MAX(0,AS273-MAX(0,BJ273-SUM(AO273:AR273)))</f>
        <v/>
      </c>
      <c r="BD273" s="91">
        <f>MAX(0,AT273-MAX(0,BJ273-SUM(AO273:AS273)))</f>
        <v/>
      </c>
      <c r="BE273" s="91">
        <f>MAX(0,AU273-MAX(0,BJ273-SUM(AO273:AT273)))</f>
        <v/>
      </c>
      <c r="BF273" s="91">
        <f>MAX(0,AV273-MAX(0,BJ273-SUM(AO273:AU273)))</f>
        <v/>
      </c>
      <c r="BG273" s="91">
        <f>MAX(0,AW273-MAX(0,BJ273-SUM(AO273:AV273)))</f>
        <v/>
      </c>
      <c r="BH273" s="91">
        <f>MAX(0,AX273-MAX(0,BJ273-SUM(AO273:AW273)))</f>
        <v/>
      </c>
      <c r="BI273" s="92">
        <f>SUM(AY272:BH272)+BK273</f>
        <v/>
      </c>
      <c r="BJ273" s="92">
        <f>$BJ$7-(BI273-SUM(AO273:AX273))</f>
        <v/>
      </c>
      <c r="BK273" s="91">
        <f>SUMPRODUCT(AY272:BH272,$AY$6:$BH$6)/12</f>
        <v/>
      </c>
      <c r="BL273" s="88">
        <f>SUM(AY273:BH273)</f>
        <v/>
      </c>
    </row>
    <row r="274">
      <c r="A274" s="24" t="n">
        <v>264</v>
      </c>
      <c r="B274" s="90">
        <f>DATE(YEAR(Settings!$C$11),MONTH(Settings!$C$11)+A274,1)</f>
        <v/>
      </c>
      <c r="C274" s="91">
        <f>IF(C273&lt;0.005,0,MAX(0,C273*(1+C$6/12)-C$7))</f>
        <v/>
      </c>
      <c r="D274" s="91">
        <f>IF(D273&lt;0.005,0,MAX(0,D273*(1+D$6/12)-D$7))</f>
        <v/>
      </c>
      <c r="E274" s="91">
        <f>IF(E273&lt;0.005,0,MAX(0,E273*(1+E$6/12)-E$7))</f>
        <v/>
      </c>
      <c r="F274" s="91">
        <f>IF(F273&lt;0.005,0,MAX(0,F273*(1+F$6/12)-F$7))</f>
        <v/>
      </c>
      <c r="G274" s="91">
        <f>IF(G273&lt;0.005,0,MAX(0,G273*(1+G$6/12)-G$7))</f>
        <v/>
      </c>
      <c r="H274" s="91">
        <f>IF(H273&lt;0.005,0,MAX(0,H273*(1+H$6/12)-H$7))</f>
        <v/>
      </c>
      <c r="I274" s="91">
        <f>IF(I273&lt;0.005,0,MAX(0,I273*(1+I$6/12)-I$7))</f>
        <v/>
      </c>
      <c r="J274" s="91">
        <f>IF(J273&lt;0.005,0,MAX(0,J273*(1+J$6/12)-J$7))</f>
        <v/>
      </c>
      <c r="K274" s="91">
        <f>IF(K273&lt;0.005,0,MAX(0,K273*(1+K$6/12)-K$7))</f>
        <v/>
      </c>
      <c r="L274" s="91">
        <f>IF(L273&lt;0.005,0,MAX(0,L273*(1+L$6/12)-L$7))</f>
        <v/>
      </c>
      <c r="M274" s="91">
        <f>SUMPRODUCT(C273:L273,$C$6:$L$6)/12</f>
        <v/>
      </c>
      <c r="N274" s="88">
        <f>SUM(C274:L274)</f>
        <v/>
      </c>
      <c r="P274" s="92">
        <f>IF(Z273&lt;0.005,0,MAX(0,Z273*(1+Z$6/12)-Z$7))</f>
        <v/>
      </c>
      <c r="Q274" s="92">
        <f>IF(AA273&lt;0.005,0,MAX(0,AA273*(1+AA$6/12)-AA$7))</f>
        <v/>
      </c>
      <c r="R274" s="92">
        <f>IF(AB273&lt;0.005,0,MAX(0,AB273*(1+AB$6/12)-AB$7))</f>
        <v/>
      </c>
      <c r="S274" s="92">
        <f>IF(AC273&lt;0.005,0,MAX(0,AC273*(1+AC$6/12)-AC$7))</f>
        <v/>
      </c>
      <c r="T274" s="92">
        <f>IF(AD273&lt;0.005,0,MAX(0,AD273*(1+AD$6/12)-AD$7))</f>
        <v/>
      </c>
      <c r="U274" s="92">
        <f>IF(AE273&lt;0.005,0,MAX(0,AE273*(1+AE$6/12)-AE$7))</f>
        <v/>
      </c>
      <c r="V274" s="92">
        <f>IF(AF273&lt;0.005,0,MAX(0,AF273*(1+AF$6/12)-AF$7))</f>
        <v/>
      </c>
      <c r="W274" s="92">
        <f>IF(AG273&lt;0.005,0,MAX(0,AG273*(1+AG$6/12)-AG$7))</f>
        <v/>
      </c>
      <c r="X274" s="92">
        <f>IF(AH273&lt;0.005,0,MAX(0,AH273*(1+AH$6/12)-AH$7))</f>
        <v/>
      </c>
      <c r="Y274" s="92">
        <f>IF(AI273&lt;0.005,0,MAX(0,AI273*(1+AI$6/12)-AI$7))</f>
        <v/>
      </c>
      <c r="Z274" s="91">
        <f>MAX(0,P274-MAX(0,AK274-0))</f>
        <v/>
      </c>
      <c r="AA274" s="91">
        <f>MAX(0,Q274-MAX(0,AK274-SUM(P274:P274)))</f>
        <v/>
      </c>
      <c r="AB274" s="91">
        <f>MAX(0,R274-MAX(0,AK274-SUM(P274:Q274)))</f>
        <v/>
      </c>
      <c r="AC274" s="91">
        <f>MAX(0,S274-MAX(0,AK274-SUM(P274:R274)))</f>
        <v/>
      </c>
      <c r="AD274" s="91">
        <f>MAX(0,T274-MAX(0,AK274-SUM(P274:S274)))</f>
        <v/>
      </c>
      <c r="AE274" s="91">
        <f>MAX(0,U274-MAX(0,AK274-SUM(P274:T274)))</f>
        <v/>
      </c>
      <c r="AF274" s="91">
        <f>MAX(0,V274-MAX(0,AK274-SUM(P274:U274)))</f>
        <v/>
      </c>
      <c r="AG274" s="91">
        <f>MAX(0,W274-MAX(0,AK274-SUM(P274:V274)))</f>
        <v/>
      </c>
      <c r="AH274" s="91">
        <f>MAX(0,X274-MAX(0,AK274-SUM(P274:W274)))</f>
        <v/>
      </c>
      <c r="AI274" s="91">
        <f>MAX(0,Y274-MAX(0,AK274-SUM(P274:X274)))</f>
        <v/>
      </c>
      <c r="AJ274" s="92">
        <f>SUM(Z273:AI273)+AL274</f>
        <v/>
      </c>
      <c r="AK274" s="92">
        <f>$AK$7-(AJ274-SUM(P274:Y274))</f>
        <v/>
      </c>
      <c r="AL274" s="91">
        <f>SUMPRODUCT(Z273:AI273,$Z$6:$AI$6)/12</f>
        <v/>
      </c>
      <c r="AM274" s="88">
        <f>SUM(Z274:AI274)</f>
        <v/>
      </c>
      <c r="AO274" s="92">
        <f>IF(AY273&lt;0.005,0,MAX(0,AY273*(1+AY$6/12)-AY$7))</f>
        <v/>
      </c>
      <c r="AP274" s="92">
        <f>IF(AZ273&lt;0.005,0,MAX(0,AZ273*(1+AZ$6/12)-AZ$7))</f>
        <v/>
      </c>
      <c r="AQ274" s="92">
        <f>IF(BA273&lt;0.005,0,MAX(0,BA273*(1+BA$6/12)-BA$7))</f>
        <v/>
      </c>
      <c r="AR274" s="92">
        <f>IF(BB273&lt;0.005,0,MAX(0,BB273*(1+BB$6/12)-BB$7))</f>
        <v/>
      </c>
      <c r="AS274" s="92">
        <f>IF(BC273&lt;0.005,0,MAX(0,BC273*(1+BC$6/12)-BC$7))</f>
        <v/>
      </c>
      <c r="AT274" s="92">
        <f>IF(BD273&lt;0.005,0,MAX(0,BD273*(1+BD$6/12)-BD$7))</f>
        <v/>
      </c>
      <c r="AU274" s="92">
        <f>IF(BE273&lt;0.005,0,MAX(0,BE273*(1+BE$6/12)-BE$7))</f>
        <v/>
      </c>
      <c r="AV274" s="92">
        <f>IF(BF273&lt;0.005,0,MAX(0,BF273*(1+BF$6/12)-BF$7))</f>
        <v/>
      </c>
      <c r="AW274" s="92">
        <f>IF(BG273&lt;0.005,0,MAX(0,BG273*(1+BG$6/12)-BG$7))</f>
        <v/>
      </c>
      <c r="AX274" s="92">
        <f>IF(BH273&lt;0.005,0,MAX(0,BH273*(1+BH$6/12)-BH$7))</f>
        <v/>
      </c>
      <c r="AY274" s="91">
        <f>MAX(0,AO274-MAX(0,BJ274-0))</f>
        <v/>
      </c>
      <c r="AZ274" s="91">
        <f>MAX(0,AP274-MAX(0,BJ274-SUM(AO274:AO274)))</f>
        <v/>
      </c>
      <c r="BA274" s="91">
        <f>MAX(0,AQ274-MAX(0,BJ274-SUM(AO274:AP274)))</f>
        <v/>
      </c>
      <c r="BB274" s="91">
        <f>MAX(0,AR274-MAX(0,BJ274-SUM(AO274:AQ274)))</f>
        <v/>
      </c>
      <c r="BC274" s="91">
        <f>MAX(0,AS274-MAX(0,BJ274-SUM(AO274:AR274)))</f>
        <v/>
      </c>
      <c r="BD274" s="91">
        <f>MAX(0,AT274-MAX(0,BJ274-SUM(AO274:AS274)))</f>
        <v/>
      </c>
      <c r="BE274" s="91">
        <f>MAX(0,AU274-MAX(0,BJ274-SUM(AO274:AT274)))</f>
        <v/>
      </c>
      <c r="BF274" s="91">
        <f>MAX(0,AV274-MAX(0,BJ274-SUM(AO274:AU274)))</f>
        <v/>
      </c>
      <c r="BG274" s="91">
        <f>MAX(0,AW274-MAX(0,BJ274-SUM(AO274:AV274)))</f>
        <v/>
      </c>
      <c r="BH274" s="91">
        <f>MAX(0,AX274-MAX(0,BJ274-SUM(AO274:AW274)))</f>
        <v/>
      </c>
      <c r="BI274" s="92">
        <f>SUM(AY273:BH273)+BK274</f>
        <v/>
      </c>
      <c r="BJ274" s="92">
        <f>$BJ$7-(BI274-SUM(AO274:AX274))</f>
        <v/>
      </c>
      <c r="BK274" s="91">
        <f>SUMPRODUCT(AY273:BH273,$AY$6:$BH$6)/12</f>
        <v/>
      </c>
      <c r="BL274" s="88">
        <f>SUM(AY274:BH274)</f>
        <v/>
      </c>
    </row>
    <row r="275">
      <c r="A275" s="24" t="n">
        <v>265</v>
      </c>
      <c r="B275" s="90">
        <f>DATE(YEAR(Settings!$C$11),MONTH(Settings!$C$11)+A275,1)</f>
        <v/>
      </c>
      <c r="C275" s="91">
        <f>IF(C274&lt;0.005,0,MAX(0,C274*(1+C$6/12)-C$7))</f>
        <v/>
      </c>
      <c r="D275" s="91">
        <f>IF(D274&lt;0.005,0,MAX(0,D274*(1+D$6/12)-D$7))</f>
        <v/>
      </c>
      <c r="E275" s="91">
        <f>IF(E274&lt;0.005,0,MAX(0,E274*(1+E$6/12)-E$7))</f>
        <v/>
      </c>
      <c r="F275" s="91">
        <f>IF(F274&lt;0.005,0,MAX(0,F274*(1+F$6/12)-F$7))</f>
        <v/>
      </c>
      <c r="G275" s="91">
        <f>IF(G274&lt;0.005,0,MAX(0,G274*(1+G$6/12)-G$7))</f>
        <v/>
      </c>
      <c r="H275" s="91">
        <f>IF(H274&lt;0.005,0,MAX(0,H274*(1+H$6/12)-H$7))</f>
        <v/>
      </c>
      <c r="I275" s="91">
        <f>IF(I274&lt;0.005,0,MAX(0,I274*(1+I$6/12)-I$7))</f>
        <v/>
      </c>
      <c r="J275" s="91">
        <f>IF(J274&lt;0.005,0,MAX(0,J274*(1+J$6/12)-J$7))</f>
        <v/>
      </c>
      <c r="K275" s="91">
        <f>IF(K274&lt;0.005,0,MAX(0,K274*(1+K$6/12)-K$7))</f>
        <v/>
      </c>
      <c r="L275" s="91">
        <f>IF(L274&lt;0.005,0,MAX(0,L274*(1+L$6/12)-L$7))</f>
        <v/>
      </c>
      <c r="M275" s="91">
        <f>SUMPRODUCT(C274:L274,$C$6:$L$6)/12</f>
        <v/>
      </c>
      <c r="N275" s="88">
        <f>SUM(C275:L275)</f>
        <v/>
      </c>
      <c r="P275" s="92">
        <f>IF(Z274&lt;0.005,0,MAX(0,Z274*(1+Z$6/12)-Z$7))</f>
        <v/>
      </c>
      <c r="Q275" s="92">
        <f>IF(AA274&lt;0.005,0,MAX(0,AA274*(1+AA$6/12)-AA$7))</f>
        <v/>
      </c>
      <c r="R275" s="92">
        <f>IF(AB274&lt;0.005,0,MAX(0,AB274*(1+AB$6/12)-AB$7))</f>
        <v/>
      </c>
      <c r="S275" s="92">
        <f>IF(AC274&lt;0.005,0,MAX(0,AC274*(1+AC$6/12)-AC$7))</f>
        <v/>
      </c>
      <c r="T275" s="92">
        <f>IF(AD274&lt;0.005,0,MAX(0,AD274*(1+AD$6/12)-AD$7))</f>
        <v/>
      </c>
      <c r="U275" s="92">
        <f>IF(AE274&lt;0.005,0,MAX(0,AE274*(1+AE$6/12)-AE$7))</f>
        <v/>
      </c>
      <c r="V275" s="92">
        <f>IF(AF274&lt;0.005,0,MAX(0,AF274*(1+AF$6/12)-AF$7))</f>
        <v/>
      </c>
      <c r="W275" s="92">
        <f>IF(AG274&lt;0.005,0,MAX(0,AG274*(1+AG$6/12)-AG$7))</f>
        <v/>
      </c>
      <c r="X275" s="92">
        <f>IF(AH274&lt;0.005,0,MAX(0,AH274*(1+AH$6/12)-AH$7))</f>
        <v/>
      </c>
      <c r="Y275" s="92">
        <f>IF(AI274&lt;0.005,0,MAX(0,AI274*(1+AI$6/12)-AI$7))</f>
        <v/>
      </c>
      <c r="Z275" s="91">
        <f>MAX(0,P275-MAX(0,AK275-0))</f>
        <v/>
      </c>
      <c r="AA275" s="91">
        <f>MAX(0,Q275-MAX(0,AK275-SUM(P275:P275)))</f>
        <v/>
      </c>
      <c r="AB275" s="91">
        <f>MAX(0,R275-MAX(0,AK275-SUM(P275:Q275)))</f>
        <v/>
      </c>
      <c r="AC275" s="91">
        <f>MAX(0,S275-MAX(0,AK275-SUM(P275:R275)))</f>
        <v/>
      </c>
      <c r="AD275" s="91">
        <f>MAX(0,T275-MAX(0,AK275-SUM(P275:S275)))</f>
        <v/>
      </c>
      <c r="AE275" s="91">
        <f>MAX(0,U275-MAX(0,AK275-SUM(P275:T275)))</f>
        <v/>
      </c>
      <c r="AF275" s="91">
        <f>MAX(0,V275-MAX(0,AK275-SUM(P275:U275)))</f>
        <v/>
      </c>
      <c r="AG275" s="91">
        <f>MAX(0,W275-MAX(0,AK275-SUM(P275:V275)))</f>
        <v/>
      </c>
      <c r="AH275" s="91">
        <f>MAX(0,X275-MAX(0,AK275-SUM(P275:W275)))</f>
        <v/>
      </c>
      <c r="AI275" s="91">
        <f>MAX(0,Y275-MAX(0,AK275-SUM(P275:X275)))</f>
        <v/>
      </c>
      <c r="AJ275" s="92">
        <f>SUM(Z274:AI274)+AL275</f>
        <v/>
      </c>
      <c r="AK275" s="92">
        <f>$AK$7-(AJ275-SUM(P275:Y275))</f>
        <v/>
      </c>
      <c r="AL275" s="91">
        <f>SUMPRODUCT(Z274:AI274,$Z$6:$AI$6)/12</f>
        <v/>
      </c>
      <c r="AM275" s="88">
        <f>SUM(Z275:AI275)</f>
        <v/>
      </c>
      <c r="AO275" s="92">
        <f>IF(AY274&lt;0.005,0,MAX(0,AY274*(1+AY$6/12)-AY$7))</f>
        <v/>
      </c>
      <c r="AP275" s="92">
        <f>IF(AZ274&lt;0.005,0,MAX(0,AZ274*(1+AZ$6/12)-AZ$7))</f>
        <v/>
      </c>
      <c r="AQ275" s="92">
        <f>IF(BA274&lt;0.005,0,MAX(0,BA274*(1+BA$6/12)-BA$7))</f>
        <v/>
      </c>
      <c r="AR275" s="92">
        <f>IF(BB274&lt;0.005,0,MAX(0,BB274*(1+BB$6/12)-BB$7))</f>
        <v/>
      </c>
      <c r="AS275" s="92">
        <f>IF(BC274&lt;0.005,0,MAX(0,BC274*(1+BC$6/12)-BC$7))</f>
        <v/>
      </c>
      <c r="AT275" s="92">
        <f>IF(BD274&lt;0.005,0,MAX(0,BD274*(1+BD$6/12)-BD$7))</f>
        <v/>
      </c>
      <c r="AU275" s="92">
        <f>IF(BE274&lt;0.005,0,MAX(0,BE274*(1+BE$6/12)-BE$7))</f>
        <v/>
      </c>
      <c r="AV275" s="92">
        <f>IF(BF274&lt;0.005,0,MAX(0,BF274*(1+BF$6/12)-BF$7))</f>
        <v/>
      </c>
      <c r="AW275" s="92">
        <f>IF(BG274&lt;0.005,0,MAX(0,BG274*(1+BG$6/12)-BG$7))</f>
        <v/>
      </c>
      <c r="AX275" s="92">
        <f>IF(BH274&lt;0.005,0,MAX(0,BH274*(1+BH$6/12)-BH$7))</f>
        <v/>
      </c>
      <c r="AY275" s="91">
        <f>MAX(0,AO275-MAX(0,BJ275-0))</f>
        <v/>
      </c>
      <c r="AZ275" s="91">
        <f>MAX(0,AP275-MAX(0,BJ275-SUM(AO275:AO275)))</f>
        <v/>
      </c>
      <c r="BA275" s="91">
        <f>MAX(0,AQ275-MAX(0,BJ275-SUM(AO275:AP275)))</f>
        <v/>
      </c>
      <c r="BB275" s="91">
        <f>MAX(0,AR275-MAX(0,BJ275-SUM(AO275:AQ275)))</f>
        <v/>
      </c>
      <c r="BC275" s="91">
        <f>MAX(0,AS275-MAX(0,BJ275-SUM(AO275:AR275)))</f>
        <v/>
      </c>
      <c r="BD275" s="91">
        <f>MAX(0,AT275-MAX(0,BJ275-SUM(AO275:AS275)))</f>
        <v/>
      </c>
      <c r="BE275" s="91">
        <f>MAX(0,AU275-MAX(0,BJ275-SUM(AO275:AT275)))</f>
        <v/>
      </c>
      <c r="BF275" s="91">
        <f>MAX(0,AV275-MAX(0,BJ275-SUM(AO275:AU275)))</f>
        <v/>
      </c>
      <c r="BG275" s="91">
        <f>MAX(0,AW275-MAX(0,BJ275-SUM(AO275:AV275)))</f>
        <v/>
      </c>
      <c r="BH275" s="91">
        <f>MAX(0,AX275-MAX(0,BJ275-SUM(AO275:AW275)))</f>
        <v/>
      </c>
      <c r="BI275" s="92">
        <f>SUM(AY274:BH274)+BK275</f>
        <v/>
      </c>
      <c r="BJ275" s="92">
        <f>$BJ$7-(BI275-SUM(AO275:AX275))</f>
        <v/>
      </c>
      <c r="BK275" s="91">
        <f>SUMPRODUCT(AY274:BH274,$AY$6:$BH$6)/12</f>
        <v/>
      </c>
      <c r="BL275" s="88">
        <f>SUM(AY275:BH275)</f>
        <v/>
      </c>
    </row>
    <row r="276">
      <c r="A276" s="24" t="n">
        <v>266</v>
      </c>
      <c r="B276" s="90">
        <f>DATE(YEAR(Settings!$C$11),MONTH(Settings!$C$11)+A276,1)</f>
        <v/>
      </c>
      <c r="C276" s="91">
        <f>IF(C275&lt;0.005,0,MAX(0,C275*(1+C$6/12)-C$7))</f>
        <v/>
      </c>
      <c r="D276" s="91">
        <f>IF(D275&lt;0.005,0,MAX(0,D275*(1+D$6/12)-D$7))</f>
        <v/>
      </c>
      <c r="E276" s="91">
        <f>IF(E275&lt;0.005,0,MAX(0,E275*(1+E$6/12)-E$7))</f>
        <v/>
      </c>
      <c r="F276" s="91">
        <f>IF(F275&lt;0.005,0,MAX(0,F275*(1+F$6/12)-F$7))</f>
        <v/>
      </c>
      <c r="G276" s="91">
        <f>IF(G275&lt;0.005,0,MAX(0,G275*(1+G$6/12)-G$7))</f>
        <v/>
      </c>
      <c r="H276" s="91">
        <f>IF(H275&lt;0.005,0,MAX(0,H275*(1+H$6/12)-H$7))</f>
        <v/>
      </c>
      <c r="I276" s="91">
        <f>IF(I275&lt;0.005,0,MAX(0,I275*(1+I$6/12)-I$7))</f>
        <v/>
      </c>
      <c r="J276" s="91">
        <f>IF(J275&lt;0.005,0,MAX(0,J275*(1+J$6/12)-J$7))</f>
        <v/>
      </c>
      <c r="K276" s="91">
        <f>IF(K275&lt;0.005,0,MAX(0,K275*(1+K$6/12)-K$7))</f>
        <v/>
      </c>
      <c r="L276" s="91">
        <f>IF(L275&lt;0.005,0,MAX(0,L275*(1+L$6/12)-L$7))</f>
        <v/>
      </c>
      <c r="M276" s="91">
        <f>SUMPRODUCT(C275:L275,$C$6:$L$6)/12</f>
        <v/>
      </c>
      <c r="N276" s="88">
        <f>SUM(C276:L276)</f>
        <v/>
      </c>
      <c r="P276" s="92">
        <f>IF(Z275&lt;0.005,0,MAX(0,Z275*(1+Z$6/12)-Z$7))</f>
        <v/>
      </c>
      <c r="Q276" s="92">
        <f>IF(AA275&lt;0.005,0,MAX(0,AA275*(1+AA$6/12)-AA$7))</f>
        <v/>
      </c>
      <c r="R276" s="92">
        <f>IF(AB275&lt;0.005,0,MAX(0,AB275*(1+AB$6/12)-AB$7))</f>
        <v/>
      </c>
      <c r="S276" s="92">
        <f>IF(AC275&lt;0.005,0,MAX(0,AC275*(1+AC$6/12)-AC$7))</f>
        <v/>
      </c>
      <c r="T276" s="92">
        <f>IF(AD275&lt;0.005,0,MAX(0,AD275*(1+AD$6/12)-AD$7))</f>
        <v/>
      </c>
      <c r="U276" s="92">
        <f>IF(AE275&lt;0.005,0,MAX(0,AE275*(1+AE$6/12)-AE$7))</f>
        <v/>
      </c>
      <c r="V276" s="92">
        <f>IF(AF275&lt;0.005,0,MAX(0,AF275*(1+AF$6/12)-AF$7))</f>
        <v/>
      </c>
      <c r="W276" s="92">
        <f>IF(AG275&lt;0.005,0,MAX(0,AG275*(1+AG$6/12)-AG$7))</f>
        <v/>
      </c>
      <c r="X276" s="92">
        <f>IF(AH275&lt;0.005,0,MAX(0,AH275*(1+AH$6/12)-AH$7))</f>
        <v/>
      </c>
      <c r="Y276" s="92">
        <f>IF(AI275&lt;0.005,0,MAX(0,AI275*(1+AI$6/12)-AI$7))</f>
        <v/>
      </c>
      <c r="Z276" s="91">
        <f>MAX(0,P276-MAX(0,AK276-0))</f>
        <v/>
      </c>
      <c r="AA276" s="91">
        <f>MAX(0,Q276-MAX(0,AK276-SUM(P276:P276)))</f>
        <v/>
      </c>
      <c r="AB276" s="91">
        <f>MAX(0,R276-MAX(0,AK276-SUM(P276:Q276)))</f>
        <v/>
      </c>
      <c r="AC276" s="91">
        <f>MAX(0,S276-MAX(0,AK276-SUM(P276:R276)))</f>
        <v/>
      </c>
      <c r="AD276" s="91">
        <f>MAX(0,T276-MAX(0,AK276-SUM(P276:S276)))</f>
        <v/>
      </c>
      <c r="AE276" s="91">
        <f>MAX(0,U276-MAX(0,AK276-SUM(P276:T276)))</f>
        <v/>
      </c>
      <c r="AF276" s="91">
        <f>MAX(0,V276-MAX(0,AK276-SUM(P276:U276)))</f>
        <v/>
      </c>
      <c r="AG276" s="91">
        <f>MAX(0,W276-MAX(0,AK276-SUM(P276:V276)))</f>
        <v/>
      </c>
      <c r="AH276" s="91">
        <f>MAX(0,X276-MAX(0,AK276-SUM(P276:W276)))</f>
        <v/>
      </c>
      <c r="AI276" s="91">
        <f>MAX(0,Y276-MAX(0,AK276-SUM(P276:X276)))</f>
        <v/>
      </c>
      <c r="AJ276" s="92">
        <f>SUM(Z275:AI275)+AL276</f>
        <v/>
      </c>
      <c r="AK276" s="92">
        <f>$AK$7-(AJ276-SUM(P276:Y276))</f>
        <v/>
      </c>
      <c r="AL276" s="91">
        <f>SUMPRODUCT(Z275:AI275,$Z$6:$AI$6)/12</f>
        <v/>
      </c>
      <c r="AM276" s="88">
        <f>SUM(Z276:AI276)</f>
        <v/>
      </c>
      <c r="AO276" s="92">
        <f>IF(AY275&lt;0.005,0,MAX(0,AY275*(1+AY$6/12)-AY$7))</f>
        <v/>
      </c>
      <c r="AP276" s="92">
        <f>IF(AZ275&lt;0.005,0,MAX(0,AZ275*(1+AZ$6/12)-AZ$7))</f>
        <v/>
      </c>
      <c r="AQ276" s="92">
        <f>IF(BA275&lt;0.005,0,MAX(0,BA275*(1+BA$6/12)-BA$7))</f>
        <v/>
      </c>
      <c r="AR276" s="92">
        <f>IF(BB275&lt;0.005,0,MAX(0,BB275*(1+BB$6/12)-BB$7))</f>
        <v/>
      </c>
      <c r="AS276" s="92">
        <f>IF(BC275&lt;0.005,0,MAX(0,BC275*(1+BC$6/12)-BC$7))</f>
        <v/>
      </c>
      <c r="AT276" s="92">
        <f>IF(BD275&lt;0.005,0,MAX(0,BD275*(1+BD$6/12)-BD$7))</f>
        <v/>
      </c>
      <c r="AU276" s="92">
        <f>IF(BE275&lt;0.005,0,MAX(0,BE275*(1+BE$6/12)-BE$7))</f>
        <v/>
      </c>
      <c r="AV276" s="92">
        <f>IF(BF275&lt;0.005,0,MAX(0,BF275*(1+BF$6/12)-BF$7))</f>
        <v/>
      </c>
      <c r="AW276" s="92">
        <f>IF(BG275&lt;0.005,0,MAX(0,BG275*(1+BG$6/12)-BG$7))</f>
        <v/>
      </c>
      <c r="AX276" s="92">
        <f>IF(BH275&lt;0.005,0,MAX(0,BH275*(1+BH$6/12)-BH$7))</f>
        <v/>
      </c>
      <c r="AY276" s="91">
        <f>MAX(0,AO276-MAX(0,BJ276-0))</f>
        <v/>
      </c>
      <c r="AZ276" s="91">
        <f>MAX(0,AP276-MAX(0,BJ276-SUM(AO276:AO276)))</f>
        <v/>
      </c>
      <c r="BA276" s="91">
        <f>MAX(0,AQ276-MAX(0,BJ276-SUM(AO276:AP276)))</f>
        <v/>
      </c>
      <c r="BB276" s="91">
        <f>MAX(0,AR276-MAX(0,BJ276-SUM(AO276:AQ276)))</f>
        <v/>
      </c>
      <c r="BC276" s="91">
        <f>MAX(0,AS276-MAX(0,BJ276-SUM(AO276:AR276)))</f>
        <v/>
      </c>
      <c r="BD276" s="91">
        <f>MAX(0,AT276-MAX(0,BJ276-SUM(AO276:AS276)))</f>
        <v/>
      </c>
      <c r="BE276" s="91">
        <f>MAX(0,AU276-MAX(0,BJ276-SUM(AO276:AT276)))</f>
        <v/>
      </c>
      <c r="BF276" s="91">
        <f>MAX(0,AV276-MAX(0,BJ276-SUM(AO276:AU276)))</f>
        <v/>
      </c>
      <c r="BG276" s="91">
        <f>MAX(0,AW276-MAX(0,BJ276-SUM(AO276:AV276)))</f>
        <v/>
      </c>
      <c r="BH276" s="91">
        <f>MAX(0,AX276-MAX(0,BJ276-SUM(AO276:AW276)))</f>
        <v/>
      </c>
      <c r="BI276" s="92">
        <f>SUM(AY275:BH275)+BK276</f>
        <v/>
      </c>
      <c r="BJ276" s="92">
        <f>$BJ$7-(BI276-SUM(AO276:AX276))</f>
        <v/>
      </c>
      <c r="BK276" s="91">
        <f>SUMPRODUCT(AY275:BH275,$AY$6:$BH$6)/12</f>
        <v/>
      </c>
      <c r="BL276" s="88">
        <f>SUM(AY276:BH276)</f>
        <v/>
      </c>
    </row>
    <row r="277">
      <c r="A277" s="24" t="n">
        <v>267</v>
      </c>
      <c r="B277" s="90">
        <f>DATE(YEAR(Settings!$C$11),MONTH(Settings!$C$11)+A277,1)</f>
        <v/>
      </c>
      <c r="C277" s="91">
        <f>IF(C276&lt;0.005,0,MAX(0,C276*(1+C$6/12)-C$7))</f>
        <v/>
      </c>
      <c r="D277" s="91">
        <f>IF(D276&lt;0.005,0,MAX(0,D276*(1+D$6/12)-D$7))</f>
        <v/>
      </c>
      <c r="E277" s="91">
        <f>IF(E276&lt;0.005,0,MAX(0,E276*(1+E$6/12)-E$7))</f>
        <v/>
      </c>
      <c r="F277" s="91">
        <f>IF(F276&lt;0.005,0,MAX(0,F276*(1+F$6/12)-F$7))</f>
        <v/>
      </c>
      <c r="G277" s="91">
        <f>IF(G276&lt;0.005,0,MAX(0,G276*(1+G$6/12)-G$7))</f>
        <v/>
      </c>
      <c r="H277" s="91">
        <f>IF(H276&lt;0.005,0,MAX(0,H276*(1+H$6/12)-H$7))</f>
        <v/>
      </c>
      <c r="I277" s="91">
        <f>IF(I276&lt;0.005,0,MAX(0,I276*(1+I$6/12)-I$7))</f>
        <v/>
      </c>
      <c r="J277" s="91">
        <f>IF(J276&lt;0.005,0,MAX(0,J276*(1+J$6/12)-J$7))</f>
        <v/>
      </c>
      <c r="K277" s="91">
        <f>IF(K276&lt;0.005,0,MAX(0,K276*(1+K$6/12)-K$7))</f>
        <v/>
      </c>
      <c r="L277" s="91">
        <f>IF(L276&lt;0.005,0,MAX(0,L276*(1+L$6/12)-L$7))</f>
        <v/>
      </c>
      <c r="M277" s="91">
        <f>SUMPRODUCT(C276:L276,$C$6:$L$6)/12</f>
        <v/>
      </c>
      <c r="N277" s="88">
        <f>SUM(C277:L277)</f>
        <v/>
      </c>
      <c r="P277" s="92">
        <f>IF(Z276&lt;0.005,0,MAX(0,Z276*(1+Z$6/12)-Z$7))</f>
        <v/>
      </c>
      <c r="Q277" s="92">
        <f>IF(AA276&lt;0.005,0,MAX(0,AA276*(1+AA$6/12)-AA$7))</f>
        <v/>
      </c>
      <c r="R277" s="92">
        <f>IF(AB276&lt;0.005,0,MAX(0,AB276*(1+AB$6/12)-AB$7))</f>
        <v/>
      </c>
      <c r="S277" s="92">
        <f>IF(AC276&lt;0.005,0,MAX(0,AC276*(1+AC$6/12)-AC$7))</f>
        <v/>
      </c>
      <c r="T277" s="92">
        <f>IF(AD276&lt;0.005,0,MAX(0,AD276*(1+AD$6/12)-AD$7))</f>
        <v/>
      </c>
      <c r="U277" s="92">
        <f>IF(AE276&lt;0.005,0,MAX(0,AE276*(1+AE$6/12)-AE$7))</f>
        <v/>
      </c>
      <c r="V277" s="92">
        <f>IF(AF276&lt;0.005,0,MAX(0,AF276*(1+AF$6/12)-AF$7))</f>
        <v/>
      </c>
      <c r="W277" s="92">
        <f>IF(AG276&lt;0.005,0,MAX(0,AG276*(1+AG$6/12)-AG$7))</f>
        <v/>
      </c>
      <c r="X277" s="92">
        <f>IF(AH276&lt;0.005,0,MAX(0,AH276*(1+AH$6/12)-AH$7))</f>
        <v/>
      </c>
      <c r="Y277" s="92">
        <f>IF(AI276&lt;0.005,0,MAX(0,AI276*(1+AI$6/12)-AI$7))</f>
        <v/>
      </c>
      <c r="Z277" s="91">
        <f>MAX(0,P277-MAX(0,AK277-0))</f>
        <v/>
      </c>
      <c r="AA277" s="91">
        <f>MAX(0,Q277-MAX(0,AK277-SUM(P277:P277)))</f>
        <v/>
      </c>
      <c r="AB277" s="91">
        <f>MAX(0,R277-MAX(0,AK277-SUM(P277:Q277)))</f>
        <v/>
      </c>
      <c r="AC277" s="91">
        <f>MAX(0,S277-MAX(0,AK277-SUM(P277:R277)))</f>
        <v/>
      </c>
      <c r="AD277" s="91">
        <f>MAX(0,T277-MAX(0,AK277-SUM(P277:S277)))</f>
        <v/>
      </c>
      <c r="AE277" s="91">
        <f>MAX(0,U277-MAX(0,AK277-SUM(P277:T277)))</f>
        <v/>
      </c>
      <c r="AF277" s="91">
        <f>MAX(0,V277-MAX(0,AK277-SUM(P277:U277)))</f>
        <v/>
      </c>
      <c r="AG277" s="91">
        <f>MAX(0,W277-MAX(0,AK277-SUM(P277:V277)))</f>
        <v/>
      </c>
      <c r="AH277" s="91">
        <f>MAX(0,X277-MAX(0,AK277-SUM(P277:W277)))</f>
        <v/>
      </c>
      <c r="AI277" s="91">
        <f>MAX(0,Y277-MAX(0,AK277-SUM(P277:X277)))</f>
        <v/>
      </c>
      <c r="AJ277" s="92">
        <f>SUM(Z276:AI276)+AL277</f>
        <v/>
      </c>
      <c r="AK277" s="92">
        <f>$AK$7-(AJ277-SUM(P277:Y277))</f>
        <v/>
      </c>
      <c r="AL277" s="91">
        <f>SUMPRODUCT(Z276:AI276,$Z$6:$AI$6)/12</f>
        <v/>
      </c>
      <c r="AM277" s="88">
        <f>SUM(Z277:AI277)</f>
        <v/>
      </c>
      <c r="AO277" s="92">
        <f>IF(AY276&lt;0.005,0,MAX(0,AY276*(1+AY$6/12)-AY$7))</f>
        <v/>
      </c>
      <c r="AP277" s="92">
        <f>IF(AZ276&lt;0.005,0,MAX(0,AZ276*(1+AZ$6/12)-AZ$7))</f>
        <v/>
      </c>
      <c r="AQ277" s="92">
        <f>IF(BA276&lt;0.005,0,MAX(0,BA276*(1+BA$6/12)-BA$7))</f>
        <v/>
      </c>
      <c r="AR277" s="92">
        <f>IF(BB276&lt;0.005,0,MAX(0,BB276*(1+BB$6/12)-BB$7))</f>
        <v/>
      </c>
      <c r="AS277" s="92">
        <f>IF(BC276&lt;0.005,0,MAX(0,BC276*(1+BC$6/12)-BC$7))</f>
        <v/>
      </c>
      <c r="AT277" s="92">
        <f>IF(BD276&lt;0.005,0,MAX(0,BD276*(1+BD$6/12)-BD$7))</f>
        <v/>
      </c>
      <c r="AU277" s="92">
        <f>IF(BE276&lt;0.005,0,MAX(0,BE276*(1+BE$6/12)-BE$7))</f>
        <v/>
      </c>
      <c r="AV277" s="92">
        <f>IF(BF276&lt;0.005,0,MAX(0,BF276*(1+BF$6/12)-BF$7))</f>
        <v/>
      </c>
      <c r="AW277" s="92">
        <f>IF(BG276&lt;0.005,0,MAX(0,BG276*(1+BG$6/12)-BG$7))</f>
        <v/>
      </c>
      <c r="AX277" s="92">
        <f>IF(BH276&lt;0.005,0,MAX(0,BH276*(1+BH$6/12)-BH$7))</f>
        <v/>
      </c>
      <c r="AY277" s="91">
        <f>MAX(0,AO277-MAX(0,BJ277-0))</f>
        <v/>
      </c>
      <c r="AZ277" s="91">
        <f>MAX(0,AP277-MAX(0,BJ277-SUM(AO277:AO277)))</f>
        <v/>
      </c>
      <c r="BA277" s="91">
        <f>MAX(0,AQ277-MAX(0,BJ277-SUM(AO277:AP277)))</f>
        <v/>
      </c>
      <c r="BB277" s="91">
        <f>MAX(0,AR277-MAX(0,BJ277-SUM(AO277:AQ277)))</f>
        <v/>
      </c>
      <c r="BC277" s="91">
        <f>MAX(0,AS277-MAX(0,BJ277-SUM(AO277:AR277)))</f>
        <v/>
      </c>
      <c r="BD277" s="91">
        <f>MAX(0,AT277-MAX(0,BJ277-SUM(AO277:AS277)))</f>
        <v/>
      </c>
      <c r="BE277" s="91">
        <f>MAX(0,AU277-MAX(0,BJ277-SUM(AO277:AT277)))</f>
        <v/>
      </c>
      <c r="BF277" s="91">
        <f>MAX(0,AV277-MAX(0,BJ277-SUM(AO277:AU277)))</f>
        <v/>
      </c>
      <c r="BG277" s="91">
        <f>MAX(0,AW277-MAX(0,BJ277-SUM(AO277:AV277)))</f>
        <v/>
      </c>
      <c r="BH277" s="91">
        <f>MAX(0,AX277-MAX(0,BJ277-SUM(AO277:AW277)))</f>
        <v/>
      </c>
      <c r="BI277" s="92">
        <f>SUM(AY276:BH276)+BK277</f>
        <v/>
      </c>
      <c r="BJ277" s="92">
        <f>$BJ$7-(BI277-SUM(AO277:AX277))</f>
        <v/>
      </c>
      <c r="BK277" s="91">
        <f>SUMPRODUCT(AY276:BH276,$AY$6:$BH$6)/12</f>
        <v/>
      </c>
      <c r="BL277" s="88">
        <f>SUM(AY277:BH277)</f>
        <v/>
      </c>
    </row>
    <row r="278">
      <c r="A278" s="24" t="n">
        <v>268</v>
      </c>
      <c r="B278" s="90">
        <f>DATE(YEAR(Settings!$C$11),MONTH(Settings!$C$11)+A278,1)</f>
        <v/>
      </c>
      <c r="C278" s="91">
        <f>IF(C277&lt;0.005,0,MAX(0,C277*(1+C$6/12)-C$7))</f>
        <v/>
      </c>
      <c r="D278" s="91">
        <f>IF(D277&lt;0.005,0,MAX(0,D277*(1+D$6/12)-D$7))</f>
        <v/>
      </c>
      <c r="E278" s="91">
        <f>IF(E277&lt;0.005,0,MAX(0,E277*(1+E$6/12)-E$7))</f>
        <v/>
      </c>
      <c r="F278" s="91">
        <f>IF(F277&lt;0.005,0,MAX(0,F277*(1+F$6/12)-F$7))</f>
        <v/>
      </c>
      <c r="G278" s="91">
        <f>IF(G277&lt;0.005,0,MAX(0,G277*(1+G$6/12)-G$7))</f>
        <v/>
      </c>
      <c r="H278" s="91">
        <f>IF(H277&lt;0.005,0,MAX(0,H277*(1+H$6/12)-H$7))</f>
        <v/>
      </c>
      <c r="I278" s="91">
        <f>IF(I277&lt;0.005,0,MAX(0,I277*(1+I$6/12)-I$7))</f>
        <v/>
      </c>
      <c r="J278" s="91">
        <f>IF(J277&lt;0.005,0,MAX(0,J277*(1+J$6/12)-J$7))</f>
        <v/>
      </c>
      <c r="K278" s="91">
        <f>IF(K277&lt;0.005,0,MAX(0,K277*(1+K$6/12)-K$7))</f>
        <v/>
      </c>
      <c r="L278" s="91">
        <f>IF(L277&lt;0.005,0,MAX(0,L277*(1+L$6/12)-L$7))</f>
        <v/>
      </c>
      <c r="M278" s="91">
        <f>SUMPRODUCT(C277:L277,$C$6:$L$6)/12</f>
        <v/>
      </c>
      <c r="N278" s="88">
        <f>SUM(C278:L278)</f>
        <v/>
      </c>
      <c r="P278" s="92">
        <f>IF(Z277&lt;0.005,0,MAX(0,Z277*(1+Z$6/12)-Z$7))</f>
        <v/>
      </c>
      <c r="Q278" s="92">
        <f>IF(AA277&lt;0.005,0,MAX(0,AA277*(1+AA$6/12)-AA$7))</f>
        <v/>
      </c>
      <c r="R278" s="92">
        <f>IF(AB277&lt;0.005,0,MAX(0,AB277*(1+AB$6/12)-AB$7))</f>
        <v/>
      </c>
      <c r="S278" s="92">
        <f>IF(AC277&lt;0.005,0,MAX(0,AC277*(1+AC$6/12)-AC$7))</f>
        <v/>
      </c>
      <c r="T278" s="92">
        <f>IF(AD277&lt;0.005,0,MAX(0,AD277*(1+AD$6/12)-AD$7))</f>
        <v/>
      </c>
      <c r="U278" s="92">
        <f>IF(AE277&lt;0.005,0,MAX(0,AE277*(1+AE$6/12)-AE$7))</f>
        <v/>
      </c>
      <c r="V278" s="92">
        <f>IF(AF277&lt;0.005,0,MAX(0,AF277*(1+AF$6/12)-AF$7))</f>
        <v/>
      </c>
      <c r="W278" s="92">
        <f>IF(AG277&lt;0.005,0,MAX(0,AG277*(1+AG$6/12)-AG$7))</f>
        <v/>
      </c>
      <c r="X278" s="92">
        <f>IF(AH277&lt;0.005,0,MAX(0,AH277*(1+AH$6/12)-AH$7))</f>
        <v/>
      </c>
      <c r="Y278" s="92">
        <f>IF(AI277&lt;0.005,0,MAX(0,AI277*(1+AI$6/12)-AI$7))</f>
        <v/>
      </c>
      <c r="Z278" s="91">
        <f>MAX(0,P278-MAX(0,AK278-0))</f>
        <v/>
      </c>
      <c r="AA278" s="91">
        <f>MAX(0,Q278-MAX(0,AK278-SUM(P278:P278)))</f>
        <v/>
      </c>
      <c r="AB278" s="91">
        <f>MAX(0,R278-MAX(0,AK278-SUM(P278:Q278)))</f>
        <v/>
      </c>
      <c r="AC278" s="91">
        <f>MAX(0,S278-MAX(0,AK278-SUM(P278:R278)))</f>
        <v/>
      </c>
      <c r="AD278" s="91">
        <f>MAX(0,T278-MAX(0,AK278-SUM(P278:S278)))</f>
        <v/>
      </c>
      <c r="AE278" s="91">
        <f>MAX(0,U278-MAX(0,AK278-SUM(P278:T278)))</f>
        <v/>
      </c>
      <c r="AF278" s="91">
        <f>MAX(0,V278-MAX(0,AK278-SUM(P278:U278)))</f>
        <v/>
      </c>
      <c r="AG278" s="91">
        <f>MAX(0,W278-MAX(0,AK278-SUM(P278:V278)))</f>
        <v/>
      </c>
      <c r="AH278" s="91">
        <f>MAX(0,X278-MAX(0,AK278-SUM(P278:W278)))</f>
        <v/>
      </c>
      <c r="AI278" s="91">
        <f>MAX(0,Y278-MAX(0,AK278-SUM(P278:X278)))</f>
        <v/>
      </c>
      <c r="AJ278" s="92">
        <f>SUM(Z277:AI277)+AL278</f>
        <v/>
      </c>
      <c r="AK278" s="92">
        <f>$AK$7-(AJ278-SUM(P278:Y278))</f>
        <v/>
      </c>
      <c r="AL278" s="91">
        <f>SUMPRODUCT(Z277:AI277,$Z$6:$AI$6)/12</f>
        <v/>
      </c>
      <c r="AM278" s="88">
        <f>SUM(Z278:AI278)</f>
        <v/>
      </c>
      <c r="AO278" s="92">
        <f>IF(AY277&lt;0.005,0,MAX(0,AY277*(1+AY$6/12)-AY$7))</f>
        <v/>
      </c>
      <c r="AP278" s="92">
        <f>IF(AZ277&lt;0.005,0,MAX(0,AZ277*(1+AZ$6/12)-AZ$7))</f>
        <v/>
      </c>
      <c r="AQ278" s="92">
        <f>IF(BA277&lt;0.005,0,MAX(0,BA277*(1+BA$6/12)-BA$7))</f>
        <v/>
      </c>
      <c r="AR278" s="92">
        <f>IF(BB277&lt;0.005,0,MAX(0,BB277*(1+BB$6/12)-BB$7))</f>
        <v/>
      </c>
      <c r="AS278" s="92">
        <f>IF(BC277&lt;0.005,0,MAX(0,BC277*(1+BC$6/12)-BC$7))</f>
        <v/>
      </c>
      <c r="AT278" s="92">
        <f>IF(BD277&lt;0.005,0,MAX(0,BD277*(1+BD$6/12)-BD$7))</f>
        <v/>
      </c>
      <c r="AU278" s="92">
        <f>IF(BE277&lt;0.005,0,MAX(0,BE277*(1+BE$6/12)-BE$7))</f>
        <v/>
      </c>
      <c r="AV278" s="92">
        <f>IF(BF277&lt;0.005,0,MAX(0,BF277*(1+BF$6/12)-BF$7))</f>
        <v/>
      </c>
      <c r="AW278" s="92">
        <f>IF(BG277&lt;0.005,0,MAX(0,BG277*(1+BG$6/12)-BG$7))</f>
        <v/>
      </c>
      <c r="AX278" s="92">
        <f>IF(BH277&lt;0.005,0,MAX(0,BH277*(1+BH$6/12)-BH$7))</f>
        <v/>
      </c>
      <c r="AY278" s="91">
        <f>MAX(0,AO278-MAX(0,BJ278-0))</f>
        <v/>
      </c>
      <c r="AZ278" s="91">
        <f>MAX(0,AP278-MAX(0,BJ278-SUM(AO278:AO278)))</f>
        <v/>
      </c>
      <c r="BA278" s="91">
        <f>MAX(0,AQ278-MAX(0,BJ278-SUM(AO278:AP278)))</f>
        <v/>
      </c>
      <c r="BB278" s="91">
        <f>MAX(0,AR278-MAX(0,BJ278-SUM(AO278:AQ278)))</f>
        <v/>
      </c>
      <c r="BC278" s="91">
        <f>MAX(0,AS278-MAX(0,BJ278-SUM(AO278:AR278)))</f>
        <v/>
      </c>
      <c r="BD278" s="91">
        <f>MAX(0,AT278-MAX(0,BJ278-SUM(AO278:AS278)))</f>
        <v/>
      </c>
      <c r="BE278" s="91">
        <f>MAX(0,AU278-MAX(0,BJ278-SUM(AO278:AT278)))</f>
        <v/>
      </c>
      <c r="BF278" s="91">
        <f>MAX(0,AV278-MAX(0,BJ278-SUM(AO278:AU278)))</f>
        <v/>
      </c>
      <c r="BG278" s="91">
        <f>MAX(0,AW278-MAX(0,BJ278-SUM(AO278:AV278)))</f>
        <v/>
      </c>
      <c r="BH278" s="91">
        <f>MAX(0,AX278-MAX(0,BJ278-SUM(AO278:AW278)))</f>
        <v/>
      </c>
      <c r="BI278" s="92">
        <f>SUM(AY277:BH277)+BK278</f>
        <v/>
      </c>
      <c r="BJ278" s="92">
        <f>$BJ$7-(BI278-SUM(AO278:AX278))</f>
        <v/>
      </c>
      <c r="BK278" s="91">
        <f>SUMPRODUCT(AY277:BH277,$AY$6:$BH$6)/12</f>
        <v/>
      </c>
      <c r="BL278" s="88">
        <f>SUM(AY278:BH278)</f>
        <v/>
      </c>
    </row>
    <row r="279">
      <c r="A279" s="24" t="n">
        <v>269</v>
      </c>
      <c r="B279" s="90">
        <f>DATE(YEAR(Settings!$C$11),MONTH(Settings!$C$11)+A279,1)</f>
        <v/>
      </c>
      <c r="C279" s="91">
        <f>IF(C278&lt;0.005,0,MAX(0,C278*(1+C$6/12)-C$7))</f>
        <v/>
      </c>
      <c r="D279" s="91">
        <f>IF(D278&lt;0.005,0,MAX(0,D278*(1+D$6/12)-D$7))</f>
        <v/>
      </c>
      <c r="E279" s="91">
        <f>IF(E278&lt;0.005,0,MAX(0,E278*(1+E$6/12)-E$7))</f>
        <v/>
      </c>
      <c r="F279" s="91">
        <f>IF(F278&lt;0.005,0,MAX(0,F278*(1+F$6/12)-F$7))</f>
        <v/>
      </c>
      <c r="G279" s="91">
        <f>IF(G278&lt;0.005,0,MAX(0,G278*(1+G$6/12)-G$7))</f>
        <v/>
      </c>
      <c r="H279" s="91">
        <f>IF(H278&lt;0.005,0,MAX(0,H278*(1+H$6/12)-H$7))</f>
        <v/>
      </c>
      <c r="I279" s="91">
        <f>IF(I278&lt;0.005,0,MAX(0,I278*(1+I$6/12)-I$7))</f>
        <v/>
      </c>
      <c r="J279" s="91">
        <f>IF(J278&lt;0.005,0,MAX(0,J278*(1+J$6/12)-J$7))</f>
        <v/>
      </c>
      <c r="K279" s="91">
        <f>IF(K278&lt;0.005,0,MAX(0,K278*(1+K$6/12)-K$7))</f>
        <v/>
      </c>
      <c r="L279" s="91">
        <f>IF(L278&lt;0.005,0,MAX(0,L278*(1+L$6/12)-L$7))</f>
        <v/>
      </c>
      <c r="M279" s="91">
        <f>SUMPRODUCT(C278:L278,$C$6:$L$6)/12</f>
        <v/>
      </c>
      <c r="N279" s="88">
        <f>SUM(C279:L279)</f>
        <v/>
      </c>
      <c r="P279" s="92">
        <f>IF(Z278&lt;0.005,0,MAX(0,Z278*(1+Z$6/12)-Z$7))</f>
        <v/>
      </c>
      <c r="Q279" s="92">
        <f>IF(AA278&lt;0.005,0,MAX(0,AA278*(1+AA$6/12)-AA$7))</f>
        <v/>
      </c>
      <c r="R279" s="92">
        <f>IF(AB278&lt;0.005,0,MAX(0,AB278*(1+AB$6/12)-AB$7))</f>
        <v/>
      </c>
      <c r="S279" s="92">
        <f>IF(AC278&lt;0.005,0,MAX(0,AC278*(1+AC$6/12)-AC$7))</f>
        <v/>
      </c>
      <c r="T279" s="92">
        <f>IF(AD278&lt;0.005,0,MAX(0,AD278*(1+AD$6/12)-AD$7))</f>
        <v/>
      </c>
      <c r="U279" s="92">
        <f>IF(AE278&lt;0.005,0,MAX(0,AE278*(1+AE$6/12)-AE$7))</f>
        <v/>
      </c>
      <c r="V279" s="92">
        <f>IF(AF278&lt;0.005,0,MAX(0,AF278*(1+AF$6/12)-AF$7))</f>
        <v/>
      </c>
      <c r="W279" s="92">
        <f>IF(AG278&lt;0.005,0,MAX(0,AG278*(1+AG$6/12)-AG$7))</f>
        <v/>
      </c>
      <c r="X279" s="92">
        <f>IF(AH278&lt;0.005,0,MAX(0,AH278*(1+AH$6/12)-AH$7))</f>
        <v/>
      </c>
      <c r="Y279" s="92">
        <f>IF(AI278&lt;0.005,0,MAX(0,AI278*(1+AI$6/12)-AI$7))</f>
        <v/>
      </c>
      <c r="Z279" s="91">
        <f>MAX(0,P279-MAX(0,AK279-0))</f>
        <v/>
      </c>
      <c r="AA279" s="91">
        <f>MAX(0,Q279-MAX(0,AK279-SUM(P279:P279)))</f>
        <v/>
      </c>
      <c r="AB279" s="91">
        <f>MAX(0,R279-MAX(0,AK279-SUM(P279:Q279)))</f>
        <v/>
      </c>
      <c r="AC279" s="91">
        <f>MAX(0,S279-MAX(0,AK279-SUM(P279:R279)))</f>
        <v/>
      </c>
      <c r="AD279" s="91">
        <f>MAX(0,T279-MAX(0,AK279-SUM(P279:S279)))</f>
        <v/>
      </c>
      <c r="AE279" s="91">
        <f>MAX(0,U279-MAX(0,AK279-SUM(P279:T279)))</f>
        <v/>
      </c>
      <c r="AF279" s="91">
        <f>MAX(0,V279-MAX(0,AK279-SUM(P279:U279)))</f>
        <v/>
      </c>
      <c r="AG279" s="91">
        <f>MAX(0,W279-MAX(0,AK279-SUM(P279:V279)))</f>
        <v/>
      </c>
      <c r="AH279" s="91">
        <f>MAX(0,X279-MAX(0,AK279-SUM(P279:W279)))</f>
        <v/>
      </c>
      <c r="AI279" s="91">
        <f>MAX(0,Y279-MAX(0,AK279-SUM(P279:X279)))</f>
        <v/>
      </c>
      <c r="AJ279" s="92">
        <f>SUM(Z278:AI278)+AL279</f>
        <v/>
      </c>
      <c r="AK279" s="92">
        <f>$AK$7-(AJ279-SUM(P279:Y279))</f>
        <v/>
      </c>
      <c r="AL279" s="91">
        <f>SUMPRODUCT(Z278:AI278,$Z$6:$AI$6)/12</f>
        <v/>
      </c>
      <c r="AM279" s="88">
        <f>SUM(Z279:AI279)</f>
        <v/>
      </c>
      <c r="AO279" s="92">
        <f>IF(AY278&lt;0.005,0,MAX(0,AY278*(1+AY$6/12)-AY$7))</f>
        <v/>
      </c>
      <c r="AP279" s="92">
        <f>IF(AZ278&lt;0.005,0,MAX(0,AZ278*(1+AZ$6/12)-AZ$7))</f>
        <v/>
      </c>
      <c r="AQ279" s="92">
        <f>IF(BA278&lt;0.005,0,MAX(0,BA278*(1+BA$6/12)-BA$7))</f>
        <v/>
      </c>
      <c r="AR279" s="92">
        <f>IF(BB278&lt;0.005,0,MAX(0,BB278*(1+BB$6/12)-BB$7))</f>
        <v/>
      </c>
      <c r="AS279" s="92">
        <f>IF(BC278&lt;0.005,0,MAX(0,BC278*(1+BC$6/12)-BC$7))</f>
        <v/>
      </c>
      <c r="AT279" s="92">
        <f>IF(BD278&lt;0.005,0,MAX(0,BD278*(1+BD$6/12)-BD$7))</f>
        <v/>
      </c>
      <c r="AU279" s="92">
        <f>IF(BE278&lt;0.005,0,MAX(0,BE278*(1+BE$6/12)-BE$7))</f>
        <v/>
      </c>
      <c r="AV279" s="92">
        <f>IF(BF278&lt;0.005,0,MAX(0,BF278*(1+BF$6/12)-BF$7))</f>
        <v/>
      </c>
      <c r="AW279" s="92">
        <f>IF(BG278&lt;0.005,0,MAX(0,BG278*(1+BG$6/12)-BG$7))</f>
        <v/>
      </c>
      <c r="AX279" s="92">
        <f>IF(BH278&lt;0.005,0,MAX(0,BH278*(1+BH$6/12)-BH$7))</f>
        <v/>
      </c>
      <c r="AY279" s="91">
        <f>MAX(0,AO279-MAX(0,BJ279-0))</f>
        <v/>
      </c>
      <c r="AZ279" s="91">
        <f>MAX(0,AP279-MAX(0,BJ279-SUM(AO279:AO279)))</f>
        <v/>
      </c>
      <c r="BA279" s="91">
        <f>MAX(0,AQ279-MAX(0,BJ279-SUM(AO279:AP279)))</f>
        <v/>
      </c>
      <c r="BB279" s="91">
        <f>MAX(0,AR279-MAX(0,BJ279-SUM(AO279:AQ279)))</f>
        <v/>
      </c>
      <c r="BC279" s="91">
        <f>MAX(0,AS279-MAX(0,BJ279-SUM(AO279:AR279)))</f>
        <v/>
      </c>
      <c r="BD279" s="91">
        <f>MAX(0,AT279-MAX(0,BJ279-SUM(AO279:AS279)))</f>
        <v/>
      </c>
      <c r="BE279" s="91">
        <f>MAX(0,AU279-MAX(0,BJ279-SUM(AO279:AT279)))</f>
        <v/>
      </c>
      <c r="BF279" s="91">
        <f>MAX(0,AV279-MAX(0,BJ279-SUM(AO279:AU279)))</f>
        <v/>
      </c>
      <c r="BG279" s="91">
        <f>MAX(0,AW279-MAX(0,BJ279-SUM(AO279:AV279)))</f>
        <v/>
      </c>
      <c r="BH279" s="91">
        <f>MAX(0,AX279-MAX(0,BJ279-SUM(AO279:AW279)))</f>
        <v/>
      </c>
      <c r="BI279" s="92">
        <f>SUM(AY278:BH278)+BK279</f>
        <v/>
      </c>
      <c r="BJ279" s="92">
        <f>$BJ$7-(BI279-SUM(AO279:AX279))</f>
        <v/>
      </c>
      <c r="BK279" s="91">
        <f>SUMPRODUCT(AY278:BH278,$AY$6:$BH$6)/12</f>
        <v/>
      </c>
      <c r="BL279" s="88">
        <f>SUM(AY279:BH279)</f>
        <v/>
      </c>
    </row>
    <row r="280">
      <c r="A280" s="24" t="n">
        <v>270</v>
      </c>
      <c r="B280" s="90">
        <f>DATE(YEAR(Settings!$C$11),MONTH(Settings!$C$11)+A280,1)</f>
        <v/>
      </c>
      <c r="C280" s="91">
        <f>IF(C279&lt;0.005,0,MAX(0,C279*(1+C$6/12)-C$7))</f>
        <v/>
      </c>
      <c r="D280" s="91">
        <f>IF(D279&lt;0.005,0,MAX(0,D279*(1+D$6/12)-D$7))</f>
        <v/>
      </c>
      <c r="E280" s="91">
        <f>IF(E279&lt;0.005,0,MAX(0,E279*(1+E$6/12)-E$7))</f>
        <v/>
      </c>
      <c r="F280" s="91">
        <f>IF(F279&lt;0.005,0,MAX(0,F279*(1+F$6/12)-F$7))</f>
        <v/>
      </c>
      <c r="G280" s="91">
        <f>IF(G279&lt;0.005,0,MAX(0,G279*(1+G$6/12)-G$7))</f>
        <v/>
      </c>
      <c r="H280" s="91">
        <f>IF(H279&lt;0.005,0,MAX(0,H279*(1+H$6/12)-H$7))</f>
        <v/>
      </c>
      <c r="I280" s="91">
        <f>IF(I279&lt;0.005,0,MAX(0,I279*(1+I$6/12)-I$7))</f>
        <v/>
      </c>
      <c r="J280" s="91">
        <f>IF(J279&lt;0.005,0,MAX(0,J279*(1+J$6/12)-J$7))</f>
        <v/>
      </c>
      <c r="K280" s="91">
        <f>IF(K279&lt;0.005,0,MAX(0,K279*(1+K$6/12)-K$7))</f>
        <v/>
      </c>
      <c r="L280" s="91">
        <f>IF(L279&lt;0.005,0,MAX(0,L279*(1+L$6/12)-L$7))</f>
        <v/>
      </c>
      <c r="M280" s="91">
        <f>SUMPRODUCT(C279:L279,$C$6:$L$6)/12</f>
        <v/>
      </c>
      <c r="N280" s="88">
        <f>SUM(C280:L280)</f>
        <v/>
      </c>
      <c r="P280" s="92">
        <f>IF(Z279&lt;0.005,0,MAX(0,Z279*(1+Z$6/12)-Z$7))</f>
        <v/>
      </c>
      <c r="Q280" s="92">
        <f>IF(AA279&lt;0.005,0,MAX(0,AA279*(1+AA$6/12)-AA$7))</f>
        <v/>
      </c>
      <c r="R280" s="92">
        <f>IF(AB279&lt;0.005,0,MAX(0,AB279*(1+AB$6/12)-AB$7))</f>
        <v/>
      </c>
      <c r="S280" s="92">
        <f>IF(AC279&lt;0.005,0,MAX(0,AC279*(1+AC$6/12)-AC$7))</f>
        <v/>
      </c>
      <c r="T280" s="92">
        <f>IF(AD279&lt;0.005,0,MAX(0,AD279*(1+AD$6/12)-AD$7))</f>
        <v/>
      </c>
      <c r="U280" s="92">
        <f>IF(AE279&lt;0.005,0,MAX(0,AE279*(1+AE$6/12)-AE$7))</f>
        <v/>
      </c>
      <c r="V280" s="92">
        <f>IF(AF279&lt;0.005,0,MAX(0,AF279*(1+AF$6/12)-AF$7))</f>
        <v/>
      </c>
      <c r="W280" s="92">
        <f>IF(AG279&lt;0.005,0,MAX(0,AG279*(1+AG$6/12)-AG$7))</f>
        <v/>
      </c>
      <c r="X280" s="92">
        <f>IF(AH279&lt;0.005,0,MAX(0,AH279*(1+AH$6/12)-AH$7))</f>
        <v/>
      </c>
      <c r="Y280" s="92">
        <f>IF(AI279&lt;0.005,0,MAX(0,AI279*(1+AI$6/12)-AI$7))</f>
        <v/>
      </c>
      <c r="Z280" s="91">
        <f>MAX(0,P280-MAX(0,AK280-0))</f>
        <v/>
      </c>
      <c r="AA280" s="91">
        <f>MAX(0,Q280-MAX(0,AK280-SUM(P280:P280)))</f>
        <v/>
      </c>
      <c r="AB280" s="91">
        <f>MAX(0,R280-MAX(0,AK280-SUM(P280:Q280)))</f>
        <v/>
      </c>
      <c r="AC280" s="91">
        <f>MAX(0,S280-MAX(0,AK280-SUM(P280:R280)))</f>
        <v/>
      </c>
      <c r="AD280" s="91">
        <f>MAX(0,T280-MAX(0,AK280-SUM(P280:S280)))</f>
        <v/>
      </c>
      <c r="AE280" s="91">
        <f>MAX(0,U280-MAX(0,AK280-SUM(P280:T280)))</f>
        <v/>
      </c>
      <c r="AF280" s="91">
        <f>MAX(0,V280-MAX(0,AK280-SUM(P280:U280)))</f>
        <v/>
      </c>
      <c r="AG280" s="91">
        <f>MAX(0,W280-MAX(0,AK280-SUM(P280:V280)))</f>
        <v/>
      </c>
      <c r="AH280" s="91">
        <f>MAX(0,X280-MAX(0,AK280-SUM(P280:W280)))</f>
        <v/>
      </c>
      <c r="AI280" s="91">
        <f>MAX(0,Y280-MAX(0,AK280-SUM(P280:X280)))</f>
        <v/>
      </c>
      <c r="AJ280" s="92">
        <f>SUM(Z279:AI279)+AL280</f>
        <v/>
      </c>
      <c r="AK280" s="92">
        <f>$AK$7-(AJ280-SUM(P280:Y280))</f>
        <v/>
      </c>
      <c r="AL280" s="91">
        <f>SUMPRODUCT(Z279:AI279,$Z$6:$AI$6)/12</f>
        <v/>
      </c>
      <c r="AM280" s="88">
        <f>SUM(Z280:AI280)</f>
        <v/>
      </c>
      <c r="AO280" s="92">
        <f>IF(AY279&lt;0.005,0,MAX(0,AY279*(1+AY$6/12)-AY$7))</f>
        <v/>
      </c>
      <c r="AP280" s="92">
        <f>IF(AZ279&lt;0.005,0,MAX(0,AZ279*(1+AZ$6/12)-AZ$7))</f>
        <v/>
      </c>
      <c r="AQ280" s="92">
        <f>IF(BA279&lt;0.005,0,MAX(0,BA279*(1+BA$6/12)-BA$7))</f>
        <v/>
      </c>
      <c r="AR280" s="92">
        <f>IF(BB279&lt;0.005,0,MAX(0,BB279*(1+BB$6/12)-BB$7))</f>
        <v/>
      </c>
      <c r="AS280" s="92">
        <f>IF(BC279&lt;0.005,0,MAX(0,BC279*(1+BC$6/12)-BC$7))</f>
        <v/>
      </c>
      <c r="AT280" s="92">
        <f>IF(BD279&lt;0.005,0,MAX(0,BD279*(1+BD$6/12)-BD$7))</f>
        <v/>
      </c>
      <c r="AU280" s="92">
        <f>IF(BE279&lt;0.005,0,MAX(0,BE279*(1+BE$6/12)-BE$7))</f>
        <v/>
      </c>
      <c r="AV280" s="92">
        <f>IF(BF279&lt;0.005,0,MAX(0,BF279*(1+BF$6/12)-BF$7))</f>
        <v/>
      </c>
      <c r="AW280" s="92">
        <f>IF(BG279&lt;0.005,0,MAX(0,BG279*(1+BG$6/12)-BG$7))</f>
        <v/>
      </c>
      <c r="AX280" s="92">
        <f>IF(BH279&lt;0.005,0,MAX(0,BH279*(1+BH$6/12)-BH$7))</f>
        <v/>
      </c>
      <c r="AY280" s="91">
        <f>MAX(0,AO280-MAX(0,BJ280-0))</f>
        <v/>
      </c>
      <c r="AZ280" s="91">
        <f>MAX(0,AP280-MAX(0,BJ280-SUM(AO280:AO280)))</f>
        <v/>
      </c>
      <c r="BA280" s="91">
        <f>MAX(0,AQ280-MAX(0,BJ280-SUM(AO280:AP280)))</f>
        <v/>
      </c>
      <c r="BB280" s="91">
        <f>MAX(0,AR280-MAX(0,BJ280-SUM(AO280:AQ280)))</f>
        <v/>
      </c>
      <c r="BC280" s="91">
        <f>MAX(0,AS280-MAX(0,BJ280-SUM(AO280:AR280)))</f>
        <v/>
      </c>
      <c r="BD280" s="91">
        <f>MAX(0,AT280-MAX(0,BJ280-SUM(AO280:AS280)))</f>
        <v/>
      </c>
      <c r="BE280" s="91">
        <f>MAX(0,AU280-MAX(0,BJ280-SUM(AO280:AT280)))</f>
        <v/>
      </c>
      <c r="BF280" s="91">
        <f>MAX(0,AV280-MAX(0,BJ280-SUM(AO280:AU280)))</f>
        <v/>
      </c>
      <c r="BG280" s="91">
        <f>MAX(0,AW280-MAX(0,BJ280-SUM(AO280:AV280)))</f>
        <v/>
      </c>
      <c r="BH280" s="91">
        <f>MAX(0,AX280-MAX(0,BJ280-SUM(AO280:AW280)))</f>
        <v/>
      </c>
      <c r="BI280" s="92">
        <f>SUM(AY279:BH279)+BK280</f>
        <v/>
      </c>
      <c r="BJ280" s="92">
        <f>$BJ$7-(BI280-SUM(AO280:AX280))</f>
        <v/>
      </c>
      <c r="BK280" s="91">
        <f>SUMPRODUCT(AY279:BH279,$AY$6:$BH$6)/12</f>
        <v/>
      </c>
      <c r="BL280" s="88">
        <f>SUM(AY280:BH280)</f>
        <v/>
      </c>
    </row>
    <row r="281">
      <c r="A281" s="24" t="n">
        <v>271</v>
      </c>
      <c r="B281" s="90">
        <f>DATE(YEAR(Settings!$C$11),MONTH(Settings!$C$11)+A281,1)</f>
        <v/>
      </c>
      <c r="C281" s="91">
        <f>IF(C280&lt;0.005,0,MAX(0,C280*(1+C$6/12)-C$7))</f>
        <v/>
      </c>
      <c r="D281" s="91">
        <f>IF(D280&lt;0.005,0,MAX(0,D280*(1+D$6/12)-D$7))</f>
        <v/>
      </c>
      <c r="E281" s="91">
        <f>IF(E280&lt;0.005,0,MAX(0,E280*(1+E$6/12)-E$7))</f>
        <v/>
      </c>
      <c r="F281" s="91">
        <f>IF(F280&lt;0.005,0,MAX(0,F280*(1+F$6/12)-F$7))</f>
        <v/>
      </c>
      <c r="G281" s="91">
        <f>IF(G280&lt;0.005,0,MAX(0,G280*(1+G$6/12)-G$7))</f>
        <v/>
      </c>
      <c r="H281" s="91">
        <f>IF(H280&lt;0.005,0,MAX(0,H280*(1+H$6/12)-H$7))</f>
        <v/>
      </c>
      <c r="I281" s="91">
        <f>IF(I280&lt;0.005,0,MAX(0,I280*(1+I$6/12)-I$7))</f>
        <v/>
      </c>
      <c r="J281" s="91">
        <f>IF(J280&lt;0.005,0,MAX(0,J280*(1+J$6/12)-J$7))</f>
        <v/>
      </c>
      <c r="K281" s="91">
        <f>IF(K280&lt;0.005,0,MAX(0,K280*(1+K$6/12)-K$7))</f>
        <v/>
      </c>
      <c r="L281" s="91">
        <f>IF(L280&lt;0.005,0,MAX(0,L280*(1+L$6/12)-L$7))</f>
        <v/>
      </c>
      <c r="M281" s="91">
        <f>SUMPRODUCT(C280:L280,$C$6:$L$6)/12</f>
        <v/>
      </c>
      <c r="N281" s="88">
        <f>SUM(C281:L281)</f>
        <v/>
      </c>
      <c r="P281" s="92">
        <f>IF(Z280&lt;0.005,0,MAX(0,Z280*(1+Z$6/12)-Z$7))</f>
        <v/>
      </c>
      <c r="Q281" s="92">
        <f>IF(AA280&lt;0.005,0,MAX(0,AA280*(1+AA$6/12)-AA$7))</f>
        <v/>
      </c>
      <c r="R281" s="92">
        <f>IF(AB280&lt;0.005,0,MAX(0,AB280*(1+AB$6/12)-AB$7))</f>
        <v/>
      </c>
      <c r="S281" s="92">
        <f>IF(AC280&lt;0.005,0,MAX(0,AC280*(1+AC$6/12)-AC$7))</f>
        <v/>
      </c>
      <c r="T281" s="92">
        <f>IF(AD280&lt;0.005,0,MAX(0,AD280*(1+AD$6/12)-AD$7))</f>
        <v/>
      </c>
      <c r="U281" s="92">
        <f>IF(AE280&lt;0.005,0,MAX(0,AE280*(1+AE$6/12)-AE$7))</f>
        <v/>
      </c>
      <c r="V281" s="92">
        <f>IF(AF280&lt;0.005,0,MAX(0,AF280*(1+AF$6/12)-AF$7))</f>
        <v/>
      </c>
      <c r="W281" s="92">
        <f>IF(AG280&lt;0.005,0,MAX(0,AG280*(1+AG$6/12)-AG$7))</f>
        <v/>
      </c>
      <c r="X281" s="92">
        <f>IF(AH280&lt;0.005,0,MAX(0,AH280*(1+AH$6/12)-AH$7))</f>
        <v/>
      </c>
      <c r="Y281" s="92">
        <f>IF(AI280&lt;0.005,0,MAX(0,AI280*(1+AI$6/12)-AI$7))</f>
        <v/>
      </c>
      <c r="Z281" s="91">
        <f>MAX(0,P281-MAX(0,AK281-0))</f>
        <v/>
      </c>
      <c r="AA281" s="91">
        <f>MAX(0,Q281-MAX(0,AK281-SUM(P281:P281)))</f>
        <v/>
      </c>
      <c r="AB281" s="91">
        <f>MAX(0,R281-MAX(0,AK281-SUM(P281:Q281)))</f>
        <v/>
      </c>
      <c r="AC281" s="91">
        <f>MAX(0,S281-MAX(0,AK281-SUM(P281:R281)))</f>
        <v/>
      </c>
      <c r="AD281" s="91">
        <f>MAX(0,T281-MAX(0,AK281-SUM(P281:S281)))</f>
        <v/>
      </c>
      <c r="AE281" s="91">
        <f>MAX(0,U281-MAX(0,AK281-SUM(P281:T281)))</f>
        <v/>
      </c>
      <c r="AF281" s="91">
        <f>MAX(0,V281-MAX(0,AK281-SUM(P281:U281)))</f>
        <v/>
      </c>
      <c r="AG281" s="91">
        <f>MAX(0,W281-MAX(0,AK281-SUM(P281:V281)))</f>
        <v/>
      </c>
      <c r="AH281" s="91">
        <f>MAX(0,X281-MAX(0,AK281-SUM(P281:W281)))</f>
        <v/>
      </c>
      <c r="AI281" s="91">
        <f>MAX(0,Y281-MAX(0,AK281-SUM(P281:X281)))</f>
        <v/>
      </c>
      <c r="AJ281" s="92">
        <f>SUM(Z280:AI280)+AL281</f>
        <v/>
      </c>
      <c r="AK281" s="92">
        <f>$AK$7-(AJ281-SUM(P281:Y281))</f>
        <v/>
      </c>
      <c r="AL281" s="91">
        <f>SUMPRODUCT(Z280:AI280,$Z$6:$AI$6)/12</f>
        <v/>
      </c>
      <c r="AM281" s="88">
        <f>SUM(Z281:AI281)</f>
        <v/>
      </c>
      <c r="AO281" s="92">
        <f>IF(AY280&lt;0.005,0,MAX(0,AY280*(1+AY$6/12)-AY$7))</f>
        <v/>
      </c>
      <c r="AP281" s="92">
        <f>IF(AZ280&lt;0.005,0,MAX(0,AZ280*(1+AZ$6/12)-AZ$7))</f>
        <v/>
      </c>
      <c r="AQ281" s="92">
        <f>IF(BA280&lt;0.005,0,MAX(0,BA280*(1+BA$6/12)-BA$7))</f>
        <v/>
      </c>
      <c r="AR281" s="92">
        <f>IF(BB280&lt;0.005,0,MAX(0,BB280*(1+BB$6/12)-BB$7))</f>
        <v/>
      </c>
      <c r="AS281" s="92">
        <f>IF(BC280&lt;0.005,0,MAX(0,BC280*(1+BC$6/12)-BC$7))</f>
        <v/>
      </c>
      <c r="AT281" s="92">
        <f>IF(BD280&lt;0.005,0,MAX(0,BD280*(1+BD$6/12)-BD$7))</f>
        <v/>
      </c>
      <c r="AU281" s="92">
        <f>IF(BE280&lt;0.005,0,MAX(0,BE280*(1+BE$6/12)-BE$7))</f>
        <v/>
      </c>
      <c r="AV281" s="92">
        <f>IF(BF280&lt;0.005,0,MAX(0,BF280*(1+BF$6/12)-BF$7))</f>
        <v/>
      </c>
      <c r="AW281" s="92">
        <f>IF(BG280&lt;0.005,0,MAX(0,BG280*(1+BG$6/12)-BG$7))</f>
        <v/>
      </c>
      <c r="AX281" s="92">
        <f>IF(BH280&lt;0.005,0,MAX(0,BH280*(1+BH$6/12)-BH$7))</f>
        <v/>
      </c>
      <c r="AY281" s="91">
        <f>MAX(0,AO281-MAX(0,BJ281-0))</f>
        <v/>
      </c>
      <c r="AZ281" s="91">
        <f>MAX(0,AP281-MAX(0,BJ281-SUM(AO281:AO281)))</f>
        <v/>
      </c>
      <c r="BA281" s="91">
        <f>MAX(0,AQ281-MAX(0,BJ281-SUM(AO281:AP281)))</f>
        <v/>
      </c>
      <c r="BB281" s="91">
        <f>MAX(0,AR281-MAX(0,BJ281-SUM(AO281:AQ281)))</f>
        <v/>
      </c>
      <c r="BC281" s="91">
        <f>MAX(0,AS281-MAX(0,BJ281-SUM(AO281:AR281)))</f>
        <v/>
      </c>
      <c r="BD281" s="91">
        <f>MAX(0,AT281-MAX(0,BJ281-SUM(AO281:AS281)))</f>
        <v/>
      </c>
      <c r="BE281" s="91">
        <f>MAX(0,AU281-MAX(0,BJ281-SUM(AO281:AT281)))</f>
        <v/>
      </c>
      <c r="BF281" s="91">
        <f>MAX(0,AV281-MAX(0,BJ281-SUM(AO281:AU281)))</f>
        <v/>
      </c>
      <c r="BG281" s="91">
        <f>MAX(0,AW281-MAX(0,BJ281-SUM(AO281:AV281)))</f>
        <v/>
      </c>
      <c r="BH281" s="91">
        <f>MAX(0,AX281-MAX(0,BJ281-SUM(AO281:AW281)))</f>
        <v/>
      </c>
      <c r="BI281" s="92">
        <f>SUM(AY280:BH280)+BK281</f>
        <v/>
      </c>
      <c r="BJ281" s="92">
        <f>$BJ$7-(BI281-SUM(AO281:AX281))</f>
        <v/>
      </c>
      <c r="BK281" s="91">
        <f>SUMPRODUCT(AY280:BH280,$AY$6:$BH$6)/12</f>
        <v/>
      </c>
      <c r="BL281" s="88">
        <f>SUM(AY281:BH281)</f>
        <v/>
      </c>
    </row>
    <row r="282">
      <c r="A282" s="24" t="n">
        <v>272</v>
      </c>
      <c r="B282" s="90">
        <f>DATE(YEAR(Settings!$C$11),MONTH(Settings!$C$11)+A282,1)</f>
        <v/>
      </c>
      <c r="C282" s="91">
        <f>IF(C281&lt;0.005,0,MAX(0,C281*(1+C$6/12)-C$7))</f>
        <v/>
      </c>
      <c r="D282" s="91">
        <f>IF(D281&lt;0.005,0,MAX(0,D281*(1+D$6/12)-D$7))</f>
        <v/>
      </c>
      <c r="E282" s="91">
        <f>IF(E281&lt;0.005,0,MAX(0,E281*(1+E$6/12)-E$7))</f>
        <v/>
      </c>
      <c r="F282" s="91">
        <f>IF(F281&lt;0.005,0,MAX(0,F281*(1+F$6/12)-F$7))</f>
        <v/>
      </c>
      <c r="G282" s="91">
        <f>IF(G281&lt;0.005,0,MAX(0,G281*(1+G$6/12)-G$7))</f>
        <v/>
      </c>
      <c r="H282" s="91">
        <f>IF(H281&lt;0.005,0,MAX(0,H281*(1+H$6/12)-H$7))</f>
        <v/>
      </c>
      <c r="I282" s="91">
        <f>IF(I281&lt;0.005,0,MAX(0,I281*(1+I$6/12)-I$7))</f>
        <v/>
      </c>
      <c r="J282" s="91">
        <f>IF(J281&lt;0.005,0,MAX(0,J281*(1+J$6/12)-J$7))</f>
        <v/>
      </c>
      <c r="K282" s="91">
        <f>IF(K281&lt;0.005,0,MAX(0,K281*(1+K$6/12)-K$7))</f>
        <v/>
      </c>
      <c r="L282" s="91">
        <f>IF(L281&lt;0.005,0,MAX(0,L281*(1+L$6/12)-L$7))</f>
        <v/>
      </c>
      <c r="M282" s="91">
        <f>SUMPRODUCT(C281:L281,$C$6:$L$6)/12</f>
        <v/>
      </c>
      <c r="N282" s="88">
        <f>SUM(C282:L282)</f>
        <v/>
      </c>
      <c r="P282" s="92">
        <f>IF(Z281&lt;0.005,0,MAX(0,Z281*(1+Z$6/12)-Z$7))</f>
        <v/>
      </c>
      <c r="Q282" s="92">
        <f>IF(AA281&lt;0.005,0,MAX(0,AA281*(1+AA$6/12)-AA$7))</f>
        <v/>
      </c>
      <c r="R282" s="92">
        <f>IF(AB281&lt;0.005,0,MAX(0,AB281*(1+AB$6/12)-AB$7))</f>
        <v/>
      </c>
      <c r="S282" s="92">
        <f>IF(AC281&lt;0.005,0,MAX(0,AC281*(1+AC$6/12)-AC$7))</f>
        <v/>
      </c>
      <c r="T282" s="92">
        <f>IF(AD281&lt;0.005,0,MAX(0,AD281*(1+AD$6/12)-AD$7))</f>
        <v/>
      </c>
      <c r="U282" s="92">
        <f>IF(AE281&lt;0.005,0,MAX(0,AE281*(1+AE$6/12)-AE$7))</f>
        <v/>
      </c>
      <c r="V282" s="92">
        <f>IF(AF281&lt;0.005,0,MAX(0,AF281*(1+AF$6/12)-AF$7))</f>
        <v/>
      </c>
      <c r="W282" s="92">
        <f>IF(AG281&lt;0.005,0,MAX(0,AG281*(1+AG$6/12)-AG$7))</f>
        <v/>
      </c>
      <c r="X282" s="92">
        <f>IF(AH281&lt;0.005,0,MAX(0,AH281*(1+AH$6/12)-AH$7))</f>
        <v/>
      </c>
      <c r="Y282" s="92">
        <f>IF(AI281&lt;0.005,0,MAX(0,AI281*(1+AI$6/12)-AI$7))</f>
        <v/>
      </c>
      <c r="Z282" s="91">
        <f>MAX(0,P282-MAX(0,AK282-0))</f>
        <v/>
      </c>
      <c r="AA282" s="91">
        <f>MAX(0,Q282-MAX(0,AK282-SUM(P282:P282)))</f>
        <v/>
      </c>
      <c r="AB282" s="91">
        <f>MAX(0,R282-MAX(0,AK282-SUM(P282:Q282)))</f>
        <v/>
      </c>
      <c r="AC282" s="91">
        <f>MAX(0,S282-MAX(0,AK282-SUM(P282:R282)))</f>
        <v/>
      </c>
      <c r="AD282" s="91">
        <f>MAX(0,T282-MAX(0,AK282-SUM(P282:S282)))</f>
        <v/>
      </c>
      <c r="AE282" s="91">
        <f>MAX(0,U282-MAX(0,AK282-SUM(P282:T282)))</f>
        <v/>
      </c>
      <c r="AF282" s="91">
        <f>MAX(0,V282-MAX(0,AK282-SUM(P282:U282)))</f>
        <v/>
      </c>
      <c r="AG282" s="91">
        <f>MAX(0,W282-MAX(0,AK282-SUM(P282:V282)))</f>
        <v/>
      </c>
      <c r="AH282" s="91">
        <f>MAX(0,X282-MAX(0,AK282-SUM(P282:W282)))</f>
        <v/>
      </c>
      <c r="AI282" s="91">
        <f>MAX(0,Y282-MAX(0,AK282-SUM(P282:X282)))</f>
        <v/>
      </c>
      <c r="AJ282" s="92">
        <f>SUM(Z281:AI281)+AL282</f>
        <v/>
      </c>
      <c r="AK282" s="92">
        <f>$AK$7-(AJ282-SUM(P282:Y282))</f>
        <v/>
      </c>
      <c r="AL282" s="91">
        <f>SUMPRODUCT(Z281:AI281,$Z$6:$AI$6)/12</f>
        <v/>
      </c>
      <c r="AM282" s="88">
        <f>SUM(Z282:AI282)</f>
        <v/>
      </c>
      <c r="AO282" s="92">
        <f>IF(AY281&lt;0.005,0,MAX(0,AY281*(1+AY$6/12)-AY$7))</f>
        <v/>
      </c>
      <c r="AP282" s="92">
        <f>IF(AZ281&lt;0.005,0,MAX(0,AZ281*(1+AZ$6/12)-AZ$7))</f>
        <v/>
      </c>
      <c r="AQ282" s="92">
        <f>IF(BA281&lt;0.005,0,MAX(0,BA281*(1+BA$6/12)-BA$7))</f>
        <v/>
      </c>
      <c r="AR282" s="92">
        <f>IF(BB281&lt;0.005,0,MAX(0,BB281*(1+BB$6/12)-BB$7))</f>
        <v/>
      </c>
      <c r="AS282" s="92">
        <f>IF(BC281&lt;0.005,0,MAX(0,BC281*(1+BC$6/12)-BC$7))</f>
        <v/>
      </c>
      <c r="AT282" s="92">
        <f>IF(BD281&lt;0.005,0,MAX(0,BD281*(1+BD$6/12)-BD$7))</f>
        <v/>
      </c>
      <c r="AU282" s="92">
        <f>IF(BE281&lt;0.005,0,MAX(0,BE281*(1+BE$6/12)-BE$7))</f>
        <v/>
      </c>
      <c r="AV282" s="92">
        <f>IF(BF281&lt;0.005,0,MAX(0,BF281*(1+BF$6/12)-BF$7))</f>
        <v/>
      </c>
      <c r="AW282" s="92">
        <f>IF(BG281&lt;0.005,0,MAX(0,BG281*(1+BG$6/12)-BG$7))</f>
        <v/>
      </c>
      <c r="AX282" s="92">
        <f>IF(BH281&lt;0.005,0,MAX(0,BH281*(1+BH$6/12)-BH$7))</f>
        <v/>
      </c>
      <c r="AY282" s="91">
        <f>MAX(0,AO282-MAX(0,BJ282-0))</f>
        <v/>
      </c>
      <c r="AZ282" s="91">
        <f>MAX(0,AP282-MAX(0,BJ282-SUM(AO282:AO282)))</f>
        <v/>
      </c>
      <c r="BA282" s="91">
        <f>MAX(0,AQ282-MAX(0,BJ282-SUM(AO282:AP282)))</f>
        <v/>
      </c>
      <c r="BB282" s="91">
        <f>MAX(0,AR282-MAX(0,BJ282-SUM(AO282:AQ282)))</f>
        <v/>
      </c>
      <c r="BC282" s="91">
        <f>MAX(0,AS282-MAX(0,BJ282-SUM(AO282:AR282)))</f>
        <v/>
      </c>
      <c r="BD282" s="91">
        <f>MAX(0,AT282-MAX(0,BJ282-SUM(AO282:AS282)))</f>
        <v/>
      </c>
      <c r="BE282" s="91">
        <f>MAX(0,AU282-MAX(0,BJ282-SUM(AO282:AT282)))</f>
        <v/>
      </c>
      <c r="BF282" s="91">
        <f>MAX(0,AV282-MAX(0,BJ282-SUM(AO282:AU282)))</f>
        <v/>
      </c>
      <c r="BG282" s="91">
        <f>MAX(0,AW282-MAX(0,BJ282-SUM(AO282:AV282)))</f>
        <v/>
      </c>
      <c r="BH282" s="91">
        <f>MAX(0,AX282-MAX(0,BJ282-SUM(AO282:AW282)))</f>
        <v/>
      </c>
      <c r="BI282" s="92">
        <f>SUM(AY281:BH281)+BK282</f>
        <v/>
      </c>
      <c r="BJ282" s="92">
        <f>$BJ$7-(BI282-SUM(AO282:AX282))</f>
        <v/>
      </c>
      <c r="BK282" s="91">
        <f>SUMPRODUCT(AY281:BH281,$AY$6:$BH$6)/12</f>
        <v/>
      </c>
      <c r="BL282" s="88">
        <f>SUM(AY282:BH282)</f>
        <v/>
      </c>
    </row>
    <row r="283">
      <c r="A283" s="24" t="n">
        <v>273</v>
      </c>
      <c r="B283" s="90">
        <f>DATE(YEAR(Settings!$C$11),MONTH(Settings!$C$11)+A283,1)</f>
        <v/>
      </c>
      <c r="C283" s="91">
        <f>IF(C282&lt;0.005,0,MAX(0,C282*(1+C$6/12)-C$7))</f>
        <v/>
      </c>
      <c r="D283" s="91">
        <f>IF(D282&lt;0.005,0,MAX(0,D282*(1+D$6/12)-D$7))</f>
        <v/>
      </c>
      <c r="E283" s="91">
        <f>IF(E282&lt;0.005,0,MAX(0,E282*(1+E$6/12)-E$7))</f>
        <v/>
      </c>
      <c r="F283" s="91">
        <f>IF(F282&lt;0.005,0,MAX(0,F282*(1+F$6/12)-F$7))</f>
        <v/>
      </c>
      <c r="G283" s="91">
        <f>IF(G282&lt;0.005,0,MAX(0,G282*(1+G$6/12)-G$7))</f>
        <v/>
      </c>
      <c r="H283" s="91">
        <f>IF(H282&lt;0.005,0,MAX(0,H282*(1+H$6/12)-H$7))</f>
        <v/>
      </c>
      <c r="I283" s="91">
        <f>IF(I282&lt;0.005,0,MAX(0,I282*(1+I$6/12)-I$7))</f>
        <v/>
      </c>
      <c r="J283" s="91">
        <f>IF(J282&lt;0.005,0,MAX(0,J282*(1+J$6/12)-J$7))</f>
        <v/>
      </c>
      <c r="K283" s="91">
        <f>IF(K282&lt;0.005,0,MAX(0,K282*(1+K$6/12)-K$7))</f>
        <v/>
      </c>
      <c r="L283" s="91">
        <f>IF(L282&lt;0.005,0,MAX(0,L282*(1+L$6/12)-L$7))</f>
        <v/>
      </c>
      <c r="M283" s="91">
        <f>SUMPRODUCT(C282:L282,$C$6:$L$6)/12</f>
        <v/>
      </c>
      <c r="N283" s="88">
        <f>SUM(C283:L283)</f>
        <v/>
      </c>
      <c r="P283" s="92">
        <f>IF(Z282&lt;0.005,0,MAX(0,Z282*(1+Z$6/12)-Z$7))</f>
        <v/>
      </c>
      <c r="Q283" s="92">
        <f>IF(AA282&lt;0.005,0,MAX(0,AA282*(1+AA$6/12)-AA$7))</f>
        <v/>
      </c>
      <c r="R283" s="92">
        <f>IF(AB282&lt;0.005,0,MAX(0,AB282*(1+AB$6/12)-AB$7))</f>
        <v/>
      </c>
      <c r="S283" s="92">
        <f>IF(AC282&lt;0.005,0,MAX(0,AC282*(1+AC$6/12)-AC$7))</f>
        <v/>
      </c>
      <c r="T283" s="92">
        <f>IF(AD282&lt;0.005,0,MAX(0,AD282*(1+AD$6/12)-AD$7))</f>
        <v/>
      </c>
      <c r="U283" s="92">
        <f>IF(AE282&lt;0.005,0,MAX(0,AE282*(1+AE$6/12)-AE$7))</f>
        <v/>
      </c>
      <c r="V283" s="92">
        <f>IF(AF282&lt;0.005,0,MAX(0,AF282*(1+AF$6/12)-AF$7))</f>
        <v/>
      </c>
      <c r="W283" s="92">
        <f>IF(AG282&lt;0.005,0,MAX(0,AG282*(1+AG$6/12)-AG$7))</f>
        <v/>
      </c>
      <c r="X283" s="92">
        <f>IF(AH282&lt;0.005,0,MAX(0,AH282*(1+AH$6/12)-AH$7))</f>
        <v/>
      </c>
      <c r="Y283" s="92">
        <f>IF(AI282&lt;0.005,0,MAX(0,AI282*(1+AI$6/12)-AI$7))</f>
        <v/>
      </c>
      <c r="Z283" s="91">
        <f>MAX(0,P283-MAX(0,AK283-0))</f>
        <v/>
      </c>
      <c r="AA283" s="91">
        <f>MAX(0,Q283-MAX(0,AK283-SUM(P283:P283)))</f>
        <v/>
      </c>
      <c r="AB283" s="91">
        <f>MAX(0,R283-MAX(0,AK283-SUM(P283:Q283)))</f>
        <v/>
      </c>
      <c r="AC283" s="91">
        <f>MAX(0,S283-MAX(0,AK283-SUM(P283:R283)))</f>
        <v/>
      </c>
      <c r="AD283" s="91">
        <f>MAX(0,T283-MAX(0,AK283-SUM(P283:S283)))</f>
        <v/>
      </c>
      <c r="AE283" s="91">
        <f>MAX(0,U283-MAX(0,AK283-SUM(P283:T283)))</f>
        <v/>
      </c>
      <c r="AF283" s="91">
        <f>MAX(0,V283-MAX(0,AK283-SUM(P283:U283)))</f>
        <v/>
      </c>
      <c r="AG283" s="91">
        <f>MAX(0,W283-MAX(0,AK283-SUM(P283:V283)))</f>
        <v/>
      </c>
      <c r="AH283" s="91">
        <f>MAX(0,X283-MAX(0,AK283-SUM(P283:W283)))</f>
        <v/>
      </c>
      <c r="AI283" s="91">
        <f>MAX(0,Y283-MAX(0,AK283-SUM(P283:X283)))</f>
        <v/>
      </c>
      <c r="AJ283" s="92">
        <f>SUM(Z282:AI282)+AL283</f>
        <v/>
      </c>
      <c r="AK283" s="92">
        <f>$AK$7-(AJ283-SUM(P283:Y283))</f>
        <v/>
      </c>
      <c r="AL283" s="91">
        <f>SUMPRODUCT(Z282:AI282,$Z$6:$AI$6)/12</f>
        <v/>
      </c>
      <c r="AM283" s="88">
        <f>SUM(Z283:AI283)</f>
        <v/>
      </c>
      <c r="AO283" s="92">
        <f>IF(AY282&lt;0.005,0,MAX(0,AY282*(1+AY$6/12)-AY$7))</f>
        <v/>
      </c>
      <c r="AP283" s="92">
        <f>IF(AZ282&lt;0.005,0,MAX(0,AZ282*(1+AZ$6/12)-AZ$7))</f>
        <v/>
      </c>
      <c r="AQ283" s="92">
        <f>IF(BA282&lt;0.005,0,MAX(0,BA282*(1+BA$6/12)-BA$7))</f>
        <v/>
      </c>
      <c r="AR283" s="92">
        <f>IF(BB282&lt;0.005,0,MAX(0,BB282*(1+BB$6/12)-BB$7))</f>
        <v/>
      </c>
      <c r="AS283" s="92">
        <f>IF(BC282&lt;0.005,0,MAX(0,BC282*(1+BC$6/12)-BC$7))</f>
        <v/>
      </c>
      <c r="AT283" s="92">
        <f>IF(BD282&lt;0.005,0,MAX(0,BD282*(1+BD$6/12)-BD$7))</f>
        <v/>
      </c>
      <c r="AU283" s="92">
        <f>IF(BE282&lt;0.005,0,MAX(0,BE282*(1+BE$6/12)-BE$7))</f>
        <v/>
      </c>
      <c r="AV283" s="92">
        <f>IF(BF282&lt;0.005,0,MAX(0,BF282*(1+BF$6/12)-BF$7))</f>
        <v/>
      </c>
      <c r="AW283" s="92">
        <f>IF(BG282&lt;0.005,0,MAX(0,BG282*(1+BG$6/12)-BG$7))</f>
        <v/>
      </c>
      <c r="AX283" s="92">
        <f>IF(BH282&lt;0.005,0,MAX(0,BH282*(1+BH$6/12)-BH$7))</f>
        <v/>
      </c>
      <c r="AY283" s="91">
        <f>MAX(0,AO283-MAX(0,BJ283-0))</f>
        <v/>
      </c>
      <c r="AZ283" s="91">
        <f>MAX(0,AP283-MAX(0,BJ283-SUM(AO283:AO283)))</f>
        <v/>
      </c>
      <c r="BA283" s="91">
        <f>MAX(0,AQ283-MAX(0,BJ283-SUM(AO283:AP283)))</f>
        <v/>
      </c>
      <c r="BB283" s="91">
        <f>MAX(0,AR283-MAX(0,BJ283-SUM(AO283:AQ283)))</f>
        <v/>
      </c>
      <c r="BC283" s="91">
        <f>MAX(0,AS283-MAX(0,BJ283-SUM(AO283:AR283)))</f>
        <v/>
      </c>
      <c r="BD283" s="91">
        <f>MAX(0,AT283-MAX(0,BJ283-SUM(AO283:AS283)))</f>
        <v/>
      </c>
      <c r="BE283" s="91">
        <f>MAX(0,AU283-MAX(0,BJ283-SUM(AO283:AT283)))</f>
        <v/>
      </c>
      <c r="BF283" s="91">
        <f>MAX(0,AV283-MAX(0,BJ283-SUM(AO283:AU283)))</f>
        <v/>
      </c>
      <c r="BG283" s="91">
        <f>MAX(0,AW283-MAX(0,BJ283-SUM(AO283:AV283)))</f>
        <v/>
      </c>
      <c r="BH283" s="91">
        <f>MAX(0,AX283-MAX(0,BJ283-SUM(AO283:AW283)))</f>
        <v/>
      </c>
      <c r="BI283" s="92">
        <f>SUM(AY282:BH282)+BK283</f>
        <v/>
      </c>
      <c r="BJ283" s="92">
        <f>$BJ$7-(BI283-SUM(AO283:AX283))</f>
        <v/>
      </c>
      <c r="BK283" s="91">
        <f>SUMPRODUCT(AY282:BH282,$AY$6:$BH$6)/12</f>
        <v/>
      </c>
      <c r="BL283" s="88">
        <f>SUM(AY283:BH283)</f>
        <v/>
      </c>
    </row>
    <row r="284">
      <c r="A284" s="24" t="n">
        <v>274</v>
      </c>
      <c r="B284" s="90">
        <f>DATE(YEAR(Settings!$C$11),MONTH(Settings!$C$11)+A284,1)</f>
        <v/>
      </c>
      <c r="C284" s="91">
        <f>IF(C283&lt;0.005,0,MAX(0,C283*(1+C$6/12)-C$7))</f>
        <v/>
      </c>
      <c r="D284" s="91">
        <f>IF(D283&lt;0.005,0,MAX(0,D283*(1+D$6/12)-D$7))</f>
        <v/>
      </c>
      <c r="E284" s="91">
        <f>IF(E283&lt;0.005,0,MAX(0,E283*(1+E$6/12)-E$7))</f>
        <v/>
      </c>
      <c r="F284" s="91">
        <f>IF(F283&lt;0.005,0,MAX(0,F283*(1+F$6/12)-F$7))</f>
        <v/>
      </c>
      <c r="G284" s="91">
        <f>IF(G283&lt;0.005,0,MAX(0,G283*(1+G$6/12)-G$7))</f>
        <v/>
      </c>
      <c r="H284" s="91">
        <f>IF(H283&lt;0.005,0,MAX(0,H283*(1+H$6/12)-H$7))</f>
        <v/>
      </c>
      <c r="I284" s="91">
        <f>IF(I283&lt;0.005,0,MAX(0,I283*(1+I$6/12)-I$7))</f>
        <v/>
      </c>
      <c r="J284" s="91">
        <f>IF(J283&lt;0.005,0,MAX(0,J283*(1+J$6/12)-J$7))</f>
        <v/>
      </c>
      <c r="K284" s="91">
        <f>IF(K283&lt;0.005,0,MAX(0,K283*(1+K$6/12)-K$7))</f>
        <v/>
      </c>
      <c r="L284" s="91">
        <f>IF(L283&lt;0.005,0,MAX(0,L283*(1+L$6/12)-L$7))</f>
        <v/>
      </c>
      <c r="M284" s="91">
        <f>SUMPRODUCT(C283:L283,$C$6:$L$6)/12</f>
        <v/>
      </c>
      <c r="N284" s="88">
        <f>SUM(C284:L284)</f>
        <v/>
      </c>
      <c r="P284" s="92">
        <f>IF(Z283&lt;0.005,0,MAX(0,Z283*(1+Z$6/12)-Z$7))</f>
        <v/>
      </c>
      <c r="Q284" s="92">
        <f>IF(AA283&lt;0.005,0,MAX(0,AA283*(1+AA$6/12)-AA$7))</f>
        <v/>
      </c>
      <c r="R284" s="92">
        <f>IF(AB283&lt;0.005,0,MAX(0,AB283*(1+AB$6/12)-AB$7))</f>
        <v/>
      </c>
      <c r="S284" s="92">
        <f>IF(AC283&lt;0.005,0,MAX(0,AC283*(1+AC$6/12)-AC$7))</f>
        <v/>
      </c>
      <c r="T284" s="92">
        <f>IF(AD283&lt;0.005,0,MAX(0,AD283*(1+AD$6/12)-AD$7))</f>
        <v/>
      </c>
      <c r="U284" s="92">
        <f>IF(AE283&lt;0.005,0,MAX(0,AE283*(1+AE$6/12)-AE$7))</f>
        <v/>
      </c>
      <c r="V284" s="92">
        <f>IF(AF283&lt;0.005,0,MAX(0,AF283*(1+AF$6/12)-AF$7))</f>
        <v/>
      </c>
      <c r="W284" s="92">
        <f>IF(AG283&lt;0.005,0,MAX(0,AG283*(1+AG$6/12)-AG$7))</f>
        <v/>
      </c>
      <c r="X284" s="92">
        <f>IF(AH283&lt;0.005,0,MAX(0,AH283*(1+AH$6/12)-AH$7))</f>
        <v/>
      </c>
      <c r="Y284" s="92">
        <f>IF(AI283&lt;0.005,0,MAX(0,AI283*(1+AI$6/12)-AI$7))</f>
        <v/>
      </c>
      <c r="Z284" s="91">
        <f>MAX(0,P284-MAX(0,AK284-0))</f>
        <v/>
      </c>
      <c r="AA284" s="91">
        <f>MAX(0,Q284-MAX(0,AK284-SUM(P284:P284)))</f>
        <v/>
      </c>
      <c r="AB284" s="91">
        <f>MAX(0,R284-MAX(0,AK284-SUM(P284:Q284)))</f>
        <v/>
      </c>
      <c r="AC284" s="91">
        <f>MAX(0,S284-MAX(0,AK284-SUM(P284:R284)))</f>
        <v/>
      </c>
      <c r="AD284" s="91">
        <f>MAX(0,T284-MAX(0,AK284-SUM(P284:S284)))</f>
        <v/>
      </c>
      <c r="AE284" s="91">
        <f>MAX(0,U284-MAX(0,AK284-SUM(P284:T284)))</f>
        <v/>
      </c>
      <c r="AF284" s="91">
        <f>MAX(0,V284-MAX(0,AK284-SUM(P284:U284)))</f>
        <v/>
      </c>
      <c r="AG284" s="91">
        <f>MAX(0,W284-MAX(0,AK284-SUM(P284:V284)))</f>
        <v/>
      </c>
      <c r="AH284" s="91">
        <f>MAX(0,X284-MAX(0,AK284-SUM(P284:W284)))</f>
        <v/>
      </c>
      <c r="AI284" s="91">
        <f>MAX(0,Y284-MAX(0,AK284-SUM(P284:X284)))</f>
        <v/>
      </c>
      <c r="AJ284" s="92">
        <f>SUM(Z283:AI283)+AL284</f>
        <v/>
      </c>
      <c r="AK284" s="92">
        <f>$AK$7-(AJ284-SUM(P284:Y284))</f>
        <v/>
      </c>
      <c r="AL284" s="91">
        <f>SUMPRODUCT(Z283:AI283,$Z$6:$AI$6)/12</f>
        <v/>
      </c>
      <c r="AM284" s="88">
        <f>SUM(Z284:AI284)</f>
        <v/>
      </c>
      <c r="AO284" s="92">
        <f>IF(AY283&lt;0.005,0,MAX(0,AY283*(1+AY$6/12)-AY$7))</f>
        <v/>
      </c>
      <c r="AP284" s="92">
        <f>IF(AZ283&lt;0.005,0,MAX(0,AZ283*(1+AZ$6/12)-AZ$7))</f>
        <v/>
      </c>
      <c r="AQ284" s="92">
        <f>IF(BA283&lt;0.005,0,MAX(0,BA283*(1+BA$6/12)-BA$7))</f>
        <v/>
      </c>
      <c r="AR284" s="92">
        <f>IF(BB283&lt;0.005,0,MAX(0,BB283*(1+BB$6/12)-BB$7))</f>
        <v/>
      </c>
      <c r="AS284" s="92">
        <f>IF(BC283&lt;0.005,0,MAX(0,BC283*(1+BC$6/12)-BC$7))</f>
        <v/>
      </c>
      <c r="AT284" s="92">
        <f>IF(BD283&lt;0.005,0,MAX(0,BD283*(1+BD$6/12)-BD$7))</f>
        <v/>
      </c>
      <c r="AU284" s="92">
        <f>IF(BE283&lt;0.005,0,MAX(0,BE283*(1+BE$6/12)-BE$7))</f>
        <v/>
      </c>
      <c r="AV284" s="92">
        <f>IF(BF283&lt;0.005,0,MAX(0,BF283*(1+BF$6/12)-BF$7))</f>
        <v/>
      </c>
      <c r="AW284" s="92">
        <f>IF(BG283&lt;0.005,0,MAX(0,BG283*(1+BG$6/12)-BG$7))</f>
        <v/>
      </c>
      <c r="AX284" s="92">
        <f>IF(BH283&lt;0.005,0,MAX(0,BH283*(1+BH$6/12)-BH$7))</f>
        <v/>
      </c>
      <c r="AY284" s="91">
        <f>MAX(0,AO284-MAX(0,BJ284-0))</f>
        <v/>
      </c>
      <c r="AZ284" s="91">
        <f>MAX(0,AP284-MAX(0,BJ284-SUM(AO284:AO284)))</f>
        <v/>
      </c>
      <c r="BA284" s="91">
        <f>MAX(0,AQ284-MAX(0,BJ284-SUM(AO284:AP284)))</f>
        <v/>
      </c>
      <c r="BB284" s="91">
        <f>MAX(0,AR284-MAX(0,BJ284-SUM(AO284:AQ284)))</f>
        <v/>
      </c>
      <c r="BC284" s="91">
        <f>MAX(0,AS284-MAX(0,BJ284-SUM(AO284:AR284)))</f>
        <v/>
      </c>
      <c r="BD284" s="91">
        <f>MAX(0,AT284-MAX(0,BJ284-SUM(AO284:AS284)))</f>
        <v/>
      </c>
      <c r="BE284" s="91">
        <f>MAX(0,AU284-MAX(0,BJ284-SUM(AO284:AT284)))</f>
        <v/>
      </c>
      <c r="BF284" s="91">
        <f>MAX(0,AV284-MAX(0,BJ284-SUM(AO284:AU284)))</f>
        <v/>
      </c>
      <c r="BG284" s="91">
        <f>MAX(0,AW284-MAX(0,BJ284-SUM(AO284:AV284)))</f>
        <v/>
      </c>
      <c r="BH284" s="91">
        <f>MAX(0,AX284-MAX(0,BJ284-SUM(AO284:AW284)))</f>
        <v/>
      </c>
      <c r="BI284" s="92">
        <f>SUM(AY283:BH283)+BK284</f>
        <v/>
      </c>
      <c r="BJ284" s="92">
        <f>$BJ$7-(BI284-SUM(AO284:AX284))</f>
        <v/>
      </c>
      <c r="BK284" s="91">
        <f>SUMPRODUCT(AY283:BH283,$AY$6:$BH$6)/12</f>
        <v/>
      </c>
      <c r="BL284" s="88">
        <f>SUM(AY284:BH284)</f>
        <v/>
      </c>
    </row>
    <row r="285">
      <c r="A285" s="24" t="n">
        <v>275</v>
      </c>
      <c r="B285" s="90">
        <f>DATE(YEAR(Settings!$C$11),MONTH(Settings!$C$11)+A285,1)</f>
        <v/>
      </c>
      <c r="C285" s="91">
        <f>IF(C284&lt;0.005,0,MAX(0,C284*(1+C$6/12)-C$7))</f>
        <v/>
      </c>
      <c r="D285" s="91">
        <f>IF(D284&lt;0.005,0,MAX(0,D284*(1+D$6/12)-D$7))</f>
        <v/>
      </c>
      <c r="E285" s="91">
        <f>IF(E284&lt;0.005,0,MAX(0,E284*(1+E$6/12)-E$7))</f>
        <v/>
      </c>
      <c r="F285" s="91">
        <f>IF(F284&lt;0.005,0,MAX(0,F284*(1+F$6/12)-F$7))</f>
        <v/>
      </c>
      <c r="G285" s="91">
        <f>IF(G284&lt;0.005,0,MAX(0,G284*(1+G$6/12)-G$7))</f>
        <v/>
      </c>
      <c r="H285" s="91">
        <f>IF(H284&lt;0.005,0,MAX(0,H284*(1+H$6/12)-H$7))</f>
        <v/>
      </c>
      <c r="I285" s="91">
        <f>IF(I284&lt;0.005,0,MAX(0,I284*(1+I$6/12)-I$7))</f>
        <v/>
      </c>
      <c r="J285" s="91">
        <f>IF(J284&lt;0.005,0,MAX(0,J284*(1+J$6/12)-J$7))</f>
        <v/>
      </c>
      <c r="K285" s="91">
        <f>IF(K284&lt;0.005,0,MAX(0,K284*(1+K$6/12)-K$7))</f>
        <v/>
      </c>
      <c r="L285" s="91">
        <f>IF(L284&lt;0.005,0,MAX(0,L284*(1+L$6/12)-L$7))</f>
        <v/>
      </c>
      <c r="M285" s="91">
        <f>SUMPRODUCT(C284:L284,$C$6:$L$6)/12</f>
        <v/>
      </c>
      <c r="N285" s="88">
        <f>SUM(C285:L285)</f>
        <v/>
      </c>
      <c r="P285" s="92">
        <f>IF(Z284&lt;0.005,0,MAX(0,Z284*(1+Z$6/12)-Z$7))</f>
        <v/>
      </c>
      <c r="Q285" s="92">
        <f>IF(AA284&lt;0.005,0,MAX(0,AA284*(1+AA$6/12)-AA$7))</f>
        <v/>
      </c>
      <c r="R285" s="92">
        <f>IF(AB284&lt;0.005,0,MAX(0,AB284*(1+AB$6/12)-AB$7))</f>
        <v/>
      </c>
      <c r="S285" s="92">
        <f>IF(AC284&lt;0.005,0,MAX(0,AC284*(1+AC$6/12)-AC$7))</f>
        <v/>
      </c>
      <c r="T285" s="92">
        <f>IF(AD284&lt;0.005,0,MAX(0,AD284*(1+AD$6/12)-AD$7))</f>
        <v/>
      </c>
      <c r="U285" s="92">
        <f>IF(AE284&lt;0.005,0,MAX(0,AE284*(1+AE$6/12)-AE$7))</f>
        <v/>
      </c>
      <c r="V285" s="92">
        <f>IF(AF284&lt;0.005,0,MAX(0,AF284*(1+AF$6/12)-AF$7))</f>
        <v/>
      </c>
      <c r="W285" s="92">
        <f>IF(AG284&lt;0.005,0,MAX(0,AG284*(1+AG$6/12)-AG$7))</f>
        <v/>
      </c>
      <c r="X285" s="92">
        <f>IF(AH284&lt;0.005,0,MAX(0,AH284*(1+AH$6/12)-AH$7))</f>
        <v/>
      </c>
      <c r="Y285" s="92">
        <f>IF(AI284&lt;0.005,0,MAX(0,AI284*(1+AI$6/12)-AI$7))</f>
        <v/>
      </c>
      <c r="Z285" s="91">
        <f>MAX(0,P285-MAX(0,AK285-0))</f>
        <v/>
      </c>
      <c r="AA285" s="91">
        <f>MAX(0,Q285-MAX(0,AK285-SUM(P285:P285)))</f>
        <v/>
      </c>
      <c r="AB285" s="91">
        <f>MAX(0,R285-MAX(0,AK285-SUM(P285:Q285)))</f>
        <v/>
      </c>
      <c r="AC285" s="91">
        <f>MAX(0,S285-MAX(0,AK285-SUM(P285:R285)))</f>
        <v/>
      </c>
      <c r="AD285" s="91">
        <f>MAX(0,T285-MAX(0,AK285-SUM(P285:S285)))</f>
        <v/>
      </c>
      <c r="AE285" s="91">
        <f>MAX(0,U285-MAX(0,AK285-SUM(P285:T285)))</f>
        <v/>
      </c>
      <c r="AF285" s="91">
        <f>MAX(0,V285-MAX(0,AK285-SUM(P285:U285)))</f>
        <v/>
      </c>
      <c r="AG285" s="91">
        <f>MAX(0,W285-MAX(0,AK285-SUM(P285:V285)))</f>
        <v/>
      </c>
      <c r="AH285" s="91">
        <f>MAX(0,X285-MAX(0,AK285-SUM(P285:W285)))</f>
        <v/>
      </c>
      <c r="AI285" s="91">
        <f>MAX(0,Y285-MAX(0,AK285-SUM(P285:X285)))</f>
        <v/>
      </c>
      <c r="AJ285" s="92">
        <f>SUM(Z284:AI284)+AL285</f>
        <v/>
      </c>
      <c r="AK285" s="92">
        <f>$AK$7-(AJ285-SUM(P285:Y285))</f>
        <v/>
      </c>
      <c r="AL285" s="91">
        <f>SUMPRODUCT(Z284:AI284,$Z$6:$AI$6)/12</f>
        <v/>
      </c>
      <c r="AM285" s="88">
        <f>SUM(Z285:AI285)</f>
        <v/>
      </c>
      <c r="AO285" s="92">
        <f>IF(AY284&lt;0.005,0,MAX(0,AY284*(1+AY$6/12)-AY$7))</f>
        <v/>
      </c>
      <c r="AP285" s="92">
        <f>IF(AZ284&lt;0.005,0,MAX(0,AZ284*(1+AZ$6/12)-AZ$7))</f>
        <v/>
      </c>
      <c r="AQ285" s="92">
        <f>IF(BA284&lt;0.005,0,MAX(0,BA284*(1+BA$6/12)-BA$7))</f>
        <v/>
      </c>
      <c r="AR285" s="92">
        <f>IF(BB284&lt;0.005,0,MAX(0,BB284*(1+BB$6/12)-BB$7))</f>
        <v/>
      </c>
      <c r="AS285" s="92">
        <f>IF(BC284&lt;0.005,0,MAX(0,BC284*(1+BC$6/12)-BC$7))</f>
        <v/>
      </c>
      <c r="AT285" s="92">
        <f>IF(BD284&lt;0.005,0,MAX(0,BD284*(1+BD$6/12)-BD$7))</f>
        <v/>
      </c>
      <c r="AU285" s="92">
        <f>IF(BE284&lt;0.005,0,MAX(0,BE284*(1+BE$6/12)-BE$7))</f>
        <v/>
      </c>
      <c r="AV285" s="92">
        <f>IF(BF284&lt;0.005,0,MAX(0,BF284*(1+BF$6/12)-BF$7))</f>
        <v/>
      </c>
      <c r="AW285" s="92">
        <f>IF(BG284&lt;0.005,0,MAX(0,BG284*(1+BG$6/12)-BG$7))</f>
        <v/>
      </c>
      <c r="AX285" s="92">
        <f>IF(BH284&lt;0.005,0,MAX(0,BH284*(1+BH$6/12)-BH$7))</f>
        <v/>
      </c>
      <c r="AY285" s="91">
        <f>MAX(0,AO285-MAX(0,BJ285-0))</f>
        <v/>
      </c>
      <c r="AZ285" s="91">
        <f>MAX(0,AP285-MAX(0,BJ285-SUM(AO285:AO285)))</f>
        <v/>
      </c>
      <c r="BA285" s="91">
        <f>MAX(0,AQ285-MAX(0,BJ285-SUM(AO285:AP285)))</f>
        <v/>
      </c>
      <c r="BB285" s="91">
        <f>MAX(0,AR285-MAX(0,BJ285-SUM(AO285:AQ285)))</f>
        <v/>
      </c>
      <c r="BC285" s="91">
        <f>MAX(0,AS285-MAX(0,BJ285-SUM(AO285:AR285)))</f>
        <v/>
      </c>
      <c r="BD285" s="91">
        <f>MAX(0,AT285-MAX(0,BJ285-SUM(AO285:AS285)))</f>
        <v/>
      </c>
      <c r="BE285" s="91">
        <f>MAX(0,AU285-MAX(0,BJ285-SUM(AO285:AT285)))</f>
        <v/>
      </c>
      <c r="BF285" s="91">
        <f>MAX(0,AV285-MAX(0,BJ285-SUM(AO285:AU285)))</f>
        <v/>
      </c>
      <c r="BG285" s="91">
        <f>MAX(0,AW285-MAX(0,BJ285-SUM(AO285:AV285)))</f>
        <v/>
      </c>
      <c r="BH285" s="91">
        <f>MAX(0,AX285-MAX(0,BJ285-SUM(AO285:AW285)))</f>
        <v/>
      </c>
      <c r="BI285" s="92">
        <f>SUM(AY284:BH284)+BK285</f>
        <v/>
      </c>
      <c r="BJ285" s="92">
        <f>$BJ$7-(BI285-SUM(AO285:AX285))</f>
        <v/>
      </c>
      <c r="BK285" s="91">
        <f>SUMPRODUCT(AY284:BH284,$AY$6:$BH$6)/12</f>
        <v/>
      </c>
      <c r="BL285" s="88">
        <f>SUM(AY285:BH285)</f>
        <v/>
      </c>
    </row>
    <row r="286">
      <c r="A286" s="24" t="n">
        <v>276</v>
      </c>
      <c r="B286" s="90">
        <f>DATE(YEAR(Settings!$C$11),MONTH(Settings!$C$11)+A286,1)</f>
        <v/>
      </c>
      <c r="C286" s="91">
        <f>IF(C285&lt;0.005,0,MAX(0,C285*(1+C$6/12)-C$7))</f>
        <v/>
      </c>
      <c r="D286" s="91">
        <f>IF(D285&lt;0.005,0,MAX(0,D285*(1+D$6/12)-D$7))</f>
        <v/>
      </c>
      <c r="E286" s="91">
        <f>IF(E285&lt;0.005,0,MAX(0,E285*(1+E$6/12)-E$7))</f>
        <v/>
      </c>
      <c r="F286" s="91">
        <f>IF(F285&lt;0.005,0,MAX(0,F285*(1+F$6/12)-F$7))</f>
        <v/>
      </c>
      <c r="G286" s="91">
        <f>IF(G285&lt;0.005,0,MAX(0,G285*(1+G$6/12)-G$7))</f>
        <v/>
      </c>
      <c r="H286" s="91">
        <f>IF(H285&lt;0.005,0,MAX(0,H285*(1+H$6/12)-H$7))</f>
        <v/>
      </c>
      <c r="I286" s="91">
        <f>IF(I285&lt;0.005,0,MAX(0,I285*(1+I$6/12)-I$7))</f>
        <v/>
      </c>
      <c r="J286" s="91">
        <f>IF(J285&lt;0.005,0,MAX(0,J285*(1+J$6/12)-J$7))</f>
        <v/>
      </c>
      <c r="K286" s="91">
        <f>IF(K285&lt;0.005,0,MAX(0,K285*(1+K$6/12)-K$7))</f>
        <v/>
      </c>
      <c r="L286" s="91">
        <f>IF(L285&lt;0.005,0,MAX(0,L285*(1+L$6/12)-L$7))</f>
        <v/>
      </c>
      <c r="M286" s="91">
        <f>SUMPRODUCT(C285:L285,$C$6:$L$6)/12</f>
        <v/>
      </c>
      <c r="N286" s="88">
        <f>SUM(C286:L286)</f>
        <v/>
      </c>
      <c r="P286" s="92">
        <f>IF(Z285&lt;0.005,0,MAX(0,Z285*(1+Z$6/12)-Z$7))</f>
        <v/>
      </c>
      <c r="Q286" s="92">
        <f>IF(AA285&lt;0.005,0,MAX(0,AA285*(1+AA$6/12)-AA$7))</f>
        <v/>
      </c>
      <c r="R286" s="92">
        <f>IF(AB285&lt;0.005,0,MAX(0,AB285*(1+AB$6/12)-AB$7))</f>
        <v/>
      </c>
      <c r="S286" s="92">
        <f>IF(AC285&lt;0.005,0,MAX(0,AC285*(1+AC$6/12)-AC$7))</f>
        <v/>
      </c>
      <c r="T286" s="92">
        <f>IF(AD285&lt;0.005,0,MAX(0,AD285*(1+AD$6/12)-AD$7))</f>
        <v/>
      </c>
      <c r="U286" s="92">
        <f>IF(AE285&lt;0.005,0,MAX(0,AE285*(1+AE$6/12)-AE$7))</f>
        <v/>
      </c>
      <c r="V286" s="92">
        <f>IF(AF285&lt;0.005,0,MAX(0,AF285*(1+AF$6/12)-AF$7))</f>
        <v/>
      </c>
      <c r="W286" s="92">
        <f>IF(AG285&lt;0.005,0,MAX(0,AG285*(1+AG$6/12)-AG$7))</f>
        <v/>
      </c>
      <c r="X286" s="92">
        <f>IF(AH285&lt;0.005,0,MAX(0,AH285*(1+AH$6/12)-AH$7))</f>
        <v/>
      </c>
      <c r="Y286" s="92">
        <f>IF(AI285&lt;0.005,0,MAX(0,AI285*(1+AI$6/12)-AI$7))</f>
        <v/>
      </c>
      <c r="Z286" s="91">
        <f>MAX(0,P286-MAX(0,AK286-0))</f>
        <v/>
      </c>
      <c r="AA286" s="91">
        <f>MAX(0,Q286-MAX(0,AK286-SUM(P286:P286)))</f>
        <v/>
      </c>
      <c r="AB286" s="91">
        <f>MAX(0,R286-MAX(0,AK286-SUM(P286:Q286)))</f>
        <v/>
      </c>
      <c r="AC286" s="91">
        <f>MAX(0,S286-MAX(0,AK286-SUM(P286:R286)))</f>
        <v/>
      </c>
      <c r="AD286" s="91">
        <f>MAX(0,T286-MAX(0,AK286-SUM(P286:S286)))</f>
        <v/>
      </c>
      <c r="AE286" s="91">
        <f>MAX(0,U286-MAX(0,AK286-SUM(P286:T286)))</f>
        <v/>
      </c>
      <c r="AF286" s="91">
        <f>MAX(0,V286-MAX(0,AK286-SUM(P286:U286)))</f>
        <v/>
      </c>
      <c r="AG286" s="91">
        <f>MAX(0,W286-MAX(0,AK286-SUM(P286:V286)))</f>
        <v/>
      </c>
      <c r="AH286" s="91">
        <f>MAX(0,X286-MAX(0,AK286-SUM(P286:W286)))</f>
        <v/>
      </c>
      <c r="AI286" s="91">
        <f>MAX(0,Y286-MAX(0,AK286-SUM(P286:X286)))</f>
        <v/>
      </c>
      <c r="AJ286" s="92">
        <f>SUM(Z285:AI285)+AL286</f>
        <v/>
      </c>
      <c r="AK286" s="92">
        <f>$AK$7-(AJ286-SUM(P286:Y286))</f>
        <v/>
      </c>
      <c r="AL286" s="91">
        <f>SUMPRODUCT(Z285:AI285,$Z$6:$AI$6)/12</f>
        <v/>
      </c>
      <c r="AM286" s="88">
        <f>SUM(Z286:AI286)</f>
        <v/>
      </c>
      <c r="AO286" s="92">
        <f>IF(AY285&lt;0.005,0,MAX(0,AY285*(1+AY$6/12)-AY$7))</f>
        <v/>
      </c>
      <c r="AP286" s="92">
        <f>IF(AZ285&lt;0.005,0,MAX(0,AZ285*(1+AZ$6/12)-AZ$7))</f>
        <v/>
      </c>
      <c r="AQ286" s="92">
        <f>IF(BA285&lt;0.005,0,MAX(0,BA285*(1+BA$6/12)-BA$7))</f>
        <v/>
      </c>
      <c r="AR286" s="92">
        <f>IF(BB285&lt;0.005,0,MAX(0,BB285*(1+BB$6/12)-BB$7))</f>
        <v/>
      </c>
      <c r="AS286" s="92">
        <f>IF(BC285&lt;0.005,0,MAX(0,BC285*(1+BC$6/12)-BC$7))</f>
        <v/>
      </c>
      <c r="AT286" s="92">
        <f>IF(BD285&lt;0.005,0,MAX(0,BD285*(1+BD$6/12)-BD$7))</f>
        <v/>
      </c>
      <c r="AU286" s="92">
        <f>IF(BE285&lt;0.005,0,MAX(0,BE285*(1+BE$6/12)-BE$7))</f>
        <v/>
      </c>
      <c r="AV286" s="92">
        <f>IF(BF285&lt;0.005,0,MAX(0,BF285*(1+BF$6/12)-BF$7))</f>
        <v/>
      </c>
      <c r="AW286" s="92">
        <f>IF(BG285&lt;0.005,0,MAX(0,BG285*(1+BG$6/12)-BG$7))</f>
        <v/>
      </c>
      <c r="AX286" s="92">
        <f>IF(BH285&lt;0.005,0,MAX(0,BH285*(1+BH$6/12)-BH$7))</f>
        <v/>
      </c>
      <c r="AY286" s="91">
        <f>MAX(0,AO286-MAX(0,BJ286-0))</f>
        <v/>
      </c>
      <c r="AZ286" s="91">
        <f>MAX(0,AP286-MAX(0,BJ286-SUM(AO286:AO286)))</f>
        <v/>
      </c>
      <c r="BA286" s="91">
        <f>MAX(0,AQ286-MAX(0,BJ286-SUM(AO286:AP286)))</f>
        <v/>
      </c>
      <c r="BB286" s="91">
        <f>MAX(0,AR286-MAX(0,BJ286-SUM(AO286:AQ286)))</f>
        <v/>
      </c>
      <c r="BC286" s="91">
        <f>MAX(0,AS286-MAX(0,BJ286-SUM(AO286:AR286)))</f>
        <v/>
      </c>
      <c r="BD286" s="91">
        <f>MAX(0,AT286-MAX(0,BJ286-SUM(AO286:AS286)))</f>
        <v/>
      </c>
      <c r="BE286" s="91">
        <f>MAX(0,AU286-MAX(0,BJ286-SUM(AO286:AT286)))</f>
        <v/>
      </c>
      <c r="BF286" s="91">
        <f>MAX(0,AV286-MAX(0,BJ286-SUM(AO286:AU286)))</f>
        <v/>
      </c>
      <c r="BG286" s="91">
        <f>MAX(0,AW286-MAX(0,BJ286-SUM(AO286:AV286)))</f>
        <v/>
      </c>
      <c r="BH286" s="91">
        <f>MAX(0,AX286-MAX(0,BJ286-SUM(AO286:AW286)))</f>
        <v/>
      </c>
      <c r="BI286" s="92">
        <f>SUM(AY285:BH285)+BK286</f>
        <v/>
      </c>
      <c r="BJ286" s="92">
        <f>$BJ$7-(BI286-SUM(AO286:AX286))</f>
        <v/>
      </c>
      <c r="BK286" s="91">
        <f>SUMPRODUCT(AY285:BH285,$AY$6:$BH$6)/12</f>
        <v/>
      </c>
      <c r="BL286" s="88">
        <f>SUM(AY286:BH286)</f>
        <v/>
      </c>
    </row>
    <row r="287">
      <c r="A287" s="24" t="n">
        <v>277</v>
      </c>
      <c r="B287" s="90">
        <f>DATE(YEAR(Settings!$C$11),MONTH(Settings!$C$11)+A287,1)</f>
        <v/>
      </c>
      <c r="C287" s="91">
        <f>IF(C286&lt;0.005,0,MAX(0,C286*(1+C$6/12)-C$7))</f>
        <v/>
      </c>
      <c r="D287" s="91">
        <f>IF(D286&lt;0.005,0,MAX(0,D286*(1+D$6/12)-D$7))</f>
        <v/>
      </c>
      <c r="E287" s="91">
        <f>IF(E286&lt;0.005,0,MAX(0,E286*(1+E$6/12)-E$7))</f>
        <v/>
      </c>
      <c r="F287" s="91">
        <f>IF(F286&lt;0.005,0,MAX(0,F286*(1+F$6/12)-F$7))</f>
        <v/>
      </c>
      <c r="G287" s="91">
        <f>IF(G286&lt;0.005,0,MAX(0,G286*(1+G$6/12)-G$7))</f>
        <v/>
      </c>
      <c r="H287" s="91">
        <f>IF(H286&lt;0.005,0,MAX(0,H286*(1+H$6/12)-H$7))</f>
        <v/>
      </c>
      <c r="I287" s="91">
        <f>IF(I286&lt;0.005,0,MAX(0,I286*(1+I$6/12)-I$7))</f>
        <v/>
      </c>
      <c r="J287" s="91">
        <f>IF(J286&lt;0.005,0,MAX(0,J286*(1+J$6/12)-J$7))</f>
        <v/>
      </c>
      <c r="K287" s="91">
        <f>IF(K286&lt;0.005,0,MAX(0,K286*(1+K$6/12)-K$7))</f>
        <v/>
      </c>
      <c r="L287" s="91">
        <f>IF(L286&lt;0.005,0,MAX(0,L286*(1+L$6/12)-L$7))</f>
        <v/>
      </c>
      <c r="M287" s="91">
        <f>SUMPRODUCT(C286:L286,$C$6:$L$6)/12</f>
        <v/>
      </c>
      <c r="N287" s="88">
        <f>SUM(C287:L287)</f>
        <v/>
      </c>
      <c r="P287" s="92">
        <f>IF(Z286&lt;0.005,0,MAX(0,Z286*(1+Z$6/12)-Z$7))</f>
        <v/>
      </c>
      <c r="Q287" s="92">
        <f>IF(AA286&lt;0.005,0,MAX(0,AA286*(1+AA$6/12)-AA$7))</f>
        <v/>
      </c>
      <c r="R287" s="92">
        <f>IF(AB286&lt;0.005,0,MAX(0,AB286*(1+AB$6/12)-AB$7))</f>
        <v/>
      </c>
      <c r="S287" s="92">
        <f>IF(AC286&lt;0.005,0,MAX(0,AC286*(1+AC$6/12)-AC$7))</f>
        <v/>
      </c>
      <c r="T287" s="92">
        <f>IF(AD286&lt;0.005,0,MAX(0,AD286*(1+AD$6/12)-AD$7))</f>
        <v/>
      </c>
      <c r="U287" s="92">
        <f>IF(AE286&lt;0.005,0,MAX(0,AE286*(1+AE$6/12)-AE$7))</f>
        <v/>
      </c>
      <c r="V287" s="92">
        <f>IF(AF286&lt;0.005,0,MAX(0,AF286*(1+AF$6/12)-AF$7))</f>
        <v/>
      </c>
      <c r="W287" s="92">
        <f>IF(AG286&lt;0.005,0,MAX(0,AG286*(1+AG$6/12)-AG$7))</f>
        <v/>
      </c>
      <c r="X287" s="92">
        <f>IF(AH286&lt;0.005,0,MAX(0,AH286*(1+AH$6/12)-AH$7))</f>
        <v/>
      </c>
      <c r="Y287" s="92">
        <f>IF(AI286&lt;0.005,0,MAX(0,AI286*(1+AI$6/12)-AI$7))</f>
        <v/>
      </c>
      <c r="Z287" s="91">
        <f>MAX(0,P287-MAX(0,AK287-0))</f>
        <v/>
      </c>
      <c r="AA287" s="91">
        <f>MAX(0,Q287-MAX(0,AK287-SUM(P287:P287)))</f>
        <v/>
      </c>
      <c r="AB287" s="91">
        <f>MAX(0,R287-MAX(0,AK287-SUM(P287:Q287)))</f>
        <v/>
      </c>
      <c r="AC287" s="91">
        <f>MAX(0,S287-MAX(0,AK287-SUM(P287:R287)))</f>
        <v/>
      </c>
      <c r="AD287" s="91">
        <f>MAX(0,T287-MAX(0,AK287-SUM(P287:S287)))</f>
        <v/>
      </c>
      <c r="AE287" s="91">
        <f>MAX(0,U287-MAX(0,AK287-SUM(P287:T287)))</f>
        <v/>
      </c>
      <c r="AF287" s="91">
        <f>MAX(0,V287-MAX(0,AK287-SUM(P287:U287)))</f>
        <v/>
      </c>
      <c r="AG287" s="91">
        <f>MAX(0,W287-MAX(0,AK287-SUM(P287:V287)))</f>
        <v/>
      </c>
      <c r="AH287" s="91">
        <f>MAX(0,X287-MAX(0,AK287-SUM(P287:W287)))</f>
        <v/>
      </c>
      <c r="AI287" s="91">
        <f>MAX(0,Y287-MAX(0,AK287-SUM(P287:X287)))</f>
        <v/>
      </c>
      <c r="AJ287" s="92">
        <f>SUM(Z286:AI286)+AL287</f>
        <v/>
      </c>
      <c r="AK287" s="92">
        <f>$AK$7-(AJ287-SUM(P287:Y287))</f>
        <v/>
      </c>
      <c r="AL287" s="91">
        <f>SUMPRODUCT(Z286:AI286,$Z$6:$AI$6)/12</f>
        <v/>
      </c>
      <c r="AM287" s="88">
        <f>SUM(Z287:AI287)</f>
        <v/>
      </c>
      <c r="AO287" s="92">
        <f>IF(AY286&lt;0.005,0,MAX(0,AY286*(1+AY$6/12)-AY$7))</f>
        <v/>
      </c>
      <c r="AP287" s="92">
        <f>IF(AZ286&lt;0.005,0,MAX(0,AZ286*(1+AZ$6/12)-AZ$7))</f>
        <v/>
      </c>
      <c r="AQ287" s="92">
        <f>IF(BA286&lt;0.005,0,MAX(0,BA286*(1+BA$6/12)-BA$7))</f>
        <v/>
      </c>
      <c r="AR287" s="92">
        <f>IF(BB286&lt;0.005,0,MAX(0,BB286*(1+BB$6/12)-BB$7))</f>
        <v/>
      </c>
      <c r="AS287" s="92">
        <f>IF(BC286&lt;0.005,0,MAX(0,BC286*(1+BC$6/12)-BC$7))</f>
        <v/>
      </c>
      <c r="AT287" s="92">
        <f>IF(BD286&lt;0.005,0,MAX(0,BD286*(1+BD$6/12)-BD$7))</f>
        <v/>
      </c>
      <c r="AU287" s="92">
        <f>IF(BE286&lt;0.005,0,MAX(0,BE286*(1+BE$6/12)-BE$7))</f>
        <v/>
      </c>
      <c r="AV287" s="92">
        <f>IF(BF286&lt;0.005,0,MAX(0,BF286*(1+BF$6/12)-BF$7))</f>
        <v/>
      </c>
      <c r="AW287" s="92">
        <f>IF(BG286&lt;0.005,0,MAX(0,BG286*(1+BG$6/12)-BG$7))</f>
        <v/>
      </c>
      <c r="AX287" s="92">
        <f>IF(BH286&lt;0.005,0,MAX(0,BH286*(1+BH$6/12)-BH$7))</f>
        <v/>
      </c>
      <c r="AY287" s="91">
        <f>MAX(0,AO287-MAX(0,BJ287-0))</f>
        <v/>
      </c>
      <c r="AZ287" s="91">
        <f>MAX(0,AP287-MAX(0,BJ287-SUM(AO287:AO287)))</f>
        <v/>
      </c>
      <c r="BA287" s="91">
        <f>MAX(0,AQ287-MAX(0,BJ287-SUM(AO287:AP287)))</f>
        <v/>
      </c>
      <c r="BB287" s="91">
        <f>MAX(0,AR287-MAX(0,BJ287-SUM(AO287:AQ287)))</f>
        <v/>
      </c>
      <c r="BC287" s="91">
        <f>MAX(0,AS287-MAX(0,BJ287-SUM(AO287:AR287)))</f>
        <v/>
      </c>
      <c r="BD287" s="91">
        <f>MAX(0,AT287-MAX(0,BJ287-SUM(AO287:AS287)))</f>
        <v/>
      </c>
      <c r="BE287" s="91">
        <f>MAX(0,AU287-MAX(0,BJ287-SUM(AO287:AT287)))</f>
        <v/>
      </c>
      <c r="BF287" s="91">
        <f>MAX(0,AV287-MAX(0,BJ287-SUM(AO287:AU287)))</f>
        <v/>
      </c>
      <c r="BG287" s="91">
        <f>MAX(0,AW287-MAX(0,BJ287-SUM(AO287:AV287)))</f>
        <v/>
      </c>
      <c r="BH287" s="91">
        <f>MAX(0,AX287-MAX(0,BJ287-SUM(AO287:AW287)))</f>
        <v/>
      </c>
      <c r="BI287" s="92">
        <f>SUM(AY286:BH286)+BK287</f>
        <v/>
      </c>
      <c r="BJ287" s="92">
        <f>$BJ$7-(BI287-SUM(AO287:AX287))</f>
        <v/>
      </c>
      <c r="BK287" s="91">
        <f>SUMPRODUCT(AY286:BH286,$AY$6:$BH$6)/12</f>
        <v/>
      </c>
      <c r="BL287" s="88">
        <f>SUM(AY287:BH287)</f>
        <v/>
      </c>
    </row>
    <row r="288">
      <c r="A288" s="24" t="n">
        <v>278</v>
      </c>
      <c r="B288" s="90">
        <f>DATE(YEAR(Settings!$C$11),MONTH(Settings!$C$11)+A288,1)</f>
        <v/>
      </c>
      <c r="C288" s="91">
        <f>IF(C287&lt;0.005,0,MAX(0,C287*(1+C$6/12)-C$7))</f>
        <v/>
      </c>
      <c r="D288" s="91">
        <f>IF(D287&lt;0.005,0,MAX(0,D287*(1+D$6/12)-D$7))</f>
        <v/>
      </c>
      <c r="E288" s="91">
        <f>IF(E287&lt;0.005,0,MAX(0,E287*(1+E$6/12)-E$7))</f>
        <v/>
      </c>
      <c r="F288" s="91">
        <f>IF(F287&lt;0.005,0,MAX(0,F287*(1+F$6/12)-F$7))</f>
        <v/>
      </c>
      <c r="G288" s="91">
        <f>IF(G287&lt;0.005,0,MAX(0,G287*(1+G$6/12)-G$7))</f>
        <v/>
      </c>
      <c r="H288" s="91">
        <f>IF(H287&lt;0.005,0,MAX(0,H287*(1+H$6/12)-H$7))</f>
        <v/>
      </c>
      <c r="I288" s="91">
        <f>IF(I287&lt;0.005,0,MAX(0,I287*(1+I$6/12)-I$7))</f>
        <v/>
      </c>
      <c r="J288" s="91">
        <f>IF(J287&lt;0.005,0,MAX(0,J287*(1+J$6/12)-J$7))</f>
        <v/>
      </c>
      <c r="K288" s="91">
        <f>IF(K287&lt;0.005,0,MAX(0,K287*(1+K$6/12)-K$7))</f>
        <v/>
      </c>
      <c r="L288" s="91">
        <f>IF(L287&lt;0.005,0,MAX(0,L287*(1+L$6/12)-L$7))</f>
        <v/>
      </c>
      <c r="M288" s="91">
        <f>SUMPRODUCT(C287:L287,$C$6:$L$6)/12</f>
        <v/>
      </c>
      <c r="N288" s="88">
        <f>SUM(C288:L288)</f>
        <v/>
      </c>
      <c r="P288" s="92">
        <f>IF(Z287&lt;0.005,0,MAX(0,Z287*(1+Z$6/12)-Z$7))</f>
        <v/>
      </c>
      <c r="Q288" s="92">
        <f>IF(AA287&lt;0.005,0,MAX(0,AA287*(1+AA$6/12)-AA$7))</f>
        <v/>
      </c>
      <c r="R288" s="92">
        <f>IF(AB287&lt;0.005,0,MAX(0,AB287*(1+AB$6/12)-AB$7))</f>
        <v/>
      </c>
      <c r="S288" s="92">
        <f>IF(AC287&lt;0.005,0,MAX(0,AC287*(1+AC$6/12)-AC$7))</f>
        <v/>
      </c>
      <c r="T288" s="92">
        <f>IF(AD287&lt;0.005,0,MAX(0,AD287*(1+AD$6/12)-AD$7))</f>
        <v/>
      </c>
      <c r="U288" s="92">
        <f>IF(AE287&lt;0.005,0,MAX(0,AE287*(1+AE$6/12)-AE$7))</f>
        <v/>
      </c>
      <c r="V288" s="92">
        <f>IF(AF287&lt;0.005,0,MAX(0,AF287*(1+AF$6/12)-AF$7))</f>
        <v/>
      </c>
      <c r="W288" s="92">
        <f>IF(AG287&lt;0.005,0,MAX(0,AG287*(1+AG$6/12)-AG$7))</f>
        <v/>
      </c>
      <c r="X288" s="92">
        <f>IF(AH287&lt;0.005,0,MAX(0,AH287*(1+AH$6/12)-AH$7))</f>
        <v/>
      </c>
      <c r="Y288" s="92">
        <f>IF(AI287&lt;0.005,0,MAX(0,AI287*(1+AI$6/12)-AI$7))</f>
        <v/>
      </c>
      <c r="Z288" s="91">
        <f>MAX(0,P288-MAX(0,AK288-0))</f>
        <v/>
      </c>
      <c r="AA288" s="91">
        <f>MAX(0,Q288-MAX(0,AK288-SUM(P288:P288)))</f>
        <v/>
      </c>
      <c r="AB288" s="91">
        <f>MAX(0,R288-MAX(0,AK288-SUM(P288:Q288)))</f>
        <v/>
      </c>
      <c r="AC288" s="91">
        <f>MAX(0,S288-MAX(0,AK288-SUM(P288:R288)))</f>
        <v/>
      </c>
      <c r="AD288" s="91">
        <f>MAX(0,T288-MAX(0,AK288-SUM(P288:S288)))</f>
        <v/>
      </c>
      <c r="AE288" s="91">
        <f>MAX(0,U288-MAX(0,AK288-SUM(P288:T288)))</f>
        <v/>
      </c>
      <c r="AF288" s="91">
        <f>MAX(0,V288-MAX(0,AK288-SUM(P288:U288)))</f>
        <v/>
      </c>
      <c r="AG288" s="91">
        <f>MAX(0,W288-MAX(0,AK288-SUM(P288:V288)))</f>
        <v/>
      </c>
      <c r="AH288" s="91">
        <f>MAX(0,X288-MAX(0,AK288-SUM(P288:W288)))</f>
        <v/>
      </c>
      <c r="AI288" s="91">
        <f>MAX(0,Y288-MAX(0,AK288-SUM(P288:X288)))</f>
        <v/>
      </c>
      <c r="AJ288" s="92">
        <f>SUM(Z287:AI287)+AL288</f>
        <v/>
      </c>
      <c r="AK288" s="92">
        <f>$AK$7-(AJ288-SUM(P288:Y288))</f>
        <v/>
      </c>
      <c r="AL288" s="91">
        <f>SUMPRODUCT(Z287:AI287,$Z$6:$AI$6)/12</f>
        <v/>
      </c>
      <c r="AM288" s="88">
        <f>SUM(Z288:AI288)</f>
        <v/>
      </c>
      <c r="AO288" s="92">
        <f>IF(AY287&lt;0.005,0,MAX(0,AY287*(1+AY$6/12)-AY$7))</f>
        <v/>
      </c>
      <c r="AP288" s="92">
        <f>IF(AZ287&lt;0.005,0,MAX(0,AZ287*(1+AZ$6/12)-AZ$7))</f>
        <v/>
      </c>
      <c r="AQ288" s="92">
        <f>IF(BA287&lt;0.005,0,MAX(0,BA287*(1+BA$6/12)-BA$7))</f>
        <v/>
      </c>
      <c r="AR288" s="92">
        <f>IF(BB287&lt;0.005,0,MAX(0,BB287*(1+BB$6/12)-BB$7))</f>
        <v/>
      </c>
      <c r="AS288" s="92">
        <f>IF(BC287&lt;0.005,0,MAX(0,BC287*(1+BC$6/12)-BC$7))</f>
        <v/>
      </c>
      <c r="AT288" s="92">
        <f>IF(BD287&lt;0.005,0,MAX(0,BD287*(1+BD$6/12)-BD$7))</f>
        <v/>
      </c>
      <c r="AU288" s="92">
        <f>IF(BE287&lt;0.005,0,MAX(0,BE287*(1+BE$6/12)-BE$7))</f>
        <v/>
      </c>
      <c r="AV288" s="92">
        <f>IF(BF287&lt;0.005,0,MAX(0,BF287*(1+BF$6/12)-BF$7))</f>
        <v/>
      </c>
      <c r="AW288" s="92">
        <f>IF(BG287&lt;0.005,0,MAX(0,BG287*(1+BG$6/12)-BG$7))</f>
        <v/>
      </c>
      <c r="AX288" s="92">
        <f>IF(BH287&lt;0.005,0,MAX(0,BH287*(1+BH$6/12)-BH$7))</f>
        <v/>
      </c>
      <c r="AY288" s="91">
        <f>MAX(0,AO288-MAX(0,BJ288-0))</f>
        <v/>
      </c>
      <c r="AZ288" s="91">
        <f>MAX(0,AP288-MAX(0,BJ288-SUM(AO288:AO288)))</f>
        <v/>
      </c>
      <c r="BA288" s="91">
        <f>MAX(0,AQ288-MAX(0,BJ288-SUM(AO288:AP288)))</f>
        <v/>
      </c>
      <c r="BB288" s="91">
        <f>MAX(0,AR288-MAX(0,BJ288-SUM(AO288:AQ288)))</f>
        <v/>
      </c>
      <c r="BC288" s="91">
        <f>MAX(0,AS288-MAX(0,BJ288-SUM(AO288:AR288)))</f>
        <v/>
      </c>
      <c r="BD288" s="91">
        <f>MAX(0,AT288-MAX(0,BJ288-SUM(AO288:AS288)))</f>
        <v/>
      </c>
      <c r="BE288" s="91">
        <f>MAX(0,AU288-MAX(0,BJ288-SUM(AO288:AT288)))</f>
        <v/>
      </c>
      <c r="BF288" s="91">
        <f>MAX(0,AV288-MAX(0,BJ288-SUM(AO288:AU288)))</f>
        <v/>
      </c>
      <c r="BG288" s="91">
        <f>MAX(0,AW288-MAX(0,BJ288-SUM(AO288:AV288)))</f>
        <v/>
      </c>
      <c r="BH288" s="91">
        <f>MAX(0,AX288-MAX(0,BJ288-SUM(AO288:AW288)))</f>
        <v/>
      </c>
      <c r="BI288" s="92">
        <f>SUM(AY287:BH287)+BK288</f>
        <v/>
      </c>
      <c r="BJ288" s="92">
        <f>$BJ$7-(BI288-SUM(AO288:AX288))</f>
        <v/>
      </c>
      <c r="BK288" s="91">
        <f>SUMPRODUCT(AY287:BH287,$AY$6:$BH$6)/12</f>
        <v/>
      </c>
      <c r="BL288" s="88">
        <f>SUM(AY288:BH288)</f>
        <v/>
      </c>
    </row>
    <row r="289">
      <c r="A289" s="24" t="n">
        <v>279</v>
      </c>
      <c r="B289" s="90">
        <f>DATE(YEAR(Settings!$C$11),MONTH(Settings!$C$11)+A289,1)</f>
        <v/>
      </c>
      <c r="C289" s="91">
        <f>IF(C288&lt;0.005,0,MAX(0,C288*(1+C$6/12)-C$7))</f>
        <v/>
      </c>
      <c r="D289" s="91">
        <f>IF(D288&lt;0.005,0,MAX(0,D288*(1+D$6/12)-D$7))</f>
        <v/>
      </c>
      <c r="E289" s="91">
        <f>IF(E288&lt;0.005,0,MAX(0,E288*(1+E$6/12)-E$7))</f>
        <v/>
      </c>
      <c r="F289" s="91">
        <f>IF(F288&lt;0.005,0,MAX(0,F288*(1+F$6/12)-F$7))</f>
        <v/>
      </c>
      <c r="G289" s="91">
        <f>IF(G288&lt;0.005,0,MAX(0,G288*(1+G$6/12)-G$7))</f>
        <v/>
      </c>
      <c r="H289" s="91">
        <f>IF(H288&lt;0.005,0,MAX(0,H288*(1+H$6/12)-H$7))</f>
        <v/>
      </c>
      <c r="I289" s="91">
        <f>IF(I288&lt;0.005,0,MAX(0,I288*(1+I$6/12)-I$7))</f>
        <v/>
      </c>
      <c r="J289" s="91">
        <f>IF(J288&lt;0.005,0,MAX(0,J288*(1+J$6/12)-J$7))</f>
        <v/>
      </c>
      <c r="K289" s="91">
        <f>IF(K288&lt;0.005,0,MAX(0,K288*(1+K$6/12)-K$7))</f>
        <v/>
      </c>
      <c r="L289" s="91">
        <f>IF(L288&lt;0.005,0,MAX(0,L288*(1+L$6/12)-L$7))</f>
        <v/>
      </c>
      <c r="M289" s="91">
        <f>SUMPRODUCT(C288:L288,$C$6:$L$6)/12</f>
        <v/>
      </c>
      <c r="N289" s="88">
        <f>SUM(C289:L289)</f>
        <v/>
      </c>
      <c r="P289" s="92">
        <f>IF(Z288&lt;0.005,0,MAX(0,Z288*(1+Z$6/12)-Z$7))</f>
        <v/>
      </c>
      <c r="Q289" s="92">
        <f>IF(AA288&lt;0.005,0,MAX(0,AA288*(1+AA$6/12)-AA$7))</f>
        <v/>
      </c>
      <c r="R289" s="92">
        <f>IF(AB288&lt;0.005,0,MAX(0,AB288*(1+AB$6/12)-AB$7))</f>
        <v/>
      </c>
      <c r="S289" s="92">
        <f>IF(AC288&lt;0.005,0,MAX(0,AC288*(1+AC$6/12)-AC$7))</f>
        <v/>
      </c>
      <c r="T289" s="92">
        <f>IF(AD288&lt;0.005,0,MAX(0,AD288*(1+AD$6/12)-AD$7))</f>
        <v/>
      </c>
      <c r="U289" s="92">
        <f>IF(AE288&lt;0.005,0,MAX(0,AE288*(1+AE$6/12)-AE$7))</f>
        <v/>
      </c>
      <c r="V289" s="92">
        <f>IF(AF288&lt;0.005,0,MAX(0,AF288*(1+AF$6/12)-AF$7))</f>
        <v/>
      </c>
      <c r="W289" s="92">
        <f>IF(AG288&lt;0.005,0,MAX(0,AG288*(1+AG$6/12)-AG$7))</f>
        <v/>
      </c>
      <c r="X289" s="92">
        <f>IF(AH288&lt;0.005,0,MAX(0,AH288*(1+AH$6/12)-AH$7))</f>
        <v/>
      </c>
      <c r="Y289" s="92">
        <f>IF(AI288&lt;0.005,0,MAX(0,AI288*(1+AI$6/12)-AI$7))</f>
        <v/>
      </c>
      <c r="Z289" s="91">
        <f>MAX(0,P289-MAX(0,AK289-0))</f>
        <v/>
      </c>
      <c r="AA289" s="91">
        <f>MAX(0,Q289-MAX(0,AK289-SUM(P289:P289)))</f>
        <v/>
      </c>
      <c r="AB289" s="91">
        <f>MAX(0,R289-MAX(0,AK289-SUM(P289:Q289)))</f>
        <v/>
      </c>
      <c r="AC289" s="91">
        <f>MAX(0,S289-MAX(0,AK289-SUM(P289:R289)))</f>
        <v/>
      </c>
      <c r="AD289" s="91">
        <f>MAX(0,T289-MAX(0,AK289-SUM(P289:S289)))</f>
        <v/>
      </c>
      <c r="AE289" s="91">
        <f>MAX(0,U289-MAX(0,AK289-SUM(P289:T289)))</f>
        <v/>
      </c>
      <c r="AF289" s="91">
        <f>MAX(0,V289-MAX(0,AK289-SUM(P289:U289)))</f>
        <v/>
      </c>
      <c r="AG289" s="91">
        <f>MAX(0,W289-MAX(0,AK289-SUM(P289:V289)))</f>
        <v/>
      </c>
      <c r="AH289" s="91">
        <f>MAX(0,X289-MAX(0,AK289-SUM(P289:W289)))</f>
        <v/>
      </c>
      <c r="AI289" s="91">
        <f>MAX(0,Y289-MAX(0,AK289-SUM(P289:X289)))</f>
        <v/>
      </c>
      <c r="AJ289" s="92">
        <f>SUM(Z288:AI288)+AL289</f>
        <v/>
      </c>
      <c r="AK289" s="92">
        <f>$AK$7-(AJ289-SUM(P289:Y289))</f>
        <v/>
      </c>
      <c r="AL289" s="91">
        <f>SUMPRODUCT(Z288:AI288,$Z$6:$AI$6)/12</f>
        <v/>
      </c>
      <c r="AM289" s="88">
        <f>SUM(Z289:AI289)</f>
        <v/>
      </c>
      <c r="AO289" s="92">
        <f>IF(AY288&lt;0.005,0,MAX(0,AY288*(1+AY$6/12)-AY$7))</f>
        <v/>
      </c>
      <c r="AP289" s="92">
        <f>IF(AZ288&lt;0.005,0,MAX(0,AZ288*(1+AZ$6/12)-AZ$7))</f>
        <v/>
      </c>
      <c r="AQ289" s="92">
        <f>IF(BA288&lt;0.005,0,MAX(0,BA288*(1+BA$6/12)-BA$7))</f>
        <v/>
      </c>
      <c r="AR289" s="92">
        <f>IF(BB288&lt;0.005,0,MAX(0,BB288*(1+BB$6/12)-BB$7))</f>
        <v/>
      </c>
      <c r="AS289" s="92">
        <f>IF(BC288&lt;0.005,0,MAX(0,BC288*(1+BC$6/12)-BC$7))</f>
        <v/>
      </c>
      <c r="AT289" s="92">
        <f>IF(BD288&lt;0.005,0,MAX(0,BD288*(1+BD$6/12)-BD$7))</f>
        <v/>
      </c>
      <c r="AU289" s="92">
        <f>IF(BE288&lt;0.005,0,MAX(0,BE288*(1+BE$6/12)-BE$7))</f>
        <v/>
      </c>
      <c r="AV289" s="92">
        <f>IF(BF288&lt;0.005,0,MAX(0,BF288*(1+BF$6/12)-BF$7))</f>
        <v/>
      </c>
      <c r="AW289" s="92">
        <f>IF(BG288&lt;0.005,0,MAX(0,BG288*(1+BG$6/12)-BG$7))</f>
        <v/>
      </c>
      <c r="AX289" s="92">
        <f>IF(BH288&lt;0.005,0,MAX(0,BH288*(1+BH$6/12)-BH$7))</f>
        <v/>
      </c>
      <c r="AY289" s="91">
        <f>MAX(0,AO289-MAX(0,BJ289-0))</f>
        <v/>
      </c>
      <c r="AZ289" s="91">
        <f>MAX(0,AP289-MAX(0,BJ289-SUM(AO289:AO289)))</f>
        <v/>
      </c>
      <c r="BA289" s="91">
        <f>MAX(0,AQ289-MAX(0,BJ289-SUM(AO289:AP289)))</f>
        <v/>
      </c>
      <c r="BB289" s="91">
        <f>MAX(0,AR289-MAX(0,BJ289-SUM(AO289:AQ289)))</f>
        <v/>
      </c>
      <c r="BC289" s="91">
        <f>MAX(0,AS289-MAX(0,BJ289-SUM(AO289:AR289)))</f>
        <v/>
      </c>
      <c r="BD289" s="91">
        <f>MAX(0,AT289-MAX(0,BJ289-SUM(AO289:AS289)))</f>
        <v/>
      </c>
      <c r="BE289" s="91">
        <f>MAX(0,AU289-MAX(0,BJ289-SUM(AO289:AT289)))</f>
        <v/>
      </c>
      <c r="BF289" s="91">
        <f>MAX(0,AV289-MAX(0,BJ289-SUM(AO289:AU289)))</f>
        <v/>
      </c>
      <c r="BG289" s="91">
        <f>MAX(0,AW289-MAX(0,BJ289-SUM(AO289:AV289)))</f>
        <v/>
      </c>
      <c r="BH289" s="91">
        <f>MAX(0,AX289-MAX(0,BJ289-SUM(AO289:AW289)))</f>
        <v/>
      </c>
      <c r="BI289" s="92">
        <f>SUM(AY288:BH288)+BK289</f>
        <v/>
      </c>
      <c r="BJ289" s="92">
        <f>$BJ$7-(BI289-SUM(AO289:AX289))</f>
        <v/>
      </c>
      <c r="BK289" s="91">
        <f>SUMPRODUCT(AY288:BH288,$AY$6:$BH$6)/12</f>
        <v/>
      </c>
      <c r="BL289" s="88">
        <f>SUM(AY289:BH289)</f>
        <v/>
      </c>
    </row>
    <row r="290">
      <c r="A290" s="24" t="n">
        <v>280</v>
      </c>
      <c r="B290" s="90">
        <f>DATE(YEAR(Settings!$C$11),MONTH(Settings!$C$11)+A290,1)</f>
        <v/>
      </c>
      <c r="C290" s="91">
        <f>IF(C289&lt;0.005,0,MAX(0,C289*(1+C$6/12)-C$7))</f>
        <v/>
      </c>
      <c r="D290" s="91">
        <f>IF(D289&lt;0.005,0,MAX(0,D289*(1+D$6/12)-D$7))</f>
        <v/>
      </c>
      <c r="E290" s="91">
        <f>IF(E289&lt;0.005,0,MAX(0,E289*(1+E$6/12)-E$7))</f>
        <v/>
      </c>
      <c r="F290" s="91">
        <f>IF(F289&lt;0.005,0,MAX(0,F289*(1+F$6/12)-F$7))</f>
        <v/>
      </c>
      <c r="G290" s="91">
        <f>IF(G289&lt;0.005,0,MAX(0,G289*(1+G$6/12)-G$7))</f>
        <v/>
      </c>
      <c r="H290" s="91">
        <f>IF(H289&lt;0.005,0,MAX(0,H289*(1+H$6/12)-H$7))</f>
        <v/>
      </c>
      <c r="I290" s="91">
        <f>IF(I289&lt;0.005,0,MAX(0,I289*(1+I$6/12)-I$7))</f>
        <v/>
      </c>
      <c r="J290" s="91">
        <f>IF(J289&lt;0.005,0,MAX(0,J289*(1+J$6/12)-J$7))</f>
        <v/>
      </c>
      <c r="K290" s="91">
        <f>IF(K289&lt;0.005,0,MAX(0,K289*(1+K$6/12)-K$7))</f>
        <v/>
      </c>
      <c r="L290" s="91">
        <f>IF(L289&lt;0.005,0,MAX(0,L289*(1+L$6/12)-L$7))</f>
        <v/>
      </c>
      <c r="M290" s="91">
        <f>SUMPRODUCT(C289:L289,$C$6:$L$6)/12</f>
        <v/>
      </c>
      <c r="N290" s="88">
        <f>SUM(C290:L290)</f>
        <v/>
      </c>
      <c r="P290" s="92">
        <f>IF(Z289&lt;0.005,0,MAX(0,Z289*(1+Z$6/12)-Z$7))</f>
        <v/>
      </c>
      <c r="Q290" s="92">
        <f>IF(AA289&lt;0.005,0,MAX(0,AA289*(1+AA$6/12)-AA$7))</f>
        <v/>
      </c>
      <c r="R290" s="92">
        <f>IF(AB289&lt;0.005,0,MAX(0,AB289*(1+AB$6/12)-AB$7))</f>
        <v/>
      </c>
      <c r="S290" s="92">
        <f>IF(AC289&lt;0.005,0,MAX(0,AC289*(1+AC$6/12)-AC$7))</f>
        <v/>
      </c>
      <c r="T290" s="92">
        <f>IF(AD289&lt;0.005,0,MAX(0,AD289*(1+AD$6/12)-AD$7))</f>
        <v/>
      </c>
      <c r="U290" s="92">
        <f>IF(AE289&lt;0.005,0,MAX(0,AE289*(1+AE$6/12)-AE$7))</f>
        <v/>
      </c>
      <c r="V290" s="92">
        <f>IF(AF289&lt;0.005,0,MAX(0,AF289*(1+AF$6/12)-AF$7))</f>
        <v/>
      </c>
      <c r="W290" s="92">
        <f>IF(AG289&lt;0.005,0,MAX(0,AG289*(1+AG$6/12)-AG$7))</f>
        <v/>
      </c>
      <c r="X290" s="92">
        <f>IF(AH289&lt;0.005,0,MAX(0,AH289*(1+AH$6/12)-AH$7))</f>
        <v/>
      </c>
      <c r="Y290" s="92">
        <f>IF(AI289&lt;0.005,0,MAX(0,AI289*(1+AI$6/12)-AI$7))</f>
        <v/>
      </c>
      <c r="Z290" s="91">
        <f>MAX(0,P290-MAX(0,AK290-0))</f>
        <v/>
      </c>
      <c r="AA290" s="91">
        <f>MAX(0,Q290-MAX(0,AK290-SUM(P290:P290)))</f>
        <v/>
      </c>
      <c r="AB290" s="91">
        <f>MAX(0,R290-MAX(0,AK290-SUM(P290:Q290)))</f>
        <v/>
      </c>
      <c r="AC290" s="91">
        <f>MAX(0,S290-MAX(0,AK290-SUM(P290:R290)))</f>
        <v/>
      </c>
      <c r="AD290" s="91">
        <f>MAX(0,T290-MAX(0,AK290-SUM(P290:S290)))</f>
        <v/>
      </c>
      <c r="AE290" s="91">
        <f>MAX(0,U290-MAX(0,AK290-SUM(P290:T290)))</f>
        <v/>
      </c>
      <c r="AF290" s="91">
        <f>MAX(0,V290-MAX(0,AK290-SUM(P290:U290)))</f>
        <v/>
      </c>
      <c r="AG290" s="91">
        <f>MAX(0,W290-MAX(0,AK290-SUM(P290:V290)))</f>
        <v/>
      </c>
      <c r="AH290" s="91">
        <f>MAX(0,X290-MAX(0,AK290-SUM(P290:W290)))</f>
        <v/>
      </c>
      <c r="AI290" s="91">
        <f>MAX(0,Y290-MAX(0,AK290-SUM(P290:X290)))</f>
        <v/>
      </c>
      <c r="AJ290" s="92">
        <f>SUM(Z289:AI289)+AL290</f>
        <v/>
      </c>
      <c r="AK290" s="92">
        <f>$AK$7-(AJ290-SUM(P290:Y290))</f>
        <v/>
      </c>
      <c r="AL290" s="91">
        <f>SUMPRODUCT(Z289:AI289,$Z$6:$AI$6)/12</f>
        <v/>
      </c>
      <c r="AM290" s="88">
        <f>SUM(Z290:AI290)</f>
        <v/>
      </c>
      <c r="AO290" s="92">
        <f>IF(AY289&lt;0.005,0,MAX(0,AY289*(1+AY$6/12)-AY$7))</f>
        <v/>
      </c>
      <c r="AP290" s="92">
        <f>IF(AZ289&lt;0.005,0,MAX(0,AZ289*(1+AZ$6/12)-AZ$7))</f>
        <v/>
      </c>
      <c r="AQ290" s="92">
        <f>IF(BA289&lt;0.005,0,MAX(0,BA289*(1+BA$6/12)-BA$7))</f>
        <v/>
      </c>
      <c r="AR290" s="92">
        <f>IF(BB289&lt;0.005,0,MAX(0,BB289*(1+BB$6/12)-BB$7))</f>
        <v/>
      </c>
      <c r="AS290" s="92">
        <f>IF(BC289&lt;0.005,0,MAX(0,BC289*(1+BC$6/12)-BC$7))</f>
        <v/>
      </c>
      <c r="AT290" s="92">
        <f>IF(BD289&lt;0.005,0,MAX(0,BD289*(1+BD$6/12)-BD$7))</f>
        <v/>
      </c>
      <c r="AU290" s="92">
        <f>IF(BE289&lt;0.005,0,MAX(0,BE289*(1+BE$6/12)-BE$7))</f>
        <v/>
      </c>
      <c r="AV290" s="92">
        <f>IF(BF289&lt;0.005,0,MAX(0,BF289*(1+BF$6/12)-BF$7))</f>
        <v/>
      </c>
      <c r="AW290" s="92">
        <f>IF(BG289&lt;0.005,0,MAX(0,BG289*(1+BG$6/12)-BG$7))</f>
        <v/>
      </c>
      <c r="AX290" s="92">
        <f>IF(BH289&lt;0.005,0,MAX(0,BH289*(1+BH$6/12)-BH$7))</f>
        <v/>
      </c>
      <c r="AY290" s="91">
        <f>MAX(0,AO290-MAX(0,BJ290-0))</f>
        <v/>
      </c>
      <c r="AZ290" s="91">
        <f>MAX(0,AP290-MAX(0,BJ290-SUM(AO290:AO290)))</f>
        <v/>
      </c>
      <c r="BA290" s="91">
        <f>MAX(0,AQ290-MAX(0,BJ290-SUM(AO290:AP290)))</f>
        <v/>
      </c>
      <c r="BB290" s="91">
        <f>MAX(0,AR290-MAX(0,BJ290-SUM(AO290:AQ290)))</f>
        <v/>
      </c>
      <c r="BC290" s="91">
        <f>MAX(0,AS290-MAX(0,BJ290-SUM(AO290:AR290)))</f>
        <v/>
      </c>
      <c r="BD290" s="91">
        <f>MAX(0,AT290-MAX(0,BJ290-SUM(AO290:AS290)))</f>
        <v/>
      </c>
      <c r="BE290" s="91">
        <f>MAX(0,AU290-MAX(0,BJ290-SUM(AO290:AT290)))</f>
        <v/>
      </c>
      <c r="BF290" s="91">
        <f>MAX(0,AV290-MAX(0,BJ290-SUM(AO290:AU290)))</f>
        <v/>
      </c>
      <c r="BG290" s="91">
        <f>MAX(0,AW290-MAX(0,BJ290-SUM(AO290:AV290)))</f>
        <v/>
      </c>
      <c r="BH290" s="91">
        <f>MAX(0,AX290-MAX(0,BJ290-SUM(AO290:AW290)))</f>
        <v/>
      </c>
      <c r="BI290" s="92">
        <f>SUM(AY289:BH289)+BK290</f>
        <v/>
      </c>
      <c r="BJ290" s="92">
        <f>$BJ$7-(BI290-SUM(AO290:AX290))</f>
        <v/>
      </c>
      <c r="BK290" s="91">
        <f>SUMPRODUCT(AY289:BH289,$AY$6:$BH$6)/12</f>
        <v/>
      </c>
      <c r="BL290" s="88">
        <f>SUM(AY290:BH290)</f>
        <v/>
      </c>
    </row>
    <row r="291">
      <c r="A291" s="24" t="n">
        <v>281</v>
      </c>
      <c r="B291" s="90">
        <f>DATE(YEAR(Settings!$C$11),MONTH(Settings!$C$11)+A291,1)</f>
        <v/>
      </c>
      <c r="C291" s="91">
        <f>IF(C290&lt;0.005,0,MAX(0,C290*(1+C$6/12)-C$7))</f>
        <v/>
      </c>
      <c r="D291" s="91">
        <f>IF(D290&lt;0.005,0,MAX(0,D290*(1+D$6/12)-D$7))</f>
        <v/>
      </c>
      <c r="E291" s="91">
        <f>IF(E290&lt;0.005,0,MAX(0,E290*(1+E$6/12)-E$7))</f>
        <v/>
      </c>
      <c r="F291" s="91">
        <f>IF(F290&lt;0.005,0,MAX(0,F290*(1+F$6/12)-F$7))</f>
        <v/>
      </c>
      <c r="G291" s="91">
        <f>IF(G290&lt;0.005,0,MAX(0,G290*(1+G$6/12)-G$7))</f>
        <v/>
      </c>
      <c r="H291" s="91">
        <f>IF(H290&lt;0.005,0,MAX(0,H290*(1+H$6/12)-H$7))</f>
        <v/>
      </c>
      <c r="I291" s="91">
        <f>IF(I290&lt;0.005,0,MAX(0,I290*(1+I$6/12)-I$7))</f>
        <v/>
      </c>
      <c r="J291" s="91">
        <f>IF(J290&lt;0.005,0,MAX(0,J290*(1+J$6/12)-J$7))</f>
        <v/>
      </c>
      <c r="K291" s="91">
        <f>IF(K290&lt;0.005,0,MAX(0,K290*(1+K$6/12)-K$7))</f>
        <v/>
      </c>
      <c r="L291" s="91">
        <f>IF(L290&lt;0.005,0,MAX(0,L290*(1+L$6/12)-L$7))</f>
        <v/>
      </c>
      <c r="M291" s="91">
        <f>SUMPRODUCT(C290:L290,$C$6:$L$6)/12</f>
        <v/>
      </c>
      <c r="N291" s="88">
        <f>SUM(C291:L291)</f>
        <v/>
      </c>
      <c r="P291" s="92">
        <f>IF(Z290&lt;0.005,0,MAX(0,Z290*(1+Z$6/12)-Z$7))</f>
        <v/>
      </c>
      <c r="Q291" s="92">
        <f>IF(AA290&lt;0.005,0,MAX(0,AA290*(1+AA$6/12)-AA$7))</f>
        <v/>
      </c>
      <c r="R291" s="92">
        <f>IF(AB290&lt;0.005,0,MAX(0,AB290*(1+AB$6/12)-AB$7))</f>
        <v/>
      </c>
      <c r="S291" s="92">
        <f>IF(AC290&lt;0.005,0,MAX(0,AC290*(1+AC$6/12)-AC$7))</f>
        <v/>
      </c>
      <c r="T291" s="92">
        <f>IF(AD290&lt;0.005,0,MAX(0,AD290*(1+AD$6/12)-AD$7))</f>
        <v/>
      </c>
      <c r="U291" s="92">
        <f>IF(AE290&lt;0.005,0,MAX(0,AE290*(1+AE$6/12)-AE$7))</f>
        <v/>
      </c>
      <c r="V291" s="92">
        <f>IF(AF290&lt;0.005,0,MAX(0,AF290*(1+AF$6/12)-AF$7))</f>
        <v/>
      </c>
      <c r="W291" s="92">
        <f>IF(AG290&lt;0.005,0,MAX(0,AG290*(1+AG$6/12)-AG$7))</f>
        <v/>
      </c>
      <c r="X291" s="92">
        <f>IF(AH290&lt;0.005,0,MAX(0,AH290*(1+AH$6/12)-AH$7))</f>
        <v/>
      </c>
      <c r="Y291" s="92">
        <f>IF(AI290&lt;0.005,0,MAX(0,AI290*(1+AI$6/12)-AI$7))</f>
        <v/>
      </c>
      <c r="Z291" s="91">
        <f>MAX(0,P291-MAX(0,AK291-0))</f>
        <v/>
      </c>
      <c r="AA291" s="91">
        <f>MAX(0,Q291-MAX(0,AK291-SUM(P291:P291)))</f>
        <v/>
      </c>
      <c r="AB291" s="91">
        <f>MAX(0,R291-MAX(0,AK291-SUM(P291:Q291)))</f>
        <v/>
      </c>
      <c r="AC291" s="91">
        <f>MAX(0,S291-MAX(0,AK291-SUM(P291:R291)))</f>
        <v/>
      </c>
      <c r="AD291" s="91">
        <f>MAX(0,T291-MAX(0,AK291-SUM(P291:S291)))</f>
        <v/>
      </c>
      <c r="AE291" s="91">
        <f>MAX(0,U291-MAX(0,AK291-SUM(P291:T291)))</f>
        <v/>
      </c>
      <c r="AF291" s="91">
        <f>MAX(0,V291-MAX(0,AK291-SUM(P291:U291)))</f>
        <v/>
      </c>
      <c r="AG291" s="91">
        <f>MAX(0,W291-MAX(0,AK291-SUM(P291:V291)))</f>
        <v/>
      </c>
      <c r="AH291" s="91">
        <f>MAX(0,X291-MAX(0,AK291-SUM(P291:W291)))</f>
        <v/>
      </c>
      <c r="AI291" s="91">
        <f>MAX(0,Y291-MAX(0,AK291-SUM(P291:X291)))</f>
        <v/>
      </c>
      <c r="AJ291" s="92">
        <f>SUM(Z290:AI290)+AL291</f>
        <v/>
      </c>
      <c r="AK291" s="92">
        <f>$AK$7-(AJ291-SUM(P291:Y291))</f>
        <v/>
      </c>
      <c r="AL291" s="91">
        <f>SUMPRODUCT(Z290:AI290,$Z$6:$AI$6)/12</f>
        <v/>
      </c>
      <c r="AM291" s="88">
        <f>SUM(Z291:AI291)</f>
        <v/>
      </c>
      <c r="AO291" s="92">
        <f>IF(AY290&lt;0.005,0,MAX(0,AY290*(1+AY$6/12)-AY$7))</f>
        <v/>
      </c>
      <c r="AP291" s="92">
        <f>IF(AZ290&lt;0.005,0,MAX(0,AZ290*(1+AZ$6/12)-AZ$7))</f>
        <v/>
      </c>
      <c r="AQ291" s="92">
        <f>IF(BA290&lt;0.005,0,MAX(0,BA290*(1+BA$6/12)-BA$7))</f>
        <v/>
      </c>
      <c r="AR291" s="92">
        <f>IF(BB290&lt;0.005,0,MAX(0,BB290*(1+BB$6/12)-BB$7))</f>
        <v/>
      </c>
      <c r="AS291" s="92">
        <f>IF(BC290&lt;0.005,0,MAX(0,BC290*(1+BC$6/12)-BC$7))</f>
        <v/>
      </c>
      <c r="AT291" s="92">
        <f>IF(BD290&lt;0.005,0,MAX(0,BD290*(1+BD$6/12)-BD$7))</f>
        <v/>
      </c>
      <c r="AU291" s="92">
        <f>IF(BE290&lt;0.005,0,MAX(0,BE290*(1+BE$6/12)-BE$7))</f>
        <v/>
      </c>
      <c r="AV291" s="92">
        <f>IF(BF290&lt;0.005,0,MAX(0,BF290*(1+BF$6/12)-BF$7))</f>
        <v/>
      </c>
      <c r="AW291" s="92">
        <f>IF(BG290&lt;0.005,0,MAX(0,BG290*(1+BG$6/12)-BG$7))</f>
        <v/>
      </c>
      <c r="AX291" s="92">
        <f>IF(BH290&lt;0.005,0,MAX(0,BH290*(1+BH$6/12)-BH$7))</f>
        <v/>
      </c>
      <c r="AY291" s="91">
        <f>MAX(0,AO291-MAX(0,BJ291-0))</f>
        <v/>
      </c>
      <c r="AZ291" s="91">
        <f>MAX(0,AP291-MAX(0,BJ291-SUM(AO291:AO291)))</f>
        <v/>
      </c>
      <c r="BA291" s="91">
        <f>MAX(0,AQ291-MAX(0,BJ291-SUM(AO291:AP291)))</f>
        <v/>
      </c>
      <c r="BB291" s="91">
        <f>MAX(0,AR291-MAX(0,BJ291-SUM(AO291:AQ291)))</f>
        <v/>
      </c>
      <c r="BC291" s="91">
        <f>MAX(0,AS291-MAX(0,BJ291-SUM(AO291:AR291)))</f>
        <v/>
      </c>
      <c r="BD291" s="91">
        <f>MAX(0,AT291-MAX(0,BJ291-SUM(AO291:AS291)))</f>
        <v/>
      </c>
      <c r="BE291" s="91">
        <f>MAX(0,AU291-MAX(0,BJ291-SUM(AO291:AT291)))</f>
        <v/>
      </c>
      <c r="BF291" s="91">
        <f>MAX(0,AV291-MAX(0,BJ291-SUM(AO291:AU291)))</f>
        <v/>
      </c>
      <c r="BG291" s="91">
        <f>MAX(0,AW291-MAX(0,BJ291-SUM(AO291:AV291)))</f>
        <v/>
      </c>
      <c r="BH291" s="91">
        <f>MAX(0,AX291-MAX(0,BJ291-SUM(AO291:AW291)))</f>
        <v/>
      </c>
      <c r="BI291" s="92">
        <f>SUM(AY290:BH290)+BK291</f>
        <v/>
      </c>
      <c r="BJ291" s="92">
        <f>$BJ$7-(BI291-SUM(AO291:AX291))</f>
        <v/>
      </c>
      <c r="BK291" s="91">
        <f>SUMPRODUCT(AY290:BH290,$AY$6:$BH$6)/12</f>
        <v/>
      </c>
      <c r="BL291" s="88">
        <f>SUM(AY291:BH291)</f>
        <v/>
      </c>
    </row>
    <row r="292">
      <c r="A292" s="24" t="n">
        <v>282</v>
      </c>
      <c r="B292" s="90">
        <f>DATE(YEAR(Settings!$C$11),MONTH(Settings!$C$11)+A292,1)</f>
        <v/>
      </c>
      <c r="C292" s="91">
        <f>IF(C291&lt;0.005,0,MAX(0,C291*(1+C$6/12)-C$7))</f>
        <v/>
      </c>
      <c r="D292" s="91">
        <f>IF(D291&lt;0.005,0,MAX(0,D291*(1+D$6/12)-D$7))</f>
        <v/>
      </c>
      <c r="E292" s="91">
        <f>IF(E291&lt;0.005,0,MAX(0,E291*(1+E$6/12)-E$7))</f>
        <v/>
      </c>
      <c r="F292" s="91">
        <f>IF(F291&lt;0.005,0,MAX(0,F291*(1+F$6/12)-F$7))</f>
        <v/>
      </c>
      <c r="G292" s="91">
        <f>IF(G291&lt;0.005,0,MAX(0,G291*(1+G$6/12)-G$7))</f>
        <v/>
      </c>
      <c r="H292" s="91">
        <f>IF(H291&lt;0.005,0,MAX(0,H291*(1+H$6/12)-H$7))</f>
        <v/>
      </c>
      <c r="I292" s="91">
        <f>IF(I291&lt;0.005,0,MAX(0,I291*(1+I$6/12)-I$7))</f>
        <v/>
      </c>
      <c r="J292" s="91">
        <f>IF(J291&lt;0.005,0,MAX(0,J291*(1+J$6/12)-J$7))</f>
        <v/>
      </c>
      <c r="K292" s="91">
        <f>IF(K291&lt;0.005,0,MAX(0,K291*(1+K$6/12)-K$7))</f>
        <v/>
      </c>
      <c r="L292" s="91">
        <f>IF(L291&lt;0.005,0,MAX(0,L291*(1+L$6/12)-L$7))</f>
        <v/>
      </c>
      <c r="M292" s="91">
        <f>SUMPRODUCT(C291:L291,$C$6:$L$6)/12</f>
        <v/>
      </c>
      <c r="N292" s="88">
        <f>SUM(C292:L292)</f>
        <v/>
      </c>
      <c r="P292" s="92">
        <f>IF(Z291&lt;0.005,0,MAX(0,Z291*(1+Z$6/12)-Z$7))</f>
        <v/>
      </c>
      <c r="Q292" s="92">
        <f>IF(AA291&lt;0.005,0,MAX(0,AA291*(1+AA$6/12)-AA$7))</f>
        <v/>
      </c>
      <c r="R292" s="92">
        <f>IF(AB291&lt;0.005,0,MAX(0,AB291*(1+AB$6/12)-AB$7))</f>
        <v/>
      </c>
      <c r="S292" s="92">
        <f>IF(AC291&lt;0.005,0,MAX(0,AC291*(1+AC$6/12)-AC$7))</f>
        <v/>
      </c>
      <c r="T292" s="92">
        <f>IF(AD291&lt;0.005,0,MAX(0,AD291*(1+AD$6/12)-AD$7))</f>
        <v/>
      </c>
      <c r="U292" s="92">
        <f>IF(AE291&lt;0.005,0,MAX(0,AE291*(1+AE$6/12)-AE$7))</f>
        <v/>
      </c>
      <c r="V292" s="92">
        <f>IF(AF291&lt;0.005,0,MAX(0,AF291*(1+AF$6/12)-AF$7))</f>
        <v/>
      </c>
      <c r="W292" s="92">
        <f>IF(AG291&lt;0.005,0,MAX(0,AG291*(1+AG$6/12)-AG$7))</f>
        <v/>
      </c>
      <c r="X292" s="92">
        <f>IF(AH291&lt;0.005,0,MAX(0,AH291*(1+AH$6/12)-AH$7))</f>
        <v/>
      </c>
      <c r="Y292" s="92">
        <f>IF(AI291&lt;0.005,0,MAX(0,AI291*(1+AI$6/12)-AI$7))</f>
        <v/>
      </c>
      <c r="Z292" s="91">
        <f>MAX(0,P292-MAX(0,AK292-0))</f>
        <v/>
      </c>
      <c r="AA292" s="91">
        <f>MAX(0,Q292-MAX(0,AK292-SUM(P292:P292)))</f>
        <v/>
      </c>
      <c r="AB292" s="91">
        <f>MAX(0,R292-MAX(0,AK292-SUM(P292:Q292)))</f>
        <v/>
      </c>
      <c r="AC292" s="91">
        <f>MAX(0,S292-MAX(0,AK292-SUM(P292:R292)))</f>
        <v/>
      </c>
      <c r="AD292" s="91">
        <f>MAX(0,T292-MAX(0,AK292-SUM(P292:S292)))</f>
        <v/>
      </c>
      <c r="AE292" s="91">
        <f>MAX(0,U292-MAX(0,AK292-SUM(P292:T292)))</f>
        <v/>
      </c>
      <c r="AF292" s="91">
        <f>MAX(0,V292-MAX(0,AK292-SUM(P292:U292)))</f>
        <v/>
      </c>
      <c r="AG292" s="91">
        <f>MAX(0,W292-MAX(0,AK292-SUM(P292:V292)))</f>
        <v/>
      </c>
      <c r="AH292" s="91">
        <f>MAX(0,X292-MAX(0,AK292-SUM(P292:W292)))</f>
        <v/>
      </c>
      <c r="AI292" s="91">
        <f>MAX(0,Y292-MAX(0,AK292-SUM(P292:X292)))</f>
        <v/>
      </c>
      <c r="AJ292" s="92">
        <f>SUM(Z291:AI291)+AL292</f>
        <v/>
      </c>
      <c r="AK292" s="92">
        <f>$AK$7-(AJ292-SUM(P292:Y292))</f>
        <v/>
      </c>
      <c r="AL292" s="91">
        <f>SUMPRODUCT(Z291:AI291,$Z$6:$AI$6)/12</f>
        <v/>
      </c>
      <c r="AM292" s="88">
        <f>SUM(Z292:AI292)</f>
        <v/>
      </c>
      <c r="AO292" s="92">
        <f>IF(AY291&lt;0.005,0,MAX(0,AY291*(1+AY$6/12)-AY$7))</f>
        <v/>
      </c>
      <c r="AP292" s="92">
        <f>IF(AZ291&lt;0.005,0,MAX(0,AZ291*(1+AZ$6/12)-AZ$7))</f>
        <v/>
      </c>
      <c r="AQ292" s="92">
        <f>IF(BA291&lt;0.005,0,MAX(0,BA291*(1+BA$6/12)-BA$7))</f>
        <v/>
      </c>
      <c r="AR292" s="92">
        <f>IF(BB291&lt;0.005,0,MAX(0,BB291*(1+BB$6/12)-BB$7))</f>
        <v/>
      </c>
      <c r="AS292" s="92">
        <f>IF(BC291&lt;0.005,0,MAX(0,BC291*(1+BC$6/12)-BC$7))</f>
        <v/>
      </c>
      <c r="AT292" s="92">
        <f>IF(BD291&lt;0.005,0,MAX(0,BD291*(1+BD$6/12)-BD$7))</f>
        <v/>
      </c>
      <c r="AU292" s="92">
        <f>IF(BE291&lt;0.005,0,MAX(0,BE291*(1+BE$6/12)-BE$7))</f>
        <v/>
      </c>
      <c r="AV292" s="92">
        <f>IF(BF291&lt;0.005,0,MAX(0,BF291*(1+BF$6/12)-BF$7))</f>
        <v/>
      </c>
      <c r="AW292" s="92">
        <f>IF(BG291&lt;0.005,0,MAX(0,BG291*(1+BG$6/12)-BG$7))</f>
        <v/>
      </c>
      <c r="AX292" s="92">
        <f>IF(BH291&lt;0.005,0,MAX(0,BH291*(1+BH$6/12)-BH$7))</f>
        <v/>
      </c>
      <c r="AY292" s="91">
        <f>MAX(0,AO292-MAX(0,BJ292-0))</f>
        <v/>
      </c>
      <c r="AZ292" s="91">
        <f>MAX(0,AP292-MAX(0,BJ292-SUM(AO292:AO292)))</f>
        <v/>
      </c>
      <c r="BA292" s="91">
        <f>MAX(0,AQ292-MAX(0,BJ292-SUM(AO292:AP292)))</f>
        <v/>
      </c>
      <c r="BB292" s="91">
        <f>MAX(0,AR292-MAX(0,BJ292-SUM(AO292:AQ292)))</f>
        <v/>
      </c>
      <c r="BC292" s="91">
        <f>MAX(0,AS292-MAX(0,BJ292-SUM(AO292:AR292)))</f>
        <v/>
      </c>
      <c r="BD292" s="91">
        <f>MAX(0,AT292-MAX(0,BJ292-SUM(AO292:AS292)))</f>
        <v/>
      </c>
      <c r="BE292" s="91">
        <f>MAX(0,AU292-MAX(0,BJ292-SUM(AO292:AT292)))</f>
        <v/>
      </c>
      <c r="BF292" s="91">
        <f>MAX(0,AV292-MAX(0,BJ292-SUM(AO292:AU292)))</f>
        <v/>
      </c>
      <c r="BG292" s="91">
        <f>MAX(0,AW292-MAX(0,BJ292-SUM(AO292:AV292)))</f>
        <v/>
      </c>
      <c r="BH292" s="91">
        <f>MAX(0,AX292-MAX(0,BJ292-SUM(AO292:AW292)))</f>
        <v/>
      </c>
      <c r="BI292" s="92">
        <f>SUM(AY291:BH291)+BK292</f>
        <v/>
      </c>
      <c r="BJ292" s="92">
        <f>$BJ$7-(BI292-SUM(AO292:AX292))</f>
        <v/>
      </c>
      <c r="BK292" s="91">
        <f>SUMPRODUCT(AY291:BH291,$AY$6:$BH$6)/12</f>
        <v/>
      </c>
      <c r="BL292" s="88">
        <f>SUM(AY292:BH292)</f>
        <v/>
      </c>
    </row>
    <row r="293">
      <c r="A293" s="24" t="n">
        <v>283</v>
      </c>
      <c r="B293" s="90">
        <f>DATE(YEAR(Settings!$C$11),MONTH(Settings!$C$11)+A293,1)</f>
        <v/>
      </c>
      <c r="C293" s="91">
        <f>IF(C292&lt;0.005,0,MAX(0,C292*(1+C$6/12)-C$7))</f>
        <v/>
      </c>
      <c r="D293" s="91">
        <f>IF(D292&lt;0.005,0,MAX(0,D292*(1+D$6/12)-D$7))</f>
        <v/>
      </c>
      <c r="E293" s="91">
        <f>IF(E292&lt;0.005,0,MAX(0,E292*(1+E$6/12)-E$7))</f>
        <v/>
      </c>
      <c r="F293" s="91">
        <f>IF(F292&lt;0.005,0,MAX(0,F292*(1+F$6/12)-F$7))</f>
        <v/>
      </c>
      <c r="G293" s="91">
        <f>IF(G292&lt;0.005,0,MAX(0,G292*(1+G$6/12)-G$7))</f>
        <v/>
      </c>
      <c r="H293" s="91">
        <f>IF(H292&lt;0.005,0,MAX(0,H292*(1+H$6/12)-H$7))</f>
        <v/>
      </c>
      <c r="I293" s="91">
        <f>IF(I292&lt;0.005,0,MAX(0,I292*(1+I$6/12)-I$7))</f>
        <v/>
      </c>
      <c r="J293" s="91">
        <f>IF(J292&lt;0.005,0,MAX(0,J292*(1+J$6/12)-J$7))</f>
        <v/>
      </c>
      <c r="K293" s="91">
        <f>IF(K292&lt;0.005,0,MAX(0,K292*(1+K$6/12)-K$7))</f>
        <v/>
      </c>
      <c r="L293" s="91">
        <f>IF(L292&lt;0.005,0,MAX(0,L292*(1+L$6/12)-L$7))</f>
        <v/>
      </c>
      <c r="M293" s="91">
        <f>SUMPRODUCT(C292:L292,$C$6:$L$6)/12</f>
        <v/>
      </c>
      <c r="N293" s="88">
        <f>SUM(C293:L293)</f>
        <v/>
      </c>
      <c r="P293" s="92">
        <f>IF(Z292&lt;0.005,0,MAX(0,Z292*(1+Z$6/12)-Z$7))</f>
        <v/>
      </c>
      <c r="Q293" s="92">
        <f>IF(AA292&lt;0.005,0,MAX(0,AA292*(1+AA$6/12)-AA$7))</f>
        <v/>
      </c>
      <c r="R293" s="92">
        <f>IF(AB292&lt;0.005,0,MAX(0,AB292*(1+AB$6/12)-AB$7))</f>
        <v/>
      </c>
      <c r="S293" s="92">
        <f>IF(AC292&lt;0.005,0,MAX(0,AC292*(1+AC$6/12)-AC$7))</f>
        <v/>
      </c>
      <c r="T293" s="92">
        <f>IF(AD292&lt;0.005,0,MAX(0,AD292*(1+AD$6/12)-AD$7))</f>
        <v/>
      </c>
      <c r="U293" s="92">
        <f>IF(AE292&lt;0.005,0,MAX(0,AE292*(1+AE$6/12)-AE$7))</f>
        <v/>
      </c>
      <c r="V293" s="92">
        <f>IF(AF292&lt;0.005,0,MAX(0,AF292*(1+AF$6/12)-AF$7))</f>
        <v/>
      </c>
      <c r="W293" s="92">
        <f>IF(AG292&lt;0.005,0,MAX(0,AG292*(1+AG$6/12)-AG$7))</f>
        <v/>
      </c>
      <c r="X293" s="92">
        <f>IF(AH292&lt;0.005,0,MAX(0,AH292*(1+AH$6/12)-AH$7))</f>
        <v/>
      </c>
      <c r="Y293" s="92">
        <f>IF(AI292&lt;0.005,0,MAX(0,AI292*(1+AI$6/12)-AI$7))</f>
        <v/>
      </c>
      <c r="Z293" s="91">
        <f>MAX(0,P293-MAX(0,AK293-0))</f>
        <v/>
      </c>
      <c r="AA293" s="91">
        <f>MAX(0,Q293-MAX(0,AK293-SUM(P293:P293)))</f>
        <v/>
      </c>
      <c r="AB293" s="91">
        <f>MAX(0,R293-MAX(0,AK293-SUM(P293:Q293)))</f>
        <v/>
      </c>
      <c r="AC293" s="91">
        <f>MAX(0,S293-MAX(0,AK293-SUM(P293:R293)))</f>
        <v/>
      </c>
      <c r="AD293" s="91">
        <f>MAX(0,T293-MAX(0,AK293-SUM(P293:S293)))</f>
        <v/>
      </c>
      <c r="AE293" s="91">
        <f>MAX(0,U293-MAX(0,AK293-SUM(P293:T293)))</f>
        <v/>
      </c>
      <c r="AF293" s="91">
        <f>MAX(0,V293-MAX(0,AK293-SUM(P293:U293)))</f>
        <v/>
      </c>
      <c r="AG293" s="91">
        <f>MAX(0,W293-MAX(0,AK293-SUM(P293:V293)))</f>
        <v/>
      </c>
      <c r="AH293" s="91">
        <f>MAX(0,X293-MAX(0,AK293-SUM(P293:W293)))</f>
        <v/>
      </c>
      <c r="AI293" s="91">
        <f>MAX(0,Y293-MAX(0,AK293-SUM(P293:X293)))</f>
        <v/>
      </c>
      <c r="AJ293" s="92">
        <f>SUM(Z292:AI292)+AL293</f>
        <v/>
      </c>
      <c r="AK293" s="92">
        <f>$AK$7-(AJ293-SUM(P293:Y293))</f>
        <v/>
      </c>
      <c r="AL293" s="91">
        <f>SUMPRODUCT(Z292:AI292,$Z$6:$AI$6)/12</f>
        <v/>
      </c>
      <c r="AM293" s="88">
        <f>SUM(Z293:AI293)</f>
        <v/>
      </c>
      <c r="AO293" s="92">
        <f>IF(AY292&lt;0.005,0,MAX(0,AY292*(1+AY$6/12)-AY$7))</f>
        <v/>
      </c>
      <c r="AP293" s="92">
        <f>IF(AZ292&lt;0.005,0,MAX(0,AZ292*(1+AZ$6/12)-AZ$7))</f>
        <v/>
      </c>
      <c r="AQ293" s="92">
        <f>IF(BA292&lt;0.005,0,MAX(0,BA292*(1+BA$6/12)-BA$7))</f>
        <v/>
      </c>
      <c r="AR293" s="92">
        <f>IF(BB292&lt;0.005,0,MAX(0,BB292*(1+BB$6/12)-BB$7))</f>
        <v/>
      </c>
      <c r="AS293" s="92">
        <f>IF(BC292&lt;0.005,0,MAX(0,BC292*(1+BC$6/12)-BC$7))</f>
        <v/>
      </c>
      <c r="AT293" s="92">
        <f>IF(BD292&lt;0.005,0,MAX(0,BD292*(1+BD$6/12)-BD$7))</f>
        <v/>
      </c>
      <c r="AU293" s="92">
        <f>IF(BE292&lt;0.005,0,MAX(0,BE292*(1+BE$6/12)-BE$7))</f>
        <v/>
      </c>
      <c r="AV293" s="92">
        <f>IF(BF292&lt;0.005,0,MAX(0,BF292*(1+BF$6/12)-BF$7))</f>
        <v/>
      </c>
      <c r="AW293" s="92">
        <f>IF(BG292&lt;0.005,0,MAX(0,BG292*(1+BG$6/12)-BG$7))</f>
        <v/>
      </c>
      <c r="AX293" s="92">
        <f>IF(BH292&lt;0.005,0,MAX(0,BH292*(1+BH$6/12)-BH$7))</f>
        <v/>
      </c>
      <c r="AY293" s="91">
        <f>MAX(0,AO293-MAX(0,BJ293-0))</f>
        <v/>
      </c>
      <c r="AZ293" s="91">
        <f>MAX(0,AP293-MAX(0,BJ293-SUM(AO293:AO293)))</f>
        <v/>
      </c>
      <c r="BA293" s="91">
        <f>MAX(0,AQ293-MAX(0,BJ293-SUM(AO293:AP293)))</f>
        <v/>
      </c>
      <c r="BB293" s="91">
        <f>MAX(0,AR293-MAX(0,BJ293-SUM(AO293:AQ293)))</f>
        <v/>
      </c>
      <c r="BC293" s="91">
        <f>MAX(0,AS293-MAX(0,BJ293-SUM(AO293:AR293)))</f>
        <v/>
      </c>
      <c r="BD293" s="91">
        <f>MAX(0,AT293-MAX(0,BJ293-SUM(AO293:AS293)))</f>
        <v/>
      </c>
      <c r="BE293" s="91">
        <f>MAX(0,AU293-MAX(0,BJ293-SUM(AO293:AT293)))</f>
        <v/>
      </c>
      <c r="BF293" s="91">
        <f>MAX(0,AV293-MAX(0,BJ293-SUM(AO293:AU293)))</f>
        <v/>
      </c>
      <c r="BG293" s="91">
        <f>MAX(0,AW293-MAX(0,BJ293-SUM(AO293:AV293)))</f>
        <v/>
      </c>
      <c r="BH293" s="91">
        <f>MAX(0,AX293-MAX(0,BJ293-SUM(AO293:AW293)))</f>
        <v/>
      </c>
      <c r="BI293" s="92">
        <f>SUM(AY292:BH292)+BK293</f>
        <v/>
      </c>
      <c r="BJ293" s="92">
        <f>$BJ$7-(BI293-SUM(AO293:AX293))</f>
        <v/>
      </c>
      <c r="BK293" s="91">
        <f>SUMPRODUCT(AY292:BH292,$AY$6:$BH$6)/12</f>
        <v/>
      </c>
      <c r="BL293" s="88">
        <f>SUM(AY293:BH293)</f>
        <v/>
      </c>
    </row>
    <row r="294">
      <c r="A294" s="24" t="n">
        <v>284</v>
      </c>
      <c r="B294" s="90">
        <f>DATE(YEAR(Settings!$C$11),MONTH(Settings!$C$11)+A294,1)</f>
        <v/>
      </c>
      <c r="C294" s="91">
        <f>IF(C293&lt;0.005,0,MAX(0,C293*(1+C$6/12)-C$7))</f>
        <v/>
      </c>
      <c r="D294" s="91">
        <f>IF(D293&lt;0.005,0,MAX(0,D293*(1+D$6/12)-D$7))</f>
        <v/>
      </c>
      <c r="E294" s="91">
        <f>IF(E293&lt;0.005,0,MAX(0,E293*(1+E$6/12)-E$7))</f>
        <v/>
      </c>
      <c r="F294" s="91">
        <f>IF(F293&lt;0.005,0,MAX(0,F293*(1+F$6/12)-F$7))</f>
        <v/>
      </c>
      <c r="G294" s="91">
        <f>IF(G293&lt;0.005,0,MAX(0,G293*(1+G$6/12)-G$7))</f>
        <v/>
      </c>
      <c r="H294" s="91">
        <f>IF(H293&lt;0.005,0,MAX(0,H293*(1+H$6/12)-H$7))</f>
        <v/>
      </c>
      <c r="I294" s="91">
        <f>IF(I293&lt;0.005,0,MAX(0,I293*(1+I$6/12)-I$7))</f>
        <v/>
      </c>
      <c r="J294" s="91">
        <f>IF(J293&lt;0.005,0,MAX(0,J293*(1+J$6/12)-J$7))</f>
        <v/>
      </c>
      <c r="K294" s="91">
        <f>IF(K293&lt;0.005,0,MAX(0,K293*(1+K$6/12)-K$7))</f>
        <v/>
      </c>
      <c r="L294" s="91">
        <f>IF(L293&lt;0.005,0,MAX(0,L293*(1+L$6/12)-L$7))</f>
        <v/>
      </c>
      <c r="M294" s="91">
        <f>SUMPRODUCT(C293:L293,$C$6:$L$6)/12</f>
        <v/>
      </c>
      <c r="N294" s="88">
        <f>SUM(C294:L294)</f>
        <v/>
      </c>
      <c r="P294" s="92">
        <f>IF(Z293&lt;0.005,0,MAX(0,Z293*(1+Z$6/12)-Z$7))</f>
        <v/>
      </c>
      <c r="Q294" s="92">
        <f>IF(AA293&lt;0.005,0,MAX(0,AA293*(1+AA$6/12)-AA$7))</f>
        <v/>
      </c>
      <c r="R294" s="92">
        <f>IF(AB293&lt;0.005,0,MAX(0,AB293*(1+AB$6/12)-AB$7))</f>
        <v/>
      </c>
      <c r="S294" s="92">
        <f>IF(AC293&lt;0.005,0,MAX(0,AC293*(1+AC$6/12)-AC$7))</f>
        <v/>
      </c>
      <c r="T294" s="92">
        <f>IF(AD293&lt;0.005,0,MAX(0,AD293*(1+AD$6/12)-AD$7))</f>
        <v/>
      </c>
      <c r="U294" s="92">
        <f>IF(AE293&lt;0.005,0,MAX(0,AE293*(1+AE$6/12)-AE$7))</f>
        <v/>
      </c>
      <c r="V294" s="92">
        <f>IF(AF293&lt;0.005,0,MAX(0,AF293*(1+AF$6/12)-AF$7))</f>
        <v/>
      </c>
      <c r="W294" s="92">
        <f>IF(AG293&lt;0.005,0,MAX(0,AG293*(1+AG$6/12)-AG$7))</f>
        <v/>
      </c>
      <c r="X294" s="92">
        <f>IF(AH293&lt;0.005,0,MAX(0,AH293*(1+AH$6/12)-AH$7))</f>
        <v/>
      </c>
      <c r="Y294" s="92">
        <f>IF(AI293&lt;0.005,0,MAX(0,AI293*(1+AI$6/12)-AI$7))</f>
        <v/>
      </c>
      <c r="Z294" s="91">
        <f>MAX(0,P294-MAX(0,AK294-0))</f>
        <v/>
      </c>
      <c r="AA294" s="91">
        <f>MAX(0,Q294-MAX(0,AK294-SUM(P294:P294)))</f>
        <v/>
      </c>
      <c r="AB294" s="91">
        <f>MAX(0,R294-MAX(0,AK294-SUM(P294:Q294)))</f>
        <v/>
      </c>
      <c r="AC294" s="91">
        <f>MAX(0,S294-MAX(0,AK294-SUM(P294:R294)))</f>
        <v/>
      </c>
      <c r="AD294" s="91">
        <f>MAX(0,T294-MAX(0,AK294-SUM(P294:S294)))</f>
        <v/>
      </c>
      <c r="AE294" s="91">
        <f>MAX(0,U294-MAX(0,AK294-SUM(P294:T294)))</f>
        <v/>
      </c>
      <c r="AF294" s="91">
        <f>MAX(0,V294-MAX(0,AK294-SUM(P294:U294)))</f>
        <v/>
      </c>
      <c r="AG294" s="91">
        <f>MAX(0,W294-MAX(0,AK294-SUM(P294:V294)))</f>
        <v/>
      </c>
      <c r="AH294" s="91">
        <f>MAX(0,X294-MAX(0,AK294-SUM(P294:W294)))</f>
        <v/>
      </c>
      <c r="AI294" s="91">
        <f>MAX(0,Y294-MAX(0,AK294-SUM(P294:X294)))</f>
        <v/>
      </c>
      <c r="AJ294" s="92">
        <f>SUM(Z293:AI293)+AL294</f>
        <v/>
      </c>
      <c r="AK294" s="92">
        <f>$AK$7-(AJ294-SUM(P294:Y294))</f>
        <v/>
      </c>
      <c r="AL294" s="91">
        <f>SUMPRODUCT(Z293:AI293,$Z$6:$AI$6)/12</f>
        <v/>
      </c>
      <c r="AM294" s="88">
        <f>SUM(Z294:AI294)</f>
        <v/>
      </c>
      <c r="AO294" s="92">
        <f>IF(AY293&lt;0.005,0,MAX(0,AY293*(1+AY$6/12)-AY$7))</f>
        <v/>
      </c>
      <c r="AP294" s="92">
        <f>IF(AZ293&lt;0.005,0,MAX(0,AZ293*(1+AZ$6/12)-AZ$7))</f>
        <v/>
      </c>
      <c r="AQ294" s="92">
        <f>IF(BA293&lt;0.005,0,MAX(0,BA293*(1+BA$6/12)-BA$7))</f>
        <v/>
      </c>
      <c r="AR294" s="92">
        <f>IF(BB293&lt;0.005,0,MAX(0,BB293*(1+BB$6/12)-BB$7))</f>
        <v/>
      </c>
      <c r="AS294" s="92">
        <f>IF(BC293&lt;0.005,0,MAX(0,BC293*(1+BC$6/12)-BC$7))</f>
        <v/>
      </c>
      <c r="AT294" s="92">
        <f>IF(BD293&lt;0.005,0,MAX(0,BD293*(1+BD$6/12)-BD$7))</f>
        <v/>
      </c>
      <c r="AU294" s="92">
        <f>IF(BE293&lt;0.005,0,MAX(0,BE293*(1+BE$6/12)-BE$7))</f>
        <v/>
      </c>
      <c r="AV294" s="92">
        <f>IF(BF293&lt;0.005,0,MAX(0,BF293*(1+BF$6/12)-BF$7))</f>
        <v/>
      </c>
      <c r="AW294" s="92">
        <f>IF(BG293&lt;0.005,0,MAX(0,BG293*(1+BG$6/12)-BG$7))</f>
        <v/>
      </c>
      <c r="AX294" s="92">
        <f>IF(BH293&lt;0.005,0,MAX(0,BH293*(1+BH$6/12)-BH$7))</f>
        <v/>
      </c>
      <c r="AY294" s="91">
        <f>MAX(0,AO294-MAX(0,BJ294-0))</f>
        <v/>
      </c>
      <c r="AZ294" s="91">
        <f>MAX(0,AP294-MAX(0,BJ294-SUM(AO294:AO294)))</f>
        <v/>
      </c>
      <c r="BA294" s="91">
        <f>MAX(0,AQ294-MAX(0,BJ294-SUM(AO294:AP294)))</f>
        <v/>
      </c>
      <c r="BB294" s="91">
        <f>MAX(0,AR294-MAX(0,BJ294-SUM(AO294:AQ294)))</f>
        <v/>
      </c>
      <c r="BC294" s="91">
        <f>MAX(0,AS294-MAX(0,BJ294-SUM(AO294:AR294)))</f>
        <v/>
      </c>
      <c r="BD294" s="91">
        <f>MAX(0,AT294-MAX(0,BJ294-SUM(AO294:AS294)))</f>
        <v/>
      </c>
      <c r="BE294" s="91">
        <f>MAX(0,AU294-MAX(0,BJ294-SUM(AO294:AT294)))</f>
        <v/>
      </c>
      <c r="BF294" s="91">
        <f>MAX(0,AV294-MAX(0,BJ294-SUM(AO294:AU294)))</f>
        <v/>
      </c>
      <c r="BG294" s="91">
        <f>MAX(0,AW294-MAX(0,BJ294-SUM(AO294:AV294)))</f>
        <v/>
      </c>
      <c r="BH294" s="91">
        <f>MAX(0,AX294-MAX(0,BJ294-SUM(AO294:AW294)))</f>
        <v/>
      </c>
      <c r="BI294" s="92">
        <f>SUM(AY293:BH293)+BK294</f>
        <v/>
      </c>
      <c r="BJ294" s="92">
        <f>$BJ$7-(BI294-SUM(AO294:AX294))</f>
        <v/>
      </c>
      <c r="BK294" s="91">
        <f>SUMPRODUCT(AY293:BH293,$AY$6:$BH$6)/12</f>
        <v/>
      </c>
      <c r="BL294" s="88">
        <f>SUM(AY294:BH294)</f>
        <v/>
      </c>
    </row>
    <row r="295">
      <c r="A295" s="24" t="n">
        <v>285</v>
      </c>
      <c r="B295" s="90">
        <f>DATE(YEAR(Settings!$C$11),MONTH(Settings!$C$11)+A295,1)</f>
        <v/>
      </c>
      <c r="C295" s="91">
        <f>IF(C294&lt;0.005,0,MAX(0,C294*(1+C$6/12)-C$7))</f>
        <v/>
      </c>
      <c r="D295" s="91">
        <f>IF(D294&lt;0.005,0,MAX(0,D294*(1+D$6/12)-D$7))</f>
        <v/>
      </c>
      <c r="E295" s="91">
        <f>IF(E294&lt;0.005,0,MAX(0,E294*(1+E$6/12)-E$7))</f>
        <v/>
      </c>
      <c r="F295" s="91">
        <f>IF(F294&lt;0.005,0,MAX(0,F294*(1+F$6/12)-F$7))</f>
        <v/>
      </c>
      <c r="G295" s="91">
        <f>IF(G294&lt;0.005,0,MAX(0,G294*(1+G$6/12)-G$7))</f>
        <v/>
      </c>
      <c r="H295" s="91">
        <f>IF(H294&lt;0.005,0,MAX(0,H294*(1+H$6/12)-H$7))</f>
        <v/>
      </c>
      <c r="I295" s="91">
        <f>IF(I294&lt;0.005,0,MAX(0,I294*(1+I$6/12)-I$7))</f>
        <v/>
      </c>
      <c r="J295" s="91">
        <f>IF(J294&lt;0.005,0,MAX(0,J294*(1+J$6/12)-J$7))</f>
        <v/>
      </c>
      <c r="K295" s="91">
        <f>IF(K294&lt;0.005,0,MAX(0,K294*(1+K$6/12)-K$7))</f>
        <v/>
      </c>
      <c r="L295" s="91">
        <f>IF(L294&lt;0.005,0,MAX(0,L294*(1+L$6/12)-L$7))</f>
        <v/>
      </c>
      <c r="M295" s="91">
        <f>SUMPRODUCT(C294:L294,$C$6:$L$6)/12</f>
        <v/>
      </c>
      <c r="N295" s="88">
        <f>SUM(C295:L295)</f>
        <v/>
      </c>
      <c r="P295" s="92">
        <f>IF(Z294&lt;0.005,0,MAX(0,Z294*(1+Z$6/12)-Z$7))</f>
        <v/>
      </c>
      <c r="Q295" s="92">
        <f>IF(AA294&lt;0.005,0,MAX(0,AA294*(1+AA$6/12)-AA$7))</f>
        <v/>
      </c>
      <c r="R295" s="92">
        <f>IF(AB294&lt;0.005,0,MAX(0,AB294*(1+AB$6/12)-AB$7))</f>
        <v/>
      </c>
      <c r="S295" s="92">
        <f>IF(AC294&lt;0.005,0,MAX(0,AC294*(1+AC$6/12)-AC$7))</f>
        <v/>
      </c>
      <c r="T295" s="92">
        <f>IF(AD294&lt;0.005,0,MAX(0,AD294*(1+AD$6/12)-AD$7))</f>
        <v/>
      </c>
      <c r="U295" s="92">
        <f>IF(AE294&lt;0.005,0,MAX(0,AE294*(1+AE$6/12)-AE$7))</f>
        <v/>
      </c>
      <c r="V295" s="92">
        <f>IF(AF294&lt;0.005,0,MAX(0,AF294*(1+AF$6/12)-AF$7))</f>
        <v/>
      </c>
      <c r="W295" s="92">
        <f>IF(AG294&lt;0.005,0,MAX(0,AG294*(1+AG$6/12)-AG$7))</f>
        <v/>
      </c>
      <c r="X295" s="92">
        <f>IF(AH294&lt;0.005,0,MAX(0,AH294*(1+AH$6/12)-AH$7))</f>
        <v/>
      </c>
      <c r="Y295" s="92">
        <f>IF(AI294&lt;0.005,0,MAX(0,AI294*(1+AI$6/12)-AI$7))</f>
        <v/>
      </c>
      <c r="Z295" s="91">
        <f>MAX(0,P295-MAX(0,AK295-0))</f>
        <v/>
      </c>
      <c r="AA295" s="91">
        <f>MAX(0,Q295-MAX(0,AK295-SUM(P295:P295)))</f>
        <v/>
      </c>
      <c r="AB295" s="91">
        <f>MAX(0,R295-MAX(0,AK295-SUM(P295:Q295)))</f>
        <v/>
      </c>
      <c r="AC295" s="91">
        <f>MAX(0,S295-MAX(0,AK295-SUM(P295:R295)))</f>
        <v/>
      </c>
      <c r="AD295" s="91">
        <f>MAX(0,T295-MAX(0,AK295-SUM(P295:S295)))</f>
        <v/>
      </c>
      <c r="AE295" s="91">
        <f>MAX(0,U295-MAX(0,AK295-SUM(P295:T295)))</f>
        <v/>
      </c>
      <c r="AF295" s="91">
        <f>MAX(0,V295-MAX(0,AK295-SUM(P295:U295)))</f>
        <v/>
      </c>
      <c r="AG295" s="91">
        <f>MAX(0,W295-MAX(0,AK295-SUM(P295:V295)))</f>
        <v/>
      </c>
      <c r="AH295" s="91">
        <f>MAX(0,X295-MAX(0,AK295-SUM(P295:W295)))</f>
        <v/>
      </c>
      <c r="AI295" s="91">
        <f>MAX(0,Y295-MAX(0,AK295-SUM(P295:X295)))</f>
        <v/>
      </c>
      <c r="AJ295" s="92">
        <f>SUM(Z294:AI294)+AL295</f>
        <v/>
      </c>
      <c r="AK295" s="92">
        <f>$AK$7-(AJ295-SUM(P295:Y295))</f>
        <v/>
      </c>
      <c r="AL295" s="91">
        <f>SUMPRODUCT(Z294:AI294,$Z$6:$AI$6)/12</f>
        <v/>
      </c>
      <c r="AM295" s="88">
        <f>SUM(Z295:AI295)</f>
        <v/>
      </c>
      <c r="AO295" s="92">
        <f>IF(AY294&lt;0.005,0,MAX(0,AY294*(1+AY$6/12)-AY$7))</f>
        <v/>
      </c>
      <c r="AP295" s="92">
        <f>IF(AZ294&lt;0.005,0,MAX(0,AZ294*(1+AZ$6/12)-AZ$7))</f>
        <v/>
      </c>
      <c r="AQ295" s="92">
        <f>IF(BA294&lt;0.005,0,MAX(0,BA294*(1+BA$6/12)-BA$7))</f>
        <v/>
      </c>
      <c r="AR295" s="92">
        <f>IF(BB294&lt;0.005,0,MAX(0,BB294*(1+BB$6/12)-BB$7))</f>
        <v/>
      </c>
      <c r="AS295" s="92">
        <f>IF(BC294&lt;0.005,0,MAX(0,BC294*(1+BC$6/12)-BC$7))</f>
        <v/>
      </c>
      <c r="AT295" s="92">
        <f>IF(BD294&lt;0.005,0,MAX(0,BD294*(1+BD$6/12)-BD$7))</f>
        <v/>
      </c>
      <c r="AU295" s="92">
        <f>IF(BE294&lt;0.005,0,MAX(0,BE294*(1+BE$6/12)-BE$7))</f>
        <v/>
      </c>
      <c r="AV295" s="92">
        <f>IF(BF294&lt;0.005,0,MAX(0,BF294*(1+BF$6/12)-BF$7))</f>
        <v/>
      </c>
      <c r="AW295" s="92">
        <f>IF(BG294&lt;0.005,0,MAX(0,BG294*(1+BG$6/12)-BG$7))</f>
        <v/>
      </c>
      <c r="AX295" s="92">
        <f>IF(BH294&lt;0.005,0,MAX(0,BH294*(1+BH$6/12)-BH$7))</f>
        <v/>
      </c>
      <c r="AY295" s="91">
        <f>MAX(0,AO295-MAX(0,BJ295-0))</f>
        <v/>
      </c>
      <c r="AZ295" s="91">
        <f>MAX(0,AP295-MAX(0,BJ295-SUM(AO295:AO295)))</f>
        <v/>
      </c>
      <c r="BA295" s="91">
        <f>MAX(0,AQ295-MAX(0,BJ295-SUM(AO295:AP295)))</f>
        <v/>
      </c>
      <c r="BB295" s="91">
        <f>MAX(0,AR295-MAX(0,BJ295-SUM(AO295:AQ295)))</f>
        <v/>
      </c>
      <c r="BC295" s="91">
        <f>MAX(0,AS295-MAX(0,BJ295-SUM(AO295:AR295)))</f>
        <v/>
      </c>
      <c r="BD295" s="91">
        <f>MAX(0,AT295-MAX(0,BJ295-SUM(AO295:AS295)))</f>
        <v/>
      </c>
      <c r="BE295" s="91">
        <f>MAX(0,AU295-MAX(0,BJ295-SUM(AO295:AT295)))</f>
        <v/>
      </c>
      <c r="BF295" s="91">
        <f>MAX(0,AV295-MAX(0,BJ295-SUM(AO295:AU295)))</f>
        <v/>
      </c>
      <c r="BG295" s="91">
        <f>MAX(0,AW295-MAX(0,BJ295-SUM(AO295:AV295)))</f>
        <v/>
      </c>
      <c r="BH295" s="91">
        <f>MAX(0,AX295-MAX(0,BJ295-SUM(AO295:AW295)))</f>
        <v/>
      </c>
      <c r="BI295" s="92">
        <f>SUM(AY294:BH294)+BK295</f>
        <v/>
      </c>
      <c r="BJ295" s="92">
        <f>$BJ$7-(BI295-SUM(AO295:AX295))</f>
        <v/>
      </c>
      <c r="BK295" s="91">
        <f>SUMPRODUCT(AY294:BH294,$AY$6:$BH$6)/12</f>
        <v/>
      </c>
      <c r="BL295" s="88">
        <f>SUM(AY295:BH295)</f>
        <v/>
      </c>
    </row>
    <row r="296">
      <c r="A296" s="24" t="n">
        <v>286</v>
      </c>
      <c r="B296" s="90">
        <f>DATE(YEAR(Settings!$C$11),MONTH(Settings!$C$11)+A296,1)</f>
        <v/>
      </c>
      <c r="C296" s="91">
        <f>IF(C295&lt;0.005,0,MAX(0,C295*(1+C$6/12)-C$7))</f>
        <v/>
      </c>
      <c r="D296" s="91">
        <f>IF(D295&lt;0.005,0,MAX(0,D295*(1+D$6/12)-D$7))</f>
        <v/>
      </c>
      <c r="E296" s="91">
        <f>IF(E295&lt;0.005,0,MAX(0,E295*(1+E$6/12)-E$7))</f>
        <v/>
      </c>
      <c r="F296" s="91">
        <f>IF(F295&lt;0.005,0,MAX(0,F295*(1+F$6/12)-F$7))</f>
        <v/>
      </c>
      <c r="G296" s="91">
        <f>IF(G295&lt;0.005,0,MAX(0,G295*(1+G$6/12)-G$7))</f>
        <v/>
      </c>
      <c r="H296" s="91">
        <f>IF(H295&lt;0.005,0,MAX(0,H295*(1+H$6/12)-H$7))</f>
        <v/>
      </c>
      <c r="I296" s="91">
        <f>IF(I295&lt;0.005,0,MAX(0,I295*(1+I$6/12)-I$7))</f>
        <v/>
      </c>
      <c r="J296" s="91">
        <f>IF(J295&lt;0.005,0,MAX(0,J295*(1+J$6/12)-J$7))</f>
        <v/>
      </c>
      <c r="K296" s="91">
        <f>IF(K295&lt;0.005,0,MAX(0,K295*(1+K$6/12)-K$7))</f>
        <v/>
      </c>
      <c r="L296" s="91">
        <f>IF(L295&lt;0.005,0,MAX(0,L295*(1+L$6/12)-L$7))</f>
        <v/>
      </c>
      <c r="M296" s="91">
        <f>SUMPRODUCT(C295:L295,$C$6:$L$6)/12</f>
        <v/>
      </c>
      <c r="N296" s="88">
        <f>SUM(C296:L296)</f>
        <v/>
      </c>
      <c r="P296" s="92">
        <f>IF(Z295&lt;0.005,0,MAX(0,Z295*(1+Z$6/12)-Z$7))</f>
        <v/>
      </c>
      <c r="Q296" s="92">
        <f>IF(AA295&lt;0.005,0,MAX(0,AA295*(1+AA$6/12)-AA$7))</f>
        <v/>
      </c>
      <c r="R296" s="92">
        <f>IF(AB295&lt;0.005,0,MAX(0,AB295*(1+AB$6/12)-AB$7))</f>
        <v/>
      </c>
      <c r="S296" s="92">
        <f>IF(AC295&lt;0.005,0,MAX(0,AC295*(1+AC$6/12)-AC$7))</f>
        <v/>
      </c>
      <c r="T296" s="92">
        <f>IF(AD295&lt;0.005,0,MAX(0,AD295*(1+AD$6/12)-AD$7))</f>
        <v/>
      </c>
      <c r="U296" s="92">
        <f>IF(AE295&lt;0.005,0,MAX(0,AE295*(1+AE$6/12)-AE$7))</f>
        <v/>
      </c>
      <c r="V296" s="92">
        <f>IF(AF295&lt;0.005,0,MAX(0,AF295*(1+AF$6/12)-AF$7))</f>
        <v/>
      </c>
      <c r="W296" s="92">
        <f>IF(AG295&lt;0.005,0,MAX(0,AG295*(1+AG$6/12)-AG$7))</f>
        <v/>
      </c>
      <c r="X296" s="92">
        <f>IF(AH295&lt;0.005,0,MAX(0,AH295*(1+AH$6/12)-AH$7))</f>
        <v/>
      </c>
      <c r="Y296" s="92">
        <f>IF(AI295&lt;0.005,0,MAX(0,AI295*(1+AI$6/12)-AI$7))</f>
        <v/>
      </c>
      <c r="Z296" s="91">
        <f>MAX(0,P296-MAX(0,AK296-0))</f>
        <v/>
      </c>
      <c r="AA296" s="91">
        <f>MAX(0,Q296-MAX(0,AK296-SUM(P296:P296)))</f>
        <v/>
      </c>
      <c r="AB296" s="91">
        <f>MAX(0,R296-MAX(0,AK296-SUM(P296:Q296)))</f>
        <v/>
      </c>
      <c r="AC296" s="91">
        <f>MAX(0,S296-MAX(0,AK296-SUM(P296:R296)))</f>
        <v/>
      </c>
      <c r="AD296" s="91">
        <f>MAX(0,T296-MAX(0,AK296-SUM(P296:S296)))</f>
        <v/>
      </c>
      <c r="AE296" s="91">
        <f>MAX(0,U296-MAX(0,AK296-SUM(P296:T296)))</f>
        <v/>
      </c>
      <c r="AF296" s="91">
        <f>MAX(0,V296-MAX(0,AK296-SUM(P296:U296)))</f>
        <v/>
      </c>
      <c r="AG296" s="91">
        <f>MAX(0,W296-MAX(0,AK296-SUM(P296:V296)))</f>
        <v/>
      </c>
      <c r="AH296" s="91">
        <f>MAX(0,X296-MAX(0,AK296-SUM(P296:W296)))</f>
        <v/>
      </c>
      <c r="AI296" s="91">
        <f>MAX(0,Y296-MAX(0,AK296-SUM(P296:X296)))</f>
        <v/>
      </c>
      <c r="AJ296" s="92">
        <f>SUM(Z295:AI295)+AL296</f>
        <v/>
      </c>
      <c r="AK296" s="92">
        <f>$AK$7-(AJ296-SUM(P296:Y296))</f>
        <v/>
      </c>
      <c r="AL296" s="91">
        <f>SUMPRODUCT(Z295:AI295,$Z$6:$AI$6)/12</f>
        <v/>
      </c>
      <c r="AM296" s="88">
        <f>SUM(Z296:AI296)</f>
        <v/>
      </c>
      <c r="AO296" s="92">
        <f>IF(AY295&lt;0.005,0,MAX(0,AY295*(1+AY$6/12)-AY$7))</f>
        <v/>
      </c>
      <c r="AP296" s="92">
        <f>IF(AZ295&lt;0.005,0,MAX(0,AZ295*(1+AZ$6/12)-AZ$7))</f>
        <v/>
      </c>
      <c r="AQ296" s="92">
        <f>IF(BA295&lt;0.005,0,MAX(0,BA295*(1+BA$6/12)-BA$7))</f>
        <v/>
      </c>
      <c r="AR296" s="92">
        <f>IF(BB295&lt;0.005,0,MAX(0,BB295*(1+BB$6/12)-BB$7))</f>
        <v/>
      </c>
      <c r="AS296" s="92">
        <f>IF(BC295&lt;0.005,0,MAX(0,BC295*(1+BC$6/12)-BC$7))</f>
        <v/>
      </c>
      <c r="AT296" s="92">
        <f>IF(BD295&lt;0.005,0,MAX(0,BD295*(1+BD$6/12)-BD$7))</f>
        <v/>
      </c>
      <c r="AU296" s="92">
        <f>IF(BE295&lt;0.005,0,MAX(0,BE295*(1+BE$6/12)-BE$7))</f>
        <v/>
      </c>
      <c r="AV296" s="92">
        <f>IF(BF295&lt;0.005,0,MAX(0,BF295*(1+BF$6/12)-BF$7))</f>
        <v/>
      </c>
      <c r="AW296" s="92">
        <f>IF(BG295&lt;0.005,0,MAX(0,BG295*(1+BG$6/12)-BG$7))</f>
        <v/>
      </c>
      <c r="AX296" s="92">
        <f>IF(BH295&lt;0.005,0,MAX(0,BH295*(1+BH$6/12)-BH$7))</f>
        <v/>
      </c>
      <c r="AY296" s="91">
        <f>MAX(0,AO296-MAX(0,BJ296-0))</f>
        <v/>
      </c>
      <c r="AZ296" s="91">
        <f>MAX(0,AP296-MAX(0,BJ296-SUM(AO296:AO296)))</f>
        <v/>
      </c>
      <c r="BA296" s="91">
        <f>MAX(0,AQ296-MAX(0,BJ296-SUM(AO296:AP296)))</f>
        <v/>
      </c>
      <c r="BB296" s="91">
        <f>MAX(0,AR296-MAX(0,BJ296-SUM(AO296:AQ296)))</f>
        <v/>
      </c>
      <c r="BC296" s="91">
        <f>MAX(0,AS296-MAX(0,BJ296-SUM(AO296:AR296)))</f>
        <v/>
      </c>
      <c r="BD296" s="91">
        <f>MAX(0,AT296-MAX(0,BJ296-SUM(AO296:AS296)))</f>
        <v/>
      </c>
      <c r="BE296" s="91">
        <f>MAX(0,AU296-MAX(0,BJ296-SUM(AO296:AT296)))</f>
        <v/>
      </c>
      <c r="BF296" s="91">
        <f>MAX(0,AV296-MAX(0,BJ296-SUM(AO296:AU296)))</f>
        <v/>
      </c>
      <c r="BG296" s="91">
        <f>MAX(0,AW296-MAX(0,BJ296-SUM(AO296:AV296)))</f>
        <v/>
      </c>
      <c r="BH296" s="91">
        <f>MAX(0,AX296-MAX(0,BJ296-SUM(AO296:AW296)))</f>
        <v/>
      </c>
      <c r="BI296" s="92">
        <f>SUM(AY295:BH295)+BK296</f>
        <v/>
      </c>
      <c r="BJ296" s="92">
        <f>$BJ$7-(BI296-SUM(AO296:AX296))</f>
        <v/>
      </c>
      <c r="BK296" s="91">
        <f>SUMPRODUCT(AY295:BH295,$AY$6:$BH$6)/12</f>
        <v/>
      </c>
      <c r="BL296" s="88">
        <f>SUM(AY296:BH296)</f>
        <v/>
      </c>
    </row>
    <row r="297">
      <c r="A297" s="24" t="n">
        <v>287</v>
      </c>
      <c r="B297" s="90">
        <f>DATE(YEAR(Settings!$C$11),MONTH(Settings!$C$11)+A297,1)</f>
        <v/>
      </c>
      <c r="C297" s="91">
        <f>IF(C296&lt;0.005,0,MAX(0,C296*(1+C$6/12)-C$7))</f>
        <v/>
      </c>
      <c r="D297" s="91">
        <f>IF(D296&lt;0.005,0,MAX(0,D296*(1+D$6/12)-D$7))</f>
        <v/>
      </c>
      <c r="E297" s="91">
        <f>IF(E296&lt;0.005,0,MAX(0,E296*(1+E$6/12)-E$7))</f>
        <v/>
      </c>
      <c r="F297" s="91">
        <f>IF(F296&lt;0.005,0,MAX(0,F296*(1+F$6/12)-F$7))</f>
        <v/>
      </c>
      <c r="G297" s="91">
        <f>IF(G296&lt;0.005,0,MAX(0,G296*(1+G$6/12)-G$7))</f>
        <v/>
      </c>
      <c r="H297" s="91">
        <f>IF(H296&lt;0.005,0,MAX(0,H296*(1+H$6/12)-H$7))</f>
        <v/>
      </c>
      <c r="I297" s="91">
        <f>IF(I296&lt;0.005,0,MAX(0,I296*(1+I$6/12)-I$7))</f>
        <v/>
      </c>
      <c r="J297" s="91">
        <f>IF(J296&lt;0.005,0,MAX(0,J296*(1+J$6/12)-J$7))</f>
        <v/>
      </c>
      <c r="K297" s="91">
        <f>IF(K296&lt;0.005,0,MAX(0,K296*(1+K$6/12)-K$7))</f>
        <v/>
      </c>
      <c r="L297" s="91">
        <f>IF(L296&lt;0.005,0,MAX(0,L296*(1+L$6/12)-L$7))</f>
        <v/>
      </c>
      <c r="M297" s="91">
        <f>SUMPRODUCT(C296:L296,$C$6:$L$6)/12</f>
        <v/>
      </c>
      <c r="N297" s="88">
        <f>SUM(C297:L297)</f>
        <v/>
      </c>
      <c r="P297" s="92">
        <f>IF(Z296&lt;0.005,0,MAX(0,Z296*(1+Z$6/12)-Z$7))</f>
        <v/>
      </c>
      <c r="Q297" s="92">
        <f>IF(AA296&lt;0.005,0,MAX(0,AA296*(1+AA$6/12)-AA$7))</f>
        <v/>
      </c>
      <c r="R297" s="92">
        <f>IF(AB296&lt;0.005,0,MAX(0,AB296*(1+AB$6/12)-AB$7))</f>
        <v/>
      </c>
      <c r="S297" s="92">
        <f>IF(AC296&lt;0.005,0,MAX(0,AC296*(1+AC$6/12)-AC$7))</f>
        <v/>
      </c>
      <c r="T297" s="92">
        <f>IF(AD296&lt;0.005,0,MAX(0,AD296*(1+AD$6/12)-AD$7))</f>
        <v/>
      </c>
      <c r="U297" s="92">
        <f>IF(AE296&lt;0.005,0,MAX(0,AE296*(1+AE$6/12)-AE$7))</f>
        <v/>
      </c>
      <c r="V297" s="92">
        <f>IF(AF296&lt;0.005,0,MAX(0,AF296*(1+AF$6/12)-AF$7))</f>
        <v/>
      </c>
      <c r="W297" s="92">
        <f>IF(AG296&lt;0.005,0,MAX(0,AG296*(1+AG$6/12)-AG$7))</f>
        <v/>
      </c>
      <c r="X297" s="92">
        <f>IF(AH296&lt;0.005,0,MAX(0,AH296*(1+AH$6/12)-AH$7))</f>
        <v/>
      </c>
      <c r="Y297" s="92">
        <f>IF(AI296&lt;0.005,0,MAX(0,AI296*(1+AI$6/12)-AI$7))</f>
        <v/>
      </c>
      <c r="Z297" s="91">
        <f>MAX(0,P297-MAX(0,AK297-0))</f>
        <v/>
      </c>
      <c r="AA297" s="91">
        <f>MAX(0,Q297-MAX(0,AK297-SUM(P297:P297)))</f>
        <v/>
      </c>
      <c r="AB297" s="91">
        <f>MAX(0,R297-MAX(0,AK297-SUM(P297:Q297)))</f>
        <v/>
      </c>
      <c r="AC297" s="91">
        <f>MAX(0,S297-MAX(0,AK297-SUM(P297:R297)))</f>
        <v/>
      </c>
      <c r="AD297" s="91">
        <f>MAX(0,T297-MAX(0,AK297-SUM(P297:S297)))</f>
        <v/>
      </c>
      <c r="AE297" s="91">
        <f>MAX(0,U297-MAX(0,AK297-SUM(P297:T297)))</f>
        <v/>
      </c>
      <c r="AF297" s="91">
        <f>MAX(0,V297-MAX(0,AK297-SUM(P297:U297)))</f>
        <v/>
      </c>
      <c r="AG297" s="91">
        <f>MAX(0,W297-MAX(0,AK297-SUM(P297:V297)))</f>
        <v/>
      </c>
      <c r="AH297" s="91">
        <f>MAX(0,X297-MAX(0,AK297-SUM(P297:W297)))</f>
        <v/>
      </c>
      <c r="AI297" s="91">
        <f>MAX(0,Y297-MAX(0,AK297-SUM(P297:X297)))</f>
        <v/>
      </c>
      <c r="AJ297" s="92">
        <f>SUM(Z296:AI296)+AL297</f>
        <v/>
      </c>
      <c r="AK297" s="92">
        <f>$AK$7-(AJ297-SUM(P297:Y297))</f>
        <v/>
      </c>
      <c r="AL297" s="91">
        <f>SUMPRODUCT(Z296:AI296,$Z$6:$AI$6)/12</f>
        <v/>
      </c>
      <c r="AM297" s="88">
        <f>SUM(Z297:AI297)</f>
        <v/>
      </c>
      <c r="AO297" s="92">
        <f>IF(AY296&lt;0.005,0,MAX(0,AY296*(1+AY$6/12)-AY$7))</f>
        <v/>
      </c>
      <c r="AP297" s="92">
        <f>IF(AZ296&lt;0.005,0,MAX(0,AZ296*(1+AZ$6/12)-AZ$7))</f>
        <v/>
      </c>
      <c r="AQ297" s="92">
        <f>IF(BA296&lt;0.005,0,MAX(0,BA296*(1+BA$6/12)-BA$7))</f>
        <v/>
      </c>
      <c r="AR297" s="92">
        <f>IF(BB296&lt;0.005,0,MAX(0,BB296*(1+BB$6/12)-BB$7))</f>
        <v/>
      </c>
      <c r="AS297" s="92">
        <f>IF(BC296&lt;0.005,0,MAX(0,BC296*(1+BC$6/12)-BC$7))</f>
        <v/>
      </c>
      <c r="AT297" s="92">
        <f>IF(BD296&lt;0.005,0,MAX(0,BD296*(1+BD$6/12)-BD$7))</f>
        <v/>
      </c>
      <c r="AU297" s="92">
        <f>IF(BE296&lt;0.005,0,MAX(0,BE296*(1+BE$6/12)-BE$7))</f>
        <v/>
      </c>
      <c r="AV297" s="92">
        <f>IF(BF296&lt;0.005,0,MAX(0,BF296*(1+BF$6/12)-BF$7))</f>
        <v/>
      </c>
      <c r="AW297" s="92">
        <f>IF(BG296&lt;0.005,0,MAX(0,BG296*(1+BG$6/12)-BG$7))</f>
        <v/>
      </c>
      <c r="AX297" s="92">
        <f>IF(BH296&lt;0.005,0,MAX(0,BH296*(1+BH$6/12)-BH$7))</f>
        <v/>
      </c>
      <c r="AY297" s="91">
        <f>MAX(0,AO297-MAX(0,BJ297-0))</f>
        <v/>
      </c>
      <c r="AZ297" s="91">
        <f>MAX(0,AP297-MAX(0,BJ297-SUM(AO297:AO297)))</f>
        <v/>
      </c>
      <c r="BA297" s="91">
        <f>MAX(0,AQ297-MAX(0,BJ297-SUM(AO297:AP297)))</f>
        <v/>
      </c>
      <c r="BB297" s="91">
        <f>MAX(0,AR297-MAX(0,BJ297-SUM(AO297:AQ297)))</f>
        <v/>
      </c>
      <c r="BC297" s="91">
        <f>MAX(0,AS297-MAX(0,BJ297-SUM(AO297:AR297)))</f>
        <v/>
      </c>
      <c r="BD297" s="91">
        <f>MAX(0,AT297-MAX(0,BJ297-SUM(AO297:AS297)))</f>
        <v/>
      </c>
      <c r="BE297" s="91">
        <f>MAX(0,AU297-MAX(0,BJ297-SUM(AO297:AT297)))</f>
        <v/>
      </c>
      <c r="BF297" s="91">
        <f>MAX(0,AV297-MAX(0,BJ297-SUM(AO297:AU297)))</f>
        <v/>
      </c>
      <c r="BG297" s="91">
        <f>MAX(0,AW297-MAX(0,BJ297-SUM(AO297:AV297)))</f>
        <v/>
      </c>
      <c r="BH297" s="91">
        <f>MAX(0,AX297-MAX(0,BJ297-SUM(AO297:AW297)))</f>
        <v/>
      </c>
      <c r="BI297" s="92">
        <f>SUM(AY296:BH296)+BK297</f>
        <v/>
      </c>
      <c r="BJ297" s="92">
        <f>$BJ$7-(BI297-SUM(AO297:AX297))</f>
        <v/>
      </c>
      <c r="BK297" s="91">
        <f>SUMPRODUCT(AY296:BH296,$AY$6:$BH$6)/12</f>
        <v/>
      </c>
      <c r="BL297" s="88">
        <f>SUM(AY297:BH297)</f>
        <v/>
      </c>
    </row>
    <row r="298">
      <c r="A298" s="24" t="n">
        <v>288</v>
      </c>
      <c r="B298" s="90">
        <f>DATE(YEAR(Settings!$C$11),MONTH(Settings!$C$11)+A298,1)</f>
        <v/>
      </c>
      <c r="C298" s="91">
        <f>IF(C297&lt;0.005,0,MAX(0,C297*(1+C$6/12)-C$7))</f>
        <v/>
      </c>
      <c r="D298" s="91">
        <f>IF(D297&lt;0.005,0,MAX(0,D297*(1+D$6/12)-D$7))</f>
        <v/>
      </c>
      <c r="E298" s="91">
        <f>IF(E297&lt;0.005,0,MAX(0,E297*(1+E$6/12)-E$7))</f>
        <v/>
      </c>
      <c r="F298" s="91">
        <f>IF(F297&lt;0.005,0,MAX(0,F297*(1+F$6/12)-F$7))</f>
        <v/>
      </c>
      <c r="G298" s="91">
        <f>IF(G297&lt;0.005,0,MAX(0,G297*(1+G$6/12)-G$7))</f>
        <v/>
      </c>
      <c r="H298" s="91">
        <f>IF(H297&lt;0.005,0,MAX(0,H297*(1+H$6/12)-H$7))</f>
        <v/>
      </c>
      <c r="I298" s="91">
        <f>IF(I297&lt;0.005,0,MAX(0,I297*(1+I$6/12)-I$7))</f>
        <v/>
      </c>
      <c r="J298" s="91">
        <f>IF(J297&lt;0.005,0,MAX(0,J297*(1+J$6/12)-J$7))</f>
        <v/>
      </c>
      <c r="K298" s="91">
        <f>IF(K297&lt;0.005,0,MAX(0,K297*(1+K$6/12)-K$7))</f>
        <v/>
      </c>
      <c r="L298" s="91">
        <f>IF(L297&lt;0.005,0,MAX(0,L297*(1+L$6/12)-L$7))</f>
        <v/>
      </c>
      <c r="M298" s="91">
        <f>SUMPRODUCT(C297:L297,$C$6:$L$6)/12</f>
        <v/>
      </c>
      <c r="N298" s="88">
        <f>SUM(C298:L298)</f>
        <v/>
      </c>
      <c r="P298" s="92">
        <f>IF(Z297&lt;0.005,0,MAX(0,Z297*(1+Z$6/12)-Z$7))</f>
        <v/>
      </c>
      <c r="Q298" s="92">
        <f>IF(AA297&lt;0.005,0,MAX(0,AA297*(1+AA$6/12)-AA$7))</f>
        <v/>
      </c>
      <c r="R298" s="92">
        <f>IF(AB297&lt;0.005,0,MAX(0,AB297*(1+AB$6/12)-AB$7))</f>
        <v/>
      </c>
      <c r="S298" s="92">
        <f>IF(AC297&lt;0.005,0,MAX(0,AC297*(1+AC$6/12)-AC$7))</f>
        <v/>
      </c>
      <c r="T298" s="92">
        <f>IF(AD297&lt;0.005,0,MAX(0,AD297*(1+AD$6/12)-AD$7))</f>
        <v/>
      </c>
      <c r="U298" s="92">
        <f>IF(AE297&lt;0.005,0,MAX(0,AE297*(1+AE$6/12)-AE$7))</f>
        <v/>
      </c>
      <c r="V298" s="92">
        <f>IF(AF297&lt;0.005,0,MAX(0,AF297*(1+AF$6/12)-AF$7))</f>
        <v/>
      </c>
      <c r="W298" s="92">
        <f>IF(AG297&lt;0.005,0,MAX(0,AG297*(1+AG$6/12)-AG$7))</f>
        <v/>
      </c>
      <c r="X298" s="92">
        <f>IF(AH297&lt;0.005,0,MAX(0,AH297*(1+AH$6/12)-AH$7))</f>
        <v/>
      </c>
      <c r="Y298" s="92">
        <f>IF(AI297&lt;0.005,0,MAX(0,AI297*(1+AI$6/12)-AI$7))</f>
        <v/>
      </c>
      <c r="Z298" s="91">
        <f>MAX(0,P298-MAX(0,AK298-0))</f>
        <v/>
      </c>
      <c r="AA298" s="91">
        <f>MAX(0,Q298-MAX(0,AK298-SUM(P298:P298)))</f>
        <v/>
      </c>
      <c r="AB298" s="91">
        <f>MAX(0,R298-MAX(0,AK298-SUM(P298:Q298)))</f>
        <v/>
      </c>
      <c r="AC298" s="91">
        <f>MAX(0,S298-MAX(0,AK298-SUM(P298:R298)))</f>
        <v/>
      </c>
      <c r="AD298" s="91">
        <f>MAX(0,T298-MAX(0,AK298-SUM(P298:S298)))</f>
        <v/>
      </c>
      <c r="AE298" s="91">
        <f>MAX(0,U298-MAX(0,AK298-SUM(P298:T298)))</f>
        <v/>
      </c>
      <c r="AF298" s="91">
        <f>MAX(0,V298-MAX(0,AK298-SUM(P298:U298)))</f>
        <v/>
      </c>
      <c r="AG298" s="91">
        <f>MAX(0,W298-MAX(0,AK298-SUM(P298:V298)))</f>
        <v/>
      </c>
      <c r="AH298" s="91">
        <f>MAX(0,X298-MAX(0,AK298-SUM(P298:W298)))</f>
        <v/>
      </c>
      <c r="AI298" s="91">
        <f>MAX(0,Y298-MAX(0,AK298-SUM(P298:X298)))</f>
        <v/>
      </c>
      <c r="AJ298" s="92">
        <f>SUM(Z297:AI297)+AL298</f>
        <v/>
      </c>
      <c r="AK298" s="92">
        <f>$AK$7-(AJ298-SUM(P298:Y298))</f>
        <v/>
      </c>
      <c r="AL298" s="91">
        <f>SUMPRODUCT(Z297:AI297,$Z$6:$AI$6)/12</f>
        <v/>
      </c>
      <c r="AM298" s="88">
        <f>SUM(Z298:AI298)</f>
        <v/>
      </c>
      <c r="AO298" s="92">
        <f>IF(AY297&lt;0.005,0,MAX(0,AY297*(1+AY$6/12)-AY$7))</f>
        <v/>
      </c>
      <c r="AP298" s="92">
        <f>IF(AZ297&lt;0.005,0,MAX(0,AZ297*(1+AZ$6/12)-AZ$7))</f>
        <v/>
      </c>
      <c r="AQ298" s="92">
        <f>IF(BA297&lt;0.005,0,MAX(0,BA297*(1+BA$6/12)-BA$7))</f>
        <v/>
      </c>
      <c r="AR298" s="92">
        <f>IF(BB297&lt;0.005,0,MAX(0,BB297*(1+BB$6/12)-BB$7))</f>
        <v/>
      </c>
      <c r="AS298" s="92">
        <f>IF(BC297&lt;0.005,0,MAX(0,BC297*(1+BC$6/12)-BC$7))</f>
        <v/>
      </c>
      <c r="AT298" s="92">
        <f>IF(BD297&lt;0.005,0,MAX(0,BD297*(1+BD$6/12)-BD$7))</f>
        <v/>
      </c>
      <c r="AU298" s="92">
        <f>IF(BE297&lt;0.005,0,MAX(0,BE297*(1+BE$6/12)-BE$7))</f>
        <v/>
      </c>
      <c r="AV298" s="92">
        <f>IF(BF297&lt;0.005,0,MAX(0,BF297*(1+BF$6/12)-BF$7))</f>
        <v/>
      </c>
      <c r="AW298" s="92">
        <f>IF(BG297&lt;0.005,0,MAX(0,BG297*(1+BG$6/12)-BG$7))</f>
        <v/>
      </c>
      <c r="AX298" s="92">
        <f>IF(BH297&lt;0.005,0,MAX(0,BH297*(1+BH$6/12)-BH$7))</f>
        <v/>
      </c>
      <c r="AY298" s="91">
        <f>MAX(0,AO298-MAX(0,BJ298-0))</f>
        <v/>
      </c>
      <c r="AZ298" s="91">
        <f>MAX(0,AP298-MAX(0,BJ298-SUM(AO298:AO298)))</f>
        <v/>
      </c>
      <c r="BA298" s="91">
        <f>MAX(0,AQ298-MAX(0,BJ298-SUM(AO298:AP298)))</f>
        <v/>
      </c>
      <c r="BB298" s="91">
        <f>MAX(0,AR298-MAX(0,BJ298-SUM(AO298:AQ298)))</f>
        <v/>
      </c>
      <c r="BC298" s="91">
        <f>MAX(0,AS298-MAX(0,BJ298-SUM(AO298:AR298)))</f>
        <v/>
      </c>
      <c r="BD298" s="91">
        <f>MAX(0,AT298-MAX(0,BJ298-SUM(AO298:AS298)))</f>
        <v/>
      </c>
      <c r="BE298" s="91">
        <f>MAX(0,AU298-MAX(0,BJ298-SUM(AO298:AT298)))</f>
        <v/>
      </c>
      <c r="BF298" s="91">
        <f>MAX(0,AV298-MAX(0,BJ298-SUM(AO298:AU298)))</f>
        <v/>
      </c>
      <c r="BG298" s="91">
        <f>MAX(0,AW298-MAX(0,BJ298-SUM(AO298:AV298)))</f>
        <v/>
      </c>
      <c r="BH298" s="91">
        <f>MAX(0,AX298-MAX(0,BJ298-SUM(AO298:AW298)))</f>
        <v/>
      </c>
      <c r="BI298" s="92">
        <f>SUM(AY297:BH297)+BK298</f>
        <v/>
      </c>
      <c r="BJ298" s="92">
        <f>$BJ$7-(BI298-SUM(AO298:AX298))</f>
        <v/>
      </c>
      <c r="BK298" s="91">
        <f>SUMPRODUCT(AY297:BH297,$AY$6:$BH$6)/12</f>
        <v/>
      </c>
      <c r="BL298" s="88">
        <f>SUM(AY298:BH298)</f>
        <v/>
      </c>
    </row>
    <row r="299">
      <c r="A299" s="24" t="n">
        <v>289</v>
      </c>
      <c r="B299" s="90">
        <f>DATE(YEAR(Settings!$C$11),MONTH(Settings!$C$11)+A299,1)</f>
        <v/>
      </c>
      <c r="C299" s="91">
        <f>IF(C298&lt;0.005,0,MAX(0,C298*(1+C$6/12)-C$7))</f>
        <v/>
      </c>
      <c r="D299" s="91">
        <f>IF(D298&lt;0.005,0,MAX(0,D298*(1+D$6/12)-D$7))</f>
        <v/>
      </c>
      <c r="E299" s="91">
        <f>IF(E298&lt;0.005,0,MAX(0,E298*(1+E$6/12)-E$7))</f>
        <v/>
      </c>
      <c r="F299" s="91">
        <f>IF(F298&lt;0.005,0,MAX(0,F298*(1+F$6/12)-F$7))</f>
        <v/>
      </c>
      <c r="G299" s="91">
        <f>IF(G298&lt;0.005,0,MAX(0,G298*(1+G$6/12)-G$7))</f>
        <v/>
      </c>
      <c r="H299" s="91">
        <f>IF(H298&lt;0.005,0,MAX(0,H298*(1+H$6/12)-H$7))</f>
        <v/>
      </c>
      <c r="I299" s="91">
        <f>IF(I298&lt;0.005,0,MAX(0,I298*(1+I$6/12)-I$7))</f>
        <v/>
      </c>
      <c r="J299" s="91">
        <f>IF(J298&lt;0.005,0,MAX(0,J298*(1+J$6/12)-J$7))</f>
        <v/>
      </c>
      <c r="K299" s="91">
        <f>IF(K298&lt;0.005,0,MAX(0,K298*(1+K$6/12)-K$7))</f>
        <v/>
      </c>
      <c r="L299" s="91">
        <f>IF(L298&lt;0.005,0,MAX(0,L298*(1+L$6/12)-L$7))</f>
        <v/>
      </c>
      <c r="M299" s="91">
        <f>SUMPRODUCT(C298:L298,$C$6:$L$6)/12</f>
        <v/>
      </c>
      <c r="N299" s="88">
        <f>SUM(C299:L299)</f>
        <v/>
      </c>
      <c r="P299" s="92">
        <f>IF(Z298&lt;0.005,0,MAX(0,Z298*(1+Z$6/12)-Z$7))</f>
        <v/>
      </c>
      <c r="Q299" s="92">
        <f>IF(AA298&lt;0.005,0,MAX(0,AA298*(1+AA$6/12)-AA$7))</f>
        <v/>
      </c>
      <c r="R299" s="92">
        <f>IF(AB298&lt;0.005,0,MAX(0,AB298*(1+AB$6/12)-AB$7))</f>
        <v/>
      </c>
      <c r="S299" s="92">
        <f>IF(AC298&lt;0.005,0,MAX(0,AC298*(1+AC$6/12)-AC$7))</f>
        <v/>
      </c>
      <c r="T299" s="92">
        <f>IF(AD298&lt;0.005,0,MAX(0,AD298*(1+AD$6/12)-AD$7))</f>
        <v/>
      </c>
      <c r="U299" s="92">
        <f>IF(AE298&lt;0.005,0,MAX(0,AE298*(1+AE$6/12)-AE$7))</f>
        <v/>
      </c>
      <c r="V299" s="92">
        <f>IF(AF298&lt;0.005,0,MAX(0,AF298*(1+AF$6/12)-AF$7))</f>
        <v/>
      </c>
      <c r="W299" s="92">
        <f>IF(AG298&lt;0.005,0,MAX(0,AG298*(1+AG$6/12)-AG$7))</f>
        <v/>
      </c>
      <c r="X299" s="92">
        <f>IF(AH298&lt;0.005,0,MAX(0,AH298*(1+AH$6/12)-AH$7))</f>
        <v/>
      </c>
      <c r="Y299" s="92">
        <f>IF(AI298&lt;0.005,0,MAX(0,AI298*(1+AI$6/12)-AI$7))</f>
        <v/>
      </c>
      <c r="Z299" s="91">
        <f>MAX(0,P299-MAX(0,AK299-0))</f>
        <v/>
      </c>
      <c r="AA299" s="91">
        <f>MAX(0,Q299-MAX(0,AK299-SUM(P299:P299)))</f>
        <v/>
      </c>
      <c r="AB299" s="91">
        <f>MAX(0,R299-MAX(0,AK299-SUM(P299:Q299)))</f>
        <v/>
      </c>
      <c r="AC299" s="91">
        <f>MAX(0,S299-MAX(0,AK299-SUM(P299:R299)))</f>
        <v/>
      </c>
      <c r="AD299" s="91">
        <f>MAX(0,T299-MAX(0,AK299-SUM(P299:S299)))</f>
        <v/>
      </c>
      <c r="AE299" s="91">
        <f>MAX(0,U299-MAX(0,AK299-SUM(P299:T299)))</f>
        <v/>
      </c>
      <c r="AF299" s="91">
        <f>MAX(0,V299-MAX(0,AK299-SUM(P299:U299)))</f>
        <v/>
      </c>
      <c r="AG299" s="91">
        <f>MAX(0,W299-MAX(0,AK299-SUM(P299:V299)))</f>
        <v/>
      </c>
      <c r="AH299" s="91">
        <f>MAX(0,X299-MAX(0,AK299-SUM(P299:W299)))</f>
        <v/>
      </c>
      <c r="AI299" s="91">
        <f>MAX(0,Y299-MAX(0,AK299-SUM(P299:X299)))</f>
        <v/>
      </c>
      <c r="AJ299" s="92">
        <f>SUM(Z298:AI298)+AL299</f>
        <v/>
      </c>
      <c r="AK299" s="92">
        <f>$AK$7-(AJ299-SUM(P299:Y299))</f>
        <v/>
      </c>
      <c r="AL299" s="91">
        <f>SUMPRODUCT(Z298:AI298,$Z$6:$AI$6)/12</f>
        <v/>
      </c>
      <c r="AM299" s="88">
        <f>SUM(Z299:AI299)</f>
        <v/>
      </c>
      <c r="AO299" s="92">
        <f>IF(AY298&lt;0.005,0,MAX(0,AY298*(1+AY$6/12)-AY$7))</f>
        <v/>
      </c>
      <c r="AP299" s="92">
        <f>IF(AZ298&lt;0.005,0,MAX(0,AZ298*(1+AZ$6/12)-AZ$7))</f>
        <v/>
      </c>
      <c r="AQ299" s="92">
        <f>IF(BA298&lt;0.005,0,MAX(0,BA298*(1+BA$6/12)-BA$7))</f>
        <v/>
      </c>
      <c r="AR299" s="92">
        <f>IF(BB298&lt;0.005,0,MAX(0,BB298*(1+BB$6/12)-BB$7))</f>
        <v/>
      </c>
      <c r="AS299" s="92">
        <f>IF(BC298&lt;0.005,0,MAX(0,BC298*(1+BC$6/12)-BC$7))</f>
        <v/>
      </c>
      <c r="AT299" s="92">
        <f>IF(BD298&lt;0.005,0,MAX(0,BD298*(1+BD$6/12)-BD$7))</f>
        <v/>
      </c>
      <c r="AU299" s="92">
        <f>IF(BE298&lt;0.005,0,MAX(0,BE298*(1+BE$6/12)-BE$7))</f>
        <v/>
      </c>
      <c r="AV299" s="92">
        <f>IF(BF298&lt;0.005,0,MAX(0,BF298*(1+BF$6/12)-BF$7))</f>
        <v/>
      </c>
      <c r="AW299" s="92">
        <f>IF(BG298&lt;0.005,0,MAX(0,BG298*(1+BG$6/12)-BG$7))</f>
        <v/>
      </c>
      <c r="AX299" s="92">
        <f>IF(BH298&lt;0.005,0,MAX(0,BH298*(1+BH$6/12)-BH$7))</f>
        <v/>
      </c>
      <c r="AY299" s="91">
        <f>MAX(0,AO299-MAX(0,BJ299-0))</f>
        <v/>
      </c>
      <c r="AZ299" s="91">
        <f>MAX(0,AP299-MAX(0,BJ299-SUM(AO299:AO299)))</f>
        <v/>
      </c>
      <c r="BA299" s="91">
        <f>MAX(0,AQ299-MAX(0,BJ299-SUM(AO299:AP299)))</f>
        <v/>
      </c>
      <c r="BB299" s="91">
        <f>MAX(0,AR299-MAX(0,BJ299-SUM(AO299:AQ299)))</f>
        <v/>
      </c>
      <c r="BC299" s="91">
        <f>MAX(0,AS299-MAX(0,BJ299-SUM(AO299:AR299)))</f>
        <v/>
      </c>
      <c r="BD299" s="91">
        <f>MAX(0,AT299-MAX(0,BJ299-SUM(AO299:AS299)))</f>
        <v/>
      </c>
      <c r="BE299" s="91">
        <f>MAX(0,AU299-MAX(0,BJ299-SUM(AO299:AT299)))</f>
        <v/>
      </c>
      <c r="BF299" s="91">
        <f>MAX(0,AV299-MAX(0,BJ299-SUM(AO299:AU299)))</f>
        <v/>
      </c>
      <c r="BG299" s="91">
        <f>MAX(0,AW299-MAX(0,BJ299-SUM(AO299:AV299)))</f>
        <v/>
      </c>
      <c r="BH299" s="91">
        <f>MAX(0,AX299-MAX(0,BJ299-SUM(AO299:AW299)))</f>
        <v/>
      </c>
      <c r="BI299" s="92">
        <f>SUM(AY298:BH298)+BK299</f>
        <v/>
      </c>
      <c r="BJ299" s="92">
        <f>$BJ$7-(BI299-SUM(AO299:AX299))</f>
        <v/>
      </c>
      <c r="BK299" s="91">
        <f>SUMPRODUCT(AY298:BH298,$AY$6:$BH$6)/12</f>
        <v/>
      </c>
      <c r="BL299" s="88">
        <f>SUM(AY299:BH299)</f>
        <v/>
      </c>
    </row>
    <row r="300">
      <c r="A300" s="24" t="n">
        <v>290</v>
      </c>
      <c r="B300" s="90">
        <f>DATE(YEAR(Settings!$C$11),MONTH(Settings!$C$11)+A300,1)</f>
        <v/>
      </c>
      <c r="C300" s="91">
        <f>IF(C299&lt;0.005,0,MAX(0,C299*(1+C$6/12)-C$7))</f>
        <v/>
      </c>
      <c r="D300" s="91">
        <f>IF(D299&lt;0.005,0,MAX(0,D299*(1+D$6/12)-D$7))</f>
        <v/>
      </c>
      <c r="E300" s="91">
        <f>IF(E299&lt;0.005,0,MAX(0,E299*(1+E$6/12)-E$7))</f>
        <v/>
      </c>
      <c r="F300" s="91">
        <f>IF(F299&lt;0.005,0,MAX(0,F299*(1+F$6/12)-F$7))</f>
        <v/>
      </c>
      <c r="G300" s="91">
        <f>IF(G299&lt;0.005,0,MAX(0,G299*(1+G$6/12)-G$7))</f>
        <v/>
      </c>
      <c r="H300" s="91">
        <f>IF(H299&lt;0.005,0,MAX(0,H299*(1+H$6/12)-H$7))</f>
        <v/>
      </c>
      <c r="I300" s="91">
        <f>IF(I299&lt;0.005,0,MAX(0,I299*(1+I$6/12)-I$7))</f>
        <v/>
      </c>
      <c r="J300" s="91">
        <f>IF(J299&lt;0.005,0,MAX(0,J299*(1+J$6/12)-J$7))</f>
        <v/>
      </c>
      <c r="K300" s="91">
        <f>IF(K299&lt;0.005,0,MAX(0,K299*(1+K$6/12)-K$7))</f>
        <v/>
      </c>
      <c r="L300" s="91">
        <f>IF(L299&lt;0.005,0,MAX(0,L299*(1+L$6/12)-L$7))</f>
        <v/>
      </c>
      <c r="M300" s="91">
        <f>SUMPRODUCT(C299:L299,$C$6:$L$6)/12</f>
        <v/>
      </c>
      <c r="N300" s="88">
        <f>SUM(C300:L300)</f>
        <v/>
      </c>
      <c r="P300" s="92">
        <f>IF(Z299&lt;0.005,0,MAX(0,Z299*(1+Z$6/12)-Z$7))</f>
        <v/>
      </c>
      <c r="Q300" s="92">
        <f>IF(AA299&lt;0.005,0,MAX(0,AA299*(1+AA$6/12)-AA$7))</f>
        <v/>
      </c>
      <c r="R300" s="92">
        <f>IF(AB299&lt;0.005,0,MAX(0,AB299*(1+AB$6/12)-AB$7))</f>
        <v/>
      </c>
      <c r="S300" s="92">
        <f>IF(AC299&lt;0.005,0,MAX(0,AC299*(1+AC$6/12)-AC$7))</f>
        <v/>
      </c>
      <c r="T300" s="92">
        <f>IF(AD299&lt;0.005,0,MAX(0,AD299*(1+AD$6/12)-AD$7))</f>
        <v/>
      </c>
      <c r="U300" s="92">
        <f>IF(AE299&lt;0.005,0,MAX(0,AE299*(1+AE$6/12)-AE$7))</f>
        <v/>
      </c>
      <c r="V300" s="92">
        <f>IF(AF299&lt;0.005,0,MAX(0,AF299*(1+AF$6/12)-AF$7))</f>
        <v/>
      </c>
      <c r="W300" s="92">
        <f>IF(AG299&lt;0.005,0,MAX(0,AG299*(1+AG$6/12)-AG$7))</f>
        <v/>
      </c>
      <c r="X300" s="92">
        <f>IF(AH299&lt;0.005,0,MAX(0,AH299*(1+AH$6/12)-AH$7))</f>
        <v/>
      </c>
      <c r="Y300" s="92">
        <f>IF(AI299&lt;0.005,0,MAX(0,AI299*(1+AI$6/12)-AI$7))</f>
        <v/>
      </c>
      <c r="Z300" s="91">
        <f>MAX(0,P300-MAX(0,AK300-0))</f>
        <v/>
      </c>
      <c r="AA300" s="91">
        <f>MAX(0,Q300-MAX(0,AK300-SUM(P300:P300)))</f>
        <v/>
      </c>
      <c r="AB300" s="91">
        <f>MAX(0,R300-MAX(0,AK300-SUM(P300:Q300)))</f>
        <v/>
      </c>
      <c r="AC300" s="91">
        <f>MAX(0,S300-MAX(0,AK300-SUM(P300:R300)))</f>
        <v/>
      </c>
      <c r="AD300" s="91">
        <f>MAX(0,T300-MAX(0,AK300-SUM(P300:S300)))</f>
        <v/>
      </c>
      <c r="AE300" s="91">
        <f>MAX(0,U300-MAX(0,AK300-SUM(P300:T300)))</f>
        <v/>
      </c>
      <c r="AF300" s="91">
        <f>MAX(0,V300-MAX(0,AK300-SUM(P300:U300)))</f>
        <v/>
      </c>
      <c r="AG300" s="91">
        <f>MAX(0,W300-MAX(0,AK300-SUM(P300:V300)))</f>
        <v/>
      </c>
      <c r="AH300" s="91">
        <f>MAX(0,X300-MAX(0,AK300-SUM(P300:W300)))</f>
        <v/>
      </c>
      <c r="AI300" s="91">
        <f>MAX(0,Y300-MAX(0,AK300-SUM(P300:X300)))</f>
        <v/>
      </c>
      <c r="AJ300" s="92">
        <f>SUM(Z299:AI299)+AL300</f>
        <v/>
      </c>
      <c r="AK300" s="92">
        <f>$AK$7-(AJ300-SUM(P300:Y300))</f>
        <v/>
      </c>
      <c r="AL300" s="91">
        <f>SUMPRODUCT(Z299:AI299,$Z$6:$AI$6)/12</f>
        <v/>
      </c>
      <c r="AM300" s="88">
        <f>SUM(Z300:AI300)</f>
        <v/>
      </c>
      <c r="AO300" s="92">
        <f>IF(AY299&lt;0.005,0,MAX(0,AY299*(1+AY$6/12)-AY$7))</f>
        <v/>
      </c>
      <c r="AP300" s="92">
        <f>IF(AZ299&lt;0.005,0,MAX(0,AZ299*(1+AZ$6/12)-AZ$7))</f>
        <v/>
      </c>
      <c r="AQ300" s="92">
        <f>IF(BA299&lt;0.005,0,MAX(0,BA299*(1+BA$6/12)-BA$7))</f>
        <v/>
      </c>
      <c r="AR300" s="92">
        <f>IF(BB299&lt;0.005,0,MAX(0,BB299*(1+BB$6/12)-BB$7))</f>
        <v/>
      </c>
      <c r="AS300" s="92">
        <f>IF(BC299&lt;0.005,0,MAX(0,BC299*(1+BC$6/12)-BC$7))</f>
        <v/>
      </c>
      <c r="AT300" s="92">
        <f>IF(BD299&lt;0.005,0,MAX(0,BD299*(1+BD$6/12)-BD$7))</f>
        <v/>
      </c>
      <c r="AU300" s="92">
        <f>IF(BE299&lt;0.005,0,MAX(0,BE299*(1+BE$6/12)-BE$7))</f>
        <v/>
      </c>
      <c r="AV300" s="92">
        <f>IF(BF299&lt;0.005,0,MAX(0,BF299*(1+BF$6/12)-BF$7))</f>
        <v/>
      </c>
      <c r="AW300" s="92">
        <f>IF(BG299&lt;0.005,0,MAX(0,BG299*(1+BG$6/12)-BG$7))</f>
        <v/>
      </c>
      <c r="AX300" s="92">
        <f>IF(BH299&lt;0.005,0,MAX(0,BH299*(1+BH$6/12)-BH$7))</f>
        <v/>
      </c>
      <c r="AY300" s="91">
        <f>MAX(0,AO300-MAX(0,BJ300-0))</f>
        <v/>
      </c>
      <c r="AZ300" s="91">
        <f>MAX(0,AP300-MAX(0,BJ300-SUM(AO300:AO300)))</f>
        <v/>
      </c>
      <c r="BA300" s="91">
        <f>MAX(0,AQ300-MAX(0,BJ300-SUM(AO300:AP300)))</f>
        <v/>
      </c>
      <c r="BB300" s="91">
        <f>MAX(0,AR300-MAX(0,BJ300-SUM(AO300:AQ300)))</f>
        <v/>
      </c>
      <c r="BC300" s="91">
        <f>MAX(0,AS300-MAX(0,BJ300-SUM(AO300:AR300)))</f>
        <v/>
      </c>
      <c r="BD300" s="91">
        <f>MAX(0,AT300-MAX(0,BJ300-SUM(AO300:AS300)))</f>
        <v/>
      </c>
      <c r="BE300" s="91">
        <f>MAX(0,AU300-MAX(0,BJ300-SUM(AO300:AT300)))</f>
        <v/>
      </c>
      <c r="BF300" s="91">
        <f>MAX(0,AV300-MAX(0,BJ300-SUM(AO300:AU300)))</f>
        <v/>
      </c>
      <c r="BG300" s="91">
        <f>MAX(0,AW300-MAX(0,BJ300-SUM(AO300:AV300)))</f>
        <v/>
      </c>
      <c r="BH300" s="91">
        <f>MAX(0,AX300-MAX(0,BJ300-SUM(AO300:AW300)))</f>
        <v/>
      </c>
      <c r="BI300" s="92">
        <f>SUM(AY299:BH299)+BK300</f>
        <v/>
      </c>
      <c r="BJ300" s="92">
        <f>$BJ$7-(BI300-SUM(AO300:AX300))</f>
        <v/>
      </c>
      <c r="BK300" s="91">
        <f>SUMPRODUCT(AY299:BH299,$AY$6:$BH$6)/12</f>
        <v/>
      </c>
      <c r="BL300" s="88">
        <f>SUM(AY300:BH300)</f>
        <v/>
      </c>
    </row>
    <row r="301">
      <c r="A301" s="24" t="n">
        <v>291</v>
      </c>
      <c r="B301" s="90">
        <f>DATE(YEAR(Settings!$C$11),MONTH(Settings!$C$11)+A301,1)</f>
        <v/>
      </c>
      <c r="C301" s="91">
        <f>IF(C300&lt;0.005,0,MAX(0,C300*(1+C$6/12)-C$7))</f>
        <v/>
      </c>
      <c r="D301" s="91">
        <f>IF(D300&lt;0.005,0,MAX(0,D300*(1+D$6/12)-D$7))</f>
        <v/>
      </c>
      <c r="E301" s="91">
        <f>IF(E300&lt;0.005,0,MAX(0,E300*(1+E$6/12)-E$7))</f>
        <v/>
      </c>
      <c r="F301" s="91">
        <f>IF(F300&lt;0.005,0,MAX(0,F300*(1+F$6/12)-F$7))</f>
        <v/>
      </c>
      <c r="G301" s="91">
        <f>IF(G300&lt;0.005,0,MAX(0,G300*(1+G$6/12)-G$7))</f>
        <v/>
      </c>
      <c r="H301" s="91">
        <f>IF(H300&lt;0.005,0,MAX(0,H300*(1+H$6/12)-H$7))</f>
        <v/>
      </c>
      <c r="I301" s="91">
        <f>IF(I300&lt;0.005,0,MAX(0,I300*(1+I$6/12)-I$7))</f>
        <v/>
      </c>
      <c r="J301" s="91">
        <f>IF(J300&lt;0.005,0,MAX(0,J300*(1+J$6/12)-J$7))</f>
        <v/>
      </c>
      <c r="K301" s="91">
        <f>IF(K300&lt;0.005,0,MAX(0,K300*(1+K$6/12)-K$7))</f>
        <v/>
      </c>
      <c r="L301" s="91">
        <f>IF(L300&lt;0.005,0,MAX(0,L300*(1+L$6/12)-L$7))</f>
        <v/>
      </c>
      <c r="M301" s="91">
        <f>SUMPRODUCT(C300:L300,$C$6:$L$6)/12</f>
        <v/>
      </c>
      <c r="N301" s="88">
        <f>SUM(C301:L301)</f>
        <v/>
      </c>
      <c r="P301" s="92">
        <f>IF(Z300&lt;0.005,0,MAX(0,Z300*(1+Z$6/12)-Z$7))</f>
        <v/>
      </c>
      <c r="Q301" s="92">
        <f>IF(AA300&lt;0.005,0,MAX(0,AA300*(1+AA$6/12)-AA$7))</f>
        <v/>
      </c>
      <c r="R301" s="92">
        <f>IF(AB300&lt;0.005,0,MAX(0,AB300*(1+AB$6/12)-AB$7))</f>
        <v/>
      </c>
      <c r="S301" s="92">
        <f>IF(AC300&lt;0.005,0,MAX(0,AC300*(1+AC$6/12)-AC$7))</f>
        <v/>
      </c>
      <c r="T301" s="92">
        <f>IF(AD300&lt;0.005,0,MAX(0,AD300*(1+AD$6/12)-AD$7))</f>
        <v/>
      </c>
      <c r="U301" s="92">
        <f>IF(AE300&lt;0.005,0,MAX(0,AE300*(1+AE$6/12)-AE$7))</f>
        <v/>
      </c>
      <c r="V301" s="92">
        <f>IF(AF300&lt;0.005,0,MAX(0,AF300*(1+AF$6/12)-AF$7))</f>
        <v/>
      </c>
      <c r="W301" s="92">
        <f>IF(AG300&lt;0.005,0,MAX(0,AG300*(1+AG$6/12)-AG$7))</f>
        <v/>
      </c>
      <c r="X301" s="92">
        <f>IF(AH300&lt;0.005,0,MAX(0,AH300*(1+AH$6/12)-AH$7))</f>
        <v/>
      </c>
      <c r="Y301" s="92">
        <f>IF(AI300&lt;0.005,0,MAX(0,AI300*(1+AI$6/12)-AI$7))</f>
        <v/>
      </c>
      <c r="Z301" s="91">
        <f>MAX(0,P301-MAX(0,AK301-0))</f>
        <v/>
      </c>
      <c r="AA301" s="91">
        <f>MAX(0,Q301-MAX(0,AK301-SUM(P301:P301)))</f>
        <v/>
      </c>
      <c r="AB301" s="91">
        <f>MAX(0,R301-MAX(0,AK301-SUM(P301:Q301)))</f>
        <v/>
      </c>
      <c r="AC301" s="91">
        <f>MAX(0,S301-MAX(0,AK301-SUM(P301:R301)))</f>
        <v/>
      </c>
      <c r="AD301" s="91">
        <f>MAX(0,T301-MAX(0,AK301-SUM(P301:S301)))</f>
        <v/>
      </c>
      <c r="AE301" s="91">
        <f>MAX(0,U301-MAX(0,AK301-SUM(P301:T301)))</f>
        <v/>
      </c>
      <c r="AF301" s="91">
        <f>MAX(0,V301-MAX(0,AK301-SUM(P301:U301)))</f>
        <v/>
      </c>
      <c r="AG301" s="91">
        <f>MAX(0,W301-MAX(0,AK301-SUM(P301:V301)))</f>
        <v/>
      </c>
      <c r="AH301" s="91">
        <f>MAX(0,X301-MAX(0,AK301-SUM(P301:W301)))</f>
        <v/>
      </c>
      <c r="AI301" s="91">
        <f>MAX(0,Y301-MAX(0,AK301-SUM(P301:X301)))</f>
        <v/>
      </c>
      <c r="AJ301" s="92">
        <f>SUM(Z300:AI300)+AL301</f>
        <v/>
      </c>
      <c r="AK301" s="92">
        <f>$AK$7-(AJ301-SUM(P301:Y301))</f>
        <v/>
      </c>
      <c r="AL301" s="91">
        <f>SUMPRODUCT(Z300:AI300,$Z$6:$AI$6)/12</f>
        <v/>
      </c>
      <c r="AM301" s="88">
        <f>SUM(Z301:AI301)</f>
        <v/>
      </c>
      <c r="AO301" s="92">
        <f>IF(AY300&lt;0.005,0,MAX(0,AY300*(1+AY$6/12)-AY$7))</f>
        <v/>
      </c>
      <c r="AP301" s="92">
        <f>IF(AZ300&lt;0.005,0,MAX(0,AZ300*(1+AZ$6/12)-AZ$7))</f>
        <v/>
      </c>
      <c r="AQ301" s="92">
        <f>IF(BA300&lt;0.005,0,MAX(0,BA300*(1+BA$6/12)-BA$7))</f>
        <v/>
      </c>
      <c r="AR301" s="92">
        <f>IF(BB300&lt;0.005,0,MAX(0,BB300*(1+BB$6/12)-BB$7))</f>
        <v/>
      </c>
      <c r="AS301" s="92">
        <f>IF(BC300&lt;0.005,0,MAX(0,BC300*(1+BC$6/12)-BC$7))</f>
        <v/>
      </c>
      <c r="AT301" s="92">
        <f>IF(BD300&lt;0.005,0,MAX(0,BD300*(1+BD$6/12)-BD$7))</f>
        <v/>
      </c>
      <c r="AU301" s="92">
        <f>IF(BE300&lt;0.005,0,MAX(0,BE300*(1+BE$6/12)-BE$7))</f>
        <v/>
      </c>
      <c r="AV301" s="92">
        <f>IF(BF300&lt;0.005,0,MAX(0,BF300*(1+BF$6/12)-BF$7))</f>
        <v/>
      </c>
      <c r="AW301" s="92">
        <f>IF(BG300&lt;0.005,0,MAX(0,BG300*(1+BG$6/12)-BG$7))</f>
        <v/>
      </c>
      <c r="AX301" s="92">
        <f>IF(BH300&lt;0.005,0,MAX(0,BH300*(1+BH$6/12)-BH$7))</f>
        <v/>
      </c>
      <c r="AY301" s="91">
        <f>MAX(0,AO301-MAX(0,BJ301-0))</f>
        <v/>
      </c>
      <c r="AZ301" s="91">
        <f>MAX(0,AP301-MAX(0,BJ301-SUM(AO301:AO301)))</f>
        <v/>
      </c>
      <c r="BA301" s="91">
        <f>MAX(0,AQ301-MAX(0,BJ301-SUM(AO301:AP301)))</f>
        <v/>
      </c>
      <c r="BB301" s="91">
        <f>MAX(0,AR301-MAX(0,BJ301-SUM(AO301:AQ301)))</f>
        <v/>
      </c>
      <c r="BC301" s="91">
        <f>MAX(0,AS301-MAX(0,BJ301-SUM(AO301:AR301)))</f>
        <v/>
      </c>
      <c r="BD301" s="91">
        <f>MAX(0,AT301-MAX(0,BJ301-SUM(AO301:AS301)))</f>
        <v/>
      </c>
      <c r="BE301" s="91">
        <f>MAX(0,AU301-MAX(0,BJ301-SUM(AO301:AT301)))</f>
        <v/>
      </c>
      <c r="BF301" s="91">
        <f>MAX(0,AV301-MAX(0,BJ301-SUM(AO301:AU301)))</f>
        <v/>
      </c>
      <c r="BG301" s="91">
        <f>MAX(0,AW301-MAX(0,BJ301-SUM(AO301:AV301)))</f>
        <v/>
      </c>
      <c r="BH301" s="91">
        <f>MAX(0,AX301-MAX(0,BJ301-SUM(AO301:AW301)))</f>
        <v/>
      </c>
      <c r="BI301" s="92">
        <f>SUM(AY300:BH300)+BK301</f>
        <v/>
      </c>
      <c r="BJ301" s="92">
        <f>$BJ$7-(BI301-SUM(AO301:AX301))</f>
        <v/>
      </c>
      <c r="BK301" s="91">
        <f>SUMPRODUCT(AY300:BH300,$AY$6:$BH$6)/12</f>
        <v/>
      </c>
      <c r="BL301" s="88">
        <f>SUM(AY301:BH301)</f>
        <v/>
      </c>
    </row>
    <row r="302">
      <c r="A302" s="24" t="n">
        <v>292</v>
      </c>
      <c r="B302" s="90">
        <f>DATE(YEAR(Settings!$C$11),MONTH(Settings!$C$11)+A302,1)</f>
        <v/>
      </c>
      <c r="C302" s="91">
        <f>IF(C301&lt;0.005,0,MAX(0,C301*(1+C$6/12)-C$7))</f>
        <v/>
      </c>
      <c r="D302" s="91">
        <f>IF(D301&lt;0.005,0,MAX(0,D301*(1+D$6/12)-D$7))</f>
        <v/>
      </c>
      <c r="E302" s="91">
        <f>IF(E301&lt;0.005,0,MAX(0,E301*(1+E$6/12)-E$7))</f>
        <v/>
      </c>
      <c r="F302" s="91">
        <f>IF(F301&lt;0.005,0,MAX(0,F301*(1+F$6/12)-F$7))</f>
        <v/>
      </c>
      <c r="G302" s="91">
        <f>IF(G301&lt;0.005,0,MAX(0,G301*(1+G$6/12)-G$7))</f>
        <v/>
      </c>
      <c r="H302" s="91">
        <f>IF(H301&lt;0.005,0,MAX(0,H301*(1+H$6/12)-H$7))</f>
        <v/>
      </c>
      <c r="I302" s="91">
        <f>IF(I301&lt;0.005,0,MAX(0,I301*(1+I$6/12)-I$7))</f>
        <v/>
      </c>
      <c r="J302" s="91">
        <f>IF(J301&lt;0.005,0,MAX(0,J301*(1+J$6/12)-J$7))</f>
        <v/>
      </c>
      <c r="K302" s="91">
        <f>IF(K301&lt;0.005,0,MAX(0,K301*(1+K$6/12)-K$7))</f>
        <v/>
      </c>
      <c r="L302" s="91">
        <f>IF(L301&lt;0.005,0,MAX(0,L301*(1+L$6/12)-L$7))</f>
        <v/>
      </c>
      <c r="M302" s="91">
        <f>SUMPRODUCT(C301:L301,$C$6:$L$6)/12</f>
        <v/>
      </c>
      <c r="N302" s="88">
        <f>SUM(C302:L302)</f>
        <v/>
      </c>
      <c r="P302" s="92">
        <f>IF(Z301&lt;0.005,0,MAX(0,Z301*(1+Z$6/12)-Z$7))</f>
        <v/>
      </c>
      <c r="Q302" s="92">
        <f>IF(AA301&lt;0.005,0,MAX(0,AA301*(1+AA$6/12)-AA$7))</f>
        <v/>
      </c>
      <c r="R302" s="92">
        <f>IF(AB301&lt;0.005,0,MAX(0,AB301*(1+AB$6/12)-AB$7))</f>
        <v/>
      </c>
      <c r="S302" s="92">
        <f>IF(AC301&lt;0.005,0,MAX(0,AC301*(1+AC$6/12)-AC$7))</f>
        <v/>
      </c>
      <c r="T302" s="92">
        <f>IF(AD301&lt;0.005,0,MAX(0,AD301*(1+AD$6/12)-AD$7))</f>
        <v/>
      </c>
      <c r="U302" s="92">
        <f>IF(AE301&lt;0.005,0,MAX(0,AE301*(1+AE$6/12)-AE$7))</f>
        <v/>
      </c>
      <c r="V302" s="92">
        <f>IF(AF301&lt;0.005,0,MAX(0,AF301*(1+AF$6/12)-AF$7))</f>
        <v/>
      </c>
      <c r="W302" s="92">
        <f>IF(AG301&lt;0.005,0,MAX(0,AG301*(1+AG$6/12)-AG$7))</f>
        <v/>
      </c>
      <c r="X302" s="92">
        <f>IF(AH301&lt;0.005,0,MAX(0,AH301*(1+AH$6/12)-AH$7))</f>
        <v/>
      </c>
      <c r="Y302" s="92">
        <f>IF(AI301&lt;0.005,0,MAX(0,AI301*(1+AI$6/12)-AI$7))</f>
        <v/>
      </c>
      <c r="Z302" s="91">
        <f>MAX(0,P302-MAX(0,AK302-0))</f>
        <v/>
      </c>
      <c r="AA302" s="91">
        <f>MAX(0,Q302-MAX(0,AK302-SUM(P302:P302)))</f>
        <v/>
      </c>
      <c r="AB302" s="91">
        <f>MAX(0,R302-MAX(0,AK302-SUM(P302:Q302)))</f>
        <v/>
      </c>
      <c r="AC302" s="91">
        <f>MAX(0,S302-MAX(0,AK302-SUM(P302:R302)))</f>
        <v/>
      </c>
      <c r="AD302" s="91">
        <f>MAX(0,T302-MAX(0,AK302-SUM(P302:S302)))</f>
        <v/>
      </c>
      <c r="AE302" s="91">
        <f>MAX(0,U302-MAX(0,AK302-SUM(P302:T302)))</f>
        <v/>
      </c>
      <c r="AF302" s="91">
        <f>MAX(0,V302-MAX(0,AK302-SUM(P302:U302)))</f>
        <v/>
      </c>
      <c r="AG302" s="91">
        <f>MAX(0,W302-MAX(0,AK302-SUM(P302:V302)))</f>
        <v/>
      </c>
      <c r="AH302" s="91">
        <f>MAX(0,X302-MAX(0,AK302-SUM(P302:W302)))</f>
        <v/>
      </c>
      <c r="AI302" s="91">
        <f>MAX(0,Y302-MAX(0,AK302-SUM(P302:X302)))</f>
        <v/>
      </c>
      <c r="AJ302" s="92">
        <f>SUM(Z301:AI301)+AL302</f>
        <v/>
      </c>
      <c r="AK302" s="92">
        <f>$AK$7-(AJ302-SUM(P302:Y302))</f>
        <v/>
      </c>
      <c r="AL302" s="91">
        <f>SUMPRODUCT(Z301:AI301,$Z$6:$AI$6)/12</f>
        <v/>
      </c>
      <c r="AM302" s="88">
        <f>SUM(Z302:AI302)</f>
        <v/>
      </c>
      <c r="AO302" s="92">
        <f>IF(AY301&lt;0.005,0,MAX(0,AY301*(1+AY$6/12)-AY$7))</f>
        <v/>
      </c>
      <c r="AP302" s="92">
        <f>IF(AZ301&lt;0.005,0,MAX(0,AZ301*(1+AZ$6/12)-AZ$7))</f>
        <v/>
      </c>
      <c r="AQ302" s="92">
        <f>IF(BA301&lt;0.005,0,MAX(0,BA301*(1+BA$6/12)-BA$7))</f>
        <v/>
      </c>
      <c r="AR302" s="92">
        <f>IF(BB301&lt;0.005,0,MAX(0,BB301*(1+BB$6/12)-BB$7))</f>
        <v/>
      </c>
      <c r="AS302" s="92">
        <f>IF(BC301&lt;0.005,0,MAX(0,BC301*(1+BC$6/12)-BC$7))</f>
        <v/>
      </c>
      <c r="AT302" s="92">
        <f>IF(BD301&lt;0.005,0,MAX(0,BD301*(1+BD$6/12)-BD$7))</f>
        <v/>
      </c>
      <c r="AU302" s="92">
        <f>IF(BE301&lt;0.005,0,MAX(0,BE301*(1+BE$6/12)-BE$7))</f>
        <v/>
      </c>
      <c r="AV302" s="92">
        <f>IF(BF301&lt;0.005,0,MAX(0,BF301*(1+BF$6/12)-BF$7))</f>
        <v/>
      </c>
      <c r="AW302" s="92">
        <f>IF(BG301&lt;0.005,0,MAX(0,BG301*(1+BG$6/12)-BG$7))</f>
        <v/>
      </c>
      <c r="AX302" s="92">
        <f>IF(BH301&lt;0.005,0,MAX(0,BH301*(1+BH$6/12)-BH$7))</f>
        <v/>
      </c>
      <c r="AY302" s="91">
        <f>MAX(0,AO302-MAX(0,BJ302-0))</f>
        <v/>
      </c>
      <c r="AZ302" s="91">
        <f>MAX(0,AP302-MAX(0,BJ302-SUM(AO302:AO302)))</f>
        <v/>
      </c>
      <c r="BA302" s="91">
        <f>MAX(0,AQ302-MAX(0,BJ302-SUM(AO302:AP302)))</f>
        <v/>
      </c>
      <c r="BB302" s="91">
        <f>MAX(0,AR302-MAX(0,BJ302-SUM(AO302:AQ302)))</f>
        <v/>
      </c>
      <c r="BC302" s="91">
        <f>MAX(0,AS302-MAX(0,BJ302-SUM(AO302:AR302)))</f>
        <v/>
      </c>
      <c r="BD302" s="91">
        <f>MAX(0,AT302-MAX(0,BJ302-SUM(AO302:AS302)))</f>
        <v/>
      </c>
      <c r="BE302" s="91">
        <f>MAX(0,AU302-MAX(0,BJ302-SUM(AO302:AT302)))</f>
        <v/>
      </c>
      <c r="BF302" s="91">
        <f>MAX(0,AV302-MAX(0,BJ302-SUM(AO302:AU302)))</f>
        <v/>
      </c>
      <c r="BG302" s="91">
        <f>MAX(0,AW302-MAX(0,BJ302-SUM(AO302:AV302)))</f>
        <v/>
      </c>
      <c r="BH302" s="91">
        <f>MAX(0,AX302-MAX(0,BJ302-SUM(AO302:AW302)))</f>
        <v/>
      </c>
      <c r="BI302" s="92">
        <f>SUM(AY301:BH301)+BK302</f>
        <v/>
      </c>
      <c r="BJ302" s="92">
        <f>$BJ$7-(BI302-SUM(AO302:AX302))</f>
        <v/>
      </c>
      <c r="BK302" s="91">
        <f>SUMPRODUCT(AY301:BH301,$AY$6:$BH$6)/12</f>
        <v/>
      </c>
      <c r="BL302" s="88">
        <f>SUM(AY302:BH302)</f>
        <v/>
      </c>
    </row>
    <row r="303">
      <c r="A303" s="24" t="n">
        <v>293</v>
      </c>
      <c r="B303" s="90">
        <f>DATE(YEAR(Settings!$C$11),MONTH(Settings!$C$11)+A303,1)</f>
        <v/>
      </c>
      <c r="C303" s="91">
        <f>IF(C302&lt;0.005,0,MAX(0,C302*(1+C$6/12)-C$7))</f>
        <v/>
      </c>
      <c r="D303" s="91">
        <f>IF(D302&lt;0.005,0,MAX(0,D302*(1+D$6/12)-D$7))</f>
        <v/>
      </c>
      <c r="E303" s="91">
        <f>IF(E302&lt;0.005,0,MAX(0,E302*(1+E$6/12)-E$7))</f>
        <v/>
      </c>
      <c r="F303" s="91">
        <f>IF(F302&lt;0.005,0,MAX(0,F302*(1+F$6/12)-F$7))</f>
        <v/>
      </c>
      <c r="G303" s="91">
        <f>IF(G302&lt;0.005,0,MAX(0,G302*(1+G$6/12)-G$7))</f>
        <v/>
      </c>
      <c r="H303" s="91">
        <f>IF(H302&lt;0.005,0,MAX(0,H302*(1+H$6/12)-H$7))</f>
        <v/>
      </c>
      <c r="I303" s="91">
        <f>IF(I302&lt;0.005,0,MAX(0,I302*(1+I$6/12)-I$7))</f>
        <v/>
      </c>
      <c r="J303" s="91">
        <f>IF(J302&lt;0.005,0,MAX(0,J302*(1+J$6/12)-J$7))</f>
        <v/>
      </c>
      <c r="K303" s="91">
        <f>IF(K302&lt;0.005,0,MAX(0,K302*(1+K$6/12)-K$7))</f>
        <v/>
      </c>
      <c r="L303" s="91">
        <f>IF(L302&lt;0.005,0,MAX(0,L302*(1+L$6/12)-L$7))</f>
        <v/>
      </c>
      <c r="M303" s="91">
        <f>SUMPRODUCT(C302:L302,$C$6:$L$6)/12</f>
        <v/>
      </c>
      <c r="N303" s="88">
        <f>SUM(C303:L303)</f>
        <v/>
      </c>
      <c r="P303" s="92">
        <f>IF(Z302&lt;0.005,0,MAX(0,Z302*(1+Z$6/12)-Z$7))</f>
        <v/>
      </c>
      <c r="Q303" s="92">
        <f>IF(AA302&lt;0.005,0,MAX(0,AA302*(1+AA$6/12)-AA$7))</f>
        <v/>
      </c>
      <c r="R303" s="92">
        <f>IF(AB302&lt;0.005,0,MAX(0,AB302*(1+AB$6/12)-AB$7))</f>
        <v/>
      </c>
      <c r="S303" s="92">
        <f>IF(AC302&lt;0.005,0,MAX(0,AC302*(1+AC$6/12)-AC$7))</f>
        <v/>
      </c>
      <c r="T303" s="92">
        <f>IF(AD302&lt;0.005,0,MAX(0,AD302*(1+AD$6/12)-AD$7))</f>
        <v/>
      </c>
      <c r="U303" s="92">
        <f>IF(AE302&lt;0.005,0,MAX(0,AE302*(1+AE$6/12)-AE$7))</f>
        <v/>
      </c>
      <c r="V303" s="92">
        <f>IF(AF302&lt;0.005,0,MAX(0,AF302*(1+AF$6/12)-AF$7))</f>
        <v/>
      </c>
      <c r="W303" s="92">
        <f>IF(AG302&lt;0.005,0,MAX(0,AG302*(1+AG$6/12)-AG$7))</f>
        <v/>
      </c>
      <c r="X303" s="92">
        <f>IF(AH302&lt;0.005,0,MAX(0,AH302*(1+AH$6/12)-AH$7))</f>
        <v/>
      </c>
      <c r="Y303" s="92">
        <f>IF(AI302&lt;0.005,0,MAX(0,AI302*(1+AI$6/12)-AI$7))</f>
        <v/>
      </c>
      <c r="Z303" s="91">
        <f>MAX(0,P303-MAX(0,AK303-0))</f>
        <v/>
      </c>
      <c r="AA303" s="91">
        <f>MAX(0,Q303-MAX(0,AK303-SUM(P303:P303)))</f>
        <v/>
      </c>
      <c r="AB303" s="91">
        <f>MAX(0,R303-MAX(0,AK303-SUM(P303:Q303)))</f>
        <v/>
      </c>
      <c r="AC303" s="91">
        <f>MAX(0,S303-MAX(0,AK303-SUM(P303:R303)))</f>
        <v/>
      </c>
      <c r="AD303" s="91">
        <f>MAX(0,T303-MAX(0,AK303-SUM(P303:S303)))</f>
        <v/>
      </c>
      <c r="AE303" s="91">
        <f>MAX(0,U303-MAX(0,AK303-SUM(P303:T303)))</f>
        <v/>
      </c>
      <c r="AF303" s="91">
        <f>MAX(0,V303-MAX(0,AK303-SUM(P303:U303)))</f>
        <v/>
      </c>
      <c r="AG303" s="91">
        <f>MAX(0,W303-MAX(0,AK303-SUM(P303:V303)))</f>
        <v/>
      </c>
      <c r="AH303" s="91">
        <f>MAX(0,X303-MAX(0,AK303-SUM(P303:W303)))</f>
        <v/>
      </c>
      <c r="AI303" s="91">
        <f>MAX(0,Y303-MAX(0,AK303-SUM(P303:X303)))</f>
        <v/>
      </c>
      <c r="AJ303" s="92">
        <f>SUM(Z302:AI302)+AL303</f>
        <v/>
      </c>
      <c r="AK303" s="92">
        <f>$AK$7-(AJ303-SUM(P303:Y303))</f>
        <v/>
      </c>
      <c r="AL303" s="91">
        <f>SUMPRODUCT(Z302:AI302,$Z$6:$AI$6)/12</f>
        <v/>
      </c>
      <c r="AM303" s="88">
        <f>SUM(Z303:AI303)</f>
        <v/>
      </c>
      <c r="AO303" s="92">
        <f>IF(AY302&lt;0.005,0,MAX(0,AY302*(1+AY$6/12)-AY$7))</f>
        <v/>
      </c>
      <c r="AP303" s="92">
        <f>IF(AZ302&lt;0.005,0,MAX(0,AZ302*(1+AZ$6/12)-AZ$7))</f>
        <v/>
      </c>
      <c r="AQ303" s="92">
        <f>IF(BA302&lt;0.005,0,MAX(0,BA302*(1+BA$6/12)-BA$7))</f>
        <v/>
      </c>
      <c r="AR303" s="92">
        <f>IF(BB302&lt;0.005,0,MAX(0,BB302*(1+BB$6/12)-BB$7))</f>
        <v/>
      </c>
      <c r="AS303" s="92">
        <f>IF(BC302&lt;0.005,0,MAX(0,BC302*(1+BC$6/12)-BC$7))</f>
        <v/>
      </c>
      <c r="AT303" s="92">
        <f>IF(BD302&lt;0.005,0,MAX(0,BD302*(1+BD$6/12)-BD$7))</f>
        <v/>
      </c>
      <c r="AU303" s="92">
        <f>IF(BE302&lt;0.005,0,MAX(0,BE302*(1+BE$6/12)-BE$7))</f>
        <v/>
      </c>
      <c r="AV303" s="92">
        <f>IF(BF302&lt;0.005,0,MAX(0,BF302*(1+BF$6/12)-BF$7))</f>
        <v/>
      </c>
      <c r="AW303" s="92">
        <f>IF(BG302&lt;0.005,0,MAX(0,BG302*(1+BG$6/12)-BG$7))</f>
        <v/>
      </c>
      <c r="AX303" s="92">
        <f>IF(BH302&lt;0.005,0,MAX(0,BH302*(1+BH$6/12)-BH$7))</f>
        <v/>
      </c>
      <c r="AY303" s="91">
        <f>MAX(0,AO303-MAX(0,BJ303-0))</f>
        <v/>
      </c>
      <c r="AZ303" s="91">
        <f>MAX(0,AP303-MAX(0,BJ303-SUM(AO303:AO303)))</f>
        <v/>
      </c>
      <c r="BA303" s="91">
        <f>MAX(0,AQ303-MAX(0,BJ303-SUM(AO303:AP303)))</f>
        <v/>
      </c>
      <c r="BB303" s="91">
        <f>MAX(0,AR303-MAX(0,BJ303-SUM(AO303:AQ303)))</f>
        <v/>
      </c>
      <c r="BC303" s="91">
        <f>MAX(0,AS303-MAX(0,BJ303-SUM(AO303:AR303)))</f>
        <v/>
      </c>
      <c r="BD303" s="91">
        <f>MAX(0,AT303-MAX(0,BJ303-SUM(AO303:AS303)))</f>
        <v/>
      </c>
      <c r="BE303" s="91">
        <f>MAX(0,AU303-MAX(0,BJ303-SUM(AO303:AT303)))</f>
        <v/>
      </c>
      <c r="BF303" s="91">
        <f>MAX(0,AV303-MAX(0,BJ303-SUM(AO303:AU303)))</f>
        <v/>
      </c>
      <c r="BG303" s="91">
        <f>MAX(0,AW303-MAX(0,BJ303-SUM(AO303:AV303)))</f>
        <v/>
      </c>
      <c r="BH303" s="91">
        <f>MAX(0,AX303-MAX(0,BJ303-SUM(AO303:AW303)))</f>
        <v/>
      </c>
      <c r="BI303" s="92">
        <f>SUM(AY302:BH302)+BK303</f>
        <v/>
      </c>
      <c r="BJ303" s="92">
        <f>$BJ$7-(BI303-SUM(AO303:AX303))</f>
        <v/>
      </c>
      <c r="BK303" s="91">
        <f>SUMPRODUCT(AY302:BH302,$AY$6:$BH$6)/12</f>
        <v/>
      </c>
      <c r="BL303" s="88">
        <f>SUM(AY303:BH303)</f>
        <v/>
      </c>
    </row>
    <row r="304">
      <c r="A304" s="24" t="n">
        <v>294</v>
      </c>
      <c r="B304" s="90">
        <f>DATE(YEAR(Settings!$C$11),MONTH(Settings!$C$11)+A304,1)</f>
        <v/>
      </c>
      <c r="C304" s="91">
        <f>IF(C303&lt;0.005,0,MAX(0,C303*(1+C$6/12)-C$7))</f>
        <v/>
      </c>
      <c r="D304" s="91">
        <f>IF(D303&lt;0.005,0,MAX(0,D303*(1+D$6/12)-D$7))</f>
        <v/>
      </c>
      <c r="E304" s="91">
        <f>IF(E303&lt;0.005,0,MAX(0,E303*(1+E$6/12)-E$7))</f>
        <v/>
      </c>
      <c r="F304" s="91">
        <f>IF(F303&lt;0.005,0,MAX(0,F303*(1+F$6/12)-F$7))</f>
        <v/>
      </c>
      <c r="G304" s="91">
        <f>IF(G303&lt;0.005,0,MAX(0,G303*(1+G$6/12)-G$7))</f>
        <v/>
      </c>
      <c r="H304" s="91">
        <f>IF(H303&lt;0.005,0,MAX(0,H303*(1+H$6/12)-H$7))</f>
        <v/>
      </c>
      <c r="I304" s="91">
        <f>IF(I303&lt;0.005,0,MAX(0,I303*(1+I$6/12)-I$7))</f>
        <v/>
      </c>
      <c r="J304" s="91">
        <f>IF(J303&lt;0.005,0,MAX(0,J303*(1+J$6/12)-J$7))</f>
        <v/>
      </c>
      <c r="K304" s="91">
        <f>IF(K303&lt;0.005,0,MAX(0,K303*(1+K$6/12)-K$7))</f>
        <v/>
      </c>
      <c r="L304" s="91">
        <f>IF(L303&lt;0.005,0,MAX(0,L303*(1+L$6/12)-L$7))</f>
        <v/>
      </c>
      <c r="M304" s="91">
        <f>SUMPRODUCT(C303:L303,$C$6:$L$6)/12</f>
        <v/>
      </c>
      <c r="N304" s="88">
        <f>SUM(C304:L304)</f>
        <v/>
      </c>
      <c r="P304" s="92">
        <f>IF(Z303&lt;0.005,0,MAX(0,Z303*(1+Z$6/12)-Z$7))</f>
        <v/>
      </c>
      <c r="Q304" s="92">
        <f>IF(AA303&lt;0.005,0,MAX(0,AA303*(1+AA$6/12)-AA$7))</f>
        <v/>
      </c>
      <c r="R304" s="92">
        <f>IF(AB303&lt;0.005,0,MAX(0,AB303*(1+AB$6/12)-AB$7))</f>
        <v/>
      </c>
      <c r="S304" s="92">
        <f>IF(AC303&lt;0.005,0,MAX(0,AC303*(1+AC$6/12)-AC$7))</f>
        <v/>
      </c>
      <c r="T304" s="92">
        <f>IF(AD303&lt;0.005,0,MAX(0,AD303*(1+AD$6/12)-AD$7))</f>
        <v/>
      </c>
      <c r="U304" s="92">
        <f>IF(AE303&lt;0.005,0,MAX(0,AE303*(1+AE$6/12)-AE$7))</f>
        <v/>
      </c>
      <c r="V304" s="92">
        <f>IF(AF303&lt;0.005,0,MAX(0,AF303*(1+AF$6/12)-AF$7))</f>
        <v/>
      </c>
      <c r="W304" s="92">
        <f>IF(AG303&lt;0.005,0,MAX(0,AG303*(1+AG$6/12)-AG$7))</f>
        <v/>
      </c>
      <c r="X304" s="92">
        <f>IF(AH303&lt;0.005,0,MAX(0,AH303*(1+AH$6/12)-AH$7))</f>
        <v/>
      </c>
      <c r="Y304" s="92">
        <f>IF(AI303&lt;0.005,0,MAX(0,AI303*(1+AI$6/12)-AI$7))</f>
        <v/>
      </c>
      <c r="Z304" s="91">
        <f>MAX(0,P304-MAX(0,AK304-0))</f>
        <v/>
      </c>
      <c r="AA304" s="91">
        <f>MAX(0,Q304-MAX(0,AK304-SUM(P304:P304)))</f>
        <v/>
      </c>
      <c r="AB304" s="91">
        <f>MAX(0,R304-MAX(0,AK304-SUM(P304:Q304)))</f>
        <v/>
      </c>
      <c r="AC304" s="91">
        <f>MAX(0,S304-MAX(0,AK304-SUM(P304:R304)))</f>
        <v/>
      </c>
      <c r="AD304" s="91">
        <f>MAX(0,T304-MAX(0,AK304-SUM(P304:S304)))</f>
        <v/>
      </c>
      <c r="AE304" s="91">
        <f>MAX(0,U304-MAX(0,AK304-SUM(P304:T304)))</f>
        <v/>
      </c>
      <c r="AF304" s="91">
        <f>MAX(0,V304-MAX(0,AK304-SUM(P304:U304)))</f>
        <v/>
      </c>
      <c r="AG304" s="91">
        <f>MAX(0,W304-MAX(0,AK304-SUM(P304:V304)))</f>
        <v/>
      </c>
      <c r="AH304" s="91">
        <f>MAX(0,X304-MAX(0,AK304-SUM(P304:W304)))</f>
        <v/>
      </c>
      <c r="AI304" s="91">
        <f>MAX(0,Y304-MAX(0,AK304-SUM(P304:X304)))</f>
        <v/>
      </c>
      <c r="AJ304" s="92">
        <f>SUM(Z303:AI303)+AL304</f>
        <v/>
      </c>
      <c r="AK304" s="92">
        <f>$AK$7-(AJ304-SUM(P304:Y304))</f>
        <v/>
      </c>
      <c r="AL304" s="91">
        <f>SUMPRODUCT(Z303:AI303,$Z$6:$AI$6)/12</f>
        <v/>
      </c>
      <c r="AM304" s="88">
        <f>SUM(Z304:AI304)</f>
        <v/>
      </c>
      <c r="AO304" s="92">
        <f>IF(AY303&lt;0.005,0,MAX(0,AY303*(1+AY$6/12)-AY$7))</f>
        <v/>
      </c>
      <c r="AP304" s="92">
        <f>IF(AZ303&lt;0.005,0,MAX(0,AZ303*(1+AZ$6/12)-AZ$7))</f>
        <v/>
      </c>
      <c r="AQ304" s="92">
        <f>IF(BA303&lt;0.005,0,MAX(0,BA303*(1+BA$6/12)-BA$7))</f>
        <v/>
      </c>
      <c r="AR304" s="92">
        <f>IF(BB303&lt;0.005,0,MAX(0,BB303*(1+BB$6/12)-BB$7))</f>
        <v/>
      </c>
      <c r="AS304" s="92">
        <f>IF(BC303&lt;0.005,0,MAX(0,BC303*(1+BC$6/12)-BC$7))</f>
        <v/>
      </c>
      <c r="AT304" s="92">
        <f>IF(BD303&lt;0.005,0,MAX(0,BD303*(1+BD$6/12)-BD$7))</f>
        <v/>
      </c>
      <c r="AU304" s="92">
        <f>IF(BE303&lt;0.005,0,MAX(0,BE303*(1+BE$6/12)-BE$7))</f>
        <v/>
      </c>
      <c r="AV304" s="92">
        <f>IF(BF303&lt;0.005,0,MAX(0,BF303*(1+BF$6/12)-BF$7))</f>
        <v/>
      </c>
      <c r="AW304" s="92">
        <f>IF(BG303&lt;0.005,0,MAX(0,BG303*(1+BG$6/12)-BG$7))</f>
        <v/>
      </c>
      <c r="AX304" s="92">
        <f>IF(BH303&lt;0.005,0,MAX(0,BH303*(1+BH$6/12)-BH$7))</f>
        <v/>
      </c>
      <c r="AY304" s="91">
        <f>MAX(0,AO304-MAX(0,BJ304-0))</f>
        <v/>
      </c>
      <c r="AZ304" s="91">
        <f>MAX(0,AP304-MAX(0,BJ304-SUM(AO304:AO304)))</f>
        <v/>
      </c>
      <c r="BA304" s="91">
        <f>MAX(0,AQ304-MAX(0,BJ304-SUM(AO304:AP304)))</f>
        <v/>
      </c>
      <c r="BB304" s="91">
        <f>MAX(0,AR304-MAX(0,BJ304-SUM(AO304:AQ304)))</f>
        <v/>
      </c>
      <c r="BC304" s="91">
        <f>MAX(0,AS304-MAX(0,BJ304-SUM(AO304:AR304)))</f>
        <v/>
      </c>
      <c r="BD304" s="91">
        <f>MAX(0,AT304-MAX(0,BJ304-SUM(AO304:AS304)))</f>
        <v/>
      </c>
      <c r="BE304" s="91">
        <f>MAX(0,AU304-MAX(0,BJ304-SUM(AO304:AT304)))</f>
        <v/>
      </c>
      <c r="BF304" s="91">
        <f>MAX(0,AV304-MAX(0,BJ304-SUM(AO304:AU304)))</f>
        <v/>
      </c>
      <c r="BG304" s="91">
        <f>MAX(0,AW304-MAX(0,BJ304-SUM(AO304:AV304)))</f>
        <v/>
      </c>
      <c r="BH304" s="91">
        <f>MAX(0,AX304-MAX(0,BJ304-SUM(AO304:AW304)))</f>
        <v/>
      </c>
      <c r="BI304" s="92">
        <f>SUM(AY303:BH303)+BK304</f>
        <v/>
      </c>
      <c r="BJ304" s="92">
        <f>$BJ$7-(BI304-SUM(AO304:AX304))</f>
        <v/>
      </c>
      <c r="BK304" s="91">
        <f>SUMPRODUCT(AY303:BH303,$AY$6:$BH$6)/12</f>
        <v/>
      </c>
      <c r="BL304" s="88">
        <f>SUM(AY304:BH304)</f>
        <v/>
      </c>
    </row>
    <row r="305">
      <c r="A305" s="24" t="n">
        <v>295</v>
      </c>
      <c r="B305" s="90">
        <f>DATE(YEAR(Settings!$C$11),MONTH(Settings!$C$11)+A305,1)</f>
        <v/>
      </c>
      <c r="C305" s="91">
        <f>IF(C304&lt;0.005,0,MAX(0,C304*(1+C$6/12)-C$7))</f>
        <v/>
      </c>
      <c r="D305" s="91">
        <f>IF(D304&lt;0.005,0,MAX(0,D304*(1+D$6/12)-D$7))</f>
        <v/>
      </c>
      <c r="E305" s="91">
        <f>IF(E304&lt;0.005,0,MAX(0,E304*(1+E$6/12)-E$7))</f>
        <v/>
      </c>
      <c r="F305" s="91">
        <f>IF(F304&lt;0.005,0,MAX(0,F304*(1+F$6/12)-F$7))</f>
        <v/>
      </c>
      <c r="G305" s="91">
        <f>IF(G304&lt;0.005,0,MAX(0,G304*(1+G$6/12)-G$7))</f>
        <v/>
      </c>
      <c r="H305" s="91">
        <f>IF(H304&lt;0.005,0,MAX(0,H304*(1+H$6/12)-H$7))</f>
        <v/>
      </c>
      <c r="I305" s="91">
        <f>IF(I304&lt;0.005,0,MAX(0,I304*(1+I$6/12)-I$7))</f>
        <v/>
      </c>
      <c r="J305" s="91">
        <f>IF(J304&lt;0.005,0,MAX(0,J304*(1+J$6/12)-J$7))</f>
        <v/>
      </c>
      <c r="K305" s="91">
        <f>IF(K304&lt;0.005,0,MAX(0,K304*(1+K$6/12)-K$7))</f>
        <v/>
      </c>
      <c r="L305" s="91">
        <f>IF(L304&lt;0.005,0,MAX(0,L304*(1+L$6/12)-L$7))</f>
        <v/>
      </c>
      <c r="M305" s="91">
        <f>SUMPRODUCT(C304:L304,$C$6:$L$6)/12</f>
        <v/>
      </c>
      <c r="N305" s="88">
        <f>SUM(C305:L305)</f>
        <v/>
      </c>
      <c r="P305" s="92">
        <f>IF(Z304&lt;0.005,0,MAX(0,Z304*(1+Z$6/12)-Z$7))</f>
        <v/>
      </c>
      <c r="Q305" s="92">
        <f>IF(AA304&lt;0.005,0,MAX(0,AA304*(1+AA$6/12)-AA$7))</f>
        <v/>
      </c>
      <c r="R305" s="92">
        <f>IF(AB304&lt;0.005,0,MAX(0,AB304*(1+AB$6/12)-AB$7))</f>
        <v/>
      </c>
      <c r="S305" s="92">
        <f>IF(AC304&lt;0.005,0,MAX(0,AC304*(1+AC$6/12)-AC$7))</f>
        <v/>
      </c>
      <c r="T305" s="92">
        <f>IF(AD304&lt;0.005,0,MAX(0,AD304*(1+AD$6/12)-AD$7))</f>
        <v/>
      </c>
      <c r="U305" s="92">
        <f>IF(AE304&lt;0.005,0,MAX(0,AE304*(1+AE$6/12)-AE$7))</f>
        <v/>
      </c>
      <c r="V305" s="92">
        <f>IF(AF304&lt;0.005,0,MAX(0,AF304*(1+AF$6/12)-AF$7))</f>
        <v/>
      </c>
      <c r="W305" s="92">
        <f>IF(AG304&lt;0.005,0,MAX(0,AG304*(1+AG$6/12)-AG$7))</f>
        <v/>
      </c>
      <c r="X305" s="92">
        <f>IF(AH304&lt;0.005,0,MAX(0,AH304*(1+AH$6/12)-AH$7))</f>
        <v/>
      </c>
      <c r="Y305" s="92">
        <f>IF(AI304&lt;0.005,0,MAX(0,AI304*(1+AI$6/12)-AI$7))</f>
        <v/>
      </c>
      <c r="Z305" s="91">
        <f>MAX(0,P305-MAX(0,AK305-0))</f>
        <v/>
      </c>
      <c r="AA305" s="91">
        <f>MAX(0,Q305-MAX(0,AK305-SUM(P305:P305)))</f>
        <v/>
      </c>
      <c r="AB305" s="91">
        <f>MAX(0,R305-MAX(0,AK305-SUM(P305:Q305)))</f>
        <v/>
      </c>
      <c r="AC305" s="91">
        <f>MAX(0,S305-MAX(0,AK305-SUM(P305:R305)))</f>
        <v/>
      </c>
      <c r="AD305" s="91">
        <f>MAX(0,T305-MAX(0,AK305-SUM(P305:S305)))</f>
        <v/>
      </c>
      <c r="AE305" s="91">
        <f>MAX(0,U305-MAX(0,AK305-SUM(P305:T305)))</f>
        <v/>
      </c>
      <c r="AF305" s="91">
        <f>MAX(0,V305-MAX(0,AK305-SUM(P305:U305)))</f>
        <v/>
      </c>
      <c r="AG305" s="91">
        <f>MAX(0,W305-MAX(0,AK305-SUM(P305:V305)))</f>
        <v/>
      </c>
      <c r="AH305" s="91">
        <f>MAX(0,X305-MAX(0,AK305-SUM(P305:W305)))</f>
        <v/>
      </c>
      <c r="AI305" s="91">
        <f>MAX(0,Y305-MAX(0,AK305-SUM(P305:X305)))</f>
        <v/>
      </c>
      <c r="AJ305" s="92">
        <f>SUM(Z304:AI304)+AL305</f>
        <v/>
      </c>
      <c r="AK305" s="92">
        <f>$AK$7-(AJ305-SUM(P305:Y305))</f>
        <v/>
      </c>
      <c r="AL305" s="91">
        <f>SUMPRODUCT(Z304:AI304,$Z$6:$AI$6)/12</f>
        <v/>
      </c>
      <c r="AM305" s="88">
        <f>SUM(Z305:AI305)</f>
        <v/>
      </c>
      <c r="AO305" s="92">
        <f>IF(AY304&lt;0.005,0,MAX(0,AY304*(1+AY$6/12)-AY$7))</f>
        <v/>
      </c>
      <c r="AP305" s="92">
        <f>IF(AZ304&lt;0.005,0,MAX(0,AZ304*(1+AZ$6/12)-AZ$7))</f>
        <v/>
      </c>
      <c r="AQ305" s="92">
        <f>IF(BA304&lt;0.005,0,MAX(0,BA304*(1+BA$6/12)-BA$7))</f>
        <v/>
      </c>
      <c r="AR305" s="92">
        <f>IF(BB304&lt;0.005,0,MAX(0,BB304*(1+BB$6/12)-BB$7))</f>
        <v/>
      </c>
      <c r="AS305" s="92">
        <f>IF(BC304&lt;0.005,0,MAX(0,BC304*(1+BC$6/12)-BC$7))</f>
        <v/>
      </c>
      <c r="AT305" s="92">
        <f>IF(BD304&lt;0.005,0,MAX(0,BD304*(1+BD$6/12)-BD$7))</f>
        <v/>
      </c>
      <c r="AU305" s="92">
        <f>IF(BE304&lt;0.005,0,MAX(0,BE304*(1+BE$6/12)-BE$7))</f>
        <v/>
      </c>
      <c r="AV305" s="92">
        <f>IF(BF304&lt;0.005,0,MAX(0,BF304*(1+BF$6/12)-BF$7))</f>
        <v/>
      </c>
      <c r="AW305" s="92">
        <f>IF(BG304&lt;0.005,0,MAX(0,BG304*(1+BG$6/12)-BG$7))</f>
        <v/>
      </c>
      <c r="AX305" s="92">
        <f>IF(BH304&lt;0.005,0,MAX(0,BH304*(1+BH$6/12)-BH$7))</f>
        <v/>
      </c>
      <c r="AY305" s="91">
        <f>MAX(0,AO305-MAX(0,BJ305-0))</f>
        <v/>
      </c>
      <c r="AZ305" s="91">
        <f>MAX(0,AP305-MAX(0,BJ305-SUM(AO305:AO305)))</f>
        <v/>
      </c>
      <c r="BA305" s="91">
        <f>MAX(0,AQ305-MAX(0,BJ305-SUM(AO305:AP305)))</f>
        <v/>
      </c>
      <c r="BB305" s="91">
        <f>MAX(0,AR305-MAX(0,BJ305-SUM(AO305:AQ305)))</f>
        <v/>
      </c>
      <c r="BC305" s="91">
        <f>MAX(0,AS305-MAX(0,BJ305-SUM(AO305:AR305)))</f>
        <v/>
      </c>
      <c r="BD305" s="91">
        <f>MAX(0,AT305-MAX(0,BJ305-SUM(AO305:AS305)))</f>
        <v/>
      </c>
      <c r="BE305" s="91">
        <f>MAX(0,AU305-MAX(0,BJ305-SUM(AO305:AT305)))</f>
        <v/>
      </c>
      <c r="BF305" s="91">
        <f>MAX(0,AV305-MAX(0,BJ305-SUM(AO305:AU305)))</f>
        <v/>
      </c>
      <c r="BG305" s="91">
        <f>MAX(0,AW305-MAX(0,BJ305-SUM(AO305:AV305)))</f>
        <v/>
      </c>
      <c r="BH305" s="91">
        <f>MAX(0,AX305-MAX(0,BJ305-SUM(AO305:AW305)))</f>
        <v/>
      </c>
      <c r="BI305" s="92">
        <f>SUM(AY304:BH304)+BK305</f>
        <v/>
      </c>
      <c r="BJ305" s="92">
        <f>$BJ$7-(BI305-SUM(AO305:AX305))</f>
        <v/>
      </c>
      <c r="BK305" s="91">
        <f>SUMPRODUCT(AY304:BH304,$AY$6:$BH$6)/12</f>
        <v/>
      </c>
      <c r="BL305" s="88">
        <f>SUM(AY305:BH305)</f>
        <v/>
      </c>
    </row>
    <row r="306">
      <c r="A306" s="24" t="n">
        <v>296</v>
      </c>
      <c r="B306" s="90">
        <f>DATE(YEAR(Settings!$C$11),MONTH(Settings!$C$11)+A306,1)</f>
        <v/>
      </c>
      <c r="C306" s="91">
        <f>IF(C305&lt;0.005,0,MAX(0,C305*(1+C$6/12)-C$7))</f>
        <v/>
      </c>
      <c r="D306" s="91">
        <f>IF(D305&lt;0.005,0,MAX(0,D305*(1+D$6/12)-D$7))</f>
        <v/>
      </c>
      <c r="E306" s="91">
        <f>IF(E305&lt;0.005,0,MAX(0,E305*(1+E$6/12)-E$7))</f>
        <v/>
      </c>
      <c r="F306" s="91">
        <f>IF(F305&lt;0.005,0,MAX(0,F305*(1+F$6/12)-F$7))</f>
        <v/>
      </c>
      <c r="G306" s="91">
        <f>IF(G305&lt;0.005,0,MAX(0,G305*(1+G$6/12)-G$7))</f>
        <v/>
      </c>
      <c r="H306" s="91">
        <f>IF(H305&lt;0.005,0,MAX(0,H305*(1+H$6/12)-H$7))</f>
        <v/>
      </c>
      <c r="I306" s="91">
        <f>IF(I305&lt;0.005,0,MAX(0,I305*(1+I$6/12)-I$7))</f>
        <v/>
      </c>
      <c r="J306" s="91">
        <f>IF(J305&lt;0.005,0,MAX(0,J305*(1+J$6/12)-J$7))</f>
        <v/>
      </c>
      <c r="K306" s="91">
        <f>IF(K305&lt;0.005,0,MAX(0,K305*(1+K$6/12)-K$7))</f>
        <v/>
      </c>
      <c r="L306" s="91">
        <f>IF(L305&lt;0.005,0,MAX(0,L305*(1+L$6/12)-L$7))</f>
        <v/>
      </c>
      <c r="M306" s="91">
        <f>SUMPRODUCT(C305:L305,$C$6:$L$6)/12</f>
        <v/>
      </c>
      <c r="N306" s="88">
        <f>SUM(C306:L306)</f>
        <v/>
      </c>
      <c r="P306" s="92">
        <f>IF(Z305&lt;0.005,0,MAX(0,Z305*(1+Z$6/12)-Z$7))</f>
        <v/>
      </c>
      <c r="Q306" s="92">
        <f>IF(AA305&lt;0.005,0,MAX(0,AA305*(1+AA$6/12)-AA$7))</f>
        <v/>
      </c>
      <c r="R306" s="92">
        <f>IF(AB305&lt;0.005,0,MAX(0,AB305*(1+AB$6/12)-AB$7))</f>
        <v/>
      </c>
      <c r="S306" s="92">
        <f>IF(AC305&lt;0.005,0,MAX(0,AC305*(1+AC$6/12)-AC$7))</f>
        <v/>
      </c>
      <c r="T306" s="92">
        <f>IF(AD305&lt;0.005,0,MAX(0,AD305*(1+AD$6/12)-AD$7))</f>
        <v/>
      </c>
      <c r="U306" s="92">
        <f>IF(AE305&lt;0.005,0,MAX(0,AE305*(1+AE$6/12)-AE$7))</f>
        <v/>
      </c>
      <c r="V306" s="92">
        <f>IF(AF305&lt;0.005,0,MAX(0,AF305*(1+AF$6/12)-AF$7))</f>
        <v/>
      </c>
      <c r="W306" s="92">
        <f>IF(AG305&lt;0.005,0,MAX(0,AG305*(1+AG$6/12)-AG$7))</f>
        <v/>
      </c>
      <c r="X306" s="92">
        <f>IF(AH305&lt;0.005,0,MAX(0,AH305*(1+AH$6/12)-AH$7))</f>
        <v/>
      </c>
      <c r="Y306" s="92">
        <f>IF(AI305&lt;0.005,0,MAX(0,AI305*(1+AI$6/12)-AI$7))</f>
        <v/>
      </c>
      <c r="Z306" s="91">
        <f>MAX(0,P306-MAX(0,AK306-0))</f>
        <v/>
      </c>
      <c r="AA306" s="91">
        <f>MAX(0,Q306-MAX(0,AK306-SUM(P306:P306)))</f>
        <v/>
      </c>
      <c r="AB306" s="91">
        <f>MAX(0,R306-MAX(0,AK306-SUM(P306:Q306)))</f>
        <v/>
      </c>
      <c r="AC306" s="91">
        <f>MAX(0,S306-MAX(0,AK306-SUM(P306:R306)))</f>
        <v/>
      </c>
      <c r="AD306" s="91">
        <f>MAX(0,T306-MAX(0,AK306-SUM(P306:S306)))</f>
        <v/>
      </c>
      <c r="AE306" s="91">
        <f>MAX(0,U306-MAX(0,AK306-SUM(P306:T306)))</f>
        <v/>
      </c>
      <c r="AF306" s="91">
        <f>MAX(0,V306-MAX(0,AK306-SUM(P306:U306)))</f>
        <v/>
      </c>
      <c r="AG306" s="91">
        <f>MAX(0,W306-MAX(0,AK306-SUM(P306:V306)))</f>
        <v/>
      </c>
      <c r="AH306" s="91">
        <f>MAX(0,X306-MAX(0,AK306-SUM(P306:W306)))</f>
        <v/>
      </c>
      <c r="AI306" s="91">
        <f>MAX(0,Y306-MAX(0,AK306-SUM(P306:X306)))</f>
        <v/>
      </c>
      <c r="AJ306" s="92">
        <f>SUM(Z305:AI305)+AL306</f>
        <v/>
      </c>
      <c r="AK306" s="92">
        <f>$AK$7-(AJ306-SUM(P306:Y306))</f>
        <v/>
      </c>
      <c r="AL306" s="91">
        <f>SUMPRODUCT(Z305:AI305,$Z$6:$AI$6)/12</f>
        <v/>
      </c>
      <c r="AM306" s="88">
        <f>SUM(Z306:AI306)</f>
        <v/>
      </c>
      <c r="AO306" s="92">
        <f>IF(AY305&lt;0.005,0,MAX(0,AY305*(1+AY$6/12)-AY$7))</f>
        <v/>
      </c>
      <c r="AP306" s="92">
        <f>IF(AZ305&lt;0.005,0,MAX(0,AZ305*(1+AZ$6/12)-AZ$7))</f>
        <v/>
      </c>
      <c r="AQ306" s="92">
        <f>IF(BA305&lt;0.005,0,MAX(0,BA305*(1+BA$6/12)-BA$7))</f>
        <v/>
      </c>
      <c r="AR306" s="92">
        <f>IF(BB305&lt;0.005,0,MAX(0,BB305*(1+BB$6/12)-BB$7))</f>
        <v/>
      </c>
      <c r="AS306" s="92">
        <f>IF(BC305&lt;0.005,0,MAX(0,BC305*(1+BC$6/12)-BC$7))</f>
        <v/>
      </c>
      <c r="AT306" s="92">
        <f>IF(BD305&lt;0.005,0,MAX(0,BD305*(1+BD$6/12)-BD$7))</f>
        <v/>
      </c>
      <c r="AU306" s="92">
        <f>IF(BE305&lt;0.005,0,MAX(0,BE305*(1+BE$6/12)-BE$7))</f>
        <v/>
      </c>
      <c r="AV306" s="92">
        <f>IF(BF305&lt;0.005,0,MAX(0,BF305*(1+BF$6/12)-BF$7))</f>
        <v/>
      </c>
      <c r="AW306" s="92">
        <f>IF(BG305&lt;0.005,0,MAX(0,BG305*(1+BG$6/12)-BG$7))</f>
        <v/>
      </c>
      <c r="AX306" s="92">
        <f>IF(BH305&lt;0.005,0,MAX(0,BH305*(1+BH$6/12)-BH$7))</f>
        <v/>
      </c>
      <c r="AY306" s="91">
        <f>MAX(0,AO306-MAX(0,BJ306-0))</f>
        <v/>
      </c>
      <c r="AZ306" s="91">
        <f>MAX(0,AP306-MAX(0,BJ306-SUM(AO306:AO306)))</f>
        <v/>
      </c>
      <c r="BA306" s="91">
        <f>MAX(0,AQ306-MAX(0,BJ306-SUM(AO306:AP306)))</f>
        <v/>
      </c>
      <c r="BB306" s="91">
        <f>MAX(0,AR306-MAX(0,BJ306-SUM(AO306:AQ306)))</f>
        <v/>
      </c>
      <c r="BC306" s="91">
        <f>MAX(0,AS306-MAX(0,BJ306-SUM(AO306:AR306)))</f>
        <v/>
      </c>
      <c r="BD306" s="91">
        <f>MAX(0,AT306-MAX(0,BJ306-SUM(AO306:AS306)))</f>
        <v/>
      </c>
      <c r="BE306" s="91">
        <f>MAX(0,AU306-MAX(0,BJ306-SUM(AO306:AT306)))</f>
        <v/>
      </c>
      <c r="BF306" s="91">
        <f>MAX(0,AV306-MAX(0,BJ306-SUM(AO306:AU306)))</f>
        <v/>
      </c>
      <c r="BG306" s="91">
        <f>MAX(0,AW306-MAX(0,BJ306-SUM(AO306:AV306)))</f>
        <v/>
      </c>
      <c r="BH306" s="91">
        <f>MAX(0,AX306-MAX(0,BJ306-SUM(AO306:AW306)))</f>
        <v/>
      </c>
      <c r="BI306" s="92">
        <f>SUM(AY305:BH305)+BK306</f>
        <v/>
      </c>
      <c r="BJ306" s="92">
        <f>$BJ$7-(BI306-SUM(AO306:AX306))</f>
        <v/>
      </c>
      <c r="BK306" s="91">
        <f>SUMPRODUCT(AY305:BH305,$AY$6:$BH$6)/12</f>
        <v/>
      </c>
      <c r="BL306" s="88">
        <f>SUM(AY306:BH306)</f>
        <v/>
      </c>
    </row>
    <row r="307">
      <c r="A307" s="24" t="n">
        <v>297</v>
      </c>
      <c r="B307" s="90">
        <f>DATE(YEAR(Settings!$C$11),MONTH(Settings!$C$11)+A307,1)</f>
        <v/>
      </c>
      <c r="C307" s="91">
        <f>IF(C306&lt;0.005,0,MAX(0,C306*(1+C$6/12)-C$7))</f>
        <v/>
      </c>
      <c r="D307" s="91">
        <f>IF(D306&lt;0.005,0,MAX(0,D306*(1+D$6/12)-D$7))</f>
        <v/>
      </c>
      <c r="E307" s="91">
        <f>IF(E306&lt;0.005,0,MAX(0,E306*(1+E$6/12)-E$7))</f>
        <v/>
      </c>
      <c r="F307" s="91">
        <f>IF(F306&lt;0.005,0,MAX(0,F306*(1+F$6/12)-F$7))</f>
        <v/>
      </c>
      <c r="G307" s="91">
        <f>IF(G306&lt;0.005,0,MAX(0,G306*(1+G$6/12)-G$7))</f>
        <v/>
      </c>
      <c r="H307" s="91">
        <f>IF(H306&lt;0.005,0,MAX(0,H306*(1+H$6/12)-H$7))</f>
        <v/>
      </c>
      <c r="I307" s="91">
        <f>IF(I306&lt;0.005,0,MAX(0,I306*(1+I$6/12)-I$7))</f>
        <v/>
      </c>
      <c r="J307" s="91">
        <f>IF(J306&lt;0.005,0,MAX(0,J306*(1+J$6/12)-J$7))</f>
        <v/>
      </c>
      <c r="K307" s="91">
        <f>IF(K306&lt;0.005,0,MAX(0,K306*(1+K$6/12)-K$7))</f>
        <v/>
      </c>
      <c r="L307" s="91">
        <f>IF(L306&lt;0.005,0,MAX(0,L306*(1+L$6/12)-L$7))</f>
        <v/>
      </c>
      <c r="M307" s="91">
        <f>SUMPRODUCT(C306:L306,$C$6:$L$6)/12</f>
        <v/>
      </c>
      <c r="N307" s="88">
        <f>SUM(C307:L307)</f>
        <v/>
      </c>
      <c r="P307" s="92">
        <f>IF(Z306&lt;0.005,0,MAX(0,Z306*(1+Z$6/12)-Z$7))</f>
        <v/>
      </c>
      <c r="Q307" s="92">
        <f>IF(AA306&lt;0.005,0,MAX(0,AA306*(1+AA$6/12)-AA$7))</f>
        <v/>
      </c>
      <c r="R307" s="92">
        <f>IF(AB306&lt;0.005,0,MAX(0,AB306*(1+AB$6/12)-AB$7))</f>
        <v/>
      </c>
      <c r="S307" s="92">
        <f>IF(AC306&lt;0.005,0,MAX(0,AC306*(1+AC$6/12)-AC$7))</f>
        <v/>
      </c>
      <c r="T307" s="92">
        <f>IF(AD306&lt;0.005,0,MAX(0,AD306*(1+AD$6/12)-AD$7))</f>
        <v/>
      </c>
      <c r="U307" s="92">
        <f>IF(AE306&lt;0.005,0,MAX(0,AE306*(1+AE$6/12)-AE$7))</f>
        <v/>
      </c>
      <c r="V307" s="92">
        <f>IF(AF306&lt;0.005,0,MAX(0,AF306*(1+AF$6/12)-AF$7))</f>
        <v/>
      </c>
      <c r="W307" s="92">
        <f>IF(AG306&lt;0.005,0,MAX(0,AG306*(1+AG$6/12)-AG$7))</f>
        <v/>
      </c>
      <c r="X307" s="92">
        <f>IF(AH306&lt;0.005,0,MAX(0,AH306*(1+AH$6/12)-AH$7))</f>
        <v/>
      </c>
      <c r="Y307" s="92">
        <f>IF(AI306&lt;0.005,0,MAX(0,AI306*(1+AI$6/12)-AI$7))</f>
        <v/>
      </c>
      <c r="Z307" s="91">
        <f>MAX(0,P307-MAX(0,AK307-0))</f>
        <v/>
      </c>
      <c r="AA307" s="91">
        <f>MAX(0,Q307-MAX(0,AK307-SUM(P307:P307)))</f>
        <v/>
      </c>
      <c r="AB307" s="91">
        <f>MAX(0,R307-MAX(0,AK307-SUM(P307:Q307)))</f>
        <v/>
      </c>
      <c r="AC307" s="91">
        <f>MAX(0,S307-MAX(0,AK307-SUM(P307:R307)))</f>
        <v/>
      </c>
      <c r="AD307" s="91">
        <f>MAX(0,T307-MAX(0,AK307-SUM(P307:S307)))</f>
        <v/>
      </c>
      <c r="AE307" s="91">
        <f>MAX(0,U307-MAX(0,AK307-SUM(P307:T307)))</f>
        <v/>
      </c>
      <c r="AF307" s="91">
        <f>MAX(0,V307-MAX(0,AK307-SUM(P307:U307)))</f>
        <v/>
      </c>
      <c r="AG307" s="91">
        <f>MAX(0,W307-MAX(0,AK307-SUM(P307:V307)))</f>
        <v/>
      </c>
      <c r="AH307" s="91">
        <f>MAX(0,X307-MAX(0,AK307-SUM(P307:W307)))</f>
        <v/>
      </c>
      <c r="AI307" s="91">
        <f>MAX(0,Y307-MAX(0,AK307-SUM(P307:X307)))</f>
        <v/>
      </c>
      <c r="AJ307" s="92">
        <f>SUM(Z306:AI306)+AL307</f>
        <v/>
      </c>
      <c r="AK307" s="92">
        <f>$AK$7-(AJ307-SUM(P307:Y307))</f>
        <v/>
      </c>
      <c r="AL307" s="91">
        <f>SUMPRODUCT(Z306:AI306,$Z$6:$AI$6)/12</f>
        <v/>
      </c>
      <c r="AM307" s="88">
        <f>SUM(Z307:AI307)</f>
        <v/>
      </c>
      <c r="AO307" s="92">
        <f>IF(AY306&lt;0.005,0,MAX(0,AY306*(1+AY$6/12)-AY$7))</f>
        <v/>
      </c>
      <c r="AP307" s="92">
        <f>IF(AZ306&lt;0.005,0,MAX(0,AZ306*(1+AZ$6/12)-AZ$7))</f>
        <v/>
      </c>
      <c r="AQ307" s="92">
        <f>IF(BA306&lt;0.005,0,MAX(0,BA306*(1+BA$6/12)-BA$7))</f>
        <v/>
      </c>
      <c r="AR307" s="92">
        <f>IF(BB306&lt;0.005,0,MAX(0,BB306*(1+BB$6/12)-BB$7))</f>
        <v/>
      </c>
      <c r="AS307" s="92">
        <f>IF(BC306&lt;0.005,0,MAX(0,BC306*(1+BC$6/12)-BC$7))</f>
        <v/>
      </c>
      <c r="AT307" s="92">
        <f>IF(BD306&lt;0.005,0,MAX(0,BD306*(1+BD$6/12)-BD$7))</f>
        <v/>
      </c>
      <c r="AU307" s="92">
        <f>IF(BE306&lt;0.005,0,MAX(0,BE306*(1+BE$6/12)-BE$7))</f>
        <v/>
      </c>
      <c r="AV307" s="92">
        <f>IF(BF306&lt;0.005,0,MAX(0,BF306*(1+BF$6/12)-BF$7))</f>
        <v/>
      </c>
      <c r="AW307" s="92">
        <f>IF(BG306&lt;0.005,0,MAX(0,BG306*(1+BG$6/12)-BG$7))</f>
        <v/>
      </c>
      <c r="AX307" s="92">
        <f>IF(BH306&lt;0.005,0,MAX(0,BH306*(1+BH$6/12)-BH$7))</f>
        <v/>
      </c>
      <c r="AY307" s="91">
        <f>MAX(0,AO307-MAX(0,BJ307-0))</f>
        <v/>
      </c>
      <c r="AZ307" s="91">
        <f>MAX(0,AP307-MAX(0,BJ307-SUM(AO307:AO307)))</f>
        <v/>
      </c>
      <c r="BA307" s="91">
        <f>MAX(0,AQ307-MAX(0,BJ307-SUM(AO307:AP307)))</f>
        <v/>
      </c>
      <c r="BB307" s="91">
        <f>MAX(0,AR307-MAX(0,BJ307-SUM(AO307:AQ307)))</f>
        <v/>
      </c>
      <c r="BC307" s="91">
        <f>MAX(0,AS307-MAX(0,BJ307-SUM(AO307:AR307)))</f>
        <v/>
      </c>
      <c r="BD307" s="91">
        <f>MAX(0,AT307-MAX(0,BJ307-SUM(AO307:AS307)))</f>
        <v/>
      </c>
      <c r="BE307" s="91">
        <f>MAX(0,AU307-MAX(0,BJ307-SUM(AO307:AT307)))</f>
        <v/>
      </c>
      <c r="BF307" s="91">
        <f>MAX(0,AV307-MAX(0,BJ307-SUM(AO307:AU307)))</f>
        <v/>
      </c>
      <c r="BG307" s="91">
        <f>MAX(0,AW307-MAX(0,BJ307-SUM(AO307:AV307)))</f>
        <v/>
      </c>
      <c r="BH307" s="91">
        <f>MAX(0,AX307-MAX(0,BJ307-SUM(AO307:AW307)))</f>
        <v/>
      </c>
      <c r="BI307" s="92">
        <f>SUM(AY306:BH306)+BK307</f>
        <v/>
      </c>
      <c r="BJ307" s="92">
        <f>$BJ$7-(BI307-SUM(AO307:AX307))</f>
        <v/>
      </c>
      <c r="BK307" s="91">
        <f>SUMPRODUCT(AY306:BH306,$AY$6:$BH$6)/12</f>
        <v/>
      </c>
      <c r="BL307" s="88">
        <f>SUM(AY307:BH307)</f>
        <v/>
      </c>
    </row>
    <row r="308">
      <c r="A308" s="24" t="n">
        <v>298</v>
      </c>
      <c r="B308" s="90">
        <f>DATE(YEAR(Settings!$C$11),MONTH(Settings!$C$11)+A308,1)</f>
        <v/>
      </c>
      <c r="C308" s="91">
        <f>IF(C307&lt;0.005,0,MAX(0,C307*(1+C$6/12)-C$7))</f>
        <v/>
      </c>
      <c r="D308" s="91">
        <f>IF(D307&lt;0.005,0,MAX(0,D307*(1+D$6/12)-D$7))</f>
        <v/>
      </c>
      <c r="E308" s="91">
        <f>IF(E307&lt;0.005,0,MAX(0,E307*(1+E$6/12)-E$7))</f>
        <v/>
      </c>
      <c r="F308" s="91">
        <f>IF(F307&lt;0.005,0,MAX(0,F307*(1+F$6/12)-F$7))</f>
        <v/>
      </c>
      <c r="G308" s="91">
        <f>IF(G307&lt;0.005,0,MAX(0,G307*(1+G$6/12)-G$7))</f>
        <v/>
      </c>
      <c r="H308" s="91">
        <f>IF(H307&lt;0.005,0,MAX(0,H307*(1+H$6/12)-H$7))</f>
        <v/>
      </c>
      <c r="I308" s="91">
        <f>IF(I307&lt;0.005,0,MAX(0,I307*(1+I$6/12)-I$7))</f>
        <v/>
      </c>
      <c r="J308" s="91">
        <f>IF(J307&lt;0.005,0,MAX(0,J307*(1+J$6/12)-J$7))</f>
        <v/>
      </c>
      <c r="K308" s="91">
        <f>IF(K307&lt;0.005,0,MAX(0,K307*(1+K$6/12)-K$7))</f>
        <v/>
      </c>
      <c r="L308" s="91">
        <f>IF(L307&lt;0.005,0,MAX(0,L307*(1+L$6/12)-L$7))</f>
        <v/>
      </c>
      <c r="M308" s="91">
        <f>SUMPRODUCT(C307:L307,$C$6:$L$6)/12</f>
        <v/>
      </c>
      <c r="N308" s="88">
        <f>SUM(C308:L308)</f>
        <v/>
      </c>
      <c r="P308" s="92">
        <f>IF(Z307&lt;0.005,0,MAX(0,Z307*(1+Z$6/12)-Z$7))</f>
        <v/>
      </c>
      <c r="Q308" s="92">
        <f>IF(AA307&lt;0.005,0,MAX(0,AA307*(1+AA$6/12)-AA$7))</f>
        <v/>
      </c>
      <c r="R308" s="92">
        <f>IF(AB307&lt;0.005,0,MAX(0,AB307*(1+AB$6/12)-AB$7))</f>
        <v/>
      </c>
      <c r="S308" s="92">
        <f>IF(AC307&lt;0.005,0,MAX(0,AC307*(1+AC$6/12)-AC$7))</f>
        <v/>
      </c>
      <c r="T308" s="92">
        <f>IF(AD307&lt;0.005,0,MAX(0,AD307*(1+AD$6/12)-AD$7))</f>
        <v/>
      </c>
      <c r="U308" s="92">
        <f>IF(AE307&lt;0.005,0,MAX(0,AE307*(1+AE$6/12)-AE$7))</f>
        <v/>
      </c>
      <c r="V308" s="92">
        <f>IF(AF307&lt;0.005,0,MAX(0,AF307*(1+AF$6/12)-AF$7))</f>
        <v/>
      </c>
      <c r="W308" s="92">
        <f>IF(AG307&lt;0.005,0,MAX(0,AG307*(1+AG$6/12)-AG$7))</f>
        <v/>
      </c>
      <c r="X308" s="92">
        <f>IF(AH307&lt;0.005,0,MAX(0,AH307*(1+AH$6/12)-AH$7))</f>
        <v/>
      </c>
      <c r="Y308" s="92">
        <f>IF(AI307&lt;0.005,0,MAX(0,AI307*(1+AI$6/12)-AI$7))</f>
        <v/>
      </c>
      <c r="Z308" s="91">
        <f>MAX(0,P308-MAX(0,AK308-0))</f>
        <v/>
      </c>
      <c r="AA308" s="91">
        <f>MAX(0,Q308-MAX(0,AK308-SUM(P308:P308)))</f>
        <v/>
      </c>
      <c r="AB308" s="91">
        <f>MAX(0,R308-MAX(0,AK308-SUM(P308:Q308)))</f>
        <v/>
      </c>
      <c r="AC308" s="91">
        <f>MAX(0,S308-MAX(0,AK308-SUM(P308:R308)))</f>
        <v/>
      </c>
      <c r="AD308" s="91">
        <f>MAX(0,T308-MAX(0,AK308-SUM(P308:S308)))</f>
        <v/>
      </c>
      <c r="AE308" s="91">
        <f>MAX(0,U308-MAX(0,AK308-SUM(P308:T308)))</f>
        <v/>
      </c>
      <c r="AF308" s="91">
        <f>MAX(0,V308-MAX(0,AK308-SUM(P308:U308)))</f>
        <v/>
      </c>
      <c r="AG308" s="91">
        <f>MAX(0,W308-MAX(0,AK308-SUM(P308:V308)))</f>
        <v/>
      </c>
      <c r="AH308" s="91">
        <f>MAX(0,X308-MAX(0,AK308-SUM(P308:W308)))</f>
        <v/>
      </c>
      <c r="AI308" s="91">
        <f>MAX(0,Y308-MAX(0,AK308-SUM(P308:X308)))</f>
        <v/>
      </c>
      <c r="AJ308" s="92">
        <f>SUM(Z307:AI307)+AL308</f>
        <v/>
      </c>
      <c r="AK308" s="92">
        <f>$AK$7-(AJ308-SUM(P308:Y308))</f>
        <v/>
      </c>
      <c r="AL308" s="91">
        <f>SUMPRODUCT(Z307:AI307,$Z$6:$AI$6)/12</f>
        <v/>
      </c>
      <c r="AM308" s="88">
        <f>SUM(Z308:AI308)</f>
        <v/>
      </c>
      <c r="AO308" s="92">
        <f>IF(AY307&lt;0.005,0,MAX(0,AY307*(1+AY$6/12)-AY$7))</f>
        <v/>
      </c>
      <c r="AP308" s="92">
        <f>IF(AZ307&lt;0.005,0,MAX(0,AZ307*(1+AZ$6/12)-AZ$7))</f>
        <v/>
      </c>
      <c r="AQ308" s="92">
        <f>IF(BA307&lt;0.005,0,MAX(0,BA307*(1+BA$6/12)-BA$7))</f>
        <v/>
      </c>
      <c r="AR308" s="92">
        <f>IF(BB307&lt;0.005,0,MAX(0,BB307*(1+BB$6/12)-BB$7))</f>
        <v/>
      </c>
      <c r="AS308" s="92">
        <f>IF(BC307&lt;0.005,0,MAX(0,BC307*(1+BC$6/12)-BC$7))</f>
        <v/>
      </c>
      <c r="AT308" s="92">
        <f>IF(BD307&lt;0.005,0,MAX(0,BD307*(1+BD$6/12)-BD$7))</f>
        <v/>
      </c>
      <c r="AU308" s="92">
        <f>IF(BE307&lt;0.005,0,MAX(0,BE307*(1+BE$6/12)-BE$7))</f>
        <v/>
      </c>
      <c r="AV308" s="92">
        <f>IF(BF307&lt;0.005,0,MAX(0,BF307*(1+BF$6/12)-BF$7))</f>
        <v/>
      </c>
      <c r="AW308" s="92">
        <f>IF(BG307&lt;0.005,0,MAX(0,BG307*(1+BG$6/12)-BG$7))</f>
        <v/>
      </c>
      <c r="AX308" s="92">
        <f>IF(BH307&lt;0.005,0,MAX(0,BH307*(1+BH$6/12)-BH$7))</f>
        <v/>
      </c>
      <c r="AY308" s="91">
        <f>MAX(0,AO308-MAX(0,BJ308-0))</f>
        <v/>
      </c>
      <c r="AZ308" s="91">
        <f>MAX(0,AP308-MAX(0,BJ308-SUM(AO308:AO308)))</f>
        <v/>
      </c>
      <c r="BA308" s="91">
        <f>MAX(0,AQ308-MAX(0,BJ308-SUM(AO308:AP308)))</f>
        <v/>
      </c>
      <c r="BB308" s="91">
        <f>MAX(0,AR308-MAX(0,BJ308-SUM(AO308:AQ308)))</f>
        <v/>
      </c>
      <c r="BC308" s="91">
        <f>MAX(0,AS308-MAX(0,BJ308-SUM(AO308:AR308)))</f>
        <v/>
      </c>
      <c r="BD308" s="91">
        <f>MAX(0,AT308-MAX(0,BJ308-SUM(AO308:AS308)))</f>
        <v/>
      </c>
      <c r="BE308" s="91">
        <f>MAX(0,AU308-MAX(0,BJ308-SUM(AO308:AT308)))</f>
        <v/>
      </c>
      <c r="BF308" s="91">
        <f>MAX(0,AV308-MAX(0,BJ308-SUM(AO308:AU308)))</f>
        <v/>
      </c>
      <c r="BG308" s="91">
        <f>MAX(0,AW308-MAX(0,BJ308-SUM(AO308:AV308)))</f>
        <v/>
      </c>
      <c r="BH308" s="91">
        <f>MAX(0,AX308-MAX(0,BJ308-SUM(AO308:AW308)))</f>
        <v/>
      </c>
      <c r="BI308" s="92">
        <f>SUM(AY307:BH307)+BK308</f>
        <v/>
      </c>
      <c r="BJ308" s="92">
        <f>$BJ$7-(BI308-SUM(AO308:AX308))</f>
        <v/>
      </c>
      <c r="BK308" s="91">
        <f>SUMPRODUCT(AY307:BH307,$AY$6:$BH$6)/12</f>
        <v/>
      </c>
      <c r="BL308" s="88">
        <f>SUM(AY308:BH308)</f>
        <v/>
      </c>
    </row>
    <row r="309">
      <c r="A309" s="24" t="n">
        <v>299</v>
      </c>
      <c r="B309" s="90">
        <f>DATE(YEAR(Settings!$C$11),MONTH(Settings!$C$11)+A309,1)</f>
        <v/>
      </c>
      <c r="C309" s="91">
        <f>IF(C308&lt;0.005,0,MAX(0,C308*(1+C$6/12)-C$7))</f>
        <v/>
      </c>
      <c r="D309" s="91">
        <f>IF(D308&lt;0.005,0,MAX(0,D308*(1+D$6/12)-D$7))</f>
        <v/>
      </c>
      <c r="E309" s="91">
        <f>IF(E308&lt;0.005,0,MAX(0,E308*(1+E$6/12)-E$7))</f>
        <v/>
      </c>
      <c r="F309" s="91">
        <f>IF(F308&lt;0.005,0,MAX(0,F308*(1+F$6/12)-F$7))</f>
        <v/>
      </c>
      <c r="G309" s="91">
        <f>IF(G308&lt;0.005,0,MAX(0,G308*(1+G$6/12)-G$7))</f>
        <v/>
      </c>
      <c r="H309" s="91">
        <f>IF(H308&lt;0.005,0,MAX(0,H308*(1+H$6/12)-H$7))</f>
        <v/>
      </c>
      <c r="I309" s="91">
        <f>IF(I308&lt;0.005,0,MAX(0,I308*(1+I$6/12)-I$7))</f>
        <v/>
      </c>
      <c r="J309" s="91">
        <f>IF(J308&lt;0.005,0,MAX(0,J308*(1+J$6/12)-J$7))</f>
        <v/>
      </c>
      <c r="K309" s="91">
        <f>IF(K308&lt;0.005,0,MAX(0,K308*(1+K$6/12)-K$7))</f>
        <v/>
      </c>
      <c r="L309" s="91">
        <f>IF(L308&lt;0.005,0,MAX(0,L308*(1+L$6/12)-L$7))</f>
        <v/>
      </c>
      <c r="M309" s="91">
        <f>SUMPRODUCT(C308:L308,$C$6:$L$6)/12</f>
        <v/>
      </c>
      <c r="N309" s="88">
        <f>SUM(C309:L309)</f>
        <v/>
      </c>
      <c r="P309" s="92">
        <f>IF(Z308&lt;0.005,0,MAX(0,Z308*(1+Z$6/12)-Z$7))</f>
        <v/>
      </c>
      <c r="Q309" s="92">
        <f>IF(AA308&lt;0.005,0,MAX(0,AA308*(1+AA$6/12)-AA$7))</f>
        <v/>
      </c>
      <c r="R309" s="92">
        <f>IF(AB308&lt;0.005,0,MAX(0,AB308*(1+AB$6/12)-AB$7))</f>
        <v/>
      </c>
      <c r="S309" s="92">
        <f>IF(AC308&lt;0.005,0,MAX(0,AC308*(1+AC$6/12)-AC$7))</f>
        <v/>
      </c>
      <c r="T309" s="92">
        <f>IF(AD308&lt;0.005,0,MAX(0,AD308*(1+AD$6/12)-AD$7))</f>
        <v/>
      </c>
      <c r="U309" s="92">
        <f>IF(AE308&lt;0.005,0,MAX(0,AE308*(1+AE$6/12)-AE$7))</f>
        <v/>
      </c>
      <c r="V309" s="92">
        <f>IF(AF308&lt;0.005,0,MAX(0,AF308*(1+AF$6/12)-AF$7))</f>
        <v/>
      </c>
      <c r="W309" s="92">
        <f>IF(AG308&lt;0.005,0,MAX(0,AG308*(1+AG$6/12)-AG$7))</f>
        <v/>
      </c>
      <c r="X309" s="92">
        <f>IF(AH308&lt;0.005,0,MAX(0,AH308*(1+AH$6/12)-AH$7))</f>
        <v/>
      </c>
      <c r="Y309" s="92">
        <f>IF(AI308&lt;0.005,0,MAX(0,AI308*(1+AI$6/12)-AI$7))</f>
        <v/>
      </c>
      <c r="Z309" s="91">
        <f>MAX(0,P309-MAX(0,AK309-0))</f>
        <v/>
      </c>
      <c r="AA309" s="91">
        <f>MAX(0,Q309-MAX(0,AK309-SUM(P309:P309)))</f>
        <v/>
      </c>
      <c r="AB309" s="91">
        <f>MAX(0,R309-MAX(0,AK309-SUM(P309:Q309)))</f>
        <v/>
      </c>
      <c r="AC309" s="91">
        <f>MAX(0,S309-MAX(0,AK309-SUM(P309:R309)))</f>
        <v/>
      </c>
      <c r="AD309" s="91">
        <f>MAX(0,T309-MAX(0,AK309-SUM(P309:S309)))</f>
        <v/>
      </c>
      <c r="AE309" s="91">
        <f>MAX(0,U309-MAX(0,AK309-SUM(P309:T309)))</f>
        <v/>
      </c>
      <c r="AF309" s="91">
        <f>MAX(0,V309-MAX(0,AK309-SUM(P309:U309)))</f>
        <v/>
      </c>
      <c r="AG309" s="91">
        <f>MAX(0,W309-MAX(0,AK309-SUM(P309:V309)))</f>
        <v/>
      </c>
      <c r="AH309" s="91">
        <f>MAX(0,X309-MAX(0,AK309-SUM(P309:W309)))</f>
        <v/>
      </c>
      <c r="AI309" s="91">
        <f>MAX(0,Y309-MAX(0,AK309-SUM(P309:X309)))</f>
        <v/>
      </c>
      <c r="AJ309" s="92">
        <f>SUM(Z308:AI308)+AL309</f>
        <v/>
      </c>
      <c r="AK309" s="92">
        <f>$AK$7-(AJ309-SUM(P309:Y309))</f>
        <v/>
      </c>
      <c r="AL309" s="91">
        <f>SUMPRODUCT(Z308:AI308,$Z$6:$AI$6)/12</f>
        <v/>
      </c>
      <c r="AM309" s="88">
        <f>SUM(Z309:AI309)</f>
        <v/>
      </c>
      <c r="AO309" s="92">
        <f>IF(AY308&lt;0.005,0,MAX(0,AY308*(1+AY$6/12)-AY$7))</f>
        <v/>
      </c>
      <c r="AP309" s="92">
        <f>IF(AZ308&lt;0.005,0,MAX(0,AZ308*(1+AZ$6/12)-AZ$7))</f>
        <v/>
      </c>
      <c r="AQ309" s="92">
        <f>IF(BA308&lt;0.005,0,MAX(0,BA308*(1+BA$6/12)-BA$7))</f>
        <v/>
      </c>
      <c r="AR309" s="92">
        <f>IF(BB308&lt;0.005,0,MAX(0,BB308*(1+BB$6/12)-BB$7))</f>
        <v/>
      </c>
      <c r="AS309" s="92">
        <f>IF(BC308&lt;0.005,0,MAX(0,BC308*(1+BC$6/12)-BC$7))</f>
        <v/>
      </c>
      <c r="AT309" s="92">
        <f>IF(BD308&lt;0.005,0,MAX(0,BD308*(1+BD$6/12)-BD$7))</f>
        <v/>
      </c>
      <c r="AU309" s="92">
        <f>IF(BE308&lt;0.005,0,MAX(0,BE308*(1+BE$6/12)-BE$7))</f>
        <v/>
      </c>
      <c r="AV309" s="92">
        <f>IF(BF308&lt;0.005,0,MAX(0,BF308*(1+BF$6/12)-BF$7))</f>
        <v/>
      </c>
      <c r="AW309" s="92">
        <f>IF(BG308&lt;0.005,0,MAX(0,BG308*(1+BG$6/12)-BG$7))</f>
        <v/>
      </c>
      <c r="AX309" s="92">
        <f>IF(BH308&lt;0.005,0,MAX(0,BH308*(1+BH$6/12)-BH$7))</f>
        <v/>
      </c>
      <c r="AY309" s="91">
        <f>MAX(0,AO309-MAX(0,BJ309-0))</f>
        <v/>
      </c>
      <c r="AZ309" s="91">
        <f>MAX(0,AP309-MAX(0,BJ309-SUM(AO309:AO309)))</f>
        <v/>
      </c>
      <c r="BA309" s="91">
        <f>MAX(0,AQ309-MAX(0,BJ309-SUM(AO309:AP309)))</f>
        <v/>
      </c>
      <c r="BB309" s="91">
        <f>MAX(0,AR309-MAX(0,BJ309-SUM(AO309:AQ309)))</f>
        <v/>
      </c>
      <c r="BC309" s="91">
        <f>MAX(0,AS309-MAX(0,BJ309-SUM(AO309:AR309)))</f>
        <v/>
      </c>
      <c r="BD309" s="91">
        <f>MAX(0,AT309-MAX(0,BJ309-SUM(AO309:AS309)))</f>
        <v/>
      </c>
      <c r="BE309" s="91">
        <f>MAX(0,AU309-MAX(0,BJ309-SUM(AO309:AT309)))</f>
        <v/>
      </c>
      <c r="BF309" s="91">
        <f>MAX(0,AV309-MAX(0,BJ309-SUM(AO309:AU309)))</f>
        <v/>
      </c>
      <c r="BG309" s="91">
        <f>MAX(0,AW309-MAX(0,BJ309-SUM(AO309:AV309)))</f>
        <v/>
      </c>
      <c r="BH309" s="91">
        <f>MAX(0,AX309-MAX(0,BJ309-SUM(AO309:AW309)))</f>
        <v/>
      </c>
      <c r="BI309" s="92">
        <f>SUM(AY308:BH308)+BK309</f>
        <v/>
      </c>
      <c r="BJ309" s="92">
        <f>$BJ$7-(BI309-SUM(AO309:AX309))</f>
        <v/>
      </c>
      <c r="BK309" s="91">
        <f>SUMPRODUCT(AY308:BH308,$AY$6:$BH$6)/12</f>
        <v/>
      </c>
      <c r="BL309" s="88">
        <f>SUM(AY309:BH309)</f>
        <v/>
      </c>
    </row>
    <row r="310">
      <c r="A310" s="24" t="n">
        <v>300</v>
      </c>
      <c r="B310" s="90">
        <f>DATE(YEAR(Settings!$C$11),MONTH(Settings!$C$11)+A310,1)</f>
        <v/>
      </c>
      <c r="C310" s="91">
        <f>IF(C309&lt;0.005,0,MAX(0,C309*(1+C$6/12)-C$7))</f>
        <v/>
      </c>
      <c r="D310" s="91">
        <f>IF(D309&lt;0.005,0,MAX(0,D309*(1+D$6/12)-D$7))</f>
        <v/>
      </c>
      <c r="E310" s="91">
        <f>IF(E309&lt;0.005,0,MAX(0,E309*(1+E$6/12)-E$7))</f>
        <v/>
      </c>
      <c r="F310" s="91">
        <f>IF(F309&lt;0.005,0,MAX(0,F309*(1+F$6/12)-F$7))</f>
        <v/>
      </c>
      <c r="G310" s="91">
        <f>IF(G309&lt;0.005,0,MAX(0,G309*(1+G$6/12)-G$7))</f>
        <v/>
      </c>
      <c r="H310" s="91">
        <f>IF(H309&lt;0.005,0,MAX(0,H309*(1+H$6/12)-H$7))</f>
        <v/>
      </c>
      <c r="I310" s="91">
        <f>IF(I309&lt;0.005,0,MAX(0,I309*(1+I$6/12)-I$7))</f>
        <v/>
      </c>
      <c r="J310" s="91">
        <f>IF(J309&lt;0.005,0,MAX(0,J309*(1+J$6/12)-J$7))</f>
        <v/>
      </c>
      <c r="K310" s="91">
        <f>IF(K309&lt;0.005,0,MAX(0,K309*(1+K$6/12)-K$7))</f>
        <v/>
      </c>
      <c r="L310" s="91">
        <f>IF(L309&lt;0.005,0,MAX(0,L309*(1+L$6/12)-L$7))</f>
        <v/>
      </c>
      <c r="M310" s="91">
        <f>SUMPRODUCT(C309:L309,$C$6:$L$6)/12</f>
        <v/>
      </c>
      <c r="N310" s="88">
        <f>SUM(C310:L310)</f>
        <v/>
      </c>
      <c r="P310" s="92">
        <f>IF(Z309&lt;0.005,0,MAX(0,Z309*(1+Z$6/12)-Z$7))</f>
        <v/>
      </c>
      <c r="Q310" s="92">
        <f>IF(AA309&lt;0.005,0,MAX(0,AA309*(1+AA$6/12)-AA$7))</f>
        <v/>
      </c>
      <c r="R310" s="92">
        <f>IF(AB309&lt;0.005,0,MAX(0,AB309*(1+AB$6/12)-AB$7))</f>
        <v/>
      </c>
      <c r="S310" s="92">
        <f>IF(AC309&lt;0.005,0,MAX(0,AC309*(1+AC$6/12)-AC$7))</f>
        <v/>
      </c>
      <c r="T310" s="92">
        <f>IF(AD309&lt;0.005,0,MAX(0,AD309*(1+AD$6/12)-AD$7))</f>
        <v/>
      </c>
      <c r="U310" s="92">
        <f>IF(AE309&lt;0.005,0,MAX(0,AE309*(1+AE$6/12)-AE$7))</f>
        <v/>
      </c>
      <c r="V310" s="92">
        <f>IF(AF309&lt;0.005,0,MAX(0,AF309*(1+AF$6/12)-AF$7))</f>
        <v/>
      </c>
      <c r="W310" s="92">
        <f>IF(AG309&lt;0.005,0,MAX(0,AG309*(1+AG$6/12)-AG$7))</f>
        <v/>
      </c>
      <c r="X310" s="92">
        <f>IF(AH309&lt;0.005,0,MAX(0,AH309*(1+AH$6/12)-AH$7))</f>
        <v/>
      </c>
      <c r="Y310" s="92">
        <f>IF(AI309&lt;0.005,0,MAX(0,AI309*(1+AI$6/12)-AI$7))</f>
        <v/>
      </c>
      <c r="Z310" s="91">
        <f>MAX(0,P310-MAX(0,AK310-0))</f>
        <v/>
      </c>
      <c r="AA310" s="91">
        <f>MAX(0,Q310-MAX(0,AK310-SUM(P310:P310)))</f>
        <v/>
      </c>
      <c r="AB310" s="91">
        <f>MAX(0,R310-MAX(0,AK310-SUM(P310:Q310)))</f>
        <v/>
      </c>
      <c r="AC310" s="91">
        <f>MAX(0,S310-MAX(0,AK310-SUM(P310:R310)))</f>
        <v/>
      </c>
      <c r="AD310" s="91">
        <f>MAX(0,T310-MAX(0,AK310-SUM(P310:S310)))</f>
        <v/>
      </c>
      <c r="AE310" s="91">
        <f>MAX(0,U310-MAX(0,AK310-SUM(P310:T310)))</f>
        <v/>
      </c>
      <c r="AF310" s="91">
        <f>MAX(0,V310-MAX(0,AK310-SUM(P310:U310)))</f>
        <v/>
      </c>
      <c r="AG310" s="91">
        <f>MAX(0,W310-MAX(0,AK310-SUM(P310:V310)))</f>
        <v/>
      </c>
      <c r="AH310" s="91">
        <f>MAX(0,X310-MAX(0,AK310-SUM(P310:W310)))</f>
        <v/>
      </c>
      <c r="AI310" s="91">
        <f>MAX(0,Y310-MAX(0,AK310-SUM(P310:X310)))</f>
        <v/>
      </c>
      <c r="AJ310" s="92">
        <f>SUM(Z309:AI309)+AL310</f>
        <v/>
      </c>
      <c r="AK310" s="92">
        <f>$AK$7-(AJ310-SUM(P310:Y310))</f>
        <v/>
      </c>
      <c r="AL310" s="91">
        <f>SUMPRODUCT(Z309:AI309,$Z$6:$AI$6)/12</f>
        <v/>
      </c>
      <c r="AM310" s="88">
        <f>SUM(Z310:AI310)</f>
        <v/>
      </c>
      <c r="AO310" s="92">
        <f>IF(AY309&lt;0.005,0,MAX(0,AY309*(1+AY$6/12)-AY$7))</f>
        <v/>
      </c>
      <c r="AP310" s="92">
        <f>IF(AZ309&lt;0.005,0,MAX(0,AZ309*(1+AZ$6/12)-AZ$7))</f>
        <v/>
      </c>
      <c r="AQ310" s="92">
        <f>IF(BA309&lt;0.005,0,MAX(0,BA309*(1+BA$6/12)-BA$7))</f>
        <v/>
      </c>
      <c r="AR310" s="92">
        <f>IF(BB309&lt;0.005,0,MAX(0,BB309*(1+BB$6/12)-BB$7))</f>
        <v/>
      </c>
      <c r="AS310" s="92">
        <f>IF(BC309&lt;0.005,0,MAX(0,BC309*(1+BC$6/12)-BC$7))</f>
        <v/>
      </c>
      <c r="AT310" s="92">
        <f>IF(BD309&lt;0.005,0,MAX(0,BD309*(1+BD$6/12)-BD$7))</f>
        <v/>
      </c>
      <c r="AU310" s="92">
        <f>IF(BE309&lt;0.005,0,MAX(0,BE309*(1+BE$6/12)-BE$7))</f>
        <v/>
      </c>
      <c r="AV310" s="92">
        <f>IF(BF309&lt;0.005,0,MAX(0,BF309*(1+BF$6/12)-BF$7))</f>
        <v/>
      </c>
      <c r="AW310" s="92">
        <f>IF(BG309&lt;0.005,0,MAX(0,BG309*(1+BG$6/12)-BG$7))</f>
        <v/>
      </c>
      <c r="AX310" s="92">
        <f>IF(BH309&lt;0.005,0,MAX(0,BH309*(1+BH$6/12)-BH$7))</f>
        <v/>
      </c>
      <c r="AY310" s="91">
        <f>MAX(0,AO310-MAX(0,BJ310-0))</f>
        <v/>
      </c>
      <c r="AZ310" s="91">
        <f>MAX(0,AP310-MAX(0,BJ310-SUM(AO310:AO310)))</f>
        <v/>
      </c>
      <c r="BA310" s="91">
        <f>MAX(0,AQ310-MAX(0,BJ310-SUM(AO310:AP310)))</f>
        <v/>
      </c>
      <c r="BB310" s="91">
        <f>MAX(0,AR310-MAX(0,BJ310-SUM(AO310:AQ310)))</f>
        <v/>
      </c>
      <c r="BC310" s="91">
        <f>MAX(0,AS310-MAX(0,BJ310-SUM(AO310:AR310)))</f>
        <v/>
      </c>
      <c r="BD310" s="91">
        <f>MAX(0,AT310-MAX(0,BJ310-SUM(AO310:AS310)))</f>
        <v/>
      </c>
      <c r="BE310" s="91">
        <f>MAX(0,AU310-MAX(0,BJ310-SUM(AO310:AT310)))</f>
        <v/>
      </c>
      <c r="BF310" s="91">
        <f>MAX(0,AV310-MAX(0,BJ310-SUM(AO310:AU310)))</f>
        <v/>
      </c>
      <c r="BG310" s="91">
        <f>MAX(0,AW310-MAX(0,BJ310-SUM(AO310:AV310)))</f>
        <v/>
      </c>
      <c r="BH310" s="91">
        <f>MAX(0,AX310-MAX(0,BJ310-SUM(AO310:AW310)))</f>
        <v/>
      </c>
      <c r="BI310" s="92">
        <f>SUM(AY309:BH309)+BK310</f>
        <v/>
      </c>
      <c r="BJ310" s="92">
        <f>$BJ$7-(BI310-SUM(AO310:AX310))</f>
        <v/>
      </c>
      <c r="BK310" s="91">
        <f>SUMPRODUCT(AY309:BH309,$AY$6:$BH$6)/12</f>
        <v/>
      </c>
      <c r="BL310" s="88">
        <f>SUM(AY310:BH310)</f>
        <v/>
      </c>
    </row>
    <row r="311">
      <c r="A311" s="24" t="n">
        <v>301</v>
      </c>
      <c r="B311" s="90">
        <f>DATE(YEAR(Settings!$C$11),MONTH(Settings!$C$11)+A311,1)</f>
        <v/>
      </c>
      <c r="C311" s="91">
        <f>IF(C310&lt;0.005,0,MAX(0,C310*(1+C$6/12)-C$7))</f>
        <v/>
      </c>
      <c r="D311" s="91">
        <f>IF(D310&lt;0.005,0,MAX(0,D310*(1+D$6/12)-D$7))</f>
        <v/>
      </c>
      <c r="E311" s="91">
        <f>IF(E310&lt;0.005,0,MAX(0,E310*(1+E$6/12)-E$7))</f>
        <v/>
      </c>
      <c r="F311" s="91">
        <f>IF(F310&lt;0.005,0,MAX(0,F310*(1+F$6/12)-F$7))</f>
        <v/>
      </c>
      <c r="G311" s="91">
        <f>IF(G310&lt;0.005,0,MAX(0,G310*(1+G$6/12)-G$7))</f>
        <v/>
      </c>
      <c r="H311" s="91">
        <f>IF(H310&lt;0.005,0,MAX(0,H310*(1+H$6/12)-H$7))</f>
        <v/>
      </c>
      <c r="I311" s="91">
        <f>IF(I310&lt;0.005,0,MAX(0,I310*(1+I$6/12)-I$7))</f>
        <v/>
      </c>
      <c r="J311" s="91">
        <f>IF(J310&lt;0.005,0,MAX(0,J310*(1+J$6/12)-J$7))</f>
        <v/>
      </c>
      <c r="K311" s="91">
        <f>IF(K310&lt;0.005,0,MAX(0,K310*(1+K$6/12)-K$7))</f>
        <v/>
      </c>
      <c r="L311" s="91">
        <f>IF(L310&lt;0.005,0,MAX(0,L310*(1+L$6/12)-L$7))</f>
        <v/>
      </c>
      <c r="M311" s="91">
        <f>SUMPRODUCT(C310:L310,$C$6:$L$6)/12</f>
        <v/>
      </c>
      <c r="N311" s="88">
        <f>SUM(C311:L311)</f>
        <v/>
      </c>
      <c r="P311" s="92">
        <f>IF(Z310&lt;0.005,0,MAX(0,Z310*(1+Z$6/12)-Z$7))</f>
        <v/>
      </c>
      <c r="Q311" s="92">
        <f>IF(AA310&lt;0.005,0,MAX(0,AA310*(1+AA$6/12)-AA$7))</f>
        <v/>
      </c>
      <c r="R311" s="92">
        <f>IF(AB310&lt;0.005,0,MAX(0,AB310*(1+AB$6/12)-AB$7))</f>
        <v/>
      </c>
      <c r="S311" s="92">
        <f>IF(AC310&lt;0.005,0,MAX(0,AC310*(1+AC$6/12)-AC$7))</f>
        <v/>
      </c>
      <c r="T311" s="92">
        <f>IF(AD310&lt;0.005,0,MAX(0,AD310*(1+AD$6/12)-AD$7))</f>
        <v/>
      </c>
      <c r="U311" s="92">
        <f>IF(AE310&lt;0.005,0,MAX(0,AE310*(1+AE$6/12)-AE$7))</f>
        <v/>
      </c>
      <c r="V311" s="92">
        <f>IF(AF310&lt;0.005,0,MAX(0,AF310*(1+AF$6/12)-AF$7))</f>
        <v/>
      </c>
      <c r="W311" s="92">
        <f>IF(AG310&lt;0.005,0,MAX(0,AG310*(1+AG$6/12)-AG$7))</f>
        <v/>
      </c>
      <c r="X311" s="92">
        <f>IF(AH310&lt;0.005,0,MAX(0,AH310*(1+AH$6/12)-AH$7))</f>
        <v/>
      </c>
      <c r="Y311" s="92">
        <f>IF(AI310&lt;0.005,0,MAX(0,AI310*(1+AI$6/12)-AI$7))</f>
        <v/>
      </c>
      <c r="Z311" s="91">
        <f>MAX(0,P311-MAX(0,AK311-0))</f>
        <v/>
      </c>
      <c r="AA311" s="91">
        <f>MAX(0,Q311-MAX(0,AK311-SUM(P311:P311)))</f>
        <v/>
      </c>
      <c r="AB311" s="91">
        <f>MAX(0,R311-MAX(0,AK311-SUM(P311:Q311)))</f>
        <v/>
      </c>
      <c r="AC311" s="91">
        <f>MAX(0,S311-MAX(0,AK311-SUM(P311:R311)))</f>
        <v/>
      </c>
      <c r="AD311" s="91">
        <f>MAX(0,T311-MAX(0,AK311-SUM(P311:S311)))</f>
        <v/>
      </c>
      <c r="AE311" s="91">
        <f>MAX(0,U311-MAX(0,AK311-SUM(P311:T311)))</f>
        <v/>
      </c>
      <c r="AF311" s="91">
        <f>MAX(0,V311-MAX(0,AK311-SUM(P311:U311)))</f>
        <v/>
      </c>
      <c r="AG311" s="91">
        <f>MAX(0,W311-MAX(0,AK311-SUM(P311:V311)))</f>
        <v/>
      </c>
      <c r="AH311" s="91">
        <f>MAX(0,X311-MAX(0,AK311-SUM(P311:W311)))</f>
        <v/>
      </c>
      <c r="AI311" s="91">
        <f>MAX(0,Y311-MAX(0,AK311-SUM(P311:X311)))</f>
        <v/>
      </c>
      <c r="AJ311" s="92">
        <f>SUM(Z310:AI310)+AL311</f>
        <v/>
      </c>
      <c r="AK311" s="92">
        <f>$AK$7-(AJ311-SUM(P311:Y311))</f>
        <v/>
      </c>
      <c r="AL311" s="91">
        <f>SUMPRODUCT(Z310:AI310,$Z$6:$AI$6)/12</f>
        <v/>
      </c>
      <c r="AM311" s="88">
        <f>SUM(Z311:AI311)</f>
        <v/>
      </c>
      <c r="AO311" s="92">
        <f>IF(AY310&lt;0.005,0,MAX(0,AY310*(1+AY$6/12)-AY$7))</f>
        <v/>
      </c>
      <c r="AP311" s="92">
        <f>IF(AZ310&lt;0.005,0,MAX(0,AZ310*(1+AZ$6/12)-AZ$7))</f>
        <v/>
      </c>
      <c r="AQ311" s="92">
        <f>IF(BA310&lt;0.005,0,MAX(0,BA310*(1+BA$6/12)-BA$7))</f>
        <v/>
      </c>
      <c r="AR311" s="92">
        <f>IF(BB310&lt;0.005,0,MAX(0,BB310*(1+BB$6/12)-BB$7))</f>
        <v/>
      </c>
      <c r="AS311" s="92">
        <f>IF(BC310&lt;0.005,0,MAX(0,BC310*(1+BC$6/12)-BC$7))</f>
        <v/>
      </c>
      <c r="AT311" s="92">
        <f>IF(BD310&lt;0.005,0,MAX(0,BD310*(1+BD$6/12)-BD$7))</f>
        <v/>
      </c>
      <c r="AU311" s="92">
        <f>IF(BE310&lt;0.005,0,MAX(0,BE310*(1+BE$6/12)-BE$7))</f>
        <v/>
      </c>
      <c r="AV311" s="92">
        <f>IF(BF310&lt;0.005,0,MAX(0,BF310*(1+BF$6/12)-BF$7))</f>
        <v/>
      </c>
      <c r="AW311" s="92">
        <f>IF(BG310&lt;0.005,0,MAX(0,BG310*(1+BG$6/12)-BG$7))</f>
        <v/>
      </c>
      <c r="AX311" s="92">
        <f>IF(BH310&lt;0.005,0,MAX(0,BH310*(1+BH$6/12)-BH$7))</f>
        <v/>
      </c>
      <c r="AY311" s="91">
        <f>MAX(0,AO311-MAX(0,BJ311-0))</f>
        <v/>
      </c>
      <c r="AZ311" s="91">
        <f>MAX(0,AP311-MAX(0,BJ311-SUM(AO311:AO311)))</f>
        <v/>
      </c>
      <c r="BA311" s="91">
        <f>MAX(0,AQ311-MAX(0,BJ311-SUM(AO311:AP311)))</f>
        <v/>
      </c>
      <c r="BB311" s="91">
        <f>MAX(0,AR311-MAX(0,BJ311-SUM(AO311:AQ311)))</f>
        <v/>
      </c>
      <c r="BC311" s="91">
        <f>MAX(0,AS311-MAX(0,BJ311-SUM(AO311:AR311)))</f>
        <v/>
      </c>
      <c r="BD311" s="91">
        <f>MAX(0,AT311-MAX(0,BJ311-SUM(AO311:AS311)))</f>
        <v/>
      </c>
      <c r="BE311" s="91">
        <f>MAX(0,AU311-MAX(0,BJ311-SUM(AO311:AT311)))</f>
        <v/>
      </c>
      <c r="BF311" s="91">
        <f>MAX(0,AV311-MAX(0,BJ311-SUM(AO311:AU311)))</f>
        <v/>
      </c>
      <c r="BG311" s="91">
        <f>MAX(0,AW311-MAX(0,BJ311-SUM(AO311:AV311)))</f>
        <v/>
      </c>
      <c r="BH311" s="91">
        <f>MAX(0,AX311-MAX(0,BJ311-SUM(AO311:AW311)))</f>
        <v/>
      </c>
      <c r="BI311" s="92">
        <f>SUM(AY310:BH310)+BK311</f>
        <v/>
      </c>
      <c r="BJ311" s="92">
        <f>$BJ$7-(BI311-SUM(AO311:AX311))</f>
        <v/>
      </c>
      <c r="BK311" s="91">
        <f>SUMPRODUCT(AY310:BH310,$AY$6:$BH$6)/12</f>
        <v/>
      </c>
      <c r="BL311" s="88">
        <f>SUM(AY311:BH311)</f>
        <v/>
      </c>
    </row>
    <row r="312">
      <c r="A312" s="24" t="n">
        <v>302</v>
      </c>
      <c r="B312" s="90">
        <f>DATE(YEAR(Settings!$C$11),MONTH(Settings!$C$11)+A312,1)</f>
        <v/>
      </c>
      <c r="C312" s="91">
        <f>IF(C311&lt;0.005,0,MAX(0,C311*(1+C$6/12)-C$7))</f>
        <v/>
      </c>
      <c r="D312" s="91">
        <f>IF(D311&lt;0.005,0,MAX(0,D311*(1+D$6/12)-D$7))</f>
        <v/>
      </c>
      <c r="E312" s="91">
        <f>IF(E311&lt;0.005,0,MAX(0,E311*(1+E$6/12)-E$7))</f>
        <v/>
      </c>
      <c r="F312" s="91">
        <f>IF(F311&lt;0.005,0,MAX(0,F311*(1+F$6/12)-F$7))</f>
        <v/>
      </c>
      <c r="G312" s="91">
        <f>IF(G311&lt;0.005,0,MAX(0,G311*(1+G$6/12)-G$7))</f>
        <v/>
      </c>
      <c r="H312" s="91">
        <f>IF(H311&lt;0.005,0,MAX(0,H311*(1+H$6/12)-H$7))</f>
        <v/>
      </c>
      <c r="I312" s="91">
        <f>IF(I311&lt;0.005,0,MAX(0,I311*(1+I$6/12)-I$7))</f>
        <v/>
      </c>
      <c r="J312" s="91">
        <f>IF(J311&lt;0.005,0,MAX(0,J311*(1+J$6/12)-J$7))</f>
        <v/>
      </c>
      <c r="K312" s="91">
        <f>IF(K311&lt;0.005,0,MAX(0,K311*(1+K$6/12)-K$7))</f>
        <v/>
      </c>
      <c r="L312" s="91">
        <f>IF(L311&lt;0.005,0,MAX(0,L311*(1+L$6/12)-L$7))</f>
        <v/>
      </c>
      <c r="M312" s="91">
        <f>SUMPRODUCT(C311:L311,$C$6:$L$6)/12</f>
        <v/>
      </c>
      <c r="N312" s="88">
        <f>SUM(C312:L312)</f>
        <v/>
      </c>
      <c r="P312" s="92">
        <f>IF(Z311&lt;0.005,0,MAX(0,Z311*(1+Z$6/12)-Z$7))</f>
        <v/>
      </c>
      <c r="Q312" s="92">
        <f>IF(AA311&lt;0.005,0,MAX(0,AA311*(1+AA$6/12)-AA$7))</f>
        <v/>
      </c>
      <c r="R312" s="92">
        <f>IF(AB311&lt;0.005,0,MAX(0,AB311*(1+AB$6/12)-AB$7))</f>
        <v/>
      </c>
      <c r="S312" s="92">
        <f>IF(AC311&lt;0.005,0,MAX(0,AC311*(1+AC$6/12)-AC$7))</f>
        <v/>
      </c>
      <c r="T312" s="92">
        <f>IF(AD311&lt;0.005,0,MAX(0,AD311*(1+AD$6/12)-AD$7))</f>
        <v/>
      </c>
      <c r="U312" s="92">
        <f>IF(AE311&lt;0.005,0,MAX(0,AE311*(1+AE$6/12)-AE$7))</f>
        <v/>
      </c>
      <c r="V312" s="92">
        <f>IF(AF311&lt;0.005,0,MAX(0,AF311*(1+AF$6/12)-AF$7))</f>
        <v/>
      </c>
      <c r="W312" s="92">
        <f>IF(AG311&lt;0.005,0,MAX(0,AG311*(1+AG$6/12)-AG$7))</f>
        <v/>
      </c>
      <c r="X312" s="92">
        <f>IF(AH311&lt;0.005,0,MAX(0,AH311*(1+AH$6/12)-AH$7))</f>
        <v/>
      </c>
      <c r="Y312" s="92">
        <f>IF(AI311&lt;0.005,0,MAX(0,AI311*(1+AI$6/12)-AI$7))</f>
        <v/>
      </c>
      <c r="Z312" s="91">
        <f>MAX(0,P312-MAX(0,AK312-0))</f>
        <v/>
      </c>
      <c r="AA312" s="91">
        <f>MAX(0,Q312-MAX(0,AK312-SUM(P312:P312)))</f>
        <v/>
      </c>
      <c r="AB312" s="91">
        <f>MAX(0,R312-MAX(0,AK312-SUM(P312:Q312)))</f>
        <v/>
      </c>
      <c r="AC312" s="91">
        <f>MAX(0,S312-MAX(0,AK312-SUM(P312:R312)))</f>
        <v/>
      </c>
      <c r="AD312" s="91">
        <f>MAX(0,T312-MAX(0,AK312-SUM(P312:S312)))</f>
        <v/>
      </c>
      <c r="AE312" s="91">
        <f>MAX(0,U312-MAX(0,AK312-SUM(P312:T312)))</f>
        <v/>
      </c>
      <c r="AF312" s="91">
        <f>MAX(0,V312-MAX(0,AK312-SUM(P312:U312)))</f>
        <v/>
      </c>
      <c r="AG312" s="91">
        <f>MAX(0,W312-MAX(0,AK312-SUM(P312:V312)))</f>
        <v/>
      </c>
      <c r="AH312" s="91">
        <f>MAX(0,X312-MAX(0,AK312-SUM(P312:W312)))</f>
        <v/>
      </c>
      <c r="AI312" s="91">
        <f>MAX(0,Y312-MAX(0,AK312-SUM(P312:X312)))</f>
        <v/>
      </c>
      <c r="AJ312" s="92">
        <f>SUM(Z311:AI311)+AL312</f>
        <v/>
      </c>
      <c r="AK312" s="92">
        <f>$AK$7-(AJ312-SUM(P312:Y312))</f>
        <v/>
      </c>
      <c r="AL312" s="91">
        <f>SUMPRODUCT(Z311:AI311,$Z$6:$AI$6)/12</f>
        <v/>
      </c>
      <c r="AM312" s="88">
        <f>SUM(Z312:AI312)</f>
        <v/>
      </c>
      <c r="AO312" s="92">
        <f>IF(AY311&lt;0.005,0,MAX(0,AY311*(1+AY$6/12)-AY$7))</f>
        <v/>
      </c>
      <c r="AP312" s="92">
        <f>IF(AZ311&lt;0.005,0,MAX(0,AZ311*(1+AZ$6/12)-AZ$7))</f>
        <v/>
      </c>
      <c r="AQ312" s="92">
        <f>IF(BA311&lt;0.005,0,MAX(0,BA311*(1+BA$6/12)-BA$7))</f>
        <v/>
      </c>
      <c r="AR312" s="92">
        <f>IF(BB311&lt;0.005,0,MAX(0,BB311*(1+BB$6/12)-BB$7))</f>
        <v/>
      </c>
      <c r="AS312" s="92">
        <f>IF(BC311&lt;0.005,0,MAX(0,BC311*(1+BC$6/12)-BC$7))</f>
        <v/>
      </c>
      <c r="AT312" s="92">
        <f>IF(BD311&lt;0.005,0,MAX(0,BD311*(1+BD$6/12)-BD$7))</f>
        <v/>
      </c>
      <c r="AU312" s="92">
        <f>IF(BE311&lt;0.005,0,MAX(0,BE311*(1+BE$6/12)-BE$7))</f>
        <v/>
      </c>
      <c r="AV312" s="92">
        <f>IF(BF311&lt;0.005,0,MAX(0,BF311*(1+BF$6/12)-BF$7))</f>
        <v/>
      </c>
      <c r="AW312" s="92">
        <f>IF(BG311&lt;0.005,0,MAX(0,BG311*(1+BG$6/12)-BG$7))</f>
        <v/>
      </c>
      <c r="AX312" s="92">
        <f>IF(BH311&lt;0.005,0,MAX(0,BH311*(1+BH$6/12)-BH$7))</f>
        <v/>
      </c>
      <c r="AY312" s="91">
        <f>MAX(0,AO312-MAX(0,BJ312-0))</f>
        <v/>
      </c>
      <c r="AZ312" s="91">
        <f>MAX(0,AP312-MAX(0,BJ312-SUM(AO312:AO312)))</f>
        <v/>
      </c>
      <c r="BA312" s="91">
        <f>MAX(0,AQ312-MAX(0,BJ312-SUM(AO312:AP312)))</f>
        <v/>
      </c>
      <c r="BB312" s="91">
        <f>MAX(0,AR312-MAX(0,BJ312-SUM(AO312:AQ312)))</f>
        <v/>
      </c>
      <c r="BC312" s="91">
        <f>MAX(0,AS312-MAX(0,BJ312-SUM(AO312:AR312)))</f>
        <v/>
      </c>
      <c r="BD312" s="91">
        <f>MAX(0,AT312-MAX(0,BJ312-SUM(AO312:AS312)))</f>
        <v/>
      </c>
      <c r="BE312" s="91">
        <f>MAX(0,AU312-MAX(0,BJ312-SUM(AO312:AT312)))</f>
        <v/>
      </c>
      <c r="BF312" s="91">
        <f>MAX(0,AV312-MAX(0,BJ312-SUM(AO312:AU312)))</f>
        <v/>
      </c>
      <c r="BG312" s="91">
        <f>MAX(0,AW312-MAX(0,BJ312-SUM(AO312:AV312)))</f>
        <v/>
      </c>
      <c r="BH312" s="91">
        <f>MAX(0,AX312-MAX(0,BJ312-SUM(AO312:AW312)))</f>
        <v/>
      </c>
      <c r="BI312" s="92">
        <f>SUM(AY311:BH311)+BK312</f>
        <v/>
      </c>
      <c r="BJ312" s="92">
        <f>$BJ$7-(BI312-SUM(AO312:AX312))</f>
        <v/>
      </c>
      <c r="BK312" s="91">
        <f>SUMPRODUCT(AY311:BH311,$AY$6:$BH$6)/12</f>
        <v/>
      </c>
      <c r="BL312" s="88">
        <f>SUM(AY312:BH312)</f>
        <v/>
      </c>
    </row>
    <row r="313">
      <c r="A313" s="24" t="n">
        <v>303</v>
      </c>
      <c r="B313" s="90">
        <f>DATE(YEAR(Settings!$C$11),MONTH(Settings!$C$11)+A313,1)</f>
        <v/>
      </c>
      <c r="C313" s="91">
        <f>IF(C312&lt;0.005,0,MAX(0,C312*(1+C$6/12)-C$7))</f>
        <v/>
      </c>
      <c r="D313" s="91">
        <f>IF(D312&lt;0.005,0,MAX(0,D312*(1+D$6/12)-D$7))</f>
        <v/>
      </c>
      <c r="E313" s="91">
        <f>IF(E312&lt;0.005,0,MAX(0,E312*(1+E$6/12)-E$7))</f>
        <v/>
      </c>
      <c r="F313" s="91">
        <f>IF(F312&lt;0.005,0,MAX(0,F312*(1+F$6/12)-F$7))</f>
        <v/>
      </c>
      <c r="G313" s="91">
        <f>IF(G312&lt;0.005,0,MAX(0,G312*(1+G$6/12)-G$7))</f>
        <v/>
      </c>
      <c r="H313" s="91">
        <f>IF(H312&lt;0.005,0,MAX(0,H312*(1+H$6/12)-H$7))</f>
        <v/>
      </c>
      <c r="I313" s="91">
        <f>IF(I312&lt;0.005,0,MAX(0,I312*(1+I$6/12)-I$7))</f>
        <v/>
      </c>
      <c r="J313" s="91">
        <f>IF(J312&lt;0.005,0,MAX(0,J312*(1+J$6/12)-J$7))</f>
        <v/>
      </c>
      <c r="K313" s="91">
        <f>IF(K312&lt;0.005,0,MAX(0,K312*(1+K$6/12)-K$7))</f>
        <v/>
      </c>
      <c r="L313" s="91">
        <f>IF(L312&lt;0.005,0,MAX(0,L312*(1+L$6/12)-L$7))</f>
        <v/>
      </c>
      <c r="M313" s="91">
        <f>SUMPRODUCT(C312:L312,$C$6:$L$6)/12</f>
        <v/>
      </c>
      <c r="N313" s="88">
        <f>SUM(C313:L313)</f>
        <v/>
      </c>
      <c r="P313" s="92">
        <f>IF(Z312&lt;0.005,0,MAX(0,Z312*(1+Z$6/12)-Z$7))</f>
        <v/>
      </c>
      <c r="Q313" s="92">
        <f>IF(AA312&lt;0.005,0,MAX(0,AA312*(1+AA$6/12)-AA$7))</f>
        <v/>
      </c>
      <c r="R313" s="92">
        <f>IF(AB312&lt;0.005,0,MAX(0,AB312*(1+AB$6/12)-AB$7))</f>
        <v/>
      </c>
      <c r="S313" s="92">
        <f>IF(AC312&lt;0.005,0,MAX(0,AC312*(1+AC$6/12)-AC$7))</f>
        <v/>
      </c>
      <c r="T313" s="92">
        <f>IF(AD312&lt;0.005,0,MAX(0,AD312*(1+AD$6/12)-AD$7))</f>
        <v/>
      </c>
      <c r="U313" s="92">
        <f>IF(AE312&lt;0.005,0,MAX(0,AE312*(1+AE$6/12)-AE$7))</f>
        <v/>
      </c>
      <c r="V313" s="92">
        <f>IF(AF312&lt;0.005,0,MAX(0,AF312*(1+AF$6/12)-AF$7))</f>
        <v/>
      </c>
      <c r="W313" s="92">
        <f>IF(AG312&lt;0.005,0,MAX(0,AG312*(1+AG$6/12)-AG$7))</f>
        <v/>
      </c>
      <c r="X313" s="92">
        <f>IF(AH312&lt;0.005,0,MAX(0,AH312*(1+AH$6/12)-AH$7))</f>
        <v/>
      </c>
      <c r="Y313" s="92">
        <f>IF(AI312&lt;0.005,0,MAX(0,AI312*(1+AI$6/12)-AI$7))</f>
        <v/>
      </c>
      <c r="Z313" s="91">
        <f>MAX(0,P313-MAX(0,AK313-0))</f>
        <v/>
      </c>
      <c r="AA313" s="91">
        <f>MAX(0,Q313-MAX(0,AK313-SUM(P313:P313)))</f>
        <v/>
      </c>
      <c r="AB313" s="91">
        <f>MAX(0,R313-MAX(0,AK313-SUM(P313:Q313)))</f>
        <v/>
      </c>
      <c r="AC313" s="91">
        <f>MAX(0,S313-MAX(0,AK313-SUM(P313:R313)))</f>
        <v/>
      </c>
      <c r="AD313" s="91">
        <f>MAX(0,T313-MAX(0,AK313-SUM(P313:S313)))</f>
        <v/>
      </c>
      <c r="AE313" s="91">
        <f>MAX(0,U313-MAX(0,AK313-SUM(P313:T313)))</f>
        <v/>
      </c>
      <c r="AF313" s="91">
        <f>MAX(0,V313-MAX(0,AK313-SUM(P313:U313)))</f>
        <v/>
      </c>
      <c r="AG313" s="91">
        <f>MAX(0,W313-MAX(0,AK313-SUM(P313:V313)))</f>
        <v/>
      </c>
      <c r="AH313" s="91">
        <f>MAX(0,X313-MAX(0,AK313-SUM(P313:W313)))</f>
        <v/>
      </c>
      <c r="AI313" s="91">
        <f>MAX(0,Y313-MAX(0,AK313-SUM(P313:X313)))</f>
        <v/>
      </c>
      <c r="AJ313" s="92">
        <f>SUM(Z312:AI312)+AL313</f>
        <v/>
      </c>
      <c r="AK313" s="92">
        <f>$AK$7-(AJ313-SUM(P313:Y313))</f>
        <v/>
      </c>
      <c r="AL313" s="91">
        <f>SUMPRODUCT(Z312:AI312,$Z$6:$AI$6)/12</f>
        <v/>
      </c>
      <c r="AM313" s="88">
        <f>SUM(Z313:AI313)</f>
        <v/>
      </c>
      <c r="AO313" s="92">
        <f>IF(AY312&lt;0.005,0,MAX(0,AY312*(1+AY$6/12)-AY$7))</f>
        <v/>
      </c>
      <c r="AP313" s="92">
        <f>IF(AZ312&lt;0.005,0,MAX(0,AZ312*(1+AZ$6/12)-AZ$7))</f>
        <v/>
      </c>
      <c r="AQ313" s="92">
        <f>IF(BA312&lt;0.005,0,MAX(0,BA312*(1+BA$6/12)-BA$7))</f>
        <v/>
      </c>
      <c r="AR313" s="92">
        <f>IF(BB312&lt;0.005,0,MAX(0,BB312*(1+BB$6/12)-BB$7))</f>
        <v/>
      </c>
      <c r="AS313" s="92">
        <f>IF(BC312&lt;0.005,0,MAX(0,BC312*(1+BC$6/12)-BC$7))</f>
        <v/>
      </c>
      <c r="AT313" s="92">
        <f>IF(BD312&lt;0.005,0,MAX(0,BD312*(1+BD$6/12)-BD$7))</f>
        <v/>
      </c>
      <c r="AU313" s="92">
        <f>IF(BE312&lt;0.005,0,MAX(0,BE312*(1+BE$6/12)-BE$7))</f>
        <v/>
      </c>
      <c r="AV313" s="92">
        <f>IF(BF312&lt;0.005,0,MAX(0,BF312*(1+BF$6/12)-BF$7))</f>
        <v/>
      </c>
      <c r="AW313" s="92">
        <f>IF(BG312&lt;0.005,0,MAX(0,BG312*(1+BG$6/12)-BG$7))</f>
        <v/>
      </c>
      <c r="AX313" s="92">
        <f>IF(BH312&lt;0.005,0,MAX(0,BH312*(1+BH$6/12)-BH$7))</f>
        <v/>
      </c>
      <c r="AY313" s="91">
        <f>MAX(0,AO313-MAX(0,BJ313-0))</f>
        <v/>
      </c>
      <c r="AZ313" s="91">
        <f>MAX(0,AP313-MAX(0,BJ313-SUM(AO313:AO313)))</f>
        <v/>
      </c>
      <c r="BA313" s="91">
        <f>MAX(0,AQ313-MAX(0,BJ313-SUM(AO313:AP313)))</f>
        <v/>
      </c>
      <c r="BB313" s="91">
        <f>MAX(0,AR313-MAX(0,BJ313-SUM(AO313:AQ313)))</f>
        <v/>
      </c>
      <c r="BC313" s="91">
        <f>MAX(0,AS313-MAX(0,BJ313-SUM(AO313:AR313)))</f>
        <v/>
      </c>
      <c r="BD313" s="91">
        <f>MAX(0,AT313-MAX(0,BJ313-SUM(AO313:AS313)))</f>
        <v/>
      </c>
      <c r="BE313" s="91">
        <f>MAX(0,AU313-MAX(0,BJ313-SUM(AO313:AT313)))</f>
        <v/>
      </c>
      <c r="BF313" s="91">
        <f>MAX(0,AV313-MAX(0,BJ313-SUM(AO313:AU313)))</f>
        <v/>
      </c>
      <c r="BG313" s="91">
        <f>MAX(0,AW313-MAX(0,BJ313-SUM(AO313:AV313)))</f>
        <v/>
      </c>
      <c r="BH313" s="91">
        <f>MAX(0,AX313-MAX(0,BJ313-SUM(AO313:AW313)))</f>
        <v/>
      </c>
      <c r="BI313" s="92">
        <f>SUM(AY312:BH312)+BK313</f>
        <v/>
      </c>
      <c r="BJ313" s="92">
        <f>$BJ$7-(BI313-SUM(AO313:AX313))</f>
        <v/>
      </c>
      <c r="BK313" s="91">
        <f>SUMPRODUCT(AY312:BH312,$AY$6:$BH$6)/12</f>
        <v/>
      </c>
      <c r="BL313" s="88">
        <f>SUM(AY313:BH313)</f>
        <v/>
      </c>
    </row>
    <row r="314">
      <c r="A314" s="24" t="n">
        <v>304</v>
      </c>
      <c r="B314" s="90">
        <f>DATE(YEAR(Settings!$C$11),MONTH(Settings!$C$11)+A314,1)</f>
        <v/>
      </c>
      <c r="C314" s="91">
        <f>IF(C313&lt;0.005,0,MAX(0,C313*(1+C$6/12)-C$7))</f>
        <v/>
      </c>
      <c r="D314" s="91">
        <f>IF(D313&lt;0.005,0,MAX(0,D313*(1+D$6/12)-D$7))</f>
        <v/>
      </c>
      <c r="E314" s="91">
        <f>IF(E313&lt;0.005,0,MAX(0,E313*(1+E$6/12)-E$7))</f>
        <v/>
      </c>
      <c r="F314" s="91">
        <f>IF(F313&lt;0.005,0,MAX(0,F313*(1+F$6/12)-F$7))</f>
        <v/>
      </c>
      <c r="G314" s="91">
        <f>IF(G313&lt;0.005,0,MAX(0,G313*(1+G$6/12)-G$7))</f>
        <v/>
      </c>
      <c r="H314" s="91">
        <f>IF(H313&lt;0.005,0,MAX(0,H313*(1+H$6/12)-H$7))</f>
        <v/>
      </c>
      <c r="I314" s="91">
        <f>IF(I313&lt;0.005,0,MAX(0,I313*(1+I$6/12)-I$7))</f>
        <v/>
      </c>
      <c r="J314" s="91">
        <f>IF(J313&lt;0.005,0,MAX(0,J313*(1+J$6/12)-J$7))</f>
        <v/>
      </c>
      <c r="K314" s="91">
        <f>IF(K313&lt;0.005,0,MAX(0,K313*(1+K$6/12)-K$7))</f>
        <v/>
      </c>
      <c r="L314" s="91">
        <f>IF(L313&lt;0.005,0,MAX(0,L313*(1+L$6/12)-L$7))</f>
        <v/>
      </c>
      <c r="M314" s="91">
        <f>SUMPRODUCT(C313:L313,$C$6:$L$6)/12</f>
        <v/>
      </c>
      <c r="N314" s="88">
        <f>SUM(C314:L314)</f>
        <v/>
      </c>
      <c r="P314" s="92">
        <f>IF(Z313&lt;0.005,0,MAX(0,Z313*(1+Z$6/12)-Z$7))</f>
        <v/>
      </c>
      <c r="Q314" s="92">
        <f>IF(AA313&lt;0.005,0,MAX(0,AA313*(1+AA$6/12)-AA$7))</f>
        <v/>
      </c>
      <c r="R314" s="92">
        <f>IF(AB313&lt;0.005,0,MAX(0,AB313*(1+AB$6/12)-AB$7))</f>
        <v/>
      </c>
      <c r="S314" s="92">
        <f>IF(AC313&lt;0.005,0,MAX(0,AC313*(1+AC$6/12)-AC$7))</f>
        <v/>
      </c>
      <c r="T314" s="92">
        <f>IF(AD313&lt;0.005,0,MAX(0,AD313*(1+AD$6/12)-AD$7))</f>
        <v/>
      </c>
      <c r="U314" s="92">
        <f>IF(AE313&lt;0.005,0,MAX(0,AE313*(1+AE$6/12)-AE$7))</f>
        <v/>
      </c>
      <c r="V314" s="92">
        <f>IF(AF313&lt;0.005,0,MAX(0,AF313*(1+AF$6/12)-AF$7))</f>
        <v/>
      </c>
      <c r="W314" s="92">
        <f>IF(AG313&lt;0.005,0,MAX(0,AG313*(1+AG$6/12)-AG$7))</f>
        <v/>
      </c>
      <c r="X314" s="92">
        <f>IF(AH313&lt;0.005,0,MAX(0,AH313*(1+AH$6/12)-AH$7))</f>
        <v/>
      </c>
      <c r="Y314" s="92">
        <f>IF(AI313&lt;0.005,0,MAX(0,AI313*(1+AI$6/12)-AI$7))</f>
        <v/>
      </c>
      <c r="Z314" s="91">
        <f>MAX(0,P314-MAX(0,AK314-0))</f>
        <v/>
      </c>
      <c r="AA314" s="91">
        <f>MAX(0,Q314-MAX(0,AK314-SUM(P314:P314)))</f>
        <v/>
      </c>
      <c r="AB314" s="91">
        <f>MAX(0,R314-MAX(0,AK314-SUM(P314:Q314)))</f>
        <v/>
      </c>
      <c r="AC314" s="91">
        <f>MAX(0,S314-MAX(0,AK314-SUM(P314:R314)))</f>
        <v/>
      </c>
      <c r="AD314" s="91">
        <f>MAX(0,T314-MAX(0,AK314-SUM(P314:S314)))</f>
        <v/>
      </c>
      <c r="AE314" s="91">
        <f>MAX(0,U314-MAX(0,AK314-SUM(P314:T314)))</f>
        <v/>
      </c>
      <c r="AF314" s="91">
        <f>MAX(0,V314-MAX(0,AK314-SUM(P314:U314)))</f>
        <v/>
      </c>
      <c r="AG314" s="91">
        <f>MAX(0,W314-MAX(0,AK314-SUM(P314:V314)))</f>
        <v/>
      </c>
      <c r="AH314" s="91">
        <f>MAX(0,X314-MAX(0,AK314-SUM(P314:W314)))</f>
        <v/>
      </c>
      <c r="AI314" s="91">
        <f>MAX(0,Y314-MAX(0,AK314-SUM(P314:X314)))</f>
        <v/>
      </c>
      <c r="AJ314" s="92">
        <f>SUM(Z313:AI313)+AL314</f>
        <v/>
      </c>
      <c r="AK314" s="92">
        <f>$AK$7-(AJ314-SUM(P314:Y314))</f>
        <v/>
      </c>
      <c r="AL314" s="91">
        <f>SUMPRODUCT(Z313:AI313,$Z$6:$AI$6)/12</f>
        <v/>
      </c>
      <c r="AM314" s="88">
        <f>SUM(Z314:AI314)</f>
        <v/>
      </c>
      <c r="AO314" s="92">
        <f>IF(AY313&lt;0.005,0,MAX(0,AY313*(1+AY$6/12)-AY$7))</f>
        <v/>
      </c>
      <c r="AP314" s="92">
        <f>IF(AZ313&lt;0.005,0,MAX(0,AZ313*(1+AZ$6/12)-AZ$7))</f>
        <v/>
      </c>
      <c r="AQ314" s="92">
        <f>IF(BA313&lt;0.005,0,MAX(0,BA313*(1+BA$6/12)-BA$7))</f>
        <v/>
      </c>
      <c r="AR314" s="92">
        <f>IF(BB313&lt;0.005,0,MAX(0,BB313*(1+BB$6/12)-BB$7))</f>
        <v/>
      </c>
      <c r="AS314" s="92">
        <f>IF(BC313&lt;0.005,0,MAX(0,BC313*(1+BC$6/12)-BC$7))</f>
        <v/>
      </c>
      <c r="AT314" s="92">
        <f>IF(BD313&lt;0.005,0,MAX(0,BD313*(1+BD$6/12)-BD$7))</f>
        <v/>
      </c>
      <c r="AU314" s="92">
        <f>IF(BE313&lt;0.005,0,MAX(0,BE313*(1+BE$6/12)-BE$7))</f>
        <v/>
      </c>
      <c r="AV314" s="92">
        <f>IF(BF313&lt;0.005,0,MAX(0,BF313*(1+BF$6/12)-BF$7))</f>
        <v/>
      </c>
      <c r="AW314" s="92">
        <f>IF(BG313&lt;0.005,0,MAX(0,BG313*(1+BG$6/12)-BG$7))</f>
        <v/>
      </c>
      <c r="AX314" s="92">
        <f>IF(BH313&lt;0.005,0,MAX(0,BH313*(1+BH$6/12)-BH$7))</f>
        <v/>
      </c>
      <c r="AY314" s="91">
        <f>MAX(0,AO314-MAX(0,BJ314-0))</f>
        <v/>
      </c>
      <c r="AZ314" s="91">
        <f>MAX(0,AP314-MAX(0,BJ314-SUM(AO314:AO314)))</f>
        <v/>
      </c>
      <c r="BA314" s="91">
        <f>MAX(0,AQ314-MAX(0,BJ314-SUM(AO314:AP314)))</f>
        <v/>
      </c>
      <c r="BB314" s="91">
        <f>MAX(0,AR314-MAX(0,BJ314-SUM(AO314:AQ314)))</f>
        <v/>
      </c>
      <c r="BC314" s="91">
        <f>MAX(0,AS314-MAX(0,BJ314-SUM(AO314:AR314)))</f>
        <v/>
      </c>
      <c r="BD314" s="91">
        <f>MAX(0,AT314-MAX(0,BJ314-SUM(AO314:AS314)))</f>
        <v/>
      </c>
      <c r="BE314" s="91">
        <f>MAX(0,AU314-MAX(0,BJ314-SUM(AO314:AT314)))</f>
        <v/>
      </c>
      <c r="BF314" s="91">
        <f>MAX(0,AV314-MAX(0,BJ314-SUM(AO314:AU314)))</f>
        <v/>
      </c>
      <c r="BG314" s="91">
        <f>MAX(0,AW314-MAX(0,BJ314-SUM(AO314:AV314)))</f>
        <v/>
      </c>
      <c r="BH314" s="91">
        <f>MAX(0,AX314-MAX(0,BJ314-SUM(AO314:AW314)))</f>
        <v/>
      </c>
      <c r="BI314" s="92">
        <f>SUM(AY313:BH313)+BK314</f>
        <v/>
      </c>
      <c r="BJ314" s="92">
        <f>$BJ$7-(BI314-SUM(AO314:AX314))</f>
        <v/>
      </c>
      <c r="BK314" s="91">
        <f>SUMPRODUCT(AY313:BH313,$AY$6:$BH$6)/12</f>
        <v/>
      </c>
      <c r="BL314" s="88">
        <f>SUM(AY314:BH314)</f>
        <v/>
      </c>
    </row>
    <row r="315">
      <c r="A315" s="24" t="n">
        <v>305</v>
      </c>
      <c r="B315" s="90">
        <f>DATE(YEAR(Settings!$C$11),MONTH(Settings!$C$11)+A315,1)</f>
        <v/>
      </c>
      <c r="C315" s="91">
        <f>IF(C314&lt;0.005,0,MAX(0,C314*(1+C$6/12)-C$7))</f>
        <v/>
      </c>
      <c r="D315" s="91">
        <f>IF(D314&lt;0.005,0,MAX(0,D314*(1+D$6/12)-D$7))</f>
        <v/>
      </c>
      <c r="E315" s="91">
        <f>IF(E314&lt;0.005,0,MAX(0,E314*(1+E$6/12)-E$7))</f>
        <v/>
      </c>
      <c r="F315" s="91">
        <f>IF(F314&lt;0.005,0,MAX(0,F314*(1+F$6/12)-F$7))</f>
        <v/>
      </c>
      <c r="G315" s="91">
        <f>IF(G314&lt;0.005,0,MAX(0,G314*(1+G$6/12)-G$7))</f>
        <v/>
      </c>
      <c r="H315" s="91">
        <f>IF(H314&lt;0.005,0,MAX(0,H314*(1+H$6/12)-H$7))</f>
        <v/>
      </c>
      <c r="I315" s="91">
        <f>IF(I314&lt;0.005,0,MAX(0,I314*(1+I$6/12)-I$7))</f>
        <v/>
      </c>
      <c r="J315" s="91">
        <f>IF(J314&lt;0.005,0,MAX(0,J314*(1+J$6/12)-J$7))</f>
        <v/>
      </c>
      <c r="K315" s="91">
        <f>IF(K314&lt;0.005,0,MAX(0,K314*(1+K$6/12)-K$7))</f>
        <v/>
      </c>
      <c r="L315" s="91">
        <f>IF(L314&lt;0.005,0,MAX(0,L314*(1+L$6/12)-L$7))</f>
        <v/>
      </c>
      <c r="M315" s="91">
        <f>SUMPRODUCT(C314:L314,$C$6:$L$6)/12</f>
        <v/>
      </c>
      <c r="N315" s="88">
        <f>SUM(C315:L315)</f>
        <v/>
      </c>
      <c r="P315" s="92">
        <f>IF(Z314&lt;0.005,0,MAX(0,Z314*(1+Z$6/12)-Z$7))</f>
        <v/>
      </c>
      <c r="Q315" s="92">
        <f>IF(AA314&lt;0.005,0,MAX(0,AA314*(1+AA$6/12)-AA$7))</f>
        <v/>
      </c>
      <c r="R315" s="92">
        <f>IF(AB314&lt;0.005,0,MAX(0,AB314*(1+AB$6/12)-AB$7))</f>
        <v/>
      </c>
      <c r="S315" s="92">
        <f>IF(AC314&lt;0.005,0,MAX(0,AC314*(1+AC$6/12)-AC$7))</f>
        <v/>
      </c>
      <c r="T315" s="92">
        <f>IF(AD314&lt;0.005,0,MAX(0,AD314*(1+AD$6/12)-AD$7))</f>
        <v/>
      </c>
      <c r="U315" s="92">
        <f>IF(AE314&lt;0.005,0,MAX(0,AE314*(1+AE$6/12)-AE$7))</f>
        <v/>
      </c>
      <c r="V315" s="92">
        <f>IF(AF314&lt;0.005,0,MAX(0,AF314*(1+AF$6/12)-AF$7))</f>
        <v/>
      </c>
      <c r="W315" s="92">
        <f>IF(AG314&lt;0.005,0,MAX(0,AG314*(1+AG$6/12)-AG$7))</f>
        <v/>
      </c>
      <c r="X315" s="92">
        <f>IF(AH314&lt;0.005,0,MAX(0,AH314*(1+AH$6/12)-AH$7))</f>
        <v/>
      </c>
      <c r="Y315" s="92">
        <f>IF(AI314&lt;0.005,0,MAX(0,AI314*(1+AI$6/12)-AI$7))</f>
        <v/>
      </c>
      <c r="Z315" s="91">
        <f>MAX(0,P315-MAX(0,AK315-0))</f>
        <v/>
      </c>
      <c r="AA315" s="91">
        <f>MAX(0,Q315-MAX(0,AK315-SUM(P315:P315)))</f>
        <v/>
      </c>
      <c r="AB315" s="91">
        <f>MAX(0,R315-MAX(0,AK315-SUM(P315:Q315)))</f>
        <v/>
      </c>
      <c r="AC315" s="91">
        <f>MAX(0,S315-MAX(0,AK315-SUM(P315:R315)))</f>
        <v/>
      </c>
      <c r="AD315" s="91">
        <f>MAX(0,T315-MAX(0,AK315-SUM(P315:S315)))</f>
        <v/>
      </c>
      <c r="AE315" s="91">
        <f>MAX(0,U315-MAX(0,AK315-SUM(P315:T315)))</f>
        <v/>
      </c>
      <c r="AF315" s="91">
        <f>MAX(0,V315-MAX(0,AK315-SUM(P315:U315)))</f>
        <v/>
      </c>
      <c r="AG315" s="91">
        <f>MAX(0,W315-MAX(0,AK315-SUM(P315:V315)))</f>
        <v/>
      </c>
      <c r="AH315" s="91">
        <f>MAX(0,X315-MAX(0,AK315-SUM(P315:W315)))</f>
        <v/>
      </c>
      <c r="AI315" s="91">
        <f>MAX(0,Y315-MAX(0,AK315-SUM(P315:X315)))</f>
        <v/>
      </c>
      <c r="AJ315" s="92">
        <f>SUM(Z314:AI314)+AL315</f>
        <v/>
      </c>
      <c r="AK315" s="92">
        <f>$AK$7-(AJ315-SUM(P315:Y315))</f>
        <v/>
      </c>
      <c r="AL315" s="91">
        <f>SUMPRODUCT(Z314:AI314,$Z$6:$AI$6)/12</f>
        <v/>
      </c>
      <c r="AM315" s="88">
        <f>SUM(Z315:AI315)</f>
        <v/>
      </c>
      <c r="AO315" s="92">
        <f>IF(AY314&lt;0.005,0,MAX(0,AY314*(1+AY$6/12)-AY$7))</f>
        <v/>
      </c>
      <c r="AP315" s="92">
        <f>IF(AZ314&lt;0.005,0,MAX(0,AZ314*(1+AZ$6/12)-AZ$7))</f>
        <v/>
      </c>
      <c r="AQ315" s="92">
        <f>IF(BA314&lt;0.005,0,MAX(0,BA314*(1+BA$6/12)-BA$7))</f>
        <v/>
      </c>
      <c r="AR315" s="92">
        <f>IF(BB314&lt;0.005,0,MAX(0,BB314*(1+BB$6/12)-BB$7))</f>
        <v/>
      </c>
      <c r="AS315" s="92">
        <f>IF(BC314&lt;0.005,0,MAX(0,BC314*(1+BC$6/12)-BC$7))</f>
        <v/>
      </c>
      <c r="AT315" s="92">
        <f>IF(BD314&lt;0.005,0,MAX(0,BD314*(1+BD$6/12)-BD$7))</f>
        <v/>
      </c>
      <c r="AU315" s="92">
        <f>IF(BE314&lt;0.005,0,MAX(0,BE314*(1+BE$6/12)-BE$7))</f>
        <v/>
      </c>
      <c r="AV315" s="92">
        <f>IF(BF314&lt;0.005,0,MAX(0,BF314*(1+BF$6/12)-BF$7))</f>
        <v/>
      </c>
      <c r="AW315" s="92">
        <f>IF(BG314&lt;0.005,0,MAX(0,BG314*(1+BG$6/12)-BG$7))</f>
        <v/>
      </c>
      <c r="AX315" s="92">
        <f>IF(BH314&lt;0.005,0,MAX(0,BH314*(1+BH$6/12)-BH$7))</f>
        <v/>
      </c>
      <c r="AY315" s="91">
        <f>MAX(0,AO315-MAX(0,BJ315-0))</f>
        <v/>
      </c>
      <c r="AZ315" s="91">
        <f>MAX(0,AP315-MAX(0,BJ315-SUM(AO315:AO315)))</f>
        <v/>
      </c>
      <c r="BA315" s="91">
        <f>MAX(0,AQ315-MAX(0,BJ315-SUM(AO315:AP315)))</f>
        <v/>
      </c>
      <c r="BB315" s="91">
        <f>MAX(0,AR315-MAX(0,BJ315-SUM(AO315:AQ315)))</f>
        <v/>
      </c>
      <c r="BC315" s="91">
        <f>MAX(0,AS315-MAX(0,BJ315-SUM(AO315:AR315)))</f>
        <v/>
      </c>
      <c r="BD315" s="91">
        <f>MAX(0,AT315-MAX(0,BJ315-SUM(AO315:AS315)))</f>
        <v/>
      </c>
      <c r="BE315" s="91">
        <f>MAX(0,AU315-MAX(0,BJ315-SUM(AO315:AT315)))</f>
        <v/>
      </c>
      <c r="BF315" s="91">
        <f>MAX(0,AV315-MAX(0,BJ315-SUM(AO315:AU315)))</f>
        <v/>
      </c>
      <c r="BG315" s="91">
        <f>MAX(0,AW315-MAX(0,BJ315-SUM(AO315:AV315)))</f>
        <v/>
      </c>
      <c r="BH315" s="91">
        <f>MAX(0,AX315-MAX(0,BJ315-SUM(AO315:AW315)))</f>
        <v/>
      </c>
      <c r="BI315" s="92">
        <f>SUM(AY314:BH314)+BK315</f>
        <v/>
      </c>
      <c r="BJ315" s="92">
        <f>$BJ$7-(BI315-SUM(AO315:AX315))</f>
        <v/>
      </c>
      <c r="BK315" s="91">
        <f>SUMPRODUCT(AY314:BH314,$AY$6:$BH$6)/12</f>
        <v/>
      </c>
      <c r="BL315" s="88">
        <f>SUM(AY315:BH315)</f>
        <v/>
      </c>
    </row>
    <row r="316">
      <c r="A316" s="24" t="n">
        <v>306</v>
      </c>
      <c r="B316" s="90">
        <f>DATE(YEAR(Settings!$C$11),MONTH(Settings!$C$11)+A316,1)</f>
        <v/>
      </c>
      <c r="C316" s="91">
        <f>IF(C315&lt;0.005,0,MAX(0,C315*(1+C$6/12)-C$7))</f>
        <v/>
      </c>
      <c r="D316" s="91">
        <f>IF(D315&lt;0.005,0,MAX(0,D315*(1+D$6/12)-D$7))</f>
        <v/>
      </c>
      <c r="E316" s="91">
        <f>IF(E315&lt;0.005,0,MAX(0,E315*(1+E$6/12)-E$7))</f>
        <v/>
      </c>
      <c r="F316" s="91">
        <f>IF(F315&lt;0.005,0,MAX(0,F315*(1+F$6/12)-F$7))</f>
        <v/>
      </c>
      <c r="G316" s="91">
        <f>IF(G315&lt;0.005,0,MAX(0,G315*(1+G$6/12)-G$7))</f>
        <v/>
      </c>
      <c r="H316" s="91">
        <f>IF(H315&lt;0.005,0,MAX(0,H315*(1+H$6/12)-H$7))</f>
        <v/>
      </c>
      <c r="I316" s="91">
        <f>IF(I315&lt;0.005,0,MAX(0,I315*(1+I$6/12)-I$7))</f>
        <v/>
      </c>
      <c r="J316" s="91">
        <f>IF(J315&lt;0.005,0,MAX(0,J315*(1+J$6/12)-J$7))</f>
        <v/>
      </c>
      <c r="K316" s="91">
        <f>IF(K315&lt;0.005,0,MAX(0,K315*(1+K$6/12)-K$7))</f>
        <v/>
      </c>
      <c r="L316" s="91">
        <f>IF(L315&lt;0.005,0,MAX(0,L315*(1+L$6/12)-L$7))</f>
        <v/>
      </c>
      <c r="M316" s="91">
        <f>SUMPRODUCT(C315:L315,$C$6:$L$6)/12</f>
        <v/>
      </c>
      <c r="N316" s="88">
        <f>SUM(C316:L316)</f>
        <v/>
      </c>
      <c r="P316" s="92">
        <f>IF(Z315&lt;0.005,0,MAX(0,Z315*(1+Z$6/12)-Z$7))</f>
        <v/>
      </c>
      <c r="Q316" s="92">
        <f>IF(AA315&lt;0.005,0,MAX(0,AA315*(1+AA$6/12)-AA$7))</f>
        <v/>
      </c>
      <c r="R316" s="92">
        <f>IF(AB315&lt;0.005,0,MAX(0,AB315*(1+AB$6/12)-AB$7))</f>
        <v/>
      </c>
      <c r="S316" s="92">
        <f>IF(AC315&lt;0.005,0,MAX(0,AC315*(1+AC$6/12)-AC$7))</f>
        <v/>
      </c>
      <c r="T316" s="92">
        <f>IF(AD315&lt;0.005,0,MAX(0,AD315*(1+AD$6/12)-AD$7))</f>
        <v/>
      </c>
      <c r="U316" s="92">
        <f>IF(AE315&lt;0.005,0,MAX(0,AE315*(1+AE$6/12)-AE$7))</f>
        <v/>
      </c>
      <c r="V316" s="92">
        <f>IF(AF315&lt;0.005,0,MAX(0,AF315*(1+AF$6/12)-AF$7))</f>
        <v/>
      </c>
      <c r="W316" s="92">
        <f>IF(AG315&lt;0.005,0,MAX(0,AG315*(1+AG$6/12)-AG$7))</f>
        <v/>
      </c>
      <c r="X316" s="92">
        <f>IF(AH315&lt;0.005,0,MAX(0,AH315*(1+AH$6/12)-AH$7))</f>
        <v/>
      </c>
      <c r="Y316" s="92">
        <f>IF(AI315&lt;0.005,0,MAX(0,AI315*(1+AI$6/12)-AI$7))</f>
        <v/>
      </c>
      <c r="Z316" s="91">
        <f>MAX(0,P316-MAX(0,AK316-0))</f>
        <v/>
      </c>
      <c r="AA316" s="91">
        <f>MAX(0,Q316-MAX(0,AK316-SUM(P316:P316)))</f>
        <v/>
      </c>
      <c r="AB316" s="91">
        <f>MAX(0,R316-MAX(0,AK316-SUM(P316:Q316)))</f>
        <v/>
      </c>
      <c r="AC316" s="91">
        <f>MAX(0,S316-MAX(0,AK316-SUM(P316:R316)))</f>
        <v/>
      </c>
      <c r="AD316" s="91">
        <f>MAX(0,T316-MAX(0,AK316-SUM(P316:S316)))</f>
        <v/>
      </c>
      <c r="AE316" s="91">
        <f>MAX(0,U316-MAX(0,AK316-SUM(P316:T316)))</f>
        <v/>
      </c>
      <c r="AF316" s="91">
        <f>MAX(0,V316-MAX(0,AK316-SUM(P316:U316)))</f>
        <v/>
      </c>
      <c r="AG316" s="91">
        <f>MAX(0,W316-MAX(0,AK316-SUM(P316:V316)))</f>
        <v/>
      </c>
      <c r="AH316" s="91">
        <f>MAX(0,X316-MAX(0,AK316-SUM(P316:W316)))</f>
        <v/>
      </c>
      <c r="AI316" s="91">
        <f>MAX(0,Y316-MAX(0,AK316-SUM(P316:X316)))</f>
        <v/>
      </c>
      <c r="AJ316" s="92">
        <f>SUM(Z315:AI315)+AL316</f>
        <v/>
      </c>
      <c r="AK316" s="92">
        <f>$AK$7-(AJ316-SUM(P316:Y316))</f>
        <v/>
      </c>
      <c r="AL316" s="91">
        <f>SUMPRODUCT(Z315:AI315,$Z$6:$AI$6)/12</f>
        <v/>
      </c>
      <c r="AM316" s="88">
        <f>SUM(Z316:AI316)</f>
        <v/>
      </c>
      <c r="AO316" s="92">
        <f>IF(AY315&lt;0.005,0,MAX(0,AY315*(1+AY$6/12)-AY$7))</f>
        <v/>
      </c>
      <c r="AP316" s="92">
        <f>IF(AZ315&lt;0.005,0,MAX(0,AZ315*(1+AZ$6/12)-AZ$7))</f>
        <v/>
      </c>
      <c r="AQ316" s="92">
        <f>IF(BA315&lt;0.005,0,MAX(0,BA315*(1+BA$6/12)-BA$7))</f>
        <v/>
      </c>
      <c r="AR316" s="92">
        <f>IF(BB315&lt;0.005,0,MAX(0,BB315*(1+BB$6/12)-BB$7))</f>
        <v/>
      </c>
      <c r="AS316" s="92">
        <f>IF(BC315&lt;0.005,0,MAX(0,BC315*(1+BC$6/12)-BC$7))</f>
        <v/>
      </c>
      <c r="AT316" s="92">
        <f>IF(BD315&lt;0.005,0,MAX(0,BD315*(1+BD$6/12)-BD$7))</f>
        <v/>
      </c>
      <c r="AU316" s="92">
        <f>IF(BE315&lt;0.005,0,MAX(0,BE315*(1+BE$6/12)-BE$7))</f>
        <v/>
      </c>
      <c r="AV316" s="92">
        <f>IF(BF315&lt;0.005,0,MAX(0,BF315*(1+BF$6/12)-BF$7))</f>
        <v/>
      </c>
      <c r="AW316" s="92">
        <f>IF(BG315&lt;0.005,0,MAX(0,BG315*(1+BG$6/12)-BG$7))</f>
        <v/>
      </c>
      <c r="AX316" s="92">
        <f>IF(BH315&lt;0.005,0,MAX(0,BH315*(1+BH$6/12)-BH$7))</f>
        <v/>
      </c>
      <c r="AY316" s="91">
        <f>MAX(0,AO316-MAX(0,BJ316-0))</f>
        <v/>
      </c>
      <c r="AZ316" s="91">
        <f>MAX(0,AP316-MAX(0,BJ316-SUM(AO316:AO316)))</f>
        <v/>
      </c>
      <c r="BA316" s="91">
        <f>MAX(0,AQ316-MAX(0,BJ316-SUM(AO316:AP316)))</f>
        <v/>
      </c>
      <c r="BB316" s="91">
        <f>MAX(0,AR316-MAX(0,BJ316-SUM(AO316:AQ316)))</f>
        <v/>
      </c>
      <c r="BC316" s="91">
        <f>MAX(0,AS316-MAX(0,BJ316-SUM(AO316:AR316)))</f>
        <v/>
      </c>
      <c r="BD316" s="91">
        <f>MAX(0,AT316-MAX(0,BJ316-SUM(AO316:AS316)))</f>
        <v/>
      </c>
      <c r="BE316" s="91">
        <f>MAX(0,AU316-MAX(0,BJ316-SUM(AO316:AT316)))</f>
        <v/>
      </c>
      <c r="BF316" s="91">
        <f>MAX(0,AV316-MAX(0,BJ316-SUM(AO316:AU316)))</f>
        <v/>
      </c>
      <c r="BG316" s="91">
        <f>MAX(0,AW316-MAX(0,BJ316-SUM(AO316:AV316)))</f>
        <v/>
      </c>
      <c r="BH316" s="91">
        <f>MAX(0,AX316-MAX(0,BJ316-SUM(AO316:AW316)))</f>
        <v/>
      </c>
      <c r="BI316" s="92">
        <f>SUM(AY315:BH315)+BK316</f>
        <v/>
      </c>
      <c r="BJ316" s="92">
        <f>$BJ$7-(BI316-SUM(AO316:AX316))</f>
        <v/>
      </c>
      <c r="BK316" s="91">
        <f>SUMPRODUCT(AY315:BH315,$AY$6:$BH$6)/12</f>
        <v/>
      </c>
      <c r="BL316" s="88">
        <f>SUM(AY316:BH316)</f>
        <v/>
      </c>
    </row>
    <row r="317">
      <c r="A317" s="24" t="n">
        <v>307</v>
      </c>
      <c r="B317" s="90">
        <f>DATE(YEAR(Settings!$C$11),MONTH(Settings!$C$11)+A317,1)</f>
        <v/>
      </c>
      <c r="C317" s="91">
        <f>IF(C316&lt;0.005,0,MAX(0,C316*(1+C$6/12)-C$7))</f>
        <v/>
      </c>
      <c r="D317" s="91">
        <f>IF(D316&lt;0.005,0,MAX(0,D316*(1+D$6/12)-D$7))</f>
        <v/>
      </c>
      <c r="E317" s="91">
        <f>IF(E316&lt;0.005,0,MAX(0,E316*(1+E$6/12)-E$7))</f>
        <v/>
      </c>
      <c r="F317" s="91">
        <f>IF(F316&lt;0.005,0,MAX(0,F316*(1+F$6/12)-F$7))</f>
        <v/>
      </c>
      <c r="G317" s="91">
        <f>IF(G316&lt;0.005,0,MAX(0,G316*(1+G$6/12)-G$7))</f>
        <v/>
      </c>
      <c r="H317" s="91">
        <f>IF(H316&lt;0.005,0,MAX(0,H316*(1+H$6/12)-H$7))</f>
        <v/>
      </c>
      <c r="I317" s="91">
        <f>IF(I316&lt;0.005,0,MAX(0,I316*(1+I$6/12)-I$7))</f>
        <v/>
      </c>
      <c r="J317" s="91">
        <f>IF(J316&lt;0.005,0,MAX(0,J316*(1+J$6/12)-J$7))</f>
        <v/>
      </c>
      <c r="K317" s="91">
        <f>IF(K316&lt;0.005,0,MAX(0,K316*(1+K$6/12)-K$7))</f>
        <v/>
      </c>
      <c r="L317" s="91">
        <f>IF(L316&lt;0.005,0,MAX(0,L316*(1+L$6/12)-L$7))</f>
        <v/>
      </c>
      <c r="M317" s="91">
        <f>SUMPRODUCT(C316:L316,$C$6:$L$6)/12</f>
        <v/>
      </c>
      <c r="N317" s="88">
        <f>SUM(C317:L317)</f>
        <v/>
      </c>
      <c r="P317" s="92">
        <f>IF(Z316&lt;0.005,0,MAX(0,Z316*(1+Z$6/12)-Z$7))</f>
        <v/>
      </c>
      <c r="Q317" s="92">
        <f>IF(AA316&lt;0.005,0,MAX(0,AA316*(1+AA$6/12)-AA$7))</f>
        <v/>
      </c>
      <c r="R317" s="92">
        <f>IF(AB316&lt;0.005,0,MAX(0,AB316*(1+AB$6/12)-AB$7))</f>
        <v/>
      </c>
      <c r="S317" s="92">
        <f>IF(AC316&lt;0.005,0,MAX(0,AC316*(1+AC$6/12)-AC$7))</f>
        <v/>
      </c>
      <c r="T317" s="92">
        <f>IF(AD316&lt;0.005,0,MAX(0,AD316*(1+AD$6/12)-AD$7))</f>
        <v/>
      </c>
      <c r="U317" s="92">
        <f>IF(AE316&lt;0.005,0,MAX(0,AE316*(1+AE$6/12)-AE$7))</f>
        <v/>
      </c>
      <c r="V317" s="92">
        <f>IF(AF316&lt;0.005,0,MAX(0,AF316*(1+AF$6/12)-AF$7))</f>
        <v/>
      </c>
      <c r="W317" s="92">
        <f>IF(AG316&lt;0.005,0,MAX(0,AG316*(1+AG$6/12)-AG$7))</f>
        <v/>
      </c>
      <c r="X317" s="92">
        <f>IF(AH316&lt;0.005,0,MAX(0,AH316*(1+AH$6/12)-AH$7))</f>
        <v/>
      </c>
      <c r="Y317" s="92">
        <f>IF(AI316&lt;0.005,0,MAX(0,AI316*(1+AI$6/12)-AI$7))</f>
        <v/>
      </c>
      <c r="Z317" s="91">
        <f>MAX(0,P317-MAX(0,AK317-0))</f>
        <v/>
      </c>
      <c r="AA317" s="91">
        <f>MAX(0,Q317-MAX(0,AK317-SUM(P317:P317)))</f>
        <v/>
      </c>
      <c r="AB317" s="91">
        <f>MAX(0,R317-MAX(0,AK317-SUM(P317:Q317)))</f>
        <v/>
      </c>
      <c r="AC317" s="91">
        <f>MAX(0,S317-MAX(0,AK317-SUM(P317:R317)))</f>
        <v/>
      </c>
      <c r="AD317" s="91">
        <f>MAX(0,T317-MAX(0,AK317-SUM(P317:S317)))</f>
        <v/>
      </c>
      <c r="AE317" s="91">
        <f>MAX(0,U317-MAX(0,AK317-SUM(P317:T317)))</f>
        <v/>
      </c>
      <c r="AF317" s="91">
        <f>MAX(0,V317-MAX(0,AK317-SUM(P317:U317)))</f>
        <v/>
      </c>
      <c r="AG317" s="91">
        <f>MAX(0,W317-MAX(0,AK317-SUM(P317:V317)))</f>
        <v/>
      </c>
      <c r="AH317" s="91">
        <f>MAX(0,X317-MAX(0,AK317-SUM(P317:W317)))</f>
        <v/>
      </c>
      <c r="AI317" s="91">
        <f>MAX(0,Y317-MAX(0,AK317-SUM(P317:X317)))</f>
        <v/>
      </c>
      <c r="AJ317" s="92">
        <f>SUM(Z316:AI316)+AL317</f>
        <v/>
      </c>
      <c r="AK317" s="92">
        <f>$AK$7-(AJ317-SUM(P317:Y317))</f>
        <v/>
      </c>
      <c r="AL317" s="91">
        <f>SUMPRODUCT(Z316:AI316,$Z$6:$AI$6)/12</f>
        <v/>
      </c>
      <c r="AM317" s="88">
        <f>SUM(Z317:AI317)</f>
        <v/>
      </c>
      <c r="AO317" s="92">
        <f>IF(AY316&lt;0.005,0,MAX(0,AY316*(1+AY$6/12)-AY$7))</f>
        <v/>
      </c>
      <c r="AP317" s="92">
        <f>IF(AZ316&lt;0.005,0,MAX(0,AZ316*(1+AZ$6/12)-AZ$7))</f>
        <v/>
      </c>
      <c r="AQ317" s="92">
        <f>IF(BA316&lt;0.005,0,MAX(0,BA316*(1+BA$6/12)-BA$7))</f>
        <v/>
      </c>
      <c r="AR317" s="92">
        <f>IF(BB316&lt;0.005,0,MAX(0,BB316*(1+BB$6/12)-BB$7))</f>
        <v/>
      </c>
      <c r="AS317" s="92">
        <f>IF(BC316&lt;0.005,0,MAX(0,BC316*(1+BC$6/12)-BC$7))</f>
        <v/>
      </c>
      <c r="AT317" s="92">
        <f>IF(BD316&lt;0.005,0,MAX(0,BD316*(1+BD$6/12)-BD$7))</f>
        <v/>
      </c>
      <c r="AU317" s="92">
        <f>IF(BE316&lt;0.005,0,MAX(0,BE316*(1+BE$6/12)-BE$7))</f>
        <v/>
      </c>
      <c r="AV317" s="92">
        <f>IF(BF316&lt;0.005,0,MAX(0,BF316*(1+BF$6/12)-BF$7))</f>
        <v/>
      </c>
      <c r="AW317" s="92">
        <f>IF(BG316&lt;0.005,0,MAX(0,BG316*(1+BG$6/12)-BG$7))</f>
        <v/>
      </c>
      <c r="AX317" s="92">
        <f>IF(BH316&lt;0.005,0,MAX(0,BH316*(1+BH$6/12)-BH$7))</f>
        <v/>
      </c>
      <c r="AY317" s="91">
        <f>MAX(0,AO317-MAX(0,BJ317-0))</f>
        <v/>
      </c>
      <c r="AZ317" s="91">
        <f>MAX(0,AP317-MAX(0,BJ317-SUM(AO317:AO317)))</f>
        <v/>
      </c>
      <c r="BA317" s="91">
        <f>MAX(0,AQ317-MAX(0,BJ317-SUM(AO317:AP317)))</f>
        <v/>
      </c>
      <c r="BB317" s="91">
        <f>MAX(0,AR317-MAX(0,BJ317-SUM(AO317:AQ317)))</f>
        <v/>
      </c>
      <c r="BC317" s="91">
        <f>MAX(0,AS317-MAX(0,BJ317-SUM(AO317:AR317)))</f>
        <v/>
      </c>
      <c r="BD317" s="91">
        <f>MAX(0,AT317-MAX(0,BJ317-SUM(AO317:AS317)))</f>
        <v/>
      </c>
      <c r="BE317" s="91">
        <f>MAX(0,AU317-MAX(0,BJ317-SUM(AO317:AT317)))</f>
        <v/>
      </c>
      <c r="BF317" s="91">
        <f>MAX(0,AV317-MAX(0,BJ317-SUM(AO317:AU317)))</f>
        <v/>
      </c>
      <c r="BG317" s="91">
        <f>MAX(0,AW317-MAX(0,BJ317-SUM(AO317:AV317)))</f>
        <v/>
      </c>
      <c r="BH317" s="91">
        <f>MAX(0,AX317-MAX(0,BJ317-SUM(AO317:AW317)))</f>
        <v/>
      </c>
      <c r="BI317" s="92">
        <f>SUM(AY316:BH316)+BK317</f>
        <v/>
      </c>
      <c r="BJ317" s="92">
        <f>$BJ$7-(BI317-SUM(AO317:AX317))</f>
        <v/>
      </c>
      <c r="BK317" s="91">
        <f>SUMPRODUCT(AY316:BH316,$AY$6:$BH$6)/12</f>
        <v/>
      </c>
      <c r="BL317" s="88">
        <f>SUM(AY317:BH317)</f>
        <v/>
      </c>
    </row>
    <row r="318">
      <c r="A318" s="24" t="n">
        <v>308</v>
      </c>
      <c r="B318" s="90">
        <f>DATE(YEAR(Settings!$C$11),MONTH(Settings!$C$11)+A318,1)</f>
        <v/>
      </c>
      <c r="C318" s="91">
        <f>IF(C317&lt;0.005,0,MAX(0,C317*(1+C$6/12)-C$7))</f>
        <v/>
      </c>
      <c r="D318" s="91">
        <f>IF(D317&lt;0.005,0,MAX(0,D317*(1+D$6/12)-D$7))</f>
        <v/>
      </c>
      <c r="E318" s="91">
        <f>IF(E317&lt;0.005,0,MAX(0,E317*(1+E$6/12)-E$7))</f>
        <v/>
      </c>
      <c r="F318" s="91">
        <f>IF(F317&lt;0.005,0,MAX(0,F317*(1+F$6/12)-F$7))</f>
        <v/>
      </c>
      <c r="G318" s="91">
        <f>IF(G317&lt;0.005,0,MAX(0,G317*(1+G$6/12)-G$7))</f>
        <v/>
      </c>
      <c r="H318" s="91">
        <f>IF(H317&lt;0.005,0,MAX(0,H317*(1+H$6/12)-H$7))</f>
        <v/>
      </c>
      <c r="I318" s="91">
        <f>IF(I317&lt;0.005,0,MAX(0,I317*(1+I$6/12)-I$7))</f>
        <v/>
      </c>
      <c r="J318" s="91">
        <f>IF(J317&lt;0.005,0,MAX(0,J317*(1+J$6/12)-J$7))</f>
        <v/>
      </c>
      <c r="K318" s="91">
        <f>IF(K317&lt;0.005,0,MAX(0,K317*(1+K$6/12)-K$7))</f>
        <v/>
      </c>
      <c r="L318" s="91">
        <f>IF(L317&lt;0.005,0,MAX(0,L317*(1+L$6/12)-L$7))</f>
        <v/>
      </c>
      <c r="M318" s="91">
        <f>SUMPRODUCT(C317:L317,$C$6:$L$6)/12</f>
        <v/>
      </c>
      <c r="N318" s="88">
        <f>SUM(C318:L318)</f>
        <v/>
      </c>
      <c r="P318" s="92">
        <f>IF(Z317&lt;0.005,0,MAX(0,Z317*(1+Z$6/12)-Z$7))</f>
        <v/>
      </c>
      <c r="Q318" s="92">
        <f>IF(AA317&lt;0.005,0,MAX(0,AA317*(1+AA$6/12)-AA$7))</f>
        <v/>
      </c>
      <c r="R318" s="92">
        <f>IF(AB317&lt;0.005,0,MAX(0,AB317*(1+AB$6/12)-AB$7))</f>
        <v/>
      </c>
      <c r="S318" s="92">
        <f>IF(AC317&lt;0.005,0,MAX(0,AC317*(1+AC$6/12)-AC$7))</f>
        <v/>
      </c>
      <c r="T318" s="92">
        <f>IF(AD317&lt;0.005,0,MAX(0,AD317*(1+AD$6/12)-AD$7))</f>
        <v/>
      </c>
      <c r="U318" s="92">
        <f>IF(AE317&lt;0.005,0,MAX(0,AE317*(1+AE$6/12)-AE$7))</f>
        <v/>
      </c>
      <c r="V318" s="92">
        <f>IF(AF317&lt;0.005,0,MAX(0,AF317*(1+AF$6/12)-AF$7))</f>
        <v/>
      </c>
      <c r="W318" s="92">
        <f>IF(AG317&lt;0.005,0,MAX(0,AG317*(1+AG$6/12)-AG$7))</f>
        <v/>
      </c>
      <c r="X318" s="92">
        <f>IF(AH317&lt;0.005,0,MAX(0,AH317*(1+AH$6/12)-AH$7))</f>
        <v/>
      </c>
      <c r="Y318" s="92">
        <f>IF(AI317&lt;0.005,0,MAX(0,AI317*(1+AI$6/12)-AI$7))</f>
        <v/>
      </c>
      <c r="Z318" s="91">
        <f>MAX(0,P318-MAX(0,AK318-0))</f>
        <v/>
      </c>
      <c r="AA318" s="91">
        <f>MAX(0,Q318-MAX(0,AK318-SUM(P318:P318)))</f>
        <v/>
      </c>
      <c r="AB318" s="91">
        <f>MAX(0,R318-MAX(0,AK318-SUM(P318:Q318)))</f>
        <v/>
      </c>
      <c r="AC318" s="91">
        <f>MAX(0,S318-MAX(0,AK318-SUM(P318:R318)))</f>
        <v/>
      </c>
      <c r="AD318" s="91">
        <f>MAX(0,T318-MAX(0,AK318-SUM(P318:S318)))</f>
        <v/>
      </c>
      <c r="AE318" s="91">
        <f>MAX(0,U318-MAX(0,AK318-SUM(P318:T318)))</f>
        <v/>
      </c>
      <c r="AF318" s="91">
        <f>MAX(0,V318-MAX(0,AK318-SUM(P318:U318)))</f>
        <v/>
      </c>
      <c r="AG318" s="91">
        <f>MAX(0,W318-MAX(0,AK318-SUM(P318:V318)))</f>
        <v/>
      </c>
      <c r="AH318" s="91">
        <f>MAX(0,X318-MAX(0,AK318-SUM(P318:W318)))</f>
        <v/>
      </c>
      <c r="AI318" s="91">
        <f>MAX(0,Y318-MAX(0,AK318-SUM(P318:X318)))</f>
        <v/>
      </c>
      <c r="AJ318" s="92">
        <f>SUM(Z317:AI317)+AL318</f>
        <v/>
      </c>
      <c r="AK318" s="92">
        <f>$AK$7-(AJ318-SUM(P318:Y318))</f>
        <v/>
      </c>
      <c r="AL318" s="91">
        <f>SUMPRODUCT(Z317:AI317,$Z$6:$AI$6)/12</f>
        <v/>
      </c>
      <c r="AM318" s="88">
        <f>SUM(Z318:AI318)</f>
        <v/>
      </c>
      <c r="AO318" s="92">
        <f>IF(AY317&lt;0.005,0,MAX(0,AY317*(1+AY$6/12)-AY$7))</f>
        <v/>
      </c>
      <c r="AP318" s="92">
        <f>IF(AZ317&lt;0.005,0,MAX(0,AZ317*(1+AZ$6/12)-AZ$7))</f>
        <v/>
      </c>
      <c r="AQ318" s="92">
        <f>IF(BA317&lt;0.005,0,MAX(0,BA317*(1+BA$6/12)-BA$7))</f>
        <v/>
      </c>
      <c r="AR318" s="92">
        <f>IF(BB317&lt;0.005,0,MAX(0,BB317*(1+BB$6/12)-BB$7))</f>
        <v/>
      </c>
      <c r="AS318" s="92">
        <f>IF(BC317&lt;0.005,0,MAX(0,BC317*(1+BC$6/12)-BC$7))</f>
        <v/>
      </c>
      <c r="AT318" s="92">
        <f>IF(BD317&lt;0.005,0,MAX(0,BD317*(1+BD$6/12)-BD$7))</f>
        <v/>
      </c>
      <c r="AU318" s="92">
        <f>IF(BE317&lt;0.005,0,MAX(0,BE317*(1+BE$6/12)-BE$7))</f>
        <v/>
      </c>
      <c r="AV318" s="92">
        <f>IF(BF317&lt;0.005,0,MAX(0,BF317*(1+BF$6/12)-BF$7))</f>
        <v/>
      </c>
      <c r="AW318" s="92">
        <f>IF(BG317&lt;0.005,0,MAX(0,BG317*(1+BG$6/12)-BG$7))</f>
        <v/>
      </c>
      <c r="AX318" s="92">
        <f>IF(BH317&lt;0.005,0,MAX(0,BH317*(1+BH$6/12)-BH$7))</f>
        <v/>
      </c>
      <c r="AY318" s="91">
        <f>MAX(0,AO318-MAX(0,BJ318-0))</f>
        <v/>
      </c>
      <c r="AZ318" s="91">
        <f>MAX(0,AP318-MAX(0,BJ318-SUM(AO318:AO318)))</f>
        <v/>
      </c>
      <c r="BA318" s="91">
        <f>MAX(0,AQ318-MAX(0,BJ318-SUM(AO318:AP318)))</f>
        <v/>
      </c>
      <c r="BB318" s="91">
        <f>MAX(0,AR318-MAX(0,BJ318-SUM(AO318:AQ318)))</f>
        <v/>
      </c>
      <c r="BC318" s="91">
        <f>MAX(0,AS318-MAX(0,BJ318-SUM(AO318:AR318)))</f>
        <v/>
      </c>
      <c r="BD318" s="91">
        <f>MAX(0,AT318-MAX(0,BJ318-SUM(AO318:AS318)))</f>
        <v/>
      </c>
      <c r="BE318" s="91">
        <f>MAX(0,AU318-MAX(0,BJ318-SUM(AO318:AT318)))</f>
        <v/>
      </c>
      <c r="BF318" s="91">
        <f>MAX(0,AV318-MAX(0,BJ318-SUM(AO318:AU318)))</f>
        <v/>
      </c>
      <c r="BG318" s="91">
        <f>MAX(0,AW318-MAX(0,BJ318-SUM(AO318:AV318)))</f>
        <v/>
      </c>
      <c r="BH318" s="91">
        <f>MAX(0,AX318-MAX(0,BJ318-SUM(AO318:AW318)))</f>
        <v/>
      </c>
      <c r="BI318" s="92">
        <f>SUM(AY317:BH317)+BK318</f>
        <v/>
      </c>
      <c r="BJ318" s="92">
        <f>$BJ$7-(BI318-SUM(AO318:AX318))</f>
        <v/>
      </c>
      <c r="BK318" s="91">
        <f>SUMPRODUCT(AY317:BH317,$AY$6:$BH$6)/12</f>
        <v/>
      </c>
      <c r="BL318" s="88">
        <f>SUM(AY318:BH318)</f>
        <v/>
      </c>
    </row>
    <row r="319">
      <c r="A319" s="24" t="n">
        <v>309</v>
      </c>
      <c r="B319" s="90">
        <f>DATE(YEAR(Settings!$C$11),MONTH(Settings!$C$11)+A319,1)</f>
        <v/>
      </c>
      <c r="C319" s="91">
        <f>IF(C318&lt;0.005,0,MAX(0,C318*(1+C$6/12)-C$7))</f>
        <v/>
      </c>
      <c r="D319" s="91">
        <f>IF(D318&lt;0.005,0,MAX(0,D318*(1+D$6/12)-D$7))</f>
        <v/>
      </c>
      <c r="E319" s="91">
        <f>IF(E318&lt;0.005,0,MAX(0,E318*(1+E$6/12)-E$7))</f>
        <v/>
      </c>
      <c r="F319" s="91">
        <f>IF(F318&lt;0.005,0,MAX(0,F318*(1+F$6/12)-F$7))</f>
        <v/>
      </c>
      <c r="G319" s="91">
        <f>IF(G318&lt;0.005,0,MAX(0,G318*(1+G$6/12)-G$7))</f>
        <v/>
      </c>
      <c r="H319" s="91">
        <f>IF(H318&lt;0.005,0,MAX(0,H318*(1+H$6/12)-H$7))</f>
        <v/>
      </c>
      <c r="I319" s="91">
        <f>IF(I318&lt;0.005,0,MAX(0,I318*(1+I$6/12)-I$7))</f>
        <v/>
      </c>
      <c r="J319" s="91">
        <f>IF(J318&lt;0.005,0,MAX(0,J318*(1+J$6/12)-J$7))</f>
        <v/>
      </c>
      <c r="K319" s="91">
        <f>IF(K318&lt;0.005,0,MAX(0,K318*(1+K$6/12)-K$7))</f>
        <v/>
      </c>
      <c r="L319" s="91">
        <f>IF(L318&lt;0.005,0,MAX(0,L318*(1+L$6/12)-L$7))</f>
        <v/>
      </c>
      <c r="M319" s="91">
        <f>SUMPRODUCT(C318:L318,$C$6:$L$6)/12</f>
        <v/>
      </c>
      <c r="N319" s="88">
        <f>SUM(C319:L319)</f>
        <v/>
      </c>
      <c r="P319" s="92">
        <f>IF(Z318&lt;0.005,0,MAX(0,Z318*(1+Z$6/12)-Z$7))</f>
        <v/>
      </c>
      <c r="Q319" s="92">
        <f>IF(AA318&lt;0.005,0,MAX(0,AA318*(1+AA$6/12)-AA$7))</f>
        <v/>
      </c>
      <c r="R319" s="92">
        <f>IF(AB318&lt;0.005,0,MAX(0,AB318*(1+AB$6/12)-AB$7))</f>
        <v/>
      </c>
      <c r="S319" s="92">
        <f>IF(AC318&lt;0.005,0,MAX(0,AC318*(1+AC$6/12)-AC$7))</f>
        <v/>
      </c>
      <c r="T319" s="92">
        <f>IF(AD318&lt;0.005,0,MAX(0,AD318*(1+AD$6/12)-AD$7))</f>
        <v/>
      </c>
      <c r="U319" s="92">
        <f>IF(AE318&lt;0.005,0,MAX(0,AE318*(1+AE$6/12)-AE$7))</f>
        <v/>
      </c>
      <c r="V319" s="92">
        <f>IF(AF318&lt;0.005,0,MAX(0,AF318*(1+AF$6/12)-AF$7))</f>
        <v/>
      </c>
      <c r="W319" s="92">
        <f>IF(AG318&lt;0.005,0,MAX(0,AG318*(1+AG$6/12)-AG$7))</f>
        <v/>
      </c>
      <c r="X319" s="92">
        <f>IF(AH318&lt;0.005,0,MAX(0,AH318*(1+AH$6/12)-AH$7))</f>
        <v/>
      </c>
      <c r="Y319" s="92">
        <f>IF(AI318&lt;0.005,0,MAX(0,AI318*(1+AI$6/12)-AI$7))</f>
        <v/>
      </c>
      <c r="Z319" s="91">
        <f>MAX(0,P319-MAX(0,AK319-0))</f>
        <v/>
      </c>
      <c r="AA319" s="91">
        <f>MAX(0,Q319-MAX(0,AK319-SUM(P319:P319)))</f>
        <v/>
      </c>
      <c r="AB319" s="91">
        <f>MAX(0,R319-MAX(0,AK319-SUM(P319:Q319)))</f>
        <v/>
      </c>
      <c r="AC319" s="91">
        <f>MAX(0,S319-MAX(0,AK319-SUM(P319:R319)))</f>
        <v/>
      </c>
      <c r="AD319" s="91">
        <f>MAX(0,T319-MAX(0,AK319-SUM(P319:S319)))</f>
        <v/>
      </c>
      <c r="AE319" s="91">
        <f>MAX(0,U319-MAX(0,AK319-SUM(P319:T319)))</f>
        <v/>
      </c>
      <c r="AF319" s="91">
        <f>MAX(0,V319-MAX(0,AK319-SUM(P319:U319)))</f>
        <v/>
      </c>
      <c r="AG319" s="91">
        <f>MAX(0,W319-MAX(0,AK319-SUM(P319:V319)))</f>
        <v/>
      </c>
      <c r="AH319" s="91">
        <f>MAX(0,X319-MAX(0,AK319-SUM(P319:W319)))</f>
        <v/>
      </c>
      <c r="AI319" s="91">
        <f>MAX(0,Y319-MAX(0,AK319-SUM(P319:X319)))</f>
        <v/>
      </c>
      <c r="AJ319" s="92">
        <f>SUM(Z318:AI318)+AL319</f>
        <v/>
      </c>
      <c r="AK319" s="92">
        <f>$AK$7-(AJ319-SUM(P319:Y319))</f>
        <v/>
      </c>
      <c r="AL319" s="91">
        <f>SUMPRODUCT(Z318:AI318,$Z$6:$AI$6)/12</f>
        <v/>
      </c>
      <c r="AM319" s="88">
        <f>SUM(Z319:AI319)</f>
        <v/>
      </c>
      <c r="AO319" s="92">
        <f>IF(AY318&lt;0.005,0,MAX(0,AY318*(1+AY$6/12)-AY$7))</f>
        <v/>
      </c>
      <c r="AP319" s="92">
        <f>IF(AZ318&lt;0.005,0,MAX(0,AZ318*(1+AZ$6/12)-AZ$7))</f>
        <v/>
      </c>
      <c r="AQ319" s="92">
        <f>IF(BA318&lt;0.005,0,MAX(0,BA318*(1+BA$6/12)-BA$7))</f>
        <v/>
      </c>
      <c r="AR319" s="92">
        <f>IF(BB318&lt;0.005,0,MAX(0,BB318*(1+BB$6/12)-BB$7))</f>
        <v/>
      </c>
      <c r="AS319" s="92">
        <f>IF(BC318&lt;0.005,0,MAX(0,BC318*(1+BC$6/12)-BC$7))</f>
        <v/>
      </c>
      <c r="AT319" s="92">
        <f>IF(BD318&lt;0.005,0,MAX(0,BD318*(1+BD$6/12)-BD$7))</f>
        <v/>
      </c>
      <c r="AU319" s="92">
        <f>IF(BE318&lt;0.005,0,MAX(0,BE318*(1+BE$6/12)-BE$7))</f>
        <v/>
      </c>
      <c r="AV319" s="92">
        <f>IF(BF318&lt;0.005,0,MAX(0,BF318*(1+BF$6/12)-BF$7))</f>
        <v/>
      </c>
      <c r="AW319" s="92">
        <f>IF(BG318&lt;0.005,0,MAX(0,BG318*(1+BG$6/12)-BG$7))</f>
        <v/>
      </c>
      <c r="AX319" s="92">
        <f>IF(BH318&lt;0.005,0,MAX(0,BH318*(1+BH$6/12)-BH$7))</f>
        <v/>
      </c>
      <c r="AY319" s="91">
        <f>MAX(0,AO319-MAX(0,BJ319-0))</f>
        <v/>
      </c>
      <c r="AZ319" s="91">
        <f>MAX(0,AP319-MAX(0,BJ319-SUM(AO319:AO319)))</f>
        <v/>
      </c>
      <c r="BA319" s="91">
        <f>MAX(0,AQ319-MAX(0,BJ319-SUM(AO319:AP319)))</f>
        <v/>
      </c>
      <c r="BB319" s="91">
        <f>MAX(0,AR319-MAX(0,BJ319-SUM(AO319:AQ319)))</f>
        <v/>
      </c>
      <c r="BC319" s="91">
        <f>MAX(0,AS319-MAX(0,BJ319-SUM(AO319:AR319)))</f>
        <v/>
      </c>
      <c r="BD319" s="91">
        <f>MAX(0,AT319-MAX(0,BJ319-SUM(AO319:AS319)))</f>
        <v/>
      </c>
      <c r="BE319" s="91">
        <f>MAX(0,AU319-MAX(0,BJ319-SUM(AO319:AT319)))</f>
        <v/>
      </c>
      <c r="BF319" s="91">
        <f>MAX(0,AV319-MAX(0,BJ319-SUM(AO319:AU319)))</f>
        <v/>
      </c>
      <c r="BG319" s="91">
        <f>MAX(0,AW319-MAX(0,BJ319-SUM(AO319:AV319)))</f>
        <v/>
      </c>
      <c r="BH319" s="91">
        <f>MAX(0,AX319-MAX(0,BJ319-SUM(AO319:AW319)))</f>
        <v/>
      </c>
      <c r="BI319" s="92">
        <f>SUM(AY318:BH318)+BK319</f>
        <v/>
      </c>
      <c r="BJ319" s="92">
        <f>$BJ$7-(BI319-SUM(AO319:AX319))</f>
        <v/>
      </c>
      <c r="BK319" s="91">
        <f>SUMPRODUCT(AY318:BH318,$AY$6:$BH$6)/12</f>
        <v/>
      </c>
      <c r="BL319" s="88">
        <f>SUM(AY319:BH319)</f>
        <v/>
      </c>
    </row>
    <row r="320">
      <c r="A320" s="24" t="n">
        <v>310</v>
      </c>
      <c r="B320" s="90">
        <f>DATE(YEAR(Settings!$C$11),MONTH(Settings!$C$11)+A320,1)</f>
        <v/>
      </c>
      <c r="C320" s="91">
        <f>IF(C319&lt;0.005,0,MAX(0,C319*(1+C$6/12)-C$7))</f>
        <v/>
      </c>
      <c r="D320" s="91">
        <f>IF(D319&lt;0.005,0,MAX(0,D319*(1+D$6/12)-D$7))</f>
        <v/>
      </c>
      <c r="E320" s="91">
        <f>IF(E319&lt;0.005,0,MAX(0,E319*(1+E$6/12)-E$7))</f>
        <v/>
      </c>
      <c r="F320" s="91">
        <f>IF(F319&lt;0.005,0,MAX(0,F319*(1+F$6/12)-F$7))</f>
        <v/>
      </c>
      <c r="G320" s="91">
        <f>IF(G319&lt;0.005,0,MAX(0,G319*(1+G$6/12)-G$7))</f>
        <v/>
      </c>
      <c r="H320" s="91">
        <f>IF(H319&lt;0.005,0,MAX(0,H319*(1+H$6/12)-H$7))</f>
        <v/>
      </c>
      <c r="I320" s="91">
        <f>IF(I319&lt;0.005,0,MAX(0,I319*(1+I$6/12)-I$7))</f>
        <v/>
      </c>
      <c r="J320" s="91">
        <f>IF(J319&lt;0.005,0,MAX(0,J319*(1+J$6/12)-J$7))</f>
        <v/>
      </c>
      <c r="K320" s="91">
        <f>IF(K319&lt;0.005,0,MAX(0,K319*(1+K$6/12)-K$7))</f>
        <v/>
      </c>
      <c r="L320" s="91">
        <f>IF(L319&lt;0.005,0,MAX(0,L319*(1+L$6/12)-L$7))</f>
        <v/>
      </c>
      <c r="M320" s="91">
        <f>SUMPRODUCT(C319:L319,$C$6:$L$6)/12</f>
        <v/>
      </c>
      <c r="N320" s="88">
        <f>SUM(C320:L320)</f>
        <v/>
      </c>
      <c r="P320" s="92">
        <f>IF(Z319&lt;0.005,0,MAX(0,Z319*(1+Z$6/12)-Z$7))</f>
        <v/>
      </c>
      <c r="Q320" s="92">
        <f>IF(AA319&lt;0.005,0,MAX(0,AA319*(1+AA$6/12)-AA$7))</f>
        <v/>
      </c>
      <c r="R320" s="92">
        <f>IF(AB319&lt;0.005,0,MAX(0,AB319*(1+AB$6/12)-AB$7))</f>
        <v/>
      </c>
      <c r="S320" s="92">
        <f>IF(AC319&lt;0.005,0,MAX(0,AC319*(1+AC$6/12)-AC$7))</f>
        <v/>
      </c>
      <c r="T320" s="92">
        <f>IF(AD319&lt;0.005,0,MAX(0,AD319*(1+AD$6/12)-AD$7))</f>
        <v/>
      </c>
      <c r="U320" s="92">
        <f>IF(AE319&lt;0.005,0,MAX(0,AE319*(1+AE$6/12)-AE$7))</f>
        <v/>
      </c>
      <c r="V320" s="92">
        <f>IF(AF319&lt;0.005,0,MAX(0,AF319*(1+AF$6/12)-AF$7))</f>
        <v/>
      </c>
      <c r="W320" s="92">
        <f>IF(AG319&lt;0.005,0,MAX(0,AG319*(1+AG$6/12)-AG$7))</f>
        <v/>
      </c>
      <c r="X320" s="92">
        <f>IF(AH319&lt;0.005,0,MAX(0,AH319*(1+AH$6/12)-AH$7))</f>
        <v/>
      </c>
      <c r="Y320" s="92">
        <f>IF(AI319&lt;0.005,0,MAX(0,AI319*(1+AI$6/12)-AI$7))</f>
        <v/>
      </c>
      <c r="Z320" s="91">
        <f>MAX(0,P320-MAX(0,AK320-0))</f>
        <v/>
      </c>
      <c r="AA320" s="91">
        <f>MAX(0,Q320-MAX(0,AK320-SUM(P320:P320)))</f>
        <v/>
      </c>
      <c r="AB320" s="91">
        <f>MAX(0,R320-MAX(0,AK320-SUM(P320:Q320)))</f>
        <v/>
      </c>
      <c r="AC320" s="91">
        <f>MAX(0,S320-MAX(0,AK320-SUM(P320:R320)))</f>
        <v/>
      </c>
      <c r="AD320" s="91">
        <f>MAX(0,T320-MAX(0,AK320-SUM(P320:S320)))</f>
        <v/>
      </c>
      <c r="AE320" s="91">
        <f>MAX(0,U320-MAX(0,AK320-SUM(P320:T320)))</f>
        <v/>
      </c>
      <c r="AF320" s="91">
        <f>MAX(0,V320-MAX(0,AK320-SUM(P320:U320)))</f>
        <v/>
      </c>
      <c r="AG320" s="91">
        <f>MAX(0,W320-MAX(0,AK320-SUM(P320:V320)))</f>
        <v/>
      </c>
      <c r="AH320" s="91">
        <f>MAX(0,X320-MAX(0,AK320-SUM(P320:W320)))</f>
        <v/>
      </c>
      <c r="AI320" s="91">
        <f>MAX(0,Y320-MAX(0,AK320-SUM(P320:X320)))</f>
        <v/>
      </c>
      <c r="AJ320" s="92">
        <f>SUM(Z319:AI319)+AL320</f>
        <v/>
      </c>
      <c r="AK320" s="92">
        <f>$AK$7-(AJ320-SUM(P320:Y320))</f>
        <v/>
      </c>
      <c r="AL320" s="91">
        <f>SUMPRODUCT(Z319:AI319,$Z$6:$AI$6)/12</f>
        <v/>
      </c>
      <c r="AM320" s="88">
        <f>SUM(Z320:AI320)</f>
        <v/>
      </c>
      <c r="AO320" s="92">
        <f>IF(AY319&lt;0.005,0,MAX(0,AY319*(1+AY$6/12)-AY$7))</f>
        <v/>
      </c>
      <c r="AP320" s="92">
        <f>IF(AZ319&lt;0.005,0,MAX(0,AZ319*(1+AZ$6/12)-AZ$7))</f>
        <v/>
      </c>
      <c r="AQ320" s="92">
        <f>IF(BA319&lt;0.005,0,MAX(0,BA319*(1+BA$6/12)-BA$7))</f>
        <v/>
      </c>
      <c r="AR320" s="92">
        <f>IF(BB319&lt;0.005,0,MAX(0,BB319*(1+BB$6/12)-BB$7))</f>
        <v/>
      </c>
      <c r="AS320" s="92">
        <f>IF(BC319&lt;0.005,0,MAX(0,BC319*(1+BC$6/12)-BC$7))</f>
        <v/>
      </c>
      <c r="AT320" s="92">
        <f>IF(BD319&lt;0.005,0,MAX(0,BD319*(1+BD$6/12)-BD$7))</f>
        <v/>
      </c>
      <c r="AU320" s="92">
        <f>IF(BE319&lt;0.005,0,MAX(0,BE319*(1+BE$6/12)-BE$7))</f>
        <v/>
      </c>
      <c r="AV320" s="92">
        <f>IF(BF319&lt;0.005,0,MAX(0,BF319*(1+BF$6/12)-BF$7))</f>
        <v/>
      </c>
      <c r="AW320" s="92">
        <f>IF(BG319&lt;0.005,0,MAX(0,BG319*(1+BG$6/12)-BG$7))</f>
        <v/>
      </c>
      <c r="AX320" s="92">
        <f>IF(BH319&lt;0.005,0,MAX(0,BH319*(1+BH$6/12)-BH$7))</f>
        <v/>
      </c>
      <c r="AY320" s="91">
        <f>MAX(0,AO320-MAX(0,BJ320-0))</f>
        <v/>
      </c>
      <c r="AZ320" s="91">
        <f>MAX(0,AP320-MAX(0,BJ320-SUM(AO320:AO320)))</f>
        <v/>
      </c>
      <c r="BA320" s="91">
        <f>MAX(0,AQ320-MAX(0,BJ320-SUM(AO320:AP320)))</f>
        <v/>
      </c>
      <c r="BB320" s="91">
        <f>MAX(0,AR320-MAX(0,BJ320-SUM(AO320:AQ320)))</f>
        <v/>
      </c>
      <c r="BC320" s="91">
        <f>MAX(0,AS320-MAX(0,BJ320-SUM(AO320:AR320)))</f>
        <v/>
      </c>
      <c r="BD320" s="91">
        <f>MAX(0,AT320-MAX(0,BJ320-SUM(AO320:AS320)))</f>
        <v/>
      </c>
      <c r="BE320" s="91">
        <f>MAX(0,AU320-MAX(0,BJ320-SUM(AO320:AT320)))</f>
        <v/>
      </c>
      <c r="BF320" s="91">
        <f>MAX(0,AV320-MAX(0,BJ320-SUM(AO320:AU320)))</f>
        <v/>
      </c>
      <c r="BG320" s="91">
        <f>MAX(0,AW320-MAX(0,BJ320-SUM(AO320:AV320)))</f>
        <v/>
      </c>
      <c r="BH320" s="91">
        <f>MAX(0,AX320-MAX(0,BJ320-SUM(AO320:AW320)))</f>
        <v/>
      </c>
      <c r="BI320" s="92">
        <f>SUM(AY319:BH319)+BK320</f>
        <v/>
      </c>
      <c r="BJ320" s="92">
        <f>$BJ$7-(BI320-SUM(AO320:AX320))</f>
        <v/>
      </c>
      <c r="BK320" s="91">
        <f>SUMPRODUCT(AY319:BH319,$AY$6:$BH$6)/12</f>
        <v/>
      </c>
      <c r="BL320" s="88">
        <f>SUM(AY320:BH320)</f>
        <v/>
      </c>
    </row>
    <row r="321">
      <c r="A321" s="24" t="n">
        <v>311</v>
      </c>
      <c r="B321" s="90">
        <f>DATE(YEAR(Settings!$C$11),MONTH(Settings!$C$11)+A321,1)</f>
        <v/>
      </c>
      <c r="C321" s="91">
        <f>IF(C320&lt;0.005,0,MAX(0,C320*(1+C$6/12)-C$7))</f>
        <v/>
      </c>
      <c r="D321" s="91">
        <f>IF(D320&lt;0.005,0,MAX(0,D320*(1+D$6/12)-D$7))</f>
        <v/>
      </c>
      <c r="E321" s="91">
        <f>IF(E320&lt;0.005,0,MAX(0,E320*(1+E$6/12)-E$7))</f>
        <v/>
      </c>
      <c r="F321" s="91">
        <f>IF(F320&lt;0.005,0,MAX(0,F320*(1+F$6/12)-F$7))</f>
        <v/>
      </c>
      <c r="G321" s="91">
        <f>IF(G320&lt;0.005,0,MAX(0,G320*(1+G$6/12)-G$7))</f>
        <v/>
      </c>
      <c r="H321" s="91">
        <f>IF(H320&lt;0.005,0,MAX(0,H320*(1+H$6/12)-H$7))</f>
        <v/>
      </c>
      <c r="I321" s="91">
        <f>IF(I320&lt;0.005,0,MAX(0,I320*(1+I$6/12)-I$7))</f>
        <v/>
      </c>
      <c r="J321" s="91">
        <f>IF(J320&lt;0.005,0,MAX(0,J320*(1+J$6/12)-J$7))</f>
        <v/>
      </c>
      <c r="K321" s="91">
        <f>IF(K320&lt;0.005,0,MAX(0,K320*(1+K$6/12)-K$7))</f>
        <v/>
      </c>
      <c r="L321" s="91">
        <f>IF(L320&lt;0.005,0,MAX(0,L320*(1+L$6/12)-L$7))</f>
        <v/>
      </c>
      <c r="M321" s="91">
        <f>SUMPRODUCT(C320:L320,$C$6:$L$6)/12</f>
        <v/>
      </c>
      <c r="N321" s="88">
        <f>SUM(C321:L321)</f>
        <v/>
      </c>
      <c r="P321" s="92">
        <f>IF(Z320&lt;0.005,0,MAX(0,Z320*(1+Z$6/12)-Z$7))</f>
        <v/>
      </c>
      <c r="Q321" s="92">
        <f>IF(AA320&lt;0.005,0,MAX(0,AA320*(1+AA$6/12)-AA$7))</f>
        <v/>
      </c>
      <c r="R321" s="92">
        <f>IF(AB320&lt;0.005,0,MAX(0,AB320*(1+AB$6/12)-AB$7))</f>
        <v/>
      </c>
      <c r="S321" s="92">
        <f>IF(AC320&lt;0.005,0,MAX(0,AC320*(1+AC$6/12)-AC$7))</f>
        <v/>
      </c>
      <c r="T321" s="92">
        <f>IF(AD320&lt;0.005,0,MAX(0,AD320*(1+AD$6/12)-AD$7))</f>
        <v/>
      </c>
      <c r="U321" s="92">
        <f>IF(AE320&lt;0.005,0,MAX(0,AE320*(1+AE$6/12)-AE$7))</f>
        <v/>
      </c>
      <c r="V321" s="92">
        <f>IF(AF320&lt;0.005,0,MAX(0,AF320*(1+AF$6/12)-AF$7))</f>
        <v/>
      </c>
      <c r="W321" s="92">
        <f>IF(AG320&lt;0.005,0,MAX(0,AG320*(1+AG$6/12)-AG$7))</f>
        <v/>
      </c>
      <c r="X321" s="92">
        <f>IF(AH320&lt;0.005,0,MAX(0,AH320*(1+AH$6/12)-AH$7))</f>
        <v/>
      </c>
      <c r="Y321" s="92">
        <f>IF(AI320&lt;0.005,0,MAX(0,AI320*(1+AI$6/12)-AI$7))</f>
        <v/>
      </c>
      <c r="Z321" s="91">
        <f>MAX(0,P321-MAX(0,AK321-0))</f>
        <v/>
      </c>
      <c r="AA321" s="91">
        <f>MAX(0,Q321-MAX(0,AK321-SUM(P321:P321)))</f>
        <v/>
      </c>
      <c r="AB321" s="91">
        <f>MAX(0,R321-MAX(0,AK321-SUM(P321:Q321)))</f>
        <v/>
      </c>
      <c r="AC321" s="91">
        <f>MAX(0,S321-MAX(0,AK321-SUM(P321:R321)))</f>
        <v/>
      </c>
      <c r="AD321" s="91">
        <f>MAX(0,T321-MAX(0,AK321-SUM(P321:S321)))</f>
        <v/>
      </c>
      <c r="AE321" s="91">
        <f>MAX(0,U321-MAX(0,AK321-SUM(P321:T321)))</f>
        <v/>
      </c>
      <c r="AF321" s="91">
        <f>MAX(0,V321-MAX(0,AK321-SUM(P321:U321)))</f>
        <v/>
      </c>
      <c r="AG321" s="91">
        <f>MAX(0,W321-MAX(0,AK321-SUM(P321:V321)))</f>
        <v/>
      </c>
      <c r="AH321" s="91">
        <f>MAX(0,X321-MAX(0,AK321-SUM(P321:W321)))</f>
        <v/>
      </c>
      <c r="AI321" s="91">
        <f>MAX(0,Y321-MAX(0,AK321-SUM(P321:X321)))</f>
        <v/>
      </c>
      <c r="AJ321" s="92">
        <f>SUM(Z320:AI320)+AL321</f>
        <v/>
      </c>
      <c r="AK321" s="92">
        <f>$AK$7-(AJ321-SUM(P321:Y321))</f>
        <v/>
      </c>
      <c r="AL321" s="91">
        <f>SUMPRODUCT(Z320:AI320,$Z$6:$AI$6)/12</f>
        <v/>
      </c>
      <c r="AM321" s="88">
        <f>SUM(Z321:AI321)</f>
        <v/>
      </c>
      <c r="AO321" s="92">
        <f>IF(AY320&lt;0.005,0,MAX(0,AY320*(1+AY$6/12)-AY$7))</f>
        <v/>
      </c>
      <c r="AP321" s="92">
        <f>IF(AZ320&lt;0.005,0,MAX(0,AZ320*(1+AZ$6/12)-AZ$7))</f>
        <v/>
      </c>
      <c r="AQ321" s="92">
        <f>IF(BA320&lt;0.005,0,MAX(0,BA320*(1+BA$6/12)-BA$7))</f>
        <v/>
      </c>
      <c r="AR321" s="92">
        <f>IF(BB320&lt;0.005,0,MAX(0,BB320*(1+BB$6/12)-BB$7))</f>
        <v/>
      </c>
      <c r="AS321" s="92">
        <f>IF(BC320&lt;0.005,0,MAX(0,BC320*(1+BC$6/12)-BC$7))</f>
        <v/>
      </c>
      <c r="AT321" s="92">
        <f>IF(BD320&lt;0.005,0,MAX(0,BD320*(1+BD$6/12)-BD$7))</f>
        <v/>
      </c>
      <c r="AU321" s="92">
        <f>IF(BE320&lt;0.005,0,MAX(0,BE320*(1+BE$6/12)-BE$7))</f>
        <v/>
      </c>
      <c r="AV321" s="92">
        <f>IF(BF320&lt;0.005,0,MAX(0,BF320*(1+BF$6/12)-BF$7))</f>
        <v/>
      </c>
      <c r="AW321" s="92">
        <f>IF(BG320&lt;0.005,0,MAX(0,BG320*(1+BG$6/12)-BG$7))</f>
        <v/>
      </c>
      <c r="AX321" s="92">
        <f>IF(BH320&lt;0.005,0,MAX(0,BH320*(1+BH$6/12)-BH$7))</f>
        <v/>
      </c>
      <c r="AY321" s="91">
        <f>MAX(0,AO321-MAX(0,BJ321-0))</f>
        <v/>
      </c>
      <c r="AZ321" s="91">
        <f>MAX(0,AP321-MAX(0,BJ321-SUM(AO321:AO321)))</f>
        <v/>
      </c>
      <c r="BA321" s="91">
        <f>MAX(0,AQ321-MAX(0,BJ321-SUM(AO321:AP321)))</f>
        <v/>
      </c>
      <c r="BB321" s="91">
        <f>MAX(0,AR321-MAX(0,BJ321-SUM(AO321:AQ321)))</f>
        <v/>
      </c>
      <c r="BC321" s="91">
        <f>MAX(0,AS321-MAX(0,BJ321-SUM(AO321:AR321)))</f>
        <v/>
      </c>
      <c r="BD321" s="91">
        <f>MAX(0,AT321-MAX(0,BJ321-SUM(AO321:AS321)))</f>
        <v/>
      </c>
      <c r="BE321" s="91">
        <f>MAX(0,AU321-MAX(0,BJ321-SUM(AO321:AT321)))</f>
        <v/>
      </c>
      <c r="BF321" s="91">
        <f>MAX(0,AV321-MAX(0,BJ321-SUM(AO321:AU321)))</f>
        <v/>
      </c>
      <c r="BG321" s="91">
        <f>MAX(0,AW321-MAX(0,BJ321-SUM(AO321:AV321)))</f>
        <v/>
      </c>
      <c r="BH321" s="91">
        <f>MAX(0,AX321-MAX(0,BJ321-SUM(AO321:AW321)))</f>
        <v/>
      </c>
      <c r="BI321" s="92">
        <f>SUM(AY320:BH320)+BK321</f>
        <v/>
      </c>
      <c r="BJ321" s="92">
        <f>$BJ$7-(BI321-SUM(AO321:AX321))</f>
        <v/>
      </c>
      <c r="BK321" s="91">
        <f>SUMPRODUCT(AY320:BH320,$AY$6:$BH$6)/12</f>
        <v/>
      </c>
      <c r="BL321" s="88">
        <f>SUM(AY321:BH321)</f>
        <v/>
      </c>
    </row>
    <row r="322">
      <c r="A322" s="24" t="n">
        <v>312</v>
      </c>
      <c r="B322" s="90">
        <f>DATE(YEAR(Settings!$C$11),MONTH(Settings!$C$11)+A322,1)</f>
        <v/>
      </c>
      <c r="C322" s="91">
        <f>IF(C321&lt;0.005,0,MAX(0,C321*(1+C$6/12)-C$7))</f>
        <v/>
      </c>
      <c r="D322" s="91">
        <f>IF(D321&lt;0.005,0,MAX(0,D321*(1+D$6/12)-D$7))</f>
        <v/>
      </c>
      <c r="E322" s="91">
        <f>IF(E321&lt;0.005,0,MAX(0,E321*(1+E$6/12)-E$7))</f>
        <v/>
      </c>
      <c r="F322" s="91">
        <f>IF(F321&lt;0.005,0,MAX(0,F321*(1+F$6/12)-F$7))</f>
        <v/>
      </c>
      <c r="G322" s="91">
        <f>IF(G321&lt;0.005,0,MAX(0,G321*(1+G$6/12)-G$7))</f>
        <v/>
      </c>
      <c r="H322" s="91">
        <f>IF(H321&lt;0.005,0,MAX(0,H321*(1+H$6/12)-H$7))</f>
        <v/>
      </c>
      <c r="I322" s="91">
        <f>IF(I321&lt;0.005,0,MAX(0,I321*(1+I$6/12)-I$7))</f>
        <v/>
      </c>
      <c r="J322" s="91">
        <f>IF(J321&lt;0.005,0,MAX(0,J321*(1+J$6/12)-J$7))</f>
        <v/>
      </c>
      <c r="K322" s="91">
        <f>IF(K321&lt;0.005,0,MAX(0,K321*(1+K$6/12)-K$7))</f>
        <v/>
      </c>
      <c r="L322" s="91">
        <f>IF(L321&lt;0.005,0,MAX(0,L321*(1+L$6/12)-L$7))</f>
        <v/>
      </c>
      <c r="M322" s="91">
        <f>SUMPRODUCT(C321:L321,$C$6:$L$6)/12</f>
        <v/>
      </c>
      <c r="N322" s="88">
        <f>SUM(C322:L322)</f>
        <v/>
      </c>
      <c r="P322" s="92">
        <f>IF(Z321&lt;0.005,0,MAX(0,Z321*(1+Z$6/12)-Z$7))</f>
        <v/>
      </c>
      <c r="Q322" s="92">
        <f>IF(AA321&lt;0.005,0,MAX(0,AA321*(1+AA$6/12)-AA$7))</f>
        <v/>
      </c>
      <c r="R322" s="92">
        <f>IF(AB321&lt;0.005,0,MAX(0,AB321*(1+AB$6/12)-AB$7))</f>
        <v/>
      </c>
      <c r="S322" s="92">
        <f>IF(AC321&lt;0.005,0,MAX(0,AC321*(1+AC$6/12)-AC$7))</f>
        <v/>
      </c>
      <c r="T322" s="92">
        <f>IF(AD321&lt;0.005,0,MAX(0,AD321*(1+AD$6/12)-AD$7))</f>
        <v/>
      </c>
      <c r="U322" s="92">
        <f>IF(AE321&lt;0.005,0,MAX(0,AE321*(1+AE$6/12)-AE$7))</f>
        <v/>
      </c>
      <c r="V322" s="92">
        <f>IF(AF321&lt;0.005,0,MAX(0,AF321*(1+AF$6/12)-AF$7))</f>
        <v/>
      </c>
      <c r="W322" s="92">
        <f>IF(AG321&lt;0.005,0,MAX(0,AG321*(1+AG$6/12)-AG$7))</f>
        <v/>
      </c>
      <c r="X322" s="92">
        <f>IF(AH321&lt;0.005,0,MAX(0,AH321*(1+AH$6/12)-AH$7))</f>
        <v/>
      </c>
      <c r="Y322" s="92">
        <f>IF(AI321&lt;0.005,0,MAX(0,AI321*(1+AI$6/12)-AI$7))</f>
        <v/>
      </c>
      <c r="Z322" s="91">
        <f>MAX(0,P322-MAX(0,AK322-0))</f>
        <v/>
      </c>
      <c r="AA322" s="91">
        <f>MAX(0,Q322-MAX(0,AK322-SUM(P322:P322)))</f>
        <v/>
      </c>
      <c r="AB322" s="91">
        <f>MAX(0,R322-MAX(0,AK322-SUM(P322:Q322)))</f>
        <v/>
      </c>
      <c r="AC322" s="91">
        <f>MAX(0,S322-MAX(0,AK322-SUM(P322:R322)))</f>
        <v/>
      </c>
      <c r="AD322" s="91">
        <f>MAX(0,T322-MAX(0,AK322-SUM(P322:S322)))</f>
        <v/>
      </c>
      <c r="AE322" s="91">
        <f>MAX(0,U322-MAX(0,AK322-SUM(P322:T322)))</f>
        <v/>
      </c>
      <c r="AF322" s="91">
        <f>MAX(0,V322-MAX(0,AK322-SUM(P322:U322)))</f>
        <v/>
      </c>
      <c r="AG322" s="91">
        <f>MAX(0,W322-MAX(0,AK322-SUM(P322:V322)))</f>
        <v/>
      </c>
      <c r="AH322" s="91">
        <f>MAX(0,X322-MAX(0,AK322-SUM(P322:W322)))</f>
        <v/>
      </c>
      <c r="AI322" s="91">
        <f>MAX(0,Y322-MAX(0,AK322-SUM(P322:X322)))</f>
        <v/>
      </c>
      <c r="AJ322" s="92">
        <f>SUM(Z321:AI321)+AL322</f>
        <v/>
      </c>
      <c r="AK322" s="92">
        <f>$AK$7-(AJ322-SUM(P322:Y322))</f>
        <v/>
      </c>
      <c r="AL322" s="91">
        <f>SUMPRODUCT(Z321:AI321,$Z$6:$AI$6)/12</f>
        <v/>
      </c>
      <c r="AM322" s="88">
        <f>SUM(Z322:AI322)</f>
        <v/>
      </c>
      <c r="AO322" s="92">
        <f>IF(AY321&lt;0.005,0,MAX(0,AY321*(1+AY$6/12)-AY$7))</f>
        <v/>
      </c>
      <c r="AP322" s="92">
        <f>IF(AZ321&lt;0.005,0,MAX(0,AZ321*(1+AZ$6/12)-AZ$7))</f>
        <v/>
      </c>
      <c r="AQ322" s="92">
        <f>IF(BA321&lt;0.005,0,MAX(0,BA321*(1+BA$6/12)-BA$7))</f>
        <v/>
      </c>
      <c r="AR322" s="92">
        <f>IF(BB321&lt;0.005,0,MAX(0,BB321*(1+BB$6/12)-BB$7))</f>
        <v/>
      </c>
      <c r="AS322" s="92">
        <f>IF(BC321&lt;0.005,0,MAX(0,BC321*(1+BC$6/12)-BC$7))</f>
        <v/>
      </c>
      <c r="AT322" s="92">
        <f>IF(BD321&lt;0.005,0,MAX(0,BD321*(1+BD$6/12)-BD$7))</f>
        <v/>
      </c>
      <c r="AU322" s="92">
        <f>IF(BE321&lt;0.005,0,MAX(0,BE321*(1+BE$6/12)-BE$7))</f>
        <v/>
      </c>
      <c r="AV322" s="92">
        <f>IF(BF321&lt;0.005,0,MAX(0,BF321*(1+BF$6/12)-BF$7))</f>
        <v/>
      </c>
      <c r="AW322" s="92">
        <f>IF(BG321&lt;0.005,0,MAX(0,BG321*(1+BG$6/12)-BG$7))</f>
        <v/>
      </c>
      <c r="AX322" s="92">
        <f>IF(BH321&lt;0.005,0,MAX(0,BH321*(1+BH$6/12)-BH$7))</f>
        <v/>
      </c>
      <c r="AY322" s="91">
        <f>MAX(0,AO322-MAX(0,BJ322-0))</f>
        <v/>
      </c>
      <c r="AZ322" s="91">
        <f>MAX(0,AP322-MAX(0,BJ322-SUM(AO322:AO322)))</f>
        <v/>
      </c>
      <c r="BA322" s="91">
        <f>MAX(0,AQ322-MAX(0,BJ322-SUM(AO322:AP322)))</f>
        <v/>
      </c>
      <c r="BB322" s="91">
        <f>MAX(0,AR322-MAX(0,BJ322-SUM(AO322:AQ322)))</f>
        <v/>
      </c>
      <c r="BC322" s="91">
        <f>MAX(0,AS322-MAX(0,BJ322-SUM(AO322:AR322)))</f>
        <v/>
      </c>
      <c r="BD322" s="91">
        <f>MAX(0,AT322-MAX(0,BJ322-SUM(AO322:AS322)))</f>
        <v/>
      </c>
      <c r="BE322" s="91">
        <f>MAX(0,AU322-MAX(0,BJ322-SUM(AO322:AT322)))</f>
        <v/>
      </c>
      <c r="BF322" s="91">
        <f>MAX(0,AV322-MAX(0,BJ322-SUM(AO322:AU322)))</f>
        <v/>
      </c>
      <c r="BG322" s="91">
        <f>MAX(0,AW322-MAX(0,BJ322-SUM(AO322:AV322)))</f>
        <v/>
      </c>
      <c r="BH322" s="91">
        <f>MAX(0,AX322-MAX(0,BJ322-SUM(AO322:AW322)))</f>
        <v/>
      </c>
      <c r="BI322" s="92">
        <f>SUM(AY321:BH321)+BK322</f>
        <v/>
      </c>
      <c r="BJ322" s="92">
        <f>$BJ$7-(BI322-SUM(AO322:AX322))</f>
        <v/>
      </c>
      <c r="BK322" s="91">
        <f>SUMPRODUCT(AY321:BH321,$AY$6:$BH$6)/12</f>
        <v/>
      </c>
      <c r="BL322" s="88">
        <f>SUM(AY322:BH322)</f>
        <v/>
      </c>
    </row>
    <row r="323">
      <c r="A323" s="24" t="n">
        <v>313</v>
      </c>
      <c r="B323" s="90">
        <f>DATE(YEAR(Settings!$C$11),MONTH(Settings!$C$11)+A323,1)</f>
        <v/>
      </c>
      <c r="C323" s="91">
        <f>IF(C322&lt;0.005,0,MAX(0,C322*(1+C$6/12)-C$7))</f>
        <v/>
      </c>
      <c r="D323" s="91">
        <f>IF(D322&lt;0.005,0,MAX(0,D322*(1+D$6/12)-D$7))</f>
        <v/>
      </c>
      <c r="E323" s="91">
        <f>IF(E322&lt;0.005,0,MAX(0,E322*(1+E$6/12)-E$7))</f>
        <v/>
      </c>
      <c r="F323" s="91">
        <f>IF(F322&lt;0.005,0,MAX(0,F322*(1+F$6/12)-F$7))</f>
        <v/>
      </c>
      <c r="G323" s="91">
        <f>IF(G322&lt;0.005,0,MAX(0,G322*(1+G$6/12)-G$7))</f>
        <v/>
      </c>
      <c r="H323" s="91">
        <f>IF(H322&lt;0.005,0,MAX(0,H322*(1+H$6/12)-H$7))</f>
        <v/>
      </c>
      <c r="I323" s="91">
        <f>IF(I322&lt;0.005,0,MAX(0,I322*(1+I$6/12)-I$7))</f>
        <v/>
      </c>
      <c r="J323" s="91">
        <f>IF(J322&lt;0.005,0,MAX(0,J322*(1+J$6/12)-J$7))</f>
        <v/>
      </c>
      <c r="K323" s="91">
        <f>IF(K322&lt;0.005,0,MAX(0,K322*(1+K$6/12)-K$7))</f>
        <v/>
      </c>
      <c r="L323" s="91">
        <f>IF(L322&lt;0.005,0,MAX(0,L322*(1+L$6/12)-L$7))</f>
        <v/>
      </c>
      <c r="M323" s="91">
        <f>SUMPRODUCT(C322:L322,$C$6:$L$6)/12</f>
        <v/>
      </c>
      <c r="N323" s="88">
        <f>SUM(C323:L323)</f>
        <v/>
      </c>
      <c r="P323" s="92">
        <f>IF(Z322&lt;0.005,0,MAX(0,Z322*(1+Z$6/12)-Z$7))</f>
        <v/>
      </c>
      <c r="Q323" s="92">
        <f>IF(AA322&lt;0.005,0,MAX(0,AA322*(1+AA$6/12)-AA$7))</f>
        <v/>
      </c>
      <c r="R323" s="92">
        <f>IF(AB322&lt;0.005,0,MAX(0,AB322*(1+AB$6/12)-AB$7))</f>
        <v/>
      </c>
      <c r="S323" s="92">
        <f>IF(AC322&lt;0.005,0,MAX(0,AC322*(1+AC$6/12)-AC$7))</f>
        <v/>
      </c>
      <c r="T323" s="92">
        <f>IF(AD322&lt;0.005,0,MAX(0,AD322*(1+AD$6/12)-AD$7))</f>
        <v/>
      </c>
      <c r="U323" s="92">
        <f>IF(AE322&lt;0.005,0,MAX(0,AE322*(1+AE$6/12)-AE$7))</f>
        <v/>
      </c>
      <c r="V323" s="92">
        <f>IF(AF322&lt;0.005,0,MAX(0,AF322*(1+AF$6/12)-AF$7))</f>
        <v/>
      </c>
      <c r="W323" s="92">
        <f>IF(AG322&lt;0.005,0,MAX(0,AG322*(1+AG$6/12)-AG$7))</f>
        <v/>
      </c>
      <c r="X323" s="92">
        <f>IF(AH322&lt;0.005,0,MAX(0,AH322*(1+AH$6/12)-AH$7))</f>
        <v/>
      </c>
      <c r="Y323" s="92">
        <f>IF(AI322&lt;0.005,0,MAX(0,AI322*(1+AI$6/12)-AI$7))</f>
        <v/>
      </c>
      <c r="Z323" s="91">
        <f>MAX(0,P323-MAX(0,AK323-0))</f>
        <v/>
      </c>
      <c r="AA323" s="91">
        <f>MAX(0,Q323-MAX(0,AK323-SUM(P323:P323)))</f>
        <v/>
      </c>
      <c r="AB323" s="91">
        <f>MAX(0,R323-MAX(0,AK323-SUM(P323:Q323)))</f>
        <v/>
      </c>
      <c r="AC323" s="91">
        <f>MAX(0,S323-MAX(0,AK323-SUM(P323:R323)))</f>
        <v/>
      </c>
      <c r="AD323" s="91">
        <f>MAX(0,T323-MAX(0,AK323-SUM(P323:S323)))</f>
        <v/>
      </c>
      <c r="AE323" s="91">
        <f>MAX(0,U323-MAX(0,AK323-SUM(P323:T323)))</f>
        <v/>
      </c>
      <c r="AF323" s="91">
        <f>MAX(0,V323-MAX(0,AK323-SUM(P323:U323)))</f>
        <v/>
      </c>
      <c r="AG323" s="91">
        <f>MAX(0,W323-MAX(0,AK323-SUM(P323:V323)))</f>
        <v/>
      </c>
      <c r="AH323" s="91">
        <f>MAX(0,X323-MAX(0,AK323-SUM(P323:W323)))</f>
        <v/>
      </c>
      <c r="AI323" s="91">
        <f>MAX(0,Y323-MAX(0,AK323-SUM(P323:X323)))</f>
        <v/>
      </c>
      <c r="AJ323" s="92">
        <f>SUM(Z322:AI322)+AL323</f>
        <v/>
      </c>
      <c r="AK323" s="92">
        <f>$AK$7-(AJ323-SUM(P323:Y323))</f>
        <v/>
      </c>
      <c r="AL323" s="91">
        <f>SUMPRODUCT(Z322:AI322,$Z$6:$AI$6)/12</f>
        <v/>
      </c>
      <c r="AM323" s="88">
        <f>SUM(Z323:AI323)</f>
        <v/>
      </c>
      <c r="AO323" s="92">
        <f>IF(AY322&lt;0.005,0,MAX(0,AY322*(1+AY$6/12)-AY$7))</f>
        <v/>
      </c>
      <c r="AP323" s="92">
        <f>IF(AZ322&lt;0.005,0,MAX(0,AZ322*(1+AZ$6/12)-AZ$7))</f>
        <v/>
      </c>
      <c r="AQ323" s="92">
        <f>IF(BA322&lt;0.005,0,MAX(0,BA322*(1+BA$6/12)-BA$7))</f>
        <v/>
      </c>
      <c r="AR323" s="92">
        <f>IF(BB322&lt;0.005,0,MAX(0,BB322*(1+BB$6/12)-BB$7))</f>
        <v/>
      </c>
      <c r="AS323" s="92">
        <f>IF(BC322&lt;0.005,0,MAX(0,BC322*(1+BC$6/12)-BC$7))</f>
        <v/>
      </c>
      <c r="AT323" s="92">
        <f>IF(BD322&lt;0.005,0,MAX(0,BD322*(1+BD$6/12)-BD$7))</f>
        <v/>
      </c>
      <c r="AU323" s="92">
        <f>IF(BE322&lt;0.005,0,MAX(0,BE322*(1+BE$6/12)-BE$7))</f>
        <v/>
      </c>
      <c r="AV323" s="92">
        <f>IF(BF322&lt;0.005,0,MAX(0,BF322*(1+BF$6/12)-BF$7))</f>
        <v/>
      </c>
      <c r="AW323" s="92">
        <f>IF(BG322&lt;0.005,0,MAX(0,BG322*(1+BG$6/12)-BG$7))</f>
        <v/>
      </c>
      <c r="AX323" s="92">
        <f>IF(BH322&lt;0.005,0,MAX(0,BH322*(1+BH$6/12)-BH$7))</f>
        <v/>
      </c>
      <c r="AY323" s="91">
        <f>MAX(0,AO323-MAX(0,BJ323-0))</f>
        <v/>
      </c>
      <c r="AZ323" s="91">
        <f>MAX(0,AP323-MAX(0,BJ323-SUM(AO323:AO323)))</f>
        <v/>
      </c>
      <c r="BA323" s="91">
        <f>MAX(0,AQ323-MAX(0,BJ323-SUM(AO323:AP323)))</f>
        <v/>
      </c>
      <c r="BB323" s="91">
        <f>MAX(0,AR323-MAX(0,BJ323-SUM(AO323:AQ323)))</f>
        <v/>
      </c>
      <c r="BC323" s="91">
        <f>MAX(0,AS323-MAX(0,BJ323-SUM(AO323:AR323)))</f>
        <v/>
      </c>
      <c r="BD323" s="91">
        <f>MAX(0,AT323-MAX(0,BJ323-SUM(AO323:AS323)))</f>
        <v/>
      </c>
      <c r="BE323" s="91">
        <f>MAX(0,AU323-MAX(0,BJ323-SUM(AO323:AT323)))</f>
        <v/>
      </c>
      <c r="BF323" s="91">
        <f>MAX(0,AV323-MAX(0,BJ323-SUM(AO323:AU323)))</f>
        <v/>
      </c>
      <c r="BG323" s="91">
        <f>MAX(0,AW323-MAX(0,BJ323-SUM(AO323:AV323)))</f>
        <v/>
      </c>
      <c r="BH323" s="91">
        <f>MAX(0,AX323-MAX(0,BJ323-SUM(AO323:AW323)))</f>
        <v/>
      </c>
      <c r="BI323" s="92">
        <f>SUM(AY322:BH322)+BK323</f>
        <v/>
      </c>
      <c r="BJ323" s="92">
        <f>$BJ$7-(BI323-SUM(AO323:AX323))</f>
        <v/>
      </c>
      <c r="BK323" s="91">
        <f>SUMPRODUCT(AY322:BH322,$AY$6:$BH$6)/12</f>
        <v/>
      </c>
      <c r="BL323" s="88">
        <f>SUM(AY323:BH323)</f>
        <v/>
      </c>
    </row>
    <row r="324">
      <c r="A324" s="24" t="n">
        <v>314</v>
      </c>
      <c r="B324" s="90">
        <f>DATE(YEAR(Settings!$C$11),MONTH(Settings!$C$11)+A324,1)</f>
        <v/>
      </c>
      <c r="C324" s="91">
        <f>IF(C323&lt;0.005,0,MAX(0,C323*(1+C$6/12)-C$7))</f>
        <v/>
      </c>
      <c r="D324" s="91">
        <f>IF(D323&lt;0.005,0,MAX(0,D323*(1+D$6/12)-D$7))</f>
        <v/>
      </c>
      <c r="E324" s="91">
        <f>IF(E323&lt;0.005,0,MAX(0,E323*(1+E$6/12)-E$7))</f>
        <v/>
      </c>
      <c r="F324" s="91">
        <f>IF(F323&lt;0.005,0,MAX(0,F323*(1+F$6/12)-F$7))</f>
        <v/>
      </c>
      <c r="G324" s="91">
        <f>IF(G323&lt;0.005,0,MAX(0,G323*(1+G$6/12)-G$7))</f>
        <v/>
      </c>
      <c r="H324" s="91">
        <f>IF(H323&lt;0.005,0,MAX(0,H323*(1+H$6/12)-H$7))</f>
        <v/>
      </c>
      <c r="I324" s="91">
        <f>IF(I323&lt;0.005,0,MAX(0,I323*(1+I$6/12)-I$7))</f>
        <v/>
      </c>
      <c r="J324" s="91">
        <f>IF(J323&lt;0.005,0,MAX(0,J323*(1+J$6/12)-J$7))</f>
        <v/>
      </c>
      <c r="K324" s="91">
        <f>IF(K323&lt;0.005,0,MAX(0,K323*(1+K$6/12)-K$7))</f>
        <v/>
      </c>
      <c r="L324" s="91">
        <f>IF(L323&lt;0.005,0,MAX(0,L323*(1+L$6/12)-L$7))</f>
        <v/>
      </c>
      <c r="M324" s="91">
        <f>SUMPRODUCT(C323:L323,$C$6:$L$6)/12</f>
        <v/>
      </c>
      <c r="N324" s="88">
        <f>SUM(C324:L324)</f>
        <v/>
      </c>
      <c r="P324" s="92">
        <f>IF(Z323&lt;0.005,0,MAX(0,Z323*(1+Z$6/12)-Z$7))</f>
        <v/>
      </c>
      <c r="Q324" s="92">
        <f>IF(AA323&lt;0.005,0,MAX(0,AA323*(1+AA$6/12)-AA$7))</f>
        <v/>
      </c>
      <c r="R324" s="92">
        <f>IF(AB323&lt;0.005,0,MAX(0,AB323*(1+AB$6/12)-AB$7))</f>
        <v/>
      </c>
      <c r="S324" s="92">
        <f>IF(AC323&lt;0.005,0,MAX(0,AC323*(1+AC$6/12)-AC$7))</f>
        <v/>
      </c>
      <c r="T324" s="92">
        <f>IF(AD323&lt;0.005,0,MAX(0,AD323*(1+AD$6/12)-AD$7))</f>
        <v/>
      </c>
      <c r="U324" s="92">
        <f>IF(AE323&lt;0.005,0,MAX(0,AE323*(1+AE$6/12)-AE$7))</f>
        <v/>
      </c>
      <c r="V324" s="92">
        <f>IF(AF323&lt;0.005,0,MAX(0,AF323*(1+AF$6/12)-AF$7))</f>
        <v/>
      </c>
      <c r="W324" s="92">
        <f>IF(AG323&lt;0.005,0,MAX(0,AG323*(1+AG$6/12)-AG$7))</f>
        <v/>
      </c>
      <c r="X324" s="92">
        <f>IF(AH323&lt;0.005,0,MAX(0,AH323*(1+AH$6/12)-AH$7))</f>
        <v/>
      </c>
      <c r="Y324" s="92">
        <f>IF(AI323&lt;0.005,0,MAX(0,AI323*(1+AI$6/12)-AI$7))</f>
        <v/>
      </c>
      <c r="Z324" s="91">
        <f>MAX(0,P324-MAX(0,AK324-0))</f>
        <v/>
      </c>
      <c r="AA324" s="91">
        <f>MAX(0,Q324-MAX(0,AK324-SUM(P324:P324)))</f>
        <v/>
      </c>
      <c r="AB324" s="91">
        <f>MAX(0,R324-MAX(0,AK324-SUM(P324:Q324)))</f>
        <v/>
      </c>
      <c r="AC324" s="91">
        <f>MAX(0,S324-MAX(0,AK324-SUM(P324:R324)))</f>
        <v/>
      </c>
      <c r="AD324" s="91">
        <f>MAX(0,T324-MAX(0,AK324-SUM(P324:S324)))</f>
        <v/>
      </c>
      <c r="AE324" s="91">
        <f>MAX(0,U324-MAX(0,AK324-SUM(P324:T324)))</f>
        <v/>
      </c>
      <c r="AF324" s="91">
        <f>MAX(0,V324-MAX(0,AK324-SUM(P324:U324)))</f>
        <v/>
      </c>
      <c r="AG324" s="91">
        <f>MAX(0,W324-MAX(0,AK324-SUM(P324:V324)))</f>
        <v/>
      </c>
      <c r="AH324" s="91">
        <f>MAX(0,X324-MAX(0,AK324-SUM(P324:W324)))</f>
        <v/>
      </c>
      <c r="AI324" s="91">
        <f>MAX(0,Y324-MAX(0,AK324-SUM(P324:X324)))</f>
        <v/>
      </c>
      <c r="AJ324" s="92">
        <f>SUM(Z323:AI323)+AL324</f>
        <v/>
      </c>
      <c r="AK324" s="92">
        <f>$AK$7-(AJ324-SUM(P324:Y324))</f>
        <v/>
      </c>
      <c r="AL324" s="91">
        <f>SUMPRODUCT(Z323:AI323,$Z$6:$AI$6)/12</f>
        <v/>
      </c>
      <c r="AM324" s="88">
        <f>SUM(Z324:AI324)</f>
        <v/>
      </c>
      <c r="AO324" s="92">
        <f>IF(AY323&lt;0.005,0,MAX(0,AY323*(1+AY$6/12)-AY$7))</f>
        <v/>
      </c>
      <c r="AP324" s="92">
        <f>IF(AZ323&lt;0.005,0,MAX(0,AZ323*(1+AZ$6/12)-AZ$7))</f>
        <v/>
      </c>
      <c r="AQ324" s="92">
        <f>IF(BA323&lt;0.005,0,MAX(0,BA323*(1+BA$6/12)-BA$7))</f>
        <v/>
      </c>
      <c r="AR324" s="92">
        <f>IF(BB323&lt;0.005,0,MAX(0,BB323*(1+BB$6/12)-BB$7))</f>
        <v/>
      </c>
      <c r="AS324" s="92">
        <f>IF(BC323&lt;0.005,0,MAX(0,BC323*(1+BC$6/12)-BC$7))</f>
        <v/>
      </c>
      <c r="AT324" s="92">
        <f>IF(BD323&lt;0.005,0,MAX(0,BD323*(1+BD$6/12)-BD$7))</f>
        <v/>
      </c>
      <c r="AU324" s="92">
        <f>IF(BE323&lt;0.005,0,MAX(0,BE323*(1+BE$6/12)-BE$7))</f>
        <v/>
      </c>
      <c r="AV324" s="92">
        <f>IF(BF323&lt;0.005,0,MAX(0,BF323*(1+BF$6/12)-BF$7))</f>
        <v/>
      </c>
      <c r="AW324" s="92">
        <f>IF(BG323&lt;0.005,0,MAX(0,BG323*(1+BG$6/12)-BG$7))</f>
        <v/>
      </c>
      <c r="AX324" s="92">
        <f>IF(BH323&lt;0.005,0,MAX(0,BH323*(1+BH$6/12)-BH$7))</f>
        <v/>
      </c>
      <c r="AY324" s="91">
        <f>MAX(0,AO324-MAX(0,BJ324-0))</f>
        <v/>
      </c>
      <c r="AZ324" s="91">
        <f>MAX(0,AP324-MAX(0,BJ324-SUM(AO324:AO324)))</f>
        <v/>
      </c>
      <c r="BA324" s="91">
        <f>MAX(0,AQ324-MAX(0,BJ324-SUM(AO324:AP324)))</f>
        <v/>
      </c>
      <c r="BB324" s="91">
        <f>MAX(0,AR324-MAX(0,BJ324-SUM(AO324:AQ324)))</f>
        <v/>
      </c>
      <c r="BC324" s="91">
        <f>MAX(0,AS324-MAX(0,BJ324-SUM(AO324:AR324)))</f>
        <v/>
      </c>
      <c r="BD324" s="91">
        <f>MAX(0,AT324-MAX(0,BJ324-SUM(AO324:AS324)))</f>
        <v/>
      </c>
      <c r="BE324" s="91">
        <f>MAX(0,AU324-MAX(0,BJ324-SUM(AO324:AT324)))</f>
        <v/>
      </c>
      <c r="BF324" s="91">
        <f>MAX(0,AV324-MAX(0,BJ324-SUM(AO324:AU324)))</f>
        <v/>
      </c>
      <c r="BG324" s="91">
        <f>MAX(0,AW324-MAX(0,BJ324-SUM(AO324:AV324)))</f>
        <v/>
      </c>
      <c r="BH324" s="91">
        <f>MAX(0,AX324-MAX(0,BJ324-SUM(AO324:AW324)))</f>
        <v/>
      </c>
      <c r="BI324" s="92">
        <f>SUM(AY323:BH323)+BK324</f>
        <v/>
      </c>
      <c r="BJ324" s="92">
        <f>$BJ$7-(BI324-SUM(AO324:AX324))</f>
        <v/>
      </c>
      <c r="BK324" s="91">
        <f>SUMPRODUCT(AY323:BH323,$AY$6:$BH$6)/12</f>
        <v/>
      </c>
      <c r="BL324" s="88">
        <f>SUM(AY324:BH324)</f>
        <v/>
      </c>
    </row>
    <row r="325">
      <c r="A325" s="24" t="n">
        <v>315</v>
      </c>
      <c r="B325" s="90">
        <f>DATE(YEAR(Settings!$C$11),MONTH(Settings!$C$11)+A325,1)</f>
        <v/>
      </c>
      <c r="C325" s="91">
        <f>IF(C324&lt;0.005,0,MAX(0,C324*(1+C$6/12)-C$7))</f>
        <v/>
      </c>
      <c r="D325" s="91">
        <f>IF(D324&lt;0.005,0,MAX(0,D324*(1+D$6/12)-D$7))</f>
        <v/>
      </c>
      <c r="E325" s="91">
        <f>IF(E324&lt;0.005,0,MAX(0,E324*(1+E$6/12)-E$7))</f>
        <v/>
      </c>
      <c r="F325" s="91">
        <f>IF(F324&lt;0.005,0,MAX(0,F324*(1+F$6/12)-F$7))</f>
        <v/>
      </c>
      <c r="G325" s="91">
        <f>IF(G324&lt;0.005,0,MAX(0,G324*(1+G$6/12)-G$7))</f>
        <v/>
      </c>
      <c r="H325" s="91">
        <f>IF(H324&lt;0.005,0,MAX(0,H324*(1+H$6/12)-H$7))</f>
        <v/>
      </c>
      <c r="I325" s="91">
        <f>IF(I324&lt;0.005,0,MAX(0,I324*(1+I$6/12)-I$7))</f>
        <v/>
      </c>
      <c r="J325" s="91">
        <f>IF(J324&lt;0.005,0,MAX(0,J324*(1+J$6/12)-J$7))</f>
        <v/>
      </c>
      <c r="K325" s="91">
        <f>IF(K324&lt;0.005,0,MAX(0,K324*(1+K$6/12)-K$7))</f>
        <v/>
      </c>
      <c r="L325" s="91">
        <f>IF(L324&lt;0.005,0,MAX(0,L324*(1+L$6/12)-L$7))</f>
        <v/>
      </c>
      <c r="M325" s="91">
        <f>SUMPRODUCT(C324:L324,$C$6:$L$6)/12</f>
        <v/>
      </c>
      <c r="N325" s="88">
        <f>SUM(C325:L325)</f>
        <v/>
      </c>
      <c r="P325" s="92">
        <f>IF(Z324&lt;0.005,0,MAX(0,Z324*(1+Z$6/12)-Z$7))</f>
        <v/>
      </c>
      <c r="Q325" s="92">
        <f>IF(AA324&lt;0.005,0,MAX(0,AA324*(1+AA$6/12)-AA$7))</f>
        <v/>
      </c>
      <c r="R325" s="92">
        <f>IF(AB324&lt;0.005,0,MAX(0,AB324*(1+AB$6/12)-AB$7))</f>
        <v/>
      </c>
      <c r="S325" s="92">
        <f>IF(AC324&lt;0.005,0,MAX(0,AC324*(1+AC$6/12)-AC$7))</f>
        <v/>
      </c>
      <c r="T325" s="92">
        <f>IF(AD324&lt;0.005,0,MAX(0,AD324*(1+AD$6/12)-AD$7))</f>
        <v/>
      </c>
      <c r="U325" s="92">
        <f>IF(AE324&lt;0.005,0,MAX(0,AE324*(1+AE$6/12)-AE$7))</f>
        <v/>
      </c>
      <c r="V325" s="92">
        <f>IF(AF324&lt;0.005,0,MAX(0,AF324*(1+AF$6/12)-AF$7))</f>
        <v/>
      </c>
      <c r="W325" s="92">
        <f>IF(AG324&lt;0.005,0,MAX(0,AG324*(1+AG$6/12)-AG$7))</f>
        <v/>
      </c>
      <c r="X325" s="92">
        <f>IF(AH324&lt;0.005,0,MAX(0,AH324*(1+AH$6/12)-AH$7))</f>
        <v/>
      </c>
      <c r="Y325" s="92">
        <f>IF(AI324&lt;0.005,0,MAX(0,AI324*(1+AI$6/12)-AI$7))</f>
        <v/>
      </c>
      <c r="Z325" s="91">
        <f>MAX(0,P325-MAX(0,AK325-0))</f>
        <v/>
      </c>
      <c r="AA325" s="91">
        <f>MAX(0,Q325-MAX(0,AK325-SUM(P325:P325)))</f>
        <v/>
      </c>
      <c r="AB325" s="91">
        <f>MAX(0,R325-MAX(0,AK325-SUM(P325:Q325)))</f>
        <v/>
      </c>
      <c r="AC325" s="91">
        <f>MAX(0,S325-MAX(0,AK325-SUM(P325:R325)))</f>
        <v/>
      </c>
      <c r="AD325" s="91">
        <f>MAX(0,T325-MAX(0,AK325-SUM(P325:S325)))</f>
        <v/>
      </c>
      <c r="AE325" s="91">
        <f>MAX(0,U325-MAX(0,AK325-SUM(P325:T325)))</f>
        <v/>
      </c>
      <c r="AF325" s="91">
        <f>MAX(0,V325-MAX(0,AK325-SUM(P325:U325)))</f>
        <v/>
      </c>
      <c r="AG325" s="91">
        <f>MAX(0,W325-MAX(0,AK325-SUM(P325:V325)))</f>
        <v/>
      </c>
      <c r="AH325" s="91">
        <f>MAX(0,X325-MAX(0,AK325-SUM(P325:W325)))</f>
        <v/>
      </c>
      <c r="AI325" s="91">
        <f>MAX(0,Y325-MAX(0,AK325-SUM(P325:X325)))</f>
        <v/>
      </c>
      <c r="AJ325" s="92">
        <f>SUM(Z324:AI324)+AL325</f>
        <v/>
      </c>
      <c r="AK325" s="92">
        <f>$AK$7-(AJ325-SUM(P325:Y325))</f>
        <v/>
      </c>
      <c r="AL325" s="91">
        <f>SUMPRODUCT(Z324:AI324,$Z$6:$AI$6)/12</f>
        <v/>
      </c>
      <c r="AM325" s="88">
        <f>SUM(Z325:AI325)</f>
        <v/>
      </c>
      <c r="AO325" s="92">
        <f>IF(AY324&lt;0.005,0,MAX(0,AY324*(1+AY$6/12)-AY$7))</f>
        <v/>
      </c>
      <c r="AP325" s="92">
        <f>IF(AZ324&lt;0.005,0,MAX(0,AZ324*(1+AZ$6/12)-AZ$7))</f>
        <v/>
      </c>
      <c r="AQ325" s="92">
        <f>IF(BA324&lt;0.005,0,MAX(0,BA324*(1+BA$6/12)-BA$7))</f>
        <v/>
      </c>
      <c r="AR325" s="92">
        <f>IF(BB324&lt;0.005,0,MAX(0,BB324*(1+BB$6/12)-BB$7))</f>
        <v/>
      </c>
      <c r="AS325" s="92">
        <f>IF(BC324&lt;0.005,0,MAX(0,BC324*(1+BC$6/12)-BC$7))</f>
        <v/>
      </c>
      <c r="AT325" s="92">
        <f>IF(BD324&lt;0.005,0,MAX(0,BD324*(1+BD$6/12)-BD$7))</f>
        <v/>
      </c>
      <c r="AU325" s="92">
        <f>IF(BE324&lt;0.005,0,MAX(0,BE324*(1+BE$6/12)-BE$7))</f>
        <v/>
      </c>
      <c r="AV325" s="92">
        <f>IF(BF324&lt;0.005,0,MAX(0,BF324*(1+BF$6/12)-BF$7))</f>
        <v/>
      </c>
      <c r="AW325" s="92">
        <f>IF(BG324&lt;0.005,0,MAX(0,BG324*(1+BG$6/12)-BG$7))</f>
        <v/>
      </c>
      <c r="AX325" s="92">
        <f>IF(BH324&lt;0.005,0,MAX(0,BH324*(1+BH$6/12)-BH$7))</f>
        <v/>
      </c>
      <c r="AY325" s="91">
        <f>MAX(0,AO325-MAX(0,BJ325-0))</f>
        <v/>
      </c>
      <c r="AZ325" s="91">
        <f>MAX(0,AP325-MAX(0,BJ325-SUM(AO325:AO325)))</f>
        <v/>
      </c>
      <c r="BA325" s="91">
        <f>MAX(0,AQ325-MAX(0,BJ325-SUM(AO325:AP325)))</f>
        <v/>
      </c>
      <c r="BB325" s="91">
        <f>MAX(0,AR325-MAX(0,BJ325-SUM(AO325:AQ325)))</f>
        <v/>
      </c>
      <c r="BC325" s="91">
        <f>MAX(0,AS325-MAX(0,BJ325-SUM(AO325:AR325)))</f>
        <v/>
      </c>
      <c r="BD325" s="91">
        <f>MAX(0,AT325-MAX(0,BJ325-SUM(AO325:AS325)))</f>
        <v/>
      </c>
      <c r="BE325" s="91">
        <f>MAX(0,AU325-MAX(0,BJ325-SUM(AO325:AT325)))</f>
        <v/>
      </c>
      <c r="BF325" s="91">
        <f>MAX(0,AV325-MAX(0,BJ325-SUM(AO325:AU325)))</f>
        <v/>
      </c>
      <c r="BG325" s="91">
        <f>MAX(0,AW325-MAX(0,BJ325-SUM(AO325:AV325)))</f>
        <v/>
      </c>
      <c r="BH325" s="91">
        <f>MAX(0,AX325-MAX(0,BJ325-SUM(AO325:AW325)))</f>
        <v/>
      </c>
      <c r="BI325" s="92">
        <f>SUM(AY324:BH324)+BK325</f>
        <v/>
      </c>
      <c r="BJ325" s="92">
        <f>$BJ$7-(BI325-SUM(AO325:AX325))</f>
        <v/>
      </c>
      <c r="BK325" s="91">
        <f>SUMPRODUCT(AY324:BH324,$AY$6:$BH$6)/12</f>
        <v/>
      </c>
      <c r="BL325" s="88">
        <f>SUM(AY325:BH325)</f>
        <v/>
      </c>
    </row>
    <row r="326">
      <c r="A326" s="24" t="n">
        <v>316</v>
      </c>
      <c r="B326" s="90">
        <f>DATE(YEAR(Settings!$C$11),MONTH(Settings!$C$11)+A326,1)</f>
        <v/>
      </c>
      <c r="C326" s="91">
        <f>IF(C325&lt;0.005,0,MAX(0,C325*(1+C$6/12)-C$7))</f>
        <v/>
      </c>
      <c r="D326" s="91">
        <f>IF(D325&lt;0.005,0,MAX(0,D325*(1+D$6/12)-D$7))</f>
        <v/>
      </c>
      <c r="E326" s="91">
        <f>IF(E325&lt;0.005,0,MAX(0,E325*(1+E$6/12)-E$7))</f>
        <v/>
      </c>
      <c r="F326" s="91">
        <f>IF(F325&lt;0.005,0,MAX(0,F325*(1+F$6/12)-F$7))</f>
        <v/>
      </c>
      <c r="G326" s="91">
        <f>IF(G325&lt;0.005,0,MAX(0,G325*(1+G$6/12)-G$7))</f>
        <v/>
      </c>
      <c r="H326" s="91">
        <f>IF(H325&lt;0.005,0,MAX(0,H325*(1+H$6/12)-H$7))</f>
        <v/>
      </c>
      <c r="I326" s="91">
        <f>IF(I325&lt;0.005,0,MAX(0,I325*(1+I$6/12)-I$7))</f>
        <v/>
      </c>
      <c r="J326" s="91">
        <f>IF(J325&lt;0.005,0,MAX(0,J325*(1+J$6/12)-J$7))</f>
        <v/>
      </c>
      <c r="K326" s="91">
        <f>IF(K325&lt;0.005,0,MAX(0,K325*(1+K$6/12)-K$7))</f>
        <v/>
      </c>
      <c r="L326" s="91">
        <f>IF(L325&lt;0.005,0,MAX(0,L325*(1+L$6/12)-L$7))</f>
        <v/>
      </c>
      <c r="M326" s="91">
        <f>SUMPRODUCT(C325:L325,$C$6:$L$6)/12</f>
        <v/>
      </c>
      <c r="N326" s="88">
        <f>SUM(C326:L326)</f>
        <v/>
      </c>
      <c r="P326" s="92">
        <f>IF(Z325&lt;0.005,0,MAX(0,Z325*(1+Z$6/12)-Z$7))</f>
        <v/>
      </c>
      <c r="Q326" s="92">
        <f>IF(AA325&lt;0.005,0,MAX(0,AA325*(1+AA$6/12)-AA$7))</f>
        <v/>
      </c>
      <c r="R326" s="92">
        <f>IF(AB325&lt;0.005,0,MAX(0,AB325*(1+AB$6/12)-AB$7))</f>
        <v/>
      </c>
      <c r="S326" s="92">
        <f>IF(AC325&lt;0.005,0,MAX(0,AC325*(1+AC$6/12)-AC$7))</f>
        <v/>
      </c>
      <c r="T326" s="92">
        <f>IF(AD325&lt;0.005,0,MAX(0,AD325*(1+AD$6/12)-AD$7))</f>
        <v/>
      </c>
      <c r="U326" s="92">
        <f>IF(AE325&lt;0.005,0,MAX(0,AE325*(1+AE$6/12)-AE$7))</f>
        <v/>
      </c>
      <c r="V326" s="92">
        <f>IF(AF325&lt;0.005,0,MAX(0,AF325*(1+AF$6/12)-AF$7))</f>
        <v/>
      </c>
      <c r="W326" s="92">
        <f>IF(AG325&lt;0.005,0,MAX(0,AG325*(1+AG$6/12)-AG$7))</f>
        <v/>
      </c>
      <c r="X326" s="92">
        <f>IF(AH325&lt;0.005,0,MAX(0,AH325*(1+AH$6/12)-AH$7))</f>
        <v/>
      </c>
      <c r="Y326" s="92">
        <f>IF(AI325&lt;0.005,0,MAX(0,AI325*(1+AI$6/12)-AI$7))</f>
        <v/>
      </c>
      <c r="Z326" s="91">
        <f>MAX(0,P326-MAX(0,AK326-0))</f>
        <v/>
      </c>
      <c r="AA326" s="91">
        <f>MAX(0,Q326-MAX(0,AK326-SUM(P326:P326)))</f>
        <v/>
      </c>
      <c r="AB326" s="91">
        <f>MAX(0,R326-MAX(0,AK326-SUM(P326:Q326)))</f>
        <v/>
      </c>
      <c r="AC326" s="91">
        <f>MAX(0,S326-MAX(0,AK326-SUM(P326:R326)))</f>
        <v/>
      </c>
      <c r="AD326" s="91">
        <f>MAX(0,T326-MAX(0,AK326-SUM(P326:S326)))</f>
        <v/>
      </c>
      <c r="AE326" s="91">
        <f>MAX(0,U326-MAX(0,AK326-SUM(P326:T326)))</f>
        <v/>
      </c>
      <c r="AF326" s="91">
        <f>MAX(0,V326-MAX(0,AK326-SUM(P326:U326)))</f>
        <v/>
      </c>
      <c r="AG326" s="91">
        <f>MAX(0,W326-MAX(0,AK326-SUM(P326:V326)))</f>
        <v/>
      </c>
      <c r="AH326" s="91">
        <f>MAX(0,X326-MAX(0,AK326-SUM(P326:W326)))</f>
        <v/>
      </c>
      <c r="AI326" s="91">
        <f>MAX(0,Y326-MAX(0,AK326-SUM(P326:X326)))</f>
        <v/>
      </c>
      <c r="AJ326" s="92">
        <f>SUM(Z325:AI325)+AL326</f>
        <v/>
      </c>
      <c r="AK326" s="92">
        <f>$AK$7-(AJ326-SUM(P326:Y326))</f>
        <v/>
      </c>
      <c r="AL326" s="91">
        <f>SUMPRODUCT(Z325:AI325,$Z$6:$AI$6)/12</f>
        <v/>
      </c>
      <c r="AM326" s="88">
        <f>SUM(Z326:AI326)</f>
        <v/>
      </c>
      <c r="AO326" s="92">
        <f>IF(AY325&lt;0.005,0,MAX(0,AY325*(1+AY$6/12)-AY$7))</f>
        <v/>
      </c>
      <c r="AP326" s="92">
        <f>IF(AZ325&lt;0.005,0,MAX(0,AZ325*(1+AZ$6/12)-AZ$7))</f>
        <v/>
      </c>
      <c r="AQ326" s="92">
        <f>IF(BA325&lt;0.005,0,MAX(0,BA325*(1+BA$6/12)-BA$7))</f>
        <v/>
      </c>
      <c r="AR326" s="92">
        <f>IF(BB325&lt;0.005,0,MAX(0,BB325*(1+BB$6/12)-BB$7))</f>
        <v/>
      </c>
      <c r="AS326" s="92">
        <f>IF(BC325&lt;0.005,0,MAX(0,BC325*(1+BC$6/12)-BC$7))</f>
        <v/>
      </c>
      <c r="AT326" s="92">
        <f>IF(BD325&lt;0.005,0,MAX(0,BD325*(1+BD$6/12)-BD$7))</f>
        <v/>
      </c>
      <c r="AU326" s="92">
        <f>IF(BE325&lt;0.005,0,MAX(0,BE325*(1+BE$6/12)-BE$7))</f>
        <v/>
      </c>
      <c r="AV326" s="92">
        <f>IF(BF325&lt;0.005,0,MAX(0,BF325*(1+BF$6/12)-BF$7))</f>
        <v/>
      </c>
      <c r="AW326" s="92">
        <f>IF(BG325&lt;0.005,0,MAX(0,BG325*(1+BG$6/12)-BG$7))</f>
        <v/>
      </c>
      <c r="AX326" s="92">
        <f>IF(BH325&lt;0.005,0,MAX(0,BH325*(1+BH$6/12)-BH$7))</f>
        <v/>
      </c>
      <c r="AY326" s="91">
        <f>MAX(0,AO326-MAX(0,BJ326-0))</f>
        <v/>
      </c>
      <c r="AZ326" s="91">
        <f>MAX(0,AP326-MAX(0,BJ326-SUM(AO326:AO326)))</f>
        <v/>
      </c>
      <c r="BA326" s="91">
        <f>MAX(0,AQ326-MAX(0,BJ326-SUM(AO326:AP326)))</f>
        <v/>
      </c>
      <c r="BB326" s="91">
        <f>MAX(0,AR326-MAX(0,BJ326-SUM(AO326:AQ326)))</f>
        <v/>
      </c>
      <c r="BC326" s="91">
        <f>MAX(0,AS326-MAX(0,BJ326-SUM(AO326:AR326)))</f>
        <v/>
      </c>
      <c r="BD326" s="91">
        <f>MAX(0,AT326-MAX(0,BJ326-SUM(AO326:AS326)))</f>
        <v/>
      </c>
      <c r="BE326" s="91">
        <f>MAX(0,AU326-MAX(0,BJ326-SUM(AO326:AT326)))</f>
        <v/>
      </c>
      <c r="BF326" s="91">
        <f>MAX(0,AV326-MAX(0,BJ326-SUM(AO326:AU326)))</f>
        <v/>
      </c>
      <c r="BG326" s="91">
        <f>MAX(0,AW326-MAX(0,BJ326-SUM(AO326:AV326)))</f>
        <v/>
      </c>
      <c r="BH326" s="91">
        <f>MAX(0,AX326-MAX(0,BJ326-SUM(AO326:AW326)))</f>
        <v/>
      </c>
      <c r="BI326" s="92">
        <f>SUM(AY325:BH325)+BK326</f>
        <v/>
      </c>
      <c r="BJ326" s="92">
        <f>$BJ$7-(BI326-SUM(AO326:AX326))</f>
        <v/>
      </c>
      <c r="BK326" s="91">
        <f>SUMPRODUCT(AY325:BH325,$AY$6:$BH$6)/12</f>
        <v/>
      </c>
      <c r="BL326" s="88">
        <f>SUM(AY326:BH326)</f>
        <v/>
      </c>
    </row>
    <row r="327">
      <c r="A327" s="24" t="n">
        <v>317</v>
      </c>
      <c r="B327" s="90">
        <f>DATE(YEAR(Settings!$C$11),MONTH(Settings!$C$11)+A327,1)</f>
        <v/>
      </c>
      <c r="C327" s="91">
        <f>IF(C326&lt;0.005,0,MAX(0,C326*(1+C$6/12)-C$7))</f>
        <v/>
      </c>
      <c r="D327" s="91">
        <f>IF(D326&lt;0.005,0,MAX(0,D326*(1+D$6/12)-D$7))</f>
        <v/>
      </c>
      <c r="E327" s="91">
        <f>IF(E326&lt;0.005,0,MAX(0,E326*(1+E$6/12)-E$7))</f>
        <v/>
      </c>
      <c r="F327" s="91">
        <f>IF(F326&lt;0.005,0,MAX(0,F326*(1+F$6/12)-F$7))</f>
        <v/>
      </c>
      <c r="G327" s="91">
        <f>IF(G326&lt;0.005,0,MAX(0,G326*(1+G$6/12)-G$7))</f>
        <v/>
      </c>
      <c r="H327" s="91">
        <f>IF(H326&lt;0.005,0,MAX(0,H326*(1+H$6/12)-H$7))</f>
        <v/>
      </c>
      <c r="I327" s="91">
        <f>IF(I326&lt;0.005,0,MAX(0,I326*(1+I$6/12)-I$7))</f>
        <v/>
      </c>
      <c r="J327" s="91">
        <f>IF(J326&lt;0.005,0,MAX(0,J326*(1+J$6/12)-J$7))</f>
        <v/>
      </c>
      <c r="K327" s="91">
        <f>IF(K326&lt;0.005,0,MAX(0,K326*(1+K$6/12)-K$7))</f>
        <v/>
      </c>
      <c r="L327" s="91">
        <f>IF(L326&lt;0.005,0,MAX(0,L326*(1+L$6/12)-L$7))</f>
        <v/>
      </c>
      <c r="M327" s="91">
        <f>SUMPRODUCT(C326:L326,$C$6:$L$6)/12</f>
        <v/>
      </c>
      <c r="N327" s="88">
        <f>SUM(C327:L327)</f>
        <v/>
      </c>
      <c r="P327" s="92">
        <f>IF(Z326&lt;0.005,0,MAX(0,Z326*(1+Z$6/12)-Z$7))</f>
        <v/>
      </c>
      <c r="Q327" s="92">
        <f>IF(AA326&lt;0.005,0,MAX(0,AA326*(1+AA$6/12)-AA$7))</f>
        <v/>
      </c>
      <c r="R327" s="92">
        <f>IF(AB326&lt;0.005,0,MAX(0,AB326*(1+AB$6/12)-AB$7))</f>
        <v/>
      </c>
      <c r="S327" s="92">
        <f>IF(AC326&lt;0.005,0,MAX(0,AC326*(1+AC$6/12)-AC$7))</f>
        <v/>
      </c>
      <c r="T327" s="92">
        <f>IF(AD326&lt;0.005,0,MAX(0,AD326*(1+AD$6/12)-AD$7))</f>
        <v/>
      </c>
      <c r="U327" s="92">
        <f>IF(AE326&lt;0.005,0,MAX(0,AE326*(1+AE$6/12)-AE$7))</f>
        <v/>
      </c>
      <c r="V327" s="92">
        <f>IF(AF326&lt;0.005,0,MAX(0,AF326*(1+AF$6/12)-AF$7))</f>
        <v/>
      </c>
      <c r="W327" s="92">
        <f>IF(AG326&lt;0.005,0,MAX(0,AG326*(1+AG$6/12)-AG$7))</f>
        <v/>
      </c>
      <c r="X327" s="92">
        <f>IF(AH326&lt;0.005,0,MAX(0,AH326*(1+AH$6/12)-AH$7))</f>
        <v/>
      </c>
      <c r="Y327" s="92">
        <f>IF(AI326&lt;0.005,0,MAX(0,AI326*(1+AI$6/12)-AI$7))</f>
        <v/>
      </c>
      <c r="Z327" s="91">
        <f>MAX(0,P327-MAX(0,AK327-0))</f>
        <v/>
      </c>
      <c r="AA327" s="91">
        <f>MAX(0,Q327-MAX(0,AK327-SUM(P327:P327)))</f>
        <v/>
      </c>
      <c r="AB327" s="91">
        <f>MAX(0,R327-MAX(0,AK327-SUM(P327:Q327)))</f>
        <v/>
      </c>
      <c r="AC327" s="91">
        <f>MAX(0,S327-MAX(0,AK327-SUM(P327:R327)))</f>
        <v/>
      </c>
      <c r="AD327" s="91">
        <f>MAX(0,T327-MAX(0,AK327-SUM(P327:S327)))</f>
        <v/>
      </c>
      <c r="AE327" s="91">
        <f>MAX(0,U327-MAX(0,AK327-SUM(P327:T327)))</f>
        <v/>
      </c>
      <c r="AF327" s="91">
        <f>MAX(0,V327-MAX(0,AK327-SUM(P327:U327)))</f>
        <v/>
      </c>
      <c r="AG327" s="91">
        <f>MAX(0,W327-MAX(0,AK327-SUM(P327:V327)))</f>
        <v/>
      </c>
      <c r="AH327" s="91">
        <f>MAX(0,X327-MAX(0,AK327-SUM(P327:W327)))</f>
        <v/>
      </c>
      <c r="AI327" s="91">
        <f>MAX(0,Y327-MAX(0,AK327-SUM(P327:X327)))</f>
        <v/>
      </c>
      <c r="AJ327" s="92">
        <f>SUM(Z326:AI326)+AL327</f>
        <v/>
      </c>
      <c r="AK327" s="92">
        <f>$AK$7-(AJ327-SUM(P327:Y327))</f>
        <v/>
      </c>
      <c r="AL327" s="91">
        <f>SUMPRODUCT(Z326:AI326,$Z$6:$AI$6)/12</f>
        <v/>
      </c>
      <c r="AM327" s="88">
        <f>SUM(Z327:AI327)</f>
        <v/>
      </c>
      <c r="AO327" s="92">
        <f>IF(AY326&lt;0.005,0,MAX(0,AY326*(1+AY$6/12)-AY$7))</f>
        <v/>
      </c>
      <c r="AP327" s="92">
        <f>IF(AZ326&lt;0.005,0,MAX(0,AZ326*(1+AZ$6/12)-AZ$7))</f>
        <v/>
      </c>
      <c r="AQ327" s="92">
        <f>IF(BA326&lt;0.005,0,MAX(0,BA326*(1+BA$6/12)-BA$7))</f>
        <v/>
      </c>
      <c r="AR327" s="92">
        <f>IF(BB326&lt;0.005,0,MAX(0,BB326*(1+BB$6/12)-BB$7))</f>
        <v/>
      </c>
      <c r="AS327" s="92">
        <f>IF(BC326&lt;0.005,0,MAX(0,BC326*(1+BC$6/12)-BC$7))</f>
        <v/>
      </c>
      <c r="AT327" s="92">
        <f>IF(BD326&lt;0.005,0,MAX(0,BD326*(1+BD$6/12)-BD$7))</f>
        <v/>
      </c>
      <c r="AU327" s="92">
        <f>IF(BE326&lt;0.005,0,MAX(0,BE326*(1+BE$6/12)-BE$7))</f>
        <v/>
      </c>
      <c r="AV327" s="92">
        <f>IF(BF326&lt;0.005,0,MAX(0,BF326*(1+BF$6/12)-BF$7))</f>
        <v/>
      </c>
      <c r="AW327" s="92">
        <f>IF(BG326&lt;0.005,0,MAX(0,BG326*(1+BG$6/12)-BG$7))</f>
        <v/>
      </c>
      <c r="AX327" s="92">
        <f>IF(BH326&lt;0.005,0,MAX(0,BH326*(1+BH$6/12)-BH$7))</f>
        <v/>
      </c>
      <c r="AY327" s="91">
        <f>MAX(0,AO327-MAX(0,BJ327-0))</f>
        <v/>
      </c>
      <c r="AZ327" s="91">
        <f>MAX(0,AP327-MAX(0,BJ327-SUM(AO327:AO327)))</f>
        <v/>
      </c>
      <c r="BA327" s="91">
        <f>MAX(0,AQ327-MAX(0,BJ327-SUM(AO327:AP327)))</f>
        <v/>
      </c>
      <c r="BB327" s="91">
        <f>MAX(0,AR327-MAX(0,BJ327-SUM(AO327:AQ327)))</f>
        <v/>
      </c>
      <c r="BC327" s="91">
        <f>MAX(0,AS327-MAX(0,BJ327-SUM(AO327:AR327)))</f>
        <v/>
      </c>
      <c r="BD327" s="91">
        <f>MAX(0,AT327-MAX(0,BJ327-SUM(AO327:AS327)))</f>
        <v/>
      </c>
      <c r="BE327" s="91">
        <f>MAX(0,AU327-MAX(0,BJ327-SUM(AO327:AT327)))</f>
        <v/>
      </c>
      <c r="BF327" s="91">
        <f>MAX(0,AV327-MAX(0,BJ327-SUM(AO327:AU327)))</f>
        <v/>
      </c>
      <c r="BG327" s="91">
        <f>MAX(0,AW327-MAX(0,BJ327-SUM(AO327:AV327)))</f>
        <v/>
      </c>
      <c r="BH327" s="91">
        <f>MAX(0,AX327-MAX(0,BJ327-SUM(AO327:AW327)))</f>
        <v/>
      </c>
      <c r="BI327" s="92">
        <f>SUM(AY326:BH326)+BK327</f>
        <v/>
      </c>
      <c r="BJ327" s="92">
        <f>$BJ$7-(BI327-SUM(AO327:AX327))</f>
        <v/>
      </c>
      <c r="BK327" s="91">
        <f>SUMPRODUCT(AY326:BH326,$AY$6:$BH$6)/12</f>
        <v/>
      </c>
      <c r="BL327" s="88">
        <f>SUM(AY327:BH327)</f>
        <v/>
      </c>
    </row>
    <row r="328">
      <c r="A328" s="24" t="n">
        <v>318</v>
      </c>
      <c r="B328" s="90">
        <f>DATE(YEAR(Settings!$C$11),MONTH(Settings!$C$11)+A328,1)</f>
        <v/>
      </c>
      <c r="C328" s="91">
        <f>IF(C327&lt;0.005,0,MAX(0,C327*(1+C$6/12)-C$7))</f>
        <v/>
      </c>
      <c r="D328" s="91">
        <f>IF(D327&lt;0.005,0,MAX(0,D327*(1+D$6/12)-D$7))</f>
        <v/>
      </c>
      <c r="E328" s="91">
        <f>IF(E327&lt;0.005,0,MAX(0,E327*(1+E$6/12)-E$7))</f>
        <v/>
      </c>
      <c r="F328" s="91">
        <f>IF(F327&lt;0.005,0,MAX(0,F327*(1+F$6/12)-F$7))</f>
        <v/>
      </c>
      <c r="G328" s="91">
        <f>IF(G327&lt;0.005,0,MAX(0,G327*(1+G$6/12)-G$7))</f>
        <v/>
      </c>
      <c r="H328" s="91">
        <f>IF(H327&lt;0.005,0,MAX(0,H327*(1+H$6/12)-H$7))</f>
        <v/>
      </c>
      <c r="I328" s="91">
        <f>IF(I327&lt;0.005,0,MAX(0,I327*(1+I$6/12)-I$7))</f>
        <v/>
      </c>
      <c r="J328" s="91">
        <f>IF(J327&lt;0.005,0,MAX(0,J327*(1+J$6/12)-J$7))</f>
        <v/>
      </c>
      <c r="K328" s="91">
        <f>IF(K327&lt;0.005,0,MAX(0,K327*(1+K$6/12)-K$7))</f>
        <v/>
      </c>
      <c r="L328" s="91">
        <f>IF(L327&lt;0.005,0,MAX(0,L327*(1+L$6/12)-L$7))</f>
        <v/>
      </c>
      <c r="M328" s="91">
        <f>SUMPRODUCT(C327:L327,$C$6:$L$6)/12</f>
        <v/>
      </c>
      <c r="N328" s="88">
        <f>SUM(C328:L328)</f>
        <v/>
      </c>
      <c r="P328" s="92">
        <f>IF(Z327&lt;0.005,0,MAX(0,Z327*(1+Z$6/12)-Z$7))</f>
        <v/>
      </c>
      <c r="Q328" s="92">
        <f>IF(AA327&lt;0.005,0,MAX(0,AA327*(1+AA$6/12)-AA$7))</f>
        <v/>
      </c>
      <c r="R328" s="92">
        <f>IF(AB327&lt;0.005,0,MAX(0,AB327*(1+AB$6/12)-AB$7))</f>
        <v/>
      </c>
      <c r="S328" s="92">
        <f>IF(AC327&lt;0.005,0,MAX(0,AC327*(1+AC$6/12)-AC$7))</f>
        <v/>
      </c>
      <c r="T328" s="92">
        <f>IF(AD327&lt;0.005,0,MAX(0,AD327*(1+AD$6/12)-AD$7))</f>
        <v/>
      </c>
      <c r="U328" s="92">
        <f>IF(AE327&lt;0.005,0,MAX(0,AE327*(1+AE$6/12)-AE$7))</f>
        <v/>
      </c>
      <c r="V328" s="92">
        <f>IF(AF327&lt;0.005,0,MAX(0,AF327*(1+AF$6/12)-AF$7))</f>
        <v/>
      </c>
      <c r="W328" s="92">
        <f>IF(AG327&lt;0.005,0,MAX(0,AG327*(1+AG$6/12)-AG$7))</f>
        <v/>
      </c>
      <c r="X328" s="92">
        <f>IF(AH327&lt;0.005,0,MAX(0,AH327*(1+AH$6/12)-AH$7))</f>
        <v/>
      </c>
      <c r="Y328" s="92">
        <f>IF(AI327&lt;0.005,0,MAX(0,AI327*(1+AI$6/12)-AI$7))</f>
        <v/>
      </c>
      <c r="Z328" s="91">
        <f>MAX(0,P328-MAX(0,AK328-0))</f>
        <v/>
      </c>
      <c r="AA328" s="91">
        <f>MAX(0,Q328-MAX(0,AK328-SUM(P328:P328)))</f>
        <v/>
      </c>
      <c r="AB328" s="91">
        <f>MAX(0,R328-MAX(0,AK328-SUM(P328:Q328)))</f>
        <v/>
      </c>
      <c r="AC328" s="91">
        <f>MAX(0,S328-MAX(0,AK328-SUM(P328:R328)))</f>
        <v/>
      </c>
      <c r="AD328" s="91">
        <f>MAX(0,T328-MAX(0,AK328-SUM(P328:S328)))</f>
        <v/>
      </c>
      <c r="AE328" s="91">
        <f>MAX(0,U328-MAX(0,AK328-SUM(P328:T328)))</f>
        <v/>
      </c>
      <c r="AF328" s="91">
        <f>MAX(0,V328-MAX(0,AK328-SUM(P328:U328)))</f>
        <v/>
      </c>
      <c r="AG328" s="91">
        <f>MAX(0,W328-MAX(0,AK328-SUM(P328:V328)))</f>
        <v/>
      </c>
      <c r="AH328" s="91">
        <f>MAX(0,X328-MAX(0,AK328-SUM(P328:W328)))</f>
        <v/>
      </c>
      <c r="AI328" s="91">
        <f>MAX(0,Y328-MAX(0,AK328-SUM(P328:X328)))</f>
        <v/>
      </c>
      <c r="AJ328" s="92">
        <f>SUM(Z327:AI327)+AL328</f>
        <v/>
      </c>
      <c r="AK328" s="92">
        <f>$AK$7-(AJ328-SUM(P328:Y328))</f>
        <v/>
      </c>
      <c r="AL328" s="91">
        <f>SUMPRODUCT(Z327:AI327,$Z$6:$AI$6)/12</f>
        <v/>
      </c>
      <c r="AM328" s="88">
        <f>SUM(Z328:AI328)</f>
        <v/>
      </c>
      <c r="AO328" s="92">
        <f>IF(AY327&lt;0.005,0,MAX(0,AY327*(1+AY$6/12)-AY$7))</f>
        <v/>
      </c>
      <c r="AP328" s="92">
        <f>IF(AZ327&lt;0.005,0,MAX(0,AZ327*(1+AZ$6/12)-AZ$7))</f>
        <v/>
      </c>
      <c r="AQ328" s="92">
        <f>IF(BA327&lt;0.005,0,MAX(0,BA327*(1+BA$6/12)-BA$7))</f>
        <v/>
      </c>
      <c r="AR328" s="92">
        <f>IF(BB327&lt;0.005,0,MAX(0,BB327*(1+BB$6/12)-BB$7))</f>
        <v/>
      </c>
      <c r="AS328" s="92">
        <f>IF(BC327&lt;0.005,0,MAX(0,BC327*(1+BC$6/12)-BC$7))</f>
        <v/>
      </c>
      <c r="AT328" s="92">
        <f>IF(BD327&lt;0.005,0,MAX(0,BD327*(1+BD$6/12)-BD$7))</f>
        <v/>
      </c>
      <c r="AU328" s="92">
        <f>IF(BE327&lt;0.005,0,MAX(0,BE327*(1+BE$6/12)-BE$7))</f>
        <v/>
      </c>
      <c r="AV328" s="92">
        <f>IF(BF327&lt;0.005,0,MAX(0,BF327*(1+BF$6/12)-BF$7))</f>
        <v/>
      </c>
      <c r="AW328" s="92">
        <f>IF(BG327&lt;0.005,0,MAX(0,BG327*(1+BG$6/12)-BG$7))</f>
        <v/>
      </c>
      <c r="AX328" s="92">
        <f>IF(BH327&lt;0.005,0,MAX(0,BH327*(1+BH$6/12)-BH$7))</f>
        <v/>
      </c>
      <c r="AY328" s="91">
        <f>MAX(0,AO328-MAX(0,BJ328-0))</f>
        <v/>
      </c>
      <c r="AZ328" s="91">
        <f>MAX(0,AP328-MAX(0,BJ328-SUM(AO328:AO328)))</f>
        <v/>
      </c>
      <c r="BA328" s="91">
        <f>MAX(0,AQ328-MAX(0,BJ328-SUM(AO328:AP328)))</f>
        <v/>
      </c>
      <c r="BB328" s="91">
        <f>MAX(0,AR328-MAX(0,BJ328-SUM(AO328:AQ328)))</f>
        <v/>
      </c>
      <c r="BC328" s="91">
        <f>MAX(0,AS328-MAX(0,BJ328-SUM(AO328:AR328)))</f>
        <v/>
      </c>
      <c r="BD328" s="91">
        <f>MAX(0,AT328-MAX(0,BJ328-SUM(AO328:AS328)))</f>
        <v/>
      </c>
      <c r="BE328" s="91">
        <f>MAX(0,AU328-MAX(0,BJ328-SUM(AO328:AT328)))</f>
        <v/>
      </c>
      <c r="BF328" s="91">
        <f>MAX(0,AV328-MAX(0,BJ328-SUM(AO328:AU328)))</f>
        <v/>
      </c>
      <c r="BG328" s="91">
        <f>MAX(0,AW328-MAX(0,BJ328-SUM(AO328:AV328)))</f>
        <v/>
      </c>
      <c r="BH328" s="91">
        <f>MAX(0,AX328-MAX(0,BJ328-SUM(AO328:AW328)))</f>
        <v/>
      </c>
      <c r="BI328" s="92">
        <f>SUM(AY327:BH327)+BK328</f>
        <v/>
      </c>
      <c r="BJ328" s="92">
        <f>$BJ$7-(BI328-SUM(AO328:AX328))</f>
        <v/>
      </c>
      <c r="BK328" s="91">
        <f>SUMPRODUCT(AY327:BH327,$AY$6:$BH$6)/12</f>
        <v/>
      </c>
      <c r="BL328" s="88">
        <f>SUM(AY328:BH328)</f>
        <v/>
      </c>
    </row>
    <row r="329">
      <c r="A329" s="24" t="n">
        <v>319</v>
      </c>
      <c r="B329" s="90">
        <f>DATE(YEAR(Settings!$C$11),MONTH(Settings!$C$11)+A329,1)</f>
        <v/>
      </c>
      <c r="C329" s="91">
        <f>IF(C328&lt;0.005,0,MAX(0,C328*(1+C$6/12)-C$7))</f>
        <v/>
      </c>
      <c r="D329" s="91">
        <f>IF(D328&lt;0.005,0,MAX(0,D328*(1+D$6/12)-D$7))</f>
        <v/>
      </c>
      <c r="E329" s="91">
        <f>IF(E328&lt;0.005,0,MAX(0,E328*(1+E$6/12)-E$7))</f>
        <v/>
      </c>
      <c r="F329" s="91">
        <f>IF(F328&lt;0.005,0,MAX(0,F328*(1+F$6/12)-F$7))</f>
        <v/>
      </c>
      <c r="G329" s="91">
        <f>IF(G328&lt;0.005,0,MAX(0,G328*(1+G$6/12)-G$7))</f>
        <v/>
      </c>
      <c r="H329" s="91">
        <f>IF(H328&lt;0.005,0,MAX(0,H328*(1+H$6/12)-H$7))</f>
        <v/>
      </c>
      <c r="I329" s="91">
        <f>IF(I328&lt;0.005,0,MAX(0,I328*(1+I$6/12)-I$7))</f>
        <v/>
      </c>
      <c r="J329" s="91">
        <f>IF(J328&lt;0.005,0,MAX(0,J328*(1+J$6/12)-J$7))</f>
        <v/>
      </c>
      <c r="K329" s="91">
        <f>IF(K328&lt;0.005,0,MAX(0,K328*(1+K$6/12)-K$7))</f>
        <v/>
      </c>
      <c r="L329" s="91">
        <f>IF(L328&lt;0.005,0,MAX(0,L328*(1+L$6/12)-L$7))</f>
        <v/>
      </c>
      <c r="M329" s="91">
        <f>SUMPRODUCT(C328:L328,$C$6:$L$6)/12</f>
        <v/>
      </c>
      <c r="N329" s="88">
        <f>SUM(C329:L329)</f>
        <v/>
      </c>
      <c r="P329" s="92">
        <f>IF(Z328&lt;0.005,0,MAX(0,Z328*(1+Z$6/12)-Z$7))</f>
        <v/>
      </c>
      <c r="Q329" s="92">
        <f>IF(AA328&lt;0.005,0,MAX(0,AA328*(1+AA$6/12)-AA$7))</f>
        <v/>
      </c>
      <c r="R329" s="92">
        <f>IF(AB328&lt;0.005,0,MAX(0,AB328*(1+AB$6/12)-AB$7))</f>
        <v/>
      </c>
      <c r="S329" s="92">
        <f>IF(AC328&lt;0.005,0,MAX(0,AC328*(1+AC$6/12)-AC$7))</f>
        <v/>
      </c>
      <c r="T329" s="92">
        <f>IF(AD328&lt;0.005,0,MAX(0,AD328*(1+AD$6/12)-AD$7))</f>
        <v/>
      </c>
      <c r="U329" s="92">
        <f>IF(AE328&lt;0.005,0,MAX(0,AE328*(1+AE$6/12)-AE$7))</f>
        <v/>
      </c>
      <c r="V329" s="92">
        <f>IF(AF328&lt;0.005,0,MAX(0,AF328*(1+AF$6/12)-AF$7))</f>
        <v/>
      </c>
      <c r="W329" s="92">
        <f>IF(AG328&lt;0.005,0,MAX(0,AG328*(1+AG$6/12)-AG$7))</f>
        <v/>
      </c>
      <c r="X329" s="92">
        <f>IF(AH328&lt;0.005,0,MAX(0,AH328*(1+AH$6/12)-AH$7))</f>
        <v/>
      </c>
      <c r="Y329" s="92">
        <f>IF(AI328&lt;0.005,0,MAX(0,AI328*(1+AI$6/12)-AI$7))</f>
        <v/>
      </c>
      <c r="Z329" s="91">
        <f>MAX(0,P329-MAX(0,AK329-0))</f>
        <v/>
      </c>
      <c r="AA329" s="91">
        <f>MAX(0,Q329-MAX(0,AK329-SUM(P329:P329)))</f>
        <v/>
      </c>
      <c r="AB329" s="91">
        <f>MAX(0,R329-MAX(0,AK329-SUM(P329:Q329)))</f>
        <v/>
      </c>
      <c r="AC329" s="91">
        <f>MAX(0,S329-MAX(0,AK329-SUM(P329:R329)))</f>
        <v/>
      </c>
      <c r="AD329" s="91">
        <f>MAX(0,T329-MAX(0,AK329-SUM(P329:S329)))</f>
        <v/>
      </c>
      <c r="AE329" s="91">
        <f>MAX(0,U329-MAX(0,AK329-SUM(P329:T329)))</f>
        <v/>
      </c>
      <c r="AF329" s="91">
        <f>MAX(0,V329-MAX(0,AK329-SUM(P329:U329)))</f>
        <v/>
      </c>
      <c r="AG329" s="91">
        <f>MAX(0,W329-MAX(0,AK329-SUM(P329:V329)))</f>
        <v/>
      </c>
      <c r="AH329" s="91">
        <f>MAX(0,X329-MAX(0,AK329-SUM(P329:W329)))</f>
        <v/>
      </c>
      <c r="AI329" s="91">
        <f>MAX(0,Y329-MAX(0,AK329-SUM(P329:X329)))</f>
        <v/>
      </c>
      <c r="AJ329" s="92">
        <f>SUM(Z328:AI328)+AL329</f>
        <v/>
      </c>
      <c r="AK329" s="92">
        <f>$AK$7-(AJ329-SUM(P329:Y329))</f>
        <v/>
      </c>
      <c r="AL329" s="91">
        <f>SUMPRODUCT(Z328:AI328,$Z$6:$AI$6)/12</f>
        <v/>
      </c>
      <c r="AM329" s="88">
        <f>SUM(Z329:AI329)</f>
        <v/>
      </c>
      <c r="AO329" s="92">
        <f>IF(AY328&lt;0.005,0,MAX(0,AY328*(1+AY$6/12)-AY$7))</f>
        <v/>
      </c>
      <c r="AP329" s="92">
        <f>IF(AZ328&lt;0.005,0,MAX(0,AZ328*(1+AZ$6/12)-AZ$7))</f>
        <v/>
      </c>
      <c r="AQ329" s="92">
        <f>IF(BA328&lt;0.005,0,MAX(0,BA328*(1+BA$6/12)-BA$7))</f>
        <v/>
      </c>
      <c r="AR329" s="92">
        <f>IF(BB328&lt;0.005,0,MAX(0,BB328*(1+BB$6/12)-BB$7))</f>
        <v/>
      </c>
      <c r="AS329" s="92">
        <f>IF(BC328&lt;0.005,0,MAX(0,BC328*(1+BC$6/12)-BC$7))</f>
        <v/>
      </c>
      <c r="AT329" s="92">
        <f>IF(BD328&lt;0.005,0,MAX(0,BD328*(1+BD$6/12)-BD$7))</f>
        <v/>
      </c>
      <c r="AU329" s="92">
        <f>IF(BE328&lt;0.005,0,MAX(0,BE328*(1+BE$6/12)-BE$7))</f>
        <v/>
      </c>
      <c r="AV329" s="92">
        <f>IF(BF328&lt;0.005,0,MAX(0,BF328*(1+BF$6/12)-BF$7))</f>
        <v/>
      </c>
      <c r="AW329" s="92">
        <f>IF(BG328&lt;0.005,0,MAX(0,BG328*(1+BG$6/12)-BG$7))</f>
        <v/>
      </c>
      <c r="AX329" s="92">
        <f>IF(BH328&lt;0.005,0,MAX(0,BH328*(1+BH$6/12)-BH$7))</f>
        <v/>
      </c>
      <c r="AY329" s="91">
        <f>MAX(0,AO329-MAX(0,BJ329-0))</f>
        <v/>
      </c>
      <c r="AZ329" s="91">
        <f>MAX(0,AP329-MAX(0,BJ329-SUM(AO329:AO329)))</f>
        <v/>
      </c>
      <c r="BA329" s="91">
        <f>MAX(0,AQ329-MAX(0,BJ329-SUM(AO329:AP329)))</f>
        <v/>
      </c>
      <c r="BB329" s="91">
        <f>MAX(0,AR329-MAX(0,BJ329-SUM(AO329:AQ329)))</f>
        <v/>
      </c>
      <c r="BC329" s="91">
        <f>MAX(0,AS329-MAX(0,BJ329-SUM(AO329:AR329)))</f>
        <v/>
      </c>
      <c r="BD329" s="91">
        <f>MAX(0,AT329-MAX(0,BJ329-SUM(AO329:AS329)))</f>
        <v/>
      </c>
      <c r="BE329" s="91">
        <f>MAX(0,AU329-MAX(0,BJ329-SUM(AO329:AT329)))</f>
        <v/>
      </c>
      <c r="BF329" s="91">
        <f>MAX(0,AV329-MAX(0,BJ329-SUM(AO329:AU329)))</f>
        <v/>
      </c>
      <c r="BG329" s="91">
        <f>MAX(0,AW329-MAX(0,BJ329-SUM(AO329:AV329)))</f>
        <v/>
      </c>
      <c r="BH329" s="91">
        <f>MAX(0,AX329-MAX(0,BJ329-SUM(AO329:AW329)))</f>
        <v/>
      </c>
      <c r="BI329" s="92">
        <f>SUM(AY328:BH328)+BK329</f>
        <v/>
      </c>
      <c r="BJ329" s="92">
        <f>$BJ$7-(BI329-SUM(AO329:AX329))</f>
        <v/>
      </c>
      <c r="BK329" s="91">
        <f>SUMPRODUCT(AY328:BH328,$AY$6:$BH$6)/12</f>
        <v/>
      </c>
      <c r="BL329" s="88">
        <f>SUM(AY329:BH329)</f>
        <v/>
      </c>
    </row>
    <row r="330">
      <c r="A330" s="24" t="n">
        <v>320</v>
      </c>
      <c r="B330" s="90">
        <f>DATE(YEAR(Settings!$C$11),MONTH(Settings!$C$11)+A330,1)</f>
        <v/>
      </c>
      <c r="C330" s="91">
        <f>IF(C329&lt;0.005,0,MAX(0,C329*(1+C$6/12)-C$7))</f>
        <v/>
      </c>
      <c r="D330" s="91">
        <f>IF(D329&lt;0.005,0,MAX(0,D329*(1+D$6/12)-D$7))</f>
        <v/>
      </c>
      <c r="E330" s="91">
        <f>IF(E329&lt;0.005,0,MAX(0,E329*(1+E$6/12)-E$7))</f>
        <v/>
      </c>
      <c r="F330" s="91">
        <f>IF(F329&lt;0.005,0,MAX(0,F329*(1+F$6/12)-F$7))</f>
        <v/>
      </c>
      <c r="G330" s="91">
        <f>IF(G329&lt;0.005,0,MAX(0,G329*(1+G$6/12)-G$7))</f>
        <v/>
      </c>
      <c r="H330" s="91">
        <f>IF(H329&lt;0.005,0,MAX(0,H329*(1+H$6/12)-H$7))</f>
        <v/>
      </c>
      <c r="I330" s="91">
        <f>IF(I329&lt;0.005,0,MAX(0,I329*(1+I$6/12)-I$7))</f>
        <v/>
      </c>
      <c r="J330" s="91">
        <f>IF(J329&lt;0.005,0,MAX(0,J329*(1+J$6/12)-J$7))</f>
        <v/>
      </c>
      <c r="K330" s="91">
        <f>IF(K329&lt;0.005,0,MAX(0,K329*(1+K$6/12)-K$7))</f>
        <v/>
      </c>
      <c r="L330" s="91">
        <f>IF(L329&lt;0.005,0,MAX(0,L329*(1+L$6/12)-L$7))</f>
        <v/>
      </c>
      <c r="M330" s="91">
        <f>SUMPRODUCT(C329:L329,$C$6:$L$6)/12</f>
        <v/>
      </c>
      <c r="N330" s="88">
        <f>SUM(C330:L330)</f>
        <v/>
      </c>
      <c r="P330" s="92">
        <f>IF(Z329&lt;0.005,0,MAX(0,Z329*(1+Z$6/12)-Z$7))</f>
        <v/>
      </c>
      <c r="Q330" s="92">
        <f>IF(AA329&lt;0.005,0,MAX(0,AA329*(1+AA$6/12)-AA$7))</f>
        <v/>
      </c>
      <c r="R330" s="92">
        <f>IF(AB329&lt;0.005,0,MAX(0,AB329*(1+AB$6/12)-AB$7))</f>
        <v/>
      </c>
      <c r="S330" s="92">
        <f>IF(AC329&lt;0.005,0,MAX(0,AC329*(1+AC$6/12)-AC$7))</f>
        <v/>
      </c>
      <c r="T330" s="92">
        <f>IF(AD329&lt;0.005,0,MAX(0,AD329*(1+AD$6/12)-AD$7))</f>
        <v/>
      </c>
      <c r="U330" s="92">
        <f>IF(AE329&lt;0.005,0,MAX(0,AE329*(1+AE$6/12)-AE$7))</f>
        <v/>
      </c>
      <c r="V330" s="92">
        <f>IF(AF329&lt;0.005,0,MAX(0,AF329*(1+AF$6/12)-AF$7))</f>
        <v/>
      </c>
      <c r="W330" s="92">
        <f>IF(AG329&lt;0.005,0,MAX(0,AG329*(1+AG$6/12)-AG$7))</f>
        <v/>
      </c>
      <c r="X330" s="92">
        <f>IF(AH329&lt;0.005,0,MAX(0,AH329*(1+AH$6/12)-AH$7))</f>
        <v/>
      </c>
      <c r="Y330" s="92">
        <f>IF(AI329&lt;0.005,0,MAX(0,AI329*(1+AI$6/12)-AI$7))</f>
        <v/>
      </c>
      <c r="Z330" s="91">
        <f>MAX(0,P330-MAX(0,AK330-0))</f>
        <v/>
      </c>
      <c r="AA330" s="91">
        <f>MAX(0,Q330-MAX(0,AK330-SUM(P330:P330)))</f>
        <v/>
      </c>
      <c r="AB330" s="91">
        <f>MAX(0,R330-MAX(0,AK330-SUM(P330:Q330)))</f>
        <v/>
      </c>
      <c r="AC330" s="91">
        <f>MAX(0,S330-MAX(0,AK330-SUM(P330:R330)))</f>
        <v/>
      </c>
      <c r="AD330" s="91">
        <f>MAX(0,T330-MAX(0,AK330-SUM(P330:S330)))</f>
        <v/>
      </c>
      <c r="AE330" s="91">
        <f>MAX(0,U330-MAX(0,AK330-SUM(P330:T330)))</f>
        <v/>
      </c>
      <c r="AF330" s="91">
        <f>MAX(0,V330-MAX(0,AK330-SUM(P330:U330)))</f>
        <v/>
      </c>
      <c r="AG330" s="91">
        <f>MAX(0,W330-MAX(0,AK330-SUM(P330:V330)))</f>
        <v/>
      </c>
      <c r="AH330" s="91">
        <f>MAX(0,X330-MAX(0,AK330-SUM(P330:W330)))</f>
        <v/>
      </c>
      <c r="AI330" s="91">
        <f>MAX(0,Y330-MAX(0,AK330-SUM(P330:X330)))</f>
        <v/>
      </c>
      <c r="AJ330" s="92">
        <f>SUM(Z329:AI329)+AL330</f>
        <v/>
      </c>
      <c r="AK330" s="92">
        <f>$AK$7-(AJ330-SUM(P330:Y330))</f>
        <v/>
      </c>
      <c r="AL330" s="91">
        <f>SUMPRODUCT(Z329:AI329,$Z$6:$AI$6)/12</f>
        <v/>
      </c>
      <c r="AM330" s="88">
        <f>SUM(Z330:AI330)</f>
        <v/>
      </c>
      <c r="AO330" s="92">
        <f>IF(AY329&lt;0.005,0,MAX(0,AY329*(1+AY$6/12)-AY$7))</f>
        <v/>
      </c>
      <c r="AP330" s="92">
        <f>IF(AZ329&lt;0.005,0,MAX(0,AZ329*(1+AZ$6/12)-AZ$7))</f>
        <v/>
      </c>
      <c r="AQ330" s="92">
        <f>IF(BA329&lt;0.005,0,MAX(0,BA329*(1+BA$6/12)-BA$7))</f>
        <v/>
      </c>
      <c r="AR330" s="92">
        <f>IF(BB329&lt;0.005,0,MAX(0,BB329*(1+BB$6/12)-BB$7))</f>
        <v/>
      </c>
      <c r="AS330" s="92">
        <f>IF(BC329&lt;0.005,0,MAX(0,BC329*(1+BC$6/12)-BC$7))</f>
        <v/>
      </c>
      <c r="AT330" s="92">
        <f>IF(BD329&lt;0.005,0,MAX(0,BD329*(1+BD$6/12)-BD$7))</f>
        <v/>
      </c>
      <c r="AU330" s="92">
        <f>IF(BE329&lt;0.005,0,MAX(0,BE329*(1+BE$6/12)-BE$7))</f>
        <v/>
      </c>
      <c r="AV330" s="92">
        <f>IF(BF329&lt;0.005,0,MAX(0,BF329*(1+BF$6/12)-BF$7))</f>
        <v/>
      </c>
      <c r="AW330" s="92">
        <f>IF(BG329&lt;0.005,0,MAX(0,BG329*(1+BG$6/12)-BG$7))</f>
        <v/>
      </c>
      <c r="AX330" s="92">
        <f>IF(BH329&lt;0.005,0,MAX(0,BH329*(1+BH$6/12)-BH$7))</f>
        <v/>
      </c>
      <c r="AY330" s="91">
        <f>MAX(0,AO330-MAX(0,BJ330-0))</f>
        <v/>
      </c>
      <c r="AZ330" s="91">
        <f>MAX(0,AP330-MAX(0,BJ330-SUM(AO330:AO330)))</f>
        <v/>
      </c>
      <c r="BA330" s="91">
        <f>MAX(0,AQ330-MAX(0,BJ330-SUM(AO330:AP330)))</f>
        <v/>
      </c>
      <c r="BB330" s="91">
        <f>MAX(0,AR330-MAX(0,BJ330-SUM(AO330:AQ330)))</f>
        <v/>
      </c>
      <c r="BC330" s="91">
        <f>MAX(0,AS330-MAX(0,BJ330-SUM(AO330:AR330)))</f>
        <v/>
      </c>
      <c r="BD330" s="91">
        <f>MAX(0,AT330-MAX(0,BJ330-SUM(AO330:AS330)))</f>
        <v/>
      </c>
      <c r="BE330" s="91">
        <f>MAX(0,AU330-MAX(0,BJ330-SUM(AO330:AT330)))</f>
        <v/>
      </c>
      <c r="BF330" s="91">
        <f>MAX(0,AV330-MAX(0,BJ330-SUM(AO330:AU330)))</f>
        <v/>
      </c>
      <c r="BG330" s="91">
        <f>MAX(0,AW330-MAX(0,BJ330-SUM(AO330:AV330)))</f>
        <v/>
      </c>
      <c r="BH330" s="91">
        <f>MAX(0,AX330-MAX(0,BJ330-SUM(AO330:AW330)))</f>
        <v/>
      </c>
      <c r="BI330" s="92">
        <f>SUM(AY329:BH329)+BK330</f>
        <v/>
      </c>
      <c r="BJ330" s="92">
        <f>$BJ$7-(BI330-SUM(AO330:AX330))</f>
        <v/>
      </c>
      <c r="BK330" s="91">
        <f>SUMPRODUCT(AY329:BH329,$AY$6:$BH$6)/12</f>
        <v/>
      </c>
      <c r="BL330" s="88">
        <f>SUM(AY330:BH330)</f>
        <v/>
      </c>
    </row>
    <row r="331">
      <c r="A331" s="24" t="n">
        <v>321</v>
      </c>
      <c r="B331" s="90">
        <f>DATE(YEAR(Settings!$C$11),MONTH(Settings!$C$11)+A331,1)</f>
        <v/>
      </c>
      <c r="C331" s="91">
        <f>IF(C330&lt;0.005,0,MAX(0,C330*(1+C$6/12)-C$7))</f>
        <v/>
      </c>
      <c r="D331" s="91">
        <f>IF(D330&lt;0.005,0,MAX(0,D330*(1+D$6/12)-D$7))</f>
        <v/>
      </c>
      <c r="E331" s="91">
        <f>IF(E330&lt;0.005,0,MAX(0,E330*(1+E$6/12)-E$7))</f>
        <v/>
      </c>
      <c r="F331" s="91">
        <f>IF(F330&lt;0.005,0,MAX(0,F330*(1+F$6/12)-F$7))</f>
        <v/>
      </c>
      <c r="G331" s="91">
        <f>IF(G330&lt;0.005,0,MAX(0,G330*(1+G$6/12)-G$7))</f>
        <v/>
      </c>
      <c r="H331" s="91">
        <f>IF(H330&lt;0.005,0,MAX(0,H330*(1+H$6/12)-H$7))</f>
        <v/>
      </c>
      <c r="I331" s="91">
        <f>IF(I330&lt;0.005,0,MAX(0,I330*(1+I$6/12)-I$7))</f>
        <v/>
      </c>
      <c r="J331" s="91">
        <f>IF(J330&lt;0.005,0,MAX(0,J330*(1+J$6/12)-J$7))</f>
        <v/>
      </c>
      <c r="K331" s="91">
        <f>IF(K330&lt;0.005,0,MAX(0,K330*(1+K$6/12)-K$7))</f>
        <v/>
      </c>
      <c r="L331" s="91">
        <f>IF(L330&lt;0.005,0,MAX(0,L330*(1+L$6/12)-L$7))</f>
        <v/>
      </c>
      <c r="M331" s="91">
        <f>SUMPRODUCT(C330:L330,$C$6:$L$6)/12</f>
        <v/>
      </c>
      <c r="N331" s="88">
        <f>SUM(C331:L331)</f>
        <v/>
      </c>
      <c r="P331" s="92">
        <f>IF(Z330&lt;0.005,0,MAX(0,Z330*(1+Z$6/12)-Z$7))</f>
        <v/>
      </c>
      <c r="Q331" s="92">
        <f>IF(AA330&lt;0.005,0,MAX(0,AA330*(1+AA$6/12)-AA$7))</f>
        <v/>
      </c>
      <c r="R331" s="92">
        <f>IF(AB330&lt;0.005,0,MAX(0,AB330*(1+AB$6/12)-AB$7))</f>
        <v/>
      </c>
      <c r="S331" s="92">
        <f>IF(AC330&lt;0.005,0,MAX(0,AC330*(1+AC$6/12)-AC$7))</f>
        <v/>
      </c>
      <c r="T331" s="92">
        <f>IF(AD330&lt;0.005,0,MAX(0,AD330*(1+AD$6/12)-AD$7))</f>
        <v/>
      </c>
      <c r="U331" s="92">
        <f>IF(AE330&lt;0.005,0,MAX(0,AE330*(1+AE$6/12)-AE$7))</f>
        <v/>
      </c>
      <c r="V331" s="92">
        <f>IF(AF330&lt;0.005,0,MAX(0,AF330*(1+AF$6/12)-AF$7))</f>
        <v/>
      </c>
      <c r="W331" s="92">
        <f>IF(AG330&lt;0.005,0,MAX(0,AG330*(1+AG$6/12)-AG$7))</f>
        <v/>
      </c>
      <c r="X331" s="92">
        <f>IF(AH330&lt;0.005,0,MAX(0,AH330*(1+AH$6/12)-AH$7))</f>
        <v/>
      </c>
      <c r="Y331" s="92">
        <f>IF(AI330&lt;0.005,0,MAX(0,AI330*(1+AI$6/12)-AI$7))</f>
        <v/>
      </c>
      <c r="Z331" s="91">
        <f>MAX(0,P331-MAX(0,AK331-0))</f>
        <v/>
      </c>
      <c r="AA331" s="91">
        <f>MAX(0,Q331-MAX(0,AK331-SUM(P331:P331)))</f>
        <v/>
      </c>
      <c r="AB331" s="91">
        <f>MAX(0,R331-MAX(0,AK331-SUM(P331:Q331)))</f>
        <v/>
      </c>
      <c r="AC331" s="91">
        <f>MAX(0,S331-MAX(0,AK331-SUM(P331:R331)))</f>
        <v/>
      </c>
      <c r="AD331" s="91">
        <f>MAX(0,T331-MAX(0,AK331-SUM(P331:S331)))</f>
        <v/>
      </c>
      <c r="AE331" s="91">
        <f>MAX(0,U331-MAX(0,AK331-SUM(P331:T331)))</f>
        <v/>
      </c>
      <c r="AF331" s="91">
        <f>MAX(0,V331-MAX(0,AK331-SUM(P331:U331)))</f>
        <v/>
      </c>
      <c r="AG331" s="91">
        <f>MAX(0,W331-MAX(0,AK331-SUM(P331:V331)))</f>
        <v/>
      </c>
      <c r="AH331" s="91">
        <f>MAX(0,X331-MAX(0,AK331-SUM(P331:W331)))</f>
        <v/>
      </c>
      <c r="AI331" s="91">
        <f>MAX(0,Y331-MAX(0,AK331-SUM(P331:X331)))</f>
        <v/>
      </c>
      <c r="AJ331" s="92">
        <f>SUM(Z330:AI330)+AL331</f>
        <v/>
      </c>
      <c r="AK331" s="92">
        <f>$AK$7-(AJ331-SUM(P331:Y331))</f>
        <v/>
      </c>
      <c r="AL331" s="91">
        <f>SUMPRODUCT(Z330:AI330,$Z$6:$AI$6)/12</f>
        <v/>
      </c>
      <c r="AM331" s="88">
        <f>SUM(Z331:AI331)</f>
        <v/>
      </c>
      <c r="AO331" s="92">
        <f>IF(AY330&lt;0.005,0,MAX(0,AY330*(1+AY$6/12)-AY$7))</f>
        <v/>
      </c>
      <c r="AP331" s="92">
        <f>IF(AZ330&lt;0.005,0,MAX(0,AZ330*(1+AZ$6/12)-AZ$7))</f>
        <v/>
      </c>
      <c r="AQ331" s="92">
        <f>IF(BA330&lt;0.005,0,MAX(0,BA330*(1+BA$6/12)-BA$7))</f>
        <v/>
      </c>
      <c r="AR331" s="92">
        <f>IF(BB330&lt;0.005,0,MAX(0,BB330*(1+BB$6/12)-BB$7))</f>
        <v/>
      </c>
      <c r="AS331" s="92">
        <f>IF(BC330&lt;0.005,0,MAX(0,BC330*(1+BC$6/12)-BC$7))</f>
        <v/>
      </c>
      <c r="AT331" s="92">
        <f>IF(BD330&lt;0.005,0,MAX(0,BD330*(1+BD$6/12)-BD$7))</f>
        <v/>
      </c>
      <c r="AU331" s="92">
        <f>IF(BE330&lt;0.005,0,MAX(0,BE330*(1+BE$6/12)-BE$7))</f>
        <v/>
      </c>
      <c r="AV331" s="92">
        <f>IF(BF330&lt;0.005,0,MAX(0,BF330*(1+BF$6/12)-BF$7))</f>
        <v/>
      </c>
      <c r="AW331" s="92">
        <f>IF(BG330&lt;0.005,0,MAX(0,BG330*(1+BG$6/12)-BG$7))</f>
        <v/>
      </c>
      <c r="AX331" s="92">
        <f>IF(BH330&lt;0.005,0,MAX(0,BH330*(1+BH$6/12)-BH$7))</f>
        <v/>
      </c>
      <c r="AY331" s="91">
        <f>MAX(0,AO331-MAX(0,BJ331-0))</f>
        <v/>
      </c>
      <c r="AZ331" s="91">
        <f>MAX(0,AP331-MAX(0,BJ331-SUM(AO331:AO331)))</f>
        <v/>
      </c>
      <c r="BA331" s="91">
        <f>MAX(0,AQ331-MAX(0,BJ331-SUM(AO331:AP331)))</f>
        <v/>
      </c>
      <c r="BB331" s="91">
        <f>MAX(0,AR331-MAX(0,BJ331-SUM(AO331:AQ331)))</f>
        <v/>
      </c>
      <c r="BC331" s="91">
        <f>MAX(0,AS331-MAX(0,BJ331-SUM(AO331:AR331)))</f>
        <v/>
      </c>
      <c r="BD331" s="91">
        <f>MAX(0,AT331-MAX(0,BJ331-SUM(AO331:AS331)))</f>
        <v/>
      </c>
      <c r="BE331" s="91">
        <f>MAX(0,AU331-MAX(0,BJ331-SUM(AO331:AT331)))</f>
        <v/>
      </c>
      <c r="BF331" s="91">
        <f>MAX(0,AV331-MAX(0,BJ331-SUM(AO331:AU331)))</f>
        <v/>
      </c>
      <c r="BG331" s="91">
        <f>MAX(0,AW331-MAX(0,BJ331-SUM(AO331:AV331)))</f>
        <v/>
      </c>
      <c r="BH331" s="91">
        <f>MAX(0,AX331-MAX(0,BJ331-SUM(AO331:AW331)))</f>
        <v/>
      </c>
      <c r="BI331" s="92">
        <f>SUM(AY330:BH330)+BK331</f>
        <v/>
      </c>
      <c r="BJ331" s="92">
        <f>$BJ$7-(BI331-SUM(AO331:AX331))</f>
        <v/>
      </c>
      <c r="BK331" s="91">
        <f>SUMPRODUCT(AY330:BH330,$AY$6:$BH$6)/12</f>
        <v/>
      </c>
      <c r="BL331" s="88">
        <f>SUM(AY331:BH331)</f>
        <v/>
      </c>
    </row>
    <row r="332">
      <c r="A332" s="24" t="n">
        <v>322</v>
      </c>
      <c r="B332" s="90">
        <f>DATE(YEAR(Settings!$C$11),MONTH(Settings!$C$11)+A332,1)</f>
        <v/>
      </c>
      <c r="C332" s="91">
        <f>IF(C331&lt;0.005,0,MAX(0,C331*(1+C$6/12)-C$7))</f>
        <v/>
      </c>
      <c r="D332" s="91">
        <f>IF(D331&lt;0.005,0,MAX(0,D331*(1+D$6/12)-D$7))</f>
        <v/>
      </c>
      <c r="E332" s="91">
        <f>IF(E331&lt;0.005,0,MAX(0,E331*(1+E$6/12)-E$7))</f>
        <v/>
      </c>
      <c r="F332" s="91">
        <f>IF(F331&lt;0.005,0,MAX(0,F331*(1+F$6/12)-F$7))</f>
        <v/>
      </c>
      <c r="G332" s="91">
        <f>IF(G331&lt;0.005,0,MAX(0,G331*(1+G$6/12)-G$7))</f>
        <v/>
      </c>
      <c r="H332" s="91">
        <f>IF(H331&lt;0.005,0,MAX(0,H331*(1+H$6/12)-H$7))</f>
        <v/>
      </c>
      <c r="I332" s="91">
        <f>IF(I331&lt;0.005,0,MAX(0,I331*(1+I$6/12)-I$7))</f>
        <v/>
      </c>
      <c r="J332" s="91">
        <f>IF(J331&lt;0.005,0,MAX(0,J331*(1+J$6/12)-J$7))</f>
        <v/>
      </c>
      <c r="K332" s="91">
        <f>IF(K331&lt;0.005,0,MAX(0,K331*(1+K$6/12)-K$7))</f>
        <v/>
      </c>
      <c r="L332" s="91">
        <f>IF(L331&lt;0.005,0,MAX(0,L331*(1+L$6/12)-L$7))</f>
        <v/>
      </c>
      <c r="M332" s="91">
        <f>SUMPRODUCT(C331:L331,$C$6:$L$6)/12</f>
        <v/>
      </c>
      <c r="N332" s="88">
        <f>SUM(C332:L332)</f>
        <v/>
      </c>
      <c r="P332" s="92">
        <f>IF(Z331&lt;0.005,0,MAX(0,Z331*(1+Z$6/12)-Z$7))</f>
        <v/>
      </c>
      <c r="Q332" s="92">
        <f>IF(AA331&lt;0.005,0,MAX(0,AA331*(1+AA$6/12)-AA$7))</f>
        <v/>
      </c>
      <c r="R332" s="92">
        <f>IF(AB331&lt;0.005,0,MAX(0,AB331*(1+AB$6/12)-AB$7))</f>
        <v/>
      </c>
      <c r="S332" s="92">
        <f>IF(AC331&lt;0.005,0,MAX(0,AC331*(1+AC$6/12)-AC$7))</f>
        <v/>
      </c>
      <c r="T332" s="92">
        <f>IF(AD331&lt;0.005,0,MAX(0,AD331*(1+AD$6/12)-AD$7))</f>
        <v/>
      </c>
      <c r="U332" s="92">
        <f>IF(AE331&lt;0.005,0,MAX(0,AE331*(1+AE$6/12)-AE$7))</f>
        <v/>
      </c>
      <c r="V332" s="92">
        <f>IF(AF331&lt;0.005,0,MAX(0,AF331*(1+AF$6/12)-AF$7))</f>
        <v/>
      </c>
      <c r="W332" s="92">
        <f>IF(AG331&lt;0.005,0,MAX(0,AG331*(1+AG$6/12)-AG$7))</f>
        <v/>
      </c>
      <c r="X332" s="92">
        <f>IF(AH331&lt;0.005,0,MAX(0,AH331*(1+AH$6/12)-AH$7))</f>
        <v/>
      </c>
      <c r="Y332" s="92">
        <f>IF(AI331&lt;0.005,0,MAX(0,AI331*(1+AI$6/12)-AI$7))</f>
        <v/>
      </c>
      <c r="Z332" s="91">
        <f>MAX(0,P332-MAX(0,AK332-0))</f>
        <v/>
      </c>
      <c r="AA332" s="91">
        <f>MAX(0,Q332-MAX(0,AK332-SUM(P332:P332)))</f>
        <v/>
      </c>
      <c r="AB332" s="91">
        <f>MAX(0,R332-MAX(0,AK332-SUM(P332:Q332)))</f>
        <v/>
      </c>
      <c r="AC332" s="91">
        <f>MAX(0,S332-MAX(0,AK332-SUM(P332:R332)))</f>
        <v/>
      </c>
      <c r="AD332" s="91">
        <f>MAX(0,T332-MAX(0,AK332-SUM(P332:S332)))</f>
        <v/>
      </c>
      <c r="AE332" s="91">
        <f>MAX(0,U332-MAX(0,AK332-SUM(P332:T332)))</f>
        <v/>
      </c>
      <c r="AF332" s="91">
        <f>MAX(0,V332-MAX(0,AK332-SUM(P332:U332)))</f>
        <v/>
      </c>
      <c r="AG332" s="91">
        <f>MAX(0,W332-MAX(0,AK332-SUM(P332:V332)))</f>
        <v/>
      </c>
      <c r="AH332" s="91">
        <f>MAX(0,X332-MAX(0,AK332-SUM(P332:W332)))</f>
        <v/>
      </c>
      <c r="AI332" s="91">
        <f>MAX(0,Y332-MAX(0,AK332-SUM(P332:X332)))</f>
        <v/>
      </c>
      <c r="AJ332" s="92">
        <f>SUM(Z331:AI331)+AL332</f>
        <v/>
      </c>
      <c r="AK332" s="92">
        <f>$AK$7-(AJ332-SUM(P332:Y332))</f>
        <v/>
      </c>
      <c r="AL332" s="91">
        <f>SUMPRODUCT(Z331:AI331,$Z$6:$AI$6)/12</f>
        <v/>
      </c>
      <c r="AM332" s="88">
        <f>SUM(Z332:AI332)</f>
        <v/>
      </c>
      <c r="AO332" s="92">
        <f>IF(AY331&lt;0.005,0,MAX(0,AY331*(1+AY$6/12)-AY$7))</f>
        <v/>
      </c>
      <c r="AP332" s="92">
        <f>IF(AZ331&lt;0.005,0,MAX(0,AZ331*(1+AZ$6/12)-AZ$7))</f>
        <v/>
      </c>
      <c r="AQ332" s="92">
        <f>IF(BA331&lt;0.005,0,MAX(0,BA331*(1+BA$6/12)-BA$7))</f>
        <v/>
      </c>
      <c r="AR332" s="92">
        <f>IF(BB331&lt;0.005,0,MAX(0,BB331*(1+BB$6/12)-BB$7))</f>
        <v/>
      </c>
      <c r="AS332" s="92">
        <f>IF(BC331&lt;0.005,0,MAX(0,BC331*(1+BC$6/12)-BC$7))</f>
        <v/>
      </c>
      <c r="AT332" s="92">
        <f>IF(BD331&lt;0.005,0,MAX(0,BD331*(1+BD$6/12)-BD$7))</f>
        <v/>
      </c>
      <c r="AU332" s="92">
        <f>IF(BE331&lt;0.005,0,MAX(0,BE331*(1+BE$6/12)-BE$7))</f>
        <v/>
      </c>
      <c r="AV332" s="92">
        <f>IF(BF331&lt;0.005,0,MAX(0,BF331*(1+BF$6/12)-BF$7))</f>
        <v/>
      </c>
      <c r="AW332" s="92">
        <f>IF(BG331&lt;0.005,0,MAX(0,BG331*(1+BG$6/12)-BG$7))</f>
        <v/>
      </c>
      <c r="AX332" s="92">
        <f>IF(BH331&lt;0.005,0,MAX(0,BH331*(1+BH$6/12)-BH$7))</f>
        <v/>
      </c>
      <c r="AY332" s="91">
        <f>MAX(0,AO332-MAX(0,BJ332-0))</f>
        <v/>
      </c>
      <c r="AZ332" s="91">
        <f>MAX(0,AP332-MAX(0,BJ332-SUM(AO332:AO332)))</f>
        <v/>
      </c>
      <c r="BA332" s="91">
        <f>MAX(0,AQ332-MAX(0,BJ332-SUM(AO332:AP332)))</f>
        <v/>
      </c>
      <c r="BB332" s="91">
        <f>MAX(0,AR332-MAX(0,BJ332-SUM(AO332:AQ332)))</f>
        <v/>
      </c>
      <c r="BC332" s="91">
        <f>MAX(0,AS332-MAX(0,BJ332-SUM(AO332:AR332)))</f>
        <v/>
      </c>
      <c r="BD332" s="91">
        <f>MAX(0,AT332-MAX(0,BJ332-SUM(AO332:AS332)))</f>
        <v/>
      </c>
      <c r="BE332" s="91">
        <f>MAX(0,AU332-MAX(0,BJ332-SUM(AO332:AT332)))</f>
        <v/>
      </c>
      <c r="BF332" s="91">
        <f>MAX(0,AV332-MAX(0,BJ332-SUM(AO332:AU332)))</f>
        <v/>
      </c>
      <c r="BG332" s="91">
        <f>MAX(0,AW332-MAX(0,BJ332-SUM(AO332:AV332)))</f>
        <v/>
      </c>
      <c r="BH332" s="91">
        <f>MAX(0,AX332-MAX(0,BJ332-SUM(AO332:AW332)))</f>
        <v/>
      </c>
      <c r="BI332" s="92">
        <f>SUM(AY331:BH331)+BK332</f>
        <v/>
      </c>
      <c r="BJ332" s="92">
        <f>$BJ$7-(BI332-SUM(AO332:AX332))</f>
        <v/>
      </c>
      <c r="BK332" s="91">
        <f>SUMPRODUCT(AY331:BH331,$AY$6:$BH$6)/12</f>
        <v/>
      </c>
      <c r="BL332" s="88">
        <f>SUM(AY332:BH332)</f>
        <v/>
      </c>
    </row>
    <row r="333">
      <c r="A333" s="24" t="n">
        <v>323</v>
      </c>
      <c r="B333" s="90">
        <f>DATE(YEAR(Settings!$C$11),MONTH(Settings!$C$11)+A333,1)</f>
        <v/>
      </c>
      <c r="C333" s="91">
        <f>IF(C332&lt;0.005,0,MAX(0,C332*(1+C$6/12)-C$7))</f>
        <v/>
      </c>
      <c r="D333" s="91">
        <f>IF(D332&lt;0.005,0,MAX(0,D332*(1+D$6/12)-D$7))</f>
        <v/>
      </c>
      <c r="E333" s="91">
        <f>IF(E332&lt;0.005,0,MAX(0,E332*(1+E$6/12)-E$7))</f>
        <v/>
      </c>
      <c r="F333" s="91">
        <f>IF(F332&lt;0.005,0,MAX(0,F332*(1+F$6/12)-F$7))</f>
        <v/>
      </c>
      <c r="G333" s="91">
        <f>IF(G332&lt;0.005,0,MAX(0,G332*(1+G$6/12)-G$7))</f>
        <v/>
      </c>
      <c r="H333" s="91">
        <f>IF(H332&lt;0.005,0,MAX(0,H332*(1+H$6/12)-H$7))</f>
        <v/>
      </c>
      <c r="I333" s="91">
        <f>IF(I332&lt;0.005,0,MAX(0,I332*(1+I$6/12)-I$7))</f>
        <v/>
      </c>
      <c r="J333" s="91">
        <f>IF(J332&lt;0.005,0,MAX(0,J332*(1+J$6/12)-J$7))</f>
        <v/>
      </c>
      <c r="K333" s="91">
        <f>IF(K332&lt;0.005,0,MAX(0,K332*(1+K$6/12)-K$7))</f>
        <v/>
      </c>
      <c r="L333" s="91">
        <f>IF(L332&lt;0.005,0,MAX(0,L332*(1+L$6/12)-L$7))</f>
        <v/>
      </c>
      <c r="M333" s="91">
        <f>SUMPRODUCT(C332:L332,$C$6:$L$6)/12</f>
        <v/>
      </c>
      <c r="N333" s="88">
        <f>SUM(C333:L333)</f>
        <v/>
      </c>
      <c r="P333" s="92">
        <f>IF(Z332&lt;0.005,0,MAX(0,Z332*(1+Z$6/12)-Z$7))</f>
        <v/>
      </c>
      <c r="Q333" s="92">
        <f>IF(AA332&lt;0.005,0,MAX(0,AA332*(1+AA$6/12)-AA$7))</f>
        <v/>
      </c>
      <c r="R333" s="92">
        <f>IF(AB332&lt;0.005,0,MAX(0,AB332*(1+AB$6/12)-AB$7))</f>
        <v/>
      </c>
      <c r="S333" s="92">
        <f>IF(AC332&lt;0.005,0,MAX(0,AC332*(1+AC$6/12)-AC$7))</f>
        <v/>
      </c>
      <c r="T333" s="92">
        <f>IF(AD332&lt;0.005,0,MAX(0,AD332*(1+AD$6/12)-AD$7))</f>
        <v/>
      </c>
      <c r="U333" s="92">
        <f>IF(AE332&lt;0.005,0,MAX(0,AE332*(1+AE$6/12)-AE$7))</f>
        <v/>
      </c>
      <c r="V333" s="92">
        <f>IF(AF332&lt;0.005,0,MAX(0,AF332*(1+AF$6/12)-AF$7))</f>
        <v/>
      </c>
      <c r="W333" s="92">
        <f>IF(AG332&lt;0.005,0,MAX(0,AG332*(1+AG$6/12)-AG$7))</f>
        <v/>
      </c>
      <c r="X333" s="92">
        <f>IF(AH332&lt;0.005,0,MAX(0,AH332*(1+AH$6/12)-AH$7))</f>
        <v/>
      </c>
      <c r="Y333" s="92">
        <f>IF(AI332&lt;0.005,0,MAX(0,AI332*(1+AI$6/12)-AI$7))</f>
        <v/>
      </c>
      <c r="Z333" s="91">
        <f>MAX(0,P333-MAX(0,AK333-0))</f>
        <v/>
      </c>
      <c r="AA333" s="91">
        <f>MAX(0,Q333-MAX(0,AK333-SUM(P333:P333)))</f>
        <v/>
      </c>
      <c r="AB333" s="91">
        <f>MAX(0,R333-MAX(0,AK333-SUM(P333:Q333)))</f>
        <v/>
      </c>
      <c r="AC333" s="91">
        <f>MAX(0,S333-MAX(0,AK333-SUM(P333:R333)))</f>
        <v/>
      </c>
      <c r="AD333" s="91">
        <f>MAX(0,T333-MAX(0,AK333-SUM(P333:S333)))</f>
        <v/>
      </c>
      <c r="AE333" s="91">
        <f>MAX(0,U333-MAX(0,AK333-SUM(P333:T333)))</f>
        <v/>
      </c>
      <c r="AF333" s="91">
        <f>MAX(0,V333-MAX(0,AK333-SUM(P333:U333)))</f>
        <v/>
      </c>
      <c r="AG333" s="91">
        <f>MAX(0,W333-MAX(0,AK333-SUM(P333:V333)))</f>
        <v/>
      </c>
      <c r="AH333" s="91">
        <f>MAX(0,X333-MAX(0,AK333-SUM(P333:W333)))</f>
        <v/>
      </c>
      <c r="AI333" s="91">
        <f>MAX(0,Y333-MAX(0,AK333-SUM(P333:X333)))</f>
        <v/>
      </c>
      <c r="AJ333" s="92">
        <f>SUM(Z332:AI332)+AL333</f>
        <v/>
      </c>
      <c r="AK333" s="92">
        <f>$AK$7-(AJ333-SUM(P333:Y333))</f>
        <v/>
      </c>
      <c r="AL333" s="91">
        <f>SUMPRODUCT(Z332:AI332,$Z$6:$AI$6)/12</f>
        <v/>
      </c>
      <c r="AM333" s="88">
        <f>SUM(Z333:AI333)</f>
        <v/>
      </c>
      <c r="AO333" s="92">
        <f>IF(AY332&lt;0.005,0,MAX(0,AY332*(1+AY$6/12)-AY$7))</f>
        <v/>
      </c>
      <c r="AP333" s="92">
        <f>IF(AZ332&lt;0.005,0,MAX(0,AZ332*(1+AZ$6/12)-AZ$7))</f>
        <v/>
      </c>
      <c r="AQ333" s="92">
        <f>IF(BA332&lt;0.005,0,MAX(0,BA332*(1+BA$6/12)-BA$7))</f>
        <v/>
      </c>
      <c r="AR333" s="92">
        <f>IF(BB332&lt;0.005,0,MAX(0,BB332*(1+BB$6/12)-BB$7))</f>
        <v/>
      </c>
      <c r="AS333" s="92">
        <f>IF(BC332&lt;0.005,0,MAX(0,BC332*(1+BC$6/12)-BC$7))</f>
        <v/>
      </c>
      <c r="AT333" s="92">
        <f>IF(BD332&lt;0.005,0,MAX(0,BD332*(1+BD$6/12)-BD$7))</f>
        <v/>
      </c>
      <c r="AU333" s="92">
        <f>IF(BE332&lt;0.005,0,MAX(0,BE332*(1+BE$6/12)-BE$7))</f>
        <v/>
      </c>
      <c r="AV333" s="92">
        <f>IF(BF332&lt;0.005,0,MAX(0,BF332*(1+BF$6/12)-BF$7))</f>
        <v/>
      </c>
      <c r="AW333" s="92">
        <f>IF(BG332&lt;0.005,0,MAX(0,BG332*(1+BG$6/12)-BG$7))</f>
        <v/>
      </c>
      <c r="AX333" s="92">
        <f>IF(BH332&lt;0.005,0,MAX(0,BH332*(1+BH$6/12)-BH$7))</f>
        <v/>
      </c>
      <c r="AY333" s="91">
        <f>MAX(0,AO333-MAX(0,BJ333-0))</f>
        <v/>
      </c>
      <c r="AZ333" s="91">
        <f>MAX(0,AP333-MAX(0,BJ333-SUM(AO333:AO333)))</f>
        <v/>
      </c>
      <c r="BA333" s="91">
        <f>MAX(0,AQ333-MAX(0,BJ333-SUM(AO333:AP333)))</f>
        <v/>
      </c>
      <c r="BB333" s="91">
        <f>MAX(0,AR333-MAX(0,BJ333-SUM(AO333:AQ333)))</f>
        <v/>
      </c>
      <c r="BC333" s="91">
        <f>MAX(0,AS333-MAX(0,BJ333-SUM(AO333:AR333)))</f>
        <v/>
      </c>
      <c r="BD333" s="91">
        <f>MAX(0,AT333-MAX(0,BJ333-SUM(AO333:AS333)))</f>
        <v/>
      </c>
      <c r="BE333" s="91">
        <f>MAX(0,AU333-MAX(0,BJ333-SUM(AO333:AT333)))</f>
        <v/>
      </c>
      <c r="BF333" s="91">
        <f>MAX(0,AV333-MAX(0,BJ333-SUM(AO333:AU333)))</f>
        <v/>
      </c>
      <c r="BG333" s="91">
        <f>MAX(0,AW333-MAX(0,BJ333-SUM(AO333:AV333)))</f>
        <v/>
      </c>
      <c r="BH333" s="91">
        <f>MAX(0,AX333-MAX(0,BJ333-SUM(AO333:AW333)))</f>
        <v/>
      </c>
      <c r="BI333" s="92">
        <f>SUM(AY332:BH332)+BK333</f>
        <v/>
      </c>
      <c r="BJ333" s="92">
        <f>$BJ$7-(BI333-SUM(AO333:AX333))</f>
        <v/>
      </c>
      <c r="BK333" s="91">
        <f>SUMPRODUCT(AY332:BH332,$AY$6:$BH$6)/12</f>
        <v/>
      </c>
      <c r="BL333" s="88">
        <f>SUM(AY333:BH333)</f>
        <v/>
      </c>
    </row>
    <row r="334">
      <c r="A334" s="24" t="n">
        <v>324</v>
      </c>
      <c r="B334" s="90">
        <f>DATE(YEAR(Settings!$C$11),MONTH(Settings!$C$11)+A334,1)</f>
        <v/>
      </c>
      <c r="C334" s="91">
        <f>IF(C333&lt;0.005,0,MAX(0,C333*(1+C$6/12)-C$7))</f>
        <v/>
      </c>
      <c r="D334" s="91">
        <f>IF(D333&lt;0.005,0,MAX(0,D333*(1+D$6/12)-D$7))</f>
        <v/>
      </c>
      <c r="E334" s="91">
        <f>IF(E333&lt;0.005,0,MAX(0,E333*(1+E$6/12)-E$7))</f>
        <v/>
      </c>
      <c r="F334" s="91">
        <f>IF(F333&lt;0.005,0,MAX(0,F333*(1+F$6/12)-F$7))</f>
        <v/>
      </c>
      <c r="G334" s="91">
        <f>IF(G333&lt;0.005,0,MAX(0,G333*(1+G$6/12)-G$7))</f>
        <v/>
      </c>
      <c r="H334" s="91">
        <f>IF(H333&lt;0.005,0,MAX(0,H333*(1+H$6/12)-H$7))</f>
        <v/>
      </c>
      <c r="I334" s="91">
        <f>IF(I333&lt;0.005,0,MAX(0,I333*(1+I$6/12)-I$7))</f>
        <v/>
      </c>
      <c r="J334" s="91">
        <f>IF(J333&lt;0.005,0,MAX(0,J333*(1+J$6/12)-J$7))</f>
        <v/>
      </c>
      <c r="K334" s="91">
        <f>IF(K333&lt;0.005,0,MAX(0,K333*(1+K$6/12)-K$7))</f>
        <v/>
      </c>
      <c r="L334" s="91">
        <f>IF(L333&lt;0.005,0,MAX(0,L333*(1+L$6/12)-L$7))</f>
        <v/>
      </c>
      <c r="M334" s="91">
        <f>SUMPRODUCT(C333:L333,$C$6:$L$6)/12</f>
        <v/>
      </c>
      <c r="N334" s="88">
        <f>SUM(C334:L334)</f>
        <v/>
      </c>
      <c r="P334" s="92">
        <f>IF(Z333&lt;0.005,0,MAX(0,Z333*(1+Z$6/12)-Z$7))</f>
        <v/>
      </c>
      <c r="Q334" s="92">
        <f>IF(AA333&lt;0.005,0,MAX(0,AA333*(1+AA$6/12)-AA$7))</f>
        <v/>
      </c>
      <c r="R334" s="92">
        <f>IF(AB333&lt;0.005,0,MAX(0,AB333*(1+AB$6/12)-AB$7))</f>
        <v/>
      </c>
      <c r="S334" s="92">
        <f>IF(AC333&lt;0.005,0,MAX(0,AC333*(1+AC$6/12)-AC$7))</f>
        <v/>
      </c>
      <c r="T334" s="92">
        <f>IF(AD333&lt;0.005,0,MAX(0,AD333*(1+AD$6/12)-AD$7))</f>
        <v/>
      </c>
      <c r="U334" s="92">
        <f>IF(AE333&lt;0.005,0,MAX(0,AE333*(1+AE$6/12)-AE$7))</f>
        <v/>
      </c>
      <c r="V334" s="92">
        <f>IF(AF333&lt;0.005,0,MAX(0,AF333*(1+AF$6/12)-AF$7))</f>
        <v/>
      </c>
      <c r="W334" s="92">
        <f>IF(AG333&lt;0.005,0,MAX(0,AG333*(1+AG$6/12)-AG$7))</f>
        <v/>
      </c>
      <c r="X334" s="92">
        <f>IF(AH333&lt;0.005,0,MAX(0,AH333*(1+AH$6/12)-AH$7))</f>
        <v/>
      </c>
      <c r="Y334" s="92">
        <f>IF(AI333&lt;0.005,0,MAX(0,AI333*(1+AI$6/12)-AI$7))</f>
        <v/>
      </c>
      <c r="Z334" s="91">
        <f>MAX(0,P334-MAX(0,AK334-0))</f>
        <v/>
      </c>
      <c r="AA334" s="91">
        <f>MAX(0,Q334-MAX(0,AK334-SUM(P334:P334)))</f>
        <v/>
      </c>
      <c r="AB334" s="91">
        <f>MAX(0,R334-MAX(0,AK334-SUM(P334:Q334)))</f>
        <v/>
      </c>
      <c r="AC334" s="91">
        <f>MAX(0,S334-MAX(0,AK334-SUM(P334:R334)))</f>
        <v/>
      </c>
      <c r="AD334" s="91">
        <f>MAX(0,T334-MAX(0,AK334-SUM(P334:S334)))</f>
        <v/>
      </c>
      <c r="AE334" s="91">
        <f>MAX(0,U334-MAX(0,AK334-SUM(P334:T334)))</f>
        <v/>
      </c>
      <c r="AF334" s="91">
        <f>MAX(0,V334-MAX(0,AK334-SUM(P334:U334)))</f>
        <v/>
      </c>
      <c r="AG334" s="91">
        <f>MAX(0,W334-MAX(0,AK334-SUM(P334:V334)))</f>
        <v/>
      </c>
      <c r="AH334" s="91">
        <f>MAX(0,X334-MAX(0,AK334-SUM(P334:W334)))</f>
        <v/>
      </c>
      <c r="AI334" s="91">
        <f>MAX(0,Y334-MAX(0,AK334-SUM(P334:X334)))</f>
        <v/>
      </c>
      <c r="AJ334" s="92">
        <f>SUM(Z333:AI333)+AL334</f>
        <v/>
      </c>
      <c r="AK334" s="92">
        <f>$AK$7-(AJ334-SUM(P334:Y334))</f>
        <v/>
      </c>
      <c r="AL334" s="91">
        <f>SUMPRODUCT(Z333:AI333,$Z$6:$AI$6)/12</f>
        <v/>
      </c>
      <c r="AM334" s="88">
        <f>SUM(Z334:AI334)</f>
        <v/>
      </c>
      <c r="AO334" s="92">
        <f>IF(AY333&lt;0.005,0,MAX(0,AY333*(1+AY$6/12)-AY$7))</f>
        <v/>
      </c>
      <c r="AP334" s="92">
        <f>IF(AZ333&lt;0.005,0,MAX(0,AZ333*(1+AZ$6/12)-AZ$7))</f>
        <v/>
      </c>
      <c r="AQ334" s="92">
        <f>IF(BA333&lt;0.005,0,MAX(0,BA333*(1+BA$6/12)-BA$7))</f>
        <v/>
      </c>
      <c r="AR334" s="92">
        <f>IF(BB333&lt;0.005,0,MAX(0,BB333*(1+BB$6/12)-BB$7))</f>
        <v/>
      </c>
      <c r="AS334" s="92">
        <f>IF(BC333&lt;0.005,0,MAX(0,BC333*(1+BC$6/12)-BC$7))</f>
        <v/>
      </c>
      <c r="AT334" s="92">
        <f>IF(BD333&lt;0.005,0,MAX(0,BD333*(1+BD$6/12)-BD$7))</f>
        <v/>
      </c>
      <c r="AU334" s="92">
        <f>IF(BE333&lt;0.005,0,MAX(0,BE333*(1+BE$6/12)-BE$7))</f>
        <v/>
      </c>
      <c r="AV334" s="92">
        <f>IF(BF333&lt;0.005,0,MAX(0,BF333*(1+BF$6/12)-BF$7))</f>
        <v/>
      </c>
      <c r="AW334" s="92">
        <f>IF(BG333&lt;0.005,0,MAX(0,BG333*(1+BG$6/12)-BG$7))</f>
        <v/>
      </c>
      <c r="AX334" s="92">
        <f>IF(BH333&lt;0.005,0,MAX(0,BH333*(1+BH$6/12)-BH$7))</f>
        <v/>
      </c>
      <c r="AY334" s="91">
        <f>MAX(0,AO334-MAX(0,BJ334-0))</f>
        <v/>
      </c>
      <c r="AZ334" s="91">
        <f>MAX(0,AP334-MAX(0,BJ334-SUM(AO334:AO334)))</f>
        <v/>
      </c>
      <c r="BA334" s="91">
        <f>MAX(0,AQ334-MAX(0,BJ334-SUM(AO334:AP334)))</f>
        <v/>
      </c>
      <c r="BB334" s="91">
        <f>MAX(0,AR334-MAX(0,BJ334-SUM(AO334:AQ334)))</f>
        <v/>
      </c>
      <c r="BC334" s="91">
        <f>MAX(0,AS334-MAX(0,BJ334-SUM(AO334:AR334)))</f>
        <v/>
      </c>
      <c r="BD334" s="91">
        <f>MAX(0,AT334-MAX(0,BJ334-SUM(AO334:AS334)))</f>
        <v/>
      </c>
      <c r="BE334" s="91">
        <f>MAX(0,AU334-MAX(0,BJ334-SUM(AO334:AT334)))</f>
        <v/>
      </c>
      <c r="BF334" s="91">
        <f>MAX(0,AV334-MAX(0,BJ334-SUM(AO334:AU334)))</f>
        <v/>
      </c>
      <c r="BG334" s="91">
        <f>MAX(0,AW334-MAX(0,BJ334-SUM(AO334:AV334)))</f>
        <v/>
      </c>
      <c r="BH334" s="91">
        <f>MAX(0,AX334-MAX(0,BJ334-SUM(AO334:AW334)))</f>
        <v/>
      </c>
      <c r="BI334" s="92">
        <f>SUM(AY333:BH333)+BK334</f>
        <v/>
      </c>
      <c r="BJ334" s="92">
        <f>$BJ$7-(BI334-SUM(AO334:AX334))</f>
        <v/>
      </c>
      <c r="BK334" s="91">
        <f>SUMPRODUCT(AY333:BH333,$AY$6:$BH$6)/12</f>
        <v/>
      </c>
      <c r="BL334" s="88">
        <f>SUM(AY334:BH334)</f>
        <v/>
      </c>
    </row>
    <row r="335">
      <c r="A335" s="24" t="n">
        <v>325</v>
      </c>
      <c r="B335" s="90">
        <f>DATE(YEAR(Settings!$C$11),MONTH(Settings!$C$11)+A335,1)</f>
        <v/>
      </c>
      <c r="C335" s="91">
        <f>IF(C334&lt;0.005,0,MAX(0,C334*(1+C$6/12)-C$7))</f>
        <v/>
      </c>
      <c r="D335" s="91">
        <f>IF(D334&lt;0.005,0,MAX(0,D334*(1+D$6/12)-D$7))</f>
        <v/>
      </c>
      <c r="E335" s="91">
        <f>IF(E334&lt;0.005,0,MAX(0,E334*(1+E$6/12)-E$7))</f>
        <v/>
      </c>
      <c r="F335" s="91">
        <f>IF(F334&lt;0.005,0,MAX(0,F334*(1+F$6/12)-F$7))</f>
        <v/>
      </c>
      <c r="G335" s="91">
        <f>IF(G334&lt;0.005,0,MAX(0,G334*(1+G$6/12)-G$7))</f>
        <v/>
      </c>
      <c r="H335" s="91">
        <f>IF(H334&lt;0.005,0,MAX(0,H334*(1+H$6/12)-H$7))</f>
        <v/>
      </c>
      <c r="I335" s="91">
        <f>IF(I334&lt;0.005,0,MAX(0,I334*(1+I$6/12)-I$7))</f>
        <v/>
      </c>
      <c r="J335" s="91">
        <f>IF(J334&lt;0.005,0,MAX(0,J334*(1+J$6/12)-J$7))</f>
        <v/>
      </c>
      <c r="K335" s="91">
        <f>IF(K334&lt;0.005,0,MAX(0,K334*(1+K$6/12)-K$7))</f>
        <v/>
      </c>
      <c r="L335" s="91">
        <f>IF(L334&lt;0.005,0,MAX(0,L334*(1+L$6/12)-L$7))</f>
        <v/>
      </c>
      <c r="M335" s="91">
        <f>SUMPRODUCT(C334:L334,$C$6:$L$6)/12</f>
        <v/>
      </c>
      <c r="N335" s="88">
        <f>SUM(C335:L335)</f>
        <v/>
      </c>
      <c r="P335" s="92">
        <f>IF(Z334&lt;0.005,0,MAX(0,Z334*(1+Z$6/12)-Z$7))</f>
        <v/>
      </c>
      <c r="Q335" s="92">
        <f>IF(AA334&lt;0.005,0,MAX(0,AA334*(1+AA$6/12)-AA$7))</f>
        <v/>
      </c>
      <c r="R335" s="92">
        <f>IF(AB334&lt;0.005,0,MAX(0,AB334*(1+AB$6/12)-AB$7))</f>
        <v/>
      </c>
      <c r="S335" s="92">
        <f>IF(AC334&lt;0.005,0,MAX(0,AC334*(1+AC$6/12)-AC$7))</f>
        <v/>
      </c>
      <c r="T335" s="92">
        <f>IF(AD334&lt;0.005,0,MAX(0,AD334*(1+AD$6/12)-AD$7))</f>
        <v/>
      </c>
      <c r="U335" s="92">
        <f>IF(AE334&lt;0.005,0,MAX(0,AE334*(1+AE$6/12)-AE$7))</f>
        <v/>
      </c>
      <c r="V335" s="92">
        <f>IF(AF334&lt;0.005,0,MAX(0,AF334*(1+AF$6/12)-AF$7))</f>
        <v/>
      </c>
      <c r="W335" s="92">
        <f>IF(AG334&lt;0.005,0,MAX(0,AG334*(1+AG$6/12)-AG$7))</f>
        <v/>
      </c>
      <c r="X335" s="92">
        <f>IF(AH334&lt;0.005,0,MAX(0,AH334*(1+AH$6/12)-AH$7))</f>
        <v/>
      </c>
      <c r="Y335" s="92">
        <f>IF(AI334&lt;0.005,0,MAX(0,AI334*(1+AI$6/12)-AI$7))</f>
        <v/>
      </c>
      <c r="Z335" s="91">
        <f>MAX(0,P335-MAX(0,AK335-0))</f>
        <v/>
      </c>
      <c r="AA335" s="91">
        <f>MAX(0,Q335-MAX(0,AK335-SUM(P335:P335)))</f>
        <v/>
      </c>
      <c r="AB335" s="91">
        <f>MAX(0,R335-MAX(0,AK335-SUM(P335:Q335)))</f>
        <v/>
      </c>
      <c r="AC335" s="91">
        <f>MAX(0,S335-MAX(0,AK335-SUM(P335:R335)))</f>
        <v/>
      </c>
      <c r="AD335" s="91">
        <f>MAX(0,T335-MAX(0,AK335-SUM(P335:S335)))</f>
        <v/>
      </c>
      <c r="AE335" s="91">
        <f>MAX(0,U335-MAX(0,AK335-SUM(P335:T335)))</f>
        <v/>
      </c>
      <c r="AF335" s="91">
        <f>MAX(0,V335-MAX(0,AK335-SUM(P335:U335)))</f>
        <v/>
      </c>
      <c r="AG335" s="91">
        <f>MAX(0,W335-MAX(0,AK335-SUM(P335:V335)))</f>
        <v/>
      </c>
      <c r="AH335" s="91">
        <f>MAX(0,X335-MAX(0,AK335-SUM(P335:W335)))</f>
        <v/>
      </c>
      <c r="AI335" s="91">
        <f>MAX(0,Y335-MAX(0,AK335-SUM(P335:X335)))</f>
        <v/>
      </c>
      <c r="AJ335" s="92">
        <f>SUM(Z334:AI334)+AL335</f>
        <v/>
      </c>
      <c r="AK335" s="92">
        <f>$AK$7-(AJ335-SUM(P335:Y335))</f>
        <v/>
      </c>
      <c r="AL335" s="91">
        <f>SUMPRODUCT(Z334:AI334,$Z$6:$AI$6)/12</f>
        <v/>
      </c>
      <c r="AM335" s="88">
        <f>SUM(Z335:AI335)</f>
        <v/>
      </c>
      <c r="AO335" s="92">
        <f>IF(AY334&lt;0.005,0,MAX(0,AY334*(1+AY$6/12)-AY$7))</f>
        <v/>
      </c>
      <c r="AP335" s="92">
        <f>IF(AZ334&lt;0.005,0,MAX(0,AZ334*(1+AZ$6/12)-AZ$7))</f>
        <v/>
      </c>
      <c r="AQ335" s="92">
        <f>IF(BA334&lt;0.005,0,MAX(0,BA334*(1+BA$6/12)-BA$7))</f>
        <v/>
      </c>
      <c r="AR335" s="92">
        <f>IF(BB334&lt;0.005,0,MAX(0,BB334*(1+BB$6/12)-BB$7))</f>
        <v/>
      </c>
      <c r="AS335" s="92">
        <f>IF(BC334&lt;0.005,0,MAX(0,BC334*(1+BC$6/12)-BC$7))</f>
        <v/>
      </c>
      <c r="AT335" s="92">
        <f>IF(BD334&lt;0.005,0,MAX(0,BD334*(1+BD$6/12)-BD$7))</f>
        <v/>
      </c>
      <c r="AU335" s="92">
        <f>IF(BE334&lt;0.005,0,MAX(0,BE334*(1+BE$6/12)-BE$7))</f>
        <v/>
      </c>
      <c r="AV335" s="92">
        <f>IF(BF334&lt;0.005,0,MAX(0,BF334*(1+BF$6/12)-BF$7))</f>
        <v/>
      </c>
      <c r="AW335" s="92">
        <f>IF(BG334&lt;0.005,0,MAX(0,BG334*(1+BG$6/12)-BG$7))</f>
        <v/>
      </c>
      <c r="AX335" s="92">
        <f>IF(BH334&lt;0.005,0,MAX(0,BH334*(1+BH$6/12)-BH$7))</f>
        <v/>
      </c>
      <c r="AY335" s="91">
        <f>MAX(0,AO335-MAX(0,BJ335-0))</f>
        <v/>
      </c>
      <c r="AZ335" s="91">
        <f>MAX(0,AP335-MAX(0,BJ335-SUM(AO335:AO335)))</f>
        <v/>
      </c>
      <c r="BA335" s="91">
        <f>MAX(0,AQ335-MAX(0,BJ335-SUM(AO335:AP335)))</f>
        <v/>
      </c>
      <c r="BB335" s="91">
        <f>MAX(0,AR335-MAX(0,BJ335-SUM(AO335:AQ335)))</f>
        <v/>
      </c>
      <c r="BC335" s="91">
        <f>MAX(0,AS335-MAX(0,BJ335-SUM(AO335:AR335)))</f>
        <v/>
      </c>
      <c r="BD335" s="91">
        <f>MAX(0,AT335-MAX(0,BJ335-SUM(AO335:AS335)))</f>
        <v/>
      </c>
      <c r="BE335" s="91">
        <f>MAX(0,AU335-MAX(0,BJ335-SUM(AO335:AT335)))</f>
        <v/>
      </c>
      <c r="BF335" s="91">
        <f>MAX(0,AV335-MAX(0,BJ335-SUM(AO335:AU335)))</f>
        <v/>
      </c>
      <c r="BG335" s="91">
        <f>MAX(0,AW335-MAX(0,BJ335-SUM(AO335:AV335)))</f>
        <v/>
      </c>
      <c r="BH335" s="91">
        <f>MAX(0,AX335-MAX(0,BJ335-SUM(AO335:AW335)))</f>
        <v/>
      </c>
      <c r="BI335" s="92">
        <f>SUM(AY334:BH334)+BK335</f>
        <v/>
      </c>
      <c r="BJ335" s="92">
        <f>$BJ$7-(BI335-SUM(AO335:AX335))</f>
        <v/>
      </c>
      <c r="BK335" s="91">
        <f>SUMPRODUCT(AY334:BH334,$AY$6:$BH$6)/12</f>
        <v/>
      </c>
      <c r="BL335" s="88">
        <f>SUM(AY335:BH335)</f>
        <v/>
      </c>
    </row>
    <row r="336">
      <c r="A336" s="24" t="n">
        <v>326</v>
      </c>
      <c r="B336" s="90">
        <f>DATE(YEAR(Settings!$C$11),MONTH(Settings!$C$11)+A336,1)</f>
        <v/>
      </c>
      <c r="C336" s="91">
        <f>IF(C335&lt;0.005,0,MAX(0,C335*(1+C$6/12)-C$7))</f>
        <v/>
      </c>
      <c r="D336" s="91">
        <f>IF(D335&lt;0.005,0,MAX(0,D335*(1+D$6/12)-D$7))</f>
        <v/>
      </c>
      <c r="E336" s="91">
        <f>IF(E335&lt;0.005,0,MAX(0,E335*(1+E$6/12)-E$7))</f>
        <v/>
      </c>
      <c r="F336" s="91">
        <f>IF(F335&lt;0.005,0,MAX(0,F335*(1+F$6/12)-F$7))</f>
        <v/>
      </c>
      <c r="G336" s="91">
        <f>IF(G335&lt;0.005,0,MAX(0,G335*(1+G$6/12)-G$7))</f>
        <v/>
      </c>
      <c r="H336" s="91">
        <f>IF(H335&lt;0.005,0,MAX(0,H335*(1+H$6/12)-H$7))</f>
        <v/>
      </c>
      <c r="I336" s="91">
        <f>IF(I335&lt;0.005,0,MAX(0,I335*(1+I$6/12)-I$7))</f>
        <v/>
      </c>
      <c r="J336" s="91">
        <f>IF(J335&lt;0.005,0,MAX(0,J335*(1+J$6/12)-J$7))</f>
        <v/>
      </c>
      <c r="K336" s="91">
        <f>IF(K335&lt;0.005,0,MAX(0,K335*(1+K$6/12)-K$7))</f>
        <v/>
      </c>
      <c r="L336" s="91">
        <f>IF(L335&lt;0.005,0,MAX(0,L335*(1+L$6/12)-L$7))</f>
        <v/>
      </c>
      <c r="M336" s="91">
        <f>SUMPRODUCT(C335:L335,$C$6:$L$6)/12</f>
        <v/>
      </c>
      <c r="N336" s="88">
        <f>SUM(C336:L336)</f>
        <v/>
      </c>
      <c r="P336" s="92">
        <f>IF(Z335&lt;0.005,0,MAX(0,Z335*(1+Z$6/12)-Z$7))</f>
        <v/>
      </c>
      <c r="Q336" s="92">
        <f>IF(AA335&lt;0.005,0,MAX(0,AA335*(1+AA$6/12)-AA$7))</f>
        <v/>
      </c>
      <c r="R336" s="92">
        <f>IF(AB335&lt;0.005,0,MAX(0,AB335*(1+AB$6/12)-AB$7))</f>
        <v/>
      </c>
      <c r="S336" s="92">
        <f>IF(AC335&lt;0.005,0,MAX(0,AC335*(1+AC$6/12)-AC$7))</f>
        <v/>
      </c>
      <c r="T336" s="92">
        <f>IF(AD335&lt;0.005,0,MAX(0,AD335*(1+AD$6/12)-AD$7))</f>
        <v/>
      </c>
      <c r="U336" s="92">
        <f>IF(AE335&lt;0.005,0,MAX(0,AE335*(1+AE$6/12)-AE$7))</f>
        <v/>
      </c>
      <c r="V336" s="92">
        <f>IF(AF335&lt;0.005,0,MAX(0,AF335*(1+AF$6/12)-AF$7))</f>
        <v/>
      </c>
      <c r="W336" s="92">
        <f>IF(AG335&lt;0.005,0,MAX(0,AG335*(1+AG$6/12)-AG$7))</f>
        <v/>
      </c>
      <c r="X336" s="92">
        <f>IF(AH335&lt;0.005,0,MAX(0,AH335*(1+AH$6/12)-AH$7))</f>
        <v/>
      </c>
      <c r="Y336" s="92">
        <f>IF(AI335&lt;0.005,0,MAX(0,AI335*(1+AI$6/12)-AI$7))</f>
        <v/>
      </c>
      <c r="Z336" s="91">
        <f>MAX(0,P336-MAX(0,AK336-0))</f>
        <v/>
      </c>
      <c r="AA336" s="91">
        <f>MAX(0,Q336-MAX(0,AK336-SUM(P336:P336)))</f>
        <v/>
      </c>
      <c r="AB336" s="91">
        <f>MAX(0,R336-MAX(0,AK336-SUM(P336:Q336)))</f>
        <v/>
      </c>
      <c r="AC336" s="91">
        <f>MAX(0,S336-MAX(0,AK336-SUM(P336:R336)))</f>
        <v/>
      </c>
      <c r="AD336" s="91">
        <f>MAX(0,T336-MAX(0,AK336-SUM(P336:S336)))</f>
        <v/>
      </c>
      <c r="AE336" s="91">
        <f>MAX(0,U336-MAX(0,AK336-SUM(P336:T336)))</f>
        <v/>
      </c>
      <c r="AF336" s="91">
        <f>MAX(0,V336-MAX(0,AK336-SUM(P336:U336)))</f>
        <v/>
      </c>
      <c r="AG336" s="91">
        <f>MAX(0,W336-MAX(0,AK336-SUM(P336:V336)))</f>
        <v/>
      </c>
      <c r="AH336" s="91">
        <f>MAX(0,X336-MAX(0,AK336-SUM(P336:W336)))</f>
        <v/>
      </c>
      <c r="AI336" s="91">
        <f>MAX(0,Y336-MAX(0,AK336-SUM(P336:X336)))</f>
        <v/>
      </c>
      <c r="AJ336" s="92">
        <f>SUM(Z335:AI335)+AL336</f>
        <v/>
      </c>
      <c r="AK336" s="92">
        <f>$AK$7-(AJ336-SUM(P336:Y336))</f>
        <v/>
      </c>
      <c r="AL336" s="91">
        <f>SUMPRODUCT(Z335:AI335,$Z$6:$AI$6)/12</f>
        <v/>
      </c>
      <c r="AM336" s="88">
        <f>SUM(Z336:AI336)</f>
        <v/>
      </c>
      <c r="AO336" s="92">
        <f>IF(AY335&lt;0.005,0,MAX(0,AY335*(1+AY$6/12)-AY$7))</f>
        <v/>
      </c>
      <c r="AP336" s="92">
        <f>IF(AZ335&lt;0.005,0,MAX(0,AZ335*(1+AZ$6/12)-AZ$7))</f>
        <v/>
      </c>
      <c r="AQ336" s="92">
        <f>IF(BA335&lt;0.005,0,MAX(0,BA335*(1+BA$6/12)-BA$7))</f>
        <v/>
      </c>
      <c r="AR336" s="92">
        <f>IF(BB335&lt;0.005,0,MAX(0,BB335*(1+BB$6/12)-BB$7))</f>
        <v/>
      </c>
      <c r="AS336" s="92">
        <f>IF(BC335&lt;0.005,0,MAX(0,BC335*(1+BC$6/12)-BC$7))</f>
        <v/>
      </c>
      <c r="AT336" s="92">
        <f>IF(BD335&lt;0.005,0,MAX(0,BD335*(1+BD$6/12)-BD$7))</f>
        <v/>
      </c>
      <c r="AU336" s="92">
        <f>IF(BE335&lt;0.005,0,MAX(0,BE335*(1+BE$6/12)-BE$7))</f>
        <v/>
      </c>
      <c r="AV336" s="92">
        <f>IF(BF335&lt;0.005,0,MAX(0,BF335*(1+BF$6/12)-BF$7))</f>
        <v/>
      </c>
      <c r="AW336" s="92">
        <f>IF(BG335&lt;0.005,0,MAX(0,BG335*(1+BG$6/12)-BG$7))</f>
        <v/>
      </c>
      <c r="AX336" s="92">
        <f>IF(BH335&lt;0.005,0,MAX(0,BH335*(1+BH$6/12)-BH$7))</f>
        <v/>
      </c>
      <c r="AY336" s="91">
        <f>MAX(0,AO336-MAX(0,BJ336-0))</f>
        <v/>
      </c>
      <c r="AZ336" s="91">
        <f>MAX(0,AP336-MAX(0,BJ336-SUM(AO336:AO336)))</f>
        <v/>
      </c>
      <c r="BA336" s="91">
        <f>MAX(0,AQ336-MAX(0,BJ336-SUM(AO336:AP336)))</f>
        <v/>
      </c>
      <c r="BB336" s="91">
        <f>MAX(0,AR336-MAX(0,BJ336-SUM(AO336:AQ336)))</f>
        <v/>
      </c>
      <c r="BC336" s="91">
        <f>MAX(0,AS336-MAX(0,BJ336-SUM(AO336:AR336)))</f>
        <v/>
      </c>
      <c r="BD336" s="91">
        <f>MAX(0,AT336-MAX(0,BJ336-SUM(AO336:AS336)))</f>
        <v/>
      </c>
      <c r="BE336" s="91">
        <f>MAX(0,AU336-MAX(0,BJ336-SUM(AO336:AT336)))</f>
        <v/>
      </c>
      <c r="BF336" s="91">
        <f>MAX(0,AV336-MAX(0,BJ336-SUM(AO336:AU336)))</f>
        <v/>
      </c>
      <c r="BG336" s="91">
        <f>MAX(0,AW336-MAX(0,BJ336-SUM(AO336:AV336)))</f>
        <v/>
      </c>
      <c r="BH336" s="91">
        <f>MAX(0,AX336-MAX(0,BJ336-SUM(AO336:AW336)))</f>
        <v/>
      </c>
      <c r="BI336" s="92">
        <f>SUM(AY335:BH335)+BK336</f>
        <v/>
      </c>
      <c r="BJ336" s="92">
        <f>$BJ$7-(BI336-SUM(AO336:AX336))</f>
        <v/>
      </c>
      <c r="BK336" s="91">
        <f>SUMPRODUCT(AY335:BH335,$AY$6:$BH$6)/12</f>
        <v/>
      </c>
      <c r="BL336" s="88">
        <f>SUM(AY336:BH336)</f>
        <v/>
      </c>
    </row>
    <row r="337">
      <c r="A337" s="24" t="n">
        <v>327</v>
      </c>
      <c r="B337" s="90">
        <f>DATE(YEAR(Settings!$C$11),MONTH(Settings!$C$11)+A337,1)</f>
        <v/>
      </c>
      <c r="C337" s="91">
        <f>IF(C336&lt;0.005,0,MAX(0,C336*(1+C$6/12)-C$7))</f>
        <v/>
      </c>
      <c r="D337" s="91">
        <f>IF(D336&lt;0.005,0,MAX(0,D336*(1+D$6/12)-D$7))</f>
        <v/>
      </c>
      <c r="E337" s="91">
        <f>IF(E336&lt;0.005,0,MAX(0,E336*(1+E$6/12)-E$7))</f>
        <v/>
      </c>
      <c r="F337" s="91">
        <f>IF(F336&lt;0.005,0,MAX(0,F336*(1+F$6/12)-F$7))</f>
        <v/>
      </c>
      <c r="G337" s="91">
        <f>IF(G336&lt;0.005,0,MAX(0,G336*(1+G$6/12)-G$7))</f>
        <v/>
      </c>
      <c r="H337" s="91">
        <f>IF(H336&lt;0.005,0,MAX(0,H336*(1+H$6/12)-H$7))</f>
        <v/>
      </c>
      <c r="I337" s="91">
        <f>IF(I336&lt;0.005,0,MAX(0,I336*(1+I$6/12)-I$7))</f>
        <v/>
      </c>
      <c r="J337" s="91">
        <f>IF(J336&lt;0.005,0,MAX(0,J336*(1+J$6/12)-J$7))</f>
        <v/>
      </c>
      <c r="K337" s="91">
        <f>IF(K336&lt;0.005,0,MAX(0,K336*(1+K$6/12)-K$7))</f>
        <v/>
      </c>
      <c r="L337" s="91">
        <f>IF(L336&lt;0.005,0,MAX(0,L336*(1+L$6/12)-L$7))</f>
        <v/>
      </c>
      <c r="M337" s="91">
        <f>SUMPRODUCT(C336:L336,$C$6:$L$6)/12</f>
        <v/>
      </c>
      <c r="N337" s="88">
        <f>SUM(C337:L337)</f>
        <v/>
      </c>
      <c r="P337" s="92">
        <f>IF(Z336&lt;0.005,0,MAX(0,Z336*(1+Z$6/12)-Z$7))</f>
        <v/>
      </c>
      <c r="Q337" s="92">
        <f>IF(AA336&lt;0.005,0,MAX(0,AA336*(1+AA$6/12)-AA$7))</f>
        <v/>
      </c>
      <c r="R337" s="92">
        <f>IF(AB336&lt;0.005,0,MAX(0,AB336*(1+AB$6/12)-AB$7))</f>
        <v/>
      </c>
      <c r="S337" s="92">
        <f>IF(AC336&lt;0.005,0,MAX(0,AC336*(1+AC$6/12)-AC$7))</f>
        <v/>
      </c>
      <c r="T337" s="92">
        <f>IF(AD336&lt;0.005,0,MAX(0,AD336*(1+AD$6/12)-AD$7))</f>
        <v/>
      </c>
      <c r="U337" s="92">
        <f>IF(AE336&lt;0.005,0,MAX(0,AE336*(1+AE$6/12)-AE$7))</f>
        <v/>
      </c>
      <c r="V337" s="92">
        <f>IF(AF336&lt;0.005,0,MAX(0,AF336*(1+AF$6/12)-AF$7))</f>
        <v/>
      </c>
      <c r="W337" s="92">
        <f>IF(AG336&lt;0.005,0,MAX(0,AG336*(1+AG$6/12)-AG$7))</f>
        <v/>
      </c>
      <c r="X337" s="92">
        <f>IF(AH336&lt;0.005,0,MAX(0,AH336*(1+AH$6/12)-AH$7))</f>
        <v/>
      </c>
      <c r="Y337" s="92">
        <f>IF(AI336&lt;0.005,0,MAX(0,AI336*(1+AI$6/12)-AI$7))</f>
        <v/>
      </c>
      <c r="Z337" s="91">
        <f>MAX(0,P337-MAX(0,AK337-0))</f>
        <v/>
      </c>
      <c r="AA337" s="91">
        <f>MAX(0,Q337-MAX(0,AK337-SUM(P337:P337)))</f>
        <v/>
      </c>
      <c r="AB337" s="91">
        <f>MAX(0,R337-MAX(0,AK337-SUM(P337:Q337)))</f>
        <v/>
      </c>
      <c r="AC337" s="91">
        <f>MAX(0,S337-MAX(0,AK337-SUM(P337:R337)))</f>
        <v/>
      </c>
      <c r="AD337" s="91">
        <f>MAX(0,T337-MAX(0,AK337-SUM(P337:S337)))</f>
        <v/>
      </c>
      <c r="AE337" s="91">
        <f>MAX(0,U337-MAX(0,AK337-SUM(P337:T337)))</f>
        <v/>
      </c>
      <c r="AF337" s="91">
        <f>MAX(0,V337-MAX(0,AK337-SUM(P337:U337)))</f>
        <v/>
      </c>
      <c r="AG337" s="91">
        <f>MAX(0,W337-MAX(0,AK337-SUM(P337:V337)))</f>
        <v/>
      </c>
      <c r="AH337" s="91">
        <f>MAX(0,X337-MAX(0,AK337-SUM(P337:W337)))</f>
        <v/>
      </c>
      <c r="AI337" s="91">
        <f>MAX(0,Y337-MAX(0,AK337-SUM(P337:X337)))</f>
        <v/>
      </c>
      <c r="AJ337" s="92">
        <f>SUM(Z336:AI336)+AL337</f>
        <v/>
      </c>
      <c r="AK337" s="92">
        <f>$AK$7-(AJ337-SUM(P337:Y337))</f>
        <v/>
      </c>
      <c r="AL337" s="91">
        <f>SUMPRODUCT(Z336:AI336,$Z$6:$AI$6)/12</f>
        <v/>
      </c>
      <c r="AM337" s="88">
        <f>SUM(Z337:AI337)</f>
        <v/>
      </c>
      <c r="AO337" s="92">
        <f>IF(AY336&lt;0.005,0,MAX(0,AY336*(1+AY$6/12)-AY$7))</f>
        <v/>
      </c>
      <c r="AP337" s="92">
        <f>IF(AZ336&lt;0.005,0,MAX(0,AZ336*(1+AZ$6/12)-AZ$7))</f>
        <v/>
      </c>
      <c r="AQ337" s="92">
        <f>IF(BA336&lt;0.005,0,MAX(0,BA336*(1+BA$6/12)-BA$7))</f>
        <v/>
      </c>
      <c r="AR337" s="92">
        <f>IF(BB336&lt;0.005,0,MAX(0,BB336*(1+BB$6/12)-BB$7))</f>
        <v/>
      </c>
      <c r="AS337" s="92">
        <f>IF(BC336&lt;0.005,0,MAX(0,BC336*(1+BC$6/12)-BC$7))</f>
        <v/>
      </c>
      <c r="AT337" s="92">
        <f>IF(BD336&lt;0.005,0,MAX(0,BD336*(1+BD$6/12)-BD$7))</f>
        <v/>
      </c>
      <c r="AU337" s="92">
        <f>IF(BE336&lt;0.005,0,MAX(0,BE336*(1+BE$6/12)-BE$7))</f>
        <v/>
      </c>
      <c r="AV337" s="92">
        <f>IF(BF336&lt;0.005,0,MAX(0,BF336*(1+BF$6/12)-BF$7))</f>
        <v/>
      </c>
      <c r="AW337" s="92">
        <f>IF(BG336&lt;0.005,0,MAX(0,BG336*(1+BG$6/12)-BG$7))</f>
        <v/>
      </c>
      <c r="AX337" s="92">
        <f>IF(BH336&lt;0.005,0,MAX(0,BH336*(1+BH$6/12)-BH$7))</f>
        <v/>
      </c>
      <c r="AY337" s="91">
        <f>MAX(0,AO337-MAX(0,BJ337-0))</f>
        <v/>
      </c>
      <c r="AZ337" s="91">
        <f>MAX(0,AP337-MAX(0,BJ337-SUM(AO337:AO337)))</f>
        <v/>
      </c>
      <c r="BA337" s="91">
        <f>MAX(0,AQ337-MAX(0,BJ337-SUM(AO337:AP337)))</f>
        <v/>
      </c>
      <c r="BB337" s="91">
        <f>MAX(0,AR337-MAX(0,BJ337-SUM(AO337:AQ337)))</f>
        <v/>
      </c>
      <c r="BC337" s="91">
        <f>MAX(0,AS337-MAX(0,BJ337-SUM(AO337:AR337)))</f>
        <v/>
      </c>
      <c r="BD337" s="91">
        <f>MAX(0,AT337-MAX(0,BJ337-SUM(AO337:AS337)))</f>
        <v/>
      </c>
      <c r="BE337" s="91">
        <f>MAX(0,AU337-MAX(0,BJ337-SUM(AO337:AT337)))</f>
        <v/>
      </c>
      <c r="BF337" s="91">
        <f>MAX(0,AV337-MAX(0,BJ337-SUM(AO337:AU337)))</f>
        <v/>
      </c>
      <c r="BG337" s="91">
        <f>MAX(0,AW337-MAX(0,BJ337-SUM(AO337:AV337)))</f>
        <v/>
      </c>
      <c r="BH337" s="91">
        <f>MAX(0,AX337-MAX(0,BJ337-SUM(AO337:AW337)))</f>
        <v/>
      </c>
      <c r="BI337" s="92">
        <f>SUM(AY336:BH336)+BK337</f>
        <v/>
      </c>
      <c r="BJ337" s="92">
        <f>$BJ$7-(BI337-SUM(AO337:AX337))</f>
        <v/>
      </c>
      <c r="BK337" s="91">
        <f>SUMPRODUCT(AY336:BH336,$AY$6:$BH$6)/12</f>
        <v/>
      </c>
      <c r="BL337" s="88">
        <f>SUM(AY337:BH337)</f>
        <v/>
      </c>
    </row>
    <row r="338">
      <c r="A338" s="24" t="n">
        <v>328</v>
      </c>
      <c r="B338" s="90">
        <f>DATE(YEAR(Settings!$C$11),MONTH(Settings!$C$11)+A338,1)</f>
        <v/>
      </c>
      <c r="C338" s="91">
        <f>IF(C337&lt;0.005,0,MAX(0,C337*(1+C$6/12)-C$7))</f>
        <v/>
      </c>
      <c r="D338" s="91">
        <f>IF(D337&lt;0.005,0,MAX(0,D337*(1+D$6/12)-D$7))</f>
        <v/>
      </c>
      <c r="E338" s="91">
        <f>IF(E337&lt;0.005,0,MAX(0,E337*(1+E$6/12)-E$7))</f>
        <v/>
      </c>
      <c r="F338" s="91">
        <f>IF(F337&lt;0.005,0,MAX(0,F337*(1+F$6/12)-F$7))</f>
        <v/>
      </c>
      <c r="G338" s="91">
        <f>IF(G337&lt;0.005,0,MAX(0,G337*(1+G$6/12)-G$7))</f>
        <v/>
      </c>
      <c r="H338" s="91">
        <f>IF(H337&lt;0.005,0,MAX(0,H337*(1+H$6/12)-H$7))</f>
        <v/>
      </c>
      <c r="I338" s="91">
        <f>IF(I337&lt;0.005,0,MAX(0,I337*(1+I$6/12)-I$7))</f>
        <v/>
      </c>
      <c r="J338" s="91">
        <f>IF(J337&lt;0.005,0,MAX(0,J337*(1+J$6/12)-J$7))</f>
        <v/>
      </c>
      <c r="K338" s="91">
        <f>IF(K337&lt;0.005,0,MAX(0,K337*(1+K$6/12)-K$7))</f>
        <v/>
      </c>
      <c r="L338" s="91">
        <f>IF(L337&lt;0.005,0,MAX(0,L337*(1+L$6/12)-L$7))</f>
        <v/>
      </c>
      <c r="M338" s="91">
        <f>SUMPRODUCT(C337:L337,$C$6:$L$6)/12</f>
        <v/>
      </c>
      <c r="N338" s="88">
        <f>SUM(C338:L338)</f>
        <v/>
      </c>
      <c r="P338" s="92">
        <f>IF(Z337&lt;0.005,0,MAX(0,Z337*(1+Z$6/12)-Z$7))</f>
        <v/>
      </c>
      <c r="Q338" s="92">
        <f>IF(AA337&lt;0.005,0,MAX(0,AA337*(1+AA$6/12)-AA$7))</f>
        <v/>
      </c>
      <c r="R338" s="92">
        <f>IF(AB337&lt;0.005,0,MAX(0,AB337*(1+AB$6/12)-AB$7))</f>
        <v/>
      </c>
      <c r="S338" s="92">
        <f>IF(AC337&lt;0.005,0,MAX(0,AC337*(1+AC$6/12)-AC$7))</f>
        <v/>
      </c>
      <c r="T338" s="92">
        <f>IF(AD337&lt;0.005,0,MAX(0,AD337*(1+AD$6/12)-AD$7))</f>
        <v/>
      </c>
      <c r="U338" s="92">
        <f>IF(AE337&lt;0.005,0,MAX(0,AE337*(1+AE$6/12)-AE$7))</f>
        <v/>
      </c>
      <c r="V338" s="92">
        <f>IF(AF337&lt;0.005,0,MAX(0,AF337*(1+AF$6/12)-AF$7))</f>
        <v/>
      </c>
      <c r="W338" s="92">
        <f>IF(AG337&lt;0.005,0,MAX(0,AG337*(1+AG$6/12)-AG$7))</f>
        <v/>
      </c>
      <c r="X338" s="92">
        <f>IF(AH337&lt;0.005,0,MAX(0,AH337*(1+AH$6/12)-AH$7))</f>
        <v/>
      </c>
      <c r="Y338" s="92">
        <f>IF(AI337&lt;0.005,0,MAX(0,AI337*(1+AI$6/12)-AI$7))</f>
        <v/>
      </c>
      <c r="Z338" s="91">
        <f>MAX(0,P338-MAX(0,AK338-0))</f>
        <v/>
      </c>
      <c r="AA338" s="91">
        <f>MAX(0,Q338-MAX(0,AK338-SUM(P338:P338)))</f>
        <v/>
      </c>
      <c r="AB338" s="91">
        <f>MAX(0,R338-MAX(0,AK338-SUM(P338:Q338)))</f>
        <v/>
      </c>
      <c r="AC338" s="91">
        <f>MAX(0,S338-MAX(0,AK338-SUM(P338:R338)))</f>
        <v/>
      </c>
      <c r="AD338" s="91">
        <f>MAX(0,T338-MAX(0,AK338-SUM(P338:S338)))</f>
        <v/>
      </c>
      <c r="AE338" s="91">
        <f>MAX(0,U338-MAX(0,AK338-SUM(P338:T338)))</f>
        <v/>
      </c>
      <c r="AF338" s="91">
        <f>MAX(0,V338-MAX(0,AK338-SUM(P338:U338)))</f>
        <v/>
      </c>
      <c r="AG338" s="91">
        <f>MAX(0,W338-MAX(0,AK338-SUM(P338:V338)))</f>
        <v/>
      </c>
      <c r="AH338" s="91">
        <f>MAX(0,X338-MAX(0,AK338-SUM(P338:W338)))</f>
        <v/>
      </c>
      <c r="AI338" s="91">
        <f>MAX(0,Y338-MAX(0,AK338-SUM(P338:X338)))</f>
        <v/>
      </c>
      <c r="AJ338" s="92">
        <f>SUM(Z337:AI337)+AL338</f>
        <v/>
      </c>
      <c r="AK338" s="92">
        <f>$AK$7-(AJ338-SUM(P338:Y338))</f>
        <v/>
      </c>
      <c r="AL338" s="91">
        <f>SUMPRODUCT(Z337:AI337,$Z$6:$AI$6)/12</f>
        <v/>
      </c>
      <c r="AM338" s="88">
        <f>SUM(Z338:AI338)</f>
        <v/>
      </c>
      <c r="AO338" s="92">
        <f>IF(AY337&lt;0.005,0,MAX(0,AY337*(1+AY$6/12)-AY$7))</f>
        <v/>
      </c>
      <c r="AP338" s="92">
        <f>IF(AZ337&lt;0.005,0,MAX(0,AZ337*(1+AZ$6/12)-AZ$7))</f>
        <v/>
      </c>
      <c r="AQ338" s="92">
        <f>IF(BA337&lt;0.005,0,MAX(0,BA337*(1+BA$6/12)-BA$7))</f>
        <v/>
      </c>
      <c r="AR338" s="92">
        <f>IF(BB337&lt;0.005,0,MAX(0,BB337*(1+BB$6/12)-BB$7))</f>
        <v/>
      </c>
      <c r="AS338" s="92">
        <f>IF(BC337&lt;0.005,0,MAX(0,BC337*(1+BC$6/12)-BC$7))</f>
        <v/>
      </c>
      <c r="AT338" s="92">
        <f>IF(BD337&lt;0.005,0,MAX(0,BD337*(1+BD$6/12)-BD$7))</f>
        <v/>
      </c>
      <c r="AU338" s="92">
        <f>IF(BE337&lt;0.005,0,MAX(0,BE337*(1+BE$6/12)-BE$7))</f>
        <v/>
      </c>
      <c r="AV338" s="92">
        <f>IF(BF337&lt;0.005,0,MAX(0,BF337*(1+BF$6/12)-BF$7))</f>
        <v/>
      </c>
      <c r="AW338" s="92">
        <f>IF(BG337&lt;0.005,0,MAX(0,BG337*(1+BG$6/12)-BG$7))</f>
        <v/>
      </c>
      <c r="AX338" s="92">
        <f>IF(BH337&lt;0.005,0,MAX(0,BH337*(1+BH$6/12)-BH$7))</f>
        <v/>
      </c>
      <c r="AY338" s="91">
        <f>MAX(0,AO338-MAX(0,BJ338-0))</f>
        <v/>
      </c>
      <c r="AZ338" s="91">
        <f>MAX(0,AP338-MAX(0,BJ338-SUM(AO338:AO338)))</f>
        <v/>
      </c>
      <c r="BA338" s="91">
        <f>MAX(0,AQ338-MAX(0,BJ338-SUM(AO338:AP338)))</f>
        <v/>
      </c>
      <c r="BB338" s="91">
        <f>MAX(0,AR338-MAX(0,BJ338-SUM(AO338:AQ338)))</f>
        <v/>
      </c>
      <c r="BC338" s="91">
        <f>MAX(0,AS338-MAX(0,BJ338-SUM(AO338:AR338)))</f>
        <v/>
      </c>
      <c r="BD338" s="91">
        <f>MAX(0,AT338-MAX(0,BJ338-SUM(AO338:AS338)))</f>
        <v/>
      </c>
      <c r="BE338" s="91">
        <f>MAX(0,AU338-MAX(0,BJ338-SUM(AO338:AT338)))</f>
        <v/>
      </c>
      <c r="BF338" s="91">
        <f>MAX(0,AV338-MAX(0,BJ338-SUM(AO338:AU338)))</f>
        <v/>
      </c>
      <c r="BG338" s="91">
        <f>MAX(0,AW338-MAX(0,BJ338-SUM(AO338:AV338)))</f>
        <v/>
      </c>
      <c r="BH338" s="91">
        <f>MAX(0,AX338-MAX(0,BJ338-SUM(AO338:AW338)))</f>
        <v/>
      </c>
      <c r="BI338" s="92">
        <f>SUM(AY337:BH337)+BK338</f>
        <v/>
      </c>
      <c r="BJ338" s="92">
        <f>$BJ$7-(BI338-SUM(AO338:AX338))</f>
        <v/>
      </c>
      <c r="BK338" s="91">
        <f>SUMPRODUCT(AY337:BH337,$AY$6:$BH$6)/12</f>
        <v/>
      </c>
      <c r="BL338" s="88">
        <f>SUM(AY338:BH338)</f>
        <v/>
      </c>
    </row>
    <row r="339">
      <c r="A339" s="24" t="n">
        <v>329</v>
      </c>
      <c r="B339" s="90">
        <f>DATE(YEAR(Settings!$C$11),MONTH(Settings!$C$11)+A339,1)</f>
        <v/>
      </c>
      <c r="C339" s="91">
        <f>IF(C338&lt;0.005,0,MAX(0,C338*(1+C$6/12)-C$7))</f>
        <v/>
      </c>
      <c r="D339" s="91">
        <f>IF(D338&lt;0.005,0,MAX(0,D338*(1+D$6/12)-D$7))</f>
        <v/>
      </c>
      <c r="E339" s="91">
        <f>IF(E338&lt;0.005,0,MAX(0,E338*(1+E$6/12)-E$7))</f>
        <v/>
      </c>
      <c r="F339" s="91">
        <f>IF(F338&lt;0.005,0,MAX(0,F338*(1+F$6/12)-F$7))</f>
        <v/>
      </c>
      <c r="G339" s="91">
        <f>IF(G338&lt;0.005,0,MAX(0,G338*(1+G$6/12)-G$7))</f>
        <v/>
      </c>
      <c r="H339" s="91">
        <f>IF(H338&lt;0.005,0,MAX(0,H338*(1+H$6/12)-H$7))</f>
        <v/>
      </c>
      <c r="I339" s="91">
        <f>IF(I338&lt;0.005,0,MAX(0,I338*(1+I$6/12)-I$7))</f>
        <v/>
      </c>
      <c r="J339" s="91">
        <f>IF(J338&lt;0.005,0,MAX(0,J338*(1+J$6/12)-J$7))</f>
        <v/>
      </c>
      <c r="K339" s="91">
        <f>IF(K338&lt;0.005,0,MAX(0,K338*(1+K$6/12)-K$7))</f>
        <v/>
      </c>
      <c r="L339" s="91">
        <f>IF(L338&lt;0.005,0,MAX(0,L338*(1+L$6/12)-L$7))</f>
        <v/>
      </c>
      <c r="M339" s="91">
        <f>SUMPRODUCT(C338:L338,$C$6:$L$6)/12</f>
        <v/>
      </c>
      <c r="N339" s="88">
        <f>SUM(C339:L339)</f>
        <v/>
      </c>
      <c r="P339" s="92">
        <f>IF(Z338&lt;0.005,0,MAX(0,Z338*(1+Z$6/12)-Z$7))</f>
        <v/>
      </c>
      <c r="Q339" s="92">
        <f>IF(AA338&lt;0.005,0,MAX(0,AA338*(1+AA$6/12)-AA$7))</f>
        <v/>
      </c>
      <c r="R339" s="92">
        <f>IF(AB338&lt;0.005,0,MAX(0,AB338*(1+AB$6/12)-AB$7))</f>
        <v/>
      </c>
      <c r="S339" s="92">
        <f>IF(AC338&lt;0.005,0,MAX(0,AC338*(1+AC$6/12)-AC$7))</f>
        <v/>
      </c>
      <c r="T339" s="92">
        <f>IF(AD338&lt;0.005,0,MAX(0,AD338*(1+AD$6/12)-AD$7))</f>
        <v/>
      </c>
      <c r="U339" s="92">
        <f>IF(AE338&lt;0.005,0,MAX(0,AE338*(1+AE$6/12)-AE$7))</f>
        <v/>
      </c>
      <c r="V339" s="92">
        <f>IF(AF338&lt;0.005,0,MAX(0,AF338*(1+AF$6/12)-AF$7))</f>
        <v/>
      </c>
      <c r="W339" s="92">
        <f>IF(AG338&lt;0.005,0,MAX(0,AG338*(1+AG$6/12)-AG$7))</f>
        <v/>
      </c>
      <c r="X339" s="92">
        <f>IF(AH338&lt;0.005,0,MAX(0,AH338*(1+AH$6/12)-AH$7))</f>
        <v/>
      </c>
      <c r="Y339" s="92">
        <f>IF(AI338&lt;0.005,0,MAX(0,AI338*(1+AI$6/12)-AI$7))</f>
        <v/>
      </c>
      <c r="Z339" s="91">
        <f>MAX(0,P339-MAX(0,AK339-0))</f>
        <v/>
      </c>
      <c r="AA339" s="91">
        <f>MAX(0,Q339-MAX(0,AK339-SUM(P339:P339)))</f>
        <v/>
      </c>
      <c r="AB339" s="91">
        <f>MAX(0,R339-MAX(0,AK339-SUM(P339:Q339)))</f>
        <v/>
      </c>
      <c r="AC339" s="91">
        <f>MAX(0,S339-MAX(0,AK339-SUM(P339:R339)))</f>
        <v/>
      </c>
      <c r="AD339" s="91">
        <f>MAX(0,T339-MAX(0,AK339-SUM(P339:S339)))</f>
        <v/>
      </c>
      <c r="AE339" s="91">
        <f>MAX(0,U339-MAX(0,AK339-SUM(P339:T339)))</f>
        <v/>
      </c>
      <c r="AF339" s="91">
        <f>MAX(0,V339-MAX(0,AK339-SUM(P339:U339)))</f>
        <v/>
      </c>
      <c r="AG339" s="91">
        <f>MAX(0,W339-MAX(0,AK339-SUM(P339:V339)))</f>
        <v/>
      </c>
      <c r="AH339" s="91">
        <f>MAX(0,X339-MAX(0,AK339-SUM(P339:W339)))</f>
        <v/>
      </c>
      <c r="AI339" s="91">
        <f>MAX(0,Y339-MAX(0,AK339-SUM(P339:X339)))</f>
        <v/>
      </c>
      <c r="AJ339" s="92">
        <f>SUM(Z338:AI338)+AL339</f>
        <v/>
      </c>
      <c r="AK339" s="92">
        <f>$AK$7-(AJ339-SUM(P339:Y339))</f>
        <v/>
      </c>
      <c r="AL339" s="91">
        <f>SUMPRODUCT(Z338:AI338,$Z$6:$AI$6)/12</f>
        <v/>
      </c>
      <c r="AM339" s="88">
        <f>SUM(Z339:AI339)</f>
        <v/>
      </c>
      <c r="AO339" s="92">
        <f>IF(AY338&lt;0.005,0,MAX(0,AY338*(1+AY$6/12)-AY$7))</f>
        <v/>
      </c>
      <c r="AP339" s="92">
        <f>IF(AZ338&lt;0.005,0,MAX(0,AZ338*(1+AZ$6/12)-AZ$7))</f>
        <v/>
      </c>
      <c r="AQ339" s="92">
        <f>IF(BA338&lt;0.005,0,MAX(0,BA338*(1+BA$6/12)-BA$7))</f>
        <v/>
      </c>
      <c r="AR339" s="92">
        <f>IF(BB338&lt;0.005,0,MAX(0,BB338*(1+BB$6/12)-BB$7))</f>
        <v/>
      </c>
      <c r="AS339" s="92">
        <f>IF(BC338&lt;0.005,0,MAX(0,BC338*(1+BC$6/12)-BC$7))</f>
        <v/>
      </c>
      <c r="AT339" s="92">
        <f>IF(BD338&lt;0.005,0,MAX(0,BD338*(1+BD$6/12)-BD$7))</f>
        <v/>
      </c>
      <c r="AU339" s="92">
        <f>IF(BE338&lt;0.005,0,MAX(0,BE338*(1+BE$6/12)-BE$7))</f>
        <v/>
      </c>
      <c r="AV339" s="92">
        <f>IF(BF338&lt;0.005,0,MAX(0,BF338*(1+BF$6/12)-BF$7))</f>
        <v/>
      </c>
      <c r="AW339" s="92">
        <f>IF(BG338&lt;0.005,0,MAX(0,BG338*(1+BG$6/12)-BG$7))</f>
        <v/>
      </c>
      <c r="AX339" s="92">
        <f>IF(BH338&lt;0.005,0,MAX(0,BH338*(1+BH$6/12)-BH$7))</f>
        <v/>
      </c>
      <c r="AY339" s="91">
        <f>MAX(0,AO339-MAX(0,BJ339-0))</f>
        <v/>
      </c>
      <c r="AZ339" s="91">
        <f>MAX(0,AP339-MAX(0,BJ339-SUM(AO339:AO339)))</f>
        <v/>
      </c>
      <c r="BA339" s="91">
        <f>MAX(0,AQ339-MAX(0,BJ339-SUM(AO339:AP339)))</f>
        <v/>
      </c>
      <c r="BB339" s="91">
        <f>MAX(0,AR339-MAX(0,BJ339-SUM(AO339:AQ339)))</f>
        <v/>
      </c>
      <c r="BC339" s="91">
        <f>MAX(0,AS339-MAX(0,BJ339-SUM(AO339:AR339)))</f>
        <v/>
      </c>
      <c r="BD339" s="91">
        <f>MAX(0,AT339-MAX(0,BJ339-SUM(AO339:AS339)))</f>
        <v/>
      </c>
      <c r="BE339" s="91">
        <f>MAX(0,AU339-MAX(0,BJ339-SUM(AO339:AT339)))</f>
        <v/>
      </c>
      <c r="BF339" s="91">
        <f>MAX(0,AV339-MAX(0,BJ339-SUM(AO339:AU339)))</f>
        <v/>
      </c>
      <c r="BG339" s="91">
        <f>MAX(0,AW339-MAX(0,BJ339-SUM(AO339:AV339)))</f>
        <v/>
      </c>
      <c r="BH339" s="91">
        <f>MAX(0,AX339-MAX(0,BJ339-SUM(AO339:AW339)))</f>
        <v/>
      </c>
      <c r="BI339" s="92">
        <f>SUM(AY338:BH338)+BK339</f>
        <v/>
      </c>
      <c r="BJ339" s="92">
        <f>$BJ$7-(BI339-SUM(AO339:AX339))</f>
        <v/>
      </c>
      <c r="BK339" s="91">
        <f>SUMPRODUCT(AY338:BH338,$AY$6:$BH$6)/12</f>
        <v/>
      </c>
      <c r="BL339" s="88">
        <f>SUM(AY339:BH339)</f>
        <v/>
      </c>
    </row>
    <row r="340">
      <c r="A340" s="24" t="n">
        <v>330</v>
      </c>
      <c r="B340" s="90">
        <f>DATE(YEAR(Settings!$C$11),MONTH(Settings!$C$11)+A340,1)</f>
        <v/>
      </c>
      <c r="C340" s="91">
        <f>IF(C339&lt;0.005,0,MAX(0,C339*(1+C$6/12)-C$7))</f>
        <v/>
      </c>
      <c r="D340" s="91">
        <f>IF(D339&lt;0.005,0,MAX(0,D339*(1+D$6/12)-D$7))</f>
        <v/>
      </c>
      <c r="E340" s="91">
        <f>IF(E339&lt;0.005,0,MAX(0,E339*(1+E$6/12)-E$7))</f>
        <v/>
      </c>
      <c r="F340" s="91">
        <f>IF(F339&lt;0.005,0,MAX(0,F339*(1+F$6/12)-F$7))</f>
        <v/>
      </c>
      <c r="G340" s="91">
        <f>IF(G339&lt;0.005,0,MAX(0,G339*(1+G$6/12)-G$7))</f>
        <v/>
      </c>
      <c r="H340" s="91">
        <f>IF(H339&lt;0.005,0,MAX(0,H339*(1+H$6/12)-H$7))</f>
        <v/>
      </c>
      <c r="I340" s="91">
        <f>IF(I339&lt;0.005,0,MAX(0,I339*(1+I$6/12)-I$7))</f>
        <v/>
      </c>
      <c r="J340" s="91">
        <f>IF(J339&lt;0.005,0,MAX(0,J339*(1+J$6/12)-J$7))</f>
        <v/>
      </c>
      <c r="K340" s="91">
        <f>IF(K339&lt;0.005,0,MAX(0,K339*(1+K$6/12)-K$7))</f>
        <v/>
      </c>
      <c r="L340" s="91">
        <f>IF(L339&lt;0.005,0,MAX(0,L339*(1+L$6/12)-L$7))</f>
        <v/>
      </c>
      <c r="M340" s="91">
        <f>SUMPRODUCT(C339:L339,$C$6:$L$6)/12</f>
        <v/>
      </c>
      <c r="N340" s="88">
        <f>SUM(C340:L340)</f>
        <v/>
      </c>
      <c r="P340" s="92">
        <f>IF(Z339&lt;0.005,0,MAX(0,Z339*(1+Z$6/12)-Z$7))</f>
        <v/>
      </c>
      <c r="Q340" s="92">
        <f>IF(AA339&lt;0.005,0,MAX(0,AA339*(1+AA$6/12)-AA$7))</f>
        <v/>
      </c>
      <c r="R340" s="92">
        <f>IF(AB339&lt;0.005,0,MAX(0,AB339*(1+AB$6/12)-AB$7))</f>
        <v/>
      </c>
      <c r="S340" s="92">
        <f>IF(AC339&lt;0.005,0,MAX(0,AC339*(1+AC$6/12)-AC$7))</f>
        <v/>
      </c>
      <c r="T340" s="92">
        <f>IF(AD339&lt;0.005,0,MAX(0,AD339*(1+AD$6/12)-AD$7))</f>
        <v/>
      </c>
      <c r="U340" s="92">
        <f>IF(AE339&lt;0.005,0,MAX(0,AE339*(1+AE$6/12)-AE$7))</f>
        <v/>
      </c>
      <c r="V340" s="92">
        <f>IF(AF339&lt;0.005,0,MAX(0,AF339*(1+AF$6/12)-AF$7))</f>
        <v/>
      </c>
      <c r="W340" s="92">
        <f>IF(AG339&lt;0.005,0,MAX(0,AG339*(1+AG$6/12)-AG$7))</f>
        <v/>
      </c>
      <c r="X340" s="92">
        <f>IF(AH339&lt;0.005,0,MAX(0,AH339*(1+AH$6/12)-AH$7))</f>
        <v/>
      </c>
      <c r="Y340" s="92">
        <f>IF(AI339&lt;0.005,0,MAX(0,AI339*(1+AI$6/12)-AI$7))</f>
        <v/>
      </c>
      <c r="Z340" s="91">
        <f>MAX(0,P340-MAX(0,AK340-0))</f>
        <v/>
      </c>
      <c r="AA340" s="91">
        <f>MAX(0,Q340-MAX(0,AK340-SUM(P340:P340)))</f>
        <v/>
      </c>
      <c r="AB340" s="91">
        <f>MAX(0,R340-MAX(0,AK340-SUM(P340:Q340)))</f>
        <v/>
      </c>
      <c r="AC340" s="91">
        <f>MAX(0,S340-MAX(0,AK340-SUM(P340:R340)))</f>
        <v/>
      </c>
      <c r="AD340" s="91">
        <f>MAX(0,T340-MAX(0,AK340-SUM(P340:S340)))</f>
        <v/>
      </c>
      <c r="AE340" s="91">
        <f>MAX(0,U340-MAX(0,AK340-SUM(P340:T340)))</f>
        <v/>
      </c>
      <c r="AF340" s="91">
        <f>MAX(0,V340-MAX(0,AK340-SUM(P340:U340)))</f>
        <v/>
      </c>
      <c r="AG340" s="91">
        <f>MAX(0,W340-MAX(0,AK340-SUM(P340:V340)))</f>
        <v/>
      </c>
      <c r="AH340" s="91">
        <f>MAX(0,X340-MAX(0,AK340-SUM(P340:W340)))</f>
        <v/>
      </c>
      <c r="AI340" s="91">
        <f>MAX(0,Y340-MAX(0,AK340-SUM(P340:X340)))</f>
        <v/>
      </c>
      <c r="AJ340" s="92">
        <f>SUM(Z339:AI339)+AL340</f>
        <v/>
      </c>
      <c r="AK340" s="92">
        <f>$AK$7-(AJ340-SUM(P340:Y340))</f>
        <v/>
      </c>
      <c r="AL340" s="91">
        <f>SUMPRODUCT(Z339:AI339,$Z$6:$AI$6)/12</f>
        <v/>
      </c>
      <c r="AM340" s="88">
        <f>SUM(Z340:AI340)</f>
        <v/>
      </c>
      <c r="AO340" s="92">
        <f>IF(AY339&lt;0.005,0,MAX(0,AY339*(1+AY$6/12)-AY$7))</f>
        <v/>
      </c>
      <c r="AP340" s="92">
        <f>IF(AZ339&lt;0.005,0,MAX(0,AZ339*(1+AZ$6/12)-AZ$7))</f>
        <v/>
      </c>
      <c r="AQ340" s="92">
        <f>IF(BA339&lt;0.005,0,MAX(0,BA339*(1+BA$6/12)-BA$7))</f>
        <v/>
      </c>
      <c r="AR340" s="92">
        <f>IF(BB339&lt;0.005,0,MAX(0,BB339*(1+BB$6/12)-BB$7))</f>
        <v/>
      </c>
      <c r="AS340" s="92">
        <f>IF(BC339&lt;0.005,0,MAX(0,BC339*(1+BC$6/12)-BC$7))</f>
        <v/>
      </c>
      <c r="AT340" s="92">
        <f>IF(BD339&lt;0.005,0,MAX(0,BD339*(1+BD$6/12)-BD$7))</f>
        <v/>
      </c>
      <c r="AU340" s="92">
        <f>IF(BE339&lt;0.005,0,MAX(0,BE339*(1+BE$6/12)-BE$7))</f>
        <v/>
      </c>
      <c r="AV340" s="92">
        <f>IF(BF339&lt;0.005,0,MAX(0,BF339*(1+BF$6/12)-BF$7))</f>
        <v/>
      </c>
      <c r="AW340" s="92">
        <f>IF(BG339&lt;0.005,0,MAX(0,BG339*(1+BG$6/12)-BG$7))</f>
        <v/>
      </c>
      <c r="AX340" s="92">
        <f>IF(BH339&lt;0.005,0,MAX(0,BH339*(1+BH$6/12)-BH$7))</f>
        <v/>
      </c>
      <c r="AY340" s="91">
        <f>MAX(0,AO340-MAX(0,BJ340-0))</f>
        <v/>
      </c>
      <c r="AZ340" s="91">
        <f>MAX(0,AP340-MAX(0,BJ340-SUM(AO340:AO340)))</f>
        <v/>
      </c>
      <c r="BA340" s="91">
        <f>MAX(0,AQ340-MAX(0,BJ340-SUM(AO340:AP340)))</f>
        <v/>
      </c>
      <c r="BB340" s="91">
        <f>MAX(0,AR340-MAX(0,BJ340-SUM(AO340:AQ340)))</f>
        <v/>
      </c>
      <c r="BC340" s="91">
        <f>MAX(0,AS340-MAX(0,BJ340-SUM(AO340:AR340)))</f>
        <v/>
      </c>
      <c r="BD340" s="91">
        <f>MAX(0,AT340-MAX(0,BJ340-SUM(AO340:AS340)))</f>
        <v/>
      </c>
      <c r="BE340" s="91">
        <f>MAX(0,AU340-MAX(0,BJ340-SUM(AO340:AT340)))</f>
        <v/>
      </c>
      <c r="BF340" s="91">
        <f>MAX(0,AV340-MAX(0,BJ340-SUM(AO340:AU340)))</f>
        <v/>
      </c>
      <c r="BG340" s="91">
        <f>MAX(0,AW340-MAX(0,BJ340-SUM(AO340:AV340)))</f>
        <v/>
      </c>
      <c r="BH340" s="91">
        <f>MAX(0,AX340-MAX(0,BJ340-SUM(AO340:AW340)))</f>
        <v/>
      </c>
      <c r="BI340" s="92">
        <f>SUM(AY339:BH339)+BK340</f>
        <v/>
      </c>
      <c r="BJ340" s="92">
        <f>$BJ$7-(BI340-SUM(AO340:AX340))</f>
        <v/>
      </c>
      <c r="BK340" s="91">
        <f>SUMPRODUCT(AY339:BH339,$AY$6:$BH$6)/12</f>
        <v/>
      </c>
      <c r="BL340" s="88">
        <f>SUM(AY340:BH340)</f>
        <v/>
      </c>
    </row>
    <row r="341">
      <c r="A341" s="24" t="n">
        <v>331</v>
      </c>
      <c r="B341" s="90">
        <f>DATE(YEAR(Settings!$C$11),MONTH(Settings!$C$11)+A341,1)</f>
        <v/>
      </c>
      <c r="C341" s="91">
        <f>IF(C340&lt;0.005,0,MAX(0,C340*(1+C$6/12)-C$7))</f>
        <v/>
      </c>
      <c r="D341" s="91">
        <f>IF(D340&lt;0.005,0,MAX(0,D340*(1+D$6/12)-D$7))</f>
        <v/>
      </c>
      <c r="E341" s="91">
        <f>IF(E340&lt;0.005,0,MAX(0,E340*(1+E$6/12)-E$7))</f>
        <v/>
      </c>
      <c r="F341" s="91">
        <f>IF(F340&lt;0.005,0,MAX(0,F340*(1+F$6/12)-F$7))</f>
        <v/>
      </c>
      <c r="G341" s="91">
        <f>IF(G340&lt;0.005,0,MAX(0,G340*(1+G$6/12)-G$7))</f>
        <v/>
      </c>
      <c r="H341" s="91">
        <f>IF(H340&lt;0.005,0,MAX(0,H340*(1+H$6/12)-H$7))</f>
        <v/>
      </c>
      <c r="I341" s="91">
        <f>IF(I340&lt;0.005,0,MAX(0,I340*(1+I$6/12)-I$7))</f>
        <v/>
      </c>
      <c r="J341" s="91">
        <f>IF(J340&lt;0.005,0,MAX(0,J340*(1+J$6/12)-J$7))</f>
        <v/>
      </c>
      <c r="K341" s="91">
        <f>IF(K340&lt;0.005,0,MAX(0,K340*(1+K$6/12)-K$7))</f>
        <v/>
      </c>
      <c r="L341" s="91">
        <f>IF(L340&lt;0.005,0,MAX(0,L340*(1+L$6/12)-L$7))</f>
        <v/>
      </c>
      <c r="M341" s="91">
        <f>SUMPRODUCT(C340:L340,$C$6:$L$6)/12</f>
        <v/>
      </c>
      <c r="N341" s="88">
        <f>SUM(C341:L341)</f>
        <v/>
      </c>
      <c r="P341" s="92">
        <f>IF(Z340&lt;0.005,0,MAX(0,Z340*(1+Z$6/12)-Z$7))</f>
        <v/>
      </c>
      <c r="Q341" s="92">
        <f>IF(AA340&lt;0.005,0,MAX(0,AA340*(1+AA$6/12)-AA$7))</f>
        <v/>
      </c>
      <c r="R341" s="92">
        <f>IF(AB340&lt;0.005,0,MAX(0,AB340*(1+AB$6/12)-AB$7))</f>
        <v/>
      </c>
      <c r="S341" s="92">
        <f>IF(AC340&lt;0.005,0,MAX(0,AC340*(1+AC$6/12)-AC$7))</f>
        <v/>
      </c>
      <c r="T341" s="92">
        <f>IF(AD340&lt;0.005,0,MAX(0,AD340*(1+AD$6/12)-AD$7))</f>
        <v/>
      </c>
      <c r="U341" s="92">
        <f>IF(AE340&lt;0.005,0,MAX(0,AE340*(1+AE$6/12)-AE$7))</f>
        <v/>
      </c>
      <c r="V341" s="92">
        <f>IF(AF340&lt;0.005,0,MAX(0,AF340*(1+AF$6/12)-AF$7))</f>
        <v/>
      </c>
      <c r="W341" s="92">
        <f>IF(AG340&lt;0.005,0,MAX(0,AG340*(1+AG$6/12)-AG$7))</f>
        <v/>
      </c>
      <c r="X341" s="92">
        <f>IF(AH340&lt;0.005,0,MAX(0,AH340*(1+AH$6/12)-AH$7))</f>
        <v/>
      </c>
      <c r="Y341" s="92">
        <f>IF(AI340&lt;0.005,0,MAX(0,AI340*(1+AI$6/12)-AI$7))</f>
        <v/>
      </c>
      <c r="Z341" s="91">
        <f>MAX(0,P341-MAX(0,AK341-0))</f>
        <v/>
      </c>
      <c r="AA341" s="91">
        <f>MAX(0,Q341-MAX(0,AK341-SUM(P341:P341)))</f>
        <v/>
      </c>
      <c r="AB341" s="91">
        <f>MAX(0,R341-MAX(0,AK341-SUM(P341:Q341)))</f>
        <v/>
      </c>
      <c r="AC341" s="91">
        <f>MAX(0,S341-MAX(0,AK341-SUM(P341:R341)))</f>
        <v/>
      </c>
      <c r="AD341" s="91">
        <f>MAX(0,T341-MAX(0,AK341-SUM(P341:S341)))</f>
        <v/>
      </c>
      <c r="AE341" s="91">
        <f>MAX(0,U341-MAX(0,AK341-SUM(P341:T341)))</f>
        <v/>
      </c>
      <c r="AF341" s="91">
        <f>MAX(0,V341-MAX(0,AK341-SUM(P341:U341)))</f>
        <v/>
      </c>
      <c r="AG341" s="91">
        <f>MAX(0,W341-MAX(0,AK341-SUM(P341:V341)))</f>
        <v/>
      </c>
      <c r="AH341" s="91">
        <f>MAX(0,X341-MAX(0,AK341-SUM(P341:W341)))</f>
        <v/>
      </c>
      <c r="AI341" s="91">
        <f>MAX(0,Y341-MAX(0,AK341-SUM(P341:X341)))</f>
        <v/>
      </c>
      <c r="AJ341" s="92">
        <f>SUM(Z340:AI340)+AL341</f>
        <v/>
      </c>
      <c r="AK341" s="92">
        <f>$AK$7-(AJ341-SUM(P341:Y341))</f>
        <v/>
      </c>
      <c r="AL341" s="91">
        <f>SUMPRODUCT(Z340:AI340,$Z$6:$AI$6)/12</f>
        <v/>
      </c>
      <c r="AM341" s="88">
        <f>SUM(Z341:AI341)</f>
        <v/>
      </c>
      <c r="AO341" s="92">
        <f>IF(AY340&lt;0.005,0,MAX(0,AY340*(1+AY$6/12)-AY$7))</f>
        <v/>
      </c>
      <c r="AP341" s="92">
        <f>IF(AZ340&lt;0.005,0,MAX(0,AZ340*(1+AZ$6/12)-AZ$7))</f>
        <v/>
      </c>
      <c r="AQ341" s="92">
        <f>IF(BA340&lt;0.005,0,MAX(0,BA340*(1+BA$6/12)-BA$7))</f>
        <v/>
      </c>
      <c r="AR341" s="92">
        <f>IF(BB340&lt;0.005,0,MAX(0,BB340*(1+BB$6/12)-BB$7))</f>
        <v/>
      </c>
      <c r="AS341" s="92">
        <f>IF(BC340&lt;0.005,0,MAX(0,BC340*(1+BC$6/12)-BC$7))</f>
        <v/>
      </c>
      <c r="AT341" s="92">
        <f>IF(BD340&lt;0.005,0,MAX(0,BD340*(1+BD$6/12)-BD$7))</f>
        <v/>
      </c>
      <c r="AU341" s="92">
        <f>IF(BE340&lt;0.005,0,MAX(0,BE340*(1+BE$6/12)-BE$7))</f>
        <v/>
      </c>
      <c r="AV341" s="92">
        <f>IF(BF340&lt;0.005,0,MAX(0,BF340*(1+BF$6/12)-BF$7))</f>
        <v/>
      </c>
      <c r="AW341" s="92">
        <f>IF(BG340&lt;0.005,0,MAX(0,BG340*(1+BG$6/12)-BG$7))</f>
        <v/>
      </c>
      <c r="AX341" s="92">
        <f>IF(BH340&lt;0.005,0,MAX(0,BH340*(1+BH$6/12)-BH$7))</f>
        <v/>
      </c>
      <c r="AY341" s="91">
        <f>MAX(0,AO341-MAX(0,BJ341-0))</f>
        <v/>
      </c>
      <c r="AZ341" s="91">
        <f>MAX(0,AP341-MAX(0,BJ341-SUM(AO341:AO341)))</f>
        <v/>
      </c>
      <c r="BA341" s="91">
        <f>MAX(0,AQ341-MAX(0,BJ341-SUM(AO341:AP341)))</f>
        <v/>
      </c>
      <c r="BB341" s="91">
        <f>MAX(0,AR341-MAX(0,BJ341-SUM(AO341:AQ341)))</f>
        <v/>
      </c>
      <c r="BC341" s="91">
        <f>MAX(0,AS341-MAX(0,BJ341-SUM(AO341:AR341)))</f>
        <v/>
      </c>
      <c r="BD341" s="91">
        <f>MAX(0,AT341-MAX(0,BJ341-SUM(AO341:AS341)))</f>
        <v/>
      </c>
      <c r="BE341" s="91">
        <f>MAX(0,AU341-MAX(0,BJ341-SUM(AO341:AT341)))</f>
        <v/>
      </c>
      <c r="BF341" s="91">
        <f>MAX(0,AV341-MAX(0,BJ341-SUM(AO341:AU341)))</f>
        <v/>
      </c>
      <c r="BG341" s="91">
        <f>MAX(0,AW341-MAX(0,BJ341-SUM(AO341:AV341)))</f>
        <v/>
      </c>
      <c r="BH341" s="91">
        <f>MAX(0,AX341-MAX(0,BJ341-SUM(AO341:AW341)))</f>
        <v/>
      </c>
      <c r="BI341" s="92">
        <f>SUM(AY340:BH340)+BK341</f>
        <v/>
      </c>
      <c r="BJ341" s="92">
        <f>$BJ$7-(BI341-SUM(AO341:AX341))</f>
        <v/>
      </c>
      <c r="BK341" s="91">
        <f>SUMPRODUCT(AY340:BH340,$AY$6:$BH$6)/12</f>
        <v/>
      </c>
      <c r="BL341" s="88">
        <f>SUM(AY341:BH341)</f>
        <v/>
      </c>
    </row>
    <row r="342">
      <c r="A342" s="24" t="n">
        <v>332</v>
      </c>
      <c r="B342" s="90">
        <f>DATE(YEAR(Settings!$C$11),MONTH(Settings!$C$11)+A342,1)</f>
        <v/>
      </c>
      <c r="C342" s="91">
        <f>IF(C341&lt;0.005,0,MAX(0,C341*(1+C$6/12)-C$7))</f>
        <v/>
      </c>
      <c r="D342" s="91">
        <f>IF(D341&lt;0.005,0,MAX(0,D341*(1+D$6/12)-D$7))</f>
        <v/>
      </c>
      <c r="E342" s="91">
        <f>IF(E341&lt;0.005,0,MAX(0,E341*(1+E$6/12)-E$7))</f>
        <v/>
      </c>
      <c r="F342" s="91">
        <f>IF(F341&lt;0.005,0,MAX(0,F341*(1+F$6/12)-F$7))</f>
        <v/>
      </c>
      <c r="G342" s="91">
        <f>IF(G341&lt;0.005,0,MAX(0,G341*(1+G$6/12)-G$7))</f>
        <v/>
      </c>
      <c r="H342" s="91">
        <f>IF(H341&lt;0.005,0,MAX(0,H341*(1+H$6/12)-H$7))</f>
        <v/>
      </c>
      <c r="I342" s="91">
        <f>IF(I341&lt;0.005,0,MAX(0,I341*(1+I$6/12)-I$7))</f>
        <v/>
      </c>
      <c r="J342" s="91">
        <f>IF(J341&lt;0.005,0,MAX(0,J341*(1+J$6/12)-J$7))</f>
        <v/>
      </c>
      <c r="K342" s="91">
        <f>IF(K341&lt;0.005,0,MAX(0,K341*(1+K$6/12)-K$7))</f>
        <v/>
      </c>
      <c r="L342" s="91">
        <f>IF(L341&lt;0.005,0,MAX(0,L341*(1+L$6/12)-L$7))</f>
        <v/>
      </c>
      <c r="M342" s="91">
        <f>SUMPRODUCT(C341:L341,$C$6:$L$6)/12</f>
        <v/>
      </c>
      <c r="N342" s="88">
        <f>SUM(C342:L342)</f>
        <v/>
      </c>
      <c r="P342" s="92">
        <f>IF(Z341&lt;0.005,0,MAX(0,Z341*(1+Z$6/12)-Z$7))</f>
        <v/>
      </c>
      <c r="Q342" s="92">
        <f>IF(AA341&lt;0.005,0,MAX(0,AA341*(1+AA$6/12)-AA$7))</f>
        <v/>
      </c>
      <c r="R342" s="92">
        <f>IF(AB341&lt;0.005,0,MAX(0,AB341*(1+AB$6/12)-AB$7))</f>
        <v/>
      </c>
      <c r="S342" s="92">
        <f>IF(AC341&lt;0.005,0,MAX(0,AC341*(1+AC$6/12)-AC$7))</f>
        <v/>
      </c>
      <c r="T342" s="92">
        <f>IF(AD341&lt;0.005,0,MAX(0,AD341*(1+AD$6/12)-AD$7))</f>
        <v/>
      </c>
      <c r="U342" s="92">
        <f>IF(AE341&lt;0.005,0,MAX(0,AE341*(1+AE$6/12)-AE$7))</f>
        <v/>
      </c>
      <c r="V342" s="92">
        <f>IF(AF341&lt;0.005,0,MAX(0,AF341*(1+AF$6/12)-AF$7))</f>
        <v/>
      </c>
      <c r="W342" s="92">
        <f>IF(AG341&lt;0.005,0,MAX(0,AG341*(1+AG$6/12)-AG$7))</f>
        <v/>
      </c>
      <c r="X342" s="92">
        <f>IF(AH341&lt;0.005,0,MAX(0,AH341*(1+AH$6/12)-AH$7))</f>
        <v/>
      </c>
      <c r="Y342" s="92">
        <f>IF(AI341&lt;0.005,0,MAX(0,AI341*(1+AI$6/12)-AI$7))</f>
        <v/>
      </c>
      <c r="Z342" s="91">
        <f>MAX(0,P342-MAX(0,AK342-0))</f>
        <v/>
      </c>
      <c r="AA342" s="91">
        <f>MAX(0,Q342-MAX(0,AK342-SUM(P342:P342)))</f>
        <v/>
      </c>
      <c r="AB342" s="91">
        <f>MAX(0,R342-MAX(0,AK342-SUM(P342:Q342)))</f>
        <v/>
      </c>
      <c r="AC342" s="91">
        <f>MAX(0,S342-MAX(0,AK342-SUM(P342:R342)))</f>
        <v/>
      </c>
      <c r="AD342" s="91">
        <f>MAX(0,T342-MAX(0,AK342-SUM(P342:S342)))</f>
        <v/>
      </c>
      <c r="AE342" s="91">
        <f>MAX(0,U342-MAX(0,AK342-SUM(P342:T342)))</f>
        <v/>
      </c>
      <c r="AF342" s="91">
        <f>MAX(0,V342-MAX(0,AK342-SUM(P342:U342)))</f>
        <v/>
      </c>
      <c r="AG342" s="91">
        <f>MAX(0,W342-MAX(0,AK342-SUM(P342:V342)))</f>
        <v/>
      </c>
      <c r="AH342" s="91">
        <f>MAX(0,X342-MAX(0,AK342-SUM(P342:W342)))</f>
        <v/>
      </c>
      <c r="AI342" s="91">
        <f>MAX(0,Y342-MAX(0,AK342-SUM(P342:X342)))</f>
        <v/>
      </c>
      <c r="AJ342" s="92">
        <f>SUM(Z341:AI341)+AL342</f>
        <v/>
      </c>
      <c r="AK342" s="92">
        <f>$AK$7-(AJ342-SUM(P342:Y342))</f>
        <v/>
      </c>
      <c r="AL342" s="91">
        <f>SUMPRODUCT(Z341:AI341,$Z$6:$AI$6)/12</f>
        <v/>
      </c>
      <c r="AM342" s="88">
        <f>SUM(Z342:AI342)</f>
        <v/>
      </c>
      <c r="AO342" s="92">
        <f>IF(AY341&lt;0.005,0,MAX(0,AY341*(1+AY$6/12)-AY$7))</f>
        <v/>
      </c>
      <c r="AP342" s="92">
        <f>IF(AZ341&lt;0.005,0,MAX(0,AZ341*(1+AZ$6/12)-AZ$7))</f>
        <v/>
      </c>
      <c r="AQ342" s="92">
        <f>IF(BA341&lt;0.005,0,MAX(0,BA341*(1+BA$6/12)-BA$7))</f>
        <v/>
      </c>
      <c r="AR342" s="92">
        <f>IF(BB341&lt;0.005,0,MAX(0,BB341*(1+BB$6/12)-BB$7))</f>
        <v/>
      </c>
      <c r="AS342" s="92">
        <f>IF(BC341&lt;0.005,0,MAX(0,BC341*(1+BC$6/12)-BC$7))</f>
        <v/>
      </c>
      <c r="AT342" s="92">
        <f>IF(BD341&lt;0.005,0,MAX(0,BD341*(1+BD$6/12)-BD$7))</f>
        <v/>
      </c>
      <c r="AU342" s="92">
        <f>IF(BE341&lt;0.005,0,MAX(0,BE341*(1+BE$6/12)-BE$7))</f>
        <v/>
      </c>
      <c r="AV342" s="92">
        <f>IF(BF341&lt;0.005,0,MAX(0,BF341*(1+BF$6/12)-BF$7))</f>
        <v/>
      </c>
      <c r="AW342" s="92">
        <f>IF(BG341&lt;0.005,0,MAX(0,BG341*(1+BG$6/12)-BG$7))</f>
        <v/>
      </c>
      <c r="AX342" s="92">
        <f>IF(BH341&lt;0.005,0,MAX(0,BH341*(1+BH$6/12)-BH$7))</f>
        <v/>
      </c>
      <c r="AY342" s="91">
        <f>MAX(0,AO342-MAX(0,BJ342-0))</f>
        <v/>
      </c>
      <c r="AZ342" s="91">
        <f>MAX(0,AP342-MAX(0,BJ342-SUM(AO342:AO342)))</f>
        <v/>
      </c>
      <c r="BA342" s="91">
        <f>MAX(0,AQ342-MAX(0,BJ342-SUM(AO342:AP342)))</f>
        <v/>
      </c>
      <c r="BB342" s="91">
        <f>MAX(0,AR342-MAX(0,BJ342-SUM(AO342:AQ342)))</f>
        <v/>
      </c>
      <c r="BC342" s="91">
        <f>MAX(0,AS342-MAX(0,BJ342-SUM(AO342:AR342)))</f>
        <v/>
      </c>
      <c r="BD342" s="91">
        <f>MAX(0,AT342-MAX(0,BJ342-SUM(AO342:AS342)))</f>
        <v/>
      </c>
      <c r="BE342" s="91">
        <f>MAX(0,AU342-MAX(0,BJ342-SUM(AO342:AT342)))</f>
        <v/>
      </c>
      <c r="BF342" s="91">
        <f>MAX(0,AV342-MAX(0,BJ342-SUM(AO342:AU342)))</f>
        <v/>
      </c>
      <c r="BG342" s="91">
        <f>MAX(0,AW342-MAX(0,BJ342-SUM(AO342:AV342)))</f>
        <v/>
      </c>
      <c r="BH342" s="91">
        <f>MAX(0,AX342-MAX(0,BJ342-SUM(AO342:AW342)))</f>
        <v/>
      </c>
      <c r="BI342" s="92">
        <f>SUM(AY341:BH341)+BK342</f>
        <v/>
      </c>
      <c r="BJ342" s="92">
        <f>$BJ$7-(BI342-SUM(AO342:AX342))</f>
        <v/>
      </c>
      <c r="BK342" s="91">
        <f>SUMPRODUCT(AY341:BH341,$AY$6:$BH$6)/12</f>
        <v/>
      </c>
      <c r="BL342" s="88">
        <f>SUM(AY342:BH342)</f>
        <v/>
      </c>
    </row>
    <row r="343">
      <c r="A343" s="24" t="n">
        <v>333</v>
      </c>
      <c r="B343" s="90">
        <f>DATE(YEAR(Settings!$C$11),MONTH(Settings!$C$11)+A343,1)</f>
        <v/>
      </c>
      <c r="C343" s="91">
        <f>IF(C342&lt;0.005,0,MAX(0,C342*(1+C$6/12)-C$7))</f>
        <v/>
      </c>
      <c r="D343" s="91">
        <f>IF(D342&lt;0.005,0,MAX(0,D342*(1+D$6/12)-D$7))</f>
        <v/>
      </c>
      <c r="E343" s="91">
        <f>IF(E342&lt;0.005,0,MAX(0,E342*(1+E$6/12)-E$7))</f>
        <v/>
      </c>
      <c r="F343" s="91">
        <f>IF(F342&lt;0.005,0,MAX(0,F342*(1+F$6/12)-F$7))</f>
        <v/>
      </c>
      <c r="G343" s="91">
        <f>IF(G342&lt;0.005,0,MAX(0,G342*(1+G$6/12)-G$7))</f>
        <v/>
      </c>
      <c r="H343" s="91">
        <f>IF(H342&lt;0.005,0,MAX(0,H342*(1+H$6/12)-H$7))</f>
        <v/>
      </c>
      <c r="I343" s="91">
        <f>IF(I342&lt;0.005,0,MAX(0,I342*(1+I$6/12)-I$7))</f>
        <v/>
      </c>
      <c r="J343" s="91">
        <f>IF(J342&lt;0.005,0,MAX(0,J342*(1+J$6/12)-J$7))</f>
        <v/>
      </c>
      <c r="K343" s="91">
        <f>IF(K342&lt;0.005,0,MAX(0,K342*(1+K$6/12)-K$7))</f>
        <v/>
      </c>
      <c r="L343" s="91">
        <f>IF(L342&lt;0.005,0,MAX(0,L342*(1+L$6/12)-L$7))</f>
        <v/>
      </c>
      <c r="M343" s="91">
        <f>SUMPRODUCT(C342:L342,$C$6:$L$6)/12</f>
        <v/>
      </c>
      <c r="N343" s="88">
        <f>SUM(C343:L343)</f>
        <v/>
      </c>
      <c r="P343" s="92">
        <f>IF(Z342&lt;0.005,0,MAX(0,Z342*(1+Z$6/12)-Z$7))</f>
        <v/>
      </c>
      <c r="Q343" s="92">
        <f>IF(AA342&lt;0.005,0,MAX(0,AA342*(1+AA$6/12)-AA$7))</f>
        <v/>
      </c>
      <c r="R343" s="92">
        <f>IF(AB342&lt;0.005,0,MAX(0,AB342*(1+AB$6/12)-AB$7))</f>
        <v/>
      </c>
      <c r="S343" s="92">
        <f>IF(AC342&lt;0.005,0,MAX(0,AC342*(1+AC$6/12)-AC$7))</f>
        <v/>
      </c>
      <c r="T343" s="92">
        <f>IF(AD342&lt;0.005,0,MAX(0,AD342*(1+AD$6/12)-AD$7))</f>
        <v/>
      </c>
      <c r="U343" s="92">
        <f>IF(AE342&lt;0.005,0,MAX(0,AE342*(1+AE$6/12)-AE$7))</f>
        <v/>
      </c>
      <c r="V343" s="92">
        <f>IF(AF342&lt;0.005,0,MAX(0,AF342*(1+AF$6/12)-AF$7))</f>
        <v/>
      </c>
      <c r="W343" s="92">
        <f>IF(AG342&lt;0.005,0,MAX(0,AG342*(1+AG$6/12)-AG$7))</f>
        <v/>
      </c>
      <c r="X343" s="92">
        <f>IF(AH342&lt;0.005,0,MAX(0,AH342*(1+AH$6/12)-AH$7))</f>
        <v/>
      </c>
      <c r="Y343" s="92">
        <f>IF(AI342&lt;0.005,0,MAX(0,AI342*(1+AI$6/12)-AI$7))</f>
        <v/>
      </c>
      <c r="Z343" s="91">
        <f>MAX(0,P343-MAX(0,AK343-0))</f>
        <v/>
      </c>
      <c r="AA343" s="91">
        <f>MAX(0,Q343-MAX(0,AK343-SUM(P343:P343)))</f>
        <v/>
      </c>
      <c r="AB343" s="91">
        <f>MAX(0,R343-MAX(0,AK343-SUM(P343:Q343)))</f>
        <v/>
      </c>
      <c r="AC343" s="91">
        <f>MAX(0,S343-MAX(0,AK343-SUM(P343:R343)))</f>
        <v/>
      </c>
      <c r="AD343" s="91">
        <f>MAX(0,T343-MAX(0,AK343-SUM(P343:S343)))</f>
        <v/>
      </c>
      <c r="AE343" s="91">
        <f>MAX(0,U343-MAX(0,AK343-SUM(P343:T343)))</f>
        <v/>
      </c>
      <c r="AF343" s="91">
        <f>MAX(0,V343-MAX(0,AK343-SUM(P343:U343)))</f>
        <v/>
      </c>
      <c r="AG343" s="91">
        <f>MAX(0,W343-MAX(0,AK343-SUM(P343:V343)))</f>
        <v/>
      </c>
      <c r="AH343" s="91">
        <f>MAX(0,X343-MAX(0,AK343-SUM(P343:W343)))</f>
        <v/>
      </c>
      <c r="AI343" s="91">
        <f>MAX(0,Y343-MAX(0,AK343-SUM(P343:X343)))</f>
        <v/>
      </c>
      <c r="AJ343" s="92">
        <f>SUM(Z342:AI342)+AL343</f>
        <v/>
      </c>
      <c r="AK343" s="92">
        <f>$AK$7-(AJ343-SUM(P343:Y343))</f>
        <v/>
      </c>
      <c r="AL343" s="91">
        <f>SUMPRODUCT(Z342:AI342,$Z$6:$AI$6)/12</f>
        <v/>
      </c>
      <c r="AM343" s="88">
        <f>SUM(Z343:AI343)</f>
        <v/>
      </c>
      <c r="AO343" s="92">
        <f>IF(AY342&lt;0.005,0,MAX(0,AY342*(1+AY$6/12)-AY$7))</f>
        <v/>
      </c>
      <c r="AP343" s="92">
        <f>IF(AZ342&lt;0.005,0,MAX(0,AZ342*(1+AZ$6/12)-AZ$7))</f>
        <v/>
      </c>
      <c r="AQ343" s="92">
        <f>IF(BA342&lt;0.005,0,MAX(0,BA342*(1+BA$6/12)-BA$7))</f>
        <v/>
      </c>
      <c r="AR343" s="92">
        <f>IF(BB342&lt;0.005,0,MAX(0,BB342*(1+BB$6/12)-BB$7))</f>
        <v/>
      </c>
      <c r="AS343" s="92">
        <f>IF(BC342&lt;0.005,0,MAX(0,BC342*(1+BC$6/12)-BC$7))</f>
        <v/>
      </c>
      <c r="AT343" s="92">
        <f>IF(BD342&lt;0.005,0,MAX(0,BD342*(1+BD$6/12)-BD$7))</f>
        <v/>
      </c>
      <c r="AU343" s="92">
        <f>IF(BE342&lt;0.005,0,MAX(0,BE342*(1+BE$6/12)-BE$7))</f>
        <v/>
      </c>
      <c r="AV343" s="92">
        <f>IF(BF342&lt;0.005,0,MAX(0,BF342*(1+BF$6/12)-BF$7))</f>
        <v/>
      </c>
      <c r="AW343" s="92">
        <f>IF(BG342&lt;0.005,0,MAX(0,BG342*(1+BG$6/12)-BG$7))</f>
        <v/>
      </c>
      <c r="AX343" s="92">
        <f>IF(BH342&lt;0.005,0,MAX(0,BH342*(1+BH$6/12)-BH$7))</f>
        <v/>
      </c>
      <c r="AY343" s="91">
        <f>MAX(0,AO343-MAX(0,BJ343-0))</f>
        <v/>
      </c>
      <c r="AZ343" s="91">
        <f>MAX(0,AP343-MAX(0,BJ343-SUM(AO343:AO343)))</f>
        <v/>
      </c>
      <c r="BA343" s="91">
        <f>MAX(0,AQ343-MAX(0,BJ343-SUM(AO343:AP343)))</f>
        <v/>
      </c>
      <c r="BB343" s="91">
        <f>MAX(0,AR343-MAX(0,BJ343-SUM(AO343:AQ343)))</f>
        <v/>
      </c>
      <c r="BC343" s="91">
        <f>MAX(0,AS343-MAX(0,BJ343-SUM(AO343:AR343)))</f>
        <v/>
      </c>
      <c r="BD343" s="91">
        <f>MAX(0,AT343-MAX(0,BJ343-SUM(AO343:AS343)))</f>
        <v/>
      </c>
      <c r="BE343" s="91">
        <f>MAX(0,AU343-MAX(0,BJ343-SUM(AO343:AT343)))</f>
        <v/>
      </c>
      <c r="BF343" s="91">
        <f>MAX(0,AV343-MAX(0,BJ343-SUM(AO343:AU343)))</f>
        <v/>
      </c>
      <c r="BG343" s="91">
        <f>MAX(0,AW343-MAX(0,BJ343-SUM(AO343:AV343)))</f>
        <v/>
      </c>
      <c r="BH343" s="91">
        <f>MAX(0,AX343-MAX(0,BJ343-SUM(AO343:AW343)))</f>
        <v/>
      </c>
      <c r="BI343" s="92">
        <f>SUM(AY342:BH342)+BK343</f>
        <v/>
      </c>
      <c r="BJ343" s="92">
        <f>$BJ$7-(BI343-SUM(AO343:AX343))</f>
        <v/>
      </c>
      <c r="BK343" s="91">
        <f>SUMPRODUCT(AY342:BH342,$AY$6:$BH$6)/12</f>
        <v/>
      </c>
      <c r="BL343" s="88">
        <f>SUM(AY343:BH343)</f>
        <v/>
      </c>
    </row>
    <row r="344">
      <c r="A344" s="24" t="n">
        <v>334</v>
      </c>
      <c r="B344" s="90">
        <f>DATE(YEAR(Settings!$C$11),MONTH(Settings!$C$11)+A344,1)</f>
        <v/>
      </c>
      <c r="C344" s="91">
        <f>IF(C343&lt;0.005,0,MAX(0,C343*(1+C$6/12)-C$7))</f>
        <v/>
      </c>
      <c r="D344" s="91">
        <f>IF(D343&lt;0.005,0,MAX(0,D343*(1+D$6/12)-D$7))</f>
        <v/>
      </c>
      <c r="E344" s="91">
        <f>IF(E343&lt;0.005,0,MAX(0,E343*(1+E$6/12)-E$7))</f>
        <v/>
      </c>
      <c r="F344" s="91">
        <f>IF(F343&lt;0.005,0,MAX(0,F343*(1+F$6/12)-F$7))</f>
        <v/>
      </c>
      <c r="G344" s="91">
        <f>IF(G343&lt;0.005,0,MAX(0,G343*(1+G$6/12)-G$7))</f>
        <v/>
      </c>
      <c r="H344" s="91">
        <f>IF(H343&lt;0.005,0,MAX(0,H343*(1+H$6/12)-H$7))</f>
        <v/>
      </c>
      <c r="I344" s="91">
        <f>IF(I343&lt;0.005,0,MAX(0,I343*(1+I$6/12)-I$7))</f>
        <v/>
      </c>
      <c r="J344" s="91">
        <f>IF(J343&lt;0.005,0,MAX(0,J343*(1+J$6/12)-J$7))</f>
        <v/>
      </c>
      <c r="K344" s="91">
        <f>IF(K343&lt;0.005,0,MAX(0,K343*(1+K$6/12)-K$7))</f>
        <v/>
      </c>
      <c r="L344" s="91">
        <f>IF(L343&lt;0.005,0,MAX(0,L343*(1+L$6/12)-L$7))</f>
        <v/>
      </c>
      <c r="M344" s="91">
        <f>SUMPRODUCT(C343:L343,$C$6:$L$6)/12</f>
        <v/>
      </c>
      <c r="N344" s="88">
        <f>SUM(C344:L344)</f>
        <v/>
      </c>
      <c r="P344" s="92">
        <f>IF(Z343&lt;0.005,0,MAX(0,Z343*(1+Z$6/12)-Z$7))</f>
        <v/>
      </c>
      <c r="Q344" s="92">
        <f>IF(AA343&lt;0.005,0,MAX(0,AA343*(1+AA$6/12)-AA$7))</f>
        <v/>
      </c>
      <c r="R344" s="92">
        <f>IF(AB343&lt;0.005,0,MAX(0,AB343*(1+AB$6/12)-AB$7))</f>
        <v/>
      </c>
      <c r="S344" s="92">
        <f>IF(AC343&lt;0.005,0,MAX(0,AC343*(1+AC$6/12)-AC$7))</f>
        <v/>
      </c>
      <c r="T344" s="92">
        <f>IF(AD343&lt;0.005,0,MAX(0,AD343*(1+AD$6/12)-AD$7))</f>
        <v/>
      </c>
      <c r="U344" s="92">
        <f>IF(AE343&lt;0.005,0,MAX(0,AE343*(1+AE$6/12)-AE$7))</f>
        <v/>
      </c>
      <c r="V344" s="92">
        <f>IF(AF343&lt;0.005,0,MAX(0,AF343*(1+AF$6/12)-AF$7))</f>
        <v/>
      </c>
      <c r="W344" s="92">
        <f>IF(AG343&lt;0.005,0,MAX(0,AG343*(1+AG$6/12)-AG$7))</f>
        <v/>
      </c>
      <c r="X344" s="92">
        <f>IF(AH343&lt;0.005,0,MAX(0,AH343*(1+AH$6/12)-AH$7))</f>
        <v/>
      </c>
      <c r="Y344" s="92">
        <f>IF(AI343&lt;0.005,0,MAX(0,AI343*(1+AI$6/12)-AI$7))</f>
        <v/>
      </c>
      <c r="Z344" s="91">
        <f>MAX(0,P344-MAX(0,AK344-0))</f>
        <v/>
      </c>
      <c r="AA344" s="91">
        <f>MAX(0,Q344-MAX(0,AK344-SUM(P344:P344)))</f>
        <v/>
      </c>
      <c r="AB344" s="91">
        <f>MAX(0,R344-MAX(0,AK344-SUM(P344:Q344)))</f>
        <v/>
      </c>
      <c r="AC344" s="91">
        <f>MAX(0,S344-MAX(0,AK344-SUM(P344:R344)))</f>
        <v/>
      </c>
      <c r="AD344" s="91">
        <f>MAX(0,T344-MAX(0,AK344-SUM(P344:S344)))</f>
        <v/>
      </c>
      <c r="AE344" s="91">
        <f>MAX(0,U344-MAX(0,AK344-SUM(P344:T344)))</f>
        <v/>
      </c>
      <c r="AF344" s="91">
        <f>MAX(0,V344-MAX(0,AK344-SUM(P344:U344)))</f>
        <v/>
      </c>
      <c r="AG344" s="91">
        <f>MAX(0,W344-MAX(0,AK344-SUM(P344:V344)))</f>
        <v/>
      </c>
      <c r="AH344" s="91">
        <f>MAX(0,X344-MAX(0,AK344-SUM(P344:W344)))</f>
        <v/>
      </c>
      <c r="AI344" s="91">
        <f>MAX(0,Y344-MAX(0,AK344-SUM(P344:X344)))</f>
        <v/>
      </c>
      <c r="AJ344" s="92">
        <f>SUM(Z343:AI343)+AL344</f>
        <v/>
      </c>
      <c r="AK344" s="92">
        <f>$AK$7-(AJ344-SUM(P344:Y344))</f>
        <v/>
      </c>
      <c r="AL344" s="91">
        <f>SUMPRODUCT(Z343:AI343,$Z$6:$AI$6)/12</f>
        <v/>
      </c>
      <c r="AM344" s="88">
        <f>SUM(Z344:AI344)</f>
        <v/>
      </c>
      <c r="AO344" s="92">
        <f>IF(AY343&lt;0.005,0,MAX(0,AY343*(1+AY$6/12)-AY$7))</f>
        <v/>
      </c>
      <c r="AP344" s="92">
        <f>IF(AZ343&lt;0.005,0,MAX(0,AZ343*(1+AZ$6/12)-AZ$7))</f>
        <v/>
      </c>
      <c r="AQ344" s="92">
        <f>IF(BA343&lt;0.005,0,MAX(0,BA343*(1+BA$6/12)-BA$7))</f>
        <v/>
      </c>
      <c r="AR344" s="92">
        <f>IF(BB343&lt;0.005,0,MAX(0,BB343*(1+BB$6/12)-BB$7))</f>
        <v/>
      </c>
      <c r="AS344" s="92">
        <f>IF(BC343&lt;0.005,0,MAX(0,BC343*(1+BC$6/12)-BC$7))</f>
        <v/>
      </c>
      <c r="AT344" s="92">
        <f>IF(BD343&lt;0.005,0,MAX(0,BD343*(1+BD$6/12)-BD$7))</f>
        <v/>
      </c>
      <c r="AU344" s="92">
        <f>IF(BE343&lt;0.005,0,MAX(0,BE343*(1+BE$6/12)-BE$7))</f>
        <v/>
      </c>
      <c r="AV344" s="92">
        <f>IF(BF343&lt;0.005,0,MAX(0,BF343*(1+BF$6/12)-BF$7))</f>
        <v/>
      </c>
      <c r="AW344" s="92">
        <f>IF(BG343&lt;0.005,0,MAX(0,BG343*(1+BG$6/12)-BG$7))</f>
        <v/>
      </c>
      <c r="AX344" s="92">
        <f>IF(BH343&lt;0.005,0,MAX(0,BH343*(1+BH$6/12)-BH$7))</f>
        <v/>
      </c>
      <c r="AY344" s="91">
        <f>MAX(0,AO344-MAX(0,BJ344-0))</f>
        <v/>
      </c>
      <c r="AZ344" s="91">
        <f>MAX(0,AP344-MAX(0,BJ344-SUM(AO344:AO344)))</f>
        <v/>
      </c>
      <c r="BA344" s="91">
        <f>MAX(0,AQ344-MAX(0,BJ344-SUM(AO344:AP344)))</f>
        <v/>
      </c>
      <c r="BB344" s="91">
        <f>MAX(0,AR344-MAX(0,BJ344-SUM(AO344:AQ344)))</f>
        <v/>
      </c>
      <c r="BC344" s="91">
        <f>MAX(0,AS344-MAX(0,BJ344-SUM(AO344:AR344)))</f>
        <v/>
      </c>
      <c r="BD344" s="91">
        <f>MAX(0,AT344-MAX(0,BJ344-SUM(AO344:AS344)))</f>
        <v/>
      </c>
      <c r="BE344" s="91">
        <f>MAX(0,AU344-MAX(0,BJ344-SUM(AO344:AT344)))</f>
        <v/>
      </c>
      <c r="BF344" s="91">
        <f>MAX(0,AV344-MAX(0,BJ344-SUM(AO344:AU344)))</f>
        <v/>
      </c>
      <c r="BG344" s="91">
        <f>MAX(0,AW344-MAX(0,BJ344-SUM(AO344:AV344)))</f>
        <v/>
      </c>
      <c r="BH344" s="91">
        <f>MAX(0,AX344-MAX(0,BJ344-SUM(AO344:AW344)))</f>
        <v/>
      </c>
      <c r="BI344" s="92">
        <f>SUM(AY343:BH343)+BK344</f>
        <v/>
      </c>
      <c r="BJ344" s="92">
        <f>$BJ$7-(BI344-SUM(AO344:AX344))</f>
        <v/>
      </c>
      <c r="BK344" s="91">
        <f>SUMPRODUCT(AY343:BH343,$AY$6:$BH$6)/12</f>
        <v/>
      </c>
      <c r="BL344" s="88">
        <f>SUM(AY344:BH344)</f>
        <v/>
      </c>
    </row>
    <row r="345">
      <c r="A345" s="24" t="n">
        <v>335</v>
      </c>
      <c r="B345" s="90">
        <f>DATE(YEAR(Settings!$C$11),MONTH(Settings!$C$11)+A345,1)</f>
        <v/>
      </c>
      <c r="C345" s="91">
        <f>IF(C344&lt;0.005,0,MAX(0,C344*(1+C$6/12)-C$7))</f>
        <v/>
      </c>
      <c r="D345" s="91">
        <f>IF(D344&lt;0.005,0,MAX(0,D344*(1+D$6/12)-D$7))</f>
        <v/>
      </c>
      <c r="E345" s="91">
        <f>IF(E344&lt;0.005,0,MAX(0,E344*(1+E$6/12)-E$7))</f>
        <v/>
      </c>
      <c r="F345" s="91">
        <f>IF(F344&lt;0.005,0,MAX(0,F344*(1+F$6/12)-F$7))</f>
        <v/>
      </c>
      <c r="G345" s="91">
        <f>IF(G344&lt;0.005,0,MAX(0,G344*(1+G$6/12)-G$7))</f>
        <v/>
      </c>
      <c r="H345" s="91">
        <f>IF(H344&lt;0.005,0,MAX(0,H344*(1+H$6/12)-H$7))</f>
        <v/>
      </c>
      <c r="I345" s="91">
        <f>IF(I344&lt;0.005,0,MAX(0,I344*(1+I$6/12)-I$7))</f>
        <v/>
      </c>
      <c r="J345" s="91">
        <f>IF(J344&lt;0.005,0,MAX(0,J344*(1+J$6/12)-J$7))</f>
        <v/>
      </c>
      <c r="K345" s="91">
        <f>IF(K344&lt;0.005,0,MAX(0,K344*(1+K$6/12)-K$7))</f>
        <v/>
      </c>
      <c r="L345" s="91">
        <f>IF(L344&lt;0.005,0,MAX(0,L344*(1+L$6/12)-L$7))</f>
        <v/>
      </c>
      <c r="M345" s="91">
        <f>SUMPRODUCT(C344:L344,$C$6:$L$6)/12</f>
        <v/>
      </c>
      <c r="N345" s="88">
        <f>SUM(C345:L345)</f>
        <v/>
      </c>
      <c r="P345" s="92">
        <f>IF(Z344&lt;0.005,0,MAX(0,Z344*(1+Z$6/12)-Z$7))</f>
        <v/>
      </c>
      <c r="Q345" s="92">
        <f>IF(AA344&lt;0.005,0,MAX(0,AA344*(1+AA$6/12)-AA$7))</f>
        <v/>
      </c>
      <c r="R345" s="92">
        <f>IF(AB344&lt;0.005,0,MAX(0,AB344*(1+AB$6/12)-AB$7))</f>
        <v/>
      </c>
      <c r="S345" s="92">
        <f>IF(AC344&lt;0.005,0,MAX(0,AC344*(1+AC$6/12)-AC$7))</f>
        <v/>
      </c>
      <c r="T345" s="92">
        <f>IF(AD344&lt;0.005,0,MAX(0,AD344*(1+AD$6/12)-AD$7))</f>
        <v/>
      </c>
      <c r="U345" s="92">
        <f>IF(AE344&lt;0.005,0,MAX(0,AE344*(1+AE$6/12)-AE$7))</f>
        <v/>
      </c>
      <c r="V345" s="92">
        <f>IF(AF344&lt;0.005,0,MAX(0,AF344*(1+AF$6/12)-AF$7))</f>
        <v/>
      </c>
      <c r="W345" s="92">
        <f>IF(AG344&lt;0.005,0,MAX(0,AG344*(1+AG$6/12)-AG$7))</f>
        <v/>
      </c>
      <c r="X345" s="92">
        <f>IF(AH344&lt;0.005,0,MAX(0,AH344*(1+AH$6/12)-AH$7))</f>
        <v/>
      </c>
      <c r="Y345" s="92">
        <f>IF(AI344&lt;0.005,0,MAX(0,AI344*(1+AI$6/12)-AI$7))</f>
        <v/>
      </c>
      <c r="Z345" s="91">
        <f>MAX(0,P345-MAX(0,AK345-0))</f>
        <v/>
      </c>
      <c r="AA345" s="91">
        <f>MAX(0,Q345-MAX(0,AK345-SUM(P345:P345)))</f>
        <v/>
      </c>
      <c r="AB345" s="91">
        <f>MAX(0,R345-MAX(0,AK345-SUM(P345:Q345)))</f>
        <v/>
      </c>
      <c r="AC345" s="91">
        <f>MAX(0,S345-MAX(0,AK345-SUM(P345:R345)))</f>
        <v/>
      </c>
      <c r="AD345" s="91">
        <f>MAX(0,T345-MAX(0,AK345-SUM(P345:S345)))</f>
        <v/>
      </c>
      <c r="AE345" s="91">
        <f>MAX(0,U345-MAX(0,AK345-SUM(P345:T345)))</f>
        <v/>
      </c>
      <c r="AF345" s="91">
        <f>MAX(0,V345-MAX(0,AK345-SUM(P345:U345)))</f>
        <v/>
      </c>
      <c r="AG345" s="91">
        <f>MAX(0,W345-MAX(0,AK345-SUM(P345:V345)))</f>
        <v/>
      </c>
      <c r="AH345" s="91">
        <f>MAX(0,X345-MAX(0,AK345-SUM(P345:W345)))</f>
        <v/>
      </c>
      <c r="AI345" s="91">
        <f>MAX(0,Y345-MAX(0,AK345-SUM(P345:X345)))</f>
        <v/>
      </c>
      <c r="AJ345" s="92">
        <f>SUM(Z344:AI344)+AL345</f>
        <v/>
      </c>
      <c r="AK345" s="92">
        <f>$AK$7-(AJ345-SUM(P345:Y345))</f>
        <v/>
      </c>
      <c r="AL345" s="91">
        <f>SUMPRODUCT(Z344:AI344,$Z$6:$AI$6)/12</f>
        <v/>
      </c>
      <c r="AM345" s="88">
        <f>SUM(Z345:AI345)</f>
        <v/>
      </c>
      <c r="AO345" s="92">
        <f>IF(AY344&lt;0.005,0,MAX(0,AY344*(1+AY$6/12)-AY$7))</f>
        <v/>
      </c>
      <c r="AP345" s="92">
        <f>IF(AZ344&lt;0.005,0,MAX(0,AZ344*(1+AZ$6/12)-AZ$7))</f>
        <v/>
      </c>
      <c r="AQ345" s="92">
        <f>IF(BA344&lt;0.005,0,MAX(0,BA344*(1+BA$6/12)-BA$7))</f>
        <v/>
      </c>
      <c r="AR345" s="92">
        <f>IF(BB344&lt;0.005,0,MAX(0,BB344*(1+BB$6/12)-BB$7))</f>
        <v/>
      </c>
      <c r="AS345" s="92">
        <f>IF(BC344&lt;0.005,0,MAX(0,BC344*(1+BC$6/12)-BC$7))</f>
        <v/>
      </c>
      <c r="AT345" s="92">
        <f>IF(BD344&lt;0.005,0,MAX(0,BD344*(1+BD$6/12)-BD$7))</f>
        <v/>
      </c>
      <c r="AU345" s="92">
        <f>IF(BE344&lt;0.005,0,MAX(0,BE344*(1+BE$6/12)-BE$7))</f>
        <v/>
      </c>
      <c r="AV345" s="92">
        <f>IF(BF344&lt;0.005,0,MAX(0,BF344*(1+BF$6/12)-BF$7))</f>
        <v/>
      </c>
      <c r="AW345" s="92">
        <f>IF(BG344&lt;0.005,0,MAX(0,BG344*(1+BG$6/12)-BG$7))</f>
        <v/>
      </c>
      <c r="AX345" s="92">
        <f>IF(BH344&lt;0.005,0,MAX(0,BH344*(1+BH$6/12)-BH$7))</f>
        <v/>
      </c>
      <c r="AY345" s="91">
        <f>MAX(0,AO345-MAX(0,BJ345-0))</f>
        <v/>
      </c>
      <c r="AZ345" s="91">
        <f>MAX(0,AP345-MAX(0,BJ345-SUM(AO345:AO345)))</f>
        <v/>
      </c>
      <c r="BA345" s="91">
        <f>MAX(0,AQ345-MAX(0,BJ345-SUM(AO345:AP345)))</f>
        <v/>
      </c>
      <c r="BB345" s="91">
        <f>MAX(0,AR345-MAX(0,BJ345-SUM(AO345:AQ345)))</f>
        <v/>
      </c>
      <c r="BC345" s="91">
        <f>MAX(0,AS345-MAX(0,BJ345-SUM(AO345:AR345)))</f>
        <v/>
      </c>
      <c r="BD345" s="91">
        <f>MAX(0,AT345-MAX(0,BJ345-SUM(AO345:AS345)))</f>
        <v/>
      </c>
      <c r="BE345" s="91">
        <f>MAX(0,AU345-MAX(0,BJ345-SUM(AO345:AT345)))</f>
        <v/>
      </c>
      <c r="BF345" s="91">
        <f>MAX(0,AV345-MAX(0,BJ345-SUM(AO345:AU345)))</f>
        <v/>
      </c>
      <c r="BG345" s="91">
        <f>MAX(0,AW345-MAX(0,BJ345-SUM(AO345:AV345)))</f>
        <v/>
      </c>
      <c r="BH345" s="91">
        <f>MAX(0,AX345-MAX(0,BJ345-SUM(AO345:AW345)))</f>
        <v/>
      </c>
      <c r="BI345" s="92">
        <f>SUM(AY344:BH344)+BK345</f>
        <v/>
      </c>
      <c r="BJ345" s="92">
        <f>$BJ$7-(BI345-SUM(AO345:AX345))</f>
        <v/>
      </c>
      <c r="BK345" s="91">
        <f>SUMPRODUCT(AY344:BH344,$AY$6:$BH$6)/12</f>
        <v/>
      </c>
      <c r="BL345" s="88">
        <f>SUM(AY345:BH345)</f>
        <v/>
      </c>
    </row>
    <row r="346">
      <c r="A346" s="24" t="n">
        <v>336</v>
      </c>
      <c r="B346" s="90">
        <f>DATE(YEAR(Settings!$C$11),MONTH(Settings!$C$11)+A346,1)</f>
        <v/>
      </c>
      <c r="C346" s="91">
        <f>IF(C345&lt;0.005,0,MAX(0,C345*(1+C$6/12)-C$7))</f>
        <v/>
      </c>
      <c r="D346" s="91">
        <f>IF(D345&lt;0.005,0,MAX(0,D345*(1+D$6/12)-D$7))</f>
        <v/>
      </c>
      <c r="E346" s="91">
        <f>IF(E345&lt;0.005,0,MAX(0,E345*(1+E$6/12)-E$7))</f>
        <v/>
      </c>
      <c r="F346" s="91">
        <f>IF(F345&lt;0.005,0,MAX(0,F345*(1+F$6/12)-F$7))</f>
        <v/>
      </c>
      <c r="G346" s="91">
        <f>IF(G345&lt;0.005,0,MAX(0,G345*(1+G$6/12)-G$7))</f>
        <v/>
      </c>
      <c r="H346" s="91">
        <f>IF(H345&lt;0.005,0,MAX(0,H345*(1+H$6/12)-H$7))</f>
        <v/>
      </c>
      <c r="I346" s="91">
        <f>IF(I345&lt;0.005,0,MAX(0,I345*(1+I$6/12)-I$7))</f>
        <v/>
      </c>
      <c r="J346" s="91">
        <f>IF(J345&lt;0.005,0,MAX(0,J345*(1+J$6/12)-J$7))</f>
        <v/>
      </c>
      <c r="K346" s="91">
        <f>IF(K345&lt;0.005,0,MAX(0,K345*(1+K$6/12)-K$7))</f>
        <v/>
      </c>
      <c r="L346" s="91">
        <f>IF(L345&lt;0.005,0,MAX(0,L345*(1+L$6/12)-L$7))</f>
        <v/>
      </c>
      <c r="M346" s="91">
        <f>SUMPRODUCT(C345:L345,$C$6:$L$6)/12</f>
        <v/>
      </c>
      <c r="N346" s="88">
        <f>SUM(C346:L346)</f>
        <v/>
      </c>
      <c r="P346" s="92">
        <f>IF(Z345&lt;0.005,0,MAX(0,Z345*(1+Z$6/12)-Z$7))</f>
        <v/>
      </c>
      <c r="Q346" s="92">
        <f>IF(AA345&lt;0.005,0,MAX(0,AA345*(1+AA$6/12)-AA$7))</f>
        <v/>
      </c>
      <c r="R346" s="92">
        <f>IF(AB345&lt;0.005,0,MAX(0,AB345*(1+AB$6/12)-AB$7))</f>
        <v/>
      </c>
      <c r="S346" s="92">
        <f>IF(AC345&lt;0.005,0,MAX(0,AC345*(1+AC$6/12)-AC$7))</f>
        <v/>
      </c>
      <c r="T346" s="92">
        <f>IF(AD345&lt;0.005,0,MAX(0,AD345*(1+AD$6/12)-AD$7))</f>
        <v/>
      </c>
      <c r="U346" s="92">
        <f>IF(AE345&lt;0.005,0,MAX(0,AE345*(1+AE$6/12)-AE$7))</f>
        <v/>
      </c>
      <c r="V346" s="92">
        <f>IF(AF345&lt;0.005,0,MAX(0,AF345*(1+AF$6/12)-AF$7))</f>
        <v/>
      </c>
      <c r="W346" s="92">
        <f>IF(AG345&lt;0.005,0,MAX(0,AG345*(1+AG$6/12)-AG$7))</f>
        <v/>
      </c>
      <c r="X346" s="92">
        <f>IF(AH345&lt;0.005,0,MAX(0,AH345*(1+AH$6/12)-AH$7))</f>
        <v/>
      </c>
      <c r="Y346" s="92">
        <f>IF(AI345&lt;0.005,0,MAX(0,AI345*(1+AI$6/12)-AI$7))</f>
        <v/>
      </c>
      <c r="Z346" s="91">
        <f>MAX(0,P346-MAX(0,AK346-0))</f>
        <v/>
      </c>
      <c r="AA346" s="91">
        <f>MAX(0,Q346-MAX(0,AK346-SUM(P346:P346)))</f>
        <v/>
      </c>
      <c r="AB346" s="91">
        <f>MAX(0,R346-MAX(0,AK346-SUM(P346:Q346)))</f>
        <v/>
      </c>
      <c r="AC346" s="91">
        <f>MAX(0,S346-MAX(0,AK346-SUM(P346:R346)))</f>
        <v/>
      </c>
      <c r="AD346" s="91">
        <f>MAX(0,T346-MAX(0,AK346-SUM(P346:S346)))</f>
        <v/>
      </c>
      <c r="AE346" s="91">
        <f>MAX(0,U346-MAX(0,AK346-SUM(P346:T346)))</f>
        <v/>
      </c>
      <c r="AF346" s="91">
        <f>MAX(0,V346-MAX(0,AK346-SUM(P346:U346)))</f>
        <v/>
      </c>
      <c r="AG346" s="91">
        <f>MAX(0,W346-MAX(0,AK346-SUM(P346:V346)))</f>
        <v/>
      </c>
      <c r="AH346" s="91">
        <f>MAX(0,X346-MAX(0,AK346-SUM(P346:W346)))</f>
        <v/>
      </c>
      <c r="AI346" s="91">
        <f>MAX(0,Y346-MAX(0,AK346-SUM(P346:X346)))</f>
        <v/>
      </c>
      <c r="AJ346" s="92">
        <f>SUM(Z345:AI345)+AL346</f>
        <v/>
      </c>
      <c r="AK346" s="92">
        <f>$AK$7-(AJ346-SUM(P346:Y346))</f>
        <v/>
      </c>
      <c r="AL346" s="91">
        <f>SUMPRODUCT(Z345:AI345,$Z$6:$AI$6)/12</f>
        <v/>
      </c>
      <c r="AM346" s="88">
        <f>SUM(Z346:AI346)</f>
        <v/>
      </c>
      <c r="AO346" s="92">
        <f>IF(AY345&lt;0.005,0,MAX(0,AY345*(1+AY$6/12)-AY$7))</f>
        <v/>
      </c>
      <c r="AP346" s="92">
        <f>IF(AZ345&lt;0.005,0,MAX(0,AZ345*(1+AZ$6/12)-AZ$7))</f>
        <v/>
      </c>
      <c r="AQ346" s="92">
        <f>IF(BA345&lt;0.005,0,MAX(0,BA345*(1+BA$6/12)-BA$7))</f>
        <v/>
      </c>
      <c r="AR346" s="92">
        <f>IF(BB345&lt;0.005,0,MAX(0,BB345*(1+BB$6/12)-BB$7))</f>
        <v/>
      </c>
      <c r="AS346" s="92">
        <f>IF(BC345&lt;0.005,0,MAX(0,BC345*(1+BC$6/12)-BC$7))</f>
        <v/>
      </c>
      <c r="AT346" s="92">
        <f>IF(BD345&lt;0.005,0,MAX(0,BD345*(1+BD$6/12)-BD$7))</f>
        <v/>
      </c>
      <c r="AU346" s="92">
        <f>IF(BE345&lt;0.005,0,MAX(0,BE345*(1+BE$6/12)-BE$7))</f>
        <v/>
      </c>
      <c r="AV346" s="92">
        <f>IF(BF345&lt;0.005,0,MAX(0,BF345*(1+BF$6/12)-BF$7))</f>
        <v/>
      </c>
      <c r="AW346" s="92">
        <f>IF(BG345&lt;0.005,0,MAX(0,BG345*(1+BG$6/12)-BG$7))</f>
        <v/>
      </c>
      <c r="AX346" s="92">
        <f>IF(BH345&lt;0.005,0,MAX(0,BH345*(1+BH$6/12)-BH$7))</f>
        <v/>
      </c>
      <c r="AY346" s="91">
        <f>MAX(0,AO346-MAX(0,BJ346-0))</f>
        <v/>
      </c>
      <c r="AZ346" s="91">
        <f>MAX(0,AP346-MAX(0,BJ346-SUM(AO346:AO346)))</f>
        <v/>
      </c>
      <c r="BA346" s="91">
        <f>MAX(0,AQ346-MAX(0,BJ346-SUM(AO346:AP346)))</f>
        <v/>
      </c>
      <c r="BB346" s="91">
        <f>MAX(0,AR346-MAX(0,BJ346-SUM(AO346:AQ346)))</f>
        <v/>
      </c>
      <c r="BC346" s="91">
        <f>MAX(0,AS346-MAX(0,BJ346-SUM(AO346:AR346)))</f>
        <v/>
      </c>
      <c r="BD346" s="91">
        <f>MAX(0,AT346-MAX(0,BJ346-SUM(AO346:AS346)))</f>
        <v/>
      </c>
      <c r="BE346" s="91">
        <f>MAX(0,AU346-MAX(0,BJ346-SUM(AO346:AT346)))</f>
        <v/>
      </c>
      <c r="BF346" s="91">
        <f>MAX(0,AV346-MAX(0,BJ346-SUM(AO346:AU346)))</f>
        <v/>
      </c>
      <c r="BG346" s="91">
        <f>MAX(0,AW346-MAX(0,BJ346-SUM(AO346:AV346)))</f>
        <v/>
      </c>
      <c r="BH346" s="91">
        <f>MAX(0,AX346-MAX(0,BJ346-SUM(AO346:AW346)))</f>
        <v/>
      </c>
      <c r="BI346" s="92">
        <f>SUM(AY345:BH345)+BK346</f>
        <v/>
      </c>
      <c r="BJ346" s="92">
        <f>$BJ$7-(BI346-SUM(AO346:AX346))</f>
        <v/>
      </c>
      <c r="BK346" s="91">
        <f>SUMPRODUCT(AY345:BH345,$AY$6:$BH$6)/12</f>
        <v/>
      </c>
      <c r="BL346" s="88">
        <f>SUM(AY346:BH346)</f>
        <v/>
      </c>
    </row>
    <row r="347">
      <c r="A347" s="24" t="n">
        <v>337</v>
      </c>
      <c r="B347" s="90">
        <f>DATE(YEAR(Settings!$C$11),MONTH(Settings!$C$11)+A347,1)</f>
        <v/>
      </c>
      <c r="C347" s="91">
        <f>IF(C346&lt;0.005,0,MAX(0,C346*(1+C$6/12)-C$7))</f>
        <v/>
      </c>
      <c r="D347" s="91">
        <f>IF(D346&lt;0.005,0,MAX(0,D346*(1+D$6/12)-D$7))</f>
        <v/>
      </c>
      <c r="E347" s="91">
        <f>IF(E346&lt;0.005,0,MAX(0,E346*(1+E$6/12)-E$7))</f>
        <v/>
      </c>
      <c r="F347" s="91">
        <f>IF(F346&lt;0.005,0,MAX(0,F346*(1+F$6/12)-F$7))</f>
        <v/>
      </c>
      <c r="G347" s="91">
        <f>IF(G346&lt;0.005,0,MAX(0,G346*(1+G$6/12)-G$7))</f>
        <v/>
      </c>
      <c r="H347" s="91">
        <f>IF(H346&lt;0.005,0,MAX(0,H346*(1+H$6/12)-H$7))</f>
        <v/>
      </c>
      <c r="I347" s="91">
        <f>IF(I346&lt;0.005,0,MAX(0,I346*(1+I$6/12)-I$7))</f>
        <v/>
      </c>
      <c r="J347" s="91">
        <f>IF(J346&lt;0.005,0,MAX(0,J346*(1+J$6/12)-J$7))</f>
        <v/>
      </c>
      <c r="K347" s="91">
        <f>IF(K346&lt;0.005,0,MAX(0,K346*(1+K$6/12)-K$7))</f>
        <v/>
      </c>
      <c r="L347" s="91">
        <f>IF(L346&lt;0.005,0,MAX(0,L346*(1+L$6/12)-L$7))</f>
        <v/>
      </c>
      <c r="M347" s="91">
        <f>SUMPRODUCT(C346:L346,$C$6:$L$6)/12</f>
        <v/>
      </c>
      <c r="N347" s="88">
        <f>SUM(C347:L347)</f>
        <v/>
      </c>
      <c r="P347" s="92">
        <f>IF(Z346&lt;0.005,0,MAX(0,Z346*(1+Z$6/12)-Z$7))</f>
        <v/>
      </c>
      <c r="Q347" s="92">
        <f>IF(AA346&lt;0.005,0,MAX(0,AA346*(1+AA$6/12)-AA$7))</f>
        <v/>
      </c>
      <c r="R347" s="92">
        <f>IF(AB346&lt;0.005,0,MAX(0,AB346*(1+AB$6/12)-AB$7))</f>
        <v/>
      </c>
      <c r="S347" s="92">
        <f>IF(AC346&lt;0.005,0,MAX(0,AC346*(1+AC$6/12)-AC$7))</f>
        <v/>
      </c>
      <c r="T347" s="92">
        <f>IF(AD346&lt;0.005,0,MAX(0,AD346*(1+AD$6/12)-AD$7))</f>
        <v/>
      </c>
      <c r="U347" s="92">
        <f>IF(AE346&lt;0.005,0,MAX(0,AE346*(1+AE$6/12)-AE$7))</f>
        <v/>
      </c>
      <c r="V347" s="92">
        <f>IF(AF346&lt;0.005,0,MAX(0,AF346*(1+AF$6/12)-AF$7))</f>
        <v/>
      </c>
      <c r="W347" s="92">
        <f>IF(AG346&lt;0.005,0,MAX(0,AG346*(1+AG$6/12)-AG$7))</f>
        <v/>
      </c>
      <c r="X347" s="92">
        <f>IF(AH346&lt;0.005,0,MAX(0,AH346*(1+AH$6/12)-AH$7))</f>
        <v/>
      </c>
      <c r="Y347" s="92">
        <f>IF(AI346&lt;0.005,0,MAX(0,AI346*(1+AI$6/12)-AI$7))</f>
        <v/>
      </c>
      <c r="Z347" s="91">
        <f>MAX(0,P347-MAX(0,AK347-0))</f>
        <v/>
      </c>
      <c r="AA347" s="91">
        <f>MAX(0,Q347-MAX(0,AK347-SUM(P347:P347)))</f>
        <v/>
      </c>
      <c r="AB347" s="91">
        <f>MAX(0,R347-MAX(0,AK347-SUM(P347:Q347)))</f>
        <v/>
      </c>
      <c r="AC347" s="91">
        <f>MAX(0,S347-MAX(0,AK347-SUM(P347:R347)))</f>
        <v/>
      </c>
      <c r="AD347" s="91">
        <f>MAX(0,T347-MAX(0,AK347-SUM(P347:S347)))</f>
        <v/>
      </c>
      <c r="AE347" s="91">
        <f>MAX(0,U347-MAX(0,AK347-SUM(P347:T347)))</f>
        <v/>
      </c>
      <c r="AF347" s="91">
        <f>MAX(0,V347-MAX(0,AK347-SUM(P347:U347)))</f>
        <v/>
      </c>
      <c r="AG347" s="91">
        <f>MAX(0,W347-MAX(0,AK347-SUM(P347:V347)))</f>
        <v/>
      </c>
      <c r="AH347" s="91">
        <f>MAX(0,X347-MAX(0,AK347-SUM(P347:W347)))</f>
        <v/>
      </c>
      <c r="AI347" s="91">
        <f>MAX(0,Y347-MAX(0,AK347-SUM(P347:X347)))</f>
        <v/>
      </c>
      <c r="AJ347" s="92">
        <f>SUM(Z346:AI346)+AL347</f>
        <v/>
      </c>
      <c r="AK347" s="92">
        <f>$AK$7-(AJ347-SUM(P347:Y347))</f>
        <v/>
      </c>
      <c r="AL347" s="91">
        <f>SUMPRODUCT(Z346:AI346,$Z$6:$AI$6)/12</f>
        <v/>
      </c>
      <c r="AM347" s="88">
        <f>SUM(Z347:AI347)</f>
        <v/>
      </c>
      <c r="AO347" s="92">
        <f>IF(AY346&lt;0.005,0,MAX(0,AY346*(1+AY$6/12)-AY$7))</f>
        <v/>
      </c>
      <c r="AP347" s="92">
        <f>IF(AZ346&lt;0.005,0,MAX(0,AZ346*(1+AZ$6/12)-AZ$7))</f>
        <v/>
      </c>
      <c r="AQ347" s="92">
        <f>IF(BA346&lt;0.005,0,MAX(0,BA346*(1+BA$6/12)-BA$7))</f>
        <v/>
      </c>
      <c r="AR347" s="92">
        <f>IF(BB346&lt;0.005,0,MAX(0,BB346*(1+BB$6/12)-BB$7))</f>
        <v/>
      </c>
      <c r="AS347" s="92">
        <f>IF(BC346&lt;0.005,0,MAX(0,BC346*(1+BC$6/12)-BC$7))</f>
        <v/>
      </c>
      <c r="AT347" s="92">
        <f>IF(BD346&lt;0.005,0,MAX(0,BD346*(1+BD$6/12)-BD$7))</f>
        <v/>
      </c>
      <c r="AU347" s="92">
        <f>IF(BE346&lt;0.005,0,MAX(0,BE346*(1+BE$6/12)-BE$7))</f>
        <v/>
      </c>
      <c r="AV347" s="92">
        <f>IF(BF346&lt;0.005,0,MAX(0,BF346*(1+BF$6/12)-BF$7))</f>
        <v/>
      </c>
      <c r="AW347" s="92">
        <f>IF(BG346&lt;0.005,0,MAX(0,BG346*(1+BG$6/12)-BG$7))</f>
        <v/>
      </c>
      <c r="AX347" s="92">
        <f>IF(BH346&lt;0.005,0,MAX(0,BH346*(1+BH$6/12)-BH$7))</f>
        <v/>
      </c>
      <c r="AY347" s="91">
        <f>MAX(0,AO347-MAX(0,BJ347-0))</f>
        <v/>
      </c>
      <c r="AZ347" s="91">
        <f>MAX(0,AP347-MAX(0,BJ347-SUM(AO347:AO347)))</f>
        <v/>
      </c>
      <c r="BA347" s="91">
        <f>MAX(0,AQ347-MAX(0,BJ347-SUM(AO347:AP347)))</f>
        <v/>
      </c>
      <c r="BB347" s="91">
        <f>MAX(0,AR347-MAX(0,BJ347-SUM(AO347:AQ347)))</f>
        <v/>
      </c>
      <c r="BC347" s="91">
        <f>MAX(0,AS347-MAX(0,BJ347-SUM(AO347:AR347)))</f>
        <v/>
      </c>
      <c r="BD347" s="91">
        <f>MAX(0,AT347-MAX(0,BJ347-SUM(AO347:AS347)))</f>
        <v/>
      </c>
      <c r="BE347" s="91">
        <f>MAX(0,AU347-MAX(0,BJ347-SUM(AO347:AT347)))</f>
        <v/>
      </c>
      <c r="BF347" s="91">
        <f>MAX(0,AV347-MAX(0,BJ347-SUM(AO347:AU347)))</f>
        <v/>
      </c>
      <c r="BG347" s="91">
        <f>MAX(0,AW347-MAX(0,BJ347-SUM(AO347:AV347)))</f>
        <v/>
      </c>
      <c r="BH347" s="91">
        <f>MAX(0,AX347-MAX(0,BJ347-SUM(AO347:AW347)))</f>
        <v/>
      </c>
      <c r="BI347" s="92">
        <f>SUM(AY346:BH346)+BK347</f>
        <v/>
      </c>
      <c r="BJ347" s="92">
        <f>$BJ$7-(BI347-SUM(AO347:AX347))</f>
        <v/>
      </c>
      <c r="BK347" s="91">
        <f>SUMPRODUCT(AY346:BH346,$AY$6:$BH$6)/12</f>
        <v/>
      </c>
      <c r="BL347" s="88">
        <f>SUM(AY347:BH347)</f>
        <v/>
      </c>
    </row>
    <row r="348">
      <c r="A348" s="24" t="n">
        <v>338</v>
      </c>
      <c r="B348" s="90">
        <f>DATE(YEAR(Settings!$C$11),MONTH(Settings!$C$11)+A348,1)</f>
        <v/>
      </c>
      <c r="C348" s="91">
        <f>IF(C347&lt;0.005,0,MAX(0,C347*(1+C$6/12)-C$7))</f>
        <v/>
      </c>
      <c r="D348" s="91">
        <f>IF(D347&lt;0.005,0,MAX(0,D347*(1+D$6/12)-D$7))</f>
        <v/>
      </c>
      <c r="E348" s="91">
        <f>IF(E347&lt;0.005,0,MAX(0,E347*(1+E$6/12)-E$7))</f>
        <v/>
      </c>
      <c r="F348" s="91">
        <f>IF(F347&lt;0.005,0,MAX(0,F347*(1+F$6/12)-F$7))</f>
        <v/>
      </c>
      <c r="G348" s="91">
        <f>IF(G347&lt;0.005,0,MAX(0,G347*(1+G$6/12)-G$7))</f>
        <v/>
      </c>
      <c r="H348" s="91">
        <f>IF(H347&lt;0.005,0,MAX(0,H347*(1+H$6/12)-H$7))</f>
        <v/>
      </c>
      <c r="I348" s="91">
        <f>IF(I347&lt;0.005,0,MAX(0,I347*(1+I$6/12)-I$7))</f>
        <v/>
      </c>
      <c r="J348" s="91">
        <f>IF(J347&lt;0.005,0,MAX(0,J347*(1+J$6/12)-J$7))</f>
        <v/>
      </c>
      <c r="K348" s="91">
        <f>IF(K347&lt;0.005,0,MAX(0,K347*(1+K$6/12)-K$7))</f>
        <v/>
      </c>
      <c r="L348" s="91">
        <f>IF(L347&lt;0.005,0,MAX(0,L347*(1+L$6/12)-L$7))</f>
        <v/>
      </c>
      <c r="M348" s="91">
        <f>SUMPRODUCT(C347:L347,$C$6:$L$6)/12</f>
        <v/>
      </c>
      <c r="N348" s="88">
        <f>SUM(C348:L348)</f>
        <v/>
      </c>
      <c r="P348" s="92">
        <f>IF(Z347&lt;0.005,0,MAX(0,Z347*(1+Z$6/12)-Z$7))</f>
        <v/>
      </c>
      <c r="Q348" s="92">
        <f>IF(AA347&lt;0.005,0,MAX(0,AA347*(1+AA$6/12)-AA$7))</f>
        <v/>
      </c>
      <c r="R348" s="92">
        <f>IF(AB347&lt;0.005,0,MAX(0,AB347*(1+AB$6/12)-AB$7))</f>
        <v/>
      </c>
      <c r="S348" s="92">
        <f>IF(AC347&lt;0.005,0,MAX(0,AC347*(1+AC$6/12)-AC$7))</f>
        <v/>
      </c>
      <c r="T348" s="92">
        <f>IF(AD347&lt;0.005,0,MAX(0,AD347*(1+AD$6/12)-AD$7))</f>
        <v/>
      </c>
      <c r="U348" s="92">
        <f>IF(AE347&lt;0.005,0,MAX(0,AE347*(1+AE$6/12)-AE$7))</f>
        <v/>
      </c>
      <c r="V348" s="92">
        <f>IF(AF347&lt;0.005,0,MAX(0,AF347*(1+AF$6/12)-AF$7))</f>
        <v/>
      </c>
      <c r="W348" s="92">
        <f>IF(AG347&lt;0.005,0,MAX(0,AG347*(1+AG$6/12)-AG$7))</f>
        <v/>
      </c>
      <c r="X348" s="92">
        <f>IF(AH347&lt;0.005,0,MAX(0,AH347*(1+AH$6/12)-AH$7))</f>
        <v/>
      </c>
      <c r="Y348" s="92">
        <f>IF(AI347&lt;0.005,0,MAX(0,AI347*(1+AI$6/12)-AI$7))</f>
        <v/>
      </c>
      <c r="Z348" s="91">
        <f>MAX(0,P348-MAX(0,AK348-0))</f>
        <v/>
      </c>
      <c r="AA348" s="91">
        <f>MAX(0,Q348-MAX(0,AK348-SUM(P348:P348)))</f>
        <v/>
      </c>
      <c r="AB348" s="91">
        <f>MAX(0,R348-MAX(0,AK348-SUM(P348:Q348)))</f>
        <v/>
      </c>
      <c r="AC348" s="91">
        <f>MAX(0,S348-MAX(0,AK348-SUM(P348:R348)))</f>
        <v/>
      </c>
      <c r="AD348" s="91">
        <f>MAX(0,T348-MAX(0,AK348-SUM(P348:S348)))</f>
        <v/>
      </c>
      <c r="AE348" s="91">
        <f>MAX(0,U348-MAX(0,AK348-SUM(P348:T348)))</f>
        <v/>
      </c>
      <c r="AF348" s="91">
        <f>MAX(0,V348-MAX(0,AK348-SUM(P348:U348)))</f>
        <v/>
      </c>
      <c r="AG348" s="91">
        <f>MAX(0,W348-MAX(0,AK348-SUM(P348:V348)))</f>
        <v/>
      </c>
      <c r="AH348" s="91">
        <f>MAX(0,X348-MAX(0,AK348-SUM(P348:W348)))</f>
        <v/>
      </c>
      <c r="AI348" s="91">
        <f>MAX(0,Y348-MAX(0,AK348-SUM(P348:X348)))</f>
        <v/>
      </c>
      <c r="AJ348" s="92">
        <f>SUM(Z347:AI347)+AL348</f>
        <v/>
      </c>
      <c r="AK348" s="92">
        <f>$AK$7-(AJ348-SUM(P348:Y348))</f>
        <v/>
      </c>
      <c r="AL348" s="91">
        <f>SUMPRODUCT(Z347:AI347,$Z$6:$AI$6)/12</f>
        <v/>
      </c>
      <c r="AM348" s="88">
        <f>SUM(Z348:AI348)</f>
        <v/>
      </c>
      <c r="AO348" s="92">
        <f>IF(AY347&lt;0.005,0,MAX(0,AY347*(1+AY$6/12)-AY$7))</f>
        <v/>
      </c>
      <c r="AP348" s="92">
        <f>IF(AZ347&lt;0.005,0,MAX(0,AZ347*(1+AZ$6/12)-AZ$7))</f>
        <v/>
      </c>
      <c r="AQ348" s="92">
        <f>IF(BA347&lt;0.005,0,MAX(0,BA347*(1+BA$6/12)-BA$7))</f>
        <v/>
      </c>
      <c r="AR348" s="92">
        <f>IF(BB347&lt;0.005,0,MAX(0,BB347*(1+BB$6/12)-BB$7))</f>
        <v/>
      </c>
      <c r="AS348" s="92">
        <f>IF(BC347&lt;0.005,0,MAX(0,BC347*(1+BC$6/12)-BC$7))</f>
        <v/>
      </c>
      <c r="AT348" s="92">
        <f>IF(BD347&lt;0.005,0,MAX(0,BD347*(1+BD$6/12)-BD$7))</f>
        <v/>
      </c>
      <c r="AU348" s="92">
        <f>IF(BE347&lt;0.005,0,MAX(0,BE347*(1+BE$6/12)-BE$7))</f>
        <v/>
      </c>
      <c r="AV348" s="92">
        <f>IF(BF347&lt;0.005,0,MAX(0,BF347*(1+BF$6/12)-BF$7))</f>
        <v/>
      </c>
      <c r="AW348" s="92">
        <f>IF(BG347&lt;0.005,0,MAX(0,BG347*(1+BG$6/12)-BG$7))</f>
        <v/>
      </c>
      <c r="AX348" s="92">
        <f>IF(BH347&lt;0.005,0,MAX(0,BH347*(1+BH$6/12)-BH$7))</f>
        <v/>
      </c>
      <c r="AY348" s="91">
        <f>MAX(0,AO348-MAX(0,BJ348-0))</f>
        <v/>
      </c>
      <c r="AZ348" s="91">
        <f>MAX(0,AP348-MAX(0,BJ348-SUM(AO348:AO348)))</f>
        <v/>
      </c>
      <c r="BA348" s="91">
        <f>MAX(0,AQ348-MAX(0,BJ348-SUM(AO348:AP348)))</f>
        <v/>
      </c>
      <c r="BB348" s="91">
        <f>MAX(0,AR348-MAX(0,BJ348-SUM(AO348:AQ348)))</f>
        <v/>
      </c>
      <c r="BC348" s="91">
        <f>MAX(0,AS348-MAX(0,BJ348-SUM(AO348:AR348)))</f>
        <v/>
      </c>
      <c r="BD348" s="91">
        <f>MAX(0,AT348-MAX(0,BJ348-SUM(AO348:AS348)))</f>
        <v/>
      </c>
      <c r="BE348" s="91">
        <f>MAX(0,AU348-MAX(0,BJ348-SUM(AO348:AT348)))</f>
        <v/>
      </c>
      <c r="BF348" s="91">
        <f>MAX(0,AV348-MAX(0,BJ348-SUM(AO348:AU348)))</f>
        <v/>
      </c>
      <c r="BG348" s="91">
        <f>MAX(0,AW348-MAX(0,BJ348-SUM(AO348:AV348)))</f>
        <v/>
      </c>
      <c r="BH348" s="91">
        <f>MAX(0,AX348-MAX(0,BJ348-SUM(AO348:AW348)))</f>
        <v/>
      </c>
      <c r="BI348" s="92">
        <f>SUM(AY347:BH347)+BK348</f>
        <v/>
      </c>
      <c r="BJ348" s="92">
        <f>$BJ$7-(BI348-SUM(AO348:AX348))</f>
        <v/>
      </c>
      <c r="BK348" s="91">
        <f>SUMPRODUCT(AY347:BH347,$AY$6:$BH$6)/12</f>
        <v/>
      </c>
      <c r="BL348" s="88">
        <f>SUM(AY348:BH348)</f>
        <v/>
      </c>
    </row>
    <row r="349">
      <c r="A349" s="24" t="n">
        <v>339</v>
      </c>
      <c r="B349" s="90">
        <f>DATE(YEAR(Settings!$C$11),MONTH(Settings!$C$11)+A349,1)</f>
        <v/>
      </c>
      <c r="C349" s="91">
        <f>IF(C348&lt;0.005,0,MAX(0,C348*(1+C$6/12)-C$7))</f>
        <v/>
      </c>
      <c r="D349" s="91">
        <f>IF(D348&lt;0.005,0,MAX(0,D348*(1+D$6/12)-D$7))</f>
        <v/>
      </c>
      <c r="E349" s="91">
        <f>IF(E348&lt;0.005,0,MAX(0,E348*(1+E$6/12)-E$7))</f>
        <v/>
      </c>
      <c r="F349" s="91">
        <f>IF(F348&lt;0.005,0,MAX(0,F348*(1+F$6/12)-F$7))</f>
        <v/>
      </c>
      <c r="G349" s="91">
        <f>IF(G348&lt;0.005,0,MAX(0,G348*(1+G$6/12)-G$7))</f>
        <v/>
      </c>
      <c r="H349" s="91">
        <f>IF(H348&lt;0.005,0,MAX(0,H348*(1+H$6/12)-H$7))</f>
        <v/>
      </c>
      <c r="I349" s="91">
        <f>IF(I348&lt;0.005,0,MAX(0,I348*(1+I$6/12)-I$7))</f>
        <v/>
      </c>
      <c r="J349" s="91">
        <f>IF(J348&lt;0.005,0,MAX(0,J348*(1+J$6/12)-J$7))</f>
        <v/>
      </c>
      <c r="K349" s="91">
        <f>IF(K348&lt;0.005,0,MAX(0,K348*(1+K$6/12)-K$7))</f>
        <v/>
      </c>
      <c r="L349" s="91">
        <f>IF(L348&lt;0.005,0,MAX(0,L348*(1+L$6/12)-L$7))</f>
        <v/>
      </c>
      <c r="M349" s="91">
        <f>SUMPRODUCT(C348:L348,$C$6:$L$6)/12</f>
        <v/>
      </c>
      <c r="N349" s="88">
        <f>SUM(C349:L349)</f>
        <v/>
      </c>
      <c r="P349" s="92">
        <f>IF(Z348&lt;0.005,0,MAX(0,Z348*(1+Z$6/12)-Z$7))</f>
        <v/>
      </c>
      <c r="Q349" s="92">
        <f>IF(AA348&lt;0.005,0,MAX(0,AA348*(1+AA$6/12)-AA$7))</f>
        <v/>
      </c>
      <c r="R349" s="92">
        <f>IF(AB348&lt;0.005,0,MAX(0,AB348*(1+AB$6/12)-AB$7))</f>
        <v/>
      </c>
      <c r="S349" s="92">
        <f>IF(AC348&lt;0.005,0,MAX(0,AC348*(1+AC$6/12)-AC$7))</f>
        <v/>
      </c>
      <c r="T349" s="92">
        <f>IF(AD348&lt;0.005,0,MAX(0,AD348*(1+AD$6/12)-AD$7))</f>
        <v/>
      </c>
      <c r="U349" s="92">
        <f>IF(AE348&lt;0.005,0,MAX(0,AE348*(1+AE$6/12)-AE$7))</f>
        <v/>
      </c>
      <c r="V349" s="92">
        <f>IF(AF348&lt;0.005,0,MAX(0,AF348*(1+AF$6/12)-AF$7))</f>
        <v/>
      </c>
      <c r="W349" s="92">
        <f>IF(AG348&lt;0.005,0,MAX(0,AG348*(1+AG$6/12)-AG$7))</f>
        <v/>
      </c>
      <c r="X349" s="92">
        <f>IF(AH348&lt;0.005,0,MAX(0,AH348*(1+AH$6/12)-AH$7))</f>
        <v/>
      </c>
      <c r="Y349" s="92">
        <f>IF(AI348&lt;0.005,0,MAX(0,AI348*(1+AI$6/12)-AI$7))</f>
        <v/>
      </c>
      <c r="Z349" s="91">
        <f>MAX(0,P349-MAX(0,AK349-0))</f>
        <v/>
      </c>
      <c r="AA349" s="91">
        <f>MAX(0,Q349-MAX(0,AK349-SUM(P349:P349)))</f>
        <v/>
      </c>
      <c r="AB349" s="91">
        <f>MAX(0,R349-MAX(0,AK349-SUM(P349:Q349)))</f>
        <v/>
      </c>
      <c r="AC349" s="91">
        <f>MAX(0,S349-MAX(0,AK349-SUM(P349:R349)))</f>
        <v/>
      </c>
      <c r="AD349" s="91">
        <f>MAX(0,T349-MAX(0,AK349-SUM(P349:S349)))</f>
        <v/>
      </c>
      <c r="AE349" s="91">
        <f>MAX(0,U349-MAX(0,AK349-SUM(P349:T349)))</f>
        <v/>
      </c>
      <c r="AF349" s="91">
        <f>MAX(0,V349-MAX(0,AK349-SUM(P349:U349)))</f>
        <v/>
      </c>
      <c r="AG349" s="91">
        <f>MAX(0,W349-MAX(0,AK349-SUM(P349:V349)))</f>
        <v/>
      </c>
      <c r="AH349" s="91">
        <f>MAX(0,X349-MAX(0,AK349-SUM(P349:W349)))</f>
        <v/>
      </c>
      <c r="AI349" s="91">
        <f>MAX(0,Y349-MAX(0,AK349-SUM(P349:X349)))</f>
        <v/>
      </c>
      <c r="AJ349" s="92">
        <f>SUM(Z348:AI348)+AL349</f>
        <v/>
      </c>
      <c r="AK349" s="92">
        <f>$AK$7-(AJ349-SUM(P349:Y349))</f>
        <v/>
      </c>
      <c r="AL349" s="91">
        <f>SUMPRODUCT(Z348:AI348,$Z$6:$AI$6)/12</f>
        <v/>
      </c>
      <c r="AM349" s="88">
        <f>SUM(Z349:AI349)</f>
        <v/>
      </c>
      <c r="AO349" s="92">
        <f>IF(AY348&lt;0.005,0,MAX(0,AY348*(1+AY$6/12)-AY$7))</f>
        <v/>
      </c>
      <c r="AP349" s="92">
        <f>IF(AZ348&lt;0.005,0,MAX(0,AZ348*(1+AZ$6/12)-AZ$7))</f>
        <v/>
      </c>
      <c r="AQ349" s="92">
        <f>IF(BA348&lt;0.005,0,MAX(0,BA348*(1+BA$6/12)-BA$7))</f>
        <v/>
      </c>
      <c r="AR349" s="92">
        <f>IF(BB348&lt;0.005,0,MAX(0,BB348*(1+BB$6/12)-BB$7))</f>
        <v/>
      </c>
      <c r="AS349" s="92">
        <f>IF(BC348&lt;0.005,0,MAX(0,BC348*(1+BC$6/12)-BC$7))</f>
        <v/>
      </c>
      <c r="AT349" s="92">
        <f>IF(BD348&lt;0.005,0,MAX(0,BD348*(1+BD$6/12)-BD$7))</f>
        <v/>
      </c>
      <c r="AU349" s="92">
        <f>IF(BE348&lt;0.005,0,MAX(0,BE348*(1+BE$6/12)-BE$7))</f>
        <v/>
      </c>
      <c r="AV349" s="92">
        <f>IF(BF348&lt;0.005,0,MAX(0,BF348*(1+BF$6/12)-BF$7))</f>
        <v/>
      </c>
      <c r="AW349" s="92">
        <f>IF(BG348&lt;0.005,0,MAX(0,BG348*(1+BG$6/12)-BG$7))</f>
        <v/>
      </c>
      <c r="AX349" s="92">
        <f>IF(BH348&lt;0.005,0,MAX(0,BH348*(1+BH$6/12)-BH$7))</f>
        <v/>
      </c>
      <c r="AY349" s="91">
        <f>MAX(0,AO349-MAX(0,BJ349-0))</f>
        <v/>
      </c>
      <c r="AZ349" s="91">
        <f>MAX(0,AP349-MAX(0,BJ349-SUM(AO349:AO349)))</f>
        <v/>
      </c>
      <c r="BA349" s="91">
        <f>MAX(0,AQ349-MAX(0,BJ349-SUM(AO349:AP349)))</f>
        <v/>
      </c>
      <c r="BB349" s="91">
        <f>MAX(0,AR349-MAX(0,BJ349-SUM(AO349:AQ349)))</f>
        <v/>
      </c>
      <c r="BC349" s="91">
        <f>MAX(0,AS349-MAX(0,BJ349-SUM(AO349:AR349)))</f>
        <v/>
      </c>
      <c r="BD349" s="91">
        <f>MAX(0,AT349-MAX(0,BJ349-SUM(AO349:AS349)))</f>
        <v/>
      </c>
      <c r="BE349" s="91">
        <f>MAX(0,AU349-MAX(0,BJ349-SUM(AO349:AT349)))</f>
        <v/>
      </c>
      <c r="BF349" s="91">
        <f>MAX(0,AV349-MAX(0,BJ349-SUM(AO349:AU349)))</f>
        <v/>
      </c>
      <c r="BG349" s="91">
        <f>MAX(0,AW349-MAX(0,BJ349-SUM(AO349:AV349)))</f>
        <v/>
      </c>
      <c r="BH349" s="91">
        <f>MAX(0,AX349-MAX(0,BJ349-SUM(AO349:AW349)))</f>
        <v/>
      </c>
      <c r="BI349" s="92">
        <f>SUM(AY348:BH348)+BK349</f>
        <v/>
      </c>
      <c r="BJ349" s="92">
        <f>$BJ$7-(BI349-SUM(AO349:AX349))</f>
        <v/>
      </c>
      <c r="BK349" s="91">
        <f>SUMPRODUCT(AY348:BH348,$AY$6:$BH$6)/12</f>
        <v/>
      </c>
      <c r="BL349" s="88">
        <f>SUM(AY349:BH349)</f>
        <v/>
      </c>
    </row>
    <row r="350">
      <c r="A350" s="24" t="n">
        <v>340</v>
      </c>
      <c r="B350" s="90">
        <f>DATE(YEAR(Settings!$C$11),MONTH(Settings!$C$11)+A350,1)</f>
        <v/>
      </c>
      <c r="C350" s="91">
        <f>IF(C349&lt;0.005,0,MAX(0,C349*(1+C$6/12)-C$7))</f>
        <v/>
      </c>
      <c r="D350" s="91">
        <f>IF(D349&lt;0.005,0,MAX(0,D349*(1+D$6/12)-D$7))</f>
        <v/>
      </c>
      <c r="E350" s="91">
        <f>IF(E349&lt;0.005,0,MAX(0,E349*(1+E$6/12)-E$7))</f>
        <v/>
      </c>
      <c r="F350" s="91">
        <f>IF(F349&lt;0.005,0,MAX(0,F349*(1+F$6/12)-F$7))</f>
        <v/>
      </c>
      <c r="G350" s="91">
        <f>IF(G349&lt;0.005,0,MAX(0,G349*(1+G$6/12)-G$7))</f>
        <v/>
      </c>
      <c r="H350" s="91">
        <f>IF(H349&lt;0.005,0,MAX(0,H349*(1+H$6/12)-H$7))</f>
        <v/>
      </c>
      <c r="I350" s="91">
        <f>IF(I349&lt;0.005,0,MAX(0,I349*(1+I$6/12)-I$7))</f>
        <v/>
      </c>
      <c r="J350" s="91">
        <f>IF(J349&lt;0.005,0,MAX(0,J349*(1+J$6/12)-J$7))</f>
        <v/>
      </c>
      <c r="K350" s="91">
        <f>IF(K349&lt;0.005,0,MAX(0,K349*(1+K$6/12)-K$7))</f>
        <v/>
      </c>
      <c r="L350" s="91">
        <f>IF(L349&lt;0.005,0,MAX(0,L349*(1+L$6/12)-L$7))</f>
        <v/>
      </c>
      <c r="M350" s="91">
        <f>SUMPRODUCT(C349:L349,$C$6:$L$6)/12</f>
        <v/>
      </c>
      <c r="N350" s="88">
        <f>SUM(C350:L350)</f>
        <v/>
      </c>
      <c r="P350" s="92">
        <f>IF(Z349&lt;0.005,0,MAX(0,Z349*(1+Z$6/12)-Z$7))</f>
        <v/>
      </c>
      <c r="Q350" s="92">
        <f>IF(AA349&lt;0.005,0,MAX(0,AA349*(1+AA$6/12)-AA$7))</f>
        <v/>
      </c>
      <c r="R350" s="92">
        <f>IF(AB349&lt;0.005,0,MAX(0,AB349*(1+AB$6/12)-AB$7))</f>
        <v/>
      </c>
      <c r="S350" s="92">
        <f>IF(AC349&lt;0.005,0,MAX(0,AC349*(1+AC$6/12)-AC$7))</f>
        <v/>
      </c>
      <c r="T350" s="92">
        <f>IF(AD349&lt;0.005,0,MAX(0,AD349*(1+AD$6/12)-AD$7))</f>
        <v/>
      </c>
      <c r="U350" s="92">
        <f>IF(AE349&lt;0.005,0,MAX(0,AE349*(1+AE$6/12)-AE$7))</f>
        <v/>
      </c>
      <c r="V350" s="92">
        <f>IF(AF349&lt;0.005,0,MAX(0,AF349*(1+AF$6/12)-AF$7))</f>
        <v/>
      </c>
      <c r="W350" s="92">
        <f>IF(AG349&lt;0.005,0,MAX(0,AG349*(1+AG$6/12)-AG$7))</f>
        <v/>
      </c>
      <c r="X350" s="92">
        <f>IF(AH349&lt;0.005,0,MAX(0,AH349*(1+AH$6/12)-AH$7))</f>
        <v/>
      </c>
      <c r="Y350" s="92">
        <f>IF(AI349&lt;0.005,0,MAX(0,AI349*(1+AI$6/12)-AI$7))</f>
        <v/>
      </c>
      <c r="Z350" s="91">
        <f>MAX(0,P350-MAX(0,AK350-0))</f>
        <v/>
      </c>
      <c r="AA350" s="91">
        <f>MAX(0,Q350-MAX(0,AK350-SUM(P350:P350)))</f>
        <v/>
      </c>
      <c r="AB350" s="91">
        <f>MAX(0,R350-MAX(0,AK350-SUM(P350:Q350)))</f>
        <v/>
      </c>
      <c r="AC350" s="91">
        <f>MAX(0,S350-MAX(0,AK350-SUM(P350:R350)))</f>
        <v/>
      </c>
      <c r="AD350" s="91">
        <f>MAX(0,T350-MAX(0,AK350-SUM(P350:S350)))</f>
        <v/>
      </c>
      <c r="AE350" s="91">
        <f>MAX(0,U350-MAX(0,AK350-SUM(P350:T350)))</f>
        <v/>
      </c>
      <c r="AF350" s="91">
        <f>MAX(0,V350-MAX(0,AK350-SUM(P350:U350)))</f>
        <v/>
      </c>
      <c r="AG350" s="91">
        <f>MAX(0,W350-MAX(0,AK350-SUM(P350:V350)))</f>
        <v/>
      </c>
      <c r="AH350" s="91">
        <f>MAX(0,X350-MAX(0,AK350-SUM(P350:W350)))</f>
        <v/>
      </c>
      <c r="AI350" s="91">
        <f>MAX(0,Y350-MAX(0,AK350-SUM(P350:X350)))</f>
        <v/>
      </c>
      <c r="AJ350" s="92">
        <f>SUM(Z349:AI349)+AL350</f>
        <v/>
      </c>
      <c r="AK350" s="92">
        <f>$AK$7-(AJ350-SUM(P350:Y350))</f>
        <v/>
      </c>
      <c r="AL350" s="91">
        <f>SUMPRODUCT(Z349:AI349,$Z$6:$AI$6)/12</f>
        <v/>
      </c>
      <c r="AM350" s="88">
        <f>SUM(Z350:AI350)</f>
        <v/>
      </c>
      <c r="AO350" s="92">
        <f>IF(AY349&lt;0.005,0,MAX(0,AY349*(1+AY$6/12)-AY$7))</f>
        <v/>
      </c>
      <c r="AP350" s="92">
        <f>IF(AZ349&lt;0.005,0,MAX(0,AZ349*(1+AZ$6/12)-AZ$7))</f>
        <v/>
      </c>
      <c r="AQ350" s="92">
        <f>IF(BA349&lt;0.005,0,MAX(0,BA349*(1+BA$6/12)-BA$7))</f>
        <v/>
      </c>
      <c r="AR350" s="92">
        <f>IF(BB349&lt;0.005,0,MAX(0,BB349*(1+BB$6/12)-BB$7))</f>
        <v/>
      </c>
      <c r="AS350" s="92">
        <f>IF(BC349&lt;0.005,0,MAX(0,BC349*(1+BC$6/12)-BC$7))</f>
        <v/>
      </c>
      <c r="AT350" s="92">
        <f>IF(BD349&lt;0.005,0,MAX(0,BD349*(1+BD$6/12)-BD$7))</f>
        <v/>
      </c>
      <c r="AU350" s="92">
        <f>IF(BE349&lt;0.005,0,MAX(0,BE349*(1+BE$6/12)-BE$7))</f>
        <v/>
      </c>
      <c r="AV350" s="92">
        <f>IF(BF349&lt;0.005,0,MAX(0,BF349*(1+BF$6/12)-BF$7))</f>
        <v/>
      </c>
      <c r="AW350" s="92">
        <f>IF(BG349&lt;0.005,0,MAX(0,BG349*(1+BG$6/12)-BG$7))</f>
        <v/>
      </c>
      <c r="AX350" s="92">
        <f>IF(BH349&lt;0.005,0,MAX(0,BH349*(1+BH$6/12)-BH$7))</f>
        <v/>
      </c>
      <c r="AY350" s="91">
        <f>MAX(0,AO350-MAX(0,BJ350-0))</f>
        <v/>
      </c>
      <c r="AZ350" s="91">
        <f>MAX(0,AP350-MAX(0,BJ350-SUM(AO350:AO350)))</f>
        <v/>
      </c>
      <c r="BA350" s="91">
        <f>MAX(0,AQ350-MAX(0,BJ350-SUM(AO350:AP350)))</f>
        <v/>
      </c>
      <c r="BB350" s="91">
        <f>MAX(0,AR350-MAX(0,BJ350-SUM(AO350:AQ350)))</f>
        <v/>
      </c>
      <c r="BC350" s="91">
        <f>MAX(0,AS350-MAX(0,BJ350-SUM(AO350:AR350)))</f>
        <v/>
      </c>
      <c r="BD350" s="91">
        <f>MAX(0,AT350-MAX(0,BJ350-SUM(AO350:AS350)))</f>
        <v/>
      </c>
      <c r="BE350" s="91">
        <f>MAX(0,AU350-MAX(0,BJ350-SUM(AO350:AT350)))</f>
        <v/>
      </c>
      <c r="BF350" s="91">
        <f>MAX(0,AV350-MAX(0,BJ350-SUM(AO350:AU350)))</f>
        <v/>
      </c>
      <c r="BG350" s="91">
        <f>MAX(0,AW350-MAX(0,BJ350-SUM(AO350:AV350)))</f>
        <v/>
      </c>
      <c r="BH350" s="91">
        <f>MAX(0,AX350-MAX(0,BJ350-SUM(AO350:AW350)))</f>
        <v/>
      </c>
      <c r="BI350" s="92">
        <f>SUM(AY349:BH349)+BK350</f>
        <v/>
      </c>
      <c r="BJ350" s="92">
        <f>$BJ$7-(BI350-SUM(AO350:AX350))</f>
        <v/>
      </c>
      <c r="BK350" s="91">
        <f>SUMPRODUCT(AY349:BH349,$AY$6:$BH$6)/12</f>
        <v/>
      </c>
      <c r="BL350" s="88">
        <f>SUM(AY350:BH350)</f>
        <v/>
      </c>
    </row>
    <row r="351">
      <c r="A351" s="24" t="n">
        <v>341</v>
      </c>
      <c r="B351" s="90">
        <f>DATE(YEAR(Settings!$C$11),MONTH(Settings!$C$11)+A351,1)</f>
        <v/>
      </c>
      <c r="C351" s="91">
        <f>IF(C350&lt;0.005,0,MAX(0,C350*(1+C$6/12)-C$7))</f>
        <v/>
      </c>
      <c r="D351" s="91">
        <f>IF(D350&lt;0.005,0,MAX(0,D350*(1+D$6/12)-D$7))</f>
        <v/>
      </c>
      <c r="E351" s="91">
        <f>IF(E350&lt;0.005,0,MAX(0,E350*(1+E$6/12)-E$7))</f>
        <v/>
      </c>
      <c r="F351" s="91">
        <f>IF(F350&lt;0.005,0,MAX(0,F350*(1+F$6/12)-F$7))</f>
        <v/>
      </c>
      <c r="G351" s="91">
        <f>IF(G350&lt;0.005,0,MAX(0,G350*(1+G$6/12)-G$7))</f>
        <v/>
      </c>
      <c r="H351" s="91">
        <f>IF(H350&lt;0.005,0,MAX(0,H350*(1+H$6/12)-H$7))</f>
        <v/>
      </c>
      <c r="I351" s="91">
        <f>IF(I350&lt;0.005,0,MAX(0,I350*(1+I$6/12)-I$7))</f>
        <v/>
      </c>
      <c r="J351" s="91">
        <f>IF(J350&lt;0.005,0,MAX(0,J350*(1+J$6/12)-J$7))</f>
        <v/>
      </c>
      <c r="K351" s="91">
        <f>IF(K350&lt;0.005,0,MAX(0,K350*(1+K$6/12)-K$7))</f>
        <v/>
      </c>
      <c r="L351" s="91">
        <f>IF(L350&lt;0.005,0,MAX(0,L350*(1+L$6/12)-L$7))</f>
        <v/>
      </c>
      <c r="M351" s="91">
        <f>SUMPRODUCT(C350:L350,$C$6:$L$6)/12</f>
        <v/>
      </c>
      <c r="N351" s="88">
        <f>SUM(C351:L351)</f>
        <v/>
      </c>
      <c r="P351" s="92">
        <f>IF(Z350&lt;0.005,0,MAX(0,Z350*(1+Z$6/12)-Z$7))</f>
        <v/>
      </c>
      <c r="Q351" s="92">
        <f>IF(AA350&lt;0.005,0,MAX(0,AA350*(1+AA$6/12)-AA$7))</f>
        <v/>
      </c>
      <c r="R351" s="92">
        <f>IF(AB350&lt;0.005,0,MAX(0,AB350*(1+AB$6/12)-AB$7))</f>
        <v/>
      </c>
      <c r="S351" s="92">
        <f>IF(AC350&lt;0.005,0,MAX(0,AC350*(1+AC$6/12)-AC$7))</f>
        <v/>
      </c>
      <c r="T351" s="92">
        <f>IF(AD350&lt;0.005,0,MAX(0,AD350*(1+AD$6/12)-AD$7))</f>
        <v/>
      </c>
      <c r="U351" s="92">
        <f>IF(AE350&lt;0.005,0,MAX(0,AE350*(1+AE$6/12)-AE$7))</f>
        <v/>
      </c>
      <c r="V351" s="92">
        <f>IF(AF350&lt;0.005,0,MAX(0,AF350*(1+AF$6/12)-AF$7))</f>
        <v/>
      </c>
      <c r="W351" s="92">
        <f>IF(AG350&lt;0.005,0,MAX(0,AG350*(1+AG$6/12)-AG$7))</f>
        <v/>
      </c>
      <c r="X351" s="92">
        <f>IF(AH350&lt;0.005,0,MAX(0,AH350*(1+AH$6/12)-AH$7))</f>
        <v/>
      </c>
      <c r="Y351" s="92">
        <f>IF(AI350&lt;0.005,0,MAX(0,AI350*(1+AI$6/12)-AI$7))</f>
        <v/>
      </c>
      <c r="Z351" s="91">
        <f>MAX(0,P351-MAX(0,AK351-0))</f>
        <v/>
      </c>
      <c r="AA351" s="91">
        <f>MAX(0,Q351-MAX(0,AK351-SUM(P351:P351)))</f>
        <v/>
      </c>
      <c r="AB351" s="91">
        <f>MAX(0,R351-MAX(0,AK351-SUM(P351:Q351)))</f>
        <v/>
      </c>
      <c r="AC351" s="91">
        <f>MAX(0,S351-MAX(0,AK351-SUM(P351:R351)))</f>
        <v/>
      </c>
      <c r="AD351" s="91">
        <f>MAX(0,T351-MAX(0,AK351-SUM(P351:S351)))</f>
        <v/>
      </c>
      <c r="AE351" s="91">
        <f>MAX(0,U351-MAX(0,AK351-SUM(P351:T351)))</f>
        <v/>
      </c>
      <c r="AF351" s="91">
        <f>MAX(0,V351-MAX(0,AK351-SUM(P351:U351)))</f>
        <v/>
      </c>
      <c r="AG351" s="91">
        <f>MAX(0,W351-MAX(0,AK351-SUM(P351:V351)))</f>
        <v/>
      </c>
      <c r="AH351" s="91">
        <f>MAX(0,X351-MAX(0,AK351-SUM(P351:W351)))</f>
        <v/>
      </c>
      <c r="AI351" s="91">
        <f>MAX(0,Y351-MAX(0,AK351-SUM(P351:X351)))</f>
        <v/>
      </c>
      <c r="AJ351" s="92">
        <f>SUM(Z350:AI350)+AL351</f>
        <v/>
      </c>
      <c r="AK351" s="92">
        <f>$AK$7-(AJ351-SUM(P351:Y351))</f>
        <v/>
      </c>
      <c r="AL351" s="91">
        <f>SUMPRODUCT(Z350:AI350,$Z$6:$AI$6)/12</f>
        <v/>
      </c>
      <c r="AM351" s="88">
        <f>SUM(Z351:AI351)</f>
        <v/>
      </c>
      <c r="AO351" s="92">
        <f>IF(AY350&lt;0.005,0,MAX(0,AY350*(1+AY$6/12)-AY$7))</f>
        <v/>
      </c>
      <c r="AP351" s="92">
        <f>IF(AZ350&lt;0.005,0,MAX(0,AZ350*(1+AZ$6/12)-AZ$7))</f>
        <v/>
      </c>
      <c r="AQ351" s="92">
        <f>IF(BA350&lt;0.005,0,MAX(0,BA350*(1+BA$6/12)-BA$7))</f>
        <v/>
      </c>
      <c r="AR351" s="92">
        <f>IF(BB350&lt;0.005,0,MAX(0,BB350*(1+BB$6/12)-BB$7))</f>
        <v/>
      </c>
      <c r="AS351" s="92">
        <f>IF(BC350&lt;0.005,0,MAX(0,BC350*(1+BC$6/12)-BC$7))</f>
        <v/>
      </c>
      <c r="AT351" s="92">
        <f>IF(BD350&lt;0.005,0,MAX(0,BD350*(1+BD$6/12)-BD$7))</f>
        <v/>
      </c>
      <c r="AU351" s="92">
        <f>IF(BE350&lt;0.005,0,MAX(0,BE350*(1+BE$6/12)-BE$7))</f>
        <v/>
      </c>
      <c r="AV351" s="92">
        <f>IF(BF350&lt;0.005,0,MAX(0,BF350*(1+BF$6/12)-BF$7))</f>
        <v/>
      </c>
      <c r="AW351" s="92">
        <f>IF(BG350&lt;0.005,0,MAX(0,BG350*(1+BG$6/12)-BG$7))</f>
        <v/>
      </c>
      <c r="AX351" s="92">
        <f>IF(BH350&lt;0.005,0,MAX(0,BH350*(1+BH$6/12)-BH$7))</f>
        <v/>
      </c>
      <c r="AY351" s="91">
        <f>MAX(0,AO351-MAX(0,BJ351-0))</f>
        <v/>
      </c>
      <c r="AZ351" s="91">
        <f>MAX(0,AP351-MAX(0,BJ351-SUM(AO351:AO351)))</f>
        <v/>
      </c>
      <c r="BA351" s="91">
        <f>MAX(0,AQ351-MAX(0,BJ351-SUM(AO351:AP351)))</f>
        <v/>
      </c>
      <c r="BB351" s="91">
        <f>MAX(0,AR351-MAX(0,BJ351-SUM(AO351:AQ351)))</f>
        <v/>
      </c>
      <c r="BC351" s="91">
        <f>MAX(0,AS351-MAX(0,BJ351-SUM(AO351:AR351)))</f>
        <v/>
      </c>
      <c r="BD351" s="91">
        <f>MAX(0,AT351-MAX(0,BJ351-SUM(AO351:AS351)))</f>
        <v/>
      </c>
      <c r="BE351" s="91">
        <f>MAX(0,AU351-MAX(0,BJ351-SUM(AO351:AT351)))</f>
        <v/>
      </c>
      <c r="BF351" s="91">
        <f>MAX(0,AV351-MAX(0,BJ351-SUM(AO351:AU351)))</f>
        <v/>
      </c>
      <c r="BG351" s="91">
        <f>MAX(0,AW351-MAX(0,BJ351-SUM(AO351:AV351)))</f>
        <v/>
      </c>
      <c r="BH351" s="91">
        <f>MAX(0,AX351-MAX(0,BJ351-SUM(AO351:AW351)))</f>
        <v/>
      </c>
      <c r="BI351" s="92">
        <f>SUM(AY350:BH350)+BK351</f>
        <v/>
      </c>
      <c r="BJ351" s="92">
        <f>$BJ$7-(BI351-SUM(AO351:AX351))</f>
        <v/>
      </c>
      <c r="BK351" s="91">
        <f>SUMPRODUCT(AY350:BH350,$AY$6:$BH$6)/12</f>
        <v/>
      </c>
      <c r="BL351" s="88">
        <f>SUM(AY351:BH351)</f>
        <v/>
      </c>
    </row>
    <row r="352">
      <c r="A352" s="24" t="n">
        <v>342</v>
      </c>
      <c r="B352" s="90">
        <f>DATE(YEAR(Settings!$C$11),MONTH(Settings!$C$11)+A352,1)</f>
        <v/>
      </c>
      <c r="C352" s="91">
        <f>IF(C351&lt;0.005,0,MAX(0,C351*(1+C$6/12)-C$7))</f>
        <v/>
      </c>
      <c r="D352" s="91">
        <f>IF(D351&lt;0.005,0,MAX(0,D351*(1+D$6/12)-D$7))</f>
        <v/>
      </c>
      <c r="E352" s="91">
        <f>IF(E351&lt;0.005,0,MAX(0,E351*(1+E$6/12)-E$7))</f>
        <v/>
      </c>
      <c r="F352" s="91">
        <f>IF(F351&lt;0.005,0,MAX(0,F351*(1+F$6/12)-F$7))</f>
        <v/>
      </c>
      <c r="G352" s="91">
        <f>IF(G351&lt;0.005,0,MAX(0,G351*(1+G$6/12)-G$7))</f>
        <v/>
      </c>
      <c r="H352" s="91">
        <f>IF(H351&lt;0.005,0,MAX(0,H351*(1+H$6/12)-H$7))</f>
        <v/>
      </c>
      <c r="I352" s="91">
        <f>IF(I351&lt;0.005,0,MAX(0,I351*(1+I$6/12)-I$7))</f>
        <v/>
      </c>
      <c r="J352" s="91">
        <f>IF(J351&lt;0.005,0,MAX(0,J351*(1+J$6/12)-J$7))</f>
        <v/>
      </c>
      <c r="K352" s="91">
        <f>IF(K351&lt;0.005,0,MAX(0,K351*(1+K$6/12)-K$7))</f>
        <v/>
      </c>
      <c r="L352" s="91">
        <f>IF(L351&lt;0.005,0,MAX(0,L351*(1+L$6/12)-L$7))</f>
        <v/>
      </c>
      <c r="M352" s="91">
        <f>SUMPRODUCT(C351:L351,$C$6:$L$6)/12</f>
        <v/>
      </c>
      <c r="N352" s="88">
        <f>SUM(C352:L352)</f>
        <v/>
      </c>
      <c r="P352" s="92">
        <f>IF(Z351&lt;0.005,0,MAX(0,Z351*(1+Z$6/12)-Z$7))</f>
        <v/>
      </c>
      <c r="Q352" s="92">
        <f>IF(AA351&lt;0.005,0,MAX(0,AA351*(1+AA$6/12)-AA$7))</f>
        <v/>
      </c>
      <c r="R352" s="92">
        <f>IF(AB351&lt;0.005,0,MAX(0,AB351*(1+AB$6/12)-AB$7))</f>
        <v/>
      </c>
      <c r="S352" s="92">
        <f>IF(AC351&lt;0.005,0,MAX(0,AC351*(1+AC$6/12)-AC$7))</f>
        <v/>
      </c>
      <c r="T352" s="92">
        <f>IF(AD351&lt;0.005,0,MAX(0,AD351*(1+AD$6/12)-AD$7))</f>
        <v/>
      </c>
      <c r="U352" s="92">
        <f>IF(AE351&lt;0.005,0,MAX(0,AE351*(1+AE$6/12)-AE$7))</f>
        <v/>
      </c>
      <c r="V352" s="92">
        <f>IF(AF351&lt;0.005,0,MAX(0,AF351*(1+AF$6/12)-AF$7))</f>
        <v/>
      </c>
      <c r="W352" s="92">
        <f>IF(AG351&lt;0.005,0,MAX(0,AG351*(1+AG$6/12)-AG$7))</f>
        <v/>
      </c>
      <c r="X352" s="92">
        <f>IF(AH351&lt;0.005,0,MAX(0,AH351*(1+AH$6/12)-AH$7))</f>
        <v/>
      </c>
      <c r="Y352" s="92">
        <f>IF(AI351&lt;0.005,0,MAX(0,AI351*(1+AI$6/12)-AI$7))</f>
        <v/>
      </c>
      <c r="Z352" s="91">
        <f>MAX(0,P352-MAX(0,AK352-0))</f>
        <v/>
      </c>
      <c r="AA352" s="91">
        <f>MAX(0,Q352-MAX(0,AK352-SUM(P352:P352)))</f>
        <v/>
      </c>
      <c r="AB352" s="91">
        <f>MAX(0,R352-MAX(0,AK352-SUM(P352:Q352)))</f>
        <v/>
      </c>
      <c r="AC352" s="91">
        <f>MAX(0,S352-MAX(0,AK352-SUM(P352:R352)))</f>
        <v/>
      </c>
      <c r="AD352" s="91">
        <f>MAX(0,T352-MAX(0,AK352-SUM(P352:S352)))</f>
        <v/>
      </c>
      <c r="AE352" s="91">
        <f>MAX(0,U352-MAX(0,AK352-SUM(P352:T352)))</f>
        <v/>
      </c>
      <c r="AF352" s="91">
        <f>MAX(0,V352-MAX(0,AK352-SUM(P352:U352)))</f>
        <v/>
      </c>
      <c r="AG352" s="91">
        <f>MAX(0,W352-MAX(0,AK352-SUM(P352:V352)))</f>
        <v/>
      </c>
      <c r="AH352" s="91">
        <f>MAX(0,X352-MAX(0,AK352-SUM(P352:W352)))</f>
        <v/>
      </c>
      <c r="AI352" s="91">
        <f>MAX(0,Y352-MAX(0,AK352-SUM(P352:X352)))</f>
        <v/>
      </c>
      <c r="AJ352" s="92">
        <f>SUM(Z351:AI351)+AL352</f>
        <v/>
      </c>
      <c r="AK352" s="92">
        <f>$AK$7-(AJ352-SUM(P352:Y352))</f>
        <v/>
      </c>
      <c r="AL352" s="91">
        <f>SUMPRODUCT(Z351:AI351,$Z$6:$AI$6)/12</f>
        <v/>
      </c>
      <c r="AM352" s="88">
        <f>SUM(Z352:AI352)</f>
        <v/>
      </c>
      <c r="AO352" s="92">
        <f>IF(AY351&lt;0.005,0,MAX(0,AY351*(1+AY$6/12)-AY$7))</f>
        <v/>
      </c>
      <c r="AP352" s="92">
        <f>IF(AZ351&lt;0.005,0,MAX(0,AZ351*(1+AZ$6/12)-AZ$7))</f>
        <v/>
      </c>
      <c r="AQ352" s="92">
        <f>IF(BA351&lt;0.005,0,MAX(0,BA351*(1+BA$6/12)-BA$7))</f>
        <v/>
      </c>
      <c r="AR352" s="92">
        <f>IF(BB351&lt;0.005,0,MAX(0,BB351*(1+BB$6/12)-BB$7))</f>
        <v/>
      </c>
      <c r="AS352" s="92">
        <f>IF(BC351&lt;0.005,0,MAX(0,BC351*(1+BC$6/12)-BC$7))</f>
        <v/>
      </c>
      <c r="AT352" s="92">
        <f>IF(BD351&lt;0.005,0,MAX(0,BD351*(1+BD$6/12)-BD$7))</f>
        <v/>
      </c>
      <c r="AU352" s="92">
        <f>IF(BE351&lt;0.005,0,MAX(0,BE351*(1+BE$6/12)-BE$7))</f>
        <v/>
      </c>
      <c r="AV352" s="92">
        <f>IF(BF351&lt;0.005,0,MAX(0,BF351*(1+BF$6/12)-BF$7))</f>
        <v/>
      </c>
      <c r="AW352" s="92">
        <f>IF(BG351&lt;0.005,0,MAX(0,BG351*(1+BG$6/12)-BG$7))</f>
        <v/>
      </c>
      <c r="AX352" s="92">
        <f>IF(BH351&lt;0.005,0,MAX(0,BH351*(1+BH$6/12)-BH$7))</f>
        <v/>
      </c>
      <c r="AY352" s="91">
        <f>MAX(0,AO352-MAX(0,BJ352-0))</f>
        <v/>
      </c>
      <c r="AZ352" s="91">
        <f>MAX(0,AP352-MAX(0,BJ352-SUM(AO352:AO352)))</f>
        <v/>
      </c>
      <c r="BA352" s="91">
        <f>MAX(0,AQ352-MAX(0,BJ352-SUM(AO352:AP352)))</f>
        <v/>
      </c>
      <c r="BB352" s="91">
        <f>MAX(0,AR352-MAX(0,BJ352-SUM(AO352:AQ352)))</f>
        <v/>
      </c>
      <c r="BC352" s="91">
        <f>MAX(0,AS352-MAX(0,BJ352-SUM(AO352:AR352)))</f>
        <v/>
      </c>
      <c r="BD352" s="91">
        <f>MAX(0,AT352-MAX(0,BJ352-SUM(AO352:AS352)))</f>
        <v/>
      </c>
      <c r="BE352" s="91">
        <f>MAX(0,AU352-MAX(0,BJ352-SUM(AO352:AT352)))</f>
        <v/>
      </c>
      <c r="BF352" s="91">
        <f>MAX(0,AV352-MAX(0,BJ352-SUM(AO352:AU352)))</f>
        <v/>
      </c>
      <c r="BG352" s="91">
        <f>MAX(0,AW352-MAX(0,BJ352-SUM(AO352:AV352)))</f>
        <v/>
      </c>
      <c r="BH352" s="91">
        <f>MAX(0,AX352-MAX(0,BJ352-SUM(AO352:AW352)))</f>
        <v/>
      </c>
      <c r="BI352" s="92">
        <f>SUM(AY351:BH351)+BK352</f>
        <v/>
      </c>
      <c r="BJ352" s="92">
        <f>$BJ$7-(BI352-SUM(AO352:AX352))</f>
        <v/>
      </c>
      <c r="BK352" s="91">
        <f>SUMPRODUCT(AY351:BH351,$AY$6:$BH$6)/12</f>
        <v/>
      </c>
      <c r="BL352" s="88">
        <f>SUM(AY352:BH352)</f>
        <v/>
      </c>
    </row>
    <row r="353">
      <c r="A353" s="24" t="n">
        <v>343</v>
      </c>
      <c r="B353" s="90">
        <f>DATE(YEAR(Settings!$C$11),MONTH(Settings!$C$11)+A353,1)</f>
        <v/>
      </c>
      <c r="C353" s="91">
        <f>IF(C352&lt;0.005,0,MAX(0,C352*(1+C$6/12)-C$7))</f>
        <v/>
      </c>
      <c r="D353" s="91">
        <f>IF(D352&lt;0.005,0,MAX(0,D352*(1+D$6/12)-D$7))</f>
        <v/>
      </c>
      <c r="E353" s="91">
        <f>IF(E352&lt;0.005,0,MAX(0,E352*(1+E$6/12)-E$7))</f>
        <v/>
      </c>
      <c r="F353" s="91">
        <f>IF(F352&lt;0.005,0,MAX(0,F352*(1+F$6/12)-F$7))</f>
        <v/>
      </c>
      <c r="G353" s="91">
        <f>IF(G352&lt;0.005,0,MAX(0,G352*(1+G$6/12)-G$7))</f>
        <v/>
      </c>
      <c r="H353" s="91">
        <f>IF(H352&lt;0.005,0,MAX(0,H352*(1+H$6/12)-H$7))</f>
        <v/>
      </c>
      <c r="I353" s="91">
        <f>IF(I352&lt;0.005,0,MAX(0,I352*(1+I$6/12)-I$7))</f>
        <v/>
      </c>
      <c r="J353" s="91">
        <f>IF(J352&lt;0.005,0,MAX(0,J352*(1+J$6/12)-J$7))</f>
        <v/>
      </c>
      <c r="K353" s="91">
        <f>IF(K352&lt;0.005,0,MAX(0,K352*(1+K$6/12)-K$7))</f>
        <v/>
      </c>
      <c r="L353" s="91">
        <f>IF(L352&lt;0.005,0,MAX(0,L352*(1+L$6/12)-L$7))</f>
        <v/>
      </c>
      <c r="M353" s="91">
        <f>SUMPRODUCT(C352:L352,$C$6:$L$6)/12</f>
        <v/>
      </c>
      <c r="N353" s="88">
        <f>SUM(C353:L353)</f>
        <v/>
      </c>
      <c r="P353" s="92">
        <f>IF(Z352&lt;0.005,0,MAX(0,Z352*(1+Z$6/12)-Z$7))</f>
        <v/>
      </c>
      <c r="Q353" s="92">
        <f>IF(AA352&lt;0.005,0,MAX(0,AA352*(1+AA$6/12)-AA$7))</f>
        <v/>
      </c>
      <c r="R353" s="92">
        <f>IF(AB352&lt;0.005,0,MAX(0,AB352*(1+AB$6/12)-AB$7))</f>
        <v/>
      </c>
      <c r="S353" s="92">
        <f>IF(AC352&lt;0.005,0,MAX(0,AC352*(1+AC$6/12)-AC$7))</f>
        <v/>
      </c>
      <c r="T353" s="92">
        <f>IF(AD352&lt;0.005,0,MAX(0,AD352*(1+AD$6/12)-AD$7))</f>
        <v/>
      </c>
      <c r="U353" s="92">
        <f>IF(AE352&lt;0.005,0,MAX(0,AE352*(1+AE$6/12)-AE$7))</f>
        <v/>
      </c>
      <c r="V353" s="92">
        <f>IF(AF352&lt;0.005,0,MAX(0,AF352*(1+AF$6/12)-AF$7))</f>
        <v/>
      </c>
      <c r="W353" s="92">
        <f>IF(AG352&lt;0.005,0,MAX(0,AG352*(1+AG$6/12)-AG$7))</f>
        <v/>
      </c>
      <c r="X353" s="92">
        <f>IF(AH352&lt;0.005,0,MAX(0,AH352*(1+AH$6/12)-AH$7))</f>
        <v/>
      </c>
      <c r="Y353" s="92">
        <f>IF(AI352&lt;0.005,0,MAX(0,AI352*(1+AI$6/12)-AI$7))</f>
        <v/>
      </c>
      <c r="Z353" s="91">
        <f>MAX(0,P353-MAX(0,AK353-0))</f>
        <v/>
      </c>
      <c r="AA353" s="91">
        <f>MAX(0,Q353-MAX(0,AK353-SUM(P353:P353)))</f>
        <v/>
      </c>
      <c r="AB353" s="91">
        <f>MAX(0,R353-MAX(0,AK353-SUM(P353:Q353)))</f>
        <v/>
      </c>
      <c r="AC353" s="91">
        <f>MAX(0,S353-MAX(0,AK353-SUM(P353:R353)))</f>
        <v/>
      </c>
      <c r="AD353" s="91">
        <f>MAX(0,T353-MAX(0,AK353-SUM(P353:S353)))</f>
        <v/>
      </c>
      <c r="AE353" s="91">
        <f>MAX(0,U353-MAX(0,AK353-SUM(P353:T353)))</f>
        <v/>
      </c>
      <c r="AF353" s="91">
        <f>MAX(0,V353-MAX(0,AK353-SUM(P353:U353)))</f>
        <v/>
      </c>
      <c r="AG353" s="91">
        <f>MAX(0,W353-MAX(0,AK353-SUM(P353:V353)))</f>
        <v/>
      </c>
      <c r="AH353" s="91">
        <f>MAX(0,X353-MAX(0,AK353-SUM(P353:W353)))</f>
        <v/>
      </c>
      <c r="AI353" s="91">
        <f>MAX(0,Y353-MAX(0,AK353-SUM(P353:X353)))</f>
        <v/>
      </c>
      <c r="AJ353" s="92">
        <f>SUM(Z352:AI352)+AL353</f>
        <v/>
      </c>
      <c r="AK353" s="92">
        <f>$AK$7-(AJ353-SUM(P353:Y353))</f>
        <v/>
      </c>
      <c r="AL353" s="91">
        <f>SUMPRODUCT(Z352:AI352,$Z$6:$AI$6)/12</f>
        <v/>
      </c>
      <c r="AM353" s="88">
        <f>SUM(Z353:AI353)</f>
        <v/>
      </c>
      <c r="AO353" s="92">
        <f>IF(AY352&lt;0.005,0,MAX(0,AY352*(1+AY$6/12)-AY$7))</f>
        <v/>
      </c>
      <c r="AP353" s="92">
        <f>IF(AZ352&lt;0.005,0,MAX(0,AZ352*(1+AZ$6/12)-AZ$7))</f>
        <v/>
      </c>
      <c r="AQ353" s="92">
        <f>IF(BA352&lt;0.005,0,MAX(0,BA352*(1+BA$6/12)-BA$7))</f>
        <v/>
      </c>
      <c r="AR353" s="92">
        <f>IF(BB352&lt;0.005,0,MAX(0,BB352*(1+BB$6/12)-BB$7))</f>
        <v/>
      </c>
      <c r="AS353" s="92">
        <f>IF(BC352&lt;0.005,0,MAX(0,BC352*(1+BC$6/12)-BC$7))</f>
        <v/>
      </c>
      <c r="AT353" s="92">
        <f>IF(BD352&lt;0.005,0,MAX(0,BD352*(1+BD$6/12)-BD$7))</f>
        <v/>
      </c>
      <c r="AU353" s="92">
        <f>IF(BE352&lt;0.005,0,MAX(0,BE352*(1+BE$6/12)-BE$7))</f>
        <v/>
      </c>
      <c r="AV353" s="92">
        <f>IF(BF352&lt;0.005,0,MAX(0,BF352*(1+BF$6/12)-BF$7))</f>
        <v/>
      </c>
      <c r="AW353" s="92">
        <f>IF(BG352&lt;0.005,0,MAX(0,BG352*(1+BG$6/12)-BG$7))</f>
        <v/>
      </c>
      <c r="AX353" s="92">
        <f>IF(BH352&lt;0.005,0,MAX(0,BH352*(1+BH$6/12)-BH$7))</f>
        <v/>
      </c>
      <c r="AY353" s="91">
        <f>MAX(0,AO353-MAX(0,BJ353-0))</f>
        <v/>
      </c>
      <c r="AZ353" s="91">
        <f>MAX(0,AP353-MAX(0,BJ353-SUM(AO353:AO353)))</f>
        <v/>
      </c>
      <c r="BA353" s="91">
        <f>MAX(0,AQ353-MAX(0,BJ353-SUM(AO353:AP353)))</f>
        <v/>
      </c>
      <c r="BB353" s="91">
        <f>MAX(0,AR353-MAX(0,BJ353-SUM(AO353:AQ353)))</f>
        <v/>
      </c>
      <c r="BC353" s="91">
        <f>MAX(0,AS353-MAX(0,BJ353-SUM(AO353:AR353)))</f>
        <v/>
      </c>
      <c r="BD353" s="91">
        <f>MAX(0,AT353-MAX(0,BJ353-SUM(AO353:AS353)))</f>
        <v/>
      </c>
      <c r="BE353" s="91">
        <f>MAX(0,AU353-MAX(0,BJ353-SUM(AO353:AT353)))</f>
        <v/>
      </c>
      <c r="BF353" s="91">
        <f>MAX(0,AV353-MAX(0,BJ353-SUM(AO353:AU353)))</f>
        <v/>
      </c>
      <c r="BG353" s="91">
        <f>MAX(0,AW353-MAX(0,BJ353-SUM(AO353:AV353)))</f>
        <v/>
      </c>
      <c r="BH353" s="91">
        <f>MAX(0,AX353-MAX(0,BJ353-SUM(AO353:AW353)))</f>
        <v/>
      </c>
      <c r="BI353" s="92">
        <f>SUM(AY352:BH352)+BK353</f>
        <v/>
      </c>
      <c r="BJ353" s="92">
        <f>$BJ$7-(BI353-SUM(AO353:AX353))</f>
        <v/>
      </c>
      <c r="BK353" s="91">
        <f>SUMPRODUCT(AY352:BH352,$AY$6:$BH$6)/12</f>
        <v/>
      </c>
      <c r="BL353" s="88">
        <f>SUM(AY353:BH353)</f>
        <v/>
      </c>
    </row>
    <row r="354">
      <c r="A354" s="24" t="n">
        <v>344</v>
      </c>
      <c r="B354" s="90">
        <f>DATE(YEAR(Settings!$C$11),MONTH(Settings!$C$11)+A354,1)</f>
        <v/>
      </c>
      <c r="C354" s="91">
        <f>IF(C353&lt;0.005,0,MAX(0,C353*(1+C$6/12)-C$7))</f>
        <v/>
      </c>
      <c r="D354" s="91">
        <f>IF(D353&lt;0.005,0,MAX(0,D353*(1+D$6/12)-D$7))</f>
        <v/>
      </c>
      <c r="E354" s="91">
        <f>IF(E353&lt;0.005,0,MAX(0,E353*(1+E$6/12)-E$7))</f>
        <v/>
      </c>
      <c r="F354" s="91">
        <f>IF(F353&lt;0.005,0,MAX(0,F353*(1+F$6/12)-F$7))</f>
        <v/>
      </c>
      <c r="G354" s="91">
        <f>IF(G353&lt;0.005,0,MAX(0,G353*(1+G$6/12)-G$7))</f>
        <v/>
      </c>
      <c r="H354" s="91">
        <f>IF(H353&lt;0.005,0,MAX(0,H353*(1+H$6/12)-H$7))</f>
        <v/>
      </c>
      <c r="I354" s="91">
        <f>IF(I353&lt;0.005,0,MAX(0,I353*(1+I$6/12)-I$7))</f>
        <v/>
      </c>
      <c r="J354" s="91">
        <f>IF(J353&lt;0.005,0,MAX(0,J353*(1+J$6/12)-J$7))</f>
        <v/>
      </c>
      <c r="K354" s="91">
        <f>IF(K353&lt;0.005,0,MAX(0,K353*(1+K$6/12)-K$7))</f>
        <v/>
      </c>
      <c r="L354" s="91">
        <f>IF(L353&lt;0.005,0,MAX(0,L353*(1+L$6/12)-L$7))</f>
        <v/>
      </c>
      <c r="M354" s="91">
        <f>SUMPRODUCT(C353:L353,$C$6:$L$6)/12</f>
        <v/>
      </c>
      <c r="N354" s="88">
        <f>SUM(C354:L354)</f>
        <v/>
      </c>
      <c r="P354" s="92">
        <f>IF(Z353&lt;0.005,0,MAX(0,Z353*(1+Z$6/12)-Z$7))</f>
        <v/>
      </c>
      <c r="Q354" s="92">
        <f>IF(AA353&lt;0.005,0,MAX(0,AA353*(1+AA$6/12)-AA$7))</f>
        <v/>
      </c>
      <c r="R354" s="92">
        <f>IF(AB353&lt;0.005,0,MAX(0,AB353*(1+AB$6/12)-AB$7))</f>
        <v/>
      </c>
      <c r="S354" s="92">
        <f>IF(AC353&lt;0.005,0,MAX(0,AC353*(1+AC$6/12)-AC$7))</f>
        <v/>
      </c>
      <c r="T354" s="92">
        <f>IF(AD353&lt;0.005,0,MAX(0,AD353*(1+AD$6/12)-AD$7))</f>
        <v/>
      </c>
      <c r="U354" s="92">
        <f>IF(AE353&lt;0.005,0,MAX(0,AE353*(1+AE$6/12)-AE$7))</f>
        <v/>
      </c>
      <c r="V354" s="92">
        <f>IF(AF353&lt;0.005,0,MAX(0,AF353*(1+AF$6/12)-AF$7))</f>
        <v/>
      </c>
      <c r="W354" s="92">
        <f>IF(AG353&lt;0.005,0,MAX(0,AG353*(1+AG$6/12)-AG$7))</f>
        <v/>
      </c>
      <c r="X354" s="92">
        <f>IF(AH353&lt;0.005,0,MAX(0,AH353*(1+AH$6/12)-AH$7))</f>
        <v/>
      </c>
      <c r="Y354" s="92">
        <f>IF(AI353&lt;0.005,0,MAX(0,AI353*(1+AI$6/12)-AI$7))</f>
        <v/>
      </c>
      <c r="Z354" s="91">
        <f>MAX(0,P354-MAX(0,AK354-0))</f>
        <v/>
      </c>
      <c r="AA354" s="91">
        <f>MAX(0,Q354-MAX(0,AK354-SUM(P354:P354)))</f>
        <v/>
      </c>
      <c r="AB354" s="91">
        <f>MAX(0,R354-MAX(0,AK354-SUM(P354:Q354)))</f>
        <v/>
      </c>
      <c r="AC354" s="91">
        <f>MAX(0,S354-MAX(0,AK354-SUM(P354:R354)))</f>
        <v/>
      </c>
      <c r="AD354" s="91">
        <f>MAX(0,T354-MAX(0,AK354-SUM(P354:S354)))</f>
        <v/>
      </c>
      <c r="AE354" s="91">
        <f>MAX(0,U354-MAX(0,AK354-SUM(P354:T354)))</f>
        <v/>
      </c>
      <c r="AF354" s="91">
        <f>MAX(0,V354-MAX(0,AK354-SUM(P354:U354)))</f>
        <v/>
      </c>
      <c r="AG354" s="91">
        <f>MAX(0,W354-MAX(0,AK354-SUM(P354:V354)))</f>
        <v/>
      </c>
      <c r="AH354" s="91">
        <f>MAX(0,X354-MAX(0,AK354-SUM(P354:W354)))</f>
        <v/>
      </c>
      <c r="AI354" s="91">
        <f>MAX(0,Y354-MAX(0,AK354-SUM(P354:X354)))</f>
        <v/>
      </c>
      <c r="AJ354" s="92">
        <f>SUM(Z353:AI353)+AL354</f>
        <v/>
      </c>
      <c r="AK354" s="92">
        <f>$AK$7-(AJ354-SUM(P354:Y354))</f>
        <v/>
      </c>
      <c r="AL354" s="91">
        <f>SUMPRODUCT(Z353:AI353,$Z$6:$AI$6)/12</f>
        <v/>
      </c>
      <c r="AM354" s="88">
        <f>SUM(Z354:AI354)</f>
        <v/>
      </c>
      <c r="AO354" s="92">
        <f>IF(AY353&lt;0.005,0,MAX(0,AY353*(1+AY$6/12)-AY$7))</f>
        <v/>
      </c>
      <c r="AP354" s="92">
        <f>IF(AZ353&lt;0.005,0,MAX(0,AZ353*(1+AZ$6/12)-AZ$7))</f>
        <v/>
      </c>
      <c r="AQ354" s="92">
        <f>IF(BA353&lt;0.005,0,MAX(0,BA353*(1+BA$6/12)-BA$7))</f>
        <v/>
      </c>
      <c r="AR354" s="92">
        <f>IF(BB353&lt;0.005,0,MAX(0,BB353*(1+BB$6/12)-BB$7))</f>
        <v/>
      </c>
      <c r="AS354" s="92">
        <f>IF(BC353&lt;0.005,0,MAX(0,BC353*(1+BC$6/12)-BC$7))</f>
        <v/>
      </c>
      <c r="AT354" s="92">
        <f>IF(BD353&lt;0.005,0,MAX(0,BD353*(1+BD$6/12)-BD$7))</f>
        <v/>
      </c>
      <c r="AU354" s="92">
        <f>IF(BE353&lt;0.005,0,MAX(0,BE353*(1+BE$6/12)-BE$7))</f>
        <v/>
      </c>
      <c r="AV354" s="92">
        <f>IF(BF353&lt;0.005,0,MAX(0,BF353*(1+BF$6/12)-BF$7))</f>
        <v/>
      </c>
      <c r="AW354" s="92">
        <f>IF(BG353&lt;0.005,0,MAX(0,BG353*(1+BG$6/12)-BG$7))</f>
        <v/>
      </c>
      <c r="AX354" s="92">
        <f>IF(BH353&lt;0.005,0,MAX(0,BH353*(1+BH$6/12)-BH$7))</f>
        <v/>
      </c>
      <c r="AY354" s="91">
        <f>MAX(0,AO354-MAX(0,BJ354-0))</f>
        <v/>
      </c>
      <c r="AZ354" s="91">
        <f>MAX(0,AP354-MAX(0,BJ354-SUM(AO354:AO354)))</f>
        <v/>
      </c>
      <c r="BA354" s="91">
        <f>MAX(0,AQ354-MAX(0,BJ354-SUM(AO354:AP354)))</f>
        <v/>
      </c>
      <c r="BB354" s="91">
        <f>MAX(0,AR354-MAX(0,BJ354-SUM(AO354:AQ354)))</f>
        <v/>
      </c>
      <c r="BC354" s="91">
        <f>MAX(0,AS354-MAX(0,BJ354-SUM(AO354:AR354)))</f>
        <v/>
      </c>
      <c r="BD354" s="91">
        <f>MAX(0,AT354-MAX(0,BJ354-SUM(AO354:AS354)))</f>
        <v/>
      </c>
      <c r="BE354" s="91">
        <f>MAX(0,AU354-MAX(0,BJ354-SUM(AO354:AT354)))</f>
        <v/>
      </c>
      <c r="BF354" s="91">
        <f>MAX(0,AV354-MAX(0,BJ354-SUM(AO354:AU354)))</f>
        <v/>
      </c>
      <c r="BG354" s="91">
        <f>MAX(0,AW354-MAX(0,BJ354-SUM(AO354:AV354)))</f>
        <v/>
      </c>
      <c r="BH354" s="91">
        <f>MAX(0,AX354-MAX(0,BJ354-SUM(AO354:AW354)))</f>
        <v/>
      </c>
      <c r="BI354" s="92">
        <f>SUM(AY353:BH353)+BK354</f>
        <v/>
      </c>
      <c r="BJ354" s="92">
        <f>$BJ$7-(BI354-SUM(AO354:AX354))</f>
        <v/>
      </c>
      <c r="BK354" s="91">
        <f>SUMPRODUCT(AY353:BH353,$AY$6:$BH$6)/12</f>
        <v/>
      </c>
      <c r="BL354" s="88">
        <f>SUM(AY354:BH354)</f>
        <v/>
      </c>
    </row>
    <row r="355">
      <c r="A355" s="24" t="n">
        <v>345</v>
      </c>
      <c r="B355" s="90">
        <f>DATE(YEAR(Settings!$C$11),MONTH(Settings!$C$11)+A355,1)</f>
        <v/>
      </c>
      <c r="C355" s="91">
        <f>IF(C354&lt;0.005,0,MAX(0,C354*(1+C$6/12)-C$7))</f>
        <v/>
      </c>
      <c r="D355" s="91">
        <f>IF(D354&lt;0.005,0,MAX(0,D354*(1+D$6/12)-D$7))</f>
        <v/>
      </c>
      <c r="E355" s="91">
        <f>IF(E354&lt;0.005,0,MAX(0,E354*(1+E$6/12)-E$7))</f>
        <v/>
      </c>
      <c r="F355" s="91">
        <f>IF(F354&lt;0.005,0,MAX(0,F354*(1+F$6/12)-F$7))</f>
        <v/>
      </c>
      <c r="G355" s="91">
        <f>IF(G354&lt;0.005,0,MAX(0,G354*(1+G$6/12)-G$7))</f>
        <v/>
      </c>
      <c r="H355" s="91">
        <f>IF(H354&lt;0.005,0,MAX(0,H354*(1+H$6/12)-H$7))</f>
        <v/>
      </c>
      <c r="I355" s="91">
        <f>IF(I354&lt;0.005,0,MAX(0,I354*(1+I$6/12)-I$7))</f>
        <v/>
      </c>
      <c r="J355" s="91">
        <f>IF(J354&lt;0.005,0,MAX(0,J354*(1+J$6/12)-J$7))</f>
        <v/>
      </c>
      <c r="K355" s="91">
        <f>IF(K354&lt;0.005,0,MAX(0,K354*(1+K$6/12)-K$7))</f>
        <v/>
      </c>
      <c r="L355" s="91">
        <f>IF(L354&lt;0.005,0,MAX(0,L354*(1+L$6/12)-L$7))</f>
        <v/>
      </c>
      <c r="M355" s="91">
        <f>SUMPRODUCT(C354:L354,$C$6:$L$6)/12</f>
        <v/>
      </c>
      <c r="N355" s="88">
        <f>SUM(C355:L355)</f>
        <v/>
      </c>
      <c r="P355" s="92">
        <f>IF(Z354&lt;0.005,0,MAX(0,Z354*(1+Z$6/12)-Z$7))</f>
        <v/>
      </c>
      <c r="Q355" s="92">
        <f>IF(AA354&lt;0.005,0,MAX(0,AA354*(1+AA$6/12)-AA$7))</f>
        <v/>
      </c>
      <c r="R355" s="92">
        <f>IF(AB354&lt;0.005,0,MAX(0,AB354*(1+AB$6/12)-AB$7))</f>
        <v/>
      </c>
      <c r="S355" s="92">
        <f>IF(AC354&lt;0.005,0,MAX(0,AC354*(1+AC$6/12)-AC$7))</f>
        <v/>
      </c>
      <c r="T355" s="92">
        <f>IF(AD354&lt;0.005,0,MAX(0,AD354*(1+AD$6/12)-AD$7))</f>
        <v/>
      </c>
      <c r="U355" s="92">
        <f>IF(AE354&lt;0.005,0,MAX(0,AE354*(1+AE$6/12)-AE$7))</f>
        <v/>
      </c>
      <c r="V355" s="92">
        <f>IF(AF354&lt;0.005,0,MAX(0,AF354*(1+AF$6/12)-AF$7))</f>
        <v/>
      </c>
      <c r="W355" s="92">
        <f>IF(AG354&lt;0.005,0,MAX(0,AG354*(1+AG$6/12)-AG$7))</f>
        <v/>
      </c>
      <c r="X355" s="92">
        <f>IF(AH354&lt;0.005,0,MAX(0,AH354*(1+AH$6/12)-AH$7))</f>
        <v/>
      </c>
      <c r="Y355" s="92">
        <f>IF(AI354&lt;0.005,0,MAX(0,AI354*(1+AI$6/12)-AI$7))</f>
        <v/>
      </c>
      <c r="Z355" s="91">
        <f>MAX(0,P355-MAX(0,AK355-0))</f>
        <v/>
      </c>
      <c r="AA355" s="91">
        <f>MAX(0,Q355-MAX(0,AK355-SUM(P355:P355)))</f>
        <v/>
      </c>
      <c r="AB355" s="91">
        <f>MAX(0,R355-MAX(0,AK355-SUM(P355:Q355)))</f>
        <v/>
      </c>
      <c r="AC355" s="91">
        <f>MAX(0,S355-MAX(0,AK355-SUM(P355:R355)))</f>
        <v/>
      </c>
      <c r="AD355" s="91">
        <f>MAX(0,T355-MAX(0,AK355-SUM(P355:S355)))</f>
        <v/>
      </c>
      <c r="AE355" s="91">
        <f>MAX(0,U355-MAX(0,AK355-SUM(P355:T355)))</f>
        <v/>
      </c>
      <c r="AF355" s="91">
        <f>MAX(0,V355-MAX(0,AK355-SUM(P355:U355)))</f>
        <v/>
      </c>
      <c r="AG355" s="91">
        <f>MAX(0,W355-MAX(0,AK355-SUM(P355:V355)))</f>
        <v/>
      </c>
      <c r="AH355" s="91">
        <f>MAX(0,X355-MAX(0,AK355-SUM(P355:W355)))</f>
        <v/>
      </c>
      <c r="AI355" s="91">
        <f>MAX(0,Y355-MAX(0,AK355-SUM(P355:X355)))</f>
        <v/>
      </c>
      <c r="AJ355" s="92">
        <f>SUM(Z354:AI354)+AL355</f>
        <v/>
      </c>
      <c r="AK355" s="92">
        <f>$AK$7-(AJ355-SUM(P355:Y355))</f>
        <v/>
      </c>
      <c r="AL355" s="91">
        <f>SUMPRODUCT(Z354:AI354,$Z$6:$AI$6)/12</f>
        <v/>
      </c>
      <c r="AM355" s="88">
        <f>SUM(Z355:AI355)</f>
        <v/>
      </c>
      <c r="AO355" s="92">
        <f>IF(AY354&lt;0.005,0,MAX(0,AY354*(1+AY$6/12)-AY$7))</f>
        <v/>
      </c>
      <c r="AP355" s="92">
        <f>IF(AZ354&lt;0.005,0,MAX(0,AZ354*(1+AZ$6/12)-AZ$7))</f>
        <v/>
      </c>
      <c r="AQ355" s="92">
        <f>IF(BA354&lt;0.005,0,MAX(0,BA354*(1+BA$6/12)-BA$7))</f>
        <v/>
      </c>
      <c r="AR355" s="92">
        <f>IF(BB354&lt;0.005,0,MAX(0,BB354*(1+BB$6/12)-BB$7))</f>
        <v/>
      </c>
      <c r="AS355" s="92">
        <f>IF(BC354&lt;0.005,0,MAX(0,BC354*(1+BC$6/12)-BC$7))</f>
        <v/>
      </c>
      <c r="AT355" s="92">
        <f>IF(BD354&lt;0.005,0,MAX(0,BD354*(1+BD$6/12)-BD$7))</f>
        <v/>
      </c>
      <c r="AU355" s="92">
        <f>IF(BE354&lt;0.005,0,MAX(0,BE354*(1+BE$6/12)-BE$7))</f>
        <v/>
      </c>
      <c r="AV355" s="92">
        <f>IF(BF354&lt;0.005,0,MAX(0,BF354*(1+BF$6/12)-BF$7))</f>
        <v/>
      </c>
      <c r="AW355" s="92">
        <f>IF(BG354&lt;0.005,0,MAX(0,BG354*(1+BG$6/12)-BG$7))</f>
        <v/>
      </c>
      <c r="AX355" s="92">
        <f>IF(BH354&lt;0.005,0,MAX(0,BH354*(1+BH$6/12)-BH$7))</f>
        <v/>
      </c>
      <c r="AY355" s="91">
        <f>MAX(0,AO355-MAX(0,BJ355-0))</f>
        <v/>
      </c>
      <c r="AZ355" s="91">
        <f>MAX(0,AP355-MAX(0,BJ355-SUM(AO355:AO355)))</f>
        <v/>
      </c>
      <c r="BA355" s="91">
        <f>MAX(0,AQ355-MAX(0,BJ355-SUM(AO355:AP355)))</f>
        <v/>
      </c>
      <c r="BB355" s="91">
        <f>MAX(0,AR355-MAX(0,BJ355-SUM(AO355:AQ355)))</f>
        <v/>
      </c>
      <c r="BC355" s="91">
        <f>MAX(0,AS355-MAX(0,BJ355-SUM(AO355:AR355)))</f>
        <v/>
      </c>
      <c r="BD355" s="91">
        <f>MAX(0,AT355-MAX(0,BJ355-SUM(AO355:AS355)))</f>
        <v/>
      </c>
      <c r="BE355" s="91">
        <f>MAX(0,AU355-MAX(0,BJ355-SUM(AO355:AT355)))</f>
        <v/>
      </c>
      <c r="BF355" s="91">
        <f>MAX(0,AV355-MAX(0,BJ355-SUM(AO355:AU355)))</f>
        <v/>
      </c>
      <c r="BG355" s="91">
        <f>MAX(0,AW355-MAX(0,BJ355-SUM(AO355:AV355)))</f>
        <v/>
      </c>
      <c r="BH355" s="91">
        <f>MAX(0,AX355-MAX(0,BJ355-SUM(AO355:AW355)))</f>
        <v/>
      </c>
      <c r="BI355" s="92">
        <f>SUM(AY354:BH354)+BK355</f>
        <v/>
      </c>
      <c r="BJ355" s="92">
        <f>$BJ$7-(BI355-SUM(AO355:AX355))</f>
        <v/>
      </c>
      <c r="BK355" s="91">
        <f>SUMPRODUCT(AY354:BH354,$AY$6:$BH$6)/12</f>
        <v/>
      </c>
      <c r="BL355" s="88">
        <f>SUM(AY355:BH355)</f>
        <v/>
      </c>
    </row>
    <row r="356">
      <c r="A356" s="24" t="n">
        <v>346</v>
      </c>
      <c r="B356" s="90">
        <f>DATE(YEAR(Settings!$C$11),MONTH(Settings!$C$11)+A356,1)</f>
        <v/>
      </c>
      <c r="C356" s="91">
        <f>IF(C355&lt;0.005,0,MAX(0,C355*(1+C$6/12)-C$7))</f>
        <v/>
      </c>
      <c r="D356" s="91">
        <f>IF(D355&lt;0.005,0,MAX(0,D355*(1+D$6/12)-D$7))</f>
        <v/>
      </c>
      <c r="E356" s="91">
        <f>IF(E355&lt;0.005,0,MAX(0,E355*(1+E$6/12)-E$7))</f>
        <v/>
      </c>
      <c r="F356" s="91">
        <f>IF(F355&lt;0.005,0,MAX(0,F355*(1+F$6/12)-F$7))</f>
        <v/>
      </c>
      <c r="G356" s="91">
        <f>IF(G355&lt;0.005,0,MAX(0,G355*(1+G$6/12)-G$7))</f>
        <v/>
      </c>
      <c r="H356" s="91">
        <f>IF(H355&lt;0.005,0,MAX(0,H355*(1+H$6/12)-H$7))</f>
        <v/>
      </c>
      <c r="I356" s="91">
        <f>IF(I355&lt;0.005,0,MAX(0,I355*(1+I$6/12)-I$7))</f>
        <v/>
      </c>
      <c r="J356" s="91">
        <f>IF(J355&lt;0.005,0,MAX(0,J355*(1+J$6/12)-J$7))</f>
        <v/>
      </c>
      <c r="K356" s="91">
        <f>IF(K355&lt;0.005,0,MAX(0,K355*(1+K$6/12)-K$7))</f>
        <v/>
      </c>
      <c r="L356" s="91">
        <f>IF(L355&lt;0.005,0,MAX(0,L355*(1+L$6/12)-L$7))</f>
        <v/>
      </c>
      <c r="M356" s="91">
        <f>SUMPRODUCT(C355:L355,$C$6:$L$6)/12</f>
        <v/>
      </c>
      <c r="N356" s="88">
        <f>SUM(C356:L356)</f>
        <v/>
      </c>
      <c r="P356" s="92">
        <f>IF(Z355&lt;0.005,0,MAX(0,Z355*(1+Z$6/12)-Z$7))</f>
        <v/>
      </c>
      <c r="Q356" s="92">
        <f>IF(AA355&lt;0.005,0,MAX(0,AA355*(1+AA$6/12)-AA$7))</f>
        <v/>
      </c>
      <c r="R356" s="92">
        <f>IF(AB355&lt;0.005,0,MAX(0,AB355*(1+AB$6/12)-AB$7))</f>
        <v/>
      </c>
      <c r="S356" s="92">
        <f>IF(AC355&lt;0.005,0,MAX(0,AC355*(1+AC$6/12)-AC$7))</f>
        <v/>
      </c>
      <c r="T356" s="92">
        <f>IF(AD355&lt;0.005,0,MAX(0,AD355*(1+AD$6/12)-AD$7))</f>
        <v/>
      </c>
      <c r="U356" s="92">
        <f>IF(AE355&lt;0.005,0,MAX(0,AE355*(1+AE$6/12)-AE$7))</f>
        <v/>
      </c>
      <c r="V356" s="92">
        <f>IF(AF355&lt;0.005,0,MAX(0,AF355*(1+AF$6/12)-AF$7))</f>
        <v/>
      </c>
      <c r="W356" s="92">
        <f>IF(AG355&lt;0.005,0,MAX(0,AG355*(1+AG$6/12)-AG$7))</f>
        <v/>
      </c>
      <c r="X356" s="92">
        <f>IF(AH355&lt;0.005,0,MAX(0,AH355*(1+AH$6/12)-AH$7))</f>
        <v/>
      </c>
      <c r="Y356" s="92">
        <f>IF(AI355&lt;0.005,0,MAX(0,AI355*(1+AI$6/12)-AI$7))</f>
        <v/>
      </c>
      <c r="Z356" s="91">
        <f>MAX(0,P356-MAX(0,AK356-0))</f>
        <v/>
      </c>
      <c r="AA356" s="91">
        <f>MAX(0,Q356-MAX(0,AK356-SUM(P356:P356)))</f>
        <v/>
      </c>
      <c r="AB356" s="91">
        <f>MAX(0,R356-MAX(0,AK356-SUM(P356:Q356)))</f>
        <v/>
      </c>
      <c r="AC356" s="91">
        <f>MAX(0,S356-MAX(0,AK356-SUM(P356:R356)))</f>
        <v/>
      </c>
      <c r="AD356" s="91">
        <f>MAX(0,T356-MAX(0,AK356-SUM(P356:S356)))</f>
        <v/>
      </c>
      <c r="AE356" s="91">
        <f>MAX(0,U356-MAX(0,AK356-SUM(P356:T356)))</f>
        <v/>
      </c>
      <c r="AF356" s="91">
        <f>MAX(0,V356-MAX(0,AK356-SUM(P356:U356)))</f>
        <v/>
      </c>
      <c r="AG356" s="91">
        <f>MAX(0,W356-MAX(0,AK356-SUM(P356:V356)))</f>
        <v/>
      </c>
      <c r="AH356" s="91">
        <f>MAX(0,X356-MAX(0,AK356-SUM(P356:W356)))</f>
        <v/>
      </c>
      <c r="AI356" s="91">
        <f>MAX(0,Y356-MAX(0,AK356-SUM(P356:X356)))</f>
        <v/>
      </c>
      <c r="AJ356" s="92">
        <f>SUM(Z355:AI355)+AL356</f>
        <v/>
      </c>
      <c r="AK356" s="92">
        <f>$AK$7-(AJ356-SUM(P356:Y356))</f>
        <v/>
      </c>
      <c r="AL356" s="91">
        <f>SUMPRODUCT(Z355:AI355,$Z$6:$AI$6)/12</f>
        <v/>
      </c>
      <c r="AM356" s="88">
        <f>SUM(Z356:AI356)</f>
        <v/>
      </c>
      <c r="AO356" s="92">
        <f>IF(AY355&lt;0.005,0,MAX(0,AY355*(1+AY$6/12)-AY$7))</f>
        <v/>
      </c>
      <c r="AP356" s="92">
        <f>IF(AZ355&lt;0.005,0,MAX(0,AZ355*(1+AZ$6/12)-AZ$7))</f>
        <v/>
      </c>
      <c r="AQ356" s="92">
        <f>IF(BA355&lt;0.005,0,MAX(0,BA355*(1+BA$6/12)-BA$7))</f>
        <v/>
      </c>
      <c r="AR356" s="92">
        <f>IF(BB355&lt;0.005,0,MAX(0,BB355*(1+BB$6/12)-BB$7))</f>
        <v/>
      </c>
      <c r="AS356" s="92">
        <f>IF(BC355&lt;0.005,0,MAX(0,BC355*(1+BC$6/12)-BC$7))</f>
        <v/>
      </c>
      <c r="AT356" s="92">
        <f>IF(BD355&lt;0.005,0,MAX(0,BD355*(1+BD$6/12)-BD$7))</f>
        <v/>
      </c>
      <c r="AU356" s="92">
        <f>IF(BE355&lt;0.005,0,MAX(0,BE355*(1+BE$6/12)-BE$7))</f>
        <v/>
      </c>
      <c r="AV356" s="92">
        <f>IF(BF355&lt;0.005,0,MAX(0,BF355*(1+BF$6/12)-BF$7))</f>
        <v/>
      </c>
      <c r="AW356" s="92">
        <f>IF(BG355&lt;0.005,0,MAX(0,BG355*(1+BG$6/12)-BG$7))</f>
        <v/>
      </c>
      <c r="AX356" s="92">
        <f>IF(BH355&lt;0.005,0,MAX(0,BH355*(1+BH$6/12)-BH$7))</f>
        <v/>
      </c>
      <c r="AY356" s="91">
        <f>MAX(0,AO356-MAX(0,BJ356-0))</f>
        <v/>
      </c>
      <c r="AZ356" s="91">
        <f>MAX(0,AP356-MAX(0,BJ356-SUM(AO356:AO356)))</f>
        <v/>
      </c>
      <c r="BA356" s="91">
        <f>MAX(0,AQ356-MAX(0,BJ356-SUM(AO356:AP356)))</f>
        <v/>
      </c>
      <c r="BB356" s="91">
        <f>MAX(0,AR356-MAX(0,BJ356-SUM(AO356:AQ356)))</f>
        <v/>
      </c>
      <c r="BC356" s="91">
        <f>MAX(0,AS356-MAX(0,BJ356-SUM(AO356:AR356)))</f>
        <v/>
      </c>
      <c r="BD356" s="91">
        <f>MAX(0,AT356-MAX(0,BJ356-SUM(AO356:AS356)))</f>
        <v/>
      </c>
      <c r="BE356" s="91">
        <f>MAX(0,AU356-MAX(0,BJ356-SUM(AO356:AT356)))</f>
        <v/>
      </c>
      <c r="BF356" s="91">
        <f>MAX(0,AV356-MAX(0,BJ356-SUM(AO356:AU356)))</f>
        <v/>
      </c>
      <c r="BG356" s="91">
        <f>MAX(0,AW356-MAX(0,BJ356-SUM(AO356:AV356)))</f>
        <v/>
      </c>
      <c r="BH356" s="91">
        <f>MAX(0,AX356-MAX(0,BJ356-SUM(AO356:AW356)))</f>
        <v/>
      </c>
      <c r="BI356" s="92">
        <f>SUM(AY355:BH355)+BK356</f>
        <v/>
      </c>
      <c r="BJ356" s="92">
        <f>$BJ$7-(BI356-SUM(AO356:AX356))</f>
        <v/>
      </c>
      <c r="BK356" s="91">
        <f>SUMPRODUCT(AY355:BH355,$AY$6:$BH$6)/12</f>
        <v/>
      </c>
      <c r="BL356" s="88">
        <f>SUM(AY356:BH356)</f>
        <v/>
      </c>
    </row>
    <row r="357">
      <c r="A357" s="24" t="n">
        <v>347</v>
      </c>
      <c r="B357" s="90">
        <f>DATE(YEAR(Settings!$C$11),MONTH(Settings!$C$11)+A357,1)</f>
        <v/>
      </c>
      <c r="C357" s="91">
        <f>IF(C356&lt;0.005,0,MAX(0,C356*(1+C$6/12)-C$7))</f>
        <v/>
      </c>
      <c r="D357" s="91">
        <f>IF(D356&lt;0.005,0,MAX(0,D356*(1+D$6/12)-D$7))</f>
        <v/>
      </c>
      <c r="E357" s="91">
        <f>IF(E356&lt;0.005,0,MAX(0,E356*(1+E$6/12)-E$7))</f>
        <v/>
      </c>
      <c r="F357" s="91">
        <f>IF(F356&lt;0.005,0,MAX(0,F356*(1+F$6/12)-F$7))</f>
        <v/>
      </c>
      <c r="G357" s="91">
        <f>IF(G356&lt;0.005,0,MAX(0,G356*(1+G$6/12)-G$7))</f>
        <v/>
      </c>
      <c r="H357" s="91">
        <f>IF(H356&lt;0.005,0,MAX(0,H356*(1+H$6/12)-H$7))</f>
        <v/>
      </c>
      <c r="I357" s="91">
        <f>IF(I356&lt;0.005,0,MAX(0,I356*(1+I$6/12)-I$7))</f>
        <v/>
      </c>
      <c r="J357" s="91">
        <f>IF(J356&lt;0.005,0,MAX(0,J356*(1+J$6/12)-J$7))</f>
        <v/>
      </c>
      <c r="K357" s="91">
        <f>IF(K356&lt;0.005,0,MAX(0,K356*(1+K$6/12)-K$7))</f>
        <v/>
      </c>
      <c r="L357" s="91">
        <f>IF(L356&lt;0.005,0,MAX(0,L356*(1+L$6/12)-L$7))</f>
        <v/>
      </c>
      <c r="M357" s="91">
        <f>SUMPRODUCT(C356:L356,$C$6:$L$6)/12</f>
        <v/>
      </c>
      <c r="N357" s="88">
        <f>SUM(C357:L357)</f>
        <v/>
      </c>
      <c r="P357" s="92">
        <f>IF(Z356&lt;0.005,0,MAX(0,Z356*(1+Z$6/12)-Z$7))</f>
        <v/>
      </c>
      <c r="Q357" s="92">
        <f>IF(AA356&lt;0.005,0,MAX(0,AA356*(1+AA$6/12)-AA$7))</f>
        <v/>
      </c>
      <c r="R357" s="92">
        <f>IF(AB356&lt;0.005,0,MAX(0,AB356*(1+AB$6/12)-AB$7))</f>
        <v/>
      </c>
      <c r="S357" s="92">
        <f>IF(AC356&lt;0.005,0,MAX(0,AC356*(1+AC$6/12)-AC$7))</f>
        <v/>
      </c>
      <c r="T357" s="92">
        <f>IF(AD356&lt;0.005,0,MAX(0,AD356*(1+AD$6/12)-AD$7))</f>
        <v/>
      </c>
      <c r="U357" s="92">
        <f>IF(AE356&lt;0.005,0,MAX(0,AE356*(1+AE$6/12)-AE$7))</f>
        <v/>
      </c>
      <c r="V357" s="92">
        <f>IF(AF356&lt;0.005,0,MAX(0,AF356*(1+AF$6/12)-AF$7))</f>
        <v/>
      </c>
      <c r="W357" s="92">
        <f>IF(AG356&lt;0.005,0,MAX(0,AG356*(1+AG$6/12)-AG$7))</f>
        <v/>
      </c>
      <c r="X357" s="92">
        <f>IF(AH356&lt;0.005,0,MAX(0,AH356*(1+AH$6/12)-AH$7))</f>
        <v/>
      </c>
      <c r="Y357" s="92">
        <f>IF(AI356&lt;0.005,0,MAX(0,AI356*(1+AI$6/12)-AI$7))</f>
        <v/>
      </c>
      <c r="Z357" s="91">
        <f>MAX(0,P357-MAX(0,AK357-0))</f>
        <v/>
      </c>
      <c r="AA357" s="91">
        <f>MAX(0,Q357-MAX(0,AK357-SUM(P357:P357)))</f>
        <v/>
      </c>
      <c r="AB357" s="91">
        <f>MAX(0,R357-MAX(0,AK357-SUM(P357:Q357)))</f>
        <v/>
      </c>
      <c r="AC357" s="91">
        <f>MAX(0,S357-MAX(0,AK357-SUM(P357:R357)))</f>
        <v/>
      </c>
      <c r="AD357" s="91">
        <f>MAX(0,T357-MAX(0,AK357-SUM(P357:S357)))</f>
        <v/>
      </c>
      <c r="AE357" s="91">
        <f>MAX(0,U357-MAX(0,AK357-SUM(P357:T357)))</f>
        <v/>
      </c>
      <c r="AF357" s="91">
        <f>MAX(0,V357-MAX(0,AK357-SUM(P357:U357)))</f>
        <v/>
      </c>
      <c r="AG357" s="91">
        <f>MAX(0,W357-MAX(0,AK357-SUM(P357:V357)))</f>
        <v/>
      </c>
      <c r="AH357" s="91">
        <f>MAX(0,X357-MAX(0,AK357-SUM(P357:W357)))</f>
        <v/>
      </c>
      <c r="AI357" s="91">
        <f>MAX(0,Y357-MAX(0,AK357-SUM(P357:X357)))</f>
        <v/>
      </c>
      <c r="AJ357" s="92">
        <f>SUM(Z356:AI356)+AL357</f>
        <v/>
      </c>
      <c r="AK357" s="92">
        <f>$AK$7-(AJ357-SUM(P357:Y357))</f>
        <v/>
      </c>
      <c r="AL357" s="91">
        <f>SUMPRODUCT(Z356:AI356,$Z$6:$AI$6)/12</f>
        <v/>
      </c>
      <c r="AM357" s="88">
        <f>SUM(Z357:AI357)</f>
        <v/>
      </c>
      <c r="AO357" s="92">
        <f>IF(AY356&lt;0.005,0,MAX(0,AY356*(1+AY$6/12)-AY$7))</f>
        <v/>
      </c>
      <c r="AP357" s="92">
        <f>IF(AZ356&lt;0.005,0,MAX(0,AZ356*(1+AZ$6/12)-AZ$7))</f>
        <v/>
      </c>
      <c r="AQ357" s="92">
        <f>IF(BA356&lt;0.005,0,MAX(0,BA356*(1+BA$6/12)-BA$7))</f>
        <v/>
      </c>
      <c r="AR357" s="92">
        <f>IF(BB356&lt;0.005,0,MAX(0,BB356*(1+BB$6/12)-BB$7))</f>
        <v/>
      </c>
      <c r="AS357" s="92">
        <f>IF(BC356&lt;0.005,0,MAX(0,BC356*(1+BC$6/12)-BC$7))</f>
        <v/>
      </c>
      <c r="AT357" s="92">
        <f>IF(BD356&lt;0.005,0,MAX(0,BD356*(1+BD$6/12)-BD$7))</f>
        <v/>
      </c>
      <c r="AU357" s="92">
        <f>IF(BE356&lt;0.005,0,MAX(0,BE356*(1+BE$6/12)-BE$7))</f>
        <v/>
      </c>
      <c r="AV357" s="92">
        <f>IF(BF356&lt;0.005,0,MAX(0,BF356*(1+BF$6/12)-BF$7))</f>
        <v/>
      </c>
      <c r="AW357" s="92">
        <f>IF(BG356&lt;0.005,0,MAX(0,BG356*(1+BG$6/12)-BG$7))</f>
        <v/>
      </c>
      <c r="AX357" s="92">
        <f>IF(BH356&lt;0.005,0,MAX(0,BH356*(1+BH$6/12)-BH$7))</f>
        <v/>
      </c>
      <c r="AY357" s="91">
        <f>MAX(0,AO357-MAX(0,BJ357-0))</f>
        <v/>
      </c>
      <c r="AZ357" s="91">
        <f>MAX(0,AP357-MAX(0,BJ357-SUM(AO357:AO357)))</f>
        <v/>
      </c>
      <c r="BA357" s="91">
        <f>MAX(0,AQ357-MAX(0,BJ357-SUM(AO357:AP357)))</f>
        <v/>
      </c>
      <c r="BB357" s="91">
        <f>MAX(0,AR357-MAX(0,BJ357-SUM(AO357:AQ357)))</f>
        <v/>
      </c>
      <c r="BC357" s="91">
        <f>MAX(0,AS357-MAX(0,BJ357-SUM(AO357:AR357)))</f>
        <v/>
      </c>
      <c r="BD357" s="91">
        <f>MAX(0,AT357-MAX(0,BJ357-SUM(AO357:AS357)))</f>
        <v/>
      </c>
      <c r="BE357" s="91">
        <f>MAX(0,AU357-MAX(0,BJ357-SUM(AO357:AT357)))</f>
        <v/>
      </c>
      <c r="BF357" s="91">
        <f>MAX(0,AV357-MAX(0,BJ357-SUM(AO357:AU357)))</f>
        <v/>
      </c>
      <c r="BG357" s="91">
        <f>MAX(0,AW357-MAX(0,BJ357-SUM(AO357:AV357)))</f>
        <v/>
      </c>
      <c r="BH357" s="91">
        <f>MAX(0,AX357-MAX(0,BJ357-SUM(AO357:AW357)))</f>
        <v/>
      </c>
      <c r="BI357" s="92">
        <f>SUM(AY356:BH356)+BK357</f>
        <v/>
      </c>
      <c r="BJ357" s="92">
        <f>$BJ$7-(BI357-SUM(AO357:AX357))</f>
        <v/>
      </c>
      <c r="BK357" s="91">
        <f>SUMPRODUCT(AY356:BH356,$AY$6:$BH$6)/12</f>
        <v/>
      </c>
      <c r="BL357" s="88">
        <f>SUM(AY357:BH357)</f>
        <v/>
      </c>
    </row>
    <row r="358">
      <c r="A358" s="24" t="n">
        <v>348</v>
      </c>
      <c r="B358" s="90">
        <f>DATE(YEAR(Settings!$C$11),MONTH(Settings!$C$11)+A358,1)</f>
        <v/>
      </c>
      <c r="C358" s="91">
        <f>IF(C357&lt;0.005,0,MAX(0,C357*(1+C$6/12)-C$7))</f>
        <v/>
      </c>
      <c r="D358" s="91">
        <f>IF(D357&lt;0.005,0,MAX(0,D357*(1+D$6/12)-D$7))</f>
        <v/>
      </c>
      <c r="E358" s="91">
        <f>IF(E357&lt;0.005,0,MAX(0,E357*(1+E$6/12)-E$7))</f>
        <v/>
      </c>
      <c r="F358" s="91">
        <f>IF(F357&lt;0.005,0,MAX(0,F357*(1+F$6/12)-F$7))</f>
        <v/>
      </c>
      <c r="G358" s="91">
        <f>IF(G357&lt;0.005,0,MAX(0,G357*(1+G$6/12)-G$7))</f>
        <v/>
      </c>
      <c r="H358" s="91">
        <f>IF(H357&lt;0.005,0,MAX(0,H357*(1+H$6/12)-H$7))</f>
        <v/>
      </c>
      <c r="I358" s="91">
        <f>IF(I357&lt;0.005,0,MAX(0,I357*(1+I$6/12)-I$7))</f>
        <v/>
      </c>
      <c r="J358" s="91">
        <f>IF(J357&lt;0.005,0,MAX(0,J357*(1+J$6/12)-J$7))</f>
        <v/>
      </c>
      <c r="K358" s="91">
        <f>IF(K357&lt;0.005,0,MAX(0,K357*(1+K$6/12)-K$7))</f>
        <v/>
      </c>
      <c r="L358" s="91">
        <f>IF(L357&lt;0.005,0,MAX(0,L357*(1+L$6/12)-L$7))</f>
        <v/>
      </c>
      <c r="M358" s="91">
        <f>SUMPRODUCT(C357:L357,$C$6:$L$6)/12</f>
        <v/>
      </c>
      <c r="N358" s="88">
        <f>SUM(C358:L358)</f>
        <v/>
      </c>
      <c r="P358" s="92">
        <f>IF(Z357&lt;0.005,0,MAX(0,Z357*(1+Z$6/12)-Z$7))</f>
        <v/>
      </c>
      <c r="Q358" s="92">
        <f>IF(AA357&lt;0.005,0,MAX(0,AA357*(1+AA$6/12)-AA$7))</f>
        <v/>
      </c>
      <c r="R358" s="92">
        <f>IF(AB357&lt;0.005,0,MAX(0,AB357*(1+AB$6/12)-AB$7))</f>
        <v/>
      </c>
      <c r="S358" s="92">
        <f>IF(AC357&lt;0.005,0,MAX(0,AC357*(1+AC$6/12)-AC$7))</f>
        <v/>
      </c>
      <c r="T358" s="92">
        <f>IF(AD357&lt;0.005,0,MAX(0,AD357*(1+AD$6/12)-AD$7))</f>
        <v/>
      </c>
      <c r="U358" s="92">
        <f>IF(AE357&lt;0.005,0,MAX(0,AE357*(1+AE$6/12)-AE$7))</f>
        <v/>
      </c>
      <c r="V358" s="92">
        <f>IF(AF357&lt;0.005,0,MAX(0,AF357*(1+AF$6/12)-AF$7))</f>
        <v/>
      </c>
      <c r="W358" s="92">
        <f>IF(AG357&lt;0.005,0,MAX(0,AG357*(1+AG$6/12)-AG$7))</f>
        <v/>
      </c>
      <c r="X358" s="92">
        <f>IF(AH357&lt;0.005,0,MAX(0,AH357*(1+AH$6/12)-AH$7))</f>
        <v/>
      </c>
      <c r="Y358" s="92">
        <f>IF(AI357&lt;0.005,0,MAX(0,AI357*(1+AI$6/12)-AI$7))</f>
        <v/>
      </c>
      <c r="Z358" s="91">
        <f>MAX(0,P358-MAX(0,AK358-0))</f>
        <v/>
      </c>
      <c r="AA358" s="91">
        <f>MAX(0,Q358-MAX(0,AK358-SUM(P358:P358)))</f>
        <v/>
      </c>
      <c r="AB358" s="91">
        <f>MAX(0,R358-MAX(0,AK358-SUM(P358:Q358)))</f>
        <v/>
      </c>
      <c r="AC358" s="91">
        <f>MAX(0,S358-MAX(0,AK358-SUM(P358:R358)))</f>
        <v/>
      </c>
      <c r="AD358" s="91">
        <f>MAX(0,T358-MAX(0,AK358-SUM(P358:S358)))</f>
        <v/>
      </c>
      <c r="AE358" s="91">
        <f>MAX(0,U358-MAX(0,AK358-SUM(P358:T358)))</f>
        <v/>
      </c>
      <c r="AF358" s="91">
        <f>MAX(0,V358-MAX(0,AK358-SUM(P358:U358)))</f>
        <v/>
      </c>
      <c r="AG358" s="91">
        <f>MAX(0,W358-MAX(0,AK358-SUM(P358:V358)))</f>
        <v/>
      </c>
      <c r="AH358" s="91">
        <f>MAX(0,X358-MAX(0,AK358-SUM(P358:W358)))</f>
        <v/>
      </c>
      <c r="AI358" s="91">
        <f>MAX(0,Y358-MAX(0,AK358-SUM(P358:X358)))</f>
        <v/>
      </c>
      <c r="AJ358" s="92">
        <f>SUM(Z357:AI357)+AL358</f>
        <v/>
      </c>
      <c r="AK358" s="92">
        <f>$AK$7-(AJ358-SUM(P358:Y358))</f>
        <v/>
      </c>
      <c r="AL358" s="91">
        <f>SUMPRODUCT(Z357:AI357,$Z$6:$AI$6)/12</f>
        <v/>
      </c>
      <c r="AM358" s="88">
        <f>SUM(Z358:AI358)</f>
        <v/>
      </c>
      <c r="AO358" s="92">
        <f>IF(AY357&lt;0.005,0,MAX(0,AY357*(1+AY$6/12)-AY$7))</f>
        <v/>
      </c>
      <c r="AP358" s="92">
        <f>IF(AZ357&lt;0.005,0,MAX(0,AZ357*(1+AZ$6/12)-AZ$7))</f>
        <v/>
      </c>
      <c r="AQ358" s="92">
        <f>IF(BA357&lt;0.005,0,MAX(0,BA357*(1+BA$6/12)-BA$7))</f>
        <v/>
      </c>
      <c r="AR358" s="92">
        <f>IF(BB357&lt;0.005,0,MAX(0,BB357*(1+BB$6/12)-BB$7))</f>
        <v/>
      </c>
      <c r="AS358" s="92">
        <f>IF(BC357&lt;0.005,0,MAX(0,BC357*(1+BC$6/12)-BC$7))</f>
        <v/>
      </c>
      <c r="AT358" s="92">
        <f>IF(BD357&lt;0.005,0,MAX(0,BD357*(1+BD$6/12)-BD$7))</f>
        <v/>
      </c>
      <c r="AU358" s="92">
        <f>IF(BE357&lt;0.005,0,MAX(0,BE357*(1+BE$6/12)-BE$7))</f>
        <v/>
      </c>
      <c r="AV358" s="92">
        <f>IF(BF357&lt;0.005,0,MAX(0,BF357*(1+BF$6/12)-BF$7))</f>
        <v/>
      </c>
      <c r="AW358" s="92">
        <f>IF(BG357&lt;0.005,0,MAX(0,BG357*(1+BG$6/12)-BG$7))</f>
        <v/>
      </c>
      <c r="AX358" s="92">
        <f>IF(BH357&lt;0.005,0,MAX(0,BH357*(1+BH$6/12)-BH$7))</f>
        <v/>
      </c>
      <c r="AY358" s="91">
        <f>MAX(0,AO358-MAX(0,BJ358-0))</f>
        <v/>
      </c>
      <c r="AZ358" s="91">
        <f>MAX(0,AP358-MAX(0,BJ358-SUM(AO358:AO358)))</f>
        <v/>
      </c>
      <c r="BA358" s="91">
        <f>MAX(0,AQ358-MAX(0,BJ358-SUM(AO358:AP358)))</f>
        <v/>
      </c>
      <c r="BB358" s="91">
        <f>MAX(0,AR358-MAX(0,BJ358-SUM(AO358:AQ358)))</f>
        <v/>
      </c>
      <c r="BC358" s="91">
        <f>MAX(0,AS358-MAX(0,BJ358-SUM(AO358:AR358)))</f>
        <v/>
      </c>
      <c r="BD358" s="91">
        <f>MAX(0,AT358-MAX(0,BJ358-SUM(AO358:AS358)))</f>
        <v/>
      </c>
      <c r="BE358" s="91">
        <f>MAX(0,AU358-MAX(0,BJ358-SUM(AO358:AT358)))</f>
        <v/>
      </c>
      <c r="BF358" s="91">
        <f>MAX(0,AV358-MAX(0,BJ358-SUM(AO358:AU358)))</f>
        <v/>
      </c>
      <c r="BG358" s="91">
        <f>MAX(0,AW358-MAX(0,BJ358-SUM(AO358:AV358)))</f>
        <v/>
      </c>
      <c r="BH358" s="91">
        <f>MAX(0,AX358-MAX(0,BJ358-SUM(AO358:AW358)))</f>
        <v/>
      </c>
      <c r="BI358" s="92">
        <f>SUM(AY357:BH357)+BK358</f>
        <v/>
      </c>
      <c r="BJ358" s="92">
        <f>$BJ$7-(BI358-SUM(AO358:AX358))</f>
        <v/>
      </c>
      <c r="BK358" s="91">
        <f>SUMPRODUCT(AY357:BH357,$AY$6:$BH$6)/12</f>
        <v/>
      </c>
      <c r="BL358" s="88">
        <f>SUM(AY358:BH358)</f>
        <v/>
      </c>
    </row>
    <row r="359">
      <c r="A359" s="24" t="n">
        <v>349</v>
      </c>
      <c r="B359" s="90">
        <f>DATE(YEAR(Settings!$C$11),MONTH(Settings!$C$11)+A359,1)</f>
        <v/>
      </c>
      <c r="C359" s="91">
        <f>IF(C358&lt;0.005,0,MAX(0,C358*(1+C$6/12)-C$7))</f>
        <v/>
      </c>
      <c r="D359" s="91">
        <f>IF(D358&lt;0.005,0,MAX(0,D358*(1+D$6/12)-D$7))</f>
        <v/>
      </c>
      <c r="E359" s="91">
        <f>IF(E358&lt;0.005,0,MAX(0,E358*(1+E$6/12)-E$7))</f>
        <v/>
      </c>
      <c r="F359" s="91">
        <f>IF(F358&lt;0.005,0,MAX(0,F358*(1+F$6/12)-F$7))</f>
        <v/>
      </c>
      <c r="G359" s="91">
        <f>IF(G358&lt;0.005,0,MAX(0,G358*(1+G$6/12)-G$7))</f>
        <v/>
      </c>
      <c r="H359" s="91">
        <f>IF(H358&lt;0.005,0,MAX(0,H358*(1+H$6/12)-H$7))</f>
        <v/>
      </c>
      <c r="I359" s="91">
        <f>IF(I358&lt;0.005,0,MAX(0,I358*(1+I$6/12)-I$7))</f>
        <v/>
      </c>
      <c r="J359" s="91">
        <f>IF(J358&lt;0.005,0,MAX(0,J358*(1+J$6/12)-J$7))</f>
        <v/>
      </c>
      <c r="K359" s="91">
        <f>IF(K358&lt;0.005,0,MAX(0,K358*(1+K$6/12)-K$7))</f>
        <v/>
      </c>
      <c r="L359" s="91">
        <f>IF(L358&lt;0.005,0,MAX(0,L358*(1+L$6/12)-L$7))</f>
        <v/>
      </c>
      <c r="M359" s="91">
        <f>SUMPRODUCT(C358:L358,$C$6:$L$6)/12</f>
        <v/>
      </c>
      <c r="N359" s="88">
        <f>SUM(C359:L359)</f>
        <v/>
      </c>
      <c r="P359" s="92">
        <f>IF(Z358&lt;0.005,0,MAX(0,Z358*(1+Z$6/12)-Z$7))</f>
        <v/>
      </c>
      <c r="Q359" s="92">
        <f>IF(AA358&lt;0.005,0,MAX(0,AA358*(1+AA$6/12)-AA$7))</f>
        <v/>
      </c>
      <c r="R359" s="92">
        <f>IF(AB358&lt;0.005,0,MAX(0,AB358*(1+AB$6/12)-AB$7))</f>
        <v/>
      </c>
      <c r="S359" s="92">
        <f>IF(AC358&lt;0.005,0,MAX(0,AC358*(1+AC$6/12)-AC$7))</f>
        <v/>
      </c>
      <c r="T359" s="92">
        <f>IF(AD358&lt;0.005,0,MAX(0,AD358*(1+AD$6/12)-AD$7))</f>
        <v/>
      </c>
      <c r="U359" s="92">
        <f>IF(AE358&lt;0.005,0,MAX(0,AE358*(1+AE$6/12)-AE$7))</f>
        <v/>
      </c>
      <c r="V359" s="92">
        <f>IF(AF358&lt;0.005,0,MAX(0,AF358*(1+AF$6/12)-AF$7))</f>
        <v/>
      </c>
      <c r="W359" s="92">
        <f>IF(AG358&lt;0.005,0,MAX(0,AG358*(1+AG$6/12)-AG$7))</f>
        <v/>
      </c>
      <c r="X359" s="92">
        <f>IF(AH358&lt;0.005,0,MAX(0,AH358*(1+AH$6/12)-AH$7))</f>
        <v/>
      </c>
      <c r="Y359" s="92">
        <f>IF(AI358&lt;0.005,0,MAX(0,AI358*(1+AI$6/12)-AI$7))</f>
        <v/>
      </c>
      <c r="Z359" s="91">
        <f>MAX(0,P359-MAX(0,AK359-0))</f>
        <v/>
      </c>
      <c r="AA359" s="91">
        <f>MAX(0,Q359-MAX(0,AK359-SUM(P359:P359)))</f>
        <v/>
      </c>
      <c r="AB359" s="91">
        <f>MAX(0,R359-MAX(0,AK359-SUM(P359:Q359)))</f>
        <v/>
      </c>
      <c r="AC359" s="91">
        <f>MAX(0,S359-MAX(0,AK359-SUM(P359:R359)))</f>
        <v/>
      </c>
      <c r="AD359" s="91">
        <f>MAX(0,T359-MAX(0,AK359-SUM(P359:S359)))</f>
        <v/>
      </c>
      <c r="AE359" s="91">
        <f>MAX(0,U359-MAX(0,AK359-SUM(P359:T359)))</f>
        <v/>
      </c>
      <c r="AF359" s="91">
        <f>MAX(0,V359-MAX(0,AK359-SUM(P359:U359)))</f>
        <v/>
      </c>
      <c r="AG359" s="91">
        <f>MAX(0,W359-MAX(0,AK359-SUM(P359:V359)))</f>
        <v/>
      </c>
      <c r="AH359" s="91">
        <f>MAX(0,X359-MAX(0,AK359-SUM(P359:W359)))</f>
        <v/>
      </c>
      <c r="AI359" s="91">
        <f>MAX(0,Y359-MAX(0,AK359-SUM(P359:X359)))</f>
        <v/>
      </c>
      <c r="AJ359" s="92">
        <f>SUM(Z358:AI358)+AL359</f>
        <v/>
      </c>
      <c r="AK359" s="92">
        <f>$AK$7-(AJ359-SUM(P359:Y359))</f>
        <v/>
      </c>
      <c r="AL359" s="91">
        <f>SUMPRODUCT(Z358:AI358,$Z$6:$AI$6)/12</f>
        <v/>
      </c>
      <c r="AM359" s="88">
        <f>SUM(Z359:AI359)</f>
        <v/>
      </c>
      <c r="AO359" s="92">
        <f>IF(AY358&lt;0.005,0,MAX(0,AY358*(1+AY$6/12)-AY$7))</f>
        <v/>
      </c>
      <c r="AP359" s="92">
        <f>IF(AZ358&lt;0.005,0,MAX(0,AZ358*(1+AZ$6/12)-AZ$7))</f>
        <v/>
      </c>
      <c r="AQ359" s="92">
        <f>IF(BA358&lt;0.005,0,MAX(0,BA358*(1+BA$6/12)-BA$7))</f>
        <v/>
      </c>
      <c r="AR359" s="92">
        <f>IF(BB358&lt;0.005,0,MAX(0,BB358*(1+BB$6/12)-BB$7))</f>
        <v/>
      </c>
      <c r="AS359" s="92">
        <f>IF(BC358&lt;0.005,0,MAX(0,BC358*(1+BC$6/12)-BC$7))</f>
        <v/>
      </c>
      <c r="AT359" s="92">
        <f>IF(BD358&lt;0.005,0,MAX(0,BD358*(1+BD$6/12)-BD$7))</f>
        <v/>
      </c>
      <c r="AU359" s="92">
        <f>IF(BE358&lt;0.005,0,MAX(0,BE358*(1+BE$6/12)-BE$7))</f>
        <v/>
      </c>
      <c r="AV359" s="92">
        <f>IF(BF358&lt;0.005,0,MAX(0,BF358*(1+BF$6/12)-BF$7))</f>
        <v/>
      </c>
      <c r="AW359" s="92">
        <f>IF(BG358&lt;0.005,0,MAX(0,BG358*(1+BG$6/12)-BG$7))</f>
        <v/>
      </c>
      <c r="AX359" s="92">
        <f>IF(BH358&lt;0.005,0,MAX(0,BH358*(1+BH$6/12)-BH$7))</f>
        <v/>
      </c>
      <c r="AY359" s="91">
        <f>MAX(0,AO359-MAX(0,BJ359-0))</f>
        <v/>
      </c>
      <c r="AZ359" s="91">
        <f>MAX(0,AP359-MAX(0,BJ359-SUM(AO359:AO359)))</f>
        <v/>
      </c>
      <c r="BA359" s="91">
        <f>MAX(0,AQ359-MAX(0,BJ359-SUM(AO359:AP359)))</f>
        <v/>
      </c>
      <c r="BB359" s="91">
        <f>MAX(0,AR359-MAX(0,BJ359-SUM(AO359:AQ359)))</f>
        <v/>
      </c>
      <c r="BC359" s="91">
        <f>MAX(0,AS359-MAX(0,BJ359-SUM(AO359:AR359)))</f>
        <v/>
      </c>
      <c r="BD359" s="91">
        <f>MAX(0,AT359-MAX(0,BJ359-SUM(AO359:AS359)))</f>
        <v/>
      </c>
      <c r="BE359" s="91">
        <f>MAX(0,AU359-MAX(0,BJ359-SUM(AO359:AT359)))</f>
        <v/>
      </c>
      <c r="BF359" s="91">
        <f>MAX(0,AV359-MAX(0,BJ359-SUM(AO359:AU359)))</f>
        <v/>
      </c>
      <c r="BG359" s="91">
        <f>MAX(0,AW359-MAX(0,BJ359-SUM(AO359:AV359)))</f>
        <v/>
      </c>
      <c r="BH359" s="91">
        <f>MAX(0,AX359-MAX(0,BJ359-SUM(AO359:AW359)))</f>
        <v/>
      </c>
      <c r="BI359" s="92">
        <f>SUM(AY358:BH358)+BK359</f>
        <v/>
      </c>
      <c r="BJ359" s="92">
        <f>$BJ$7-(BI359-SUM(AO359:AX359))</f>
        <v/>
      </c>
      <c r="BK359" s="91">
        <f>SUMPRODUCT(AY358:BH358,$AY$6:$BH$6)/12</f>
        <v/>
      </c>
      <c r="BL359" s="88">
        <f>SUM(AY359:BH359)</f>
        <v/>
      </c>
    </row>
    <row r="360">
      <c r="A360" s="24" t="n">
        <v>350</v>
      </c>
      <c r="B360" s="90">
        <f>DATE(YEAR(Settings!$C$11),MONTH(Settings!$C$11)+A360,1)</f>
        <v/>
      </c>
      <c r="C360" s="91">
        <f>IF(C359&lt;0.005,0,MAX(0,C359*(1+C$6/12)-C$7))</f>
        <v/>
      </c>
      <c r="D360" s="91">
        <f>IF(D359&lt;0.005,0,MAX(0,D359*(1+D$6/12)-D$7))</f>
        <v/>
      </c>
      <c r="E360" s="91">
        <f>IF(E359&lt;0.005,0,MAX(0,E359*(1+E$6/12)-E$7))</f>
        <v/>
      </c>
      <c r="F360" s="91">
        <f>IF(F359&lt;0.005,0,MAX(0,F359*(1+F$6/12)-F$7))</f>
        <v/>
      </c>
      <c r="G360" s="91">
        <f>IF(G359&lt;0.005,0,MAX(0,G359*(1+G$6/12)-G$7))</f>
        <v/>
      </c>
      <c r="H360" s="91">
        <f>IF(H359&lt;0.005,0,MAX(0,H359*(1+H$6/12)-H$7))</f>
        <v/>
      </c>
      <c r="I360" s="91">
        <f>IF(I359&lt;0.005,0,MAX(0,I359*(1+I$6/12)-I$7))</f>
        <v/>
      </c>
      <c r="J360" s="91">
        <f>IF(J359&lt;0.005,0,MAX(0,J359*(1+J$6/12)-J$7))</f>
        <v/>
      </c>
      <c r="K360" s="91">
        <f>IF(K359&lt;0.005,0,MAX(0,K359*(1+K$6/12)-K$7))</f>
        <v/>
      </c>
      <c r="L360" s="91">
        <f>IF(L359&lt;0.005,0,MAX(0,L359*(1+L$6/12)-L$7))</f>
        <v/>
      </c>
      <c r="M360" s="91">
        <f>SUMPRODUCT(C359:L359,$C$6:$L$6)/12</f>
        <v/>
      </c>
      <c r="N360" s="88">
        <f>SUM(C360:L360)</f>
        <v/>
      </c>
      <c r="P360" s="92">
        <f>IF(Z359&lt;0.005,0,MAX(0,Z359*(1+Z$6/12)-Z$7))</f>
        <v/>
      </c>
      <c r="Q360" s="92">
        <f>IF(AA359&lt;0.005,0,MAX(0,AA359*(1+AA$6/12)-AA$7))</f>
        <v/>
      </c>
      <c r="R360" s="92">
        <f>IF(AB359&lt;0.005,0,MAX(0,AB359*(1+AB$6/12)-AB$7))</f>
        <v/>
      </c>
      <c r="S360" s="92">
        <f>IF(AC359&lt;0.005,0,MAX(0,AC359*(1+AC$6/12)-AC$7))</f>
        <v/>
      </c>
      <c r="T360" s="92">
        <f>IF(AD359&lt;0.005,0,MAX(0,AD359*(1+AD$6/12)-AD$7))</f>
        <v/>
      </c>
      <c r="U360" s="92">
        <f>IF(AE359&lt;0.005,0,MAX(0,AE359*(1+AE$6/12)-AE$7))</f>
        <v/>
      </c>
      <c r="V360" s="92">
        <f>IF(AF359&lt;0.005,0,MAX(0,AF359*(1+AF$6/12)-AF$7))</f>
        <v/>
      </c>
      <c r="W360" s="92">
        <f>IF(AG359&lt;0.005,0,MAX(0,AG359*(1+AG$6/12)-AG$7))</f>
        <v/>
      </c>
      <c r="X360" s="92">
        <f>IF(AH359&lt;0.005,0,MAX(0,AH359*(1+AH$6/12)-AH$7))</f>
        <v/>
      </c>
      <c r="Y360" s="92">
        <f>IF(AI359&lt;0.005,0,MAX(0,AI359*(1+AI$6/12)-AI$7))</f>
        <v/>
      </c>
      <c r="Z360" s="91">
        <f>MAX(0,P360-MAX(0,AK360-0))</f>
        <v/>
      </c>
      <c r="AA360" s="91">
        <f>MAX(0,Q360-MAX(0,AK360-SUM(P360:P360)))</f>
        <v/>
      </c>
      <c r="AB360" s="91">
        <f>MAX(0,R360-MAX(0,AK360-SUM(P360:Q360)))</f>
        <v/>
      </c>
      <c r="AC360" s="91">
        <f>MAX(0,S360-MAX(0,AK360-SUM(P360:R360)))</f>
        <v/>
      </c>
      <c r="AD360" s="91">
        <f>MAX(0,T360-MAX(0,AK360-SUM(P360:S360)))</f>
        <v/>
      </c>
      <c r="AE360" s="91">
        <f>MAX(0,U360-MAX(0,AK360-SUM(P360:T360)))</f>
        <v/>
      </c>
      <c r="AF360" s="91">
        <f>MAX(0,V360-MAX(0,AK360-SUM(P360:U360)))</f>
        <v/>
      </c>
      <c r="AG360" s="91">
        <f>MAX(0,W360-MAX(0,AK360-SUM(P360:V360)))</f>
        <v/>
      </c>
      <c r="AH360" s="91">
        <f>MAX(0,X360-MAX(0,AK360-SUM(P360:W360)))</f>
        <v/>
      </c>
      <c r="AI360" s="91">
        <f>MAX(0,Y360-MAX(0,AK360-SUM(P360:X360)))</f>
        <v/>
      </c>
      <c r="AJ360" s="92">
        <f>SUM(Z359:AI359)+AL360</f>
        <v/>
      </c>
      <c r="AK360" s="92">
        <f>$AK$7-(AJ360-SUM(P360:Y360))</f>
        <v/>
      </c>
      <c r="AL360" s="91">
        <f>SUMPRODUCT(Z359:AI359,$Z$6:$AI$6)/12</f>
        <v/>
      </c>
      <c r="AM360" s="88">
        <f>SUM(Z360:AI360)</f>
        <v/>
      </c>
      <c r="AO360" s="92">
        <f>IF(AY359&lt;0.005,0,MAX(0,AY359*(1+AY$6/12)-AY$7))</f>
        <v/>
      </c>
      <c r="AP360" s="92">
        <f>IF(AZ359&lt;0.005,0,MAX(0,AZ359*(1+AZ$6/12)-AZ$7))</f>
        <v/>
      </c>
      <c r="AQ360" s="92">
        <f>IF(BA359&lt;0.005,0,MAX(0,BA359*(1+BA$6/12)-BA$7))</f>
        <v/>
      </c>
      <c r="AR360" s="92">
        <f>IF(BB359&lt;0.005,0,MAX(0,BB359*(1+BB$6/12)-BB$7))</f>
        <v/>
      </c>
      <c r="AS360" s="92">
        <f>IF(BC359&lt;0.005,0,MAX(0,BC359*(1+BC$6/12)-BC$7))</f>
        <v/>
      </c>
      <c r="AT360" s="92">
        <f>IF(BD359&lt;0.005,0,MAX(0,BD359*(1+BD$6/12)-BD$7))</f>
        <v/>
      </c>
      <c r="AU360" s="92">
        <f>IF(BE359&lt;0.005,0,MAX(0,BE359*(1+BE$6/12)-BE$7))</f>
        <v/>
      </c>
      <c r="AV360" s="92">
        <f>IF(BF359&lt;0.005,0,MAX(0,BF359*(1+BF$6/12)-BF$7))</f>
        <v/>
      </c>
      <c r="AW360" s="92">
        <f>IF(BG359&lt;0.005,0,MAX(0,BG359*(1+BG$6/12)-BG$7))</f>
        <v/>
      </c>
      <c r="AX360" s="92">
        <f>IF(BH359&lt;0.005,0,MAX(0,BH359*(1+BH$6/12)-BH$7))</f>
        <v/>
      </c>
      <c r="AY360" s="91">
        <f>MAX(0,AO360-MAX(0,BJ360-0))</f>
        <v/>
      </c>
      <c r="AZ360" s="91">
        <f>MAX(0,AP360-MAX(0,BJ360-SUM(AO360:AO360)))</f>
        <v/>
      </c>
      <c r="BA360" s="91">
        <f>MAX(0,AQ360-MAX(0,BJ360-SUM(AO360:AP360)))</f>
        <v/>
      </c>
      <c r="BB360" s="91">
        <f>MAX(0,AR360-MAX(0,BJ360-SUM(AO360:AQ360)))</f>
        <v/>
      </c>
      <c r="BC360" s="91">
        <f>MAX(0,AS360-MAX(0,BJ360-SUM(AO360:AR360)))</f>
        <v/>
      </c>
      <c r="BD360" s="91">
        <f>MAX(0,AT360-MAX(0,BJ360-SUM(AO360:AS360)))</f>
        <v/>
      </c>
      <c r="BE360" s="91">
        <f>MAX(0,AU360-MAX(0,BJ360-SUM(AO360:AT360)))</f>
        <v/>
      </c>
      <c r="BF360" s="91">
        <f>MAX(0,AV360-MAX(0,BJ360-SUM(AO360:AU360)))</f>
        <v/>
      </c>
      <c r="BG360" s="91">
        <f>MAX(0,AW360-MAX(0,BJ360-SUM(AO360:AV360)))</f>
        <v/>
      </c>
      <c r="BH360" s="91">
        <f>MAX(0,AX360-MAX(0,BJ360-SUM(AO360:AW360)))</f>
        <v/>
      </c>
      <c r="BI360" s="92">
        <f>SUM(AY359:BH359)+BK360</f>
        <v/>
      </c>
      <c r="BJ360" s="92">
        <f>$BJ$7-(BI360-SUM(AO360:AX360))</f>
        <v/>
      </c>
      <c r="BK360" s="91">
        <f>SUMPRODUCT(AY359:BH359,$AY$6:$BH$6)/12</f>
        <v/>
      </c>
      <c r="BL360" s="88">
        <f>SUM(AY360:BH360)</f>
        <v/>
      </c>
    </row>
    <row r="361">
      <c r="A361" s="24" t="n">
        <v>351</v>
      </c>
      <c r="B361" s="90">
        <f>DATE(YEAR(Settings!$C$11),MONTH(Settings!$C$11)+A361,1)</f>
        <v/>
      </c>
      <c r="C361" s="91">
        <f>IF(C360&lt;0.005,0,MAX(0,C360*(1+C$6/12)-C$7))</f>
        <v/>
      </c>
      <c r="D361" s="91">
        <f>IF(D360&lt;0.005,0,MAX(0,D360*(1+D$6/12)-D$7))</f>
        <v/>
      </c>
      <c r="E361" s="91">
        <f>IF(E360&lt;0.005,0,MAX(0,E360*(1+E$6/12)-E$7))</f>
        <v/>
      </c>
      <c r="F361" s="91">
        <f>IF(F360&lt;0.005,0,MAX(0,F360*(1+F$6/12)-F$7))</f>
        <v/>
      </c>
      <c r="G361" s="91">
        <f>IF(G360&lt;0.005,0,MAX(0,G360*(1+G$6/12)-G$7))</f>
        <v/>
      </c>
      <c r="H361" s="91">
        <f>IF(H360&lt;0.005,0,MAX(0,H360*(1+H$6/12)-H$7))</f>
        <v/>
      </c>
      <c r="I361" s="91">
        <f>IF(I360&lt;0.005,0,MAX(0,I360*(1+I$6/12)-I$7))</f>
        <v/>
      </c>
      <c r="J361" s="91">
        <f>IF(J360&lt;0.005,0,MAX(0,J360*(1+J$6/12)-J$7))</f>
        <v/>
      </c>
      <c r="K361" s="91">
        <f>IF(K360&lt;0.005,0,MAX(0,K360*(1+K$6/12)-K$7))</f>
        <v/>
      </c>
      <c r="L361" s="91">
        <f>IF(L360&lt;0.005,0,MAX(0,L360*(1+L$6/12)-L$7))</f>
        <v/>
      </c>
      <c r="M361" s="91">
        <f>SUMPRODUCT(C360:L360,$C$6:$L$6)/12</f>
        <v/>
      </c>
      <c r="N361" s="88">
        <f>SUM(C361:L361)</f>
        <v/>
      </c>
      <c r="P361" s="92">
        <f>IF(Z360&lt;0.005,0,MAX(0,Z360*(1+Z$6/12)-Z$7))</f>
        <v/>
      </c>
      <c r="Q361" s="92">
        <f>IF(AA360&lt;0.005,0,MAX(0,AA360*(1+AA$6/12)-AA$7))</f>
        <v/>
      </c>
      <c r="R361" s="92">
        <f>IF(AB360&lt;0.005,0,MAX(0,AB360*(1+AB$6/12)-AB$7))</f>
        <v/>
      </c>
      <c r="S361" s="92">
        <f>IF(AC360&lt;0.005,0,MAX(0,AC360*(1+AC$6/12)-AC$7))</f>
        <v/>
      </c>
      <c r="T361" s="92">
        <f>IF(AD360&lt;0.005,0,MAX(0,AD360*(1+AD$6/12)-AD$7))</f>
        <v/>
      </c>
      <c r="U361" s="92">
        <f>IF(AE360&lt;0.005,0,MAX(0,AE360*(1+AE$6/12)-AE$7))</f>
        <v/>
      </c>
      <c r="V361" s="92">
        <f>IF(AF360&lt;0.005,0,MAX(0,AF360*(1+AF$6/12)-AF$7))</f>
        <v/>
      </c>
      <c r="W361" s="92">
        <f>IF(AG360&lt;0.005,0,MAX(0,AG360*(1+AG$6/12)-AG$7))</f>
        <v/>
      </c>
      <c r="X361" s="92">
        <f>IF(AH360&lt;0.005,0,MAX(0,AH360*(1+AH$6/12)-AH$7))</f>
        <v/>
      </c>
      <c r="Y361" s="92">
        <f>IF(AI360&lt;0.005,0,MAX(0,AI360*(1+AI$6/12)-AI$7))</f>
        <v/>
      </c>
      <c r="Z361" s="91">
        <f>MAX(0,P361-MAX(0,AK361-0))</f>
        <v/>
      </c>
      <c r="AA361" s="91">
        <f>MAX(0,Q361-MAX(0,AK361-SUM(P361:P361)))</f>
        <v/>
      </c>
      <c r="AB361" s="91">
        <f>MAX(0,R361-MAX(0,AK361-SUM(P361:Q361)))</f>
        <v/>
      </c>
      <c r="AC361" s="91">
        <f>MAX(0,S361-MAX(0,AK361-SUM(P361:R361)))</f>
        <v/>
      </c>
      <c r="AD361" s="91">
        <f>MAX(0,T361-MAX(0,AK361-SUM(P361:S361)))</f>
        <v/>
      </c>
      <c r="AE361" s="91">
        <f>MAX(0,U361-MAX(0,AK361-SUM(P361:T361)))</f>
        <v/>
      </c>
      <c r="AF361" s="91">
        <f>MAX(0,V361-MAX(0,AK361-SUM(P361:U361)))</f>
        <v/>
      </c>
      <c r="AG361" s="91">
        <f>MAX(0,W361-MAX(0,AK361-SUM(P361:V361)))</f>
        <v/>
      </c>
      <c r="AH361" s="91">
        <f>MAX(0,X361-MAX(0,AK361-SUM(P361:W361)))</f>
        <v/>
      </c>
      <c r="AI361" s="91">
        <f>MAX(0,Y361-MAX(0,AK361-SUM(P361:X361)))</f>
        <v/>
      </c>
      <c r="AJ361" s="92">
        <f>SUM(Z360:AI360)+AL361</f>
        <v/>
      </c>
      <c r="AK361" s="92">
        <f>$AK$7-(AJ361-SUM(P361:Y361))</f>
        <v/>
      </c>
      <c r="AL361" s="91">
        <f>SUMPRODUCT(Z360:AI360,$Z$6:$AI$6)/12</f>
        <v/>
      </c>
      <c r="AM361" s="88">
        <f>SUM(Z361:AI361)</f>
        <v/>
      </c>
      <c r="AO361" s="92">
        <f>IF(AY360&lt;0.005,0,MAX(0,AY360*(1+AY$6/12)-AY$7))</f>
        <v/>
      </c>
      <c r="AP361" s="92">
        <f>IF(AZ360&lt;0.005,0,MAX(0,AZ360*(1+AZ$6/12)-AZ$7))</f>
        <v/>
      </c>
      <c r="AQ361" s="92">
        <f>IF(BA360&lt;0.005,0,MAX(0,BA360*(1+BA$6/12)-BA$7))</f>
        <v/>
      </c>
      <c r="AR361" s="92">
        <f>IF(BB360&lt;0.005,0,MAX(0,BB360*(1+BB$6/12)-BB$7))</f>
        <v/>
      </c>
      <c r="AS361" s="92">
        <f>IF(BC360&lt;0.005,0,MAX(0,BC360*(1+BC$6/12)-BC$7))</f>
        <v/>
      </c>
      <c r="AT361" s="92">
        <f>IF(BD360&lt;0.005,0,MAX(0,BD360*(1+BD$6/12)-BD$7))</f>
        <v/>
      </c>
      <c r="AU361" s="92">
        <f>IF(BE360&lt;0.005,0,MAX(0,BE360*(1+BE$6/12)-BE$7))</f>
        <v/>
      </c>
      <c r="AV361" s="92">
        <f>IF(BF360&lt;0.005,0,MAX(0,BF360*(1+BF$6/12)-BF$7))</f>
        <v/>
      </c>
      <c r="AW361" s="92">
        <f>IF(BG360&lt;0.005,0,MAX(0,BG360*(1+BG$6/12)-BG$7))</f>
        <v/>
      </c>
      <c r="AX361" s="92">
        <f>IF(BH360&lt;0.005,0,MAX(0,BH360*(1+BH$6/12)-BH$7))</f>
        <v/>
      </c>
      <c r="AY361" s="91">
        <f>MAX(0,AO361-MAX(0,BJ361-0))</f>
        <v/>
      </c>
      <c r="AZ361" s="91">
        <f>MAX(0,AP361-MAX(0,BJ361-SUM(AO361:AO361)))</f>
        <v/>
      </c>
      <c r="BA361" s="91">
        <f>MAX(0,AQ361-MAX(0,BJ361-SUM(AO361:AP361)))</f>
        <v/>
      </c>
      <c r="BB361" s="91">
        <f>MAX(0,AR361-MAX(0,BJ361-SUM(AO361:AQ361)))</f>
        <v/>
      </c>
      <c r="BC361" s="91">
        <f>MAX(0,AS361-MAX(0,BJ361-SUM(AO361:AR361)))</f>
        <v/>
      </c>
      <c r="BD361" s="91">
        <f>MAX(0,AT361-MAX(0,BJ361-SUM(AO361:AS361)))</f>
        <v/>
      </c>
      <c r="BE361" s="91">
        <f>MAX(0,AU361-MAX(0,BJ361-SUM(AO361:AT361)))</f>
        <v/>
      </c>
      <c r="BF361" s="91">
        <f>MAX(0,AV361-MAX(0,BJ361-SUM(AO361:AU361)))</f>
        <v/>
      </c>
      <c r="BG361" s="91">
        <f>MAX(0,AW361-MAX(0,BJ361-SUM(AO361:AV361)))</f>
        <v/>
      </c>
      <c r="BH361" s="91">
        <f>MAX(0,AX361-MAX(0,BJ361-SUM(AO361:AW361)))</f>
        <v/>
      </c>
      <c r="BI361" s="92">
        <f>SUM(AY360:BH360)+BK361</f>
        <v/>
      </c>
      <c r="BJ361" s="92">
        <f>$BJ$7-(BI361-SUM(AO361:AX361))</f>
        <v/>
      </c>
      <c r="BK361" s="91">
        <f>SUMPRODUCT(AY360:BH360,$AY$6:$BH$6)/12</f>
        <v/>
      </c>
      <c r="BL361" s="88">
        <f>SUM(AY361:BH361)</f>
        <v/>
      </c>
    </row>
    <row r="362">
      <c r="A362" s="24" t="n">
        <v>352</v>
      </c>
      <c r="B362" s="90">
        <f>DATE(YEAR(Settings!$C$11),MONTH(Settings!$C$11)+A362,1)</f>
        <v/>
      </c>
      <c r="C362" s="91">
        <f>IF(C361&lt;0.005,0,MAX(0,C361*(1+C$6/12)-C$7))</f>
        <v/>
      </c>
      <c r="D362" s="91">
        <f>IF(D361&lt;0.005,0,MAX(0,D361*(1+D$6/12)-D$7))</f>
        <v/>
      </c>
      <c r="E362" s="91">
        <f>IF(E361&lt;0.005,0,MAX(0,E361*(1+E$6/12)-E$7))</f>
        <v/>
      </c>
      <c r="F362" s="91">
        <f>IF(F361&lt;0.005,0,MAX(0,F361*(1+F$6/12)-F$7))</f>
        <v/>
      </c>
      <c r="G362" s="91">
        <f>IF(G361&lt;0.005,0,MAX(0,G361*(1+G$6/12)-G$7))</f>
        <v/>
      </c>
      <c r="H362" s="91">
        <f>IF(H361&lt;0.005,0,MAX(0,H361*(1+H$6/12)-H$7))</f>
        <v/>
      </c>
      <c r="I362" s="91">
        <f>IF(I361&lt;0.005,0,MAX(0,I361*(1+I$6/12)-I$7))</f>
        <v/>
      </c>
      <c r="J362" s="91">
        <f>IF(J361&lt;0.005,0,MAX(0,J361*(1+J$6/12)-J$7))</f>
        <v/>
      </c>
      <c r="K362" s="91">
        <f>IF(K361&lt;0.005,0,MAX(0,K361*(1+K$6/12)-K$7))</f>
        <v/>
      </c>
      <c r="L362" s="91">
        <f>IF(L361&lt;0.005,0,MAX(0,L361*(1+L$6/12)-L$7))</f>
        <v/>
      </c>
      <c r="M362" s="91">
        <f>SUMPRODUCT(C361:L361,$C$6:$L$6)/12</f>
        <v/>
      </c>
      <c r="N362" s="88">
        <f>SUM(C362:L362)</f>
        <v/>
      </c>
      <c r="P362" s="92">
        <f>IF(Z361&lt;0.005,0,MAX(0,Z361*(1+Z$6/12)-Z$7))</f>
        <v/>
      </c>
      <c r="Q362" s="92">
        <f>IF(AA361&lt;0.005,0,MAX(0,AA361*(1+AA$6/12)-AA$7))</f>
        <v/>
      </c>
      <c r="R362" s="92">
        <f>IF(AB361&lt;0.005,0,MAX(0,AB361*(1+AB$6/12)-AB$7))</f>
        <v/>
      </c>
      <c r="S362" s="92">
        <f>IF(AC361&lt;0.005,0,MAX(0,AC361*(1+AC$6/12)-AC$7))</f>
        <v/>
      </c>
      <c r="T362" s="92">
        <f>IF(AD361&lt;0.005,0,MAX(0,AD361*(1+AD$6/12)-AD$7))</f>
        <v/>
      </c>
      <c r="U362" s="92">
        <f>IF(AE361&lt;0.005,0,MAX(0,AE361*(1+AE$6/12)-AE$7))</f>
        <v/>
      </c>
      <c r="V362" s="92">
        <f>IF(AF361&lt;0.005,0,MAX(0,AF361*(1+AF$6/12)-AF$7))</f>
        <v/>
      </c>
      <c r="W362" s="92">
        <f>IF(AG361&lt;0.005,0,MAX(0,AG361*(1+AG$6/12)-AG$7))</f>
        <v/>
      </c>
      <c r="X362" s="92">
        <f>IF(AH361&lt;0.005,0,MAX(0,AH361*(1+AH$6/12)-AH$7))</f>
        <v/>
      </c>
      <c r="Y362" s="92">
        <f>IF(AI361&lt;0.005,0,MAX(0,AI361*(1+AI$6/12)-AI$7))</f>
        <v/>
      </c>
      <c r="Z362" s="91">
        <f>MAX(0,P362-MAX(0,AK362-0))</f>
        <v/>
      </c>
      <c r="AA362" s="91">
        <f>MAX(0,Q362-MAX(0,AK362-SUM(P362:P362)))</f>
        <v/>
      </c>
      <c r="AB362" s="91">
        <f>MAX(0,R362-MAX(0,AK362-SUM(P362:Q362)))</f>
        <v/>
      </c>
      <c r="AC362" s="91">
        <f>MAX(0,S362-MAX(0,AK362-SUM(P362:R362)))</f>
        <v/>
      </c>
      <c r="AD362" s="91">
        <f>MAX(0,T362-MAX(0,AK362-SUM(P362:S362)))</f>
        <v/>
      </c>
      <c r="AE362" s="91">
        <f>MAX(0,U362-MAX(0,AK362-SUM(P362:T362)))</f>
        <v/>
      </c>
      <c r="AF362" s="91">
        <f>MAX(0,V362-MAX(0,AK362-SUM(P362:U362)))</f>
        <v/>
      </c>
      <c r="AG362" s="91">
        <f>MAX(0,W362-MAX(0,AK362-SUM(P362:V362)))</f>
        <v/>
      </c>
      <c r="AH362" s="91">
        <f>MAX(0,X362-MAX(0,AK362-SUM(P362:W362)))</f>
        <v/>
      </c>
      <c r="AI362" s="91">
        <f>MAX(0,Y362-MAX(0,AK362-SUM(P362:X362)))</f>
        <v/>
      </c>
      <c r="AJ362" s="92">
        <f>SUM(Z361:AI361)+AL362</f>
        <v/>
      </c>
      <c r="AK362" s="92">
        <f>$AK$7-(AJ362-SUM(P362:Y362))</f>
        <v/>
      </c>
      <c r="AL362" s="91">
        <f>SUMPRODUCT(Z361:AI361,$Z$6:$AI$6)/12</f>
        <v/>
      </c>
      <c r="AM362" s="88">
        <f>SUM(Z362:AI362)</f>
        <v/>
      </c>
      <c r="AO362" s="92">
        <f>IF(AY361&lt;0.005,0,MAX(0,AY361*(1+AY$6/12)-AY$7))</f>
        <v/>
      </c>
      <c r="AP362" s="92">
        <f>IF(AZ361&lt;0.005,0,MAX(0,AZ361*(1+AZ$6/12)-AZ$7))</f>
        <v/>
      </c>
      <c r="AQ362" s="92">
        <f>IF(BA361&lt;0.005,0,MAX(0,BA361*(1+BA$6/12)-BA$7))</f>
        <v/>
      </c>
      <c r="AR362" s="92">
        <f>IF(BB361&lt;0.005,0,MAX(0,BB361*(1+BB$6/12)-BB$7))</f>
        <v/>
      </c>
      <c r="AS362" s="92">
        <f>IF(BC361&lt;0.005,0,MAX(0,BC361*(1+BC$6/12)-BC$7))</f>
        <v/>
      </c>
      <c r="AT362" s="92">
        <f>IF(BD361&lt;0.005,0,MAX(0,BD361*(1+BD$6/12)-BD$7))</f>
        <v/>
      </c>
      <c r="AU362" s="92">
        <f>IF(BE361&lt;0.005,0,MAX(0,BE361*(1+BE$6/12)-BE$7))</f>
        <v/>
      </c>
      <c r="AV362" s="92">
        <f>IF(BF361&lt;0.005,0,MAX(0,BF361*(1+BF$6/12)-BF$7))</f>
        <v/>
      </c>
      <c r="AW362" s="92">
        <f>IF(BG361&lt;0.005,0,MAX(0,BG361*(1+BG$6/12)-BG$7))</f>
        <v/>
      </c>
      <c r="AX362" s="92">
        <f>IF(BH361&lt;0.005,0,MAX(0,BH361*(1+BH$6/12)-BH$7))</f>
        <v/>
      </c>
      <c r="AY362" s="91">
        <f>MAX(0,AO362-MAX(0,BJ362-0))</f>
        <v/>
      </c>
      <c r="AZ362" s="91">
        <f>MAX(0,AP362-MAX(0,BJ362-SUM(AO362:AO362)))</f>
        <v/>
      </c>
      <c r="BA362" s="91">
        <f>MAX(0,AQ362-MAX(0,BJ362-SUM(AO362:AP362)))</f>
        <v/>
      </c>
      <c r="BB362" s="91">
        <f>MAX(0,AR362-MAX(0,BJ362-SUM(AO362:AQ362)))</f>
        <v/>
      </c>
      <c r="BC362" s="91">
        <f>MAX(0,AS362-MAX(0,BJ362-SUM(AO362:AR362)))</f>
        <v/>
      </c>
      <c r="BD362" s="91">
        <f>MAX(0,AT362-MAX(0,BJ362-SUM(AO362:AS362)))</f>
        <v/>
      </c>
      <c r="BE362" s="91">
        <f>MAX(0,AU362-MAX(0,BJ362-SUM(AO362:AT362)))</f>
        <v/>
      </c>
      <c r="BF362" s="91">
        <f>MAX(0,AV362-MAX(0,BJ362-SUM(AO362:AU362)))</f>
        <v/>
      </c>
      <c r="BG362" s="91">
        <f>MAX(0,AW362-MAX(0,BJ362-SUM(AO362:AV362)))</f>
        <v/>
      </c>
      <c r="BH362" s="91">
        <f>MAX(0,AX362-MAX(0,BJ362-SUM(AO362:AW362)))</f>
        <v/>
      </c>
      <c r="BI362" s="92">
        <f>SUM(AY361:BH361)+BK362</f>
        <v/>
      </c>
      <c r="BJ362" s="92">
        <f>$BJ$7-(BI362-SUM(AO362:AX362))</f>
        <v/>
      </c>
      <c r="BK362" s="91">
        <f>SUMPRODUCT(AY361:BH361,$AY$6:$BH$6)/12</f>
        <v/>
      </c>
      <c r="BL362" s="88">
        <f>SUM(AY362:BH362)</f>
        <v/>
      </c>
    </row>
    <row r="363">
      <c r="A363" s="24" t="n">
        <v>353</v>
      </c>
      <c r="B363" s="90">
        <f>DATE(YEAR(Settings!$C$11),MONTH(Settings!$C$11)+A363,1)</f>
        <v/>
      </c>
      <c r="C363" s="91">
        <f>IF(C362&lt;0.005,0,MAX(0,C362*(1+C$6/12)-C$7))</f>
        <v/>
      </c>
      <c r="D363" s="91">
        <f>IF(D362&lt;0.005,0,MAX(0,D362*(1+D$6/12)-D$7))</f>
        <v/>
      </c>
      <c r="E363" s="91">
        <f>IF(E362&lt;0.005,0,MAX(0,E362*(1+E$6/12)-E$7))</f>
        <v/>
      </c>
      <c r="F363" s="91">
        <f>IF(F362&lt;0.005,0,MAX(0,F362*(1+F$6/12)-F$7))</f>
        <v/>
      </c>
      <c r="G363" s="91">
        <f>IF(G362&lt;0.005,0,MAX(0,G362*(1+G$6/12)-G$7))</f>
        <v/>
      </c>
      <c r="H363" s="91">
        <f>IF(H362&lt;0.005,0,MAX(0,H362*(1+H$6/12)-H$7))</f>
        <v/>
      </c>
      <c r="I363" s="91">
        <f>IF(I362&lt;0.005,0,MAX(0,I362*(1+I$6/12)-I$7))</f>
        <v/>
      </c>
      <c r="J363" s="91">
        <f>IF(J362&lt;0.005,0,MAX(0,J362*(1+J$6/12)-J$7))</f>
        <v/>
      </c>
      <c r="K363" s="91">
        <f>IF(K362&lt;0.005,0,MAX(0,K362*(1+K$6/12)-K$7))</f>
        <v/>
      </c>
      <c r="L363" s="91">
        <f>IF(L362&lt;0.005,0,MAX(0,L362*(1+L$6/12)-L$7))</f>
        <v/>
      </c>
      <c r="M363" s="91">
        <f>SUMPRODUCT(C362:L362,$C$6:$L$6)/12</f>
        <v/>
      </c>
      <c r="N363" s="88">
        <f>SUM(C363:L363)</f>
        <v/>
      </c>
      <c r="P363" s="92">
        <f>IF(Z362&lt;0.005,0,MAX(0,Z362*(1+Z$6/12)-Z$7))</f>
        <v/>
      </c>
      <c r="Q363" s="92">
        <f>IF(AA362&lt;0.005,0,MAX(0,AA362*(1+AA$6/12)-AA$7))</f>
        <v/>
      </c>
      <c r="R363" s="92">
        <f>IF(AB362&lt;0.005,0,MAX(0,AB362*(1+AB$6/12)-AB$7))</f>
        <v/>
      </c>
      <c r="S363" s="92">
        <f>IF(AC362&lt;0.005,0,MAX(0,AC362*(1+AC$6/12)-AC$7))</f>
        <v/>
      </c>
      <c r="T363" s="92">
        <f>IF(AD362&lt;0.005,0,MAX(0,AD362*(1+AD$6/12)-AD$7))</f>
        <v/>
      </c>
      <c r="U363" s="92">
        <f>IF(AE362&lt;0.005,0,MAX(0,AE362*(1+AE$6/12)-AE$7))</f>
        <v/>
      </c>
      <c r="V363" s="92">
        <f>IF(AF362&lt;0.005,0,MAX(0,AF362*(1+AF$6/12)-AF$7))</f>
        <v/>
      </c>
      <c r="W363" s="92">
        <f>IF(AG362&lt;0.005,0,MAX(0,AG362*(1+AG$6/12)-AG$7))</f>
        <v/>
      </c>
      <c r="X363" s="92">
        <f>IF(AH362&lt;0.005,0,MAX(0,AH362*(1+AH$6/12)-AH$7))</f>
        <v/>
      </c>
      <c r="Y363" s="92">
        <f>IF(AI362&lt;0.005,0,MAX(0,AI362*(1+AI$6/12)-AI$7))</f>
        <v/>
      </c>
      <c r="Z363" s="91">
        <f>MAX(0,P363-MAX(0,AK363-0))</f>
        <v/>
      </c>
      <c r="AA363" s="91">
        <f>MAX(0,Q363-MAX(0,AK363-SUM(P363:P363)))</f>
        <v/>
      </c>
      <c r="AB363" s="91">
        <f>MAX(0,R363-MAX(0,AK363-SUM(P363:Q363)))</f>
        <v/>
      </c>
      <c r="AC363" s="91">
        <f>MAX(0,S363-MAX(0,AK363-SUM(P363:R363)))</f>
        <v/>
      </c>
      <c r="AD363" s="91">
        <f>MAX(0,T363-MAX(0,AK363-SUM(P363:S363)))</f>
        <v/>
      </c>
      <c r="AE363" s="91">
        <f>MAX(0,U363-MAX(0,AK363-SUM(P363:T363)))</f>
        <v/>
      </c>
      <c r="AF363" s="91">
        <f>MAX(0,V363-MAX(0,AK363-SUM(P363:U363)))</f>
        <v/>
      </c>
      <c r="AG363" s="91">
        <f>MAX(0,W363-MAX(0,AK363-SUM(P363:V363)))</f>
        <v/>
      </c>
      <c r="AH363" s="91">
        <f>MAX(0,X363-MAX(0,AK363-SUM(P363:W363)))</f>
        <v/>
      </c>
      <c r="AI363" s="91">
        <f>MAX(0,Y363-MAX(0,AK363-SUM(P363:X363)))</f>
        <v/>
      </c>
      <c r="AJ363" s="92">
        <f>SUM(Z362:AI362)+AL363</f>
        <v/>
      </c>
      <c r="AK363" s="92">
        <f>$AK$7-(AJ363-SUM(P363:Y363))</f>
        <v/>
      </c>
      <c r="AL363" s="91">
        <f>SUMPRODUCT(Z362:AI362,$Z$6:$AI$6)/12</f>
        <v/>
      </c>
      <c r="AM363" s="88">
        <f>SUM(Z363:AI363)</f>
        <v/>
      </c>
      <c r="AO363" s="92">
        <f>IF(AY362&lt;0.005,0,MAX(0,AY362*(1+AY$6/12)-AY$7))</f>
        <v/>
      </c>
      <c r="AP363" s="92">
        <f>IF(AZ362&lt;0.005,0,MAX(0,AZ362*(1+AZ$6/12)-AZ$7))</f>
        <v/>
      </c>
      <c r="AQ363" s="92">
        <f>IF(BA362&lt;0.005,0,MAX(0,BA362*(1+BA$6/12)-BA$7))</f>
        <v/>
      </c>
      <c r="AR363" s="92">
        <f>IF(BB362&lt;0.005,0,MAX(0,BB362*(1+BB$6/12)-BB$7))</f>
        <v/>
      </c>
      <c r="AS363" s="92">
        <f>IF(BC362&lt;0.005,0,MAX(0,BC362*(1+BC$6/12)-BC$7))</f>
        <v/>
      </c>
      <c r="AT363" s="92">
        <f>IF(BD362&lt;0.005,0,MAX(0,BD362*(1+BD$6/12)-BD$7))</f>
        <v/>
      </c>
      <c r="AU363" s="92">
        <f>IF(BE362&lt;0.005,0,MAX(0,BE362*(1+BE$6/12)-BE$7))</f>
        <v/>
      </c>
      <c r="AV363" s="92">
        <f>IF(BF362&lt;0.005,0,MAX(0,BF362*(1+BF$6/12)-BF$7))</f>
        <v/>
      </c>
      <c r="AW363" s="92">
        <f>IF(BG362&lt;0.005,0,MAX(0,BG362*(1+BG$6/12)-BG$7))</f>
        <v/>
      </c>
      <c r="AX363" s="92">
        <f>IF(BH362&lt;0.005,0,MAX(0,BH362*(1+BH$6/12)-BH$7))</f>
        <v/>
      </c>
      <c r="AY363" s="91">
        <f>MAX(0,AO363-MAX(0,BJ363-0))</f>
        <v/>
      </c>
      <c r="AZ363" s="91">
        <f>MAX(0,AP363-MAX(0,BJ363-SUM(AO363:AO363)))</f>
        <v/>
      </c>
      <c r="BA363" s="91">
        <f>MAX(0,AQ363-MAX(0,BJ363-SUM(AO363:AP363)))</f>
        <v/>
      </c>
      <c r="BB363" s="91">
        <f>MAX(0,AR363-MAX(0,BJ363-SUM(AO363:AQ363)))</f>
        <v/>
      </c>
      <c r="BC363" s="91">
        <f>MAX(0,AS363-MAX(0,BJ363-SUM(AO363:AR363)))</f>
        <v/>
      </c>
      <c r="BD363" s="91">
        <f>MAX(0,AT363-MAX(0,BJ363-SUM(AO363:AS363)))</f>
        <v/>
      </c>
      <c r="BE363" s="91">
        <f>MAX(0,AU363-MAX(0,BJ363-SUM(AO363:AT363)))</f>
        <v/>
      </c>
      <c r="BF363" s="91">
        <f>MAX(0,AV363-MAX(0,BJ363-SUM(AO363:AU363)))</f>
        <v/>
      </c>
      <c r="BG363" s="91">
        <f>MAX(0,AW363-MAX(0,BJ363-SUM(AO363:AV363)))</f>
        <v/>
      </c>
      <c r="BH363" s="91">
        <f>MAX(0,AX363-MAX(0,BJ363-SUM(AO363:AW363)))</f>
        <v/>
      </c>
      <c r="BI363" s="92">
        <f>SUM(AY362:BH362)+BK363</f>
        <v/>
      </c>
      <c r="BJ363" s="92">
        <f>$BJ$7-(BI363-SUM(AO363:AX363))</f>
        <v/>
      </c>
      <c r="BK363" s="91">
        <f>SUMPRODUCT(AY362:BH362,$AY$6:$BH$6)/12</f>
        <v/>
      </c>
      <c r="BL363" s="88">
        <f>SUM(AY363:BH363)</f>
        <v/>
      </c>
    </row>
    <row r="364">
      <c r="A364" s="24" t="n">
        <v>354</v>
      </c>
      <c r="B364" s="90">
        <f>DATE(YEAR(Settings!$C$11),MONTH(Settings!$C$11)+A364,1)</f>
        <v/>
      </c>
      <c r="C364" s="91">
        <f>IF(C363&lt;0.005,0,MAX(0,C363*(1+C$6/12)-C$7))</f>
        <v/>
      </c>
      <c r="D364" s="91">
        <f>IF(D363&lt;0.005,0,MAX(0,D363*(1+D$6/12)-D$7))</f>
        <v/>
      </c>
      <c r="E364" s="91">
        <f>IF(E363&lt;0.005,0,MAX(0,E363*(1+E$6/12)-E$7))</f>
        <v/>
      </c>
      <c r="F364" s="91">
        <f>IF(F363&lt;0.005,0,MAX(0,F363*(1+F$6/12)-F$7))</f>
        <v/>
      </c>
      <c r="G364" s="91">
        <f>IF(G363&lt;0.005,0,MAX(0,G363*(1+G$6/12)-G$7))</f>
        <v/>
      </c>
      <c r="H364" s="91">
        <f>IF(H363&lt;0.005,0,MAX(0,H363*(1+H$6/12)-H$7))</f>
        <v/>
      </c>
      <c r="I364" s="91">
        <f>IF(I363&lt;0.005,0,MAX(0,I363*(1+I$6/12)-I$7))</f>
        <v/>
      </c>
      <c r="J364" s="91">
        <f>IF(J363&lt;0.005,0,MAX(0,J363*(1+J$6/12)-J$7))</f>
        <v/>
      </c>
      <c r="K364" s="91">
        <f>IF(K363&lt;0.005,0,MAX(0,K363*(1+K$6/12)-K$7))</f>
        <v/>
      </c>
      <c r="L364" s="91">
        <f>IF(L363&lt;0.005,0,MAX(0,L363*(1+L$6/12)-L$7))</f>
        <v/>
      </c>
      <c r="M364" s="91">
        <f>SUMPRODUCT(C363:L363,$C$6:$L$6)/12</f>
        <v/>
      </c>
      <c r="N364" s="88">
        <f>SUM(C364:L364)</f>
        <v/>
      </c>
      <c r="P364" s="92">
        <f>IF(Z363&lt;0.005,0,MAX(0,Z363*(1+Z$6/12)-Z$7))</f>
        <v/>
      </c>
      <c r="Q364" s="92">
        <f>IF(AA363&lt;0.005,0,MAX(0,AA363*(1+AA$6/12)-AA$7))</f>
        <v/>
      </c>
      <c r="R364" s="92">
        <f>IF(AB363&lt;0.005,0,MAX(0,AB363*(1+AB$6/12)-AB$7))</f>
        <v/>
      </c>
      <c r="S364" s="92">
        <f>IF(AC363&lt;0.005,0,MAX(0,AC363*(1+AC$6/12)-AC$7))</f>
        <v/>
      </c>
      <c r="T364" s="92">
        <f>IF(AD363&lt;0.005,0,MAX(0,AD363*(1+AD$6/12)-AD$7))</f>
        <v/>
      </c>
      <c r="U364" s="92">
        <f>IF(AE363&lt;0.005,0,MAX(0,AE363*(1+AE$6/12)-AE$7))</f>
        <v/>
      </c>
      <c r="V364" s="92">
        <f>IF(AF363&lt;0.005,0,MAX(0,AF363*(1+AF$6/12)-AF$7))</f>
        <v/>
      </c>
      <c r="W364" s="92">
        <f>IF(AG363&lt;0.005,0,MAX(0,AG363*(1+AG$6/12)-AG$7))</f>
        <v/>
      </c>
      <c r="X364" s="92">
        <f>IF(AH363&lt;0.005,0,MAX(0,AH363*(1+AH$6/12)-AH$7))</f>
        <v/>
      </c>
      <c r="Y364" s="92">
        <f>IF(AI363&lt;0.005,0,MAX(0,AI363*(1+AI$6/12)-AI$7))</f>
        <v/>
      </c>
      <c r="Z364" s="91">
        <f>MAX(0,P364-MAX(0,AK364-0))</f>
        <v/>
      </c>
      <c r="AA364" s="91">
        <f>MAX(0,Q364-MAX(0,AK364-SUM(P364:P364)))</f>
        <v/>
      </c>
      <c r="AB364" s="91">
        <f>MAX(0,R364-MAX(0,AK364-SUM(P364:Q364)))</f>
        <v/>
      </c>
      <c r="AC364" s="91">
        <f>MAX(0,S364-MAX(0,AK364-SUM(P364:R364)))</f>
        <v/>
      </c>
      <c r="AD364" s="91">
        <f>MAX(0,T364-MAX(0,AK364-SUM(P364:S364)))</f>
        <v/>
      </c>
      <c r="AE364" s="91">
        <f>MAX(0,U364-MAX(0,AK364-SUM(P364:T364)))</f>
        <v/>
      </c>
      <c r="AF364" s="91">
        <f>MAX(0,V364-MAX(0,AK364-SUM(P364:U364)))</f>
        <v/>
      </c>
      <c r="AG364" s="91">
        <f>MAX(0,W364-MAX(0,AK364-SUM(P364:V364)))</f>
        <v/>
      </c>
      <c r="AH364" s="91">
        <f>MAX(0,X364-MAX(0,AK364-SUM(P364:W364)))</f>
        <v/>
      </c>
      <c r="AI364" s="91">
        <f>MAX(0,Y364-MAX(0,AK364-SUM(P364:X364)))</f>
        <v/>
      </c>
      <c r="AJ364" s="92">
        <f>SUM(Z363:AI363)+AL364</f>
        <v/>
      </c>
      <c r="AK364" s="92">
        <f>$AK$7-(AJ364-SUM(P364:Y364))</f>
        <v/>
      </c>
      <c r="AL364" s="91">
        <f>SUMPRODUCT(Z363:AI363,$Z$6:$AI$6)/12</f>
        <v/>
      </c>
      <c r="AM364" s="88">
        <f>SUM(Z364:AI364)</f>
        <v/>
      </c>
      <c r="AO364" s="92">
        <f>IF(AY363&lt;0.005,0,MAX(0,AY363*(1+AY$6/12)-AY$7))</f>
        <v/>
      </c>
      <c r="AP364" s="92">
        <f>IF(AZ363&lt;0.005,0,MAX(0,AZ363*(1+AZ$6/12)-AZ$7))</f>
        <v/>
      </c>
      <c r="AQ364" s="92">
        <f>IF(BA363&lt;0.005,0,MAX(0,BA363*(1+BA$6/12)-BA$7))</f>
        <v/>
      </c>
      <c r="AR364" s="92">
        <f>IF(BB363&lt;0.005,0,MAX(0,BB363*(1+BB$6/12)-BB$7))</f>
        <v/>
      </c>
      <c r="AS364" s="92">
        <f>IF(BC363&lt;0.005,0,MAX(0,BC363*(1+BC$6/12)-BC$7))</f>
        <v/>
      </c>
      <c r="AT364" s="92">
        <f>IF(BD363&lt;0.005,0,MAX(0,BD363*(1+BD$6/12)-BD$7))</f>
        <v/>
      </c>
      <c r="AU364" s="92">
        <f>IF(BE363&lt;0.005,0,MAX(0,BE363*(1+BE$6/12)-BE$7))</f>
        <v/>
      </c>
      <c r="AV364" s="92">
        <f>IF(BF363&lt;0.005,0,MAX(0,BF363*(1+BF$6/12)-BF$7))</f>
        <v/>
      </c>
      <c r="AW364" s="92">
        <f>IF(BG363&lt;0.005,0,MAX(0,BG363*(1+BG$6/12)-BG$7))</f>
        <v/>
      </c>
      <c r="AX364" s="92">
        <f>IF(BH363&lt;0.005,0,MAX(0,BH363*(1+BH$6/12)-BH$7))</f>
        <v/>
      </c>
      <c r="AY364" s="91">
        <f>MAX(0,AO364-MAX(0,BJ364-0))</f>
        <v/>
      </c>
      <c r="AZ364" s="91">
        <f>MAX(0,AP364-MAX(0,BJ364-SUM(AO364:AO364)))</f>
        <v/>
      </c>
      <c r="BA364" s="91">
        <f>MAX(0,AQ364-MAX(0,BJ364-SUM(AO364:AP364)))</f>
        <v/>
      </c>
      <c r="BB364" s="91">
        <f>MAX(0,AR364-MAX(0,BJ364-SUM(AO364:AQ364)))</f>
        <v/>
      </c>
      <c r="BC364" s="91">
        <f>MAX(0,AS364-MAX(0,BJ364-SUM(AO364:AR364)))</f>
        <v/>
      </c>
      <c r="BD364" s="91">
        <f>MAX(0,AT364-MAX(0,BJ364-SUM(AO364:AS364)))</f>
        <v/>
      </c>
      <c r="BE364" s="91">
        <f>MAX(0,AU364-MAX(0,BJ364-SUM(AO364:AT364)))</f>
        <v/>
      </c>
      <c r="BF364" s="91">
        <f>MAX(0,AV364-MAX(0,BJ364-SUM(AO364:AU364)))</f>
        <v/>
      </c>
      <c r="BG364" s="91">
        <f>MAX(0,AW364-MAX(0,BJ364-SUM(AO364:AV364)))</f>
        <v/>
      </c>
      <c r="BH364" s="91">
        <f>MAX(0,AX364-MAX(0,BJ364-SUM(AO364:AW364)))</f>
        <v/>
      </c>
      <c r="BI364" s="92">
        <f>SUM(AY363:BH363)+BK364</f>
        <v/>
      </c>
      <c r="BJ364" s="92">
        <f>$BJ$7-(BI364-SUM(AO364:AX364))</f>
        <v/>
      </c>
      <c r="BK364" s="91">
        <f>SUMPRODUCT(AY363:BH363,$AY$6:$BH$6)/12</f>
        <v/>
      </c>
      <c r="BL364" s="88">
        <f>SUM(AY364:BH364)</f>
        <v/>
      </c>
    </row>
    <row r="365">
      <c r="A365" s="24" t="n">
        <v>355</v>
      </c>
      <c r="B365" s="90">
        <f>DATE(YEAR(Settings!$C$11),MONTH(Settings!$C$11)+A365,1)</f>
        <v/>
      </c>
      <c r="C365" s="91">
        <f>IF(C364&lt;0.005,0,MAX(0,C364*(1+C$6/12)-C$7))</f>
        <v/>
      </c>
      <c r="D365" s="91">
        <f>IF(D364&lt;0.005,0,MAX(0,D364*(1+D$6/12)-D$7))</f>
        <v/>
      </c>
      <c r="E365" s="91">
        <f>IF(E364&lt;0.005,0,MAX(0,E364*(1+E$6/12)-E$7))</f>
        <v/>
      </c>
      <c r="F365" s="91">
        <f>IF(F364&lt;0.005,0,MAX(0,F364*(1+F$6/12)-F$7))</f>
        <v/>
      </c>
      <c r="G365" s="91">
        <f>IF(G364&lt;0.005,0,MAX(0,G364*(1+G$6/12)-G$7))</f>
        <v/>
      </c>
      <c r="H365" s="91">
        <f>IF(H364&lt;0.005,0,MAX(0,H364*(1+H$6/12)-H$7))</f>
        <v/>
      </c>
      <c r="I365" s="91">
        <f>IF(I364&lt;0.005,0,MAX(0,I364*(1+I$6/12)-I$7))</f>
        <v/>
      </c>
      <c r="J365" s="91">
        <f>IF(J364&lt;0.005,0,MAX(0,J364*(1+J$6/12)-J$7))</f>
        <v/>
      </c>
      <c r="K365" s="91">
        <f>IF(K364&lt;0.005,0,MAX(0,K364*(1+K$6/12)-K$7))</f>
        <v/>
      </c>
      <c r="L365" s="91">
        <f>IF(L364&lt;0.005,0,MAX(0,L364*(1+L$6/12)-L$7))</f>
        <v/>
      </c>
      <c r="M365" s="91">
        <f>SUMPRODUCT(C364:L364,$C$6:$L$6)/12</f>
        <v/>
      </c>
      <c r="N365" s="88">
        <f>SUM(C365:L365)</f>
        <v/>
      </c>
      <c r="P365" s="92">
        <f>IF(Z364&lt;0.005,0,MAX(0,Z364*(1+Z$6/12)-Z$7))</f>
        <v/>
      </c>
      <c r="Q365" s="92">
        <f>IF(AA364&lt;0.005,0,MAX(0,AA364*(1+AA$6/12)-AA$7))</f>
        <v/>
      </c>
      <c r="R365" s="92">
        <f>IF(AB364&lt;0.005,0,MAX(0,AB364*(1+AB$6/12)-AB$7))</f>
        <v/>
      </c>
      <c r="S365" s="92">
        <f>IF(AC364&lt;0.005,0,MAX(0,AC364*(1+AC$6/12)-AC$7))</f>
        <v/>
      </c>
      <c r="T365" s="92">
        <f>IF(AD364&lt;0.005,0,MAX(0,AD364*(1+AD$6/12)-AD$7))</f>
        <v/>
      </c>
      <c r="U365" s="92">
        <f>IF(AE364&lt;0.005,0,MAX(0,AE364*(1+AE$6/12)-AE$7))</f>
        <v/>
      </c>
      <c r="V365" s="92">
        <f>IF(AF364&lt;0.005,0,MAX(0,AF364*(1+AF$6/12)-AF$7))</f>
        <v/>
      </c>
      <c r="W365" s="92">
        <f>IF(AG364&lt;0.005,0,MAX(0,AG364*(1+AG$6/12)-AG$7))</f>
        <v/>
      </c>
      <c r="X365" s="92">
        <f>IF(AH364&lt;0.005,0,MAX(0,AH364*(1+AH$6/12)-AH$7))</f>
        <v/>
      </c>
      <c r="Y365" s="92">
        <f>IF(AI364&lt;0.005,0,MAX(0,AI364*(1+AI$6/12)-AI$7))</f>
        <v/>
      </c>
      <c r="Z365" s="91">
        <f>MAX(0,P365-MAX(0,AK365-0))</f>
        <v/>
      </c>
      <c r="AA365" s="91">
        <f>MAX(0,Q365-MAX(0,AK365-SUM(P365:P365)))</f>
        <v/>
      </c>
      <c r="AB365" s="91">
        <f>MAX(0,R365-MAX(0,AK365-SUM(P365:Q365)))</f>
        <v/>
      </c>
      <c r="AC365" s="91">
        <f>MAX(0,S365-MAX(0,AK365-SUM(P365:R365)))</f>
        <v/>
      </c>
      <c r="AD365" s="91">
        <f>MAX(0,T365-MAX(0,AK365-SUM(P365:S365)))</f>
        <v/>
      </c>
      <c r="AE365" s="91">
        <f>MAX(0,U365-MAX(0,AK365-SUM(P365:T365)))</f>
        <v/>
      </c>
      <c r="AF365" s="91">
        <f>MAX(0,V365-MAX(0,AK365-SUM(P365:U365)))</f>
        <v/>
      </c>
      <c r="AG365" s="91">
        <f>MAX(0,W365-MAX(0,AK365-SUM(P365:V365)))</f>
        <v/>
      </c>
      <c r="AH365" s="91">
        <f>MAX(0,X365-MAX(0,AK365-SUM(P365:W365)))</f>
        <v/>
      </c>
      <c r="AI365" s="91">
        <f>MAX(0,Y365-MAX(0,AK365-SUM(P365:X365)))</f>
        <v/>
      </c>
      <c r="AJ365" s="92">
        <f>SUM(Z364:AI364)+AL365</f>
        <v/>
      </c>
      <c r="AK365" s="92">
        <f>$AK$7-(AJ365-SUM(P365:Y365))</f>
        <v/>
      </c>
      <c r="AL365" s="91">
        <f>SUMPRODUCT(Z364:AI364,$Z$6:$AI$6)/12</f>
        <v/>
      </c>
      <c r="AM365" s="88">
        <f>SUM(Z365:AI365)</f>
        <v/>
      </c>
      <c r="AO365" s="92">
        <f>IF(AY364&lt;0.005,0,MAX(0,AY364*(1+AY$6/12)-AY$7))</f>
        <v/>
      </c>
      <c r="AP365" s="92">
        <f>IF(AZ364&lt;0.005,0,MAX(0,AZ364*(1+AZ$6/12)-AZ$7))</f>
        <v/>
      </c>
      <c r="AQ365" s="92">
        <f>IF(BA364&lt;0.005,0,MAX(0,BA364*(1+BA$6/12)-BA$7))</f>
        <v/>
      </c>
      <c r="AR365" s="92">
        <f>IF(BB364&lt;0.005,0,MAX(0,BB364*(1+BB$6/12)-BB$7))</f>
        <v/>
      </c>
      <c r="AS365" s="92">
        <f>IF(BC364&lt;0.005,0,MAX(0,BC364*(1+BC$6/12)-BC$7))</f>
        <v/>
      </c>
      <c r="AT365" s="92">
        <f>IF(BD364&lt;0.005,0,MAX(0,BD364*(1+BD$6/12)-BD$7))</f>
        <v/>
      </c>
      <c r="AU365" s="92">
        <f>IF(BE364&lt;0.005,0,MAX(0,BE364*(1+BE$6/12)-BE$7))</f>
        <v/>
      </c>
      <c r="AV365" s="92">
        <f>IF(BF364&lt;0.005,0,MAX(0,BF364*(1+BF$6/12)-BF$7))</f>
        <v/>
      </c>
      <c r="AW365" s="92">
        <f>IF(BG364&lt;0.005,0,MAX(0,BG364*(1+BG$6/12)-BG$7))</f>
        <v/>
      </c>
      <c r="AX365" s="92">
        <f>IF(BH364&lt;0.005,0,MAX(0,BH364*(1+BH$6/12)-BH$7))</f>
        <v/>
      </c>
      <c r="AY365" s="91">
        <f>MAX(0,AO365-MAX(0,BJ365-0))</f>
        <v/>
      </c>
      <c r="AZ365" s="91">
        <f>MAX(0,AP365-MAX(0,BJ365-SUM(AO365:AO365)))</f>
        <v/>
      </c>
      <c r="BA365" s="91">
        <f>MAX(0,AQ365-MAX(0,BJ365-SUM(AO365:AP365)))</f>
        <v/>
      </c>
      <c r="BB365" s="91">
        <f>MAX(0,AR365-MAX(0,BJ365-SUM(AO365:AQ365)))</f>
        <v/>
      </c>
      <c r="BC365" s="91">
        <f>MAX(0,AS365-MAX(0,BJ365-SUM(AO365:AR365)))</f>
        <v/>
      </c>
      <c r="BD365" s="91">
        <f>MAX(0,AT365-MAX(0,BJ365-SUM(AO365:AS365)))</f>
        <v/>
      </c>
      <c r="BE365" s="91">
        <f>MAX(0,AU365-MAX(0,BJ365-SUM(AO365:AT365)))</f>
        <v/>
      </c>
      <c r="BF365" s="91">
        <f>MAX(0,AV365-MAX(0,BJ365-SUM(AO365:AU365)))</f>
        <v/>
      </c>
      <c r="BG365" s="91">
        <f>MAX(0,AW365-MAX(0,BJ365-SUM(AO365:AV365)))</f>
        <v/>
      </c>
      <c r="BH365" s="91">
        <f>MAX(0,AX365-MAX(0,BJ365-SUM(AO365:AW365)))</f>
        <v/>
      </c>
      <c r="BI365" s="92">
        <f>SUM(AY364:BH364)+BK365</f>
        <v/>
      </c>
      <c r="BJ365" s="92">
        <f>$BJ$7-(BI365-SUM(AO365:AX365))</f>
        <v/>
      </c>
      <c r="BK365" s="91">
        <f>SUMPRODUCT(AY364:BH364,$AY$6:$BH$6)/12</f>
        <v/>
      </c>
      <c r="BL365" s="88">
        <f>SUM(AY365:BH365)</f>
        <v/>
      </c>
    </row>
    <row r="366">
      <c r="A366" s="24" t="n">
        <v>356</v>
      </c>
      <c r="B366" s="90">
        <f>DATE(YEAR(Settings!$C$11),MONTH(Settings!$C$11)+A366,1)</f>
        <v/>
      </c>
      <c r="C366" s="91">
        <f>IF(C365&lt;0.005,0,MAX(0,C365*(1+C$6/12)-C$7))</f>
        <v/>
      </c>
      <c r="D366" s="91">
        <f>IF(D365&lt;0.005,0,MAX(0,D365*(1+D$6/12)-D$7))</f>
        <v/>
      </c>
      <c r="E366" s="91">
        <f>IF(E365&lt;0.005,0,MAX(0,E365*(1+E$6/12)-E$7))</f>
        <v/>
      </c>
      <c r="F366" s="91">
        <f>IF(F365&lt;0.005,0,MAX(0,F365*(1+F$6/12)-F$7))</f>
        <v/>
      </c>
      <c r="G366" s="91">
        <f>IF(G365&lt;0.005,0,MAX(0,G365*(1+G$6/12)-G$7))</f>
        <v/>
      </c>
      <c r="H366" s="91">
        <f>IF(H365&lt;0.005,0,MAX(0,H365*(1+H$6/12)-H$7))</f>
        <v/>
      </c>
      <c r="I366" s="91">
        <f>IF(I365&lt;0.005,0,MAX(0,I365*(1+I$6/12)-I$7))</f>
        <v/>
      </c>
      <c r="J366" s="91">
        <f>IF(J365&lt;0.005,0,MAX(0,J365*(1+J$6/12)-J$7))</f>
        <v/>
      </c>
      <c r="K366" s="91">
        <f>IF(K365&lt;0.005,0,MAX(0,K365*(1+K$6/12)-K$7))</f>
        <v/>
      </c>
      <c r="L366" s="91">
        <f>IF(L365&lt;0.005,0,MAX(0,L365*(1+L$6/12)-L$7))</f>
        <v/>
      </c>
      <c r="M366" s="91">
        <f>SUMPRODUCT(C365:L365,$C$6:$L$6)/12</f>
        <v/>
      </c>
      <c r="N366" s="88">
        <f>SUM(C366:L366)</f>
        <v/>
      </c>
      <c r="P366" s="92">
        <f>IF(Z365&lt;0.005,0,MAX(0,Z365*(1+Z$6/12)-Z$7))</f>
        <v/>
      </c>
      <c r="Q366" s="92">
        <f>IF(AA365&lt;0.005,0,MAX(0,AA365*(1+AA$6/12)-AA$7))</f>
        <v/>
      </c>
      <c r="R366" s="92">
        <f>IF(AB365&lt;0.005,0,MAX(0,AB365*(1+AB$6/12)-AB$7))</f>
        <v/>
      </c>
      <c r="S366" s="92">
        <f>IF(AC365&lt;0.005,0,MAX(0,AC365*(1+AC$6/12)-AC$7))</f>
        <v/>
      </c>
      <c r="T366" s="92">
        <f>IF(AD365&lt;0.005,0,MAX(0,AD365*(1+AD$6/12)-AD$7))</f>
        <v/>
      </c>
      <c r="U366" s="92">
        <f>IF(AE365&lt;0.005,0,MAX(0,AE365*(1+AE$6/12)-AE$7))</f>
        <v/>
      </c>
      <c r="V366" s="92">
        <f>IF(AF365&lt;0.005,0,MAX(0,AF365*(1+AF$6/12)-AF$7))</f>
        <v/>
      </c>
      <c r="W366" s="92">
        <f>IF(AG365&lt;0.005,0,MAX(0,AG365*(1+AG$6/12)-AG$7))</f>
        <v/>
      </c>
      <c r="X366" s="92">
        <f>IF(AH365&lt;0.005,0,MAX(0,AH365*(1+AH$6/12)-AH$7))</f>
        <v/>
      </c>
      <c r="Y366" s="92">
        <f>IF(AI365&lt;0.005,0,MAX(0,AI365*(1+AI$6/12)-AI$7))</f>
        <v/>
      </c>
      <c r="Z366" s="91">
        <f>MAX(0,P366-MAX(0,AK366-0))</f>
        <v/>
      </c>
      <c r="AA366" s="91">
        <f>MAX(0,Q366-MAX(0,AK366-SUM(P366:P366)))</f>
        <v/>
      </c>
      <c r="AB366" s="91">
        <f>MAX(0,R366-MAX(0,AK366-SUM(P366:Q366)))</f>
        <v/>
      </c>
      <c r="AC366" s="91">
        <f>MAX(0,S366-MAX(0,AK366-SUM(P366:R366)))</f>
        <v/>
      </c>
      <c r="AD366" s="91">
        <f>MAX(0,T366-MAX(0,AK366-SUM(P366:S366)))</f>
        <v/>
      </c>
      <c r="AE366" s="91">
        <f>MAX(0,U366-MAX(0,AK366-SUM(P366:T366)))</f>
        <v/>
      </c>
      <c r="AF366" s="91">
        <f>MAX(0,V366-MAX(0,AK366-SUM(P366:U366)))</f>
        <v/>
      </c>
      <c r="AG366" s="91">
        <f>MAX(0,W366-MAX(0,AK366-SUM(P366:V366)))</f>
        <v/>
      </c>
      <c r="AH366" s="91">
        <f>MAX(0,X366-MAX(0,AK366-SUM(P366:W366)))</f>
        <v/>
      </c>
      <c r="AI366" s="91">
        <f>MAX(0,Y366-MAX(0,AK366-SUM(P366:X366)))</f>
        <v/>
      </c>
      <c r="AJ366" s="92">
        <f>SUM(Z365:AI365)+AL366</f>
        <v/>
      </c>
      <c r="AK366" s="92">
        <f>$AK$7-(AJ366-SUM(P366:Y366))</f>
        <v/>
      </c>
      <c r="AL366" s="91">
        <f>SUMPRODUCT(Z365:AI365,$Z$6:$AI$6)/12</f>
        <v/>
      </c>
      <c r="AM366" s="88">
        <f>SUM(Z366:AI366)</f>
        <v/>
      </c>
      <c r="AO366" s="92">
        <f>IF(AY365&lt;0.005,0,MAX(0,AY365*(1+AY$6/12)-AY$7))</f>
        <v/>
      </c>
      <c r="AP366" s="92">
        <f>IF(AZ365&lt;0.005,0,MAX(0,AZ365*(1+AZ$6/12)-AZ$7))</f>
        <v/>
      </c>
      <c r="AQ366" s="92">
        <f>IF(BA365&lt;0.005,0,MAX(0,BA365*(1+BA$6/12)-BA$7))</f>
        <v/>
      </c>
      <c r="AR366" s="92">
        <f>IF(BB365&lt;0.005,0,MAX(0,BB365*(1+BB$6/12)-BB$7))</f>
        <v/>
      </c>
      <c r="AS366" s="92">
        <f>IF(BC365&lt;0.005,0,MAX(0,BC365*(1+BC$6/12)-BC$7))</f>
        <v/>
      </c>
      <c r="AT366" s="92">
        <f>IF(BD365&lt;0.005,0,MAX(0,BD365*(1+BD$6/12)-BD$7))</f>
        <v/>
      </c>
      <c r="AU366" s="92">
        <f>IF(BE365&lt;0.005,0,MAX(0,BE365*(1+BE$6/12)-BE$7))</f>
        <v/>
      </c>
      <c r="AV366" s="92">
        <f>IF(BF365&lt;0.005,0,MAX(0,BF365*(1+BF$6/12)-BF$7))</f>
        <v/>
      </c>
      <c r="AW366" s="92">
        <f>IF(BG365&lt;0.005,0,MAX(0,BG365*(1+BG$6/12)-BG$7))</f>
        <v/>
      </c>
      <c r="AX366" s="92">
        <f>IF(BH365&lt;0.005,0,MAX(0,BH365*(1+BH$6/12)-BH$7))</f>
        <v/>
      </c>
      <c r="AY366" s="91">
        <f>MAX(0,AO366-MAX(0,BJ366-0))</f>
        <v/>
      </c>
      <c r="AZ366" s="91">
        <f>MAX(0,AP366-MAX(0,BJ366-SUM(AO366:AO366)))</f>
        <v/>
      </c>
      <c r="BA366" s="91">
        <f>MAX(0,AQ366-MAX(0,BJ366-SUM(AO366:AP366)))</f>
        <v/>
      </c>
      <c r="BB366" s="91">
        <f>MAX(0,AR366-MAX(0,BJ366-SUM(AO366:AQ366)))</f>
        <v/>
      </c>
      <c r="BC366" s="91">
        <f>MAX(0,AS366-MAX(0,BJ366-SUM(AO366:AR366)))</f>
        <v/>
      </c>
      <c r="BD366" s="91">
        <f>MAX(0,AT366-MAX(0,BJ366-SUM(AO366:AS366)))</f>
        <v/>
      </c>
      <c r="BE366" s="91">
        <f>MAX(0,AU366-MAX(0,BJ366-SUM(AO366:AT366)))</f>
        <v/>
      </c>
      <c r="BF366" s="91">
        <f>MAX(0,AV366-MAX(0,BJ366-SUM(AO366:AU366)))</f>
        <v/>
      </c>
      <c r="BG366" s="91">
        <f>MAX(0,AW366-MAX(0,BJ366-SUM(AO366:AV366)))</f>
        <v/>
      </c>
      <c r="BH366" s="91">
        <f>MAX(0,AX366-MAX(0,BJ366-SUM(AO366:AW366)))</f>
        <v/>
      </c>
      <c r="BI366" s="92">
        <f>SUM(AY365:BH365)+BK366</f>
        <v/>
      </c>
      <c r="BJ366" s="92">
        <f>$BJ$7-(BI366-SUM(AO366:AX366))</f>
        <v/>
      </c>
      <c r="BK366" s="91">
        <f>SUMPRODUCT(AY365:BH365,$AY$6:$BH$6)/12</f>
        <v/>
      </c>
      <c r="BL366" s="88">
        <f>SUM(AY366:BH366)</f>
        <v/>
      </c>
    </row>
    <row r="367">
      <c r="A367" s="24" t="n">
        <v>357</v>
      </c>
      <c r="B367" s="90">
        <f>DATE(YEAR(Settings!$C$11),MONTH(Settings!$C$11)+A367,1)</f>
        <v/>
      </c>
      <c r="C367" s="91">
        <f>IF(C366&lt;0.005,0,MAX(0,C366*(1+C$6/12)-C$7))</f>
        <v/>
      </c>
      <c r="D367" s="91">
        <f>IF(D366&lt;0.005,0,MAX(0,D366*(1+D$6/12)-D$7))</f>
        <v/>
      </c>
      <c r="E367" s="91">
        <f>IF(E366&lt;0.005,0,MAX(0,E366*(1+E$6/12)-E$7))</f>
        <v/>
      </c>
      <c r="F367" s="91">
        <f>IF(F366&lt;0.005,0,MAX(0,F366*(1+F$6/12)-F$7))</f>
        <v/>
      </c>
      <c r="G367" s="91">
        <f>IF(G366&lt;0.005,0,MAX(0,G366*(1+G$6/12)-G$7))</f>
        <v/>
      </c>
      <c r="H367" s="91">
        <f>IF(H366&lt;0.005,0,MAX(0,H366*(1+H$6/12)-H$7))</f>
        <v/>
      </c>
      <c r="I367" s="91">
        <f>IF(I366&lt;0.005,0,MAX(0,I366*(1+I$6/12)-I$7))</f>
        <v/>
      </c>
      <c r="J367" s="91">
        <f>IF(J366&lt;0.005,0,MAX(0,J366*(1+J$6/12)-J$7))</f>
        <v/>
      </c>
      <c r="K367" s="91">
        <f>IF(K366&lt;0.005,0,MAX(0,K366*(1+K$6/12)-K$7))</f>
        <v/>
      </c>
      <c r="L367" s="91">
        <f>IF(L366&lt;0.005,0,MAX(0,L366*(1+L$6/12)-L$7))</f>
        <v/>
      </c>
      <c r="M367" s="91">
        <f>SUMPRODUCT(C366:L366,$C$6:$L$6)/12</f>
        <v/>
      </c>
      <c r="N367" s="88">
        <f>SUM(C367:L367)</f>
        <v/>
      </c>
      <c r="P367" s="92">
        <f>IF(Z366&lt;0.005,0,MAX(0,Z366*(1+Z$6/12)-Z$7))</f>
        <v/>
      </c>
      <c r="Q367" s="92">
        <f>IF(AA366&lt;0.005,0,MAX(0,AA366*(1+AA$6/12)-AA$7))</f>
        <v/>
      </c>
      <c r="R367" s="92">
        <f>IF(AB366&lt;0.005,0,MAX(0,AB366*(1+AB$6/12)-AB$7))</f>
        <v/>
      </c>
      <c r="S367" s="92">
        <f>IF(AC366&lt;0.005,0,MAX(0,AC366*(1+AC$6/12)-AC$7))</f>
        <v/>
      </c>
      <c r="T367" s="92">
        <f>IF(AD366&lt;0.005,0,MAX(0,AD366*(1+AD$6/12)-AD$7))</f>
        <v/>
      </c>
      <c r="U367" s="92">
        <f>IF(AE366&lt;0.005,0,MAX(0,AE366*(1+AE$6/12)-AE$7))</f>
        <v/>
      </c>
      <c r="V367" s="92">
        <f>IF(AF366&lt;0.005,0,MAX(0,AF366*(1+AF$6/12)-AF$7))</f>
        <v/>
      </c>
      <c r="W367" s="92">
        <f>IF(AG366&lt;0.005,0,MAX(0,AG366*(1+AG$6/12)-AG$7))</f>
        <v/>
      </c>
      <c r="X367" s="92">
        <f>IF(AH366&lt;0.005,0,MAX(0,AH366*(1+AH$6/12)-AH$7))</f>
        <v/>
      </c>
      <c r="Y367" s="92">
        <f>IF(AI366&lt;0.005,0,MAX(0,AI366*(1+AI$6/12)-AI$7))</f>
        <v/>
      </c>
      <c r="Z367" s="91">
        <f>MAX(0,P367-MAX(0,AK367-0))</f>
        <v/>
      </c>
      <c r="AA367" s="91">
        <f>MAX(0,Q367-MAX(0,AK367-SUM(P367:P367)))</f>
        <v/>
      </c>
      <c r="AB367" s="91">
        <f>MAX(0,R367-MAX(0,AK367-SUM(P367:Q367)))</f>
        <v/>
      </c>
      <c r="AC367" s="91">
        <f>MAX(0,S367-MAX(0,AK367-SUM(P367:R367)))</f>
        <v/>
      </c>
      <c r="AD367" s="91">
        <f>MAX(0,T367-MAX(0,AK367-SUM(P367:S367)))</f>
        <v/>
      </c>
      <c r="AE367" s="91">
        <f>MAX(0,U367-MAX(0,AK367-SUM(P367:T367)))</f>
        <v/>
      </c>
      <c r="AF367" s="91">
        <f>MAX(0,V367-MAX(0,AK367-SUM(P367:U367)))</f>
        <v/>
      </c>
      <c r="AG367" s="91">
        <f>MAX(0,W367-MAX(0,AK367-SUM(P367:V367)))</f>
        <v/>
      </c>
      <c r="AH367" s="91">
        <f>MAX(0,X367-MAX(0,AK367-SUM(P367:W367)))</f>
        <v/>
      </c>
      <c r="AI367" s="91">
        <f>MAX(0,Y367-MAX(0,AK367-SUM(P367:X367)))</f>
        <v/>
      </c>
      <c r="AJ367" s="92">
        <f>SUM(Z366:AI366)+AL367</f>
        <v/>
      </c>
      <c r="AK367" s="92">
        <f>$AK$7-(AJ367-SUM(P367:Y367))</f>
        <v/>
      </c>
      <c r="AL367" s="91">
        <f>SUMPRODUCT(Z366:AI366,$Z$6:$AI$6)/12</f>
        <v/>
      </c>
      <c r="AM367" s="88">
        <f>SUM(Z367:AI367)</f>
        <v/>
      </c>
      <c r="AO367" s="92">
        <f>IF(AY366&lt;0.005,0,MAX(0,AY366*(1+AY$6/12)-AY$7))</f>
        <v/>
      </c>
      <c r="AP367" s="92">
        <f>IF(AZ366&lt;0.005,0,MAX(0,AZ366*(1+AZ$6/12)-AZ$7))</f>
        <v/>
      </c>
      <c r="AQ367" s="92">
        <f>IF(BA366&lt;0.005,0,MAX(0,BA366*(1+BA$6/12)-BA$7))</f>
        <v/>
      </c>
      <c r="AR367" s="92">
        <f>IF(BB366&lt;0.005,0,MAX(0,BB366*(1+BB$6/12)-BB$7))</f>
        <v/>
      </c>
      <c r="AS367" s="92">
        <f>IF(BC366&lt;0.005,0,MAX(0,BC366*(1+BC$6/12)-BC$7))</f>
        <v/>
      </c>
      <c r="AT367" s="92">
        <f>IF(BD366&lt;0.005,0,MAX(0,BD366*(1+BD$6/12)-BD$7))</f>
        <v/>
      </c>
      <c r="AU367" s="92">
        <f>IF(BE366&lt;0.005,0,MAX(0,BE366*(1+BE$6/12)-BE$7))</f>
        <v/>
      </c>
      <c r="AV367" s="92">
        <f>IF(BF366&lt;0.005,0,MAX(0,BF366*(1+BF$6/12)-BF$7))</f>
        <v/>
      </c>
      <c r="AW367" s="92">
        <f>IF(BG366&lt;0.005,0,MAX(0,BG366*(1+BG$6/12)-BG$7))</f>
        <v/>
      </c>
      <c r="AX367" s="92">
        <f>IF(BH366&lt;0.005,0,MAX(0,BH366*(1+BH$6/12)-BH$7))</f>
        <v/>
      </c>
      <c r="AY367" s="91">
        <f>MAX(0,AO367-MAX(0,BJ367-0))</f>
        <v/>
      </c>
      <c r="AZ367" s="91">
        <f>MAX(0,AP367-MAX(0,BJ367-SUM(AO367:AO367)))</f>
        <v/>
      </c>
      <c r="BA367" s="91">
        <f>MAX(0,AQ367-MAX(0,BJ367-SUM(AO367:AP367)))</f>
        <v/>
      </c>
      <c r="BB367" s="91">
        <f>MAX(0,AR367-MAX(0,BJ367-SUM(AO367:AQ367)))</f>
        <v/>
      </c>
      <c r="BC367" s="91">
        <f>MAX(0,AS367-MAX(0,BJ367-SUM(AO367:AR367)))</f>
        <v/>
      </c>
      <c r="BD367" s="91">
        <f>MAX(0,AT367-MAX(0,BJ367-SUM(AO367:AS367)))</f>
        <v/>
      </c>
      <c r="BE367" s="91">
        <f>MAX(0,AU367-MAX(0,BJ367-SUM(AO367:AT367)))</f>
        <v/>
      </c>
      <c r="BF367" s="91">
        <f>MAX(0,AV367-MAX(0,BJ367-SUM(AO367:AU367)))</f>
        <v/>
      </c>
      <c r="BG367" s="91">
        <f>MAX(0,AW367-MAX(0,BJ367-SUM(AO367:AV367)))</f>
        <v/>
      </c>
      <c r="BH367" s="91">
        <f>MAX(0,AX367-MAX(0,BJ367-SUM(AO367:AW367)))</f>
        <v/>
      </c>
      <c r="BI367" s="92">
        <f>SUM(AY366:BH366)+BK367</f>
        <v/>
      </c>
      <c r="BJ367" s="92">
        <f>$BJ$7-(BI367-SUM(AO367:AX367))</f>
        <v/>
      </c>
      <c r="BK367" s="91">
        <f>SUMPRODUCT(AY366:BH366,$AY$6:$BH$6)/12</f>
        <v/>
      </c>
      <c r="BL367" s="88">
        <f>SUM(AY367:BH367)</f>
        <v/>
      </c>
    </row>
    <row r="368">
      <c r="A368" s="24" t="n">
        <v>358</v>
      </c>
      <c r="B368" s="90">
        <f>DATE(YEAR(Settings!$C$11),MONTH(Settings!$C$11)+A368,1)</f>
        <v/>
      </c>
      <c r="C368" s="91">
        <f>IF(C367&lt;0.005,0,MAX(0,C367*(1+C$6/12)-C$7))</f>
        <v/>
      </c>
      <c r="D368" s="91">
        <f>IF(D367&lt;0.005,0,MAX(0,D367*(1+D$6/12)-D$7))</f>
        <v/>
      </c>
      <c r="E368" s="91">
        <f>IF(E367&lt;0.005,0,MAX(0,E367*(1+E$6/12)-E$7))</f>
        <v/>
      </c>
      <c r="F368" s="91">
        <f>IF(F367&lt;0.005,0,MAX(0,F367*(1+F$6/12)-F$7))</f>
        <v/>
      </c>
      <c r="G368" s="91">
        <f>IF(G367&lt;0.005,0,MAX(0,G367*(1+G$6/12)-G$7))</f>
        <v/>
      </c>
      <c r="H368" s="91">
        <f>IF(H367&lt;0.005,0,MAX(0,H367*(1+H$6/12)-H$7))</f>
        <v/>
      </c>
      <c r="I368" s="91">
        <f>IF(I367&lt;0.005,0,MAX(0,I367*(1+I$6/12)-I$7))</f>
        <v/>
      </c>
      <c r="J368" s="91">
        <f>IF(J367&lt;0.005,0,MAX(0,J367*(1+J$6/12)-J$7))</f>
        <v/>
      </c>
      <c r="K368" s="91">
        <f>IF(K367&lt;0.005,0,MAX(0,K367*(1+K$6/12)-K$7))</f>
        <v/>
      </c>
      <c r="L368" s="91">
        <f>IF(L367&lt;0.005,0,MAX(0,L367*(1+L$6/12)-L$7))</f>
        <v/>
      </c>
      <c r="M368" s="91">
        <f>SUMPRODUCT(C367:L367,$C$6:$L$6)/12</f>
        <v/>
      </c>
      <c r="N368" s="88">
        <f>SUM(C368:L368)</f>
        <v/>
      </c>
      <c r="P368" s="92">
        <f>IF(Z367&lt;0.005,0,MAX(0,Z367*(1+Z$6/12)-Z$7))</f>
        <v/>
      </c>
      <c r="Q368" s="92">
        <f>IF(AA367&lt;0.005,0,MAX(0,AA367*(1+AA$6/12)-AA$7))</f>
        <v/>
      </c>
      <c r="R368" s="92">
        <f>IF(AB367&lt;0.005,0,MAX(0,AB367*(1+AB$6/12)-AB$7))</f>
        <v/>
      </c>
      <c r="S368" s="92">
        <f>IF(AC367&lt;0.005,0,MAX(0,AC367*(1+AC$6/12)-AC$7))</f>
        <v/>
      </c>
      <c r="T368" s="92">
        <f>IF(AD367&lt;0.005,0,MAX(0,AD367*(1+AD$6/12)-AD$7))</f>
        <v/>
      </c>
      <c r="U368" s="92">
        <f>IF(AE367&lt;0.005,0,MAX(0,AE367*(1+AE$6/12)-AE$7))</f>
        <v/>
      </c>
      <c r="V368" s="92">
        <f>IF(AF367&lt;0.005,0,MAX(0,AF367*(1+AF$6/12)-AF$7))</f>
        <v/>
      </c>
      <c r="W368" s="92">
        <f>IF(AG367&lt;0.005,0,MAX(0,AG367*(1+AG$6/12)-AG$7))</f>
        <v/>
      </c>
      <c r="X368" s="92">
        <f>IF(AH367&lt;0.005,0,MAX(0,AH367*(1+AH$6/12)-AH$7))</f>
        <v/>
      </c>
      <c r="Y368" s="92">
        <f>IF(AI367&lt;0.005,0,MAX(0,AI367*(1+AI$6/12)-AI$7))</f>
        <v/>
      </c>
      <c r="Z368" s="91">
        <f>MAX(0,P368-MAX(0,AK368-0))</f>
        <v/>
      </c>
      <c r="AA368" s="91">
        <f>MAX(0,Q368-MAX(0,AK368-SUM(P368:P368)))</f>
        <v/>
      </c>
      <c r="AB368" s="91">
        <f>MAX(0,R368-MAX(0,AK368-SUM(P368:Q368)))</f>
        <v/>
      </c>
      <c r="AC368" s="91">
        <f>MAX(0,S368-MAX(0,AK368-SUM(P368:R368)))</f>
        <v/>
      </c>
      <c r="AD368" s="91">
        <f>MAX(0,T368-MAX(0,AK368-SUM(P368:S368)))</f>
        <v/>
      </c>
      <c r="AE368" s="91">
        <f>MAX(0,U368-MAX(0,AK368-SUM(P368:T368)))</f>
        <v/>
      </c>
      <c r="AF368" s="91">
        <f>MAX(0,V368-MAX(0,AK368-SUM(P368:U368)))</f>
        <v/>
      </c>
      <c r="AG368" s="91">
        <f>MAX(0,W368-MAX(0,AK368-SUM(P368:V368)))</f>
        <v/>
      </c>
      <c r="AH368" s="91">
        <f>MAX(0,X368-MAX(0,AK368-SUM(P368:W368)))</f>
        <v/>
      </c>
      <c r="AI368" s="91">
        <f>MAX(0,Y368-MAX(0,AK368-SUM(P368:X368)))</f>
        <v/>
      </c>
      <c r="AJ368" s="92">
        <f>SUM(Z367:AI367)+AL368</f>
        <v/>
      </c>
      <c r="AK368" s="92">
        <f>$AK$7-(AJ368-SUM(P368:Y368))</f>
        <v/>
      </c>
      <c r="AL368" s="91">
        <f>SUMPRODUCT(Z367:AI367,$Z$6:$AI$6)/12</f>
        <v/>
      </c>
      <c r="AM368" s="88">
        <f>SUM(Z368:AI368)</f>
        <v/>
      </c>
      <c r="AO368" s="92">
        <f>IF(AY367&lt;0.005,0,MAX(0,AY367*(1+AY$6/12)-AY$7))</f>
        <v/>
      </c>
      <c r="AP368" s="92">
        <f>IF(AZ367&lt;0.005,0,MAX(0,AZ367*(1+AZ$6/12)-AZ$7))</f>
        <v/>
      </c>
      <c r="AQ368" s="92">
        <f>IF(BA367&lt;0.005,0,MAX(0,BA367*(1+BA$6/12)-BA$7))</f>
        <v/>
      </c>
      <c r="AR368" s="92">
        <f>IF(BB367&lt;0.005,0,MAX(0,BB367*(1+BB$6/12)-BB$7))</f>
        <v/>
      </c>
      <c r="AS368" s="92">
        <f>IF(BC367&lt;0.005,0,MAX(0,BC367*(1+BC$6/12)-BC$7))</f>
        <v/>
      </c>
      <c r="AT368" s="92">
        <f>IF(BD367&lt;0.005,0,MAX(0,BD367*(1+BD$6/12)-BD$7))</f>
        <v/>
      </c>
      <c r="AU368" s="92">
        <f>IF(BE367&lt;0.005,0,MAX(0,BE367*(1+BE$6/12)-BE$7))</f>
        <v/>
      </c>
      <c r="AV368" s="92">
        <f>IF(BF367&lt;0.005,0,MAX(0,BF367*(1+BF$6/12)-BF$7))</f>
        <v/>
      </c>
      <c r="AW368" s="92">
        <f>IF(BG367&lt;0.005,0,MAX(0,BG367*(1+BG$6/12)-BG$7))</f>
        <v/>
      </c>
      <c r="AX368" s="92">
        <f>IF(BH367&lt;0.005,0,MAX(0,BH367*(1+BH$6/12)-BH$7))</f>
        <v/>
      </c>
      <c r="AY368" s="91">
        <f>MAX(0,AO368-MAX(0,BJ368-0))</f>
        <v/>
      </c>
      <c r="AZ368" s="91">
        <f>MAX(0,AP368-MAX(0,BJ368-SUM(AO368:AO368)))</f>
        <v/>
      </c>
      <c r="BA368" s="91">
        <f>MAX(0,AQ368-MAX(0,BJ368-SUM(AO368:AP368)))</f>
        <v/>
      </c>
      <c r="BB368" s="91">
        <f>MAX(0,AR368-MAX(0,BJ368-SUM(AO368:AQ368)))</f>
        <v/>
      </c>
      <c r="BC368" s="91">
        <f>MAX(0,AS368-MAX(0,BJ368-SUM(AO368:AR368)))</f>
        <v/>
      </c>
      <c r="BD368" s="91">
        <f>MAX(0,AT368-MAX(0,BJ368-SUM(AO368:AS368)))</f>
        <v/>
      </c>
      <c r="BE368" s="91">
        <f>MAX(0,AU368-MAX(0,BJ368-SUM(AO368:AT368)))</f>
        <v/>
      </c>
      <c r="BF368" s="91">
        <f>MAX(0,AV368-MAX(0,BJ368-SUM(AO368:AU368)))</f>
        <v/>
      </c>
      <c r="BG368" s="91">
        <f>MAX(0,AW368-MAX(0,BJ368-SUM(AO368:AV368)))</f>
        <v/>
      </c>
      <c r="BH368" s="91">
        <f>MAX(0,AX368-MAX(0,BJ368-SUM(AO368:AW368)))</f>
        <v/>
      </c>
      <c r="BI368" s="92">
        <f>SUM(AY367:BH367)+BK368</f>
        <v/>
      </c>
      <c r="BJ368" s="92">
        <f>$BJ$7-(BI368-SUM(AO368:AX368))</f>
        <v/>
      </c>
      <c r="BK368" s="91">
        <f>SUMPRODUCT(AY367:BH367,$AY$6:$BH$6)/12</f>
        <v/>
      </c>
      <c r="BL368" s="88">
        <f>SUM(AY368:BH368)</f>
        <v/>
      </c>
    </row>
    <row r="369">
      <c r="A369" s="24" t="n">
        <v>359</v>
      </c>
      <c r="B369" s="90">
        <f>DATE(YEAR(Settings!$C$11),MONTH(Settings!$C$11)+A369,1)</f>
        <v/>
      </c>
      <c r="C369" s="91">
        <f>IF(C368&lt;0.005,0,MAX(0,C368*(1+C$6/12)-C$7))</f>
        <v/>
      </c>
      <c r="D369" s="91">
        <f>IF(D368&lt;0.005,0,MAX(0,D368*(1+D$6/12)-D$7))</f>
        <v/>
      </c>
      <c r="E369" s="91">
        <f>IF(E368&lt;0.005,0,MAX(0,E368*(1+E$6/12)-E$7))</f>
        <v/>
      </c>
      <c r="F369" s="91">
        <f>IF(F368&lt;0.005,0,MAX(0,F368*(1+F$6/12)-F$7))</f>
        <v/>
      </c>
      <c r="G369" s="91">
        <f>IF(G368&lt;0.005,0,MAX(0,G368*(1+G$6/12)-G$7))</f>
        <v/>
      </c>
      <c r="H369" s="91">
        <f>IF(H368&lt;0.005,0,MAX(0,H368*(1+H$6/12)-H$7))</f>
        <v/>
      </c>
      <c r="I369" s="91">
        <f>IF(I368&lt;0.005,0,MAX(0,I368*(1+I$6/12)-I$7))</f>
        <v/>
      </c>
      <c r="J369" s="91">
        <f>IF(J368&lt;0.005,0,MAX(0,J368*(1+J$6/12)-J$7))</f>
        <v/>
      </c>
      <c r="K369" s="91">
        <f>IF(K368&lt;0.005,0,MAX(0,K368*(1+K$6/12)-K$7))</f>
        <v/>
      </c>
      <c r="L369" s="91">
        <f>IF(L368&lt;0.005,0,MAX(0,L368*(1+L$6/12)-L$7))</f>
        <v/>
      </c>
      <c r="M369" s="91">
        <f>SUMPRODUCT(C368:L368,$C$6:$L$6)/12</f>
        <v/>
      </c>
      <c r="N369" s="88">
        <f>SUM(C369:L369)</f>
        <v/>
      </c>
      <c r="P369" s="92">
        <f>IF(Z368&lt;0.005,0,MAX(0,Z368*(1+Z$6/12)-Z$7))</f>
        <v/>
      </c>
      <c r="Q369" s="92">
        <f>IF(AA368&lt;0.005,0,MAX(0,AA368*(1+AA$6/12)-AA$7))</f>
        <v/>
      </c>
      <c r="R369" s="92">
        <f>IF(AB368&lt;0.005,0,MAX(0,AB368*(1+AB$6/12)-AB$7))</f>
        <v/>
      </c>
      <c r="S369" s="92">
        <f>IF(AC368&lt;0.005,0,MAX(0,AC368*(1+AC$6/12)-AC$7))</f>
        <v/>
      </c>
      <c r="T369" s="92">
        <f>IF(AD368&lt;0.005,0,MAX(0,AD368*(1+AD$6/12)-AD$7))</f>
        <v/>
      </c>
      <c r="U369" s="92">
        <f>IF(AE368&lt;0.005,0,MAX(0,AE368*(1+AE$6/12)-AE$7))</f>
        <v/>
      </c>
      <c r="V369" s="92">
        <f>IF(AF368&lt;0.005,0,MAX(0,AF368*(1+AF$6/12)-AF$7))</f>
        <v/>
      </c>
      <c r="W369" s="92">
        <f>IF(AG368&lt;0.005,0,MAX(0,AG368*(1+AG$6/12)-AG$7))</f>
        <v/>
      </c>
      <c r="X369" s="92">
        <f>IF(AH368&lt;0.005,0,MAX(0,AH368*(1+AH$6/12)-AH$7))</f>
        <v/>
      </c>
      <c r="Y369" s="92">
        <f>IF(AI368&lt;0.005,0,MAX(0,AI368*(1+AI$6/12)-AI$7))</f>
        <v/>
      </c>
      <c r="Z369" s="91">
        <f>MAX(0,P369-MAX(0,AK369-0))</f>
        <v/>
      </c>
      <c r="AA369" s="91">
        <f>MAX(0,Q369-MAX(0,AK369-SUM(P369:P369)))</f>
        <v/>
      </c>
      <c r="AB369" s="91">
        <f>MAX(0,R369-MAX(0,AK369-SUM(P369:Q369)))</f>
        <v/>
      </c>
      <c r="AC369" s="91">
        <f>MAX(0,S369-MAX(0,AK369-SUM(P369:R369)))</f>
        <v/>
      </c>
      <c r="AD369" s="91">
        <f>MAX(0,T369-MAX(0,AK369-SUM(P369:S369)))</f>
        <v/>
      </c>
      <c r="AE369" s="91">
        <f>MAX(0,U369-MAX(0,AK369-SUM(P369:T369)))</f>
        <v/>
      </c>
      <c r="AF369" s="91">
        <f>MAX(0,V369-MAX(0,AK369-SUM(P369:U369)))</f>
        <v/>
      </c>
      <c r="AG369" s="91">
        <f>MAX(0,W369-MAX(0,AK369-SUM(P369:V369)))</f>
        <v/>
      </c>
      <c r="AH369" s="91">
        <f>MAX(0,X369-MAX(0,AK369-SUM(P369:W369)))</f>
        <v/>
      </c>
      <c r="AI369" s="91">
        <f>MAX(0,Y369-MAX(0,AK369-SUM(P369:X369)))</f>
        <v/>
      </c>
      <c r="AJ369" s="92">
        <f>SUM(Z368:AI368)+AL369</f>
        <v/>
      </c>
      <c r="AK369" s="92">
        <f>$AK$7-(AJ369-SUM(P369:Y369))</f>
        <v/>
      </c>
      <c r="AL369" s="91">
        <f>SUMPRODUCT(Z368:AI368,$Z$6:$AI$6)/12</f>
        <v/>
      </c>
      <c r="AM369" s="88">
        <f>SUM(Z369:AI369)</f>
        <v/>
      </c>
      <c r="AO369" s="92">
        <f>IF(AY368&lt;0.005,0,MAX(0,AY368*(1+AY$6/12)-AY$7))</f>
        <v/>
      </c>
      <c r="AP369" s="92">
        <f>IF(AZ368&lt;0.005,0,MAX(0,AZ368*(1+AZ$6/12)-AZ$7))</f>
        <v/>
      </c>
      <c r="AQ369" s="92">
        <f>IF(BA368&lt;0.005,0,MAX(0,BA368*(1+BA$6/12)-BA$7))</f>
        <v/>
      </c>
      <c r="AR369" s="92">
        <f>IF(BB368&lt;0.005,0,MAX(0,BB368*(1+BB$6/12)-BB$7))</f>
        <v/>
      </c>
      <c r="AS369" s="92">
        <f>IF(BC368&lt;0.005,0,MAX(0,BC368*(1+BC$6/12)-BC$7))</f>
        <v/>
      </c>
      <c r="AT369" s="92">
        <f>IF(BD368&lt;0.005,0,MAX(0,BD368*(1+BD$6/12)-BD$7))</f>
        <v/>
      </c>
      <c r="AU369" s="92">
        <f>IF(BE368&lt;0.005,0,MAX(0,BE368*(1+BE$6/12)-BE$7))</f>
        <v/>
      </c>
      <c r="AV369" s="92">
        <f>IF(BF368&lt;0.005,0,MAX(0,BF368*(1+BF$6/12)-BF$7))</f>
        <v/>
      </c>
      <c r="AW369" s="92">
        <f>IF(BG368&lt;0.005,0,MAX(0,BG368*(1+BG$6/12)-BG$7))</f>
        <v/>
      </c>
      <c r="AX369" s="92">
        <f>IF(BH368&lt;0.005,0,MAX(0,BH368*(1+BH$6/12)-BH$7))</f>
        <v/>
      </c>
      <c r="AY369" s="91">
        <f>MAX(0,AO369-MAX(0,BJ369-0))</f>
        <v/>
      </c>
      <c r="AZ369" s="91">
        <f>MAX(0,AP369-MAX(0,BJ369-SUM(AO369:AO369)))</f>
        <v/>
      </c>
      <c r="BA369" s="91">
        <f>MAX(0,AQ369-MAX(0,BJ369-SUM(AO369:AP369)))</f>
        <v/>
      </c>
      <c r="BB369" s="91">
        <f>MAX(0,AR369-MAX(0,BJ369-SUM(AO369:AQ369)))</f>
        <v/>
      </c>
      <c r="BC369" s="91">
        <f>MAX(0,AS369-MAX(0,BJ369-SUM(AO369:AR369)))</f>
        <v/>
      </c>
      <c r="BD369" s="91">
        <f>MAX(0,AT369-MAX(0,BJ369-SUM(AO369:AS369)))</f>
        <v/>
      </c>
      <c r="BE369" s="91">
        <f>MAX(0,AU369-MAX(0,BJ369-SUM(AO369:AT369)))</f>
        <v/>
      </c>
      <c r="BF369" s="91">
        <f>MAX(0,AV369-MAX(0,BJ369-SUM(AO369:AU369)))</f>
        <v/>
      </c>
      <c r="BG369" s="91">
        <f>MAX(0,AW369-MAX(0,BJ369-SUM(AO369:AV369)))</f>
        <v/>
      </c>
      <c r="BH369" s="91">
        <f>MAX(0,AX369-MAX(0,BJ369-SUM(AO369:AW369)))</f>
        <v/>
      </c>
      <c r="BI369" s="92">
        <f>SUM(AY368:BH368)+BK369</f>
        <v/>
      </c>
      <c r="BJ369" s="92">
        <f>$BJ$7-(BI369-SUM(AO369:AX369))</f>
        <v/>
      </c>
      <c r="BK369" s="91">
        <f>SUMPRODUCT(AY368:BH368,$AY$6:$BH$6)/12</f>
        <v/>
      </c>
      <c r="BL369" s="88">
        <f>SUM(AY369:BH369)</f>
        <v/>
      </c>
    </row>
    <row r="370">
      <c r="A370" s="24" t="n">
        <v>360</v>
      </c>
      <c r="B370" s="90">
        <f>DATE(YEAR(Settings!$C$11),MONTH(Settings!$C$11)+A370,1)</f>
        <v/>
      </c>
      <c r="C370" s="91">
        <f>IF(C369&lt;0.005,0,MAX(0,C369*(1+C$6/12)-C$7))</f>
        <v/>
      </c>
      <c r="D370" s="91">
        <f>IF(D369&lt;0.005,0,MAX(0,D369*(1+D$6/12)-D$7))</f>
        <v/>
      </c>
      <c r="E370" s="91">
        <f>IF(E369&lt;0.005,0,MAX(0,E369*(1+E$6/12)-E$7))</f>
        <v/>
      </c>
      <c r="F370" s="91">
        <f>IF(F369&lt;0.005,0,MAX(0,F369*(1+F$6/12)-F$7))</f>
        <v/>
      </c>
      <c r="G370" s="91">
        <f>IF(G369&lt;0.005,0,MAX(0,G369*(1+G$6/12)-G$7))</f>
        <v/>
      </c>
      <c r="H370" s="91">
        <f>IF(H369&lt;0.005,0,MAX(0,H369*(1+H$6/12)-H$7))</f>
        <v/>
      </c>
      <c r="I370" s="91">
        <f>IF(I369&lt;0.005,0,MAX(0,I369*(1+I$6/12)-I$7))</f>
        <v/>
      </c>
      <c r="J370" s="91">
        <f>IF(J369&lt;0.005,0,MAX(0,J369*(1+J$6/12)-J$7))</f>
        <v/>
      </c>
      <c r="K370" s="91">
        <f>IF(K369&lt;0.005,0,MAX(0,K369*(1+K$6/12)-K$7))</f>
        <v/>
      </c>
      <c r="L370" s="91">
        <f>IF(L369&lt;0.005,0,MAX(0,L369*(1+L$6/12)-L$7))</f>
        <v/>
      </c>
      <c r="M370" s="91">
        <f>SUMPRODUCT(C369:L369,$C$6:$L$6)/12</f>
        <v/>
      </c>
      <c r="N370" s="88">
        <f>SUM(C370:L370)</f>
        <v/>
      </c>
      <c r="P370" s="92">
        <f>IF(Z369&lt;0.005,0,MAX(0,Z369*(1+Z$6/12)-Z$7))</f>
        <v/>
      </c>
      <c r="Q370" s="92">
        <f>IF(AA369&lt;0.005,0,MAX(0,AA369*(1+AA$6/12)-AA$7))</f>
        <v/>
      </c>
      <c r="R370" s="92">
        <f>IF(AB369&lt;0.005,0,MAX(0,AB369*(1+AB$6/12)-AB$7))</f>
        <v/>
      </c>
      <c r="S370" s="92">
        <f>IF(AC369&lt;0.005,0,MAX(0,AC369*(1+AC$6/12)-AC$7))</f>
        <v/>
      </c>
      <c r="T370" s="92">
        <f>IF(AD369&lt;0.005,0,MAX(0,AD369*(1+AD$6/12)-AD$7))</f>
        <v/>
      </c>
      <c r="U370" s="92">
        <f>IF(AE369&lt;0.005,0,MAX(0,AE369*(1+AE$6/12)-AE$7))</f>
        <v/>
      </c>
      <c r="V370" s="92">
        <f>IF(AF369&lt;0.005,0,MAX(0,AF369*(1+AF$6/12)-AF$7))</f>
        <v/>
      </c>
      <c r="W370" s="92">
        <f>IF(AG369&lt;0.005,0,MAX(0,AG369*(1+AG$6/12)-AG$7))</f>
        <v/>
      </c>
      <c r="X370" s="92">
        <f>IF(AH369&lt;0.005,0,MAX(0,AH369*(1+AH$6/12)-AH$7))</f>
        <v/>
      </c>
      <c r="Y370" s="92">
        <f>IF(AI369&lt;0.005,0,MAX(0,AI369*(1+AI$6/12)-AI$7))</f>
        <v/>
      </c>
      <c r="Z370" s="91">
        <f>MAX(0,P370-MAX(0,AK370-0))</f>
        <v/>
      </c>
      <c r="AA370" s="91">
        <f>MAX(0,Q370-MAX(0,AK370-SUM(P370:P370)))</f>
        <v/>
      </c>
      <c r="AB370" s="91">
        <f>MAX(0,R370-MAX(0,AK370-SUM(P370:Q370)))</f>
        <v/>
      </c>
      <c r="AC370" s="91">
        <f>MAX(0,S370-MAX(0,AK370-SUM(P370:R370)))</f>
        <v/>
      </c>
      <c r="AD370" s="91">
        <f>MAX(0,T370-MAX(0,AK370-SUM(P370:S370)))</f>
        <v/>
      </c>
      <c r="AE370" s="91">
        <f>MAX(0,U370-MAX(0,AK370-SUM(P370:T370)))</f>
        <v/>
      </c>
      <c r="AF370" s="91">
        <f>MAX(0,V370-MAX(0,AK370-SUM(P370:U370)))</f>
        <v/>
      </c>
      <c r="AG370" s="91">
        <f>MAX(0,W370-MAX(0,AK370-SUM(P370:V370)))</f>
        <v/>
      </c>
      <c r="AH370" s="91">
        <f>MAX(0,X370-MAX(0,AK370-SUM(P370:W370)))</f>
        <v/>
      </c>
      <c r="AI370" s="91">
        <f>MAX(0,Y370-MAX(0,AK370-SUM(P370:X370)))</f>
        <v/>
      </c>
      <c r="AJ370" s="92">
        <f>SUM(Z369:AI369)+AL370</f>
        <v/>
      </c>
      <c r="AK370" s="92">
        <f>$AK$7-(AJ370-SUM(P370:Y370))</f>
        <v/>
      </c>
      <c r="AL370" s="91">
        <f>SUMPRODUCT(Z369:AI369,$Z$6:$AI$6)/12</f>
        <v/>
      </c>
      <c r="AM370" s="88">
        <f>SUM(Z370:AI370)</f>
        <v/>
      </c>
      <c r="AO370" s="92">
        <f>IF(AY369&lt;0.005,0,MAX(0,AY369*(1+AY$6/12)-AY$7))</f>
        <v/>
      </c>
      <c r="AP370" s="92">
        <f>IF(AZ369&lt;0.005,0,MAX(0,AZ369*(1+AZ$6/12)-AZ$7))</f>
        <v/>
      </c>
      <c r="AQ370" s="92">
        <f>IF(BA369&lt;0.005,0,MAX(0,BA369*(1+BA$6/12)-BA$7))</f>
        <v/>
      </c>
      <c r="AR370" s="92">
        <f>IF(BB369&lt;0.005,0,MAX(0,BB369*(1+BB$6/12)-BB$7))</f>
        <v/>
      </c>
      <c r="AS370" s="92">
        <f>IF(BC369&lt;0.005,0,MAX(0,BC369*(1+BC$6/12)-BC$7))</f>
        <v/>
      </c>
      <c r="AT370" s="92">
        <f>IF(BD369&lt;0.005,0,MAX(0,BD369*(1+BD$6/12)-BD$7))</f>
        <v/>
      </c>
      <c r="AU370" s="92">
        <f>IF(BE369&lt;0.005,0,MAX(0,BE369*(1+BE$6/12)-BE$7))</f>
        <v/>
      </c>
      <c r="AV370" s="92">
        <f>IF(BF369&lt;0.005,0,MAX(0,BF369*(1+BF$6/12)-BF$7))</f>
        <v/>
      </c>
      <c r="AW370" s="92">
        <f>IF(BG369&lt;0.005,0,MAX(0,BG369*(1+BG$6/12)-BG$7))</f>
        <v/>
      </c>
      <c r="AX370" s="92">
        <f>IF(BH369&lt;0.005,0,MAX(0,BH369*(1+BH$6/12)-BH$7))</f>
        <v/>
      </c>
      <c r="AY370" s="91">
        <f>MAX(0,AO370-MAX(0,BJ370-0))</f>
        <v/>
      </c>
      <c r="AZ370" s="91">
        <f>MAX(0,AP370-MAX(0,BJ370-SUM(AO370:AO370)))</f>
        <v/>
      </c>
      <c r="BA370" s="91">
        <f>MAX(0,AQ370-MAX(0,BJ370-SUM(AO370:AP370)))</f>
        <v/>
      </c>
      <c r="BB370" s="91">
        <f>MAX(0,AR370-MAX(0,BJ370-SUM(AO370:AQ370)))</f>
        <v/>
      </c>
      <c r="BC370" s="91">
        <f>MAX(0,AS370-MAX(0,BJ370-SUM(AO370:AR370)))</f>
        <v/>
      </c>
      <c r="BD370" s="91">
        <f>MAX(0,AT370-MAX(0,BJ370-SUM(AO370:AS370)))</f>
        <v/>
      </c>
      <c r="BE370" s="91">
        <f>MAX(0,AU370-MAX(0,BJ370-SUM(AO370:AT370)))</f>
        <v/>
      </c>
      <c r="BF370" s="91">
        <f>MAX(0,AV370-MAX(0,BJ370-SUM(AO370:AU370)))</f>
        <v/>
      </c>
      <c r="BG370" s="91">
        <f>MAX(0,AW370-MAX(0,BJ370-SUM(AO370:AV370)))</f>
        <v/>
      </c>
      <c r="BH370" s="91">
        <f>MAX(0,AX370-MAX(0,BJ370-SUM(AO370:AW370)))</f>
        <v/>
      </c>
      <c r="BI370" s="92">
        <f>SUM(AY369:BH369)+BK370</f>
        <v/>
      </c>
      <c r="BJ370" s="92">
        <f>$BJ$7-(BI370-SUM(AO370:AX370))</f>
        <v/>
      </c>
      <c r="BK370" s="91">
        <f>SUMPRODUCT(AY369:BH369,$AY$6:$BH$6)/12</f>
        <v/>
      </c>
      <c r="BL370" s="88">
        <f>SUM(AY370:BH370)</f>
        <v/>
      </c>
    </row>
  </sheetData>
  <sheetProtection selectLockedCells="0" selectUnlockedCells="0" sheet="1" objects="0" insertRows="1" insertHyperlinks="1" autoFilter="1" scenarios="0" formatColumns="0" deleteColumns="1" insertColumns="1" pivotTables="1" deleteRows="1" formatCells="0" formatRows="0" sort="1"/>
  <mergeCells count="3">
    <mergeCell ref="C4:N4"/>
    <mergeCell ref="Z4:AM4"/>
    <mergeCell ref="AY4:BL4"/>
  </mergeCells>
  <printOptions horizontalCentered="1"/>
  <pageMargins left="0.4" right="0.4" top="0.5" bottom="0.5" header="0.5" footer="0.5"/>
  <pageSetup orientation="landscape" paperSize="1" fitToHeight="0" fitToWidth="1"/>
</worksheet>
</file>

<file path=xl/worksheets/sheet12.xml><?xml version="1.0" encoding="utf-8"?>
<worksheet xmlns="http://schemas.openxmlformats.org/spreadsheetml/2006/main">
  <sheetPr>
    <outlinePr summaryBelow="1" summaryRight="1"/>
    <pageSetUpPr/>
  </sheetPr>
  <dimension ref="A1:W25"/>
  <sheetViews>
    <sheetView tabSelected="0" workbookViewId="0">
      <selection activeCell="A1" sqref="A1"/>
    </sheetView>
  </sheetViews>
  <sheetFormatPr baseColWidth="8" defaultRowHeight="15"/>
  <cols>
    <col width="12" customWidth="1" min="1" max="1"/>
    <col width="8" customWidth="1" min="2" max="2"/>
    <col width="16" customWidth="1" min="3" max="3"/>
    <col width="18" customWidth="1" min="4" max="4"/>
    <col width="14" customWidth="1" min="5" max="5"/>
    <col width="16" customWidth="1" min="6" max="6"/>
    <col width="30" customWidth="1" min="7" max="7"/>
    <col width="30" customWidth="1" min="22" max="22"/>
    <col width="10" customWidth="1" min="23" max="23"/>
  </cols>
  <sheetData>
    <row r="1">
      <c r="A1" s="93" t="inlineStr">
        <is>
          <t>Months</t>
        </is>
      </c>
      <c r="B1" s="93" t="inlineStr">
        <is>
          <t>Short</t>
        </is>
      </c>
      <c r="C1" s="93" t="inlineStr">
        <is>
          <t>Month to review</t>
        </is>
      </c>
      <c r="D1" s="93" t="inlineStr">
        <is>
          <t>Types</t>
        </is>
      </c>
      <c r="E1" s="93" t="inlineStr">
        <is>
          <t>Payoff methods</t>
        </is>
      </c>
      <c r="F1" s="93" t="inlineStr">
        <is>
          <t>Currency symbols</t>
        </is>
      </c>
      <c r="G1" s="93" t="inlineStr">
        <is>
          <t>Goals and funds (for the Transactions drop-down)</t>
        </is>
      </c>
      <c r="I1" s="93" t="inlineStr">
        <is>
          <t>Month numbers</t>
        </is>
      </c>
      <c r="V1" s="93" t="inlineStr">
        <is>
          <t>Goals and funds (sheet order)</t>
        </is>
      </c>
      <c r="W1" s="93" t="inlineStr">
        <is>
          <t>Position</t>
        </is>
      </c>
    </row>
    <row r="2">
      <c r="A2" s="94" t="inlineStr">
        <is>
          <t>January</t>
        </is>
      </c>
      <c r="B2" s="94" t="inlineStr">
        <is>
          <t>Jan</t>
        </is>
      </c>
      <c r="C2" s="94" t="inlineStr">
        <is>
          <t>Auto</t>
        </is>
      </c>
      <c r="D2" s="94" t="inlineStr">
        <is>
          <t>Income</t>
        </is>
      </c>
      <c r="E2" s="94" t="inlineStr">
        <is>
          <t>Avalanche</t>
        </is>
      </c>
      <c r="F2" s="94" t="inlineStr">
        <is>
          <t>$</t>
        </is>
      </c>
      <c r="G2" s="94">
        <f>IFERROR(INDEX($V$2:$V$25,MATCH(1,$W$2:$W$25,0)),"")</f>
        <v/>
      </c>
      <c r="I2" s="94" t="n">
        <v>1</v>
      </c>
      <c r="J2" s="94" t="n">
        <v>2</v>
      </c>
      <c r="K2" s="94" t="n">
        <v>3</v>
      </c>
      <c r="L2" s="94" t="n">
        <v>4</v>
      </c>
      <c r="M2" s="94" t="n">
        <v>5</v>
      </c>
      <c r="N2" s="94" t="n">
        <v>6</v>
      </c>
      <c r="O2" s="94" t="n">
        <v>7</v>
      </c>
      <c r="P2" s="94" t="n">
        <v>8</v>
      </c>
      <c r="Q2" s="94" t="n">
        <v>9</v>
      </c>
      <c r="R2" s="94" t="n">
        <v>10</v>
      </c>
      <c r="S2" s="94" t="n">
        <v>11</v>
      </c>
      <c r="T2" s="94" t="n">
        <v>12</v>
      </c>
      <c r="V2" s="94">
        <f>IF('Savings Goals'!$B$6="","",'Savings Goals'!$B$6&amp;"")</f>
        <v/>
      </c>
      <c r="W2" s="94">
        <f>IF(V2="","",COUNTIF($V$2:V2,"?*"))</f>
        <v/>
      </c>
    </row>
    <row r="3">
      <c r="A3" s="94" t="inlineStr">
        <is>
          <t>February</t>
        </is>
      </c>
      <c r="B3" s="94" t="inlineStr">
        <is>
          <t>Feb</t>
        </is>
      </c>
      <c r="C3" s="94" t="inlineStr">
        <is>
          <t>January</t>
        </is>
      </c>
      <c r="D3" s="94" t="inlineStr">
        <is>
          <t>Fixed bills</t>
        </is>
      </c>
      <c r="E3" s="94" t="inlineStr">
        <is>
          <t>Snowball</t>
        </is>
      </c>
      <c r="F3" s="94" t="inlineStr">
        <is>
          <t>€</t>
        </is>
      </c>
      <c r="G3" s="94">
        <f>IFERROR(INDEX($V$2:$V$25,MATCH(2,$W$2:$W$25,0)),"")</f>
        <v/>
      </c>
      <c r="V3" s="94">
        <f>IF('Savings Goals'!$B$7="","",'Savings Goals'!$B$7&amp;"")</f>
        <v/>
      </c>
      <c r="W3" s="94">
        <f>IF(V3="","",COUNTIF($V$2:V3,"?*"))</f>
        <v/>
      </c>
    </row>
    <row r="4">
      <c r="A4" s="94" t="inlineStr">
        <is>
          <t>March</t>
        </is>
      </c>
      <c r="B4" s="94" t="inlineStr">
        <is>
          <t>Mar</t>
        </is>
      </c>
      <c r="C4" s="94" t="inlineStr">
        <is>
          <t>February</t>
        </is>
      </c>
      <c r="D4" s="94" t="inlineStr">
        <is>
          <t>Variable expenses</t>
        </is>
      </c>
      <c r="F4" s="94" t="inlineStr">
        <is>
          <t>£</t>
        </is>
      </c>
      <c r="G4" s="94">
        <f>IFERROR(INDEX($V$2:$V$25,MATCH(3,$W$2:$W$25,0)),"")</f>
        <v/>
      </c>
      <c r="V4" s="94">
        <f>IF('Savings Goals'!$B$8="","",'Savings Goals'!$B$8&amp;"")</f>
        <v/>
      </c>
      <c r="W4" s="94">
        <f>IF(V4="","",COUNTIF($V$2:V4,"?*"))</f>
        <v/>
      </c>
    </row>
    <row r="5">
      <c r="A5" s="94" t="inlineStr">
        <is>
          <t>April</t>
        </is>
      </c>
      <c r="B5" s="94" t="inlineStr">
        <is>
          <t>Apr</t>
        </is>
      </c>
      <c r="C5" s="94" t="inlineStr">
        <is>
          <t>March</t>
        </is>
      </c>
      <c r="D5" s="94" t="inlineStr">
        <is>
          <t>Savings &amp; debt</t>
        </is>
      </c>
      <c r="F5" s="94" t="inlineStr">
        <is>
          <t>CA$</t>
        </is>
      </c>
      <c r="G5" s="94">
        <f>IFERROR(INDEX($V$2:$V$25,MATCH(4,$W$2:$W$25,0)),"")</f>
        <v/>
      </c>
      <c r="V5" s="94">
        <f>IF('Savings Goals'!$B$9="","",'Savings Goals'!$B$9&amp;"")</f>
        <v/>
      </c>
      <c r="W5" s="94">
        <f>IF(V5="","",COUNTIF($V$2:V5,"?*"))</f>
        <v/>
      </c>
    </row>
    <row r="6">
      <c r="A6" s="94" t="inlineStr">
        <is>
          <t>May</t>
        </is>
      </c>
      <c r="B6" s="94" t="inlineStr">
        <is>
          <t>May</t>
        </is>
      </c>
      <c r="C6" s="94" t="inlineStr">
        <is>
          <t>April</t>
        </is>
      </c>
      <c r="F6" s="94" t="inlineStr">
        <is>
          <t>A$</t>
        </is>
      </c>
      <c r="G6" s="94">
        <f>IFERROR(INDEX($V$2:$V$25,MATCH(5,$W$2:$W$25,0)),"")</f>
        <v/>
      </c>
      <c r="V6" s="94">
        <f>IF('Savings Goals'!$B$10="","",'Savings Goals'!$B$10&amp;"")</f>
        <v/>
      </c>
      <c r="W6" s="94">
        <f>IF(V6="","",COUNTIF($V$2:V6,"?*"))</f>
        <v/>
      </c>
    </row>
    <row r="7">
      <c r="A7" s="94" t="inlineStr">
        <is>
          <t>June</t>
        </is>
      </c>
      <c r="B7" s="94" t="inlineStr">
        <is>
          <t>Jun</t>
        </is>
      </c>
      <c r="C7" s="94" t="inlineStr">
        <is>
          <t>May</t>
        </is>
      </c>
      <c r="F7" s="94" t="inlineStr">
        <is>
          <t>NZ$</t>
        </is>
      </c>
      <c r="G7" s="94">
        <f>IFERROR(INDEX($V$2:$V$25,MATCH(6,$W$2:$W$25,0)),"")</f>
        <v/>
      </c>
      <c r="V7" s="94">
        <f>IF('Savings Goals'!$B$11="","",'Savings Goals'!$B$11&amp;"")</f>
        <v/>
      </c>
      <c r="W7" s="94">
        <f>IF(V7="","",COUNTIF($V$2:V7,"?*"))</f>
        <v/>
      </c>
    </row>
    <row r="8">
      <c r="A8" s="94" t="inlineStr">
        <is>
          <t>July</t>
        </is>
      </c>
      <c r="B8" s="94" t="inlineStr">
        <is>
          <t>Jul</t>
        </is>
      </c>
      <c r="C8" s="94" t="inlineStr">
        <is>
          <t>June</t>
        </is>
      </c>
      <c r="F8" s="94" t="inlineStr">
        <is>
          <t>CHF</t>
        </is>
      </c>
      <c r="G8" s="94">
        <f>IFERROR(INDEX($V$2:$V$25,MATCH(7,$W$2:$W$25,0)),"")</f>
        <v/>
      </c>
      <c r="V8" s="94">
        <f>IF('Savings Goals'!$B$12="","",'Savings Goals'!$B$12&amp;"")</f>
        <v/>
      </c>
      <c r="W8" s="94">
        <f>IF(V8="","",COUNTIF($V$2:V8,"?*"))</f>
        <v/>
      </c>
    </row>
    <row r="9">
      <c r="A9" s="94" t="inlineStr">
        <is>
          <t>August</t>
        </is>
      </c>
      <c r="B9" s="94" t="inlineStr">
        <is>
          <t>Aug</t>
        </is>
      </c>
      <c r="C9" s="94" t="inlineStr">
        <is>
          <t>July</t>
        </is>
      </c>
      <c r="F9" s="94" t="inlineStr">
        <is>
          <t>kr</t>
        </is>
      </c>
      <c r="G9" s="94">
        <f>IFERROR(INDEX($V$2:$V$25,MATCH(8,$W$2:$W$25,0)),"")</f>
        <v/>
      </c>
      <c r="V9" s="94">
        <f>IF('Savings Goals'!$B$13="","",'Savings Goals'!$B$13&amp;"")</f>
        <v/>
      </c>
      <c r="W9" s="94">
        <f>IF(V9="","",COUNTIF($V$2:V9,"?*"))</f>
        <v/>
      </c>
    </row>
    <row r="10">
      <c r="A10" s="94" t="inlineStr">
        <is>
          <t>September</t>
        </is>
      </c>
      <c r="B10" s="94" t="inlineStr">
        <is>
          <t>Sep</t>
        </is>
      </c>
      <c r="C10" s="94" t="inlineStr">
        <is>
          <t>August</t>
        </is>
      </c>
      <c r="F10" s="94" t="inlineStr">
        <is>
          <t>zł</t>
        </is>
      </c>
      <c r="G10" s="94">
        <f>IFERROR(INDEX($V$2:$V$25,MATCH(9,$W$2:$W$25,0)),"")</f>
        <v/>
      </c>
      <c r="V10" s="94">
        <f>IF('Savings Goals'!$B$14="","",'Savings Goals'!$B$14&amp;"")</f>
        <v/>
      </c>
      <c r="W10" s="94">
        <f>IF(V10="","",COUNTIF($V$2:V10,"?*"))</f>
        <v/>
      </c>
    </row>
    <row r="11">
      <c r="A11" s="94" t="inlineStr">
        <is>
          <t>October</t>
        </is>
      </c>
      <c r="B11" s="94" t="inlineStr">
        <is>
          <t>Oct</t>
        </is>
      </c>
      <c r="C11" s="94" t="inlineStr">
        <is>
          <t>September</t>
        </is>
      </c>
      <c r="F11" s="94" t="inlineStr">
        <is>
          <t>R</t>
        </is>
      </c>
      <c r="G11" s="94">
        <f>IFERROR(INDEX($V$2:$V$25,MATCH(10,$W$2:$W$25,0)),"")</f>
        <v/>
      </c>
      <c r="V11" s="94">
        <f>IF('Savings Goals'!$B$15="","",'Savings Goals'!$B$15&amp;"")</f>
        <v/>
      </c>
      <c r="W11" s="94">
        <f>IF(V11="","",COUNTIF($V$2:V11,"?*"))</f>
        <v/>
      </c>
    </row>
    <row r="12">
      <c r="A12" s="94" t="inlineStr">
        <is>
          <t>November</t>
        </is>
      </c>
      <c r="B12" s="94" t="inlineStr">
        <is>
          <t>Nov</t>
        </is>
      </c>
      <c r="C12" s="94" t="inlineStr">
        <is>
          <t>October</t>
        </is>
      </c>
      <c r="F12" s="94" t="inlineStr">
        <is>
          <t>₹</t>
        </is>
      </c>
      <c r="G12" s="94">
        <f>IFERROR(INDEX($V$2:$V$25,MATCH(11,$W$2:$W$25,0)),"")</f>
        <v/>
      </c>
      <c r="V12" s="94">
        <f>IF('Savings Goals'!$B$16="","",'Savings Goals'!$B$16&amp;"")</f>
        <v/>
      </c>
      <c r="W12" s="94">
        <f>IF(V12="","",COUNTIF($V$2:V12,"?*"))</f>
        <v/>
      </c>
    </row>
    <row r="13">
      <c r="A13" s="94" t="inlineStr">
        <is>
          <t>December</t>
        </is>
      </c>
      <c r="B13" s="94" t="inlineStr">
        <is>
          <t>Dec</t>
        </is>
      </c>
      <c r="C13" s="94" t="inlineStr">
        <is>
          <t>November</t>
        </is>
      </c>
      <c r="F13" s="94" t="inlineStr">
        <is>
          <t>¥</t>
        </is>
      </c>
      <c r="G13" s="94">
        <f>IFERROR(INDEX($V$2:$V$25,MATCH(12,$W$2:$W$25,0)),"")</f>
        <v/>
      </c>
      <c r="V13" s="94">
        <f>IF('Savings Goals'!$B$17="","",'Savings Goals'!$B$17&amp;"")</f>
        <v/>
      </c>
      <c r="W13" s="94">
        <f>IF(V13="","",COUNTIF($V$2:V13,"?*"))</f>
        <v/>
      </c>
    </row>
    <row r="14">
      <c r="C14" s="94" t="inlineStr">
        <is>
          <t>December</t>
        </is>
      </c>
      <c r="G14" s="94">
        <f>IFERROR(INDEX($V$2:$V$25,MATCH(13,$W$2:$W$25,0)),"")</f>
        <v/>
      </c>
      <c r="V14" s="94">
        <f>IF('Sinking Funds'!$B$6="","",'Sinking Funds'!$B$6&amp;"")</f>
        <v/>
      </c>
      <c r="W14" s="94">
        <f>IF(V14="","",COUNTIF($V$2:V14,"?*"))</f>
        <v/>
      </c>
    </row>
    <row r="15">
      <c r="G15" s="94">
        <f>IFERROR(INDEX($V$2:$V$25,MATCH(14,$W$2:$W$25,0)),"")</f>
        <v/>
      </c>
      <c r="V15" s="94">
        <f>IF('Sinking Funds'!$B$7="","",'Sinking Funds'!$B$7&amp;"")</f>
        <v/>
      </c>
      <c r="W15" s="94">
        <f>IF(V15="","",COUNTIF($V$2:V15,"?*"))</f>
        <v/>
      </c>
    </row>
    <row r="16">
      <c r="G16" s="94">
        <f>IFERROR(INDEX($V$2:$V$25,MATCH(15,$W$2:$W$25,0)),"")</f>
        <v/>
      </c>
      <c r="V16" s="94">
        <f>IF('Sinking Funds'!$B$8="","",'Sinking Funds'!$B$8&amp;"")</f>
        <v/>
      </c>
      <c r="W16" s="94">
        <f>IF(V16="","",COUNTIF($V$2:V16,"?*"))</f>
        <v/>
      </c>
    </row>
    <row r="17">
      <c r="G17" s="94">
        <f>IFERROR(INDEX($V$2:$V$25,MATCH(16,$W$2:$W$25,0)),"")</f>
        <v/>
      </c>
      <c r="V17" s="94">
        <f>IF('Sinking Funds'!$B$9="","",'Sinking Funds'!$B$9&amp;"")</f>
        <v/>
      </c>
      <c r="W17" s="94">
        <f>IF(V17="","",COUNTIF($V$2:V17,"?*"))</f>
        <v/>
      </c>
    </row>
    <row r="18">
      <c r="G18" s="94">
        <f>IFERROR(INDEX($V$2:$V$25,MATCH(17,$W$2:$W$25,0)),"")</f>
        <v/>
      </c>
      <c r="V18" s="94">
        <f>IF('Sinking Funds'!$B$10="","",'Sinking Funds'!$B$10&amp;"")</f>
        <v/>
      </c>
      <c r="W18" s="94">
        <f>IF(V18="","",COUNTIF($V$2:V18,"?*"))</f>
        <v/>
      </c>
    </row>
    <row r="19">
      <c r="G19" s="94">
        <f>IFERROR(INDEX($V$2:$V$25,MATCH(18,$W$2:$W$25,0)),"")</f>
        <v/>
      </c>
      <c r="V19" s="94">
        <f>IF('Sinking Funds'!$B$11="","",'Sinking Funds'!$B$11&amp;"")</f>
        <v/>
      </c>
      <c r="W19" s="94">
        <f>IF(V19="","",COUNTIF($V$2:V19,"?*"))</f>
        <v/>
      </c>
    </row>
    <row r="20">
      <c r="G20" s="94">
        <f>IFERROR(INDEX($V$2:$V$25,MATCH(19,$W$2:$W$25,0)),"")</f>
        <v/>
      </c>
      <c r="V20" s="94">
        <f>IF('Sinking Funds'!$B$12="","",'Sinking Funds'!$B$12&amp;"")</f>
        <v/>
      </c>
      <c r="W20" s="94">
        <f>IF(V20="","",COUNTIF($V$2:V20,"?*"))</f>
        <v/>
      </c>
    </row>
    <row r="21">
      <c r="G21" s="94">
        <f>IFERROR(INDEX($V$2:$V$25,MATCH(20,$W$2:$W$25,0)),"")</f>
        <v/>
      </c>
      <c r="V21" s="94">
        <f>IF('Sinking Funds'!$B$13="","",'Sinking Funds'!$B$13&amp;"")</f>
        <v/>
      </c>
      <c r="W21" s="94">
        <f>IF(V21="","",COUNTIF($V$2:V21,"?*"))</f>
        <v/>
      </c>
    </row>
    <row r="22">
      <c r="G22" s="94">
        <f>IFERROR(INDEX($V$2:$V$25,MATCH(21,$W$2:$W$25,0)),"")</f>
        <v/>
      </c>
      <c r="V22" s="94">
        <f>IF('Sinking Funds'!$B$14="","",'Sinking Funds'!$B$14&amp;"")</f>
        <v/>
      </c>
      <c r="W22" s="94">
        <f>IF(V22="","",COUNTIF($V$2:V22,"?*"))</f>
        <v/>
      </c>
    </row>
    <row r="23">
      <c r="G23" s="94">
        <f>IFERROR(INDEX($V$2:$V$25,MATCH(22,$W$2:$W$25,0)),"")</f>
        <v/>
      </c>
      <c r="V23" s="94">
        <f>IF('Sinking Funds'!$B$15="","",'Sinking Funds'!$B$15&amp;"")</f>
        <v/>
      </c>
      <c r="W23" s="94">
        <f>IF(V23="","",COUNTIF($V$2:V23,"?*"))</f>
        <v/>
      </c>
    </row>
    <row r="24">
      <c r="G24" s="94">
        <f>IFERROR(INDEX($V$2:$V$25,MATCH(23,$W$2:$W$25,0)),"")</f>
        <v/>
      </c>
      <c r="V24" s="94">
        <f>IF('Sinking Funds'!$B$16="","",'Sinking Funds'!$B$16&amp;"")</f>
        <v/>
      </c>
      <c r="W24" s="94">
        <f>IF(V24="","",COUNTIF($V$2:V24,"?*"))</f>
        <v/>
      </c>
    </row>
    <row r="25">
      <c r="G25" s="94">
        <f>IFERROR(INDEX($V$2:$V$25,MATCH(24,$W$2:$W$25,0)),"")</f>
        <v/>
      </c>
      <c r="V25" s="94">
        <f>IF('Sinking Funds'!$B$17="","",'Sinking Funds'!$B$17&amp;"")</f>
        <v/>
      </c>
      <c r="W25" s="94">
        <f>IF(V25="","",COUNTIF($V$2:V25,"?*"))</f>
        <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NettoChiaro</dc:creator>
  <dc:title xmlns:dc="http://purl.org/dc/elements/1.1/">2026 Budget Planner (example)</dc:title>
  <dc:subject xmlns:dc="http://purl.org/dc/elements/1.1/">Budget planner: transactions, monthly budget, summary, dashboard, savings goals, sinking funds, debt payoff</dc:subject>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NettoChiaro</cp:lastModifiedBy>
</cp:coreProperties>
</file>