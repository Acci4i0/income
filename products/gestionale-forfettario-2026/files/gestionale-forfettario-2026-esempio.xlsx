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truzioni" sheetId="1" state="visible" r:id="rId1"/>
    <sheet xmlns:r="http://schemas.openxmlformats.org/officeDocument/2006/relationships" name="Impostazioni" sheetId="2" state="visible" r:id="rId2"/>
    <sheet xmlns:r="http://schemas.openxmlformats.org/officeDocument/2006/relationships" name="Parametri 2026" sheetId="3" state="visible" r:id="rId3"/>
    <sheet xmlns:r="http://schemas.openxmlformats.org/officeDocument/2006/relationships" name="Fatture" sheetId="4" state="visible" r:id="rId4"/>
    <sheet xmlns:r="http://schemas.openxmlformats.org/officeDocument/2006/relationships" name="Spese" sheetId="5" state="visible" r:id="rId5"/>
    <sheet xmlns:r="http://schemas.openxmlformats.org/officeDocument/2006/relationships" name="Riepilogo mensile" sheetId="6" state="visible" r:id="rId6"/>
    <sheet xmlns:r="http://schemas.openxmlformats.org/officeDocument/2006/relationships" name="Dashboard" sheetId="7" state="visible" r:id="rId7"/>
    <sheet xmlns:r="http://schemas.openxmlformats.org/officeDocument/2006/relationships" name="Scadenze" sheetId="8" state="visible" r:id="rId8"/>
  </sheets>
  <definedNames>
    <definedName name="_xlnm._FilterDatabase" localSheetId="3" hidden="1">'Fatture'!$A$4:$O$304</definedName>
    <definedName name="_xlnm.Print_Titles" localSheetId="3">'Fatture'!$4:$4</definedName>
    <definedName name="_xlnm.Print_Area" localSheetId="3">'Fatture'!$A$1:$O$304</definedName>
    <definedName name="_xlnm._FilterDatabase" localSheetId="4" hidden="1">'Spese'!$A$4:$E$204</definedName>
    <definedName name="_xlnm.Print_Titles" localSheetId="4">'Spese'!$4:$4</definedName>
    <definedName name="_xlnm.Print_Area" localSheetId="4">'Spese'!$A$1:$E$204</definedName>
    <definedName name="_xlnm.Print_Area" localSheetId="5">'Riepilogo mensile'!$A$1:$N$23</definedName>
    <definedName name="_xlnm.Print_Area" localSheetId="6">'Dashboard'!$A$1:$M$58</definedName>
    <definedName name="_xlnm.Print_Area" localSheetId="7">'Scadenze'!$A$1:$H$33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 &quot;€&quot;"/>
    <numFmt numFmtId="165" formatCode="#,##0.00 &quot;€&quot;"/>
    <numFmt numFmtId="166" formatCode="dd/mm/yyyy"/>
    <numFmt numFmtId="167" formatCode="0.0%"/>
    <numFmt numFmtId="168" formatCode="yyyy-mm-dd"/>
  </numFmts>
  <fonts count="18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0F766E"/>
      <sz val="16"/>
    </font>
    <font>
      <name val="Arial"/>
      <color rgb="006B7280"/>
      <sz val="10"/>
    </font>
    <font>
      <name val="Arial"/>
      <b val="1"/>
      <color rgb="00FFFFFF"/>
      <sz val="10"/>
    </font>
    <font>
      <name val="Arial"/>
      <b val="1"/>
      <color rgb="00134E4A"/>
      <sz val="11"/>
    </font>
    <font>
      <name val="Arial"/>
      <color rgb="001F2937"/>
      <sz val="10"/>
    </font>
    <font>
      <name val="Arial"/>
      <b val="1"/>
      <color rgb="001F2937"/>
      <sz val="10"/>
    </font>
    <font>
      <name val="Arial"/>
      <color rgb="006B7280"/>
      <sz val="9"/>
    </font>
    <font>
      <name val="Arial"/>
      <b val="1"/>
      <color rgb="006B7280"/>
      <sz val="9"/>
    </font>
    <font>
      <name val="Arial"/>
      <b val="1"/>
      <color rgb="000F766E"/>
      <sz val="10"/>
    </font>
    <font>
      <name val="Arial"/>
      <b val="1"/>
      <color rgb="00134E4A"/>
      <sz val="10"/>
    </font>
    <font>
      <name val="Arial"/>
      <b val="1"/>
      <color rgb="000F766E"/>
      <sz val="18"/>
    </font>
    <font>
      <name val="Arial"/>
      <b val="1"/>
      <color rgb="001F2937"/>
      <sz val="22"/>
    </font>
    <font>
      <name val="Arial"/>
      <color rgb="000F766E"/>
      <sz val="11"/>
    </font>
    <font>
      <name val="Arial"/>
      <color rgb="001F2937"/>
      <sz val="9"/>
    </font>
    <font>
      <name val="Arial"/>
      <b val="1"/>
      <color rgb="00166534"/>
      <sz val="10"/>
    </font>
    <font>
      <name val="Arial"/>
      <b val="1"/>
      <color rgb="00134E4A"/>
      <sz val="12"/>
    </font>
  </fonts>
  <fills count="9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CCFBF1"/>
        <bgColor rgb="00CCFBF1"/>
      </patternFill>
    </fill>
    <fill>
      <patternFill patternType="solid">
        <fgColor rgb="00FEF9C3"/>
        <bgColor rgb="00FEF9C3"/>
      </patternFill>
    </fill>
    <fill>
      <patternFill patternType="solid">
        <fgColor rgb="00F0FDFA"/>
        <bgColor rgb="00F0FDFA"/>
      </patternFill>
    </fill>
    <fill>
      <patternFill patternType="solid">
        <fgColor rgb="00F9FAFB"/>
        <bgColor rgb="00F9FAFB"/>
      </patternFill>
    </fill>
    <fill>
      <patternFill patternType="solid">
        <fgColor rgb="00134E4A"/>
        <bgColor rgb="00134E4A"/>
      </patternFill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E5C04A"/>
      </left>
      <right style="thin">
        <color rgb="00E5C04A"/>
      </right>
      <top style="thin">
        <color rgb="00E5C04A"/>
      </top>
      <bottom style="thin">
        <color rgb="00E5C04A"/>
      </bottom>
    </border>
    <border>
      <bottom style="thin">
        <color rgb="00D1D5DB"/>
      </bottom>
    </border>
  </borders>
  <cellStyleXfs count="1">
    <xf numFmtId="0" fontId="1" fillId="0" borderId="0"/>
  </cellStyleXfs>
  <cellXfs count="88">
    <xf numFmtId="0" fontId="0" fillId="0" borderId="0" pivotButton="0" quotePrefix="0" xfId="0"/>
    <xf numFmtId="0" fontId="12" fillId="0" borderId="0" applyAlignment="1" pivotButton="0" quotePrefix="0" xfId="0">
      <alignment vertical="center"/>
    </xf>
    <xf numFmtId="0" fontId="3" fillId="0" borderId="0" pivotButton="0" quotePrefix="0" xfId="0"/>
    <xf numFmtId="0" fontId="17" fillId="3" borderId="0" applyAlignment="1" pivotButton="0" quotePrefix="0" xfId="0">
      <alignment horizontal="left" vertical="center" wrapText="1"/>
    </xf>
    <xf numFmtId="0" fontId="7" fillId="0" borderId="3" applyAlignment="1" pivotButton="0" quotePrefix="0" xfId="0">
      <alignment vertical="center" wrapText="1"/>
    </xf>
    <xf numFmtId="0" fontId="6" fillId="0" borderId="3" applyAlignment="1" pivotButton="0" quotePrefix="0" xfId="0">
      <alignment vertical="center" wrapText="1"/>
    </xf>
    <xf numFmtId="0" fontId="7" fillId="4" borderId="2" applyAlignment="1" pivotButton="0" quotePrefix="0" xfId="0">
      <alignment vertical="center" wrapText="1"/>
    </xf>
    <xf numFmtId="0" fontId="7" fillId="5" borderId="3" applyAlignment="1" pivotButton="0" quotePrefix="0" xfId="0">
      <alignment vertical="center" wrapText="1"/>
    </xf>
    <xf numFmtId="0" fontId="4" fillId="7" borderId="3" applyAlignment="1" pivotButton="0" quotePrefix="0" xfId="0">
      <alignment vertical="center" wrapText="1"/>
    </xf>
    <xf numFmtId="0" fontId="7" fillId="8" borderId="3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4" borderId="2" applyAlignment="1" applyProtection="1" pivotButton="0" quotePrefix="0" xfId="0">
      <alignment horizontal="left" vertical="center" wrapText="1"/>
      <protection locked="0" hidden="0"/>
    </xf>
    <xf numFmtId="0" fontId="8" fillId="0" borderId="1" applyAlignment="1" pivotButton="0" quotePrefix="0" xfId="0">
      <alignment vertical="center" wrapText="1"/>
    </xf>
    <xf numFmtId="10" fontId="6" fillId="4" borderId="2" applyAlignment="1" applyProtection="1" pivotButton="0" quotePrefix="0" xfId="0">
      <alignment horizontal="left" vertical="center" wrapText="1"/>
      <protection locked="0" hidden="0"/>
    </xf>
    <xf numFmtId="165" fontId="6" fillId="4" borderId="2" applyAlignment="1" applyProtection="1" pivotButton="0" quotePrefix="0" xfId="0">
      <alignment horizontal="left" vertical="center" wrapText="1"/>
      <protection locked="0" hidden="0"/>
    </xf>
    <xf numFmtId="0" fontId="5" fillId="3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9" fontId="7" fillId="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1" fontId="7" fillId="5" borderId="1" applyAlignment="1" pivotButton="0" quotePrefix="0" xfId="0">
      <alignment horizontal="left" vertical="center" wrapText="1"/>
    </xf>
    <xf numFmtId="1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164" fontId="7" fillId="5" borderId="1" applyAlignment="1" pivotButton="0" quotePrefix="0" xfId="0">
      <alignment horizontal="left" vertical="center" wrapText="1"/>
    </xf>
    <xf numFmtId="165" fontId="7" fillId="5" borderId="1" applyAlignment="1" pivotButton="0" quotePrefix="0" xfId="0">
      <alignment horizontal="left" vertical="center" wrapText="1"/>
    </xf>
    <xf numFmtId="1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9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0" fontId="7" fillId="0" borderId="1" applyAlignment="1" pivotButton="0" quotePrefix="0" xfId="0">
      <alignment horizontal="right" vertical="center"/>
    </xf>
    <xf numFmtId="0" fontId="8" fillId="0" borderId="0" applyAlignment="1" pivotButton="0" quotePrefix="0" xfId="0">
      <alignment vertical="top" wrapText="1"/>
    </xf>
    <xf numFmtId="0" fontId="6" fillId="0" borderId="1" applyAlignment="1" pivotButton="0" quotePrefix="0" xfId="0">
      <alignment horizontal="right" vertical="center"/>
    </xf>
    <xf numFmtId="0" fontId="6" fillId="0" borderId="1" pivotButton="0" quotePrefix="0" xfId="0"/>
    <xf numFmtId="0" fontId="9" fillId="0" borderId="0" applyAlignment="1" pivotButton="0" quotePrefix="0" xfId="0">
      <alignment horizontal="right" vertical="center"/>
    </xf>
    <xf numFmtId="165" fontId="10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6" fillId="4" borderId="2" applyProtection="1" pivotButton="0" quotePrefix="0" xfId="0">
      <protection locked="0" hidden="0"/>
    </xf>
    <xf numFmtId="166" fontId="6" fillId="4" borderId="2" applyProtection="1" pivotButton="0" quotePrefix="0" xfId="0">
      <protection locked="0" hidden="0"/>
    </xf>
    <xf numFmtId="165" fontId="6" fillId="4" borderId="2" applyProtection="1" pivotButton="0" quotePrefix="0" xfId="0">
      <protection locked="0" hidden="0"/>
    </xf>
    <xf numFmtId="0" fontId="6" fillId="4" borderId="2" applyAlignment="1" applyProtection="1" pivotButton="0" quotePrefix="0" xfId="0">
      <alignment horizontal="center"/>
      <protection locked="0" hidden="0"/>
    </xf>
    <xf numFmtId="165" fontId="6" fillId="0" borderId="1" pivotButton="0" quotePrefix="0" xfId="0"/>
    <xf numFmtId="165" fontId="7" fillId="0" borderId="1" pivotButton="0" quotePrefix="0" xfId="0"/>
    <xf numFmtId="0" fontId="6" fillId="0" borderId="1" applyAlignment="1" pivotButton="0" quotePrefix="0" xfId="0">
      <alignment horizontal="center"/>
    </xf>
    <xf numFmtId="0" fontId="7" fillId="0" borderId="1" pivotButton="0" quotePrefix="0" xfId="0"/>
    <xf numFmtId="1" fontId="6" fillId="0" borderId="1" pivotButton="0" quotePrefix="0" xfId="0"/>
    <xf numFmtId="165" fontId="6" fillId="6" borderId="1" pivotButton="0" quotePrefix="0" xfId="0"/>
    <xf numFmtId="167" fontId="6" fillId="0" borderId="1" pivotButton="0" quotePrefix="0" xfId="0"/>
    <xf numFmtId="165" fontId="7" fillId="5" borderId="1" pivotButton="0" quotePrefix="0" xfId="0"/>
    <xf numFmtId="0" fontId="4" fillId="7" borderId="1" pivotButton="0" quotePrefix="0" xfId="0"/>
    <xf numFmtId="165" fontId="4" fillId="7" borderId="1" pivotButton="0" quotePrefix="0" xfId="0"/>
    <xf numFmtId="1" fontId="4" fillId="7" borderId="1" pivotButton="0" quotePrefix="0" xfId="0"/>
    <xf numFmtId="167" fontId="4" fillId="7" borderId="1" pivotButton="0" quotePrefix="0" xfId="0"/>
    <xf numFmtId="0" fontId="11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/>
    </xf>
    <xf numFmtId="0" fontId="9" fillId="0" borderId="0" pivotButton="0" quotePrefix="0" xfId="0"/>
    <xf numFmtId="0" fontId="11" fillId="5" borderId="0" applyAlignment="1" pivotButton="0" quotePrefix="0" xfId="0">
      <alignment horizontal="left" vertical="bottom" indent="1"/>
    </xf>
    <xf numFmtId="0" fontId="0" fillId="5" borderId="0" pivotButton="0" quotePrefix="0" xfId="0"/>
    <xf numFmtId="0" fontId="9" fillId="0" borderId="1" applyAlignment="1" pivotButton="0" quotePrefix="0" xfId="0">
      <alignment horizontal="center" vertical="center" wrapText="1"/>
    </xf>
    <xf numFmtId="164" fontId="13" fillId="5" borderId="0" applyAlignment="1" pivotButton="0" quotePrefix="0" xfId="0">
      <alignment horizontal="left" vertical="center" indent="1"/>
    </xf>
    <xf numFmtId="9" fontId="13" fillId="5" borderId="0" applyAlignment="1" pivotButton="0" quotePrefix="0" xfId="0">
      <alignment horizontal="left" vertical="center" indent="1"/>
    </xf>
    <xf numFmtId="0" fontId="8" fillId="0" borderId="1" pivotButton="0" quotePrefix="0" xfId="0"/>
    <xf numFmtId="164" fontId="8" fillId="0" borderId="1" pivotButton="0" quotePrefix="0" xfId="0"/>
    <xf numFmtId="0" fontId="8" fillId="5" borderId="0" applyAlignment="1" pivotButton="0" quotePrefix="0" xfId="0">
      <alignment horizontal="left" vertical="top" indent="1"/>
    </xf>
    <xf numFmtId="0" fontId="7" fillId="0" borderId="0" applyAlignment="1" pivotButton="0" quotePrefix="0" xfId="0">
      <alignment vertical="center" wrapText="1" indent="1"/>
    </xf>
    <xf numFmtId="0" fontId="6" fillId="0" borderId="3" applyAlignment="1" pivotButton="0" quotePrefix="0" xfId="0">
      <alignment horizontal="left" vertical="center" wrapText="1"/>
    </xf>
    <xf numFmtId="0" fontId="0" fillId="0" borderId="3" pivotButton="0" quotePrefix="0" xfId="0"/>
    <xf numFmtId="165" fontId="7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9" fontId="7" fillId="0" borderId="0" applyAlignment="1" pivotButton="0" quotePrefix="0" xfId="0">
      <alignment horizontal="right" vertical="center"/>
    </xf>
    <xf numFmtId="9" fontId="7" fillId="0" borderId="3" applyAlignment="1" pivotButton="0" quotePrefix="0" xfId="0">
      <alignment horizontal="right" vertical="center"/>
    </xf>
    <xf numFmtId="0" fontId="14" fillId="0" borderId="0" applyAlignment="1" pivotButton="0" quotePrefix="0" xfId="0">
      <alignment vertical="center"/>
    </xf>
    <xf numFmtId="164" fontId="7" fillId="0" borderId="0" applyAlignment="1" pivotButton="0" quotePrefix="0" xfId="0">
      <alignment horizontal="right" vertical="center"/>
    </xf>
    <xf numFmtId="0" fontId="7" fillId="0" borderId="3" applyAlignment="1" pivotButton="0" quotePrefix="0" xfId="0">
      <alignment horizontal="left" vertical="center" wrapText="1"/>
    </xf>
    <xf numFmtId="165" fontId="11" fillId="0" borderId="3" applyAlignment="1" pivotButton="0" quotePrefix="0" xfId="0">
      <alignment horizontal="right" vertical="center"/>
    </xf>
    <xf numFmtId="1" fontId="7" fillId="0" borderId="3" applyAlignment="1" pivotButton="0" quotePrefix="0" xfId="0">
      <alignment horizontal="right" vertical="center"/>
    </xf>
    <xf numFmtId="167" fontId="7" fillId="0" borderId="3" applyAlignment="1" pivotButton="0" quotePrefix="0" xfId="0">
      <alignment horizontal="right" vertical="center"/>
    </xf>
    <xf numFmtId="0" fontId="16" fillId="0" borderId="0" applyAlignment="1" pivotButton="0" quotePrefix="0" xfId="0">
      <alignment vertical="top" wrapText="1" indent="1"/>
    </xf>
    <xf numFmtId="0" fontId="15" fillId="0" borderId="0" pivotButton="0" quotePrefix="0" xfId="0"/>
    <xf numFmtId="0" fontId="5" fillId="0" borderId="0" pivotButton="0" quotePrefix="0" xfId="0"/>
    <xf numFmtId="166" fontId="7" fillId="0" borderId="1" applyAlignment="1" pivotButton="0" quotePrefix="0" xfId="0">
      <alignment vertical="center"/>
    </xf>
    <xf numFmtId="0" fontId="15" fillId="0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horizontal="right" vertical="center" wrapText="1"/>
    </xf>
    <xf numFmtId="0" fontId="15" fillId="0" borderId="1" applyAlignment="1" pivotButton="0" quotePrefix="0" xfId="0">
      <alignment horizontal="center" vertical="center" wrapText="1"/>
    </xf>
    <xf numFmtId="0" fontId="0" fillId="4" borderId="2" applyAlignment="1" applyProtection="1" pivotButton="0" quotePrefix="0" xfId="0">
      <alignment horizontal="center" vertical="center" wrapText="1"/>
      <protection locked="0" hidden="0"/>
    </xf>
  </cellXfs>
  <cellStyles count="1">
    <cellStyle name="Normal" xfId="0" builtinId="0" hidden="0"/>
  </cellStyles>
  <dxfs count="8">
    <dxf>
      <font>
        <b val="1"/>
        <color rgb="0092400E"/>
      </font>
      <fill>
        <patternFill patternType="solid">
          <fgColor rgb="00FEF3C7"/>
          <bgColor rgb="00FEF3C7"/>
        </patternFill>
      </fill>
    </dxf>
    <dxf>
      <font>
        <color rgb="00166534"/>
      </font>
    </dxf>
    <dxf>
      <font>
        <i val="1"/>
        <color rgb="006B7280"/>
      </font>
    </dxf>
    <dxf>
      <font>
        <b val="1"/>
        <color rgb="00B91C1C"/>
      </font>
      <fill>
        <patternFill patternType="solid">
          <fgColor rgb="00FEE2E2"/>
          <bgColor rgb="00FEE2E2"/>
        </patternFill>
      </fill>
    </dxf>
    <dxf>
      <font>
        <b val="1"/>
        <color rgb="00166534"/>
      </font>
      <fill>
        <patternFill patternType="solid">
          <fgColor rgb="00DCFCE7"/>
          <bgColor rgb="00DCFCE7"/>
        </patternFill>
      </fill>
    </dxf>
    <dxf>
      <font>
        <b val="1"/>
        <color rgb="0092400E"/>
      </font>
    </dxf>
    <dxf>
      <font>
        <b val="1"/>
        <color rgb="00166534"/>
      </font>
    </dxf>
    <dxf>
      <font>
        <color rgb="009CA3A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Incassi del mese e quota da accantonare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'Dashboard'!P4</f>
            </strRef>
          </tx>
          <spPr>
            <a:solidFill xmlns:a="http://schemas.openxmlformats.org/drawingml/2006/main">
              <a:srgbClr val="0F766E"/>
            </a:solidFill>
            <a:ln xmlns:a="http://schemas.openxmlformats.org/drawingml/2006/main">
              <a:solidFill>
                <a:srgbClr val="0F766E"/>
              </a:solidFill>
              <a:prstDash val="solid"/>
            </a:ln>
          </spPr>
          <cat>
            <numRef>
              <f>'Dashboard'!$O$5:$O$16</f>
            </numRef>
          </cat>
          <val>
            <numRef>
              <f>'Dashboard'!$P$5:$P$16</f>
            </numRef>
          </val>
        </ser>
        <ser>
          <idx val="1"/>
          <order val="1"/>
          <tx>
            <strRef>
              <f>'Dashboard'!Q4</f>
            </strRef>
          </tx>
          <spPr>
            <a:solidFill xmlns:a="http://schemas.openxmlformats.org/drawingml/2006/main">
              <a:srgbClr val="F59E0B"/>
            </a:solidFill>
            <a:ln xmlns:a="http://schemas.openxmlformats.org/drawingml/2006/main">
              <a:solidFill>
                <a:srgbClr val="F59E0B"/>
              </a:solidFill>
              <a:prstDash val="solid"/>
            </a:ln>
          </spPr>
          <cat>
            <numRef>
              <f>'Dashboard'!$O$5:$O$16</f>
            </numRef>
          </cat>
          <val>
            <numRef>
              <f>'Dashboard'!$Q$5:$Q$16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5E7EB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Incassato da inizio anno e soglia di 85.000 €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'Dashboard'!R4</f>
            </strRef>
          </tx>
          <spPr>
            <a:ln xmlns:a="http://schemas.openxmlformats.org/drawingml/2006/main" w="32000">
              <a:solidFill>
                <a:srgbClr val="0F76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'Dashboard'!$O$5:$O$16</f>
            </numRef>
          </cat>
          <val>
            <numRef>
              <f>'Dashboard'!$R$5:$R$16</f>
            </numRef>
          </val>
          <smooth val="0"/>
        </ser>
        <ser>
          <idx val="1"/>
          <order val="1"/>
          <tx>
            <strRef>
              <f>'Dashboard'!S4</f>
            </strRef>
          </tx>
          <spPr>
            <a:ln xmlns:a="http://schemas.openxmlformats.org/drawingml/2006/main" w="19000">
              <a:solidFill>
                <a:srgbClr val="B91C1C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'Dashboard'!$O$5:$O$16</f>
            </numRef>
          </cat>
          <val>
            <numRef>
              <f>'Dashboard'!$S$5:$S$16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5E7EB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40</row>
      <rowOff>0</rowOff>
    </from>
    <ext cx="558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40</row>
      <rowOff>0</rowOff>
    </from>
    <ext cx="558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C48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2" customWidth="1" min="3" max="3"/>
  </cols>
  <sheetData>
    <row r="1" ht="36" customHeight="1">
      <c r="B1" s="1" t="inlineStr">
        <is>
          <t>Gestionale Partita IVA forfettaria 2026</t>
        </is>
      </c>
    </row>
    <row r="2">
      <c r="B2" s="2" t="inlineStr">
        <is>
          <t>NettoChiaro · parametri aggiornati al 06/10/2026 · Excel, Google Sheets e LibreOffice</t>
        </is>
      </c>
    </row>
    <row r="4" ht="22" customHeight="1">
      <c r="B4" s="3" t="inlineStr">
        <is>
          <t>Come si usa</t>
        </is>
      </c>
    </row>
    <row r="5" ht="21" customHeight="1">
      <c r="B5" s="4" t="inlineStr">
        <is>
          <t>1. Impostazioni</t>
        </is>
      </c>
      <c r="C5" s="5" t="inlineStr">
        <is>
          <t>Scegli attività (coefficiente), previdenza e aliquota dell'imposta.</t>
        </is>
      </c>
    </row>
    <row r="6" ht="51" customHeight="1">
      <c r="B6" s="4" t="inlineStr">
        <is>
          <t>2. Fatture</t>
        </is>
      </c>
      <c r="C6" s="5" t="inlineStr">
        <is>
          <t>Registra ogni fattura: numero, date, cliente, compenso. Rivalsa e bollo si calcolano da soli. Rivalsa INPS 4%: scegli Sì solo se la applichi (vuoto = No). Bollo al cliente: vuoto = Sì, scegli No se il bollo resta a tuo carico. Quando il cliente paga, scrivi la data di incasso.</t>
        </is>
      </c>
    </row>
    <row r="7" ht="21" customHeight="1">
      <c r="B7" s="4" t="inlineStr">
        <is>
          <t>3. Spese</t>
        </is>
      </c>
      <c r="C7" s="5" t="inlineStr">
        <is>
          <t>Facoltativo: registra i costi dell'attività per vedere il netto vero.</t>
        </is>
      </c>
    </row>
    <row r="8" ht="21" customHeight="1">
      <c r="B8" s="4" t="inlineStr">
        <is>
          <t>4. Dashboard</t>
        </is>
      </c>
      <c r="C8" s="5" t="inlineStr">
        <is>
          <t>Incassato, imposta, contributi, netto e avanzamento verso le soglie, con i grafici.</t>
        </is>
      </c>
    </row>
    <row r="9" ht="21" customHeight="1">
      <c r="B9" s="4" t="inlineStr">
        <is>
          <t>5. Riepilogo mensile</t>
        </is>
      </c>
      <c r="C9" s="5" t="inlineStr">
        <is>
          <t>Mese per mese: incassato, quota da accantonare, netto e percentuale delle soglie.</t>
        </is>
      </c>
    </row>
    <row r="10" ht="21" customHeight="1">
      <c r="B10" s="4" t="inlineStr">
        <is>
          <t>6. Scadenze</t>
        </is>
      </c>
      <c r="C10" s="5" t="inlineStr">
        <is>
          <t>Date degli F24 dell'anno con gli importi che il file può stimare. Segna "Fatto" quando paghi.</t>
        </is>
      </c>
    </row>
    <row r="12" ht="22" customHeight="1">
      <c r="B12" s="3" t="inlineStr">
        <is>
          <t>Legenda dei colori</t>
        </is>
      </c>
    </row>
    <row r="13" ht="21" customHeight="1">
      <c r="B13" s="6" t="inlineStr">
        <is>
          <t>Giallo</t>
        </is>
      </c>
      <c r="C13" s="5" t="inlineStr">
        <is>
          <t>Celle da compilare (le uniche modificabili).</t>
        </is>
      </c>
    </row>
    <row r="14" ht="21" customHeight="1">
      <c r="B14" s="7" t="inlineStr">
        <is>
          <t>Verde chiaro</t>
        </is>
      </c>
      <c r="C14" s="5" t="inlineStr">
        <is>
          <t>Risultati principali e valori calcolati da Impostazioni.</t>
        </is>
      </c>
    </row>
    <row r="15" ht="21" customHeight="1">
      <c r="B15" s="8" t="inlineStr">
        <is>
          <t>Verde scuro</t>
        </is>
      </c>
      <c r="C15" s="5" t="inlineStr">
        <is>
          <t>Intestazioni e totali.</t>
        </is>
      </c>
    </row>
    <row r="16" ht="21" customHeight="1">
      <c r="B16" s="9" t="inlineStr">
        <is>
          <t>Bianco</t>
        </is>
      </c>
      <c r="C16" s="5" t="inlineStr">
        <is>
          <t>Formule ed etichette: non modificarle.</t>
        </is>
      </c>
    </row>
    <row r="18" ht="22" customHeight="1">
      <c r="B18" s="3" t="inlineStr">
        <is>
          <t>Principio di cassa</t>
        </is>
      </c>
    </row>
    <row r="19" ht="51" customHeight="1">
      <c r="B19" s="4" t="inlineStr">
        <is>
          <t>Contano gli incassi</t>
        </is>
      </c>
      <c r="C19" s="5" t="inlineStr">
        <is>
          <t>Nel forfettario ricavi, tasse e soglie si calcolano su quello che incassi nell'anno, non su quello che fatturi. Una fattura di dicembre pagata a gennaio conta nell'anno nuovo. Il file usa sempre la data di incasso.</t>
        </is>
      </c>
    </row>
    <row r="20" ht="36" customHeight="1">
      <c r="B20" s="4" t="inlineStr">
        <is>
          <t>Ricavo che conta</t>
        </is>
      </c>
      <c r="C20" s="5" t="inlineStr">
        <is>
          <t>Compenso + rivalsa INPS + bollo addebitato al cliente (puoi escludere il bollo in Impostazioni).</t>
        </is>
      </c>
    </row>
    <row r="22" ht="22" customHeight="1">
      <c r="B22" s="3" t="inlineStr">
        <is>
          <t>Come calcola</t>
        </is>
      </c>
    </row>
    <row r="23" ht="21" customHeight="1">
      <c r="B23" s="4" t="inlineStr">
        <is>
          <t>Reddito</t>
        </is>
      </c>
      <c r="C23" s="5" t="inlineStr">
        <is>
          <t>Incassato × coefficiente di redditività del tuo gruppo ATECO.</t>
        </is>
      </c>
    </row>
    <row r="24" ht="36" customHeight="1">
      <c r="B24" s="4" t="inlineStr">
        <is>
          <t>Gestione Separata</t>
        </is>
      </c>
      <c r="C24" s="5" t="inlineStr">
        <is>
          <t>26,07% del reddito (24% se sei pensionato o iscritto ad altra previdenza), fino al massimale di 122.295 €.</t>
        </is>
      </c>
    </row>
    <row r="25" ht="51" customHeight="1">
      <c r="B25" s="4" t="inlineStr">
        <is>
          <t>Artigiani e commercianti</t>
        </is>
      </c>
      <c r="C25" s="5" t="inlineStr">
        <is>
          <t>Contributi fissi sul minimale, dovuti anche con reddito più basso, più l'aliquota sul reddito oltre il minimale (un punto in più oltre la soglia). La riduzione del 35% non tocca la quota maternità.</t>
        </is>
      </c>
    </row>
    <row r="26" ht="36" customHeight="1">
      <c r="B26" s="4" t="inlineStr">
        <is>
          <t>Imposta sostitutiva</t>
        </is>
      </c>
      <c r="C26" s="5" t="inlineStr">
        <is>
          <t>(Reddito − contributi) × 15% o 5%. Stima "a regime": si deducono i contributi calcolati sull'anno. In realtà si deducono quelli versati nell'anno: se li conosci, inseriscili in Impostazioni.</t>
        </is>
      </c>
    </row>
    <row r="27" ht="36" customHeight="1">
      <c r="B27" s="4" t="inlineStr">
        <is>
          <t>Bollo e rivalsa</t>
        </is>
      </c>
      <c r="C27" s="5" t="inlineStr">
        <is>
          <t>Bollo di 2,00 € sulle fatture oltre 77,47 €. Rivalsa 4% solo per la Gestione Separata, se scegli Sì.</t>
        </is>
      </c>
    </row>
    <row r="28" ht="36" customHeight="1">
      <c r="B28" s="4" t="inlineStr">
        <is>
          <t>Da accantonare</t>
        </is>
      </c>
      <c r="C28" s="5" t="inlineStr">
        <is>
          <t>Ogni mese il file stima quanto mettere da parte di quello che hai incassato. Somma dei 12 mesi = tasse e contributi dell'anno.</t>
        </is>
      </c>
    </row>
    <row r="30" ht="22" customHeight="1">
      <c r="B30" s="3" t="inlineStr">
        <is>
          <t>Soglie</t>
        </is>
      </c>
    </row>
    <row r="31" ht="36" customHeight="1">
      <c r="B31" s="4" t="inlineStr">
        <is>
          <t>85.000 €</t>
        </is>
      </c>
      <c r="C31" s="5" t="inlineStr">
        <is>
          <t>Oltre 85.000 € di ricavi resti forfettario quest'anno, ma dal prossimo passi al regime ordinario.</t>
        </is>
      </c>
    </row>
    <row r="32" ht="51" customHeight="1">
      <c r="B32" s="4" t="inlineStr">
        <is>
          <t>100.000 €</t>
        </is>
      </c>
      <c r="C32" s="5" t="inlineStr">
        <is>
          <t>Oltre 100.000 € esci dal forfettario già nell'anno: l'IVA si applica dall'operazione che fa superare la soglia e il reddito dell'intero anno si tassa con IRPEF e costi reali. La Dashboard mostra un avviso e i calcoli diventano solo indicativi.</t>
        </is>
      </c>
    </row>
    <row r="34" ht="22" customHeight="1">
      <c r="B34" s="3" t="inlineStr">
        <is>
          <t>Avvertenze</t>
        </is>
      </c>
    </row>
    <row r="35" ht="36" customHeight="1">
      <c r="B35" s="4" t="inlineStr">
        <is>
          <t>È una stima</t>
        </is>
      </c>
      <c r="C35" s="5" t="inlineStr">
        <is>
          <t>Il file aiuta a pianificare: non sostituisce il commercialista né la dichiarazione dei redditi. Controlla sempre gli importi prima di pagare.</t>
        </is>
      </c>
    </row>
    <row r="36" ht="36" customHeight="1">
      <c r="B36" s="4" t="inlineStr">
        <is>
          <t>Cosa non gestisce</t>
        </is>
      </c>
      <c r="C36" s="5" t="inlineStr">
        <is>
          <t>Minimi e contributo integrativo delle casse professionali, altre riduzioni INPS (es. pensionati oltre 65 anni), IVA, crediti d'imposta, redditi diversi dal forfettario.</t>
        </is>
      </c>
    </row>
    <row r="37" ht="51" customHeight="1">
      <c r="B37" s="4" t="inlineStr">
        <is>
          <t>Fatture pagate a rate</t>
        </is>
      </c>
      <c r="C37" s="5" t="inlineStr">
        <is>
          <t>Registra ogni pagamento su una riga con la sua data di incasso. Sulle righe dei pagamenti successivi al primo lascia vuota la data di emissione e scegli "No" in "Bollo al cliente": così il bollo e la fattura si contano una volta sola.</t>
        </is>
      </c>
    </row>
    <row r="38" ht="36" customHeight="1">
      <c r="B38" s="4" t="inlineStr">
        <is>
          <t>Requisiti</t>
        </is>
      </c>
      <c r="C38" s="5" t="inlineStr">
        <is>
          <t>Il file non verifica i requisiti per entrare o restare nel regime (es. redditi da lavoro dipendente, partecipazioni).</t>
        </is>
      </c>
    </row>
    <row r="40" ht="22" customHeight="1">
      <c r="B40" s="3" t="inlineStr">
        <is>
          <t>Uso pratico</t>
        </is>
      </c>
    </row>
    <row r="41" ht="36" customHeight="1">
      <c r="B41" s="4" t="inlineStr">
        <is>
          <t>Protezione</t>
        </is>
      </c>
      <c r="C41" s="5" t="inlineStr">
        <is>
          <t>I fogli sono protetti senza password, per non cancellare le formule per sbaglio. Per sbloccarli: Excel, Revisione &gt; Rimuovi protezione foglio; LibreOffice, Strumenti &gt; Proteggi foglio.</t>
        </is>
      </c>
    </row>
    <row r="42" ht="36" customHeight="1">
      <c r="B42" s="4" t="inlineStr">
        <is>
          <t>Excel</t>
        </is>
      </c>
      <c r="C42" s="5" t="inlineStr">
        <is>
          <t>Excel apre i file scaricati da internet in "Visualizzazione protetta", dove i calcoli non si aggiornano e le celle possono sembrare vuote: fai clic su "Abilita modifica".</t>
        </is>
      </c>
    </row>
    <row r="43" ht="21" customHeight="1">
      <c r="B43" s="4" t="inlineStr">
        <is>
          <t>Google Sheets</t>
        </is>
      </c>
      <c r="C43" s="5" t="inlineStr">
        <is>
          <t>Carica il file su Google Drive e aprilo con Fogli Google (File &gt; Salva come Fogli Google).</t>
        </is>
      </c>
    </row>
    <row r="44" ht="51" customHeight="1">
      <c r="B44" s="4" t="inlineStr">
        <is>
          <t>Date e importi</t>
        </is>
      </c>
      <c r="C44" s="5" t="inlineStr">
        <is>
          <t>Scrivi le date come gg/mm/aaaa (es. 15/03/2026) e gli importi come numeri, senza testo. Se incolli dati da un altro file, il riquadro Controlli della Dashboard segnala le celle da correggere.</t>
        </is>
      </c>
    </row>
    <row r="45" ht="21" customHeight="1">
      <c r="B45" s="4" t="inlineStr">
        <is>
          <t>Righe</t>
        </is>
      </c>
      <c r="C45" s="5" t="inlineStr">
        <is>
          <t>300 righe di fatture e 200 di spese. Per l'anno nuovo usa una copia vuota del file.</t>
        </is>
      </c>
    </row>
    <row r="46" ht="36" customHeight="1">
      <c r="B46" s="4" t="inlineStr">
        <is>
          <t>Aggiornamento</t>
        </is>
      </c>
      <c r="C46" s="5" t="inlineStr">
        <is>
          <t>Tutti i valori fiscali sono nel foglio Parametri 2026, con la fonte. Ogni anno esce la versione aggiornata.</t>
        </is>
      </c>
    </row>
    <row r="48">
      <c r="B48" s="10" t="inlineStr">
        <is>
          <t>Progettato da NettoChiaro con l'aiuto di strumenti di intelligenza artificiale; formule verificate con test. nettochiaro.com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0">
    <mergeCell ref="B30:C30"/>
    <mergeCell ref="B2:C2"/>
    <mergeCell ref="B48:C48"/>
    <mergeCell ref="B34:C34"/>
    <mergeCell ref="B22:C22"/>
    <mergeCell ref="B40:C40"/>
    <mergeCell ref="B18:C18"/>
    <mergeCell ref="B1:C1"/>
    <mergeCell ref="B4:C4"/>
    <mergeCell ref="B12:C12"/>
  </mergeCells>
  <printOptions horizontalCentered="1"/>
  <pageMargins left="0.4" right="0.4" top="0.5" bottom="0.5" header="0.5" footer="0.5"/>
  <pageSetup orientation="portrait" paperSize="9" fitToHeight="0" fitToWidth="1"/>
  <headerFooter>
    <oddHeader/>
    <oddFooter>&amp;C&amp;8 &amp;A · pagina &amp;P di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9"/>
  <sheetViews>
    <sheetView showGridLines="0" zoomScale="100" workbookViewId="0">
      <selection activeCell="A1" sqref="A1"/>
    </sheetView>
  </sheetViews>
  <sheetFormatPr baseColWidth="8" defaultRowHeight="15"/>
  <cols>
    <col width="46" customWidth="1" min="1" max="1"/>
    <col width="56" customWidth="1" min="2" max="2"/>
    <col width="70" customWidth="1" min="3" max="3"/>
  </cols>
  <sheetData>
    <row r="1" ht="30" customHeight="1">
      <c r="A1" s="11" t="inlineStr">
        <is>
          <t>Impostazioni</t>
        </is>
      </c>
    </row>
    <row r="2" ht="30" customHeight="1">
      <c r="A2" s="12" t="inlineStr">
        <is>
          <t>Compila le celle gialle. Tutto il resto del file si aggiorna da solo.</t>
        </is>
      </c>
    </row>
    <row r="4" ht="22" customHeight="1">
      <c r="A4" s="13" t="inlineStr">
        <is>
          <t>Voce</t>
        </is>
      </c>
      <c r="B4" s="13" t="inlineStr">
        <is>
          <t>La tua scelta</t>
        </is>
      </c>
      <c r="C4" s="13" t="inlineStr">
        <is>
          <t>Spiegazione</t>
        </is>
      </c>
    </row>
    <row r="5" ht="22" customHeight="1">
      <c r="A5" s="14" t="inlineStr">
        <is>
          <t>Nome o attività (facoltativo)</t>
        </is>
      </c>
      <c r="B5" s="15" t="inlineStr">
        <is>
          <t>Laura Conti, grafica freelance</t>
        </is>
      </c>
      <c r="C5" s="16" t="inlineStr">
        <is>
          <t>Compare in alto nella Dashboard.</t>
        </is>
      </c>
    </row>
    <row r="6" ht="32" customHeight="1">
      <c r="A6" s="14" t="inlineStr">
        <is>
          <t>Attività (gruppo di codici ATECO)</t>
        </is>
      </c>
      <c r="B6" s="15" t="inlineStr">
        <is>
          <t>Attività professionali, scientifiche, tecniche, sanitarie, istruzione, servizi finanziari e assicurativi</t>
        </is>
      </c>
      <c r="C6" s="16" t="inlineStr">
        <is>
          <t>Scegli il gruppo del tuo codice ATECO: determina il coefficiente di redditività. Elenco completo nel foglio Parametri 2026.</t>
        </is>
      </c>
    </row>
    <row r="7" ht="44" customHeight="1">
      <c r="A7" s="14" t="inlineStr">
        <is>
          <t>Previdenza</t>
        </is>
      </c>
      <c r="B7" s="15" t="inlineStr">
        <is>
          <t>Gestione Separata INPS (professionisti senza cassa)</t>
        </is>
      </c>
      <c r="C7" s="16" t="inlineStr">
        <is>
          <t>Gestione Separata se sei un professionista senza cassa. Artigiani o Commercianti se sei iscritto a una di queste gestioni INPS. Cassa professionale: inserisci l'aliquota nella riga sotto.</t>
        </is>
      </c>
    </row>
    <row r="8" ht="32" customHeight="1">
      <c r="A8" s="14" t="inlineStr">
        <is>
          <t>Aliquota della cassa professionale (solo se hai una cassa)</t>
        </is>
      </c>
      <c r="B8" s="17" t="n"/>
      <c r="C8" s="16" t="inlineStr">
        <is>
          <t>Aliquota del contributo soggettivo della tua cassa (es. 14,5%). Il foglio non calcola minimi e contributo integrativo della cassa.</t>
        </is>
      </c>
    </row>
    <row r="9" ht="32" customHeight="1">
      <c r="A9" s="14" t="inlineStr">
        <is>
          <t>Imposta sostitutiva</t>
        </is>
      </c>
      <c r="B9" s="15" t="inlineStr">
        <is>
          <t>15% (aliquota ordinaria)</t>
        </is>
      </c>
      <c r="C9" s="16" t="inlineStr">
        <is>
          <t>5% per i primi 5 anni di una nuova attività, se hai i requisiti di legge. Altrimenti 15%.</t>
        </is>
      </c>
    </row>
    <row r="10" ht="32" customHeight="1">
      <c r="A10" s="14" t="inlineStr">
        <is>
          <t>Riduzione contributiva del 35%</t>
        </is>
      </c>
      <c r="B10" s="15" t="inlineStr">
        <is>
          <t>No</t>
        </is>
      </c>
      <c r="C10" s="16" t="inlineStr">
        <is>
          <t>Solo artigiani e commercianti che l'hanno chiesta all'INPS. Non si applica alla quota maternità.</t>
        </is>
      </c>
    </row>
    <row r="11" ht="56" customHeight="1">
      <c r="A11" s="14" t="inlineStr">
        <is>
          <t>Il bollo addebitato al cliente conta nei ricavi</t>
        </is>
      </c>
      <c r="B11" s="15" t="inlineStr">
        <is>
          <t>Sì</t>
        </is>
      </c>
      <c r="C11" s="16" t="inlineStr">
        <is>
          <t>Sì (prudente): secondo l'Agenzia delle Entrate (risposta 428/2022) il bollo riaddebitato fa parte del compenso. Dopo il D.Lgs. 192/2024 alcune interpretazioni lo escludono: chiedi al tuo commercialista. Vale per tasse e soglie.</t>
        </is>
      </c>
    </row>
    <row r="12" ht="56" customHeight="1">
      <c r="A12" s="14" t="inlineStr">
        <is>
          <t>Contributi previdenziali versati nel 2026 (facoltativo)</t>
        </is>
      </c>
      <c r="B12" s="18" t="n"/>
      <c r="C12" s="16" t="inlineStr">
        <is>
          <t>Lascia vuoto per la stima "a regime" (si deducono i contributi calcolati sull'anno). Se li conosci, inserisci i contributi che versi davvero nel 2026 (saldo 2025, acconti 2026, rate fisse pagate nel 2026): l'imposta si calcola su quelli. Primo anno di attività: scrivi 0.</t>
        </is>
      </c>
    </row>
    <row r="13" ht="32" customHeight="1">
      <c r="A13" s="14" t="inlineStr">
        <is>
          <t>Acconti d'imposta sostitutiva versati per il 2026 (facoltativo)</t>
        </is>
      </c>
      <c r="B13" s="18" t="n">
        <v>3000</v>
      </c>
      <c r="C13" s="16" t="inlineStr">
        <is>
          <t>Somma dei due acconti 2026 (luglio e novembre). Serve al foglio Scadenze per stimare il saldo da versare nel 2027.</t>
        </is>
      </c>
    </row>
    <row r="15">
      <c r="A15" s="19" t="inlineStr">
        <is>
          <t>Valori usati nei calcoli (si aggiornano da soli, non modificarli)</t>
        </is>
      </c>
    </row>
    <row r="16">
      <c r="A16" s="20" t="inlineStr">
        <is>
          <t>Coefficiente di redditività</t>
        </is>
      </c>
      <c r="B16" s="21">
        <f>IFERROR(INDEX('Parametri 2026'!$B$46:$B$54,MATCH(Impostazioni!$B$6,'Parametri 2026'!$A$46:$A$54,0)),0)</f>
        <v/>
      </c>
      <c r="C16" s="22" t="inlineStr">
        <is>
          <t>Dal gruppo di attività scelto.</t>
        </is>
      </c>
    </row>
    <row r="17">
      <c r="A17" s="20" t="inlineStr">
        <is>
          <t>Codice della previdenza (1-5)</t>
        </is>
      </c>
      <c r="B17" s="23">
        <f>IFERROR(MATCH(Impostazioni!$B$7,'Parametri 2026'!$A$59:$A$63,0),0)</f>
        <v/>
      </c>
      <c r="C17" s="22" t="inlineStr">
        <is>
          <t>1-2 Gestione Separata, 3 Artigiani, 4 Commercianti, 5 Cassa; 0 = non scelta. Elenco in Parametri 2026.</t>
        </is>
      </c>
    </row>
    <row r="18">
      <c r="A18" s="20" t="inlineStr">
        <is>
          <t>Aliquota dell'imposta sostitutiva</t>
        </is>
      </c>
      <c r="B18" s="21">
        <f>IF(Impostazioni!$B$9='Parametri 2026'!$A$67,'Parametri 2026'!$B$10,'Parametri 2026'!$B$9)</f>
        <v/>
      </c>
      <c r="C18" s="22" t="inlineStr"/>
    </row>
    <row r="19">
      <c r="A19" s="20" t="inlineStr">
        <is>
          <t>Aliquota contributiva</t>
        </is>
      </c>
      <c r="B19" s="24">
        <f>CHOOSE(Impostazioni!$B$17+1,0,'Parametri 2026'!$B$18,'Parametri 2026'!$B$19,'Parametri 2026'!$B$25,'Parametri 2026'!$B$33,N(Impostazioni!$B$8))</f>
        <v/>
      </c>
      <c r="C19" s="22" t="inlineStr">
        <is>
          <t>Per artigiani e commercianti è l'aliquota fino alla soglia.</t>
        </is>
      </c>
    </row>
    <row r="20">
      <c r="A20" s="20" t="inlineStr">
        <is>
          <t>Riduzione del 35% applicata</t>
        </is>
      </c>
      <c r="B20" s="25">
        <f>IF(AND(Impostazioni!$B$10="Sì",OR(Impostazioni!$B$17=3,Impostazioni!$B$17=4)),"Sì","No")</f>
        <v/>
      </c>
      <c r="C20" s="22" t="inlineStr">
        <is>
          <t>Solo artigiani e commercianti.</t>
        </is>
      </c>
    </row>
    <row r="21">
      <c r="A21" s="20" t="inlineStr">
        <is>
          <t>Quota dei contributi dovuta dopo la riduzione</t>
        </is>
      </c>
      <c r="B21" s="21">
        <f>IF(Impostazioni!$B$20="Sì",1-'Parametri 2026'!$B$38,1)</f>
        <v/>
      </c>
      <c r="C21" s="22" t="inlineStr"/>
    </row>
    <row r="22">
      <c r="A22" s="20" t="inlineStr">
        <is>
          <t>Minimale di reddito (artigiani e commercianti)</t>
        </is>
      </c>
      <c r="B22" s="26">
        <f>IF(Impostazioni!$B$17=4,'Parametri 2026'!$B$30,'Parametri 2026'!$B$22)</f>
        <v/>
      </c>
      <c r="C22" s="22" t="inlineStr"/>
    </row>
    <row r="23">
      <c r="A23" s="20" t="inlineStr">
        <is>
          <t>Contributo fisso annuo pieno</t>
        </is>
      </c>
      <c r="B23" s="27">
        <f>IF(Impostazioni!$B$17=3,'Parametri 2026'!$B$23,IF(Impostazioni!$B$17=4,'Parametri 2026'!$B$31,0))</f>
        <v/>
      </c>
      <c r="C23" s="22" t="inlineStr"/>
    </row>
    <row r="24">
      <c r="A24" s="20" t="inlineStr">
        <is>
          <t>Quota maternità (non ridotta)</t>
        </is>
      </c>
      <c r="B24" s="27">
        <f>IF(Impostazioni!$B$17=3,'Parametri 2026'!$B$24,IF(Impostazioni!$B$17=4,'Parametri 2026'!$B$32,0))</f>
        <v/>
      </c>
      <c r="C24" s="22" t="inlineStr"/>
    </row>
    <row r="25">
      <c r="A25" s="20" t="inlineStr">
        <is>
          <t>Contributi fissi annui dovuti</t>
        </is>
      </c>
      <c r="B25" s="27">
        <f>(Impostazioni!$B$23-Impostazioni!$B$24)*Impostazioni!$B$21+Impostazioni!$B$24</f>
        <v/>
      </c>
      <c r="C25" s="22" t="inlineStr">
        <is>
          <t>(fisso − maternità) × quota dovuta + maternità.</t>
        </is>
      </c>
    </row>
    <row r="26">
      <c r="A26" s="20" t="inlineStr">
        <is>
          <t>Soglia per l'aliquota aggiuntiva</t>
        </is>
      </c>
      <c r="B26" s="26">
        <f>IF(Impostazioni!$B$17=4,'Parametri 2026'!$B$34,'Parametri 2026'!$B$26)</f>
        <v/>
      </c>
      <c r="C26" s="22" t="inlineStr"/>
    </row>
    <row r="27">
      <c r="A27" s="20" t="inlineStr">
        <is>
          <t>Aliquota oltre la soglia</t>
        </is>
      </c>
      <c r="B27" s="24">
        <f>IF(Impostazioni!$B$17=4,'Parametri 2026'!$B$35,'Parametri 2026'!$B$27)</f>
        <v/>
      </c>
      <c r="C27" s="22" t="inlineStr"/>
    </row>
    <row r="28">
      <c r="A28" s="20" t="inlineStr">
        <is>
          <t>Massimale di reddito</t>
        </is>
      </c>
      <c r="B28" s="26">
        <f>IF(Impostazioni!$B$17&lt;=2,'Parametri 2026'!$B$20,IF(Impostazioni!$B$17=4,'Parametri 2026'!$B$36,'Parametri 2026'!$B$28))</f>
        <v/>
      </c>
      <c r="C28" s="22" t="inlineStr">
        <is>
          <t>Le casse professionali non hanno massimale qui.</t>
        </is>
      </c>
    </row>
    <row r="29">
      <c r="A29" s="20" t="inlineStr">
        <is>
          <t>Bollo addebitato incluso nei ricavi</t>
        </is>
      </c>
      <c r="B29" s="25">
        <f>IF(Impostazioni!$B$11="No","No","Sì")</f>
        <v/>
      </c>
      <c r="C29" s="22" t="inlineStr">
        <is>
          <t>Vuoto vale Sì.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3">
    <mergeCell ref="A1:C1"/>
    <mergeCell ref="A2:C2"/>
    <mergeCell ref="A15:C15"/>
  </mergeCells>
  <dataValidations count="6">
    <dataValidation sqref="B6" showDropDown="0" showInputMessage="0" showErrorMessage="1" allowBlank="1" errorTitle="Attività" error="Scegli una voce dell'elenco." type="list">
      <formula1>'Parametri 2026'!$A$46:$A$54</formula1>
    </dataValidation>
    <dataValidation sqref="B7" showDropDown="0" showInputMessage="0" showErrorMessage="1" allowBlank="1" errorTitle="Previdenza" error="Scegli una voce dell'elenco." type="list">
      <formula1>'Parametri 2026'!$A$59:$A$63</formula1>
    </dataValidation>
    <dataValidation sqref="B8" showDropDown="0" showInputMessage="0" showErrorMessage="1" allowBlank="1" errorTitle="Aliquota" error="Scrivi l'aliquota con il simbolo %, ad esempio 14,5%." type="decimal" operator="between">
      <formula1>0</formula1>
      <formula2>1</formula2>
    </dataValidation>
    <dataValidation sqref="B9" showDropDown="0" showInputMessage="0" showErrorMessage="1" allowBlank="1" errorTitle="Valore non valido" error="Scegli una voce del menu a tendina." type="list">
      <formula1>'Parametri 2026'!$A$66:$A$67</formula1>
    </dataValidation>
    <dataValidation sqref="B10 B11" showDropDown="0" showInputMessage="0" showErrorMessage="1" allowBlank="1" errorTitle="Valore non valido" error="Scegli una voce del menu a tendina." type="list">
      <formula1>"Sì,No"</formula1>
    </dataValidation>
    <dataValidation sqref="B12 B13" showDropDown="0" showInputMessage="0" showErrorMessage="1" allowBlank="1" errorTitle="Importo" error="Inserisci un importo in euro, zero o positivo." type="decimal" operator="greaterThanOrEqual">
      <formula1>0</formula1>
    </dataValidation>
  </dataValidations>
  <printOptions horizontalCentered="1"/>
  <pageMargins left="0.4" right="0.4" top="0.5" bottom="0.5" header="0.5" footer="0.5"/>
  <pageSetup orientation="landscape" paperSize="9" fitToHeight="0" fitToWidth="1"/>
  <headerFooter>
    <oddHeader/>
    <oddFooter>&amp;C&amp;8 &amp;A · pagina &amp;P di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79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16" customWidth="1" min="2" max="2"/>
    <col width="78" customWidth="1" min="3" max="3"/>
  </cols>
  <sheetData>
    <row r="1" ht="30" customHeight="1">
      <c r="A1" s="11" t="inlineStr">
        <is>
          <t>Parametri 2026</t>
        </is>
      </c>
    </row>
    <row r="2" ht="30" customHeight="1">
      <c r="A2" s="12" t="inlineStr">
        <is>
          <t>Valori usati dalle formule, con la fonte. Aggiornati al 06/10/2026. Ogni anno basta aggiornare questa tabella (vedi Istruzioni).</t>
        </is>
      </c>
    </row>
    <row r="4" ht="22" customHeight="1">
      <c r="A4" s="13" t="inlineStr">
        <is>
          <t>Parametro</t>
        </is>
      </c>
      <c r="B4" s="13" t="inlineStr">
        <is>
          <t>Valore</t>
        </is>
      </c>
      <c r="C4" s="13" t="inlineStr">
        <is>
          <t>Fonte</t>
        </is>
      </c>
    </row>
    <row r="5" ht="20" customHeight="1">
      <c r="A5" s="19" t="inlineStr">
        <is>
          <t>Regime forfettario</t>
        </is>
      </c>
    </row>
    <row r="6">
      <c r="A6" s="20" t="inlineStr">
        <is>
          <t>Anno di riferimento</t>
        </is>
      </c>
      <c r="B6" s="28" t="n">
        <v>2026</v>
      </c>
      <c r="C6" s="22" t="inlineStr">
        <is>
          <t>Anno a cui si riferiscono i valori e gli incassi</t>
        </is>
      </c>
    </row>
    <row r="7">
      <c r="A7" s="20" t="inlineStr">
        <is>
          <t>Soglia di ricavi per restare nel regime l'anno dopo</t>
        </is>
      </c>
      <c r="B7" s="29" t="n">
        <v>85000</v>
      </c>
      <c r="C7" s="22" t="inlineStr">
        <is>
          <t>L. 190/2014, art. 1 c. 54</t>
        </is>
      </c>
    </row>
    <row r="8">
      <c r="A8" s="20" t="inlineStr">
        <is>
          <t>Soglia di uscita immediata (già nell'anno)</t>
        </is>
      </c>
      <c r="B8" s="29" t="n">
        <v>100000</v>
      </c>
      <c r="C8" s="22" t="inlineStr">
        <is>
          <t>L. 190/2014, art. 1 c. 71; circolare Agenzia delle Entrate 32/E/2023</t>
        </is>
      </c>
    </row>
    <row r="9">
      <c r="A9" s="20" t="inlineStr">
        <is>
          <t>Imposta sostitutiva ordinaria</t>
        </is>
      </c>
      <c r="B9" s="30" t="n">
        <v>0.15</v>
      </c>
      <c r="C9" s="22" t="inlineStr">
        <is>
          <t>L. 190/2014, art. 1 c. 64</t>
        </is>
      </c>
    </row>
    <row r="10">
      <c r="A10" s="20" t="inlineStr">
        <is>
          <t>Imposta sostitutiva per le nuove attività (primi 5 anni)</t>
        </is>
      </c>
      <c r="B10" s="30" t="n">
        <v>0.05</v>
      </c>
      <c r="C10" s="22" t="inlineStr">
        <is>
          <t>L. 190/2014, art. 1 c. 65 (con i requisiti di legge)</t>
        </is>
      </c>
    </row>
    <row r="11">
      <c r="A11" s="20" t="inlineStr">
        <is>
          <t>Limite di reddito da lavoro dipendente o pensione (solo informativo)</t>
        </is>
      </c>
      <c r="B11" s="29" t="n">
        <v>35000</v>
      </c>
      <c r="C11" s="22" t="inlineStr">
        <is>
          <t>L. 190/2014, art. 1 c. 57 lett. d-ter; 35.000 € per il 2026 (L. 199/2025, art. 1 c. 27). Il foglio non lo usa nei calcoli.</t>
        </is>
      </c>
    </row>
    <row r="12" ht="20" customHeight="1">
      <c r="A12" s="19" t="inlineStr">
        <is>
          <t>Imposta di bollo e rivalsa</t>
        </is>
      </c>
    </row>
    <row r="13">
      <c r="A13" s="20" t="inlineStr">
        <is>
          <t>Imposta di bollo su fatture senza IVA</t>
        </is>
      </c>
      <c r="B13" s="31" t="n">
        <v>2</v>
      </c>
      <c r="C13" s="22" t="inlineStr">
        <is>
          <t>DPR 642/1972, Tariffa parte I, art. 13</t>
        </is>
      </c>
    </row>
    <row r="14">
      <c r="A14" s="20" t="inlineStr">
        <is>
          <t>Il bollo è dovuto se l'importo della fattura supera</t>
        </is>
      </c>
      <c r="B14" s="31" t="n">
        <v>77.47</v>
      </c>
      <c r="C14" s="22" t="inlineStr">
        <is>
          <t>DPR 642/1972, Tariffa parte I, art. 13 e note</t>
        </is>
      </c>
    </row>
    <row r="15">
      <c r="A15" s="20" t="inlineStr">
        <is>
          <t>Bollo fatture elettroniche: si può rinviare al trimestre dopo fino a</t>
        </is>
      </c>
      <c r="B15" s="29" t="n">
        <v>5000</v>
      </c>
      <c r="C15" s="22" t="inlineStr">
        <is>
          <t>DM 17/06/2014, art. 6 c. 2 (soglia di 5.000 € dal 2023, DL 73/2022)</t>
        </is>
      </c>
    </row>
    <row r="16">
      <c r="A16" s="20" t="inlineStr">
        <is>
          <t>Rivalsa INPS facoltativa in fattura (solo Gestione Separata)</t>
        </is>
      </c>
      <c r="B16" s="30" t="n">
        <v>0.04</v>
      </c>
      <c r="C16" s="22" t="inlineStr">
        <is>
          <t>L. 662/1996, art. 1 c. 212</t>
        </is>
      </c>
    </row>
    <row r="17" ht="20" customHeight="1">
      <c r="A17" s="19" t="inlineStr">
        <is>
          <t>INPS Gestione Separata</t>
        </is>
      </c>
    </row>
    <row r="18">
      <c r="A18" s="20" t="inlineStr">
        <is>
          <t>Aliquota professionisti senza altra previdenza obbligatoria</t>
        </is>
      </c>
      <c r="B18" s="32" t="n">
        <v>0.2607</v>
      </c>
      <c r="C18" s="22" t="inlineStr">
        <is>
          <t>Circolare INPS 8/2026 (25% IVS + 0,72% + 0,35% ISCRO)</t>
        </is>
      </c>
    </row>
    <row r="19">
      <c r="A19" s="20" t="inlineStr">
        <is>
          <t>Aliquota pensionati o iscritti ad altra previdenza obbligatoria</t>
        </is>
      </c>
      <c r="B19" s="32" t="n">
        <v>0.24</v>
      </c>
      <c r="C19" s="22" t="inlineStr">
        <is>
          <t>Circolare INPS 8/2026</t>
        </is>
      </c>
    </row>
    <row r="20">
      <c r="A20" s="20" t="inlineStr">
        <is>
          <t>Massimale di reddito</t>
        </is>
      </c>
      <c r="B20" s="29" t="n">
        <v>122295</v>
      </c>
      <c r="C20" s="22" t="inlineStr">
        <is>
          <t>Circolare INPS 8/2026</t>
        </is>
      </c>
    </row>
    <row r="21" ht="20" customHeight="1">
      <c r="A21" s="19" t="inlineStr">
        <is>
          <t>INPS Artigiani</t>
        </is>
      </c>
    </row>
    <row r="22">
      <c r="A22" s="20" t="inlineStr">
        <is>
          <t>Minimale di reddito</t>
        </is>
      </c>
      <c r="B22" s="29" t="n">
        <v>18808</v>
      </c>
      <c r="C22" s="22" t="inlineStr">
        <is>
          <t>Circolare INPS 14/2026</t>
        </is>
      </c>
    </row>
    <row r="23">
      <c r="A23" s="20" t="inlineStr">
        <is>
          <t>Contributo fisso annuo sul minimale (quota maternità compresa)</t>
        </is>
      </c>
      <c r="B23" s="31" t="n">
        <v>4521.36</v>
      </c>
      <c r="C23" s="22" t="inlineStr">
        <is>
          <t>Circolare INPS 14/2026</t>
        </is>
      </c>
    </row>
    <row r="24">
      <c r="A24" s="20" t="inlineStr">
        <is>
          <t>Quota maternità compresa nel contributo fisso (non si riduce)</t>
        </is>
      </c>
      <c r="B24" s="31" t="n">
        <v>7.44</v>
      </c>
      <c r="C24" s="22" t="inlineStr">
        <is>
          <t>Circolare INPS 14/2026 (0,62 € al mese)</t>
        </is>
      </c>
    </row>
    <row r="25">
      <c r="A25" s="20" t="inlineStr">
        <is>
          <t>Aliquota fino alla soglia</t>
        </is>
      </c>
      <c r="B25" s="32" t="n">
        <v>0.24</v>
      </c>
      <c r="C25" s="22" t="inlineStr">
        <is>
          <t>Circolare INPS 14/2026</t>
        </is>
      </c>
    </row>
    <row r="26">
      <c r="A26" s="20" t="inlineStr">
        <is>
          <t>Soglia oltre la quale l'aliquota sale di un punto</t>
        </is>
      </c>
      <c r="B26" s="29" t="n">
        <v>56224</v>
      </c>
      <c r="C26" s="22" t="inlineStr">
        <is>
          <t>Circolare INPS 14/2026 (prima fascia di retribuzione pensionabile)</t>
        </is>
      </c>
    </row>
    <row r="27">
      <c r="A27" s="20" t="inlineStr">
        <is>
          <t>Aliquota oltre la soglia</t>
        </is>
      </c>
      <c r="B27" s="32" t="n">
        <v>0.25</v>
      </c>
      <c r="C27" s="22" t="inlineStr">
        <is>
          <t>Circolare INPS 14/2026</t>
        </is>
      </c>
    </row>
    <row r="28">
      <c r="A28" s="20" t="inlineStr">
        <is>
          <t>Massimale di reddito</t>
        </is>
      </c>
      <c r="B28" s="29" t="n">
        <v>122295</v>
      </c>
      <c r="C28" s="22" t="inlineStr">
        <is>
          <t>Circolare INPS 14/2026</t>
        </is>
      </c>
    </row>
    <row r="29" ht="20" customHeight="1">
      <c r="A29" s="19" t="inlineStr">
        <is>
          <t>INPS Commercianti</t>
        </is>
      </c>
    </row>
    <row r="30">
      <c r="A30" s="20" t="inlineStr">
        <is>
          <t>Minimale di reddito</t>
        </is>
      </c>
      <c r="B30" s="29" t="n">
        <v>18808</v>
      </c>
      <c r="C30" s="22" t="inlineStr">
        <is>
          <t>Circolare INPS 14/2026</t>
        </is>
      </c>
    </row>
    <row r="31">
      <c r="A31" s="20" t="inlineStr">
        <is>
          <t>Contributo fisso annuo sul minimale (quota maternità compresa)</t>
        </is>
      </c>
      <c r="B31" s="31" t="n">
        <v>4611.64</v>
      </c>
      <c r="C31" s="22" t="inlineStr">
        <is>
          <t>Circolare INPS 14/2026</t>
        </is>
      </c>
    </row>
    <row r="32">
      <c r="A32" s="20" t="inlineStr">
        <is>
          <t>Quota maternità compresa nel contributo fisso (non si riduce)</t>
        </is>
      </c>
      <c r="B32" s="31" t="n">
        <v>7.44</v>
      </c>
      <c r="C32" s="22" t="inlineStr">
        <is>
          <t>Circolare INPS 14/2026 (0,62 € al mese)</t>
        </is>
      </c>
    </row>
    <row r="33">
      <c r="A33" s="20" t="inlineStr">
        <is>
          <t>Aliquota fino alla soglia</t>
        </is>
      </c>
      <c r="B33" s="32" t="n">
        <v>0.2448</v>
      </c>
      <c r="C33" s="22" t="inlineStr">
        <is>
          <t>Circolare INPS 14/2026</t>
        </is>
      </c>
    </row>
    <row r="34">
      <c r="A34" s="20" t="inlineStr">
        <is>
          <t>Soglia oltre la quale l'aliquota sale di un punto</t>
        </is>
      </c>
      <c r="B34" s="29" t="n">
        <v>56224</v>
      </c>
      <c r="C34" s="22" t="inlineStr">
        <is>
          <t>Circolare INPS 14/2026 (prima fascia di retribuzione pensionabile)</t>
        </is>
      </c>
    </row>
    <row r="35">
      <c r="A35" s="20" t="inlineStr">
        <is>
          <t>Aliquota oltre la soglia</t>
        </is>
      </c>
      <c r="B35" s="32" t="n">
        <v>0.2548</v>
      </c>
      <c r="C35" s="22" t="inlineStr">
        <is>
          <t>Circolare INPS 14/2026</t>
        </is>
      </c>
    </row>
    <row r="36">
      <c r="A36" s="20" t="inlineStr">
        <is>
          <t>Massimale di reddito</t>
        </is>
      </c>
      <c r="B36" s="29" t="n">
        <v>122295</v>
      </c>
      <c r="C36" s="22" t="inlineStr">
        <is>
          <t>Circolare INPS 14/2026</t>
        </is>
      </c>
    </row>
    <row r="37" ht="20" customHeight="1">
      <c r="A37" s="19" t="inlineStr">
        <is>
          <t>Riduzione contributiva</t>
        </is>
      </c>
    </row>
    <row r="38">
      <c r="A38" s="20" t="inlineStr">
        <is>
          <t>Riduzione per forfettari iscritti ad artigiani o commercianti (su domanda)</t>
        </is>
      </c>
      <c r="B38" s="30" t="n">
        <v>0.35</v>
      </c>
      <c r="C38" s="22" t="inlineStr">
        <is>
          <t>L. 190/2014, art. 1 c. 77</t>
        </is>
      </c>
    </row>
    <row r="39" ht="20" customHeight="1">
      <c r="A39" s="19" t="inlineStr">
        <is>
          <t>Acconti dell'imposta sostitutiva (foglio Scadenze)</t>
        </is>
      </c>
    </row>
    <row r="40">
      <c r="A40" s="20" t="inlineStr">
        <is>
          <t>Ogni rata di acconto (due rate uguali)</t>
        </is>
      </c>
      <c r="B40" s="30" t="n">
        <v>0.5</v>
      </c>
      <c r="C40" s="22" t="inlineStr">
        <is>
          <t>DL 124/2019, art. 58</t>
        </is>
      </c>
    </row>
    <row r="41">
      <c r="A41" s="20" t="inlineStr">
        <is>
          <t>Nessun acconto se l'imposta dell'anno non supera</t>
        </is>
      </c>
      <c r="B41" s="31" t="n">
        <v>51.65</v>
      </c>
      <c r="C41" s="22" t="inlineStr">
        <is>
          <t>Istruzioni del modello Redditi PF</t>
        </is>
      </c>
    </row>
    <row r="42">
      <c r="A42" s="20" t="inlineStr">
        <is>
          <t>Acconto tutto a novembre se la prima rata è inferiore a</t>
        </is>
      </c>
      <c r="B42" s="31" t="n">
        <v>103</v>
      </c>
      <c r="C42" s="22" t="inlineStr">
        <is>
          <t>Istruzioni del modello Redditi PF</t>
        </is>
      </c>
    </row>
    <row r="44">
      <c r="A44" s="19" t="inlineStr">
        <is>
          <t>Coefficienti di redditività (Allegato 4, L. 190/2014)</t>
        </is>
      </c>
    </row>
    <row r="45">
      <c r="A45" s="13" t="inlineStr">
        <is>
          <t>Gruppo di attività (menu in Impostazioni)</t>
        </is>
      </c>
      <c r="B45" s="13" t="inlineStr">
        <is>
          <t>Coefficiente</t>
        </is>
      </c>
      <c r="C45" s="13" t="inlineStr">
        <is>
          <t>Codici ATECO 2007</t>
        </is>
      </c>
    </row>
    <row r="46" ht="28" customHeight="1">
      <c r="A46" s="20" t="inlineStr">
        <is>
          <t>Attività professionali, scientifiche, tecniche, sanitarie, istruzione, servizi finanziari e assicurativi</t>
        </is>
      </c>
      <c r="B46" s="30" t="n">
        <v>0.78</v>
      </c>
      <c r="C46" s="22" t="inlineStr">
        <is>
          <t>64-66, 69-75, 85, 86-88</t>
        </is>
      </c>
    </row>
    <row r="47" ht="28" customHeight="1">
      <c r="A47" s="20" t="inlineStr">
        <is>
          <t>Altre attività economiche (es. sviluppo software, servizi alla persona, attività artistiche)</t>
        </is>
      </c>
      <c r="B47" s="30" t="n">
        <v>0.67</v>
      </c>
      <c r="C47" s="22" t="inlineStr">
        <is>
          <t>tutti i codici non compresi negli altri gruppi</t>
        </is>
      </c>
    </row>
    <row r="48" ht="16" customHeight="1">
      <c r="A48" s="20" t="inlineStr">
        <is>
          <t>Commercio all'ingrosso e al dettaglio</t>
        </is>
      </c>
      <c r="B48" s="30" t="n">
        <v>0.4</v>
      </c>
      <c r="C48" s="22" t="inlineStr">
        <is>
          <t>45, 46.2-46.9, 47.1-47.7, 47.9</t>
        </is>
      </c>
    </row>
    <row r="49" ht="16" customHeight="1">
      <c r="A49" s="20" t="inlineStr">
        <is>
          <t>Commercio ambulante di prodotti alimentari e bevande</t>
        </is>
      </c>
      <c r="B49" s="30" t="n">
        <v>0.4</v>
      </c>
      <c r="C49" s="22" t="inlineStr">
        <is>
          <t>47.81</t>
        </is>
      </c>
    </row>
    <row r="50" ht="16" customHeight="1">
      <c r="A50" s="20" t="inlineStr">
        <is>
          <t>Commercio ambulante di altri prodotti</t>
        </is>
      </c>
      <c r="B50" s="30" t="n">
        <v>0.54</v>
      </c>
      <c r="C50" s="22" t="inlineStr">
        <is>
          <t>47.82-47.89</t>
        </is>
      </c>
    </row>
    <row r="51" ht="16" customHeight="1">
      <c r="A51" s="20" t="inlineStr">
        <is>
          <t>Industrie alimentari e delle bevande</t>
        </is>
      </c>
      <c r="B51" s="30" t="n">
        <v>0.4</v>
      </c>
      <c r="C51" s="22" t="inlineStr">
        <is>
          <t>10-11</t>
        </is>
      </c>
    </row>
    <row r="52" ht="16" customHeight="1">
      <c r="A52" s="20" t="inlineStr">
        <is>
          <t>Servizi di alloggio e ristorazione</t>
        </is>
      </c>
      <c r="B52" s="30" t="n">
        <v>0.4</v>
      </c>
      <c r="C52" s="22" t="inlineStr">
        <is>
          <t>55-56</t>
        </is>
      </c>
    </row>
    <row r="53" ht="16" customHeight="1">
      <c r="A53" s="20" t="inlineStr">
        <is>
          <t>Intermediari del commercio</t>
        </is>
      </c>
      <c r="B53" s="30" t="n">
        <v>0.62</v>
      </c>
      <c r="C53" s="22" t="inlineStr">
        <is>
          <t>46.1</t>
        </is>
      </c>
    </row>
    <row r="54" ht="16" customHeight="1">
      <c r="A54" s="20" t="inlineStr">
        <is>
          <t>Costruzioni e attività immobiliari</t>
        </is>
      </c>
      <c r="B54" s="30" t="n">
        <v>0.86</v>
      </c>
      <c r="C54" s="22" t="inlineStr">
        <is>
          <t>41-43, 68</t>
        </is>
      </c>
    </row>
    <row r="55" ht="26" customHeight="1">
      <c r="A55" s="33" t="inlineStr">
        <is>
          <t>Il coefficiente si determina con il codice ATECO 2007 corrispondente anche dopo l'adozione di ATECO 2025 (1/4/2025), finché non esce la nuova tabella.</t>
        </is>
      </c>
    </row>
    <row r="57">
      <c r="A57" s="19" t="inlineStr">
        <is>
          <t>Elenchi dei menu a tendina</t>
        </is>
      </c>
    </row>
    <row r="58">
      <c r="A58" s="13" t="inlineStr">
        <is>
          <t>Previdenza</t>
        </is>
      </c>
      <c r="B58" s="13" t="inlineStr">
        <is>
          <t>Codice</t>
        </is>
      </c>
      <c r="C58" s="13" t="inlineStr">
        <is>
          <t>Come si calcola</t>
        </is>
      </c>
    </row>
    <row r="59">
      <c r="A59" s="20" t="inlineStr">
        <is>
          <t>Gestione Separata INPS (professionisti senza cassa)</t>
        </is>
      </c>
      <c r="B59" s="34" t="n">
        <v>1</v>
      </c>
      <c r="C59" s="22" t="inlineStr">
        <is>
          <t>Aliquota Gestione Separata sul reddito, fino al massimale</t>
        </is>
      </c>
    </row>
    <row r="60">
      <c r="A60" s="20" t="inlineStr">
        <is>
          <t>Gestione Separata, già pensionato o iscritto ad altra cassa</t>
        </is>
      </c>
      <c r="B60" s="34" t="n">
        <v>2</v>
      </c>
      <c r="C60" s="22" t="inlineStr">
        <is>
          <t>Aliquota ridotta sul reddito, fino al massimale</t>
        </is>
      </c>
    </row>
    <row r="61">
      <c r="A61" s="20" t="inlineStr">
        <is>
          <t>INPS Artigiani</t>
        </is>
      </c>
      <c r="B61" s="34" t="n">
        <v>3</v>
      </c>
      <c r="C61" s="22" t="inlineStr">
        <is>
          <t>Contributo fisso sul minimale + aliquota sul reddito oltre il minimale</t>
        </is>
      </c>
    </row>
    <row r="62">
      <c r="A62" s="20" t="inlineStr">
        <is>
          <t>INPS Commercianti</t>
        </is>
      </c>
      <c r="B62" s="34" t="n">
        <v>4</v>
      </c>
      <c r="C62" s="22" t="inlineStr">
        <is>
          <t>Contributo fisso sul minimale + aliquota sul reddito oltre il minimale</t>
        </is>
      </c>
    </row>
    <row r="63">
      <c r="A63" s="20" t="inlineStr">
        <is>
          <t>Cassa professionale (aliquota personalizzata)</t>
        </is>
      </c>
      <c r="B63" s="34" t="n">
        <v>5</v>
      </c>
      <c r="C63" s="22" t="inlineStr">
        <is>
          <t>Aliquota inserita in Impostazioni sul reddito (minimi e contributo integrativo esclusi)</t>
        </is>
      </c>
    </row>
    <row r="65">
      <c r="A65" s="13" t="inlineStr">
        <is>
          <t>Imposta sostitutiva</t>
        </is>
      </c>
    </row>
    <row r="66">
      <c r="A66" s="35" t="inlineStr">
        <is>
          <t>15% (aliquota ordinaria)</t>
        </is>
      </c>
    </row>
    <row r="67">
      <c r="A67" s="35" t="inlineStr">
        <is>
          <t>5% (nuova attività, primi 5 anni)</t>
        </is>
      </c>
    </row>
    <row r="69">
      <c r="A69" s="13" t="inlineStr">
        <is>
          <t>Categorie di spesa</t>
        </is>
      </c>
    </row>
    <row r="70">
      <c r="A70" s="35" t="inlineStr">
        <is>
          <t>Software e abbonamenti</t>
        </is>
      </c>
    </row>
    <row r="71">
      <c r="A71" s="35" t="inlineStr">
        <is>
          <t>Attrezzatura</t>
        </is>
      </c>
    </row>
    <row r="72">
      <c r="A72" s="35" t="inlineStr">
        <is>
          <t>Commercialista</t>
        </is>
      </c>
    </row>
    <row r="73">
      <c r="A73" s="35" t="inlineStr">
        <is>
          <t>Formazione</t>
        </is>
      </c>
    </row>
    <row r="74">
      <c r="A74" s="35" t="inlineStr">
        <is>
          <t>Affitto e coworking</t>
        </is>
      </c>
    </row>
    <row r="75">
      <c r="A75" s="35" t="inlineStr">
        <is>
          <t>Telefono e internet</t>
        </is>
      </c>
    </row>
    <row r="76">
      <c r="A76" s="35" t="inlineStr">
        <is>
          <t>Trasporti e trasferte</t>
        </is>
      </c>
    </row>
    <row r="77">
      <c r="A77" s="35" t="inlineStr">
        <is>
          <t>Materiali</t>
        </is>
      </c>
    </row>
    <row r="78">
      <c r="A78" s="35" t="inlineStr">
        <is>
          <t>Marketing</t>
        </is>
      </c>
    </row>
    <row r="79">
      <c r="A79" s="35" t="inlineStr">
        <is>
          <t>Altro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2">
    <mergeCell ref="A44:C44"/>
    <mergeCell ref="A1:C1"/>
    <mergeCell ref="A5:C5"/>
    <mergeCell ref="A37:C37"/>
    <mergeCell ref="A17:C17"/>
    <mergeCell ref="A21:C21"/>
    <mergeCell ref="A39:C39"/>
    <mergeCell ref="A55:C55"/>
    <mergeCell ref="A12:C12"/>
    <mergeCell ref="A57:C57"/>
    <mergeCell ref="A2:C2"/>
    <mergeCell ref="A29:C29"/>
  </mergeCells>
  <printOptions horizontalCentered="1"/>
  <pageMargins left="0.4" right="0.4" top="0.5" bottom="0.5" header="0.5" footer="0.5"/>
  <pageSetup orientation="portrait" paperSize="9" fitToHeight="0" fitToWidth="1"/>
  <headerFooter>
    <oddHeader/>
    <oddFooter>&amp;C&amp;8 &amp;A · pagina &amp;P di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30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8" customWidth="1" min="4" max="4"/>
    <col width="34" customWidth="1" min="5" max="5"/>
    <col width="13" customWidth="1" min="6" max="6"/>
    <col width="10" customWidth="1" min="7" max="7"/>
    <col width="11" customWidth="1" min="8" max="8"/>
    <col width="13" customWidth="1" min="9" max="9"/>
    <col width="9" customWidth="1" min="10" max="10"/>
    <col width="11" customWidth="1" min="11" max="11"/>
    <col width="13" customWidth="1" min="12" max="12"/>
    <col width="14" customWidth="1" min="13" max="13"/>
    <col width="21" customWidth="1" min="14" max="14"/>
    <col width="22" customWidth="1" min="15" max="15"/>
  </cols>
  <sheetData>
    <row r="1" ht="30" customHeight="1">
      <c r="A1" s="11" t="inlineStr">
        <is>
          <t>Fatture</t>
        </is>
      </c>
    </row>
    <row r="2" ht="30" customHeight="1">
      <c r="A2" s="12" t="inlineStr">
        <is>
          <t>Una riga per fattura. Celle gialle da compilare; quando il cliente paga, scrivi la data di incasso: conta quella (principio di cassa).</t>
        </is>
      </c>
    </row>
    <row r="3">
      <c r="L3" s="36" t="inlineStr">
        <is>
          <t>Incassato nel 2026</t>
        </is>
      </c>
      <c r="M3" s="37">
        <f>'Riepilogo mensile'!$B$17</f>
        <v/>
      </c>
      <c r="N3" s="38">
        <f>COUNTIF($N$5:$N$304,"Da incassare")&amp;" da incassare"</f>
        <v/>
      </c>
    </row>
    <row r="4" ht="34" customHeight="1">
      <c r="A4" s="13" t="inlineStr">
        <is>
          <t>N.</t>
        </is>
      </c>
      <c r="B4" s="13" t="inlineStr">
        <is>
          <t>Data emissione</t>
        </is>
      </c>
      <c r="C4" s="13" t="inlineStr">
        <is>
          <t>Data incasso</t>
        </is>
      </c>
      <c r="D4" s="13" t="inlineStr">
        <is>
          <t>Cliente</t>
        </is>
      </c>
      <c r="E4" s="13" t="inlineStr">
        <is>
          <t>Descrizione</t>
        </is>
      </c>
      <c r="F4" s="13" t="inlineStr">
        <is>
          <t>Compenso (€)</t>
        </is>
      </c>
      <c r="G4" s="13" t="inlineStr">
        <is>
          <t>Rivalsa INPS 4%</t>
        </is>
      </c>
      <c r="H4" s="13" t="inlineStr">
        <is>
          <t>Rivalsa (€)</t>
        </is>
      </c>
      <c r="I4" s="13" t="inlineStr">
        <is>
          <t>Imponibile (€)</t>
        </is>
      </c>
      <c r="J4" s="13" t="inlineStr">
        <is>
          <t>Bollo (€)</t>
        </is>
      </c>
      <c r="K4" s="13" t="inlineStr">
        <is>
          <t>Bollo al cliente</t>
        </is>
      </c>
      <c r="L4" s="13" t="inlineStr">
        <is>
          <t>Totale fattura (€)</t>
        </is>
      </c>
      <c r="M4" s="13" t="inlineStr">
        <is>
          <t>Ricavo che conta (€)</t>
        </is>
      </c>
      <c r="N4" s="13" t="inlineStr">
        <is>
          <t>Stato</t>
        </is>
      </c>
      <c r="O4" s="13" t="inlineStr">
        <is>
          <t>Note</t>
        </is>
      </c>
    </row>
    <row r="5">
      <c r="A5" s="39" t="inlineStr">
        <is>
          <t>18/2025</t>
        </is>
      </c>
      <c r="B5" s="40" t="n">
        <v>46006</v>
      </c>
      <c r="C5" s="40" t="n">
        <v>46034</v>
      </c>
      <c r="D5" s="39" t="inlineStr">
        <is>
          <t>Agenzia Delta Comunicazione srl</t>
        </is>
      </c>
      <c r="E5" s="39" t="inlineStr">
        <is>
          <t>Restyling logo e linee guida</t>
        </is>
      </c>
      <c r="F5" s="41" t="n">
        <v>1800</v>
      </c>
      <c r="G5" s="42" t="inlineStr">
        <is>
          <t>Sì</t>
        </is>
      </c>
      <c r="H5" s="43">
        <f>IF(ISNUMBER(F5),IF(OR(G5="Sì",G5="Si"),ROUND(F5*'Parametri 2026'!$B$16,2),0),"")</f>
        <v/>
      </c>
      <c r="I5" s="43">
        <f>IF(ISNUMBER(F5),F5+H5,"")</f>
        <v/>
      </c>
      <c r="J5" s="43">
        <f>IF(ISNUMBER(F5),IF(I5&gt;'Parametri 2026'!$B$14,'Parametri 2026'!$B$13,0),"")</f>
        <v/>
      </c>
      <c r="K5" s="42" t="inlineStr">
        <is>
          <t>Sì</t>
        </is>
      </c>
      <c r="L5" s="44">
        <f>IF(ISNUMBER(F5),I5+IF(K5="No",0,J5),"")</f>
        <v/>
      </c>
      <c r="M5" s="44">
        <f>IF(ISNUMBER(F5),I5+IF(AND(K5&lt;&gt;"No",Impostazioni!$B$29="Sì"),J5,0),"")</f>
        <v/>
      </c>
      <c r="N5" s="45">
        <f>IF(F5="","",IF(NOT(ISNUMBER(F5)),"Compenso non valido",IF(C5="","Da incassare",IF(NOT(ISNUMBER(C5)),"Data non valida",IF(YEAR(C5)='Parametri 2026'!$B$6,"Incassata","Incassata nel "&amp;YEAR(C5))))))</f>
        <v/>
      </c>
      <c r="O5" s="39" t="n"/>
    </row>
    <row r="6">
      <c r="A6" s="39" t="inlineStr">
        <is>
          <t>1/2026</t>
        </is>
      </c>
      <c r="B6" s="40" t="n">
        <v>46031</v>
      </c>
      <c r="C6" s="40" t="n">
        <v>46052</v>
      </c>
      <c r="D6" s="39" t="inlineStr">
        <is>
          <t>Panificio Moretti</t>
        </is>
      </c>
      <c r="E6" s="39" t="inlineStr">
        <is>
          <t>Menu e volantini</t>
        </is>
      </c>
      <c r="F6" s="41" t="n">
        <v>450</v>
      </c>
      <c r="G6" s="42" t="inlineStr">
        <is>
          <t>Sì</t>
        </is>
      </c>
      <c r="H6" s="43">
        <f>IF(ISNUMBER(F6),IF(OR(G6="Sì",G6="Si"),ROUND(F6*'Parametri 2026'!$B$16,2),0),"")</f>
        <v/>
      </c>
      <c r="I6" s="43">
        <f>IF(ISNUMBER(F6),F6+H6,"")</f>
        <v/>
      </c>
      <c r="J6" s="43">
        <f>IF(ISNUMBER(F6),IF(I6&gt;'Parametri 2026'!$B$14,'Parametri 2026'!$B$13,0),"")</f>
        <v/>
      </c>
      <c r="K6" s="42" t="inlineStr">
        <is>
          <t>Sì</t>
        </is>
      </c>
      <c r="L6" s="44">
        <f>IF(ISNUMBER(F6),I6+IF(K6="No",0,J6),"")</f>
        <v/>
      </c>
      <c r="M6" s="44">
        <f>IF(ISNUMBER(F6),I6+IF(AND(K6&lt;&gt;"No",Impostazioni!$B$29="Sì"),J6,0),"")</f>
        <v/>
      </c>
      <c r="N6" s="45">
        <f>IF(F6="","",IF(NOT(ISNUMBER(F6)),"Compenso non valido",IF(C6="","Da incassare",IF(NOT(ISNUMBER(C6)),"Data non valida",IF(YEAR(C6)='Parametri 2026'!$B$6,"Incassata","Incassata nel "&amp;YEAR(C6))))))</f>
        <v/>
      </c>
      <c r="O6" s="39" t="n"/>
    </row>
    <row r="7">
      <c r="A7" s="39" t="inlineStr">
        <is>
          <t>2/2026</t>
        </is>
      </c>
      <c r="B7" s="40" t="n">
        <v>46042</v>
      </c>
      <c r="C7" s="40" t="n">
        <v>46072</v>
      </c>
      <c r="D7" s="39" t="inlineStr">
        <is>
          <t>Studio Associato Bianchi</t>
        </is>
      </c>
      <c r="E7" s="39" t="inlineStr">
        <is>
          <t>Grafica pagine sito web</t>
        </is>
      </c>
      <c r="F7" s="41" t="n">
        <v>2200</v>
      </c>
      <c r="G7" s="42" t="inlineStr">
        <is>
          <t>Sì</t>
        </is>
      </c>
      <c r="H7" s="43">
        <f>IF(ISNUMBER(F7),IF(OR(G7="Sì",G7="Si"),ROUND(F7*'Parametri 2026'!$B$16,2),0),"")</f>
        <v/>
      </c>
      <c r="I7" s="43">
        <f>IF(ISNUMBER(F7),F7+H7,"")</f>
        <v/>
      </c>
      <c r="J7" s="43">
        <f>IF(ISNUMBER(F7),IF(I7&gt;'Parametri 2026'!$B$14,'Parametri 2026'!$B$13,0),"")</f>
        <v/>
      </c>
      <c r="K7" s="42" t="inlineStr">
        <is>
          <t>Sì</t>
        </is>
      </c>
      <c r="L7" s="44">
        <f>IF(ISNUMBER(F7),I7+IF(K7="No",0,J7),"")</f>
        <v/>
      </c>
      <c r="M7" s="44">
        <f>IF(ISNUMBER(F7),I7+IF(AND(K7&lt;&gt;"No",Impostazioni!$B$29="Sì"),J7,0),"")</f>
        <v/>
      </c>
      <c r="N7" s="45">
        <f>IF(F7="","",IF(NOT(ISNUMBER(F7)),"Compenso non valido",IF(C7="","Da incassare",IF(NOT(ISNUMBER(C7)),"Data non valida",IF(YEAR(C7)='Parametri 2026'!$B$6,"Incassata","Incassata nel "&amp;YEAR(C7))))))</f>
        <v/>
      </c>
      <c r="O7" s="39" t="n"/>
    </row>
    <row r="8">
      <c r="A8" s="39" t="inlineStr">
        <is>
          <t>3/2026</t>
        </is>
      </c>
      <c r="B8" s="40" t="n">
        <v>46055</v>
      </c>
      <c r="C8" s="40" t="n">
        <v>46084</v>
      </c>
      <c r="D8" s="39" t="inlineStr">
        <is>
          <t>Hotel Belvedere</t>
        </is>
      </c>
      <c r="E8" s="39" t="inlineStr">
        <is>
          <t>Brochure e cartella stampa</t>
        </is>
      </c>
      <c r="F8" s="41" t="n">
        <v>1350</v>
      </c>
      <c r="G8" s="42" t="inlineStr">
        <is>
          <t>Sì</t>
        </is>
      </c>
      <c r="H8" s="43">
        <f>IF(ISNUMBER(F8),IF(OR(G8="Sì",G8="Si"),ROUND(F8*'Parametri 2026'!$B$16,2),0),"")</f>
        <v/>
      </c>
      <c r="I8" s="43">
        <f>IF(ISNUMBER(F8),F8+H8,"")</f>
        <v/>
      </c>
      <c r="J8" s="43">
        <f>IF(ISNUMBER(F8),IF(I8&gt;'Parametri 2026'!$B$14,'Parametri 2026'!$B$13,0),"")</f>
        <v/>
      </c>
      <c r="K8" s="42" t="inlineStr">
        <is>
          <t>Sì</t>
        </is>
      </c>
      <c r="L8" s="44">
        <f>IF(ISNUMBER(F8),I8+IF(K8="No",0,J8),"")</f>
        <v/>
      </c>
      <c r="M8" s="44">
        <f>IF(ISNUMBER(F8),I8+IF(AND(K8&lt;&gt;"No",Impostazioni!$B$29="Sì"),J8,0),"")</f>
        <v/>
      </c>
      <c r="N8" s="45">
        <f>IF(F8="","",IF(NOT(ISNUMBER(F8)),"Compenso non valido",IF(C8="","Da incassare",IF(NOT(ISNUMBER(C8)),"Data non valida",IF(YEAR(C8)='Parametri 2026'!$B$6,"Incassata","Incassata nel "&amp;YEAR(C8))))))</f>
        <v/>
      </c>
      <c r="O8" s="39" t="n"/>
    </row>
    <row r="9">
      <c r="A9" s="39" t="inlineStr">
        <is>
          <t>4/2026</t>
        </is>
      </c>
      <c r="B9" s="40" t="n">
        <v>46069</v>
      </c>
      <c r="C9" s="40" t="n">
        <v>46069</v>
      </c>
      <c r="D9" s="39" t="inlineStr">
        <is>
          <t>Giulia Ferri</t>
        </is>
      </c>
      <c r="E9" s="39" t="inlineStr">
        <is>
          <t>Biglietti da visita</t>
        </is>
      </c>
      <c r="F9" s="41" t="n">
        <v>70</v>
      </c>
      <c r="G9" s="42" t="inlineStr">
        <is>
          <t>No</t>
        </is>
      </c>
      <c r="H9" s="43">
        <f>IF(ISNUMBER(F9),IF(OR(G9="Sì",G9="Si"),ROUND(F9*'Parametri 2026'!$B$16,2),0),"")</f>
        <v/>
      </c>
      <c r="I9" s="43">
        <f>IF(ISNUMBER(F9),F9+H9,"")</f>
        <v/>
      </c>
      <c r="J9" s="43">
        <f>IF(ISNUMBER(F9),IF(I9&gt;'Parametri 2026'!$B$14,'Parametri 2026'!$B$13,0),"")</f>
        <v/>
      </c>
      <c r="K9" s="42" t="inlineStr">
        <is>
          <t>Sì</t>
        </is>
      </c>
      <c r="L9" s="44">
        <f>IF(ISNUMBER(F9),I9+IF(K9="No",0,J9),"")</f>
        <v/>
      </c>
      <c r="M9" s="44">
        <f>IF(ISNUMBER(F9),I9+IF(AND(K9&lt;&gt;"No",Impostazioni!$B$29="Sì"),J9,0),"")</f>
        <v/>
      </c>
      <c r="N9" s="45">
        <f>IF(F9="","",IF(NOT(ISNUMBER(F9)),"Compenso non valido",IF(C9="","Da incassare",IF(NOT(ISNUMBER(C9)),"Data non valida",IF(YEAR(C9)='Parametri 2026'!$B$6,"Incassata","Incassata nel "&amp;YEAR(C9))))))</f>
        <v/>
      </c>
      <c r="O9" s="39" t="n"/>
    </row>
    <row r="10">
      <c r="A10" s="39" t="inlineStr">
        <is>
          <t>5/2026</t>
        </is>
      </c>
      <c r="B10" s="40" t="n">
        <v>46080</v>
      </c>
      <c r="C10" s="40" t="n">
        <v>46112</v>
      </c>
      <c r="D10" s="39" t="inlineStr">
        <is>
          <t>Agenzia Delta Comunicazione srl</t>
        </is>
      </c>
      <c r="E10" s="39" t="inlineStr">
        <is>
          <t>Campagna social marzo</t>
        </is>
      </c>
      <c r="F10" s="41" t="n">
        <v>1600</v>
      </c>
      <c r="G10" s="42" t="inlineStr">
        <is>
          <t>Sì</t>
        </is>
      </c>
      <c r="H10" s="43">
        <f>IF(ISNUMBER(F10),IF(OR(G10="Sì",G10="Si"),ROUND(F10*'Parametri 2026'!$B$16,2),0),"")</f>
        <v/>
      </c>
      <c r="I10" s="43">
        <f>IF(ISNUMBER(F10),F10+H10,"")</f>
        <v/>
      </c>
      <c r="J10" s="43">
        <f>IF(ISNUMBER(F10),IF(I10&gt;'Parametri 2026'!$B$14,'Parametri 2026'!$B$13,0),"")</f>
        <v/>
      </c>
      <c r="K10" s="42" t="inlineStr">
        <is>
          <t>Sì</t>
        </is>
      </c>
      <c r="L10" s="44">
        <f>IF(ISNUMBER(F10),I10+IF(K10="No",0,J10),"")</f>
        <v/>
      </c>
      <c r="M10" s="44">
        <f>IF(ISNUMBER(F10),I10+IF(AND(K10&lt;&gt;"No",Impostazioni!$B$29="Sì"),J10,0),"")</f>
        <v/>
      </c>
      <c r="N10" s="45">
        <f>IF(F10="","",IF(NOT(ISNUMBER(F10)),"Compenso non valido",IF(C10="","Da incassare",IF(NOT(ISNUMBER(C10)),"Data non valida",IF(YEAR(C10)='Parametri 2026'!$B$6,"Incassata","Incassata nel "&amp;YEAR(C10))))))</f>
        <v/>
      </c>
      <c r="O10" s="39" t="n"/>
    </row>
    <row r="11">
      <c r="A11" s="39" t="inlineStr">
        <is>
          <t>6/2026</t>
        </is>
      </c>
      <c r="B11" s="40" t="n">
        <v>46091</v>
      </c>
      <c r="C11" s="40" t="n">
        <v>46121</v>
      </c>
      <c r="D11" s="39" t="inlineStr">
        <is>
          <t>Cantina Colli Alti</t>
        </is>
      </c>
      <c r="E11" s="39" t="inlineStr">
        <is>
          <t>Etichette vino, 3 referenze</t>
        </is>
      </c>
      <c r="F11" s="41" t="n">
        <v>2400</v>
      </c>
      <c r="G11" s="42" t="inlineStr">
        <is>
          <t>Sì</t>
        </is>
      </c>
      <c r="H11" s="43">
        <f>IF(ISNUMBER(F11),IF(OR(G11="Sì",G11="Si"),ROUND(F11*'Parametri 2026'!$B$16,2),0),"")</f>
        <v/>
      </c>
      <c r="I11" s="43">
        <f>IF(ISNUMBER(F11),F11+H11,"")</f>
        <v/>
      </c>
      <c r="J11" s="43">
        <f>IF(ISNUMBER(F11),IF(I11&gt;'Parametri 2026'!$B$14,'Parametri 2026'!$B$13,0),"")</f>
        <v/>
      </c>
      <c r="K11" s="42" t="inlineStr">
        <is>
          <t>Sì</t>
        </is>
      </c>
      <c r="L11" s="44">
        <f>IF(ISNUMBER(F11),I11+IF(K11="No",0,J11),"")</f>
        <v/>
      </c>
      <c r="M11" s="44">
        <f>IF(ISNUMBER(F11),I11+IF(AND(K11&lt;&gt;"No",Impostazioni!$B$29="Sì"),J11,0),"")</f>
        <v/>
      </c>
      <c r="N11" s="45">
        <f>IF(F11="","",IF(NOT(ISNUMBER(F11)),"Compenso non valido",IF(C11="","Da incassare",IF(NOT(ISNUMBER(C11)),"Data non valida",IF(YEAR(C11)='Parametri 2026'!$B$6,"Incassata","Incassata nel "&amp;YEAR(C11))))))</f>
        <v/>
      </c>
      <c r="O11" s="39" t="n"/>
    </row>
    <row r="12">
      <c r="A12" s="39" t="inlineStr">
        <is>
          <t>7/2026</t>
        </is>
      </c>
      <c r="B12" s="40" t="n">
        <v>46106</v>
      </c>
      <c r="C12" s="40" t="n">
        <v>46136</v>
      </c>
      <c r="D12" s="39" t="inlineStr">
        <is>
          <t>Associazione culturale Il Ponte</t>
        </is>
      </c>
      <c r="E12" s="39" t="inlineStr">
        <is>
          <t>Locandine rassegna</t>
        </is>
      </c>
      <c r="F12" s="41" t="n">
        <v>380</v>
      </c>
      <c r="G12" s="42" t="inlineStr">
        <is>
          <t>Sì</t>
        </is>
      </c>
      <c r="H12" s="43">
        <f>IF(ISNUMBER(F12),IF(OR(G12="Sì",G12="Si"),ROUND(F12*'Parametri 2026'!$B$16,2),0),"")</f>
        <v/>
      </c>
      <c r="I12" s="43">
        <f>IF(ISNUMBER(F12),F12+H12,"")</f>
        <v/>
      </c>
      <c r="J12" s="43">
        <f>IF(ISNUMBER(F12),IF(I12&gt;'Parametri 2026'!$B$14,'Parametri 2026'!$B$13,0),"")</f>
        <v/>
      </c>
      <c r="K12" s="42" t="inlineStr">
        <is>
          <t>Sì</t>
        </is>
      </c>
      <c r="L12" s="44">
        <f>IF(ISNUMBER(F12),I12+IF(K12="No",0,J12),"")</f>
        <v/>
      </c>
      <c r="M12" s="44">
        <f>IF(ISNUMBER(F12),I12+IF(AND(K12&lt;&gt;"No",Impostazioni!$B$29="Sì"),J12,0),"")</f>
        <v/>
      </c>
      <c r="N12" s="45">
        <f>IF(F12="","",IF(NOT(ISNUMBER(F12)),"Compenso non valido",IF(C12="","Da incassare",IF(NOT(ISNUMBER(C12)),"Data non valida",IF(YEAR(C12)='Parametri 2026'!$B$6,"Incassata","Incassata nel "&amp;YEAR(C12))))))</f>
        <v/>
      </c>
      <c r="O12" s="39" t="n"/>
    </row>
    <row r="13">
      <c r="A13" s="39" t="inlineStr">
        <is>
          <t>8/2026</t>
        </is>
      </c>
      <c r="B13" s="40" t="n">
        <v>46120</v>
      </c>
      <c r="C13" s="40" t="n">
        <v>46150</v>
      </c>
      <c r="D13" s="39" t="inlineStr">
        <is>
          <t>Studio Associato Bianchi</t>
        </is>
      </c>
      <c r="E13" s="39" t="inlineStr">
        <is>
          <t>Manutenzione grafica sito</t>
        </is>
      </c>
      <c r="F13" s="41" t="n">
        <v>600</v>
      </c>
      <c r="G13" s="42" t="inlineStr">
        <is>
          <t>Sì</t>
        </is>
      </c>
      <c r="H13" s="43">
        <f>IF(ISNUMBER(F13),IF(OR(G13="Sì",G13="Si"),ROUND(F13*'Parametri 2026'!$B$16,2),0),"")</f>
        <v/>
      </c>
      <c r="I13" s="43">
        <f>IF(ISNUMBER(F13),F13+H13,"")</f>
        <v/>
      </c>
      <c r="J13" s="43">
        <f>IF(ISNUMBER(F13),IF(I13&gt;'Parametri 2026'!$B$14,'Parametri 2026'!$B$13,0),"")</f>
        <v/>
      </c>
      <c r="K13" s="42" t="inlineStr">
        <is>
          <t>Sì</t>
        </is>
      </c>
      <c r="L13" s="44">
        <f>IF(ISNUMBER(F13),I13+IF(K13="No",0,J13),"")</f>
        <v/>
      </c>
      <c r="M13" s="44">
        <f>IF(ISNUMBER(F13),I13+IF(AND(K13&lt;&gt;"No",Impostazioni!$B$29="Sì"),J13,0),"")</f>
        <v/>
      </c>
      <c r="N13" s="45">
        <f>IF(F13="","",IF(NOT(ISNUMBER(F13)),"Compenso non valido",IF(C13="","Da incassare",IF(NOT(ISNUMBER(C13)),"Data non valida",IF(YEAR(C13)='Parametri 2026'!$B$6,"Incassata","Incassata nel "&amp;YEAR(C13))))))</f>
        <v/>
      </c>
      <c r="O13" s="39" t="n"/>
    </row>
    <row r="14">
      <c r="A14" s="39" t="inlineStr">
        <is>
          <t>9/2026</t>
        </is>
      </c>
      <c r="B14" s="40" t="n">
        <v>46134</v>
      </c>
      <c r="C14" s="40" t="n">
        <v>46171</v>
      </c>
      <c r="D14" s="39" t="inlineStr">
        <is>
          <t>Ferramenta Galli</t>
        </is>
      </c>
      <c r="E14" s="39" t="inlineStr">
        <is>
          <t>Catalogo prodotti</t>
        </is>
      </c>
      <c r="F14" s="41" t="n">
        <v>2900</v>
      </c>
      <c r="G14" s="42" t="inlineStr">
        <is>
          <t>Sì</t>
        </is>
      </c>
      <c r="H14" s="43">
        <f>IF(ISNUMBER(F14),IF(OR(G14="Sì",G14="Si"),ROUND(F14*'Parametri 2026'!$B$16,2),0),"")</f>
        <v/>
      </c>
      <c r="I14" s="43">
        <f>IF(ISNUMBER(F14),F14+H14,"")</f>
        <v/>
      </c>
      <c r="J14" s="43">
        <f>IF(ISNUMBER(F14),IF(I14&gt;'Parametri 2026'!$B$14,'Parametri 2026'!$B$13,0),"")</f>
        <v/>
      </c>
      <c r="K14" s="42" t="inlineStr">
        <is>
          <t>Sì</t>
        </is>
      </c>
      <c r="L14" s="44">
        <f>IF(ISNUMBER(F14),I14+IF(K14="No",0,J14),"")</f>
        <v/>
      </c>
      <c r="M14" s="44">
        <f>IF(ISNUMBER(F14),I14+IF(AND(K14&lt;&gt;"No",Impostazioni!$B$29="Sì"),J14,0),"")</f>
        <v/>
      </c>
      <c r="N14" s="45">
        <f>IF(F14="","",IF(NOT(ISNUMBER(F14)),"Compenso non valido",IF(C14="","Da incassare",IF(NOT(ISNUMBER(C14)),"Data non valida",IF(YEAR(C14)='Parametri 2026'!$B$6,"Incassata","Incassata nel "&amp;YEAR(C14))))))</f>
        <v/>
      </c>
      <c r="O14" s="39" t="n"/>
    </row>
    <row r="15">
      <c r="A15" s="39" t="inlineStr">
        <is>
          <t>10/2026</t>
        </is>
      </c>
      <c r="B15" s="40" t="n">
        <v>46148</v>
      </c>
      <c r="C15" s="40" t="n">
        <v>46178</v>
      </c>
      <c r="D15" s="39" t="inlineStr">
        <is>
          <t>Agenzia Delta Comunicazione srl</t>
        </is>
      </c>
      <c r="E15" s="39" t="inlineStr">
        <is>
          <t>Campagna social maggio</t>
        </is>
      </c>
      <c r="F15" s="41" t="n">
        <v>1600</v>
      </c>
      <c r="G15" s="42" t="inlineStr">
        <is>
          <t>Sì</t>
        </is>
      </c>
      <c r="H15" s="43">
        <f>IF(ISNUMBER(F15),IF(OR(G15="Sì",G15="Si"),ROUND(F15*'Parametri 2026'!$B$16,2),0),"")</f>
        <v/>
      </c>
      <c r="I15" s="43">
        <f>IF(ISNUMBER(F15),F15+H15,"")</f>
        <v/>
      </c>
      <c r="J15" s="43">
        <f>IF(ISNUMBER(F15),IF(I15&gt;'Parametri 2026'!$B$14,'Parametri 2026'!$B$13,0),"")</f>
        <v/>
      </c>
      <c r="K15" s="42" t="inlineStr">
        <is>
          <t>Sì</t>
        </is>
      </c>
      <c r="L15" s="44">
        <f>IF(ISNUMBER(F15),I15+IF(K15="No",0,J15),"")</f>
        <v/>
      </c>
      <c r="M15" s="44">
        <f>IF(ISNUMBER(F15),I15+IF(AND(K15&lt;&gt;"No",Impostazioni!$B$29="Sì"),J15,0),"")</f>
        <v/>
      </c>
      <c r="N15" s="45">
        <f>IF(F15="","",IF(NOT(ISNUMBER(F15)),"Compenso non valido",IF(C15="","Da incassare",IF(NOT(ISNUMBER(C15)),"Data non valida",IF(YEAR(C15)='Parametri 2026'!$B$6,"Incassata","Incassata nel "&amp;YEAR(C15))))))</f>
        <v/>
      </c>
      <c r="O15" s="39" t="n"/>
    </row>
    <row r="16">
      <c r="A16" s="39" t="inlineStr">
        <is>
          <t>11/2026</t>
        </is>
      </c>
      <c r="B16" s="40" t="n">
        <v>46162</v>
      </c>
      <c r="C16" s="40" t="n">
        <v>46192</v>
      </c>
      <c r="D16" s="39" t="inlineStr">
        <is>
          <t>Hotel Belvedere</t>
        </is>
      </c>
      <c r="E16" s="39" t="inlineStr">
        <is>
          <t>Grafica sito e servizio foto</t>
        </is>
      </c>
      <c r="F16" s="41" t="n">
        <v>3100</v>
      </c>
      <c r="G16" s="42" t="inlineStr">
        <is>
          <t>Sì</t>
        </is>
      </c>
      <c r="H16" s="43">
        <f>IF(ISNUMBER(F16),IF(OR(G16="Sì",G16="Si"),ROUND(F16*'Parametri 2026'!$B$16,2),0),"")</f>
        <v/>
      </c>
      <c r="I16" s="43">
        <f>IF(ISNUMBER(F16),F16+H16,"")</f>
        <v/>
      </c>
      <c r="J16" s="43">
        <f>IF(ISNUMBER(F16),IF(I16&gt;'Parametri 2026'!$B$14,'Parametri 2026'!$B$13,0),"")</f>
        <v/>
      </c>
      <c r="K16" s="42" t="inlineStr">
        <is>
          <t>Sì</t>
        </is>
      </c>
      <c r="L16" s="44">
        <f>IF(ISNUMBER(F16),I16+IF(K16="No",0,J16),"")</f>
        <v/>
      </c>
      <c r="M16" s="44">
        <f>IF(ISNUMBER(F16),I16+IF(AND(K16&lt;&gt;"No",Impostazioni!$B$29="Sì"),J16,0),"")</f>
        <v/>
      </c>
      <c r="N16" s="45">
        <f>IF(F16="","",IF(NOT(ISNUMBER(F16)),"Compenso non valido",IF(C16="","Da incassare",IF(NOT(ISNUMBER(C16)),"Data non valida",IF(YEAR(C16)='Parametri 2026'!$B$6,"Incassata","Incassata nel "&amp;YEAR(C16))))))</f>
        <v/>
      </c>
      <c r="O16" s="39" t="n"/>
    </row>
    <row r="17">
      <c r="A17" s="39" t="inlineStr">
        <is>
          <t>12/2026</t>
        </is>
      </c>
      <c r="B17" s="40" t="n">
        <v>46176</v>
      </c>
      <c r="C17" s="40" t="n">
        <v>46206</v>
      </c>
      <c r="D17" s="39" t="inlineStr">
        <is>
          <t>Palestra Linea Uno</t>
        </is>
      </c>
      <c r="E17" s="39" t="inlineStr">
        <is>
          <t>Restyling logo</t>
        </is>
      </c>
      <c r="F17" s="41" t="n">
        <v>950</v>
      </c>
      <c r="G17" s="42" t="inlineStr">
        <is>
          <t>Sì</t>
        </is>
      </c>
      <c r="H17" s="43">
        <f>IF(ISNUMBER(F17),IF(OR(G17="Sì",G17="Si"),ROUND(F17*'Parametri 2026'!$B$16,2),0),"")</f>
        <v/>
      </c>
      <c r="I17" s="43">
        <f>IF(ISNUMBER(F17),F17+H17,"")</f>
        <v/>
      </c>
      <c r="J17" s="43">
        <f>IF(ISNUMBER(F17),IF(I17&gt;'Parametri 2026'!$B$14,'Parametri 2026'!$B$13,0),"")</f>
        <v/>
      </c>
      <c r="K17" s="42" t="inlineStr">
        <is>
          <t>No</t>
        </is>
      </c>
      <c r="L17" s="44">
        <f>IF(ISNUMBER(F17),I17+IF(K17="No",0,J17),"")</f>
        <v/>
      </c>
      <c r="M17" s="44">
        <f>IF(ISNUMBER(F17),I17+IF(AND(K17&lt;&gt;"No",Impostazioni!$B$29="Sì"),J17,0),"")</f>
        <v/>
      </c>
      <c r="N17" s="45">
        <f>IF(F17="","",IF(NOT(ISNUMBER(F17)),"Compenso non valido",IF(C17="","Da incassare",IF(NOT(ISNUMBER(C17)),"Data non valida",IF(YEAR(C17)='Parametri 2026'!$B$6,"Incassata","Incassata nel "&amp;YEAR(C17))))))</f>
        <v/>
      </c>
      <c r="O17" s="39" t="n"/>
    </row>
    <row r="18">
      <c r="A18" s="39" t="inlineStr">
        <is>
          <t>13/2026</t>
        </is>
      </c>
      <c r="B18" s="40" t="n">
        <v>46190</v>
      </c>
      <c r="C18" s="40" t="n">
        <v>46220</v>
      </c>
      <c r="D18" s="39" t="inlineStr">
        <is>
          <t>Cantina Colli Alti</t>
        </is>
      </c>
      <c r="E18" s="39" t="inlineStr">
        <is>
          <t>Packaging confezioni regalo</t>
        </is>
      </c>
      <c r="F18" s="41" t="n">
        <v>2700</v>
      </c>
      <c r="G18" s="42" t="inlineStr">
        <is>
          <t>Sì</t>
        </is>
      </c>
      <c r="H18" s="43">
        <f>IF(ISNUMBER(F18),IF(OR(G18="Sì",G18="Si"),ROUND(F18*'Parametri 2026'!$B$16,2),0),"")</f>
        <v/>
      </c>
      <c r="I18" s="43">
        <f>IF(ISNUMBER(F18),F18+H18,"")</f>
        <v/>
      </c>
      <c r="J18" s="43">
        <f>IF(ISNUMBER(F18),IF(I18&gt;'Parametri 2026'!$B$14,'Parametri 2026'!$B$13,0),"")</f>
        <v/>
      </c>
      <c r="K18" s="42" t="inlineStr">
        <is>
          <t>Sì</t>
        </is>
      </c>
      <c r="L18" s="44">
        <f>IF(ISNUMBER(F18),I18+IF(K18="No",0,J18),"")</f>
        <v/>
      </c>
      <c r="M18" s="44">
        <f>IF(ISNUMBER(F18),I18+IF(AND(K18&lt;&gt;"No",Impostazioni!$B$29="Sì"),J18,0),"")</f>
        <v/>
      </c>
      <c r="N18" s="45">
        <f>IF(F18="","",IF(NOT(ISNUMBER(F18)),"Compenso non valido",IF(C18="","Da incassare",IF(NOT(ISNUMBER(C18)),"Data non valida",IF(YEAR(C18)='Parametri 2026'!$B$6,"Incassata","Incassata nel "&amp;YEAR(C18))))))</f>
        <v/>
      </c>
      <c r="O18" s="39" t="n"/>
    </row>
    <row r="19">
      <c r="A19" s="39" t="inlineStr">
        <is>
          <t>14/2026</t>
        </is>
      </c>
      <c r="B19" s="40" t="n">
        <v>46204</v>
      </c>
      <c r="C19" s="40" t="n">
        <v>46234</v>
      </c>
      <c r="D19" s="39" t="inlineStr">
        <is>
          <t>Agenzia Delta Comunicazione srl</t>
        </is>
      </c>
      <c r="E19" s="39" t="inlineStr">
        <is>
          <t>Campagna social luglio</t>
        </is>
      </c>
      <c r="F19" s="41" t="n">
        <v>1600</v>
      </c>
      <c r="G19" s="42" t="inlineStr">
        <is>
          <t>Sì</t>
        </is>
      </c>
      <c r="H19" s="43">
        <f>IF(ISNUMBER(F19),IF(OR(G19="Sì",G19="Si"),ROUND(F19*'Parametri 2026'!$B$16,2),0),"")</f>
        <v/>
      </c>
      <c r="I19" s="43">
        <f>IF(ISNUMBER(F19),F19+H19,"")</f>
        <v/>
      </c>
      <c r="J19" s="43">
        <f>IF(ISNUMBER(F19),IF(I19&gt;'Parametri 2026'!$B$14,'Parametri 2026'!$B$13,0),"")</f>
        <v/>
      </c>
      <c r="K19" s="42" t="inlineStr">
        <is>
          <t>Sì</t>
        </is>
      </c>
      <c r="L19" s="44">
        <f>IF(ISNUMBER(F19),I19+IF(K19="No",0,J19),"")</f>
        <v/>
      </c>
      <c r="M19" s="44">
        <f>IF(ISNUMBER(F19),I19+IF(AND(K19&lt;&gt;"No",Impostazioni!$B$29="Sì"),J19,0),"")</f>
        <v/>
      </c>
      <c r="N19" s="45">
        <f>IF(F19="","",IF(NOT(ISNUMBER(F19)),"Compenso non valido",IF(C19="","Da incassare",IF(NOT(ISNUMBER(C19)),"Data non valida",IF(YEAR(C19)='Parametri 2026'!$B$6,"Incassata","Incassata nel "&amp;YEAR(C19))))))</f>
        <v/>
      </c>
      <c r="O19" s="39" t="n"/>
    </row>
    <row r="20">
      <c r="A20" s="39" t="inlineStr">
        <is>
          <t>15/2026</t>
        </is>
      </c>
      <c r="B20" s="40" t="n">
        <v>46218</v>
      </c>
      <c r="C20" s="40" t="n">
        <v>46262</v>
      </c>
      <c r="D20" s="39" t="inlineStr">
        <is>
          <t>Studio dentistico Sorriso</t>
        </is>
      </c>
      <c r="E20" s="39" t="inlineStr">
        <is>
          <t>Pieghevoli informativi</t>
        </is>
      </c>
      <c r="F20" s="41" t="n">
        <v>520</v>
      </c>
      <c r="G20" s="42" t="inlineStr">
        <is>
          <t>Sì</t>
        </is>
      </c>
      <c r="H20" s="43">
        <f>IF(ISNUMBER(F20),IF(OR(G20="Sì",G20="Si"),ROUND(F20*'Parametri 2026'!$B$16,2),0),"")</f>
        <v/>
      </c>
      <c r="I20" s="43">
        <f>IF(ISNUMBER(F20),F20+H20,"")</f>
        <v/>
      </c>
      <c r="J20" s="43">
        <f>IF(ISNUMBER(F20),IF(I20&gt;'Parametri 2026'!$B$14,'Parametri 2026'!$B$13,0),"")</f>
        <v/>
      </c>
      <c r="K20" s="42" t="inlineStr">
        <is>
          <t>Sì</t>
        </is>
      </c>
      <c r="L20" s="44">
        <f>IF(ISNUMBER(F20),I20+IF(K20="No",0,J20),"")</f>
        <v/>
      </c>
      <c r="M20" s="44">
        <f>IF(ISNUMBER(F20),I20+IF(AND(K20&lt;&gt;"No",Impostazioni!$B$29="Sì"),J20,0),"")</f>
        <v/>
      </c>
      <c r="N20" s="45">
        <f>IF(F20="","",IF(NOT(ISNUMBER(F20)),"Compenso non valido",IF(C20="","Da incassare",IF(NOT(ISNUMBER(C20)),"Data non valida",IF(YEAR(C20)='Parametri 2026'!$B$6,"Incassata","Incassata nel "&amp;YEAR(C20))))))</f>
        <v/>
      </c>
      <c r="O20" s="39" t="n"/>
    </row>
    <row r="21">
      <c r="A21" s="39" t="inlineStr">
        <is>
          <t>16/2026</t>
        </is>
      </c>
      <c r="B21" s="40" t="n">
        <v>46231</v>
      </c>
      <c r="C21" s="40" t="n">
        <v>46275</v>
      </c>
      <c r="D21" s="39" t="inlineStr">
        <is>
          <t>Ferramenta Galli</t>
        </is>
      </c>
      <c r="E21" s="39" t="inlineStr">
        <is>
          <t>Volantini promozione autunno</t>
        </is>
      </c>
      <c r="F21" s="41" t="n">
        <v>750</v>
      </c>
      <c r="G21" s="42" t="inlineStr">
        <is>
          <t>Sì</t>
        </is>
      </c>
      <c r="H21" s="43">
        <f>IF(ISNUMBER(F21),IF(OR(G21="Sì",G21="Si"),ROUND(F21*'Parametri 2026'!$B$16,2),0),"")</f>
        <v/>
      </c>
      <c r="I21" s="43">
        <f>IF(ISNUMBER(F21),F21+H21,"")</f>
        <v/>
      </c>
      <c r="J21" s="43">
        <f>IF(ISNUMBER(F21),IF(I21&gt;'Parametri 2026'!$B$14,'Parametri 2026'!$B$13,0),"")</f>
        <v/>
      </c>
      <c r="K21" s="42" t="inlineStr">
        <is>
          <t>Sì</t>
        </is>
      </c>
      <c r="L21" s="44">
        <f>IF(ISNUMBER(F21),I21+IF(K21="No",0,J21),"")</f>
        <v/>
      </c>
      <c r="M21" s="44">
        <f>IF(ISNUMBER(F21),I21+IF(AND(K21&lt;&gt;"No",Impostazioni!$B$29="Sì"),J21,0),"")</f>
        <v/>
      </c>
      <c r="N21" s="45">
        <f>IF(F21="","",IF(NOT(ISNUMBER(F21)),"Compenso non valido",IF(C21="","Da incassare",IF(NOT(ISNUMBER(C21)),"Data non valida",IF(YEAR(C21)='Parametri 2026'!$B$6,"Incassata","Incassata nel "&amp;YEAR(C21))))))</f>
        <v/>
      </c>
      <c r="O21" s="39" t="n"/>
    </row>
    <row r="22">
      <c r="A22" s="39" t="inlineStr">
        <is>
          <t>17/2026</t>
        </is>
      </c>
      <c r="B22" s="40" t="n">
        <v>46269</v>
      </c>
      <c r="C22" s="40" t="n">
        <v>46297</v>
      </c>
      <c r="D22" s="39" t="inlineStr">
        <is>
          <t>Agenzia Delta Comunicazione srl</t>
        </is>
      </c>
      <c r="E22" s="39" t="inlineStr">
        <is>
          <t>Campagna social settembre</t>
        </is>
      </c>
      <c r="F22" s="41" t="n">
        <v>1600</v>
      </c>
      <c r="G22" s="42" t="inlineStr">
        <is>
          <t>Sì</t>
        </is>
      </c>
      <c r="H22" s="43">
        <f>IF(ISNUMBER(F22),IF(OR(G22="Sì",G22="Si"),ROUND(F22*'Parametri 2026'!$B$16,2),0),"")</f>
        <v/>
      </c>
      <c r="I22" s="43">
        <f>IF(ISNUMBER(F22),F22+H22,"")</f>
        <v/>
      </c>
      <c r="J22" s="43">
        <f>IF(ISNUMBER(F22),IF(I22&gt;'Parametri 2026'!$B$14,'Parametri 2026'!$B$13,0),"")</f>
        <v/>
      </c>
      <c r="K22" s="42" t="inlineStr">
        <is>
          <t>Sì</t>
        </is>
      </c>
      <c r="L22" s="44">
        <f>IF(ISNUMBER(F22),I22+IF(K22="No",0,J22),"")</f>
        <v/>
      </c>
      <c r="M22" s="44">
        <f>IF(ISNUMBER(F22),I22+IF(AND(K22&lt;&gt;"No",Impostazioni!$B$29="Sì"),J22,0),"")</f>
        <v/>
      </c>
      <c r="N22" s="45">
        <f>IF(F22="","",IF(NOT(ISNUMBER(F22)),"Compenso non valido",IF(C22="","Da incassare",IF(NOT(ISNUMBER(C22)),"Data non valida",IF(YEAR(C22)='Parametri 2026'!$B$6,"Incassata","Incassata nel "&amp;YEAR(C22))))))</f>
        <v/>
      </c>
      <c r="O22" s="39" t="n"/>
    </row>
    <row r="23">
      <c r="A23" s="39" t="inlineStr">
        <is>
          <t>18/2026</t>
        </is>
      </c>
      <c r="B23" s="40" t="n">
        <v>46280</v>
      </c>
      <c r="C23" s="40" t="n">
        <v>46310</v>
      </c>
      <c r="D23" s="39" t="inlineStr">
        <is>
          <t>Hotel Belvedere</t>
        </is>
      </c>
      <c r="E23" s="39" t="inlineStr">
        <is>
          <t>Menu ristorante</t>
        </is>
      </c>
      <c r="F23" s="41" t="n">
        <v>680</v>
      </c>
      <c r="G23" s="42" t="inlineStr">
        <is>
          <t>Sì</t>
        </is>
      </c>
      <c r="H23" s="43">
        <f>IF(ISNUMBER(F23),IF(OR(G23="Sì",G23="Si"),ROUND(F23*'Parametri 2026'!$B$16,2),0),"")</f>
        <v/>
      </c>
      <c r="I23" s="43">
        <f>IF(ISNUMBER(F23),F23+H23,"")</f>
        <v/>
      </c>
      <c r="J23" s="43">
        <f>IF(ISNUMBER(F23),IF(I23&gt;'Parametri 2026'!$B$14,'Parametri 2026'!$B$13,0),"")</f>
        <v/>
      </c>
      <c r="K23" s="42" t="inlineStr">
        <is>
          <t>Sì</t>
        </is>
      </c>
      <c r="L23" s="44">
        <f>IF(ISNUMBER(F23),I23+IF(K23="No",0,J23),"")</f>
        <v/>
      </c>
      <c r="M23" s="44">
        <f>IF(ISNUMBER(F23),I23+IF(AND(K23&lt;&gt;"No",Impostazioni!$B$29="Sì"),J23,0),"")</f>
        <v/>
      </c>
      <c r="N23" s="45">
        <f>IF(F23="","",IF(NOT(ISNUMBER(F23)),"Compenso non valido",IF(C23="","Da incassare",IF(NOT(ISNUMBER(C23)),"Data non valida",IF(YEAR(C23)='Parametri 2026'!$B$6,"Incassata","Incassata nel "&amp;YEAR(C23))))))</f>
        <v/>
      </c>
      <c r="O23" s="39" t="n"/>
    </row>
    <row r="24">
      <c r="A24" s="39" t="inlineStr">
        <is>
          <t>19/2026</t>
        </is>
      </c>
      <c r="B24" s="40" t="n">
        <v>46294</v>
      </c>
      <c r="C24" s="40" t="n">
        <v>46324</v>
      </c>
      <c r="D24" s="39" t="inlineStr">
        <is>
          <t>Cantina Colli Alti</t>
        </is>
      </c>
      <c r="E24" s="39" t="inlineStr">
        <is>
          <t>Grafica stand fiera</t>
        </is>
      </c>
      <c r="F24" s="41" t="n">
        <v>3200</v>
      </c>
      <c r="G24" s="42" t="inlineStr">
        <is>
          <t>Sì</t>
        </is>
      </c>
      <c r="H24" s="43">
        <f>IF(ISNUMBER(F24),IF(OR(G24="Sì",G24="Si"),ROUND(F24*'Parametri 2026'!$B$16,2),0),"")</f>
        <v/>
      </c>
      <c r="I24" s="43">
        <f>IF(ISNUMBER(F24),F24+H24,"")</f>
        <v/>
      </c>
      <c r="J24" s="43">
        <f>IF(ISNUMBER(F24),IF(I24&gt;'Parametri 2026'!$B$14,'Parametri 2026'!$B$13,0),"")</f>
        <v/>
      </c>
      <c r="K24" s="42" t="inlineStr">
        <is>
          <t>Sì</t>
        </is>
      </c>
      <c r="L24" s="44">
        <f>IF(ISNUMBER(F24),I24+IF(K24="No",0,J24),"")</f>
        <v/>
      </c>
      <c r="M24" s="44">
        <f>IF(ISNUMBER(F24),I24+IF(AND(K24&lt;&gt;"No",Impostazioni!$B$29="Sì"),J24,0),"")</f>
        <v/>
      </c>
      <c r="N24" s="45">
        <f>IF(F24="","",IF(NOT(ISNUMBER(F24)),"Compenso non valido",IF(C24="","Da incassare",IF(NOT(ISNUMBER(C24)),"Data non valida",IF(YEAR(C24)='Parametri 2026'!$B$6,"Incassata","Incassata nel "&amp;YEAR(C24))))))</f>
        <v/>
      </c>
      <c r="O24" s="39" t="n"/>
    </row>
    <row r="25">
      <c r="A25" s="39" t="inlineStr">
        <is>
          <t>20/2026</t>
        </is>
      </c>
      <c r="B25" s="40" t="n">
        <v>46307</v>
      </c>
      <c r="C25" s="40" t="n">
        <v>46337</v>
      </c>
      <c r="D25" s="39" t="inlineStr">
        <is>
          <t>Associazione culturale Il Ponte</t>
        </is>
      </c>
      <c r="E25" s="39" t="inlineStr">
        <is>
          <t>Programma stagione</t>
        </is>
      </c>
      <c r="F25" s="41" t="n">
        <v>420</v>
      </c>
      <c r="G25" s="42" t="inlineStr">
        <is>
          <t>Sì</t>
        </is>
      </c>
      <c r="H25" s="43">
        <f>IF(ISNUMBER(F25),IF(OR(G25="Sì",G25="Si"),ROUND(F25*'Parametri 2026'!$B$16,2),0),"")</f>
        <v/>
      </c>
      <c r="I25" s="43">
        <f>IF(ISNUMBER(F25),F25+H25,"")</f>
        <v/>
      </c>
      <c r="J25" s="43">
        <f>IF(ISNUMBER(F25),IF(I25&gt;'Parametri 2026'!$B$14,'Parametri 2026'!$B$13,0),"")</f>
        <v/>
      </c>
      <c r="K25" s="42" t="inlineStr">
        <is>
          <t>Sì</t>
        </is>
      </c>
      <c r="L25" s="44">
        <f>IF(ISNUMBER(F25),I25+IF(K25="No",0,J25),"")</f>
        <v/>
      </c>
      <c r="M25" s="44">
        <f>IF(ISNUMBER(F25),I25+IF(AND(K25&lt;&gt;"No",Impostazioni!$B$29="Sì"),J25,0),"")</f>
        <v/>
      </c>
      <c r="N25" s="45">
        <f>IF(F25="","",IF(NOT(ISNUMBER(F25)),"Compenso non valido",IF(C25="","Da incassare",IF(NOT(ISNUMBER(C25)),"Data non valida",IF(YEAR(C25)='Parametri 2026'!$B$6,"Incassata","Incassata nel "&amp;YEAR(C25))))))</f>
        <v/>
      </c>
      <c r="O25" s="39" t="n"/>
    </row>
    <row r="26">
      <c r="A26" s="39" t="inlineStr">
        <is>
          <t>21/2026</t>
        </is>
      </c>
      <c r="B26" s="40" t="n">
        <v>46321</v>
      </c>
      <c r="C26" s="40" t="n">
        <v>46351</v>
      </c>
      <c r="D26" s="39" t="inlineStr">
        <is>
          <t>Studio Associato Bianchi</t>
        </is>
      </c>
      <c r="E26" s="39" t="inlineStr">
        <is>
          <t>Presentazione aziendale</t>
        </is>
      </c>
      <c r="F26" s="41" t="n">
        <v>1300</v>
      </c>
      <c r="G26" s="42" t="inlineStr">
        <is>
          <t>Sì</t>
        </is>
      </c>
      <c r="H26" s="43">
        <f>IF(ISNUMBER(F26),IF(OR(G26="Sì",G26="Si"),ROUND(F26*'Parametri 2026'!$B$16,2),0),"")</f>
        <v/>
      </c>
      <c r="I26" s="43">
        <f>IF(ISNUMBER(F26),F26+H26,"")</f>
        <v/>
      </c>
      <c r="J26" s="43">
        <f>IF(ISNUMBER(F26),IF(I26&gt;'Parametri 2026'!$B$14,'Parametri 2026'!$B$13,0),"")</f>
        <v/>
      </c>
      <c r="K26" s="42" t="inlineStr">
        <is>
          <t>Sì</t>
        </is>
      </c>
      <c r="L26" s="44">
        <f>IF(ISNUMBER(F26),I26+IF(K26="No",0,J26),"")</f>
        <v/>
      </c>
      <c r="M26" s="44">
        <f>IF(ISNUMBER(F26),I26+IF(AND(K26&lt;&gt;"No",Impostazioni!$B$29="Sì"),J26,0),"")</f>
        <v/>
      </c>
      <c r="N26" s="45">
        <f>IF(F26="","",IF(NOT(ISNUMBER(F26)),"Compenso non valido",IF(C26="","Da incassare",IF(NOT(ISNUMBER(C26)),"Data non valida",IF(YEAR(C26)='Parametri 2026'!$B$6,"Incassata","Incassata nel "&amp;YEAR(C26))))))</f>
        <v/>
      </c>
      <c r="O26" s="39" t="n"/>
    </row>
    <row r="27">
      <c r="A27" s="39" t="inlineStr">
        <is>
          <t>22/2026</t>
        </is>
      </c>
      <c r="B27" s="40" t="n">
        <v>46332</v>
      </c>
      <c r="C27" s="40" t="n">
        <v>46360</v>
      </c>
      <c r="D27" s="39" t="inlineStr">
        <is>
          <t>Agenzia Delta Comunicazione srl</t>
        </is>
      </c>
      <c r="E27" s="39" t="inlineStr">
        <is>
          <t>Campagna social novembre</t>
        </is>
      </c>
      <c r="F27" s="41" t="n">
        <v>1600</v>
      </c>
      <c r="G27" s="42" t="inlineStr">
        <is>
          <t>Sì</t>
        </is>
      </c>
      <c r="H27" s="43">
        <f>IF(ISNUMBER(F27),IF(OR(G27="Sì",G27="Si"),ROUND(F27*'Parametri 2026'!$B$16,2),0),"")</f>
        <v/>
      </c>
      <c r="I27" s="43">
        <f>IF(ISNUMBER(F27),F27+H27,"")</f>
        <v/>
      </c>
      <c r="J27" s="43">
        <f>IF(ISNUMBER(F27),IF(I27&gt;'Parametri 2026'!$B$14,'Parametri 2026'!$B$13,0),"")</f>
        <v/>
      </c>
      <c r="K27" s="42" t="inlineStr">
        <is>
          <t>Sì</t>
        </is>
      </c>
      <c r="L27" s="44">
        <f>IF(ISNUMBER(F27),I27+IF(K27="No",0,J27),"")</f>
        <v/>
      </c>
      <c r="M27" s="44">
        <f>IF(ISNUMBER(F27),I27+IF(AND(K27&lt;&gt;"No",Impostazioni!$B$29="Sì"),J27,0),"")</f>
        <v/>
      </c>
      <c r="N27" s="45">
        <f>IF(F27="","",IF(NOT(ISNUMBER(F27)),"Compenso non valido",IF(C27="","Da incassare",IF(NOT(ISNUMBER(C27)),"Data non valida",IF(YEAR(C27)='Parametri 2026'!$B$6,"Incassata","Incassata nel "&amp;YEAR(C27))))))</f>
        <v/>
      </c>
      <c r="O27" s="39" t="n"/>
    </row>
    <row r="28">
      <c r="A28" s="39" t="inlineStr">
        <is>
          <t>23/2026</t>
        </is>
      </c>
      <c r="B28" s="40" t="n">
        <v>46344</v>
      </c>
      <c r="C28" s="40" t="n">
        <v>46374</v>
      </c>
      <c r="D28" s="39" t="inlineStr">
        <is>
          <t>Panificio Moretti</t>
        </is>
      </c>
      <c r="E28" s="39" t="inlineStr">
        <is>
          <t>Grafica per Natale</t>
        </is>
      </c>
      <c r="F28" s="41" t="n">
        <v>520</v>
      </c>
      <c r="G28" s="42" t="inlineStr">
        <is>
          <t>Sì</t>
        </is>
      </c>
      <c r="H28" s="43">
        <f>IF(ISNUMBER(F28),IF(OR(G28="Sì",G28="Si"),ROUND(F28*'Parametri 2026'!$B$16,2),0),"")</f>
        <v/>
      </c>
      <c r="I28" s="43">
        <f>IF(ISNUMBER(F28),F28+H28,"")</f>
        <v/>
      </c>
      <c r="J28" s="43">
        <f>IF(ISNUMBER(F28),IF(I28&gt;'Parametri 2026'!$B$14,'Parametri 2026'!$B$13,0),"")</f>
        <v/>
      </c>
      <c r="K28" s="42" t="inlineStr">
        <is>
          <t>Sì</t>
        </is>
      </c>
      <c r="L28" s="44">
        <f>IF(ISNUMBER(F28),I28+IF(K28="No",0,J28),"")</f>
        <v/>
      </c>
      <c r="M28" s="44">
        <f>IF(ISNUMBER(F28),I28+IF(AND(K28&lt;&gt;"No",Impostazioni!$B$29="Sì"),J28,0),"")</f>
        <v/>
      </c>
      <c r="N28" s="45">
        <f>IF(F28="","",IF(NOT(ISNUMBER(F28)),"Compenso non valido",IF(C28="","Da incassare",IF(NOT(ISNUMBER(C28)),"Data non valida",IF(YEAR(C28)='Parametri 2026'!$B$6,"Incassata","Incassata nel "&amp;YEAR(C28))))))</f>
        <v/>
      </c>
      <c r="O28" s="39" t="n"/>
    </row>
    <row r="29">
      <c r="A29" s="39" t="inlineStr">
        <is>
          <t>24/2026</t>
        </is>
      </c>
      <c r="B29" s="40" t="n">
        <v>46358</v>
      </c>
      <c r="C29" s="40" t="n">
        <v>46378</v>
      </c>
      <c r="D29" s="39" t="inlineStr">
        <is>
          <t>Ferramenta Galli</t>
        </is>
      </c>
      <c r="E29" s="39" t="inlineStr">
        <is>
          <t>Calendario 2027</t>
        </is>
      </c>
      <c r="F29" s="41" t="n">
        <v>1450</v>
      </c>
      <c r="G29" s="42" t="inlineStr">
        <is>
          <t>Sì</t>
        </is>
      </c>
      <c r="H29" s="43">
        <f>IF(ISNUMBER(F29),IF(OR(G29="Sì",G29="Si"),ROUND(F29*'Parametri 2026'!$B$16,2),0),"")</f>
        <v/>
      </c>
      <c r="I29" s="43">
        <f>IF(ISNUMBER(F29),F29+H29,"")</f>
        <v/>
      </c>
      <c r="J29" s="43">
        <f>IF(ISNUMBER(F29),IF(I29&gt;'Parametri 2026'!$B$14,'Parametri 2026'!$B$13,0),"")</f>
        <v/>
      </c>
      <c r="K29" s="42" t="inlineStr">
        <is>
          <t>Sì</t>
        </is>
      </c>
      <c r="L29" s="44">
        <f>IF(ISNUMBER(F29),I29+IF(K29="No",0,J29),"")</f>
        <v/>
      </c>
      <c r="M29" s="44">
        <f>IF(ISNUMBER(F29),I29+IF(AND(K29&lt;&gt;"No",Impostazioni!$B$29="Sì"),J29,0),"")</f>
        <v/>
      </c>
      <c r="N29" s="45">
        <f>IF(F29="","",IF(NOT(ISNUMBER(F29)),"Compenso non valido",IF(C29="","Da incassare",IF(NOT(ISNUMBER(C29)),"Data non valida",IF(YEAR(C29)='Parametri 2026'!$B$6,"Incassata","Incassata nel "&amp;YEAR(C29))))))</f>
        <v/>
      </c>
      <c r="O29" s="39" t="n"/>
    </row>
    <row r="30">
      <c r="A30" s="39" t="inlineStr">
        <is>
          <t>25/2026</t>
        </is>
      </c>
      <c r="B30" s="40" t="n">
        <v>46371</v>
      </c>
      <c r="C30" s="40" t="n"/>
      <c r="D30" s="39" t="inlineStr">
        <is>
          <t>Hotel Belvedere</t>
        </is>
      </c>
      <c r="E30" s="39" t="inlineStr">
        <is>
          <t>Auguri e campagna gennaio</t>
        </is>
      </c>
      <c r="F30" s="41" t="n">
        <v>1200</v>
      </c>
      <c r="G30" s="42" t="inlineStr">
        <is>
          <t>Sì</t>
        </is>
      </c>
      <c r="H30" s="43">
        <f>IF(ISNUMBER(F30),IF(OR(G30="Sì",G30="Si"),ROUND(F30*'Parametri 2026'!$B$16,2),0),"")</f>
        <v/>
      </c>
      <c r="I30" s="43">
        <f>IF(ISNUMBER(F30),F30+H30,"")</f>
        <v/>
      </c>
      <c r="J30" s="43">
        <f>IF(ISNUMBER(F30),IF(I30&gt;'Parametri 2026'!$B$14,'Parametri 2026'!$B$13,0),"")</f>
        <v/>
      </c>
      <c r="K30" s="42" t="inlineStr">
        <is>
          <t>Sì</t>
        </is>
      </c>
      <c r="L30" s="44">
        <f>IF(ISNUMBER(F30),I30+IF(K30="No",0,J30),"")</f>
        <v/>
      </c>
      <c r="M30" s="44">
        <f>IF(ISNUMBER(F30),I30+IF(AND(K30&lt;&gt;"No",Impostazioni!$B$29="Sì"),J30,0),"")</f>
        <v/>
      </c>
      <c r="N30" s="45">
        <f>IF(F30="","",IF(NOT(ISNUMBER(F30)),"Compenso non valido",IF(C30="","Da incassare",IF(NOT(ISNUMBER(C30)),"Data non valida",IF(YEAR(C30)='Parametri 2026'!$B$6,"Incassata","Incassata nel "&amp;YEAR(C30))))))</f>
        <v/>
      </c>
      <c r="O30" s="39" t="n"/>
    </row>
    <row r="31">
      <c r="A31" s="39" t="inlineStr">
        <is>
          <t>26/2026</t>
        </is>
      </c>
      <c r="B31" s="40" t="n">
        <v>46377</v>
      </c>
      <c r="C31" s="40" t="n"/>
      <c r="D31" s="39" t="inlineStr">
        <is>
          <t>Cantina Colli Alti</t>
        </is>
      </c>
      <c r="E31" s="39" t="inlineStr">
        <is>
          <t>Etichette nuova linea</t>
        </is>
      </c>
      <c r="F31" s="41" t="n">
        <v>1900</v>
      </c>
      <c r="G31" s="42" t="inlineStr">
        <is>
          <t>Sì</t>
        </is>
      </c>
      <c r="H31" s="43">
        <f>IF(ISNUMBER(F31),IF(OR(G31="Sì",G31="Si"),ROUND(F31*'Parametri 2026'!$B$16,2),0),"")</f>
        <v/>
      </c>
      <c r="I31" s="43">
        <f>IF(ISNUMBER(F31),F31+H31,"")</f>
        <v/>
      </c>
      <c r="J31" s="43">
        <f>IF(ISNUMBER(F31),IF(I31&gt;'Parametri 2026'!$B$14,'Parametri 2026'!$B$13,0),"")</f>
        <v/>
      </c>
      <c r="K31" s="42" t="inlineStr">
        <is>
          <t>Sì</t>
        </is>
      </c>
      <c r="L31" s="44">
        <f>IF(ISNUMBER(F31),I31+IF(K31="No",0,J31),"")</f>
        <v/>
      </c>
      <c r="M31" s="44">
        <f>IF(ISNUMBER(F31),I31+IF(AND(K31&lt;&gt;"No",Impostazioni!$B$29="Sì"),J31,0),"")</f>
        <v/>
      </c>
      <c r="N31" s="45">
        <f>IF(F31="","",IF(NOT(ISNUMBER(F31)),"Compenso non valido",IF(C31="","Da incassare",IF(NOT(ISNUMBER(C31)),"Data non valida",IF(YEAR(C31)='Parametri 2026'!$B$6,"Incassata","Incassata nel "&amp;YEAR(C31))))))</f>
        <v/>
      </c>
      <c r="O31" s="39" t="n"/>
    </row>
    <row r="32">
      <c r="A32" s="39" t="n"/>
      <c r="B32" s="40" t="n"/>
      <c r="C32" s="40" t="n"/>
      <c r="D32" s="39" t="n"/>
      <c r="E32" s="39" t="n"/>
      <c r="F32" s="41" t="n"/>
      <c r="G32" s="42" t="n"/>
      <c r="H32" s="43">
        <f>IF(ISNUMBER(F32),IF(OR(G32="Sì",G32="Si"),ROUND(F32*'Parametri 2026'!$B$16,2),0),"")</f>
        <v/>
      </c>
      <c r="I32" s="43">
        <f>IF(ISNUMBER(F32),F32+H32,"")</f>
        <v/>
      </c>
      <c r="J32" s="43">
        <f>IF(ISNUMBER(F32),IF(I32&gt;'Parametri 2026'!$B$14,'Parametri 2026'!$B$13,0),"")</f>
        <v/>
      </c>
      <c r="K32" s="42" t="n"/>
      <c r="L32" s="44">
        <f>IF(ISNUMBER(F32),I32+IF(K32="No",0,J32),"")</f>
        <v/>
      </c>
      <c r="M32" s="44">
        <f>IF(ISNUMBER(F32),I32+IF(AND(K32&lt;&gt;"No",Impostazioni!$B$29="Sì"),J32,0),"")</f>
        <v/>
      </c>
      <c r="N32" s="45">
        <f>IF(F32="","",IF(NOT(ISNUMBER(F32)),"Compenso non valido",IF(C32="","Da incassare",IF(NOT(ISNUMBER(C32)),"Data non valida",IF(YEAR(C32)='Parametri 2026'!$B$6,"Incassata","Incassata nel "&amp;YEAR(C32))))))</f>
        <v/>
      </c>
      <c r="O32" s="39" t="n"/>
    </row>
    <row r="33">
      <c r="A33" s="39" t="n"/>
      <c r="B33" s="40" t="n"/>
      <c r="C33" s="40" t="n"/>
      <c r="D33" s="39" t="n"/>
      <c r="E33" s="39" t="n"/>
      <c r="F33" s="41" t="n"/>
      <c r="G33" s="42" t="n"/>
      <c r="H33" s="43">
        <f>IF(ISNUMBER(F33),IF(OR(G33="Sì",G33="Si"),ROUND(F33*'Parametri 2026'!$B$16,2),0),"")</f>
        <v/>
      </c>
      <c r="I33" s="43">
        <f>IF(ISNUMBER(F33),F33+H33,"")</f>
        <v/>
      </c>
      <c r="J33" s="43">
        <f>IF(ISNUMBER(F33),IF(I33&gt;'Parametri 2026'!$B$14,'Parametri 2026'!$B$13,0),"")</f>
        <v/>
      </c>
      <c r="K33" s="42" t="n"/>
      <c r="L33" s="44">
        <f>IF(ISNUMBER(F33),I33+IF(K33="No",0,J33),"")</f>
        <v/>
      </c>
      <c r="M33" s="44">
        <f>IF(ISNUMBER(F33),I33+IF(AND(K33&lt;&gt;"No",Impostazioni!$B$29="Sì"),J33,0),"")</f>
        <v/>
      </c>
      <c r="N33" s="45">
        <f>IF(F33="","",IF(NOT(ISNUMBER(F33)),"Compenso non valido",IF(C33="","Da incassare",IF(NOT(ISNUMBER(C33)),"Data non valida",IF(YEAR(C33)='Parametri 2026'!$B$6,"Incassata","Incassata nel "&amp;YEAR(C33))))))</f>
        <v/>
      </c>
      <c r="O33" s="39" t="n"/>
    </row>
    <row r="34">
      <c r="A34" s="39" t="n"/>
      <c r="B34" s="40" t="n"/>
      <c r="C34" s="40" t="n"/>
      <c r="D34" s="39" t="n"/>
      <c r="E34" s="39" t="n"/>
      <c r="F34" s="41" t="n"/>
      <c r="G34" s="42" t="n"/>
      <c r="H34" s="43">
        <f>IF(ISNUMBER(F34),IF(OR(G34="Sì",G34="Si"),ROUND(F34*'Parametri 2026'!$B$16,2),0),"")</f>
        <v/>
      </c>
      <c r="I34" s="43">
        <f>IF(ISNUMBER(F34),F34+H34,"")</f>
        <v/>
      </c>
      <c r="J34" s="43">
        <f>IF(ISNUMBER(F34),IF(I34&gt;'Parametri 2026'!$B$14,'Parametri 2026'!$B$13,0),"")</f>
        <v/>
      </c>
      <c r="K34" s="42" t="n"/>
      <c r="L34" s="44">
        <f>IF(ISNUMBER(F34),I34+IF(K34="No",0,J34),"")</f>
        <v/>
      </c>
      <c r="M34" s="44">
        <f>IF(ISNUMBER(F34),I34+IF(AND(K34&lt;&gt;"No",Impostazioni!$B$29="Sì"),J34,0),"")</f>
        <v/>
      </c>
      <c r="N34" s="45">
        <f>IF(F34="","",IF(NOT(ISNUMBER(F34)),"Compenso non valido",IF(C34="","Da incassare",IF(NOT(ISNUMBER(C34)),"Data non valida",IF(YEAR(C34)='Parametri 2026'!$B$6,"Incassata","Incassata nel "&amp;YEAR(C34))))))</f>
        <v/>
      </c>
      <c r="O34" s="39" t="n"/>
    </row>
    <row r="35">
      <c r="A35" s="39" t="n"/>
      <c r="B35" s="40" t="n"/>
      <c r="C35" s="40" t="n"/>
      <c r="D35" s="39" t="n"/>
      <c r="E35" s="39" t="n"/>
      <c r="F35" s="41" t="n"/>
      <c r="G35" s="42" t="n"/>
      <c r="H35" s="43">
        <f>IF(ISNUMBER(F35),IF(OR(G35="Sì",G35="Si"),ROUND(F35*'Parametri 2026'!$B$16,2),0),"")</f>
        <v/>
      </c>
      <c r="I35" s="43">
        <f>IF(ISNUMBER(F35),F35+H35,"")</f>
        <v/>
      </c>
      <c r="J35" s="43">
        <f>IF(ISNUMBER(F35),IF(I35&gt;'Parametri 2026'!$B$14,'Parametri 2026'!$B$13,0),"")</f>
        <v/>
      </c>
      <c r="K35" s="42" t="n"/>
      <c r="L35" s="44">
        <f>IF(ISNUMBER(F35),I35+IF(K35="No",0,J35),"")</f>
        <v/>
      </c>
      <c r="M35" s="44">
        <f>IF(ISNUMBER(F35),I35+IF(AND(K35&lt;&gt;"No",Impostazioni!$B$29="Sì"),J35,0),"")</f>
        <v/>
      </c>
      <c r="N35" s="45">
        <f>IF(F35="","",IF(NOT(ISNUMBER(F35)),"Compenso non valido",IF(C35="","Da incassare",IF(NOT(ISNUMBER(C35)),"Data non valida",IF(YEAR(C35)='Parametri 2026'!$B$6,"Incassata","Incassata nel "&amp;YEAR(C35))))))</f>
        <v/>
      </c>
      <c r="O35" s="39" t="n"/>
    </row>
    <row r="36">
      <c r="A36" s="39" t="n"/>
      <c r="B36" s="40" t="n"/>
      <c r="C36" s="40" t="n"/>
      <c r="D36" s="39" t="n"/>
      <c r="E36" s="39" t="n"/>
      <c r="F36" s="41" t="n"/>
      <c r="G36" s="42" t="n"/>
      <c r="H36" s="43">
        <f>IF(ISNUMBER(F36),IF(OR(G36="Sì",G36="Si"),ROUND(F36*'Parametri 2026'!$B$16,2),0),"")</f>
        <v/>
      </c>
      <c r="I36" s="43">
        <f>IF(ISNUMBER(F36),F36+H36,"")</f>
        <v/>
      </c>
      <c r="J36" s="43">
        <f>IF(ISNUMBER(F36),IF(I36&gt;'Parametri 2026'!$B$14,'Parametri 2026'!$B$13,0),"")</f>
        <v/>
      </c>
      <c r="K36" s="42" t="n"/>
      <c r="L36" s="44">
        <f>IF(ISNUMBER(F36),I36+IF(K36="No",0,J36),"")</f>
        <v/>
      </c>
      <c r="M36" s="44">
        <f>IF(ISNUMBER(F36),I36+IF(AND(K36&lt;&gt;"No",Impostazioni!$B$29="Sì"),J36,0),"")</f>
        <v/>
      </c>
      <c r="N36" s="45">
        <f>IF(F36="","",IF(NOT(ISNUMBER(F36)),"Compenso non valido",IF(C36="","Da incassare",IF(NOT(ISNUMBER(C36)),"Data non valida",IF(YEAR(C36)='Parametri 2026'!$B$6,"Incassata","Incassata nel "&amp;YEAR(C36))))))</f>
        <v/>
      </c>
      <c r="O36" s="39" t="n"/>
    </row>
    <row r="37">
      <c r="A37" s="39" t="n"/>
      <c r="B37" s="40" t="n"/>
      <c r="C37" s="40" t="n"/>
      <c r="D37" s="39" t="n"/>
      <c r="E37" s="39" t="n"/>
      <c r="F37" s="41" t="n"/>
      <c r="G37" s="42" t="n"/>
      <c r="H37" s="43">
        <f>IF(ISNUMBER(F37),IF(OR(G37="Sì",G37="Si"),ROUND(F37*'Parametri 2026'!$B$16,2),0),"")</f>
        <v/>
      </c>
      <c r="I37" s="43">
        <f>IF(ISNUMBER(F37),F37+H37,"")</f>
        <v/>
      </c>
      <c r="J37" s="43">
        <f>IF(ISNUMBER(F37),IF(I37&gt;'Parametri 2026'!$B$14,'Parametri 2026'!$B$13,0),"")</f>
        <v/>
      </c>
      <c r="K37" s="42" t="n"/>
      <c r="L37" s="44">
        <f>IF(ISNUMBER(F37),I37+IF(K37="No",0,J37),"")</f>
        <v/>
      </c>
      <c r="M37" s="44">
        <f>IF(ISNUMBER(F37),I37+IF(AND(K37&lt;&gt;"No",Impostazioni!$B$29="Sì"),J37,0),"")</f>
        <v/>
      </c>
      <c r="N37" s="45">
        <f>IF(F37="","",IF(NOT(ISNUMBER(F37)),"Compenso non valido",IF(C37="","Da incassare",IF(NOT(ISNUMBER(C37)),"Data non valida",IF(YEAR(C37)='Parametri 2026'!$B$6,"Incassata","Incassata nel "&amp;YEAR(C37))))))</f>
        <v/>
      </c>
      <c r="O37" s="39" t="n"/>
    </row>
    <row r="38">
      <c r="A38" s="39" t="n"/>
      <c r="B38" s="40" t="n"/>
      <c r="C38" s="40" t="n"/>
      <c r="D38" s="39" t="n"/>
      <c r="E38" s="39" t="n"/>
      <c r="F38" s="41" t="n"/>
      <c r="G38" s="42" t="n"/>
      <c r="H38" s="43">
        <f>IF(ISNUMBER(F38),IF(OR(G38="Sì",G38="Si"),ROUND(F38*'Parametri 2026'!$B$16,2),0),"")</f>
        <v/>
      </c>
      <c r="I38" s="43">
        <f>IF(ISNUMBER(F38),F38+H38,"")</f>
        <v/>
      </c>
      <c r="J38" s="43">
        <f>IF(ISNUMBER(F38),IF(I38&gt;'Parametri 2026'!$B$14,'Parametri 2026'!$B$13,0),"")</f>
        <v/>
      </c>
      <c r="K38" s="42" t="n"/>
      <c r="L38" s="44">
        <f>IF(ISNUMBER(F38),I38+IF(K38="No",0,J38),"")</f>
        <v/>
      </c>
      <c r="M38" s="44">
        <f>IF(ISNUMBER(F38),I38+IF(AND(K38&lt;&gt;"No",Impostazioni!$B$29="Sì"),J38,0),"")</f>
        <v/>
      </c>
      <c r="N38" s="45">
        <f>IF(F38="","",IF(NOT(ISNUMBER(F38)),"Compenso non valido",IF(C38="","Da incassare",IF(NOT(ISNUMBER(C38)),"Data non valida",IF(YEAR(C38)='Parametri 2026'!$B$6,"Incassata","Incassata nel "&amp;YEAR(C38))))))</f>
        <v/>
      </c>
      <c r="O38" s="39" t="n"/>
    </row>
    <row r="39">
      <c r="A39" s="39" t="n"/>
      <c r="B39" s="40" t="n"/>
      <c r="C39" s="40" t="n"/>
      <c r="D39" s="39" t="n"/>
      <c r="E39" s="39" t="n"/>
      <c r="F39" s="41" t="n"/>
      <c r="G39" s="42" t="n"/>
      <c r="H39" s="43">
        <f>IF(ISNUMBER(F39),IF(OR(G39="Sì",G39="Si"),ROUND(F39*'Parametri 2026'!$B$16,2),0),"")</f>
        <v/>
      </c>
      <c r="I39" s="43">
        <f>IF(ISNUMBER(F39),F39+H39,"")</f>
        <v/>
      </c>
      <c r="J39" s="43">
        <f>IF(ISNUMBER(F39),IF(I39&gt;'Parametri 2026'!$B$14,'Parametri 2026'!$B$13,0),"")</f>
        <v/>
      </c>
      <c r="K39" s="42" t="n"/>
      <c r="L39" s="44">
        <f>IF(ISNUMBER(F39),I39+IF(K39="No",0,J39),"")</f>
        <v/>
      </c>
      <c r="M39" s="44">
        <f>IF(ISNUMBER(F39),I39+IF(AND(K39&lt;&gt;"No",Impostazioni!$B$29="Sì"),J39,0),"")</f>
        <v/>
      </c>
      <c r="N39" s="45">
        <f>IF(F39="","",IF(NOT(ISNUMBER(F39)),"Compenso non valido",IF(C39="","Da incassare",IF(NOT(ISNUMBER(C39)),"Data non valida",IF(YEAR(C39)='Parametri 2026'!$B$6,"Incassata","Incassata nel "&amp;YEAR(C39))))))</f>
        <v/>
      </c>
      <c r="O39" s="39" t="n"/>
    </row>
    <row r="40">
      <c r="A40" s="39" t="n"/>
      <c r="B40" s="40" t="n"/>
      <c r="C40" s="40" t="n"/>
      <c r="D40" s="39" t="n"/>
      <c r="E40" s="39" t="n"/>
      <c r="F40" s="41" t="n"/>
      <c r="G40" s="42" t="n"/>
      <c r="H40" s="43">
        <f>IF(ISNUMBER(F40),IF(OR(G40="Sì",G40="Si"),ROUND(F40*'Parametri 2026'!$B$16,2),0),"")</f>
        <v/>
      </c>
      <c r="I40" s="43">
        <f>IF(ISNUMBER(F40),F40+H40,"")</f>
        <v/>
      </c>
      <c r="J40" s="43">
        <f>IF(ISNUMBER(F40),IF(I40&gt;'Parametri 2026'!$B$14,'Parametri 2026'!$B$13,0),"")</f>
        <v/>
      </c>
      <c r="K40" s="42" t="n"/>
      <c r="L40" s="44">
        <f>IF(ISNUMBER(F40),I40+IF(K40="No",0,J40),"")</f>
        <v/>
      </c>
      <c r="M40" s="44">
        <f>IF(ISNUMBER(F40),I40+IF(AND(K40&lt;&gt;"No",Impostazioni!$B$29="Sì"),J40,0),"")</f>
        <v/>
      </c>
      <c r="N40" s="45">
        <f>IF(F40="","",IF(NOT(ISNUMBER(F40)),"Compenso non valido",IF(C40="","Da incassare",IF(NOT(ISNUMBER(C40)),"Data non valida",IF(YEAR(C40)='Parametri 2026'!$B$6,"Incassata","Incassata nel "&amp;YEAR(C40))))))</f>
        <v/>
      </c>
      <c r="O40" s="39" t="n"/>
    </row>
    <row r="41">
      <c r="A41" s="39" t="n"/>
      <c r="B41" s="40" t="n"/>
      <c r="C41" s="40" t="n"/>
      <c r="D41" s="39" t="n"/>
      <c r="E41" s="39" t="n"/>
      <c r="F41" s="41" t="n"/>
      <c r="G41" s="42" t="n"/>
      <c r="H41" s="43">
        <f>IF(ISNUMBER(F41),IF(OR(G41="Sì",G41="Si"),ROUND(F41*'Parametri 2026'!$B$16,2),0),"")</f>
        <v/>
      </c>
      <c r="I41" s="43">
        <f>IF(ISNUMBER(F41),F41+H41,"")</f>
        <v/>
      </c>
      <c r="J41" s="43">
        <f>IF(ISNUMBER(F41),IF(I41&gt;'Parametri 2026'!$B$14,'Parametri 2026'!$B$13,0),"")</f>
        <v/>
      </c>
      <c r="K41" s="42" t="n"/>
      <c r="L41" s="44">
        <f>IF(ISNUMBER(F41),I41+IF(K41="No",0,J41),"")</f>
        <v/>
      </c>
      <c r="M41" s="44">
        <f>IF(ISNUMBER(F41),I41+IF(AND(K41&lt;&gt;"No",Impostazioni!$B$29="Sì"),J41,0),"")</f>
        <v/>
      </c>
      <c r="N41" s="45">
        <f>IF(F41="","",IF(NOT(ISNUMBER(F41)),"Compenso non valido",IF(C41="","Da incassare",IF(NOT(ISNUMBER(C41)),"Data non valida",IF(YEAR(C41)='Parametri 2026'!$B$6,"Incassata","Incassata nel "&amp;YEAR(C41))))))</f>
        <v/>
      </c>
      <c r="O41" s="39" t="n"/>
    </row>
    <row r="42">
      <c r="A42" s="39" t="n"/>
      <c r="B42" s="40" t="n"/>
      <c r="C42" s="40" t="n"/>
      <c r="D42" s="39" t="n"/>
      <c r="E42" s="39" t="n"/>
      <c r="F42" s="41" t="n"/>
      <c r="G42" s="42" t="n"/>
      <c r="H42" s="43">
        <f>IF(ISNUMBER(F42),IF(OR(G42="Sì",G42="Si"),ROUND(F42*'Parametri 2026'!$B$16,2),0),"")</f>
        <v/>
      </c>
      <c r="I42" s="43">
        <f>IF(ISNUMBER(F42),F42+H42,"")</f>
        <v/>
      </c>
      <c r="J42" s="43">
        <f>IF(ISNUMBER(F42),IF(I42&gt;'Parametri 2026'!$B$14,'Parametri 2026'!$B$13,0),"")</f>
        <v/>
      </c>
      <c r="K42" s="42" t="n"/>
      <c r="L42" s="44">
        <f>IF(ISNUMBER(F42),I42+IF(K42="No",0,J42),"")</f>
        <v/>
      </c>
      <c r="M42" s="44">
        <f>IF(ISNUMBER(F42),I42+IF(AND(K42&lt;&gt;"No",Impostazioni!$B$29="Sì"),J42,0),"")</f>
        <v/>
      </c>
      <c r="N42" s="45">
        <f>IF(F42="","",IF(NOT(ISNUMBER(F42)),"Compenso non valido",IF(C42="","Da incassare",IF(NOT(ISNUMBER(C42)),"Data non valida",IF(YEAR(C42)='Parametri 2026'!$B$6,"Incassata","Incassata nel "&amp;YEAR(C42))))))</f>
        <v/>
      </c>
      <c r="O42" s="39" t="n"/>
    </row>
    <row r="43">
      <c r="A43" s="39" t="n"/>
      <c r="B43" s="40" t="n"/>
      <c r="C43" s="40" t="n"/>
      <c r="D43" s="39" t="n"/>
      <c r="E43" s="39" t="n"/>
      <c r="F43" s="41" t="n"/>
      <c r="G43" s="42" t="n"/>
      <c r="H43" s="43">
        <f>IF(ISNUMBER(F43),IF(OR(G43="Sì",G43="Si"),ROUND(F43*'Parametri 2026'!$B$16,2),0),"")</f>
        <v/>
      </c>
      <c r="I43" s="43">
        <f>IF(ISNUMBER(F43),F43+H43,"")</f>
        <v/>
      </c>
      <c r="J43" s="43">
        <f>IF(ISNUMBER(F43),IF(I43&gt;'Parametri 2026'!$B$14,'Parametri 2026'!$B$13,0),"")</f>
        <v/>
      </c>
      <c r="K43" s="42" t="n"/>
      <c r="L43" s="44">
        <f>IF(ISNUMBER(F43),I43+IF(K43="No",0,J43),"")</f>
        <v/>
      </c>
      <c r="M43" s="44">
        <f>IF(ISNUMBER(F43),I43+IF(AND(K43&lt;&gt;"No",Impostazioni!$B$29="Sì"),J43,0),"")</f>
        <v/>
      </c>
      <c r="N43" s="45">
        <f>IF(F43="","",IF(NOT(ISNUMBER(F43)),"Compenso non valido",IF(C43="","Da incassare",IF(NOT(ISNUMBER(C43)),"Data non valida",IF(YEAR(C43)='Parametri 2026'!$B$6,"Incassata","Incassata nel "&amp;YEAR(C43))))))</f>
        <v/>
      </c>
      <c r="O43" s="39" t="n"/>
    </row>
    <row r="44">
      <c r="A44" s="39" t="n"/>
      <c r="B44" s="40" t="n"/>
      <c r="C44" s="40" t="n"/>
      <c r="D44" s="39" t="n"/>
      <c r="E44" s="39" t="n"/>
      <c r="F44" s="41" t="n"/>
      <c r="G44" s="42" t="n"/>
      <c r="H44" s="43">
        <f>IF(ISNUMBER(F44),IF(OR(G44="Sì",G44="Si"),ROUND(F44*'Parametri 2026'!$B$16,2),0),"")</f>
        <v/>
      </c>
      <c r="I44" s="43">
        <f>IF(ISNUMBER(F44),F44+H44,"")</f>
        <v/>
      </c>
      <c r="J44" s="43">
        <f>IF(ISNUMBER(F44),IF(I44&gt;'Parametri 2026'!$B$14,'Parametri 2026'!$B$13,0),"")</f>
        <v/>
      </c>
      <c r="K44" s="42" t="n"/>
      <c r="L44" s="44">
        <f>IF(ISNUMBER(F44),I44+IF(K44="No",0,J44),"")</f>
        <v/>
      </c>
      <c r="M44" s="44">
        <f>IF(ISNUMBER(F44),I44+IF(AND(K44&lt;&gt;"No",Impostazioni!$B$29="Sì"),J44,0),"")</f>
        <v/>
      </c>
      <c r="N44" s="45">
        <f>IF(F44="","",IF(NOT(ISNUMBER(F44)),"Compenso non valido",IF(C44="","Da incassare",IF(NOT(ISNUMBER(C44)),"Data non valida",IF(YEAR(C44)='Parametri 2026'!$B$6,"Incassata","Incassata nel "&amp;YEAR(C44))))))</f>
        <v/>
      </c>
      <c r="O44" s="39" t="n"/>
    </row>
    <row r="45">
      <c r="A45" s="39" t="n"/>
      <c r="B45" s="40" t="n"/>
      <c r="C45" s="40" t="n"/>
      <c r="D45" s="39" t="n"/>
      <c r="E45" s="39" t="n"/>
      <c r="F45" s="41" t="n"/>
      <c r="G45" s="42" t="n"/>
      <c r="H45" s="43">
        <f>IF(ISNUMBER(F45),IF(OR(G45="Sì",G45="Si"),ROUND(F45*'Parametri 2026'!$B$16,2),0),"")</f>
        <v/>
      </c>
      <c r="I45" s="43">
        <f>IF(ISNUMBER(F45),F45+H45,"")</f>
        <v/>
      </c>
      <c r="J45" s="43">
        <f>IF(ISNUMBER(F45),IF(I45&gt;'Parametri 2026'!$B$14,'Parametri 2026'!$B$13,0),"")</f>
        <v/>
      </c>
      <c r="K45" s="42" t="n"/>
      <c r="L45" s="44">
        <f>IF(ISNUMBER(F45),I45+IF(K45="No",0,J45),"")</f>
        <v/>
      </c>
      <c r="M45" s="44">
        <f>IF(ISNUMBER(F45),I45+IF(AND(K45&lt;&gt;"No",Impostazioni!$B$29="Sì"),J45,0),"")</f>
        <v/>
      </c>
      <c r="N45" s="45">
        <f>IF(F45="","",IF(NOT(ISNUMBER(F45)),"Compenso non valido",IF(C45="","Da incassare",IF(NOT(ISNUMBER(C45)),"Data non valida",IF(YEAR(C45)='Parametri 2026'!$B$6,"Incassata","Incassata nel "&amp;YEAR(C45))))))</f>
        <v/>
      </c>
      <c r="O45" s="39" t="n"/>
    </row>
    <row r="46">
      <c r="A46" s="39" t="n"/>
      <c r="B46" s="40" t="n"/>
      <c r="C46" s="40" t="n"/>
      <c r="D46" s="39" t="n"/>
      <c r="E46" s="39" t="n"/>
      <c r="F46" s="41" t="n"/>
      <c r="G46" s="42" t="n"/>
      <c r="H46" s="43">
        <f>IF(ISNUMBER(F46),IF(OR(G46="Sì",G46="Si"),ROUND(F46*'Parametri 2026'!$B$16,2),0),"")</f>
        <v/>
      </c>
      <c r="I46" s="43">
        <f>IF(ISNUMBER(F46),F46+H46,"")</f>
        <v/>
      </c>
      <c r="J46" s="43">
        <f>IF(ISNUMBER(F46),IF(I46&gt;'Parametri 2026'!$B$14,'Parametri 2026'!$B$13,0),"")</f>
        <v/>
      </c>
      <c r="K46" s="42" t="n"/>
      <c r="L46" s="44">
        <f>IF(ISNUMBER(F46),I46+IF(K46="No",0,J46),"")</f>
        <v/>
      </c>
      <c r="M46" s="44">
        <f>IF(ISNUMBER(F46),I46+IF(AND(K46&lt;&gt;"No",Impostazioni!$B$29="Sì"),J46,0),"")</f>
        <v/>
      </c>
      <c r="N46" s="45">
        <f>IF(F46="","",IF(NOT(ISNUMBER(F46)),"Compenso non valido",IF(C46="","Da incassare",IF(NOT(ISNUMBER(C46)),"Data non valida",IF(YEAR(C46)='Parametri 2026'!$B$6,"Incassata","Incassata nel "&amp;YEAR(C46))))))</f>
        <v/>
      </c>
      <c r="O46" s="39" t="n"/>
    </row>
    <row r="47">
      <c r="A47" s="39" t="n"/>
      <c r="B47" s="40" t="n"/>
      <c r="C47" s="40" t="n"/>
      <c r="D47" s="39" t="n"/>
      <c r="E47" s="39" t="n"/>
      <c r="F47" s="41" t="n"/>
      <c r="G47" s="42" t="n"/>
      <c r="H47" s="43">
        <f>IF(ISNUMBER(F47),IF(OR(G47="Sì",G47="Si"),ROUND(F47*'Parametri 2026'!$B$16,2),0),"")</f>
        <v/>
      </c>
      <c r="I47" s="43">
        <f>IF(ISNUMBER(F47),F47+H47,"")</f>
        <v/>
      </c>
      <c r="J47" s="43">
        <f>IF(ISNUMBER(F47),IF(I47&gt;'Parametri 2026'!$B$14,'Parametri 2026'!$B$13,0),"")</f>
        <v/>
      </c>
      <c r="K47" s="42" t="n"/>
      <c r="L47" s="44">
        <f>IF(ISNUMBER(F47),I47+IF(K47="No",0,J47),"")</f>
        <v/>
      </c>
      <c r="M47" s="44">
        <f>IF(ISNUMBER(F47),I47+IF(AND(K47&lt;&gt;"No",Impostazioni!$B$29="Sì"),J47,0),"")</f>
        <v/>
      </c>
      <c r="N47" s="45">
        <f>IF(F47="","",IF(NOT(ISNUMBER(F47)),"Compenso non valido",IF(C47="","Da incassare",IF(NOT(ISNUMBER(C47)),"Data non valida",IF(YEAR(C47)='Parametri 2026'!$B$6,"Incassata","Incassata nel "&amp;YEAR(C47))))))</f>
        <v/>
      </c>
      <c r="O47" s="39" t="n"/>
    </row>
    <row r="48">
      <c r="A48" s="39" t="n"/>
      <c r="B48" s="40" t="n"/>
      <c r="C48" s="40" t="n"/>
      <c r="D48" s="39" t="n"/>
      <c r="E48" s="39" t="n"/>
      <c r="F48" s="41" t="n"/>
      <c r="G48" s="42" t="n"/>
      <c r="H48" s="43">
        <f>IF(ISNUMBER(F48),IF(OR(G48="Sì",G48="Si"),ROUND(F48*'Parametri 2026'!$B$16,2),0),"")</f>
        <v/>
      </c>
      <c r="I48" s="43">
        <f>IF(ISNUMBER(F48),F48+H48,"")</f>
        <v/>
      </c>
      <c r="J48" s="43">
        <f>IF(ISNUMBER(F48),IF(I48&gt;'Parametri 2026'!$B$14,'Parametri 2026'!$B$13,0),"")</f>
        <v/>
      </c>
      <c r="K48" s="42" t="n"/>
      <c r="L48" s="44">
        <f>IF(ISNUMBER(F48),I48+IF(K48="No",0,J48),"")</f>
        <v/>
      </c>
      <c r="M48" s="44">
        <f>IF(ISNUMBER(F48),I48+IF(AND(K48&lt;&gt;"No",Impostazioni!$B$29="Sì"),J48,0),"")</f>
        <v/>
      </c>
      <c r="N48" s="45">
        <f>IF(F48="","",IF(NOT(ISNUMBER(F48)),"Compenso non valido",IF(C48="","Da incassare",IF(NOT(ISNUMBER(C48)),"Data non valida",IF(YEAR(C48)='Parametri 2026'!$B$6,"Incassata","Incassata nel "&amp;YEAR(C48))))))</f>
        <v/>
      </c>
      <c r="O48" s="39" t="n"/>
    </row>
    <row r="49">
      <c r="A49" s="39" t="n"/>
      <c r="B49" s="40" t="n"/>
      <c r="C49" s="40" t="n"/>
      <c r="D49" s="39" t="n"/>
      <c r="E49" s="39" t="n"/>
      <c r="F49" s="41" t="n"/>
      <c r="G49" s="42" t="n"/>
      <c r="H49" s="43">
        <f>IF(ISNUMBER(F49),IF(OR(G49="Sì",G49="Si"),ROUND(F49*'Parametri 2026'!$B$16,2),0),"")</f>
        <v/>
      </c>
      <c r="I49" s="43">
        <f>IF(ISNUMBER(F49),F49+H49,"")</f>
        <v/>
      </c>
      <c r="J49" s="43">
        <f>IF(ISNUMBER(F49),IF(I49&gt;'Parametri 2026'!$B$14,'Parametri 2026'!$B$13,0),"")</f>
        <v/>
      </c>
      <c r="K49" s="42" t="n"/>
      <c r="L49" s="44">
        <f>IF(ISNUMBER(F49),I49+IF(K49="No",0,J49),"")</f>
        <v/>
      </c>
      <c r="M49" s="44">
        <f>IF(ISNUMBER(F49),I49+IF(AND(K49&lt;&gt;"No",Impostazioni!$B$29="Sì"),J49,0),"")</f>
        <v/>
      </c>
      <c r="N49" s="45">
        <f>IF(F49="","",IF(NOT(ISNUMBER(F49)),"Compenso non valido",IF(C49="","Da incassare",IF(NOT(ISNUMBER(C49)),"Data non valida",IF(YEAR(C49)='Parametri 2026'!$B$6,"Incassata","Incassata nel "&amp;YEAR(C49))))))</f>
        <v/>
      </c>
      <c r="O49" s="39" t="n"/>
    </row>
    <row r="50">
      <c r="A50" s="39" t="n"/>
      <c r="B50" s="40" t="n"/>
      <c r="C50" s="40" t="n"/>
      <c r="D50" s="39" t="n"/>
      <c r="E50" s="39" t="n"/>
      <c r="F50" s="41" t="n"/>
      <c r="G50" s="42" t="n"/>
      <c r="H50" s="43">
        <f>IF(ISNUMBER(F50),IF(OR(G50="Sì",G50="Si"),ROUND(F50*'Parametri 2026'!$B$16,2),0),"")</f>
        <v/>
      </c>
      <c r="I50" s="43">
        <f>IF(ISNUMBER(F50),F50+H50,"")</f>
        <v/>
      </c>
      <c r="J50" s="43">
        <f>IF(ISNUMBER(F50),IF(I50&gt;'Parametri 2026'!$B$14,'Parametri 2026'!$B$13,0),"")</f>
        <v/>
      </c>
      <c r="K50" s="42" t="n"/>
      <c r="L50" s="44">
        <f>IF(ISNUMBER(F50),I50+IF(K50="No",0,J50),"")</f>
        <v/>
      </c>
      <c r="M50" s="44">
        <f>IF(ISNUMBER(F50),I50+IF(AND(K50&lt;&gt;"No",Impostazioni!$B$29="Sì"),J50,0),"")</f>
        <v/>
      </c>
      <c r="N50" s="45">
        <f>IF(F50="","",IF(NOT(ISNUMBER(F50)),"Compenso non valido",IF(C50="","Da incassare",IF(NOT(ISNUMBER(C50)),"Data non valida",IF(YEAR(C50)='Parametri 2026'!$B$6,"Incassata","Incassata nel "&amp;YEAR(C50))))))</f>
        <v/>
      </c>
      <c r="O50" s="39" t="n"/>
    </row>
    <row r="51">
      <c r="A51" s="39" t="n"/>
      <c r="B51" s="40" t="n"/>
      <c r="C51" s="40" t="n"/>
      <c r="D51" s="39" t="n"/>
      <c r="E51" s="39" t="n"/>
      <c r="F51" s="41" t="n"/>
      <c r="G51" s="42" t="n"/>
      <c r="H51" s="43">
        <f>IF(ISNUMBER(F51),IF(OR(G51="Sì",G51="Si"),ROUND(F51*'Parametri 2026'!$B$16,2),0),"")</f>
        <v/>
      </c>
      <c r="I51" s="43">
        <f>IF(ISNUMBER(F51),F51+H51,"")</f>
        <v/>
      </c>
      <c r="J51" s="43">
        <f>IF(ISNUMBER(F51),IF(I51&gt;'Parametri 2026'!$B$14,'Parametri 2026'!$B$13,0),"")</f>
        <v/>
      </c>
      <c r="K51" s="42" t="n"/>
      <c r="L51" s="44">
        <f>IF(ISNUMBER(F51),I51+IF(K51="No",0,J51),"")</f>
        <v/>
      </c>
      <c r="M51" s="44">
        <f>IF(ISNUMBER(F51),I51+IF(AND(K51&lt;&gt;"No",Impostazioni!$B$29="Sì"),J51,0),"")</f>
        <v/>
      </c>
      <c r="N51" s="45">
        <f>IF(F51="","",IF(NOT(ISNUMBER(F51)),"Compenso non valido",IF(C51="","Da incassare",IF(NOT(ISNUMBER(C51)),"Data non valida",IF(YEAR(C51)='Parametri 2026'!$B$6,"Incassata","Incassata nel "&amp;YEAR(C51))))))</f>
        <v/>
      </c>
      <c r="O51" s="39" t="n"/>
    </row>
    <row r="52">
      <c r="A52" s="39" t="n"/>
      <c r="B52" s="40" t="n"/>
      <c r="C52" s="40" t="n"/>
      <c r="D52" s="39" t="n"/>
      <c r="E52" s="39" t="n"/>
      <c r="F52" s="41" t="n"/>
      <c r="G52" s="42" t="n"/>
      <c r="H52" s="43">
        <f>IF(ISNUMBER(F52),IF(OR(G52="Sì",G52="Si"),ROUND(F52*'Parametri 2026'!$B$16,2),0),"")</f>
        <v/>
      </c>
      <c r="I52" s="43">
        <f>IF(ISNUMBER(F52),F52+H52,"")</f>
        <v/>
      </c>
      <c r="J52" s="43">
        <f>IF(ISNUMBER(F52),IF(I52&gt;'Parametri 2026'!$B$14,'Parametri 2026'!$B$13,0),"")</f>
        <v/>
      </c>
      <c r="K52" s="42" t="n"/>
      <c r="L52" s="44">
        <f>IF(ISNUMBER(F52),I52+IF(K52="No",0,J52),"")</f>
        <v/>
      </c>
      <c r="M52" s="44">
        <f>IF(ISNUMBER(F52),I52+IF(AND(K52&lt;&gt;"No",Impostazioni!$B$29="Sì"),J52,0),"")</f>
        <v/>
      </c>
      <c r="N52" s="45">
        <f>IF(F52="","",IF(NOT(ISNUMBER(F52)),"Compenso non valido",IF(C52="","Da incassare",IF(NOT(ISNUMBER(C52)),"Data non valida",IF(YEAR(C52)='Parametri 2026'!$B$6,"Incassata","Incassata nel "&amp;YEAR(C52))))))</f>
        <v/>
      </c>
      <c r="O52" s="39" t="n"/>
    </row>
    <row r="53">
      <c r="A53" s="39" t="n"/>
      <c r="B53" s="40" t="n"/>
      <c r="C53" s="40" t="n"/>
      <c r="D53" s="39" t="n"/>
      <c r="E53" s="39" t="n"/>
      <c r="F53" s="41" t="n"/>
      <c r="G53" s="42" t="n"/>
      <c r="H53" s="43">
        <f>IF(ISNUMBER(F53),IF(OR(G53="Sì",G53="Si"),ROUND(F53*'Parametri 2026'!$B$16,2),0),"")</f>
        <v/>
      </c>
      <c r="I53" s="43">
        <f>IF(ISNUMBER(F53),F53+H53,"")</f>
        <v/>
      </c>
      <c r="J53" s="43">
        <f>IF(ISNUMBER(F53),IF(I53&gt;'Parametri 2026'!$B$14,'Parametri 2026'!$B$13,0),"")</f>
        <v/>
      </c>
      <c r="K53" s="42" t="n"/>
      <c r="L53" s="44">
        <f>IF(ISNUMBER(F53),I53+IF(K53="No",0,J53),"")</f>
        <v/>
      </c>
      <c r="M53" s="44">
        <f>IF(ISNUMBER(F53),I53+IF(AND(K53&lt;&gt;"No",Impostazioni!$B$29="Sì"),J53,0),"")</f>
        <v/>
      </c>
      <c r="N53" s="45">
        <f>IF(F53="","",IF(NOT(ISNUMBER(F53)),"Compenso non valido",IF(C53="","Da incassare",IF(NOT(ISNUMBER(C53)),"Data non valida",IF(YEAR(C53)='Parametri 2026'!$B$6,"Incassata","Incassata nel "&amp;YEAR(C53))))))</f>
        <v/>
      </c>
      <c r="O53" s="39" t="n"/>
    </row>
    <row r="54">
      <c r="A54" s="39" t="n"/>
      <c r="B54" s="40" t="n"/>
      <c r="C54" s="40" t="n"/>
      <c r="D54" s="39" t="n"/>
      <c r="E54" s="39" t="n"/>
      <c r="F54" s="41" t="n"/>
      <c r="G54" s="42" t="n"/>
      <c r="H54" s="43">
        <f>IF(ISNUMBER(F54),IF(OR(G54="Sì",G54="Si"),ROUND(F54*'Parametri 2026'!$B$16,2),0),"")</f>
        <v/>
      </c>
      <c r="I54" s="43">
        <f>IF(ISNUMBER(F54),F54+H54,"")</f>
        <v/>
      </c>
      <c r="J54" s="43">
        <f>IF(ISNUMBER(F54),IF(I54&gt;'Parametri 2026'!$B$14,'Parametri 2026'!$B$13,0),"")</f>
        <v/>
      </c>
      <c r="K54" s="42" t="n"/>
      <c r="L54" s="44">
        <f>IF(ISNUMBER(F54),I54+IF(K54="No",0,J54),"")</f>
        <v/>
      </c>
      <c r="M54" s="44">
        <f>IF(ISNUMBER(F54),I54+IF(AND(K54&lt;&gt;"No",Impostazioni!$B$29="Sì"),J54,0),"")</f>
        <v/>
      </c>
      <c r="N54" s="45">
        <f>IF(F54="","",IF(NOT(ISNUMBER(F54)),"Compenso non valido",IF(C54="","Da incassare",IF(NOT(ISNUMBER(C54)),"Data non valida",IF(YEAR(C54)='Parametri 2026'!$B$6,"Incassata","Incassata nel "&amp;YEAR(C54))))))</f>
        <v/>
      </c>
      <c r="O54" s="39" t="n"/>
    </row>
    <row r="55">
      <c r="A55" s="39" t="n"/>
      <c r="B55" s="40" t="n"/>
      <c r="C55" s="40" t="n"/>
      <c r="D55" s="39" t="n"/>
      <c r="E55" s="39" t="n"/>
      <c r="F55" s="41" t="n"/>
      <c r="G55" s="42" t="n"/>
      <c r="H55" s="43">
        <f>IF(ISNUMBER(F55),IF(OR(G55="Sì",G55="Si"),ROUND(F55*'Parametri 2026'!$B$16,2),0),"")</f>
        <v/>
      </c>
      <c r="I55" s="43">
        <f>IF(ISNUMBER(F55),F55+H55,"")</f>
        <v/>
      </c>
      <c r="J55" s="43">
        <f>IF(ISNUMBER(F55),IF(I55&gt;'Parametri 2026'!$B$14,'Parametri 2026'!$B$13,0),"")</f>
        <v/>
      </c>
      <c r="K55" s="42" t="n"/>
      <c r="L55" s="44">
        <f>IF(ISNUMBER(F55),I55+IF(K55="No",0,J55),"")</f>
        <v/>
      </c>
      <c r="M55" s="44">
        <f>IF(ISNUMBER(F55),I55+IF(AND(K55&lt;&gt;"No",Impostazioni!$B$29="Sì"),J55,0),"")</f>
        <v/>
      </c>
      <c r="N55" s="45">
        <f>IF(F55="","",IF(NOT(ISNUMBER(F55)),"Compenso non valido",IF(C55="","Da incassare",IF(NOT(ISNUMBER(C55)),"Data non valida",IF(YEAR(C55)='Parametri 2026'!$B$6,"Incassata","Incassata nel "&amp;YEAR(C55))))))</f>
        <v/>
      </c>
      <c r="O55" s="39" t="n"/>
    </row>
    <row r="56">
      <c r="A56" s="39" t="n"/>
      <c r="B56" s="40" t="n"/>
      <c r="C56" s="40" t="n"/>
      <c r="D56" s="39" t="n"/>
      <c r="E56" s="39" t="n"/>
      <c r="F56" s="41" t="n"/>
      <c r="G56" s="42" t="n"/>
      <c r="H56" s="43">
        <f>IF(ISNUMBER(F56),IF(OR(G56="Sì",G56="Si"),ROUND(F56*'Parametri 2026'!$B$16,2),0),"")</f>
        <v/>
      </c>
      <c r="I56" s="43">
        <f>IF(ISNUMBER(F56),F56+H56,"")</f>
        <v/>
      </c>
      <c r="J56" s="43">
        <f>IF(ISNUMBER(F56),IF(I56&gt;'Parametri 2026'!$B$14,'Parametri 2026'!$B$13,0),"")</f>
        <v/>
      </c>
      <c r="K56" s="42" t="n"/>
      <c r="L56" s="44">
        <f>IF(ISNUMBER(F56),I56+IF(K56="No",0,J56),"")</f>
        <v/>
      </c>
      <c r="M56" s="44">
        <f>IF(ISNUMBER(F56),I56+IF(AND(K56&lt;&gt;"No",Impostazioni!$B$29="Sì"),J56,0),"")</f>
        <v/>
      </c>
      <c r="N56" s="45">
        <f>IF(F56="","",IF(NOT(ISNUMBER(F56)),"Compenso non valido",IF(C56="","Da incassare",IF(NOT(ISNUMBER(C56)),"Data non valida",IF(YEAR(C56)='Parametri 2026'!$B$6,"Incassata","Incassata nel "&amp;YEAR(C56))))))</f>
        <v/>
      </c>
      <c r="O56" s="39" t="n"/>
    </row>
    <row r="57">
      <c r="A57" s="39" t="n"/>
      <c r="B57" s="40" t="n"/>
      <c r="C57" s="40" t="n"/>
      <c r="D57" s="39" t="n"/>
      <c r="E57" s="39" t="n"/>
      <c r="F57" s="41" t="n"/>
      <c r="G57" s="42" t="n"/>
      <c r="H57" s="43">
        <f>IF(ISNUMBER(F57),IF(OR(G57="Sì",G57="Si"),ROUND(F57*'Parametri 2026'!$B$16,2),0),"")</f>
        <v/>
      </c>
      <c r="I57" s="43">
        <f>IF(ISNUMBER(F57),F57+H57,"")</f>
        <v/>
      </c>
      <c r="J57" s="43">
        <f>IF(ISNUMBER(F57),IF(I57&gt;'Parametri 2026'!$B$14,'Parametri 2026'!$B$13,0),"")</f>
        <v/>
      </c>
      <c r="K57" s="42" t="n"/>
      <c r="L57" s="44">
        <f>IF(ISNUMBER(F57),I57+IF(K57="No",0,J57),"")</f>
        <v/>
      </c>
      <c r="M57" s="44">
        <f>IF(ISNUMBER(F57),I57+IF(AND(K57&lt;&gt;"No",Impostazioni!$B$29="Sì"),J57,0),"")</f>
        <v/>
      </c>
      <c r="N57" s="45">
        <f>IF(F57="","",IF(NOT(ISNUMBER(F57)),"Compenso non valido",IF(C57="","Da incassare",IF(NOT(ISNUMBER(C57)),"Data non valida",IF(YEAR(C57)='Parametri 2026'!$B$6,"Incassata","Incassata nel "&amp;YEAR(C57))))))</f>
        <v/>
      </c>
      <c r="O57" s="39" t="n"/>
    </row>
    <row r="58">
      <c r="A58" s="39" t="n"/>
      <c r="B58" s="40" t="n"/>
      <c r="C58" s="40" t="n"/>
      <c r="D58" s="39" t="n"/>
      <c r="E58" s="39" t="n"/>
      <c r="F58" s="41" t="n"/>
      <c r="G58" s="42" t="n"/>
      <c r="H58" s="43">
        <f>IF(ISNUMBER(F58),IF(OR(G58="Sì",G58="Si"),ROUND(F58*'Parametri 2026'!$B$16,2),0),"")</f>
        <v/>
      </c>
      <c r="I58" s="43">
        <f>IF(ISNUMBER(F58),F58+H58,"")</f>
        <v/>
      </c>
      <c r="J58" s="43">
        <f>IF(ISNUMBER(F58),IF(I58&gt;'Parametri 2026'!$B$14,'Parametri 2026'!$B$13,0),"")</f>
        <v/>
      </c>
      <c r="K58" s="42" t="n"/>
      <c r="L58" s="44">
        <f>IF(ISNUMBER(F58),I58+IF(K58="No",0,J58),"")</f>
        <v/>
      </c>
      <c r="M58" s="44">
        <f>IF(ISNUMBER(F58),I58+IF(AND(K58&lt;&gt;"No",Impostazioni!$B$29="Sì"),J58,0),"")</f>
        <v/>
      </c>
      <c r="N58" s="45">
        <f>IF(F58="","",IF(NOT(ISNUMBER(F58)),"Compenso non valido",IF(C58="","Da incassare",IF(NOT(ISNUMBER(C58)),"Data non valida",IF(YEAR(C58)='Parametri 2026'!$B$6,"Incassata","Incassata nel "&amp;YEAR(C58))))))</f>
        <v/>
      </c>
      <c r="O58" s="39" t="n"/>
    </row>
    <row r="59">
      <c r="A59" s="39" t="n"/>
      <c r="B59" s="40" t="n"/>
      <c r="C59" s="40" t="n"/>
      <c r="D59" s="39" t="n"/>
      <c r="E59" s="39" t="n"/>
      <c r="F59" s="41" t="n"/>
      <c r="G59" s="42" t="n"/>
      <c r="H59" s="43">
        <f>IF(ISNUMBER(F59),IF(OR(G59="Sì",G59="Si"),ROUND(F59*'Parametri 2026'!$B$16,2),0),"")</f>
        <v/>
      </c>
      <c r="I59" s="43">
        <f>IF(ISNUMBER(F59),F59+H59,"")</f>
        <v/>
      </c>
      <c r="J59" s="43">
        <f>IF(ISNUMBER(F59),IF(I59&gt;'Parametri 2026'!$B$14,'Parametri 2026'!$B$13,0),"")</f>
        <v/>
      </c>
      <c r="K59" s="42" t="n"/>
      <c r="L59" s="44">
        <f>IF(ISNUMBER(F59),I59+IF(K59="No",0,J59),"")</f>
        <v/>
      </c>
      <c r="M59" s="44">
        <f>IF(ISNUMBER(F59),I59+IF(AND(K59&lt;&gt;"No",Impostazioni!$B$29="Sì"),J59,0),"")</f>
        <v/>
      </c>
      <c r="N59" s="45">
        <f>IF(F59="","",IF(NOT(ISNUMBER(F59)),"Compenso non valido",IF(C59="","Da incassare",IF(NOT(ISNUMBER(C59)),"Data non valida",IF(YEAR(C59)='Parametri 2026'!$B$6,"Incassata","Incassata nel "&amp;YEAR(C59))))))</f>
        <v/>
      </c>
      <c r="O59" s="39" t="n"/>
    </row>
    <row r="60">
      <c r="A60" s="39" t="n"/>
      <c r="B60" s="40" t="n"/>
      <c r="C60" s="40" t="n"/>
      <c r="D60" s="39" t="n"/>
      <c r="E60" s="39" t="n"/>
      <c r="F60" s="41" t="n"/>
      <c r="G60" s="42" t="n"/>
      <c r="H60" s="43">
        <f>IF(ISNUMBER(F60),IF(OR(G60="Sì",G60="Si"),ROUND(F60*'Parametri 2026'!$B$16,2),0),"")</f>
        <v/>
      </c>
      <c r="I60" s="43">
        <f>IF(ISNUMBER(F60),F60+H60,"")</f>
        <v/>
      </c>
      <c r="J60" s="43">
        <f>IF(ISNUMBER(F60),IF(I60&gt;'Parametri 2026'!$B$14,'Parametri 2026'!$B$13,0),"")</f>
        <v/>
      </c>
      <c r="K60" s="42" t="n"/>
      <c r="L60" s="44">
        <f>IF(ISNUMBER(F60),I60+IF(K60="No",0,J60),"")</f>
        <v/>
      </c>
      <c r="M60" s="44">
        <f>IF(ISNUMBER(F60),I60+IF(AND(K60&lt;&gt;"No",Impostazioni!$B$29="Sì"),J60,0),"")</f>
        <v/>
      </c>
      <c r="N60" s="45">
        <f>IF(F60="","",IF(NOT(ISNUMBER(F60)),"Compenso non valido",IF(C60="","Da incassare",IF(NOT(ISNUMBER(C60)),"Data non valida",IF(YEAR(C60)='Parametri 2026'!$B$6,"Incassata","Incassata nel "&amp;YEAR(C60))))))</f>
        <v/>
      </c>
      <c r="O60" s="39" t="n"/>
    </row>
    <row r="61">
      <c r="A61" s="39" t="n"/>
      <c r="B61" s="40" t="n"/>
      <c r="C61" s="40" t="n"/>
      <c r="D61" s="39" t="n"/>
      <c r="E61" s="39" t="n"/>
      <c r="F61" s="41" t="n"/>
      <c r="G61" s="42" t="n"/>
      <c r="H61" s="43">
        <f>IF(ISNUMBER(F61),IF(OR(G61="Sì",G61="Si"),ROUND(F61*'Parametri 2026'!$B$16,2),0),"")</f>
        <v/>
      </c>
      <c r="I61" s="43">
        <f>IF(ISNUMBER(F61),F61+H61,"")</f>
        <v/>
      </c>
      <c r="J61" s="43">
        <f>IF(ISNUMBER(F61),IF(I61&gt;'Parametri 2026'!$B$14,'Parametri 2026'!$B$13,0),"")</f>
        <v/>
      </c>
      <c r="K61" s="42" t="n"/>
      <c r="L61" s="44">
        <f>IF(ISNUMBER(F61),I61+IF(K61="No",0,J61),"")</f>
        <v/>
      </c>
      <c r="M61" s="44">
        <f>IF(ISNUMBER(F61),I61+IF(AND(K61&lt;&gt;"No",Impostazioni!$B$29="Sì"),J61,0),"")</f>
        <v/>
      </c>
      <c r="N61" s="45">
        <f>IF(F61="","",IF(NOT(ISNUMBER(F61)),"Compenso non valido",IF(C61="","Da incassare",IF(NOT(ISNUMBER(C61)),"Data non valida",IF(YEAR(C61)='Parametri 2026'!$B$6,"Incassata","Incassata nel "&amp;YEAR(C61))))))</f>
        <v/>
      </c>
      <c r="O61" s="39" t="n"/>
    </row>
    <row r="62">
      <c r="A62" s="39" t="n"/>
      <c r="B62" s="40" t="n"/>
      <c r="C62" s="40" t="n"/>
      <c r="D62" s="39" t="n"/>
      <c r="E62" s="39" t="n"/>
      <c r="F62" s="41" t="n"/>
      <c r="G62" s="42" t="n"/>
      <c r="H62" s="43">
        <f>IF(ISNUMBER(F62),IF(OR(G62="Sì",G62="Si"),ROUND(F62*'Parametri 2026'!$B$16,2),0),"")</f>
        <v/>
      </c>
      <c r="I62" s="43">
        <f>IF(ISNUMBER(F62),F62+H62,"")</f>
        <v/>
      </c>
      <c r="J62" s="43">
        <f>IF(ISNUMBER(F62),IF(I62&gt;'Parametri 2026'!$B$14,'Parametri 2026'!$B$13,0),"")</f>
        <v/>
      </c>
      <c r="K62" s="42" t="n"/>
      <c r="L62" s="44">
        <f>IF(ISNUMBER(F62),I62+IF(K62="No",0,J62),"")</f>
        <v/>
      </c>
      <c r="M62" s="44">
        <f>IF(ISNUMBER(F62),I62+IF(AND(K62&lt;&gt;"No",Impostazioni!$B$29="Sì"),J62,0),"")</f>
        <v/>
      </c>
      <c r="N62" s="45">
        <f>IF(F62="","",IF(NOT(ISNUMBER(F62)),"Compenso non valido",IF(C62="","Da incassare",IF(NOT(ISNUMBER(C62)),"Data non valida",IF(YEAR(C62)='Parametri 2026'!$B$6,"Incassata","Incassata nel "&amp;YEAR(C62))))))</f>
        <v/>
      </c>
      <c r="O62" s="39" t="n"/>
    </row>
    <row r="63">
      <c r="A63" s="39" t="n"/>
      <c r="B63" s="40" t="n"/>
      <c r="C63" s="40" t="n"/>
      <c r="D63" s="39" t="n"/>
      <c r="E63" s="39" t="n"/>
      <c r="F63" s="41" t="n"/>
      <c r="G63" s="42" t="n"/>
      <c r="H63" s="43">
        <f>IF(ISNUMBER(F63),IF(OR(G63="Sì",G63="Si"),ROUND(F63*'Parametri 2026'!$B$16,2),0),"")</f>
        <v/>
      </c>
      <c r="I63" s="43">
        <f>IF(ISNUMBER(F63),F63+H63,"")</f>
        <v/>
      </c>
      <c r="J63" s="43">
        <f>IF(ISNUMBER(F63),IF(I63&gt;'Parametri 2026'!$B$14,'Parametri 2026'!$B$13,0),"")</f>
        <v/>
      </c>
      <c r="K63" s="42" t="n"/>
      <c r="L63" s="44">
        <f>IF(ISNUMBER(F63),I63+IF(K63="No",0,J63),"")</f>
        <v/>
      </c>
      <c r="M63" s="44">
        <f>IF(ISNUMBER(F63),I63+IF(AND(K63&lt;&gt;"No",Impostazioni!$B$29="Sì"),J63,0),"")</f>
        <v/>
      </c>
      <c r="N63" s="45">
        <f>IF(F63="","",IF(NOT(ISNUMBER(F63)),"Compenso non valido",IF(C63="","Da incassare",IF(NOT(ISNUMBER(C63)),"Data non valida",IF(YEAR(C63)='Parametri 2026'!$B$6,"Incassata","Incassata nel "&amp;YEAR(C63))))))</f>
        <v/>
      </c>
      <c r="O63" s="39" t="n"/>
    </row>
    <row r="64">
      <c r="A64" s="39" t="n"/>
      <c r="B64" s="40" t="n"/>
      <c r="C64" s="40" t="n"/>
      <c r="D64" s="39" t="n"/>
      <c r="E64" s="39" t="n"/>
      <c r="F64" s="41" t="n"/>
      <c r="G64" s="42" t="n"/>
      <c r="H64" s="43">
        <f>IF(ISNUMBER(F64),IF(OR(G64="Sì",G64="Si"),ROUND(F64*'Parametri 2026'!$B$16,2),0),"")</f>
        <v/>
      </c>
      <c r="I64" s="43">
        <f>IF(ISNUMBER(F64),F64+H64,"")</f>
        <v/>
      </c>
      <c r="J64" s="43">
        <f>IF(ISNUMBER(F64),IF(I64&gt;'Parametri 2026'!$B$14,'Parametri 2026'!$B$13,0),"")</f>
        <v/>
      </c>
      <c r="K64" s="42" t="n"/>
      <c r="L64" s="44">
        <f>IF(ISNUMBER(F64),I64+IF(K64="No",0,J64),"")</f>
        <v/>
      </c>
      <c r="M64" s="44">
        <f>IF(ISNUMBER(F64),I64+IF(AND(K64&lt;&gt;"No",Impostazioni!$B$29="Sì"),J64,0),"")</f>
        <v/>
      </c>
      <c r="N64" s="45">
        <f>IF(F64="","",IF(NOT(ISNUMBER(F64)),"Compenso non valido",IF(C64="","Da incassare",IF(NOT(ISNUMBER(C64)),"Data non valida",IF(YEAR(C64)='Parametri 2026'!$B$6,"Incassata","Incassata nel "&amp;YEAR(C64))))))</f>
        <v/>
      </c>
      <c r="O64" s="39" t="n"/>
    </row>
    <row r="65">
      <c r="A65" s="39" t="n"/>
      <c r="B65" s="40" t="n"/>
      <c r="C65" s="40" t="n"/>
      <c r="D65" s="39" t="n"/>
      <c r="E65" s="39" t="n"/>
      <c r="F65" s="41" t="n"/>
      <c r="G65" s="42" t="n"/>
      <c r="H65" s="43">
        <f>IF(ISNUMBER(F65),IF(OR(G65="Sì",G65="Si"),ROUND(F65*'Parametri 2026'!$B$16,2),0),"")</f>
        <v/>
      </c>
      <c r="I65" s="43">
        <f>IF(ISNUMBER(F65),F65+H65,"")</f>
        <v/>
      </c>
      <c r="J65" s="43">
        <f>IF(ISNUMBER(F65),IF(I65&gt;'Parametri 2026'!$B$14,'Parametri 2026'!$B$13,0),"")</f>
        <v/>
      </c>
      <c r="K65" s="42" t="n"/>
      <c r="L65" s="44">
        <f>IF(ISNUMBER(F65),I65+IF(K65="No",0,J65),"")</f>
        <v/>
      </c>
      <c r="M65" s="44">
        <f>IF(ISNUMBER(F65),I65+IF(AND(K65&lt;&gt;"No",Impostazioni!$B$29="Sì"),J65,0),"")</f>
        <v/>
      </c>
      <c r="N65" s="45">
        <f>IF(F65="","",IF(NOT(ISNUMBER(F65)),"Compenso non valido",IF(C65="","Da incassare",IF(NOT(ISNUMBER(C65)),"Data non valida",IF(YEAR(C65)='Parametri 2026'!$B$6,"Incassata","Incassata nel "&amp;YEAR(C65))))))</f>
        <v/>
      </c>
      <c r="O65" s="39" t="n"/>
    </row>
    <row r="66">
      <c r="A66" s="39" t="n"/>
      <c r="B66" s="40" t="n"/>
      <c r="C66" s="40" t="n"/>
      <c r="D66" s="39" t="n"/>
      <c r="E66" s="39" t="n"/>
      <c r="F66" s="41" t="n"/>
      <c r="G66" s="42" t="n"/>
      <c r="H66" s="43">
        <f>IF(ISNUMBER(F66),IF(OR(G66="Sì",G66="Si"),ROUND(F66*'Parametri 2026'!$B$16,2),0),"")</f>
        <v/>
      </c>
      <c r="I66" s="43">
        <f>IF(ISNUMBER(F66),F66+H66,"")</f>
        <v/>
      </c>
      <c r="J66" s="43">
        <f>IF(ISNUMBER(F66),IF(I66&gt;'Parametri 2026'!$B$14,'Parametri 2026'!$B$13,0),"")</f>
        <v/>
      </c>
      <c r="K66" s="42" t="n"/>
      <c r="L66" s="44">
        <f>IF(ISNUMBER(F66),I66+IF(K66="No",0,J66),"")</f>
        <v/>
      </c>
      <c r="M66" s="44">
        <f>IF(ISNUMBER(F66),I66+IF(AND(K66&lt;&gt;"No",Impostazioni!$B$29="Sì"),J66,0),"")</f>
        <v/>
      </c>
      <c r="N66" s="45">
        <f>IF(F66="","",IF(NOT(ISNUMBER(F66)),"Compenso non valido",IF(C66="","Da incassare",IF(NOT(ISNUMBER(C66)),"Data non valida",IF(YEAR(C66)='Parametri 2026'!$B$6,"Incassata","Incassata nel "&amp;YEAR(C66))))))</f>
        <v/>
      </c>
      <c r="O66" s="39" t="n"/>
    </row>
    <row r="67">
      <c r="A67" s="39" t="n"/>
      <c r="B67" s="40" t="n"/>
      <c r="C67" s="40" t="n"/>
      <c r="D67" s="39" t="n"/>
      <c r="E67" s="39" t="n"/>
      <c r="F67" s="41" t="n"/>
      <c r="G67" s="42" t="n"/>
      <c r="H67" s="43">
        <f>IF(ISNUMBER(F67),IF(OR(G67="Sì",G67="Si"),ROUND(F67*'Parametri 2026'!$B$16,2),0),"")</f>
        <v/>
      </c>
      <c r="I67" s="43">
        <f>IF(ISNUMBER(F67),F67+H67,"")</f>
        <v/>
      </c>
      <c r="J67" s="43">
        <f>IF(ISNUMBER(F67),IF(I67&gt;'Parametri 2026'!$B$14,'Parametri 2026'!$B$13,0),"")</f>
        <v/>
      </c>
      <c r="K67" s="42" t="n"/>
      <c r="L67" s="44">
        <f>IF(ISNUMBER(F67),I67+IF(K67="No",0,J67),"")</f>
        <v/>
      </c>
      <c r="M67" s="44">
        <f>IF(ISNUMBER(F67),I67+IF(AND(K67&lt;&gt;"No",Impostazioni!$B$29="Sì"),J67,0),"")</f>
        <v/>
      </c>
      <c r="N67" s="45">
        <f>IF(F67="","",IF(NOT(ISNUMBER(F67)),"Compenso non valido",IF(C67="","Da incassare",IF(NOT(ISNUMBER(C67)),"Data non valida",IF(YEAR(C67)='Parametri 2026'!$B$6,"Incassata","Incassata nel "&amp;YEAR(C67))))))</f>
        <v/>
      </c>
      <c r="O67" s="39" t="n"/>
    </row>
    <row r="68">
      <c r="A68" s="39" t="n"/>
      <c r="B68" s="40" t="n"/>
      <c r="C68" s="40" t="n"/>
      <c r="D68" s="39" t="n"/>
      <c r="E68" s="39" t="n"/>
      <c r="F68" s="41" t="n"/>
      <c r="G68" s="42" t="n"/>
      <c r="H68" s="43">
        <f>IF(ISNUMBER(F68),IF(OR(G68="Sì",G68="Si"),ROUND(F68*'Parametri 2026'!$B$16,2),0),"")</f>
        <v/>
      </c>
      <c r="I68" s="43">
        <f>IF(ISNUMBER(F68),F68+H68,"")</f>
        <v/>
      </c>
      <c r="J68" s="43">
        <f>IF(ISNUMBER(F68),IF(I68&gt;'Parametri 2026'!$B$14,'Parametri 2026'!$B$13,0),"")</f>
        <v/>
      </c>
      <c r="K68" s="42" t="n"/>
      <c r="L68" s="44">
        <f>IF(ISNUMBER(F68),I68+IF(K68="No",0,J68),"")</f>
        <v/>
      </c>
      <c r="M68" s="44">
        <f>IF(ISNUMBER(F68),I68+IF(AND(K68&lt;&gt;"No",Impostazioni!$B$29="Sì"),J68,0),"")</f>
        <v/>
      </c>
      <c r="N68" s="45">
        <f>IF(F68="","",IF(NOT(ISNUMBER(F68)),"Compenso non valido",IF(C68="","Da incassare",IF(NOT(ISNUMBER(C68)),"Data non valida",IF(YEAR(C68)='Parametri 2026'!$B$6,"Incassata","Incassata nel "&amp;YEAR(C68))))))</f>
        <v/>
      </c>
      <c r="O68" s="39" t="n"/>
    </row>
    <row r="69">
      <c r="A69" s="39" t="n"/>
      <c r="B69" s="40" t="n"/>
      <c r="C69" s="40" t="n"/>
      <c r="D69" s="39" t="n"/>
      <c r="E69" s="39" t="n"/>
      <c r="F69" s="41" t="n"/>
      <c r="G69" s="42" t="n"/>
      <c r="H69" s="43">
        <f>IF(ISNUMBER(F69),IF(OR(G69="Sì",G69="Si"),ROUND(F69*'Parametri 2026'!$B$16,2),0),"")</f>
        <v/>
      </c>
      <c r="I69" s="43">
        <f>IF(ISNUMBER(F69),F69+H69,"")</f>
        <v/>
      </c>
      <c r="J69" s="43">
        <f>IF(ISNUMBER(F69),IF(I69&gt;'Parametri 2026'!$B$14,'Parametri 2026'!$B$13,0),"")</f>
        <v/>
      </c>
      <c r="K69" s="42" t="n"/>
      <c r="L69" s="44">
        <f>IF(ISNUMBER(F69),I69+IF(K69="No",0,J69),"")</f>
        <v/>
      </c>
      <c r="M69" s="44">
        <f>IF(ISNUMBER(F69),I69+IF(AND(K69&lt;&gt;"No",Impostazioni!$B$29="Sì"),J69,0),"")</f>
        <v/>
      </c>
      <c r="N69" s="45">
        <f>IF(F69="","",IF(NOT(ISNUMBER(F69)),"Compenso non valido",IF(C69="","Da incassare",IF(NOT(ISNUMBER(C69)),"Data non valida",IF(YEAR(C69)='Parametri 2026'!$B$6,"Incassata","Incassata nel "&amp;YEAR(C69))))))</f>
        <v/>
      </c>
      <c r="O69" s="39" t="n"/>
    </row>
    <row r="70">
      <c r="A70" s="39" t="n"/>
      <c r="B70" s="40" t="n"/>
      <c r="C70" s="40" t="n"/>
      <c r="D70" s="39" t="n"/>
      <c r="E70" s="39" t="n"/>
      <c r="F70" s="41" t="n"/>
      <c r="G70" s="42" t="n"/>
      <c r="H70" s="43">
        <f>IF(ISNUMBER(F70),IF(OR(G70="Sì",G70="Si"),ROUND(F70*'Parametri 2026'!$B$16,2),0),"")</f>
        <v/>
      </c>
      <c r="I70" s="43">
        <f>IF(ISNUMBER(F70),F70+H70,"")</f>
        <v/>
      </c>
      <c r="J70" s="43">
        <f>IF(ISNUMBER(F70),IF(I70&gt;'Parametri 2026'!$B$14,'Parametri 2026'!$B$13,0),"")</f>
        <v/>
      </c>
      <c r="K70" s="42" t="n"/>
      <c r="L70" s="44">
        <f>IF(ISNUMBER(F70),I70+IF(K70="No",0,J70),"")</f>
        <v/>
      </c>
      <c r="M70" s="44">
        <f>IF(ISNUMBER(F70),I70+IF(AND(K70&lt;&gt;"No",Impostazioni!$B$29="Sì"),J70,0),"")</f>
        <v/>
      </c>
      <c r="N70" s="45">
        <f>IF(F70="","",IF(NOT(ISNUMBER(F70)),"Compenso non valido",IF(C70="","Da incassare",IF(NOT(ISNUMBER(C70)),"Data non valida",IF(YEAR(C70)='Parametri 2026'!$B$6,"Incassata","Incassata nel "&amp;YEAR(C70))))))</f>
        <v/>
      </c>
      <c r="O70" s="39" t="n"/>
    </row>
    <row r="71">
      <c r="A71" s="39" t="n"/>
      <c r="B71" s="40" t="n"/>
      <c r="C71" s="40" t="n"/>
      <c r="D71" s="39" t="n"/>
      <c r="E71" s="39" t="n"/>
      <c r="F71" s="41" t="n"/>
      <c r="G71" s="42" t="n"/>
      <c r="H71" s="43">
        <f>IF(ISNUMBER(F71),IF(OR(G71="Sì",G71="Si"),ROUND(F71*'Parametri 2026'!$B$16,2),0),"")</f>
        <v/>
      </c>
      <c r="I71" s="43">
        <f>IF(ISNUMBER(F71),F71+H71,"")</f>
        <v/>
      </c>
      <c r="J71" s="43">
        <f>IF(ISNUMBER(F71),IF(I71&gt;'Parametri 2026'!$B$14,'Parametri 2026'!$B$13,0),"")</f>
        <v/>
      </c>
      <c r="K71" s="42" t="n"/>
      <c r="L71" s="44">
        <f>IF(ISNUMBER(F71),I71+IF(K71="No",0,J71),"")</f>
        <v/>
      </c>
      <c r="M71" s="44">
        <f>IF(ISNUMBER(F71),I71+IF(AND(K71&lt;&gt;"No",Impostazioni!$B$29="Sì"),J71,0),"")</f>
        <v/>
      </c>
      <c r="N71" s="45">
        <f>IF(F71="","",IF(NOT(ISNUMBER(F71)),"Compenso non valido",IF(C71="","Da incassare",IF(NOT(ISNUMBER(C71)),"Data non valida",IF(YEAR(C71)='Parametri 2026'!$B$6,"Incassata","Incassata nel "&amp;YEAR(C71))))))</f>
        <v/>
      </c>
      <c r="O71" s="39" t="n"/>
    </row>
    <row r="72">
      <c r="A72" s="39" t="n"/>
      <c r="B72" s="40" t="n"/>
      <c r="C72" s="40" t="n"/>
      <c r="D72" s="39" t="n"/>
      <c r="E72" s="39" t="n"/>
      <c r="F72" s="41" t="n"/>
      <c r="G72" s="42" t="n"/>
      <c r="H72" s="43">
        <f>IF(ISNUMBER(F72),IF(OR(G72="Sì",G72="Si"),ROUND(F72*'Parametri 2026'!$B$16,2),0),"")</f>
        <v/>
      </c>
      <c r="I72" s="43">
        <f>IF(ISNUMBER(F72),F72+H72,"")</f>
        <v/>
      </c>
      <c r="J72" s="43">
        <f>IF(ISNUMBER(F72),IF(I72&gt;'Parametri 2026'!$B$14,'Parametri 2026'!$B$13,0),"")</f>
        <v/>
      </c>
      <c r="K72" s="42" t="n"/>
      <c r="L72" s="44">
        <f>IF(ISNUMBER(F72),I72+IF(K72="No",0,J72),"")</f>
        <v/>
      </c>
      <c r="M72" s="44">
        <f>IF(ISNUMBER(F72),I72+IF(AND(K72&lt;&gt;"No",Impostazioni!$B$29="Sì"),J72,0),"")</f>
        <v/>
      </c>
      <c r="N72" s="45">
        <f>IF(F72="","",IF(NOT(ISNUMBER(F72)),"Compenso non valido",IF(C72="","Da incassare",IF(NOT(ISNUMBER(C72)),"Data non valida",IF(YEAR(C72)='Parametri 2026'!$B$6,"Incassata","Incassata nel "&amp;YEAR(C72))))))</f>
        <v/>
      </c>
      <c r="O72" s="39" t="n"/>
    </row>
    <row r="73">
      <c r="A73" s="39" t="n"/>
      <c r="B73" s="40" t="n"/>
      <c r="C73" s="40" t="n"/>
      <c r="D73" s="39" t="n"/>
      <c r="E73" s="39" t="n"/>
      <c r="F73" s="41" t="n"/>
      <c r="G73" s="42" t="n"/>
      <c r="H73" s="43">
        <f>IF(ISNUMBER(F73),IF(OR(G73="Sì",G73="Si"),ROUND(F73*'Parametri 2026'!$B$16,2),0),"")</f>
        <v/>
      </c>
      <c r="I73" s="43">
        <f>IF(ISNUMBER(F73),F73+H73,"")</f>
        <v/>
      </c>
      <c r="J73" s="43">
        <f>IF(ISNUMBER(F73),IF(I73&gt;'Parametri 2026'!$B$14,'Parametri 2026'!$B$13,0),"")</f>
        <v/>
      </c>
      <c r="K73" s="42" t="n"/>
      <c r="L73" s="44">
        <f>IF(ISNUMBER(F73),I73+IF(K73="No",0,J73),"")</f>
        <v/>
      </c>
      <c r="M73" s="44">
        <f>IF(ISNUMBER(F73),I73+IF(AND(K73&lt;&gt;"No",Impostazioni!$B$29="Sì"),J73,0),"")</f>
        <v/>
      </c>
      <c r="N73" s="45">
        <f>IF(F73="","",IF(NOT(ISNUMBER(F73)),"Compenso non valido",IF(C73="","Da incassare",IF(NOT(ISNUMBER(C73)),"Data non valida",IF(YEAR(C73)='Parametri 2026'!$B$6,"Incassata","Incassata nel "&amp;YEAR(C73))))))</f>
        <v/>
      </c>
      <c r="O73" s="39" t="n"/>
    </row>
    <row r="74">
      <c r="A74" s="39" t="n"/>
      <c r="B74" s="40" t="n"/>
      <c r="C74" s="40" t="n"/>
      <c r="D74" s="39" t="n"/>
      <c r="E74" s="39" t="n"/>
      <c r="F74" s="41" t="n"/>
      <c r="G74" s="42" t="n"/>
      <c r="H74" s="43">
        <f>IF(ISNUMBER(F74),IF(OR(G74="Sì",G74="Si"),ROUND(F74*'Parametri 2026'!$B$16,2),0),"")</f>
        <v/>
      </c>
      <c r="I74" s="43">
        <f>IF(ISNUMBER(F74),F74+H74,"")</f>
        <v/>
      </c>
      <c r="J74" s="43">
        <f>IF(ISNUMBER(F74),IF(I74&gt;'Parametri 2026'!$B$14,'Parametri 2026'!$B$13,0),"")</f>
        <v/>
      </c>
      <c r="K74" s="42" t="n"/>
      <c r="L74" s="44">
        <f>IF(ISNUMBER(F74),I74+IF(K74="No",0,J74),"")</f>
        <v/>
      </c>
      <c r="M74" s="44">
        <f>IF(ISNUMBER(F74),I74+IF(AND(K74&lt;&gt;"No",Impostazioni!$B$29="Sì"),J74,0),"")</f>
        <v/>
      </c>
      <c r="N74" s="45">
        <f>IF(F74="","",IF(NOT(ISNUMBER(F74)),"Compenso non valido",IF(C74="","Da incassare",IF(NOT(ISNUMBER(C74)),"Data non valida",IF(YEAR(C74)='Parametri 2026'!$B$6,"Incassata","Incassata nel "&amp;YEAR(C74))))))</f>
        <v/>
      </c>
      <c r="O74" s="39" t="n"/>
    </row>
    <row r="75">
      <c r="A75" s="39" t="n"/>
      <c r="B75" s="40" t="n"/>
      <c r="C75" s="40" t="n"/>
      <c r="D75" s="39" t="n"/>
      <c r="E75" s="39" t="n"/>
      <c r="F75" s="41" t="n"/>
      <c r="G75" s="42" t="n"/>
      <c r="H75" s="43">
        <f>IF(ISNUMBER(F75),IF(OR(G75="Sì",G75="Si"),ROUND(F75*'Parametri 2026'!$B$16,2),0),"")</f>
        <v/>
      </c>
      <c r="I75" s="43">
        <f>IF(ISNUMBER(F75),F75+H75,"")</f>
        <v/>
      </c>
      <c r="J75" s="43">
        <f>IF(ISNUMBER(F75),IF(I75&gt;'Parametri 2026'!$B$14,'Parametri 2026'!$B$13,0),"")</f>
        <v/>
      </c>
      <c r="K75" s="42" t="n"/>
      <c r="L75" s="44">
        <f>IF(ISNUMBER(F75),I75+IF(K75="No",0,J75),"")</f>
        <v/>
      </c>
      <c r="M75" s="44">
        <f>IF(ISNUMBER(F75),I75+IF(AND(K75&lt;&gt;"No",Impostazioni!$B$29="Sì"),J75,0),"")</f>
        <v/>
      </c>
      <c r="N75" s="45">
        <f>IF(F75="","",IF(NOT(ISNUMBER(F75)),"Compenso non valido",IF(C75="","Da incassare",IF(NOT(ISNUMBER(C75)),"Data non valida",IF(YEAR(C75)='Parametri 2026'!$B$6,"Incassata","Incassata nel "&amp;YEAR(C75))))))</f>
        <v/>
      </c>
      <c r="O75" s="39" t="n"/>
    </row>
    <row r="76">
      <c r="A76" s="39" t="n"/>
      <c r="B76" s="40" t="n"/>
      <c r="C76" s="40" t="n"/>
      <c r="D76" s="39" t="n"/>
      <c r="E76" s="39" t="n"/>
      <c r="F76" s="41" t="n"/>
      <c r="G76" s="42" t="n"/>
      <c r="H76" s="43">
        <f>IF(ISNUMBER(F76),IF(OR(G76="Sì",G76="Si"),ROUND(F76*'Parametri 2026'!$B$16,2),0),"")</f>
        <v/>
      </c>
      <c r="I76" s="43">
        <f>IF(ISNUMBER(F76),F76+H76,"")</f>
        <v/>
      </c>
      <c r="J76" s="43">
        <f>IF(ISNUMBER(F76),IF(I76&gt;'Parametri 2026'!$B$14,'Parametri 2026'!$B$13,0),"")</f>
        <v/>
      </c>
      <c r="K76" s="42" t="n"/>
      <c r="L76" s="44">
        <f>IF(ISNUMBER(F76),I76+IF(K76="No",0,J76),"")</f>
        <v/>
      </c>
      <c r="M76" s="44">
        <f>IF(ISNUMBER(F76),I76+IF(AND(K76&lt;&gt;"No",Impostazioni!$B$29="Sì"),J76,0),"")</f>
        <v/>
      </c>
      <c r="N76" s="45">
        <f>IF(F76="","",IF(NOT(ISNUMBER(F76)),"Compenso non valido",IF(C76="","Da incassare",IF(NOT(ISNUMBER(C76)),"Data non valida",IF(YEAR(C76)='Parametri 2026'!$B$6,"Incassata","Incassata nel "&amp;YEAR(C76))))))</f>
        <v/>
      </c>
      <c r="O76" s="39" t="n"/>
    </row>
    <row r="77">
      <c r="A77" s="39" t="n"/>
      <c r="B77" s="40" t="n"/>
      <c r="C77" s="40" t="n"/>
      <c r="D77" s="39" t="n"/>
      <c r="E77" s="39" t="n"/>
      <c r="F77" s="41" t="n"/>
      <c r="G77" s="42" t="n"/>
      <c r="H77" s="43">
        <f>IF(ISNUMBER(F77),IF(OR(G77="Sì",G77="Si"),ROUND(F77*'Parametri 2026'!$B$16,2),0),"")</f>
        <v/>
      </c>
      <c r="I77" s="43">
        <f>IF(ISNUMBER(F77),F77+H77,"")</f>
        <v/>
      </c>
      <c r="J77" s="43">
        <f>IF(ISNUMBER(F77),IF(I77&gt;'Parametri 2026'!$B$14,'Parametri 2026'!$B$13,0),"")</f>
        <v/>
      </c>
      <c r="K77" s="42" t="n"/>
      <c r="L77" s="44">
        <f>IF(ISNUMBER(F77),I77+IF(K77="No",0,J77),"")</f>
        <v/>
      </c>
      <c r="M77" s="44">
        <f>IF(ISNUMBER(F77),I77+IF(AND(K77&lt;&gt;"No",Impostazioni!$B$29="Sì"),J77,0),"")</f>
        <v/>
      </c>
      <c r="N77" s="45">
        <f>IF(F77="","",IF(NOT(ISNUMBER(F77)),"Compenso non valido",IF(C77="","Da incassare",IF(NOT(ISNUMBER(C77)),"Data non valida",IF(YEAR(C77)='Parametri 2026'!$B$6,"Incassata","Incassata nel "&amp;YEAR(C77))))))</f>
        <v/>
      </c>
      <c r="O77" s="39" t="n"/>
    </row>
    <row r="78">
      <c r="A78" s="39" t="n"/>
      <c r="B78" s="40" t="n"/>
      <c r="C78" s="40" t="n"/>
      <c r="D78" s="39" t="n"/>
      <c r="E78" s="39" t="n"/>
      <c r="F78" s="41" t="n"/>
      <c r="G78" s="42" t="n"/>
      <c r="H78" s="43">
        <f>IF(ISNUMBER(F78),IF(OR(G78="Sì",G78="Si"),ROUND(F78*'Parametri 2026'!$B$16,2),0),"")</f>
        <v/>
      </c>
      <c r="I78" s="43">
        <f>IF(ISNUMBER(F78),F78+H78,"")</f>
        <v/>
      </c>
      <c r="J78" s="43">
        <f>IF(ISNUMBER(F78),IF(I78&gt;'Parametri 2026'!$B$14,'Parametri 2026'!$B$13,0),"")</f>
        <v/>
      </c>
      <c r="K78" s="42" t="n"/>
      <c r="L78" s="44">
        <f>IF(ISNUMBER(F78),I78+IF(K78="No",0,J78),"")</f>
        <v/>
      </c>
      <c r="M78" s="44">
        <f>IF(ISNUMBER(F78),I78+IF(AND(K78&lt;&gt;"No",Impostazioni!$B$29="Sì"),J78,0),"")</f>
        <v/>
      </c>
      <c r="N78" s="45">
        <f>IF(F78="","",IF(NOT(ISNUMBER(F78)),"Compenso non valido",IF(C78="","Da incassare",IF(NOT(ISNUMBER(C78)),"Data non valida",IF(YEAR(C78)='Parametri 2026'!$B$6,"Incassata","Incassata nel "&amp;YEAR(C78))))))</f>
        <v/>
      </c>
      <c r="O78" s="39" t="n"/>
    </row>
    <row r="79">
      <c r="A79" s="39" t="n"/>
      <c r="B79" s="40" t="n"/>
      <c r="C79" s="40" t="n"/>
      <c r="D79" s="39" t="n"/>
      <c r="E79" s="39" t="n"/>
      <c r="F79" s="41" t="n"/>
      <c r="G79" s="42" t="n"/>
      <c r="H79" s="43">
        <f>IF(ISNUMBER(F79),IF(OR(G79="Sì",G79="Si"),ROUND(F79*'Parametri 2026'!$B$16,2),0),"")</f>
        <v/>
      </c>
      <c r="I79" s="43">
        <f>IF(ISNUMBER(F79),F79+H79,"")</f>
        <v/>
      </c>
      <c r="J79" s="43">
        <f>IF(ISNUMBER(F79),IF(I79&gt;'Parametri 2026'!$B$14,'Parametri 2026'!$B$13,0),"")</f>
        <v/>
      </c>
      <c r="K79" s="42" t="n"/>
      <c r="L79" s="44">
        <f>IF(ISNUMBER(F79),I79+IF(K79="No",0,J79),"")</f>
        <v/>
      </c>
      <c r="M79" s="44">
        <f>IF(ISNUMBER(F79),I79+IF(AND(K79&lt;&gt;"No",Impostazioni!$B$29="Sì"),J79,0),"")</f>
        <v/>
      </c>
      <c r="N79" s="45">
        <f>IF(F79="","",IF(NOT(ISNUMBER(F79)),"Compenso non valido",IF(C79="","Da incassare",IF(NOT(ISNUMBER(C79)),"Data non valida",IF(YEAR(C79)='Parametri 2026'!$B$6,"Incassata","Incassata nel "&amp;YEAR(C79))))))</f>
        <v/>
      </c>
      <c r="O79" s="39" t="n"/>
    </row>
    <row r="80">
      <c r="A80" s="39" t="n"/>
      <c r="B80" s="40" t="n"/>
      <c r="C80" s="40" t="n"/>
      <c r="D80" s="39" t="n"/>
      <c r="E80" s="39" t="n"/>
      <c r="F80" s="41" t="n"/>
      <c r="G80" s="42" t="n"/>
      <c r="H80" s="43">
        <f>IF(ISNUMBER(F80),IF(OR(G80="Sì",G80="Si"),ROUND(F80*'Parametri 2026'!$B$16,2),0),"")</f>
        <v/>
      </c>
      <c r="I80" s="43">
        <f>IF(ISNUMBER(F80),F80+H80,"")</f>
        <v/>
      </c>
      <c r="J80" s="43">
        <f>IF(ISNUMBER(F80),IF(I80&gt;'Parametri 2026'!$B$14,'Parametri 2026'!$B$13,0),"")</f>
        <v/>
      </c>
      <c r="K80" s="42" t="n"/>
      <c r="L80" s="44">
        <f>IF(ISNUMBER(F80),I80+IF(K80="No",0,J80),"")</f>
        <v/>
      </c>
      <c r="M80" s="44">
        <f>IF(ISNUMBER(F80),I80+IF(AND(K80&lt;&gt;"No",Impostazioni!$B$29="Sì"),J80,0),"")</f>
        <v/>
      </c>
      <c r="N80" s="45">
        <f>IF(F80="","",IF(NOT(ISNUMBER(F80)),"Compenso non valido",IF(C80="","Da incassare",IF(NOT(ISNUMBER(C80)),"Data non valida",IF(YEAR(C80)='Parametri 2026'!$B$6,"Incassata","Incassata nel "&amp;YEAR(C80))))))</f>
        <v/>
      </c>
      <c r="O80" s="39" t="n"/>
    </row>
    <row r="81">
      <c r="A81" s="39" t="n"/>
      <c r="B81" s="40" t="n"/>
      <c r="C81" s="40" t="n"/>
      <c r="D81" s="39" t="n"/>
      <c r="E81" s="39" t="n"/>
      <c r="F81" s="41" t="n"/>
      <c r="G81" s="42" t="n"/>
      <c r="H81" s="43">
        <f>IF(ISNUMBER(F81),IF(OR(G81="Sì",G81="Si"),ROUND(F81*'Parametri 2026'!$B$16,2),0),"")</f>
        <v/>
      </c>
      <c r="I81" s="43">
        <f>IF(ISNUMBER(F81),F81+H81,"")</f>
        <v/>
      </c>
      <c r="J81" s="43">
        <f>IF(ISNUMBER(F81),IF(I81&gt;'Parametri 2026'!$B$14,'Parametri 2026'!$B$13,0),"")</f>
        <v/>
      </c>
      <c r="K81" s="42" t="n"/>
      <c r="L81" s="44">
        <f>IF(ISNUMBER(F81),I81+IF(K81="No",0,J81),"")</f>
        <v/>
      </c>
      <c r="M81" s="44">
        <f>IF(ISNUMBER(F81),I81+IF(AND(K81&lt;&gt;"No",Impostazioni!$B$29="Sì"),J81,0),"")</f>
        <v/>
      </c>
      <c r="N81" s="45">
        <f>IF(F81="","",IF(NOT(ISNUMBER(F81)),"Compenso non valido",IF(C81="","Da incassare",IF(NOT(ISNUMBER(C81)),"Data non valida",IF(YEAR(C81)='Parametri 2026'!$B$6,"Incassata","Incassata nel "&amp;YEAR(C81))))))</f>
        <v/>
      </c>
      <c r="O81" s="39" t="n"/>
    </row>
    <row r="82">
      <c r="A82" s="39" t="n"/>
      <c r="B82" s="40" t="n"/>
      <c r="C82" s="40" t="n"/>
      <c r="D82" s="39" t="n"/>
      <c r="E82" s="39" t="n"/>
      <c r="F82" s="41" t="n"/>
      <c r="G82" s="42" t="n"/>
      <c r="H82" s="43">
        <f>IF(ISNUMBER(F82),IF(OR(G82="Sì",G82="Si"),ROUND(F82*'Parametri 2026'!$B$16,2),0),"")</f>
        <v/>
      </c>
      <c r="I82" s="43">
        <f>IF(ISNUMBER(F82),F82+H82,"")</f>
        <v/>
      </c>
      <c r="J82" s="43">
        <f>IF(ISNUMBER(F82),IF(I82&gt;'Parametri 2026'!$B$14,'Parametri 2026'!$B$13,0),"")</f>
        <v/>
      </c>
      <c r="K82" s="42" t="n"/>
      <c r="L82" s="44">
        <f>IF(ISNUMBER(F82),I82+IF(K82="No",0,J82),"")</f>
        <v/>
      </c>
      <c r="M82" s="44">
        <f>IF(ISNUMBER(F82),I82+IF(AND(K82&lt;&gt;"No",Impostazioni!$B$29="Sì"),J82,0),"")</f>
        <v/>
      </c>
      <c r="N82" s="45">
        <f>IF(F82="","",IF(NOT(ISNUMBER(F82)),"Compenso non valido",IF(C82="","Da incassare",IF(NOT(ISNUMBER(C82)),"Data non valida",IF(YEAR(C82)='Parametri 2026'!$B$6,"Incassata","Incassata nel "&amp;YEAR(C82))))))</f>
        <v/>
      </c>
      <c r="O82" s="39" t="n"/>
    </row>
    <row r="83">
      <c r="A83" s="39" t="n"/>
      <c r="B83" s="40" t="n"/>
      <c r="C83" s="40" t="n"/>
      <c r="D83" s="39" t="n"/>
      <c r="E83" s="39" t="n"/>
      <c r="F83" s="41" t="n"/>
      <c r="G83" s="42" t="n"/>
      <c r="H83" s="43">
        <f>IF(ISNUMBER(F83),IF(OR(G83="Sì",G83="Si"),ROUND(F83*'Parametri 2026'!$B$16,2),0),"")</f>
        <v/>
      </c>
      <c r="I83" s="43">
        <f>IF(ISNUMBER(F83),F83+H83,"")</f>
        <v/>
      </c>
      <c r="J83" s="43">
        <f>IF(ISNUMBER(F83),IF(I83&gt;'Parametri 2026'!$B$14,'Parametri 2026'!$B$13,0),"")</f>
        <v/>
      </c>
      <c r="K83" s="42" t="n"/>
      <c r="L83" s="44">
        <f>IF(ISNUMBER(F83),I83+IF(K83="No",0,J83),"")</f>
        <v/>
      </c>
      <c r="M83" s="44">
        <f>IF(ISNUMBER(F83),I83+IF(AND(K83&lt;&gt;"No",Impostazioni!$B$29="Sì"),J83,0),"")</f>
        <v/>
      </c>
      <c r="N83" s="45">
        <f>IF(F83="","",IF(NOT(ISNUMBER(F83)),"Compenso non valido",IF(C83="","Da incassare",IF(NOT(ISNUMBER(C83)),"Data non valida",IF(YEAR(C83)='Parametri 2026'!$B$6,"Incassata","Incassata nel "&amp;YEAR(C83))))))</f>
        <v/>
      </c>
      <c r="O83" s="39" t="n"/>
    </row>
    <row r="84">
      <c r="A84" s="39" t="n"/>
      <c r="B84" s="40" t="n"/>
      <c r="C84" s="40" t="n"/>
      <c r="D84" s="39" t="n"/>
      <c r="E84" s="39" t="n"/>
      <c r="F84" s="41" t="n"/>
      <c r="G84" s="42" t="n"/>
      <c r="H84" s="43">
        <f>IF(ISNUMBER(F84),IF(OR(G84="Sì",G84="Si"),ROUND(F84*'Parametri 2026'!$B$16,2),0),"")</f>
        <v/>
      </c>
      <c r="I84" s="43">
        <f>IF(ISNUMBER(F84),F84+H84,"")</f>
        <v/>
      </c>
      <c r="J84" s="43">
        <f>IF(ISNUMBER(F84),IF(I84&gt;'Parametri 2026'!$B$14,'Parametri 2026'!$B$13,0),"")</f>
        <v/>
      </c>
      <c r="K84" s="42" t="n"/>
      <c r="L84" s="44">
        <f>IF(ISNUMBER(F84),I84+IF(K84="No",0,J84),"")</f>
        <v/>
      </c>
      <c r="M84" s="44">
        <f>IF(ISNUMBER(F84),I84+IF(AND(K84&lt;&gt;"No",Impostazioni!$B$29="Sì"),J84,0),"")</f>
        <v/>
      </c>
      <c r="N84" s="45">
        <f>IF(F84="","",IF(NOT(ISNUMBER(F84)),"Compenso non valido",IF(C84="","Da incassare",IF(NOT(ISNUMBER(C84)),"Data non valida",IF(YEAR(C84)='Parametri 2026'!$B$6,"Incassata","Incassata nel "&amp;YEAR(C84))))))</f>
        <v/>
      </c>
      <c r="O84" s="39" t="n"/>
    </row>
    <row r="85">
      <c r="A85" s="39" t="n"/>
      <c r="B85" s="40" t="n"/>
      <c r="C85" s="40" t="n"/>
      <c r="D85" s="39" t="n"/>
      <c r="E85" s="39" t="n"/>
      <c r="F85" s="41" t="n"/>
      <c r="G85" s="42" t="n"/>
      <c r="H85" s="43">
        <f>IF(ISNUMBER(F85),IF(OR(G85="Sì",G85="Si"),ROUND(F85*'Parametri 2026'!$B$16,2),0),"")</f>
        <v/>
      </c>
      <c r="I85" s="43">
        <f>IF(ISNUMBER(F85),F85+H85,"")</f>
        <v/>
      </c>
      <c r="J85" s="43">
        <f>IF(ISNUMBER(F85),IF(I85&gt;'Parametri 2026'!$B$14,'Parametri 2026'!$B$13,0),"")</f>
        <v/>
      </c>
      <c r="K85" s="42" t="n"/>
      <c r="L85" s="44">
        <f>IF(ISNUMBER(F85),I85+IF(K85="No",0,J85),"")</f>
        <v/>
      </c>
      <c r="M85" s="44">
        <f>IF(ISNUMBER(F85),I85+IF(AND(K85&lt;&gt;"No",Impostazioni!$B$29="Sì"),J85,0),"")</f>
        <v/>
      </c>
      <c r="N85" s="45">
        <f>IF(F85="","",IF(NOT(ISNUMBER(F85)),"Compenso non valido",IF(C85="","Da incassare",IF(NOT(ISNUMBER(C85)),"Data non valida",IF(YEAR(C85)='Parametri 2026'!$B$6,"Incassata","Incassata nel "&amp;YEAR(C85))))))</f>
        <v/>
      </c>
      <c r="O85" s="39" t="n"/>
    </row>
    <row r="86">
      <c r="A86" s="39" t="n"/>
      <c r="B86" s="40" t="n"/>
      <c r="C86" s="40" t="n"/>
      <c r="D86" s="39" t="n"/>
      <c r="E86" s="39" t="n"/>
      <c r="F86" s="41" t="n"/>
      <c r="G86" s="42" t="n"/>
      <c r="H86" s="43">
        <f>IF(ISNUMBER(F86),IF(OR(G86="Sì",G86="Si"),ROUND(F86*'Parametri 2026'!$B$16,2),0),"")</f>
        <v/>
      </c>
      <c r="I86" s="43">
        <f>IF(ISNUMBER(F86),F86+H86,"")</f>
        <v/>
      </c>
      <c r="J86" s="43">
        <f>IF(ISNUMBER(F86),IF(I86&gt;'Parametri 2026'!$B$14,'Parametri 2026'!$B$13,0),"")</f>
        <v/>
      </c>
      <c r="K86" s="42" t="n"/>
      <c r="L86" s="44">
        <f>IF(ISNUMBER(F86),I86+IF(K86="No",0,J86),"")</f>
        <v/>
      </c>
      <c r="M86" s="44">
        <f>IF(ISNUMBER(F86),I86+IF(AND(K86&lt;&gt;"No",Impostazioni!$B$29="Sì"),J86,0),"")</f>
        <v/>
      </c>
      <c r="N86" s="45">
        <f>IF(F86="","",IF(NOT(ISNUMBER(F86)),"Compenso non valido",IF(C86="","Da incassare",IF(NOT(ISNUMBER(C86)),"Data non valida",IF(YEAR(C86)='Parametri 2026'!$B$6,"Incassata","Incassata nel "&amp;YEAR(C86))))))</f>
        <v/>
      </c>
      <c r="O86" s="39" t="n"/>
    </row>
    <row r="87">
      <c r="A87" s="39" t="n"/>
      <c r="B87" s="40" t="n"/>
      <c r="C87" s="40" t="n"/>
      <c r="D87" s="39" t="n"/>
      <c r="E87" s="39" t="n"/>
      <c r="F87" s="41" t="n"/>
      <c r="G87" s="42" t="n"/>
      <c r="H87" s="43">
        <f>IF(ISNUMBER(F87),IF(OR(G87="Sì",G87="Si"),ROUND(F87*'Parametri 2026'!$B$16,2),0),"")</f>
        <v/>
      </c>
      <c r="I87" s="43">
        <f>IF(ISNUMBER(F87),F87+H87,"")</f>
        <v/>
      </c>
      <c r="J87" s="43">
        <f>IF(ISNUMBER(F87),IF(I87&gt;'Parametri 2026'!$B$14,'Parametri 2026'!$B$13,0),"")</f>
        <v/>
      </c>
      <c r="K87" s="42" t="n"/>
      <c r="L87" s="44">
        <f>IF(ISNUMBER(F87),I87+IF(K87="No",0,J87),"")</f>
        <v/>
      </c>
      <c r="M87" s="44">
        <f>IF(ISNUMBER(F87),I87+IF(AND(K87&lt;&gt;"No",Impostazioni!$B$29="Sì"),J87,0),"")</f>
        <v/>
      </c>
      <c r="N87" s="45">
        <f>IF(F87="","",IF(NOT(ISNUMBER(F87)),"Compenso non valido",IF(C87="","Da incassare",IF(NOT(ISNUMBER(C87)),"Data non valida",IF(YEAR(C87)='Parametri 2026'!$B$6,"Incassata","Incassata nel "&amp;YEAR(C87))))))</f>
        <v/>
      </c>
      <c r="O87" s="39" t="n"/>
    </row>
    <row r="88">
      <c r="A88" s="39" t="n"/>
      <c r="B88" s="40" t="n"/>
      <c r="C88" s="40" t="n"/>
      <c r="D88" s="39" t="n"/>
      <c r="E88" s="39" t="n"/>
      <c r="F88" s="41" t="n"/>
      <c r="G88" s="42" t="n"/>
      <c r="H88" s="43">
        <f>IF(ISNUMBER(F88),IF(OR(G88="Sì",G88="Si"),ROUND(F88*'Parametri 2026'!$B$16,2),0),"")</f>
        <v/>
      </c>
      <c r="I88" s="43">
        <f>IF(ISNUMBER(F88),F88+H88,"")</f>
        <v/>
      </c>
      <c r="J88" s="43">
        <f>IF(ISNUMBER(F88),IF(I88&gt;'Parametri 2026'!$B$14,'Parametri 2026'!$B$13,0),"")</f>
        <v/>
      </c>
      <c r="K88" s="42" t="n"/>
      <c r="L88" s="44">
        <f>IF(ISNUMBER(F88),I88+IF(K88="No",0,J88),"")</f>
        <v/>
      </c>
      <c r="M88" s="44">
        <f>IF(ISNUMBER(F88),I88+IF(AND(K88&lt;&gt;"No",Impostazioni!$B$29="Sì"),J88,0),"")</f>
        <v/>
      </c>
      <c r="N88" s="45">
        <f>IF(F88="","",IF(NOT(ISNUMBER(F88)),"Compenso non valido",IF(C88="","Da incassare",IF(NOT(ISNUMBER(C88)),"Data non valida",IF(YEAR(C88)='Parametri 2026'!$B$6,"Incassata","Incassata nel "&amp;YEAR(C88))))))</f>
        <v/>
      </c>
      <c r="O88" s="39" t="n"/>
    </row>
    <row r="89">
      <c r="A89" s="39" t="n"/>
      <c r="B89" s="40" t="n"/>
      <c r="C89" s="40" t="n"/>
      <c r="D89" s="39" t="n"/>
      <c r="E89" s="39" t="n"/>
      <c r="F89" s="41" t="n"/>
      <c r="G89" s="42" t="n"/>
      <c r="H89" s="43">
        <f>IF(ISNUMBER(F89),IF(OR(G89="Sì",G89="Si"),ROUND(F89*'Parametri 2026'!$B$16,2),0),"")</f>
        <v/>
      </c>
      <c r="I89" s="43">
        <f>IF(ISNUMBER(F89),F89+H89,"")</f>
        <v/>
      </c>
      <c r="J89" s="43">
        <f>IF(ISNUMBER(F89),IF(I89&gt;'Parametri 2026'!$B$14,'Parametri 2026'!$B$13,0),"")</f>
        <v/>
      </c>
      <c r="K89" s="42" t="n"/>
      <c r="L89" s="44">
        <f>IF(ISNUMBER(F89),I89+IF(K89="No",0,J89),"")</f>
        <v/>
      </c>
      <c r="M89" s="44">
        <f>IF(ISNUMBER(F89),I89+IF(AND(K89&lt;&gt;"No",Impostazioni!$B$29="Sì"),J89,0),"")</f>
        <v/>
      </c>
      <c r="N89" s="45">
        <f>IF(F89="","",IF(NOT(ISNUMBER(F89)),"Compenso non valido",IF(C89="","Da incassare",IF(NOT(ISNUMBER(C89)),"Data non valida",IF(YEAR(C89)='Parametri 2026'!$B$6,"Incassata","Incassata nel "&amp;YEAR(C89))))))</f>
        <v/>
      </c>
      <c r="O89" s="39" t="n"/>
    </row>
    <row r="90">
      <c r="A90" s="39" t="n"/>
      <c r="B90" s="40" t="n"/>
      <c r="C90" s="40" t="n"/>
      <c r="D90" s="39" t="n"/>
      <c r="E90" s="39" t="n"/>
      <c r="F90" s="41" t="n"/>
      <c r="G90" s="42" t="n"/>
      <c r="H90" s="43">
        <f>IF(ISNUMBER(F90),IF(OR(G90="Sì",G90="Si"),ROUND(F90*'Parametri 2026'!$B$16,2),0),"")</f>
        <v/>
      </c>
      <c r="I90" s="43">
        <f>IF(ISNUMBER(F90),F90+H90,"")</f>
        <v/>
      </c>
      <c r="J90" s="43">
        <f>IF(ISNUMBER(F90),IF(I90&gt;'Parametri 2026'!$B$14,'Parametri 2026'!$B$13,0),"")</f>
        <v/>
      </c>
      <c r="K90" s="42" t="n"/>
      <c r="L90" s="44">
        <f>IF(ISNUMBER(F90),I90+IF(K90="No",0,J90),"")</f>
        <v/>
      </c>
      <c r="M90" s="44">
        <f>IF(ISNUMBER(F90),I90+IF(AND(K90&lt;&gt;"No",Impostazioni!$B$29="Sì"),J90,0),"")</f>
        <v/>
      </c>
      <c r="N90" s="45">
        <f>IF(F90="","",IF(NOT(ISNUMBER(F90)),"Compenso non valido",IF(C90="","Da incassare",IF(NOT(ISNUMBER(C90)),"Data non valida",IF(YEAR(C90)='Parametri 2026'!$B$6,"Incassata","Incassata nel "&amp;YEAR(C90))))))</f>
        <v/>
      </c>
      <c r="O90" s="39" t="n"/>
    </row>
    <row r="91">
      <c r="A91" s="39" t="n"/>
      <c r="B91" s="40" t="n"/>
      <c r="C91" s="40" t="n"/>
      <c r="D91" s="39" t="n"/>
      <c r="E91" s="39" t="n"/>
      <c r="F91" s="41" t="n"/>
      <c r="G91" s="42" t="n"/>
      <c r="H91" s="43">
        <f>IF(ISNUMBER(F91),IF(OR(G91="Sì",G91="Si"),ROUND(F91*'Parametri 2026'!$B$16,2),0),"")</f>
        <v/>
      </c>
      <c r="I91" s="43">
        <f>IF(ISNUMBER(F91),F91+H91,"")</f>
        <v/>
      </c>
      <c r="J91" s="43">
        <f>IF(ISNUMBER(F91),IF(I91&gt;'Parametri 2026'!$B$14,'Parametri 2026'!$B$13,0),"")</f>
        <v/>
      </c>
      <c r="K91" s="42" t="n"/>
      <c r="L91" s="44">
        <f>IF(ISNUMBER(F91),I91+IF(K91="No",0,J91),"")</f>
        <v/>
      </c>
      <c r="M91" s="44">
        <f>IF(ISNUMBER(F91),I91+IF(AND(K91&lt;&gt;"No",Impostazioni!$B$29="Sì"),J91,0),"")</f>
        <v/>
      </c>
      <c r="N91" s="45">
        <f>IF(F91="","",IF(NOT(ISNUMBER(F91)),"Compenso non valido",IF(C91="","Da incassare",IF(NOT(ISNUMBER(C91)),"Data non valida",IF(YEAR(C91)='Parametri 2026'!$B$6,"Incassata","Incassata nel "&amp;YEAR(C91))))))</f>
        <v/>
      </c>
      <c r="O91" s="39" t="n"/>
    </row>
    <row r="92">
      <c r="A92" s="39" t="n"/>
      <c r="B92" s="40" t="n"/>
      <c r="C92" s="40" t="n"/>
      <c r="D92" s="39" t="n"/>
      <c r="E92" s="39" t="n"/>
      <c r="F92" s="41" t="n"/>
      <c r="G92" s="42" t="n"/>
      <c r="H92" s="43">
        <f>IF(ISNUMBER(F92),IF(OR(G92="Sì",G92="Si"),ROUND(F92*'Parametri 2026'!$B$16,2),0),"")</f>
        <v/>
      </c>
      <c r="I92" s="43">
        <f>IF(ISNUMBER(F92),F92+H92,"")</f>
        <v/>
      </c>
      <c r="J92" s="43">
        <f>IF(ISNUMBER(F92),IF(I92&gt;'Parametri 2026'!$B$14,'Parametri 2026'!$B$13,0),"")</f>
        <v/>
      </c>
      <c r="K92" s="42" t="n"/>
      <c r="L92" s="44">
        <f>IF(ISNUMBER(F92),I92+IF(K92="No",0,J92),"")</f>
        <v/>
      </c>
      <c r="M92" s="44">
        <f>IF(ISNUMBER(F92),I92+IF(AND(K92&lt;&gt;"No",Impostazioni!$B$29="Sì"),J92,0),"")</f>
        <v/>
      </c>
      <c r="N92" s="45">
        <f>IF(F92="","",IF(NOT(ISNUMBER(F92)),"Compenso non valido",IF(C92="","Da incassare",IF(NOT(ISNUMBER(C92)),"Data non valida",IF(YEAR(C92)='Parametri 2026'!$B$6,"Incassata","Incassata nel "&amp;YEAR(C92))))))</f>
        <v/>
      </c>
      <c r="O92" s="39" t="n"/>
    </row>
    <row r="93">
      <c r="A93" s="39" t="n"/>
      <c r="B93" s="40" t="n"/>
      <c r="C93" s="40" t="n"/>
      <c r="D93" s="39" t="n"/>
      <c r="E93" s="39" t="n"/>
      <c r="F93" s="41" t="n"/>
      <c r="G93" s="42" t="n"/>
      <c r="H93" s="43">
        <f>IF(ISNUMBER(F93),IF(OR(G93="Sì",G93="Si"),ROUND(F93*'Parametri 2026'!$B$16,2),0),"")</f>
        <v/>
      </c>
      <c r="I93" s="43">
        <f>IF(ISNUMBER(F93),F93+H93,"")</f>
        <v/>
      </c>
      <c r="J93" s="43">
        <f>IF(ISNUMBER(F93),IF(I93&gt;'Parametri 2026'!$B$14,'Parametri 2026'!$B$13,0),"")</f>
        <v/>
      </c>
      <c r="K93" s="42" t="n"/>
      <c r="L93" s="44">
        <f>IF(ISNUMBER(F93),I93+IF(K93="No",0,J93),"")</f>
        <v/>
      </c>
      <c r="M93" s="44">
        <f>IF(ISNUMBER(F93),I93+IF(AND(K93&lt;&gt;"No",Impostazioni!$B$29="Sì"),J93,0),"")</f>
        <v/>
      </c>
      <c r="N93" s="45">
        <f>IF(F93="","",IF(NOT(ISNUMBER(F93)),"Compenso non valido",IF(C93="","Da incassare",IF(NOT(ISNUMBER(C93)),"Data non valida",IF(YEAR(C93)='Parametri 2026'!$B$6,"Incassata","Incassata nel "&amp;YEAR(C93))))))</f>
        <v/>
      </c>
      <c r="O93" s="39" t="n"/>
    </row>
    <row r="94">
      <c r="A94" s="39" t="n"/>
      <c r="B94" s="40" t="n"/>
      <c r="C94" s="40" t="n"/>
      <c r="D94" s="39" t="n"/>
      <c r="E94" s="39" t="n"/>
      <c r="F94" s="41" t="n"/>
      <c r="G94" s="42" t="n"/>
      <c r="H94" s="43">
        <f>IF(ISNUMBER(F94),IF(OR(G94="Sì",G94="Si"),ROUND(F94*'Parametri 2026'!$B$16,2),0),"")</f>
        <v/>
      </c>
      <c r="I94" s="43">
        <f>IF(ISNUMBER(F94),F94+H94,"")</f>
        <v/>
      </c>
      <c r="J94" s="43">
        <f>IF(ISNUMBER(F94),IF(I94&gt;'Parametri 2026'!$B$14,'Parametri 2026'!$B$13,0),"")</f>
        <v/>
      </c>
      <c r="K94" s="42" t="n"/>
      <c r="L94" s="44">
        <f>IF(ISNUMBER(F94),I94+IF(K94="No",0,J94),"")</f>
        <v/>
      </c>
      <c r="M94" s="44">
        <f>IF(ISNUMBER(F94),I94+IF(AND(K94&lt;&gt;"No",Impostazioni!$B$29="Sì"),J94,0),"")</f>
        <v/>
      </c>
      <c r="N94" s="45">
        <f>IF(F94="","",IF(NOT(ISNUMBER(F94)),"Compenso non valido",IF(C94="","Da incassare",IF(NOT(ISNUMBER(C94)),"Data non valida",IF(YEAR(C94)='Parametri 2026'!$B$6,"Incassata","Incassata nel "&amp;YEAR(C94))))))</f>
        <v/>
      </c>
      <c r="O94" s="39" t="n"/>
    </row>
    <row r="95">
      <c r="A95" s="39" t="n"/>
      <c r="B95" s="40" t="n"/>
      <c r="C95" s="40" t="n"/>
      <c r="D95" s="39" t="n"/>
      <c r="E95" s="39" t="n"/>
      <c r="F95" s="41" t="n"/>
      <c r="G95" s="42" t="n"/>
      <c r="H95" s="43">
        <f>IF(ISNUMBER(F95),IF(OR(G95="Sì",G95="Si"),ROUND(F95*'Parametri 2026'!$B$16,2),0),"")</f>
        <v/>
      </c>
      <c r="I95" s="43">
        <f>IF(ISNUMBER(F95),F95+H95,"")</f>
        <v/>
      </c>
      <c r="J95" s="43">
        <f>IF(ISNUMBER(F95),IF(I95&gt;'Parametri 2026'!$B$14,'Parametri 2026'!$B$13,0),"")</f>
        <v/>
      </c>
      <c r="K95" s="42" t="n"/>
      <c r="L95" s="44">
        <f>IF(ISNUMBER(F95),I95+IF(K95="No",0,J95),"")</f>
        <v/>
      </c>
      <c r="M95" s="44">
        <f>IF(ISNUMBER(F95),I95+IF(AND(K95&lt;&gt;"No",Impostazioni!$B$29="Sì"),J95,0),"")</f>
        <v/>
      </c>
      <c r="N95" s="45">
        <f>IF(F95="","",IF(NOT(ISNUMBER(F95)),"Compenso non valido",IF(C95="","Da incassare",IF(NOT(ISNUMBER(C95)),"Data non valida",IF(YEAR(C95)='Parametri 2026'!$B$6,"Incassata","Incassata nel "&amp;YEAR(C95))))))</f>
        <v/>
      </c>
      <c r="O95" s="39" t="n"/>
    </row>
    <row r="96">
      <c r="A96" s="39" t="n"/>
      <c r="B96" s="40" t="n"/>
      <c r="C96" s="40" t="n"/>
      <c r="D96" s="39" t="n"/>
      <c r="E96" s="39" t="n"/>
      <c r="F96" s="41" t="n"/>
      <c r="G96" s="42" t="n"/>
      <c r="H96" s="43">
        <f>IF(ISNUMBER(F96),IF(OR(G96="Sì",G96="Si"),ROUND(F96*'Parametri 2026'!$B$16,2),0),"")</f>
        <v/>
      </c>
      <c r="I96" s="43">
        <f>IF(ISNUMBER(F96),F96+H96,"")</f>
        <v/>
      </c>
      <c r="J96" s="43">
        <f>IF(ISNUMBER(F96),IF(I96&gt;'Parametri 2026'!$B$14,'Parametri 2026'!$B$13,0),"")</f>
        <v/>
      </c>
      <c r="K96" s="42" t="n"/>
      <c r="L96" s="44">
        <f>IF(ISNUMBER(F96),I96+IF(K96="No",0,J96),"")</f>
        <v/>
      </c>
      <c r="M96" s="44">
        <f>IF(ISNUMBER(F96),I96+IF(AND(K96&lt;&gt;"No",Impostazioni!$B$29="Sì"),J96,0),"")</f>
        <v/>
      </c>
      <c r="N96" s="45">
        <f>IF(F96="","",IF(NOT(ISNUMBER(F96)),"Compenso non valido",IF(C96="","Da incassare",IF(NOT(ISNUMBER(C96)),"Data non valida",IF(YEAR(C96)='Parametri 2026'!$B$6,"Incassata","Incassata nel "&amp;YEAR(C96))))))</f>
        <v/>
      </c>
      <c r="O96" s="39" t="n"/>
    </row>
    <row r="97">
      <c r="A97" s="39" t="n"/>
      <c r="B97" s="40" t="n"/>
      <c r="C97" s="40" t="n"/>
      <c r="D97" s="39" t="n"/>
      <c r="E97" s="39" t="n"/>
      <c r="F97" s="41" t="n"/>
      <c r="G97" s="42" t="n"/>
      <c r="H97" s="43">
        <f>IF(ISNUMBER(F97),IF(OR(G97="Sì",G97="Si"),ROUND(F97*'Parametri 2026'!$B$16,2),0),"")</f>
        <v/>
      </c>
      <c r="I97" s="43">
        <f>IF(ISNUMBER(F97),F97+H97,"")</f>
        <v/>
      </c>
      <c r="J97" s="43">
        <f>IF(ISNUMBER(F97),IF(I97&gt;'Parametri 2026'!$B$14,'Parametri 2026'!$B$13,0),"")</f>
        <v/>
      </c>
      <c r="K97" s="42" t="n"/>
      <c r="L97" s="44">
        <f>IF(ISNUMBER(F97),I97+IF(K97="No",0,J97),"")</f>
        <v/>
      </c>
      <c r="M97" s="44">
        <f>IF(ISNUMBER(F97),I97+IF(AND(K97&lt;&gt;"No",Impostazioni!$B$29="Sì"),J97,0),"")</f>
        <v/>
      </c>
      <c r="N97" s="45">
        <f>IF(F97="","",IF(NOT(ISNUMBER(F97)),"Compenso non valido",IF(C97="","Da incassare",IF(NOT(ISNUMBER(C97)),"Data non valida",IF(YEAR(C97)='Parametri 2026'!$B$6,"Incassata","Incassata nel "&amp;YEAR(C97))))))</f>
        <v/>
      </c>
      <c r="O97" s="39" t="n"/>
    </row>
    <row r="98">
      <c r="A98" s="39" t="n"/>
      <c r="B98" s="40" t="n"/>
      <c r="C98" s="40" t="n"/>
      <c r="D98" s="39" t="n"/>
      <c r="E98" s="39" t="n"/>
      <c r="F98" s="41" t="n"/>
      <c r="G98" s="42" t="n"/>
      <c r="H98" s="43">
        <f>IF(ISNUMBER(F98),IF(OR(G98="Sì",G98="Si"),ROUND(F98*'Parametri 2026'!$B$16,2),0),"")</f>
        <v/>
      </c>
      <c r="I98" s="43">
        <f>IF(ISNUMBER(F98),F98+H98,"")</f>
        <v/>
      </c>
      <c r="J98" s="43">
        <f>IF(ISNUMBER(F98),IF(I98&gt;'Parametri 2026'!$B$14,'Parametri 2026'!$B$13,0),"")</f>
        <v/>
      </c>
      <c r="K98" s="42" t="n"/>
      <c r="L98" s="44">
        <f>IF(ISNUMBER(F98),I98+IF(K98="No",0,J98),"")</f>
        <v/>
      </c>
      <c r="M98" s="44">
        <f>IF(ISNUMBER(F98),I98+IF(AND(K98&lt;&gt;"No",Impostazioni!$B$29="Sì"),J98,0),"")</f>
        <v/>
      </c>
      <c r="N98" s="45">
        <f>IF(F98="","",IF(NOT(ISNUMBER(F98)),"Compenso non valido",IF(C98="","Da incassare",IF(NOT(ISNUMBER(C98)),"Data non valida",IF(YEAR(C98)='Parametri 2026'!$B$6,"Incassata","Incassata nel "&amp;YEAR(C98))))))</f>
        <v/>
      </c>
      <c r="O98" s="39" t="n"/>
    </row>
    <row r="99">
      <c r="A99" s="39" t="n"/>
      <c r="B99" s="40" t="n"/>
      <c r="C99" s="40" t="n"/>
      <c r="D99" s="39" t="n"/>
      <c r="E99" s="39" t="n"/>
      <c r="F99" s="41" t="n"/>
      <c r="G99" s="42" t="n"/>
      <c r="H99" s="43">
        <f>IF(ISNUMBER(F99),IF(OR(G99="Sì",G99="Si"),ROUND(F99*'Parametri 2026'!$B$16,2),0),"")</f>
        <v/>
      </c>
      <c r="I99" s="43">
        <f>IF(ISNUMBER(F99),F99+H99,"")</f>
        <v/>
      </c>
      <c r="J99" s="43">
        <f>IF(ISNUMBER(F99),IF(I99&gt;'Parametri 2026'!$B$14,'Parametri 2026'!$B$13,0),"")</f>
        <v/>
      </c>
      <c r="K99" s="42" t="n"/>
      <c r="L99" s="44">
        <f>IF(ISNUMBER(F99),I99+IF(K99="No",0,J99),"")</f>
        <v/>
      </c>
      <c r="M99" s="44">
        <f>IF(ISNUMBER(F99),I99+IF(AND(K99&lt;&gt;"No",Impostazioni!$B$29="Sì"),J99,0),"")</f>
        <v/>
      </c>
      <c r="N99" s="45">
        <f>IF(F99="","",IF(NOT(ISNUMBER(F99)),"Compenso non valido",IF(C99="","Da incassare",IF(NOT(ISNUMBER(C99)),"Data non valida",IF(YEAR(C99)='Parametri 2026'!$B$6,"Incassata","Incassata nel "&amp;YEAR(C99))))))</f>
        <v/>
      </c>
      <c r="O99" s="39" t="n"/>
    </row>
    <row r="100">
      <c r="A100" s="39" t="n"/>
      <c r="B100" s="40" t="n"/>
      <c r="C100" s="40" t="n"/>
      <c r="D100" s="39" t="n"/>
      <c r="E100" s="39" t="n"/>
      <c r="F100" s="41" t="n"/>
      <c r="G100" s="42" t="n"/>
      <c r="H100" s="43">
        <f>IF(ISNUMBER(F100),IF(OR(G100="Sì",G100="Si"),ROUND(F100*'Parametri 2026'!$B$16,2),0),"")</f>
        <v/>
      </c>
      <c r="I100" s="43">
        <f>IF(ISNUMBER(F100),F100+H100,"")</f>
        <v/>
      </c>
      <c r="J100" s="43">
        <f>IF(ISNUMBER(F100),IF(I100&gt;'Parametri 2026'!$B$14,'Parametri 2026'!$B$13,0),"")</f>
        <v/>
      </c>
      <c r="K100" s="42" t="n"/>
      <c r="L100" s="44">
        <f>IF(ISNUMBER(F100),I100+IF(K100="No",0,J100),"")</f>
        <v/>
      </c>
      <c r="M100" s="44">
        <f>IF(ISNUMBER(F100),I100+IF(AND(K100&lt;&gt;"No",Impostazioni!$B$29="Sì"),J100,0),"")</f>
        <v/>
      </c>
      <c r="N100" s="45">
        <f>IF(F100="","",IF(NOT(ISNUMBER(F100)),"Compenso non valido",IF(C100="","Da incassare",IF(NOT(ISNUMBER(C100)),"Data non valida",IF(YEAR(C100)='Parametri 2026'!$B$6,"Incassata","Incassata nel "&amp;YEAR(C100))))))</f>
        <v/>
      </c>
      <c r="O100" s="39" t="n"/>
    </row>
    <row r="101">
      <c r="A101" s="39" t="n"/>
      <c r="B101" s="40" t="n"/>
      <c r="C101" s="40" t="n"/>
      <c r="D101" s="39" t="n"/>
      <c r="E101" s="39" t="n"/>
      <c r="F101" s="41" t="n"/>
      <c r="G101" s="42" t="n"/>
      <c r="H101" s="43">
        <f>IF(ISNUMBER(F101),IF(OR(G101="Sì",G101="Si"),ROUND(F101*'Parametri 2026'!$B$16,2),0),"")</f>
        <v/>
      </c>
      <c r="I101" s="43">
        <f>IF(ISNUMBER(F101),F101+H101,"")</f>
        <v/>
      </c>
      <c r="J101" s="43">
        <f>IF(ISNUMBER(F101),IF(I101&gt;'Parametri 2026'!$B$14,'Parametri 2026'!$B$13,0),"")</f>
        <v/>
      </c>
      <c r="K101" s="42" t="n"/>
      <c r="L101" s="44">
        <f>IF(ISNUMBER(F101),I101+IF(K101="No",0,J101),"")</f>
        <v/>
      </c>
      <c r="M101" s="44">
        <f>IF(ISNUMBER(F101),I101+IF(AND(K101&lt;&gt;"No",Impostazioni!$B$29="Sì"),J101,0),"")</f>
        <v/>
      </c>
      <c r="N101" s="45">
        <f>IF(F101="","",IF(NOT(ISNUMBER(F101)),"Compenso non valido",IF(C101="","Da incassare",IF(NOT(ISNUMBER(C101)),"Data non valida",IF(YEAR(C101)='Parametri 2026'!$B$6,"Incassata","Incassata nel "&amp;YEAR(C101))))))</f>
        <v/>
      </c>
      <c r="O101" s="39" t="n"/>
    </row>
    <row r="102">
      <c r="A102" s="39" t="n"/>
      <c r="B102" s="40" t="n"/>
      <c r="C102" s="40" t="n"/>
      <c r="D102" s="39" t="n"/>
      <c r="E102" s="39" t="n"/>
      <c r="F102" s="41" t="n"/>
      <c r="G102" s="42" t="n"/>
      <c r="H102" s="43">
        <f>IF(ISNUMBER(F102),IF(OR(G102="Sì",G102="Si"),ROUND(F102*'Parametri 2026'!$B$16,2),0),"")</f>
        <v/>
      </c>
      <c r="I102" s="43">
        <f>IF(ISNUMBER(F102),F102+H102,"")</f>
        <v/>
      </c>
      <c r="J102" s="43">
        <f>IF(ISNUMBER(F102),IF(I102&gt;'Parametri 2026'!$B$14,'Parametri 2026'!$B$13,0),"")</f>
        <v/>
      </c>
      <c r="K102" s="42" t="n"/>
      <c r="L102" s="44">
        <f>IF(ISNUMBER(F102),I102+IF(K102="No",0,J102),"")</f>
        <v/>
      </c>
      <c r="M102" s="44">
        <f>IF(ISNUMBER(F102),I102+IF(AND(K102&lt;&gt;"No",Impostazioni!$B$29="Sì"),J102,0),"")</f>
        <v/>
      </c>
      <c r="N102" s="45">
        <f>IF(F102="","",IF(NOT(ISNUMBER(F102)),"Compenso non valido",IF(C102="","Da incassare",IF(NOT(ISNUMBER(C102)),"Data non valida",IF(YEAR(C102)='Parametri 2026'!$B$6,"Incassata","Incassata nel "&amp;YEAR(C102))))))</f>
        <v/>
      </c>
      <c r="O102" s="39" t="n"/>
    </row>
    <row r="103">
      <c r="A103" s="39" t="n"/>
      <c r="B103" s="40" t="n"/>
      <c r="C103" s="40" t="n"/>
      <c r="D103" s="39" t="n"/>
      <c r="E103" s="39" t="n"/>
      <c r="F103" s="41" t="n"/>
      <c r="G103" s="42" t="n"/>
      <c r="H103" s="43">
        <f>IF(ISNUMBER(F103),IF(OR(G103="Sì",G103="Si"),ROUND(F103*'Parametri 2026'!$B$16,2),0),"")</f>
        <v/>
      </c>
      <c r="I103" s="43">
        <f>IF(ISNUMBER(F103),F103+H103,"")</f>
        <v/>
      </c>
      <c r="J103" s="43">
        <f>IF(ISNUMBER(F103),IF(I103&gt;'Parametri 2026'!$B$14,'Parametri 2026'!$B$13,0),"")</f>
        <v/>
      </c>
      <c r="K103" s="42" t="n"/>
      <c r="L103" s="44">
        <f>IF(ISNUMBER(F103),I103+IF(K103="No",0,J103),"")</f>
        <v/>
      </c>
      <c r="M103" s="44">
        <f>IF(ISNUMBER(F103),I103+IF(AND(K103&lt;&gt;"No",Impostazioni!$B$29="Sì"),J103,0),"")</f>
        <v/>
      </c>
      <c r="N103" s="45">
        <f>IF(F103="","",IF(NOT(ISNUMBER(F103)),"Compenso non valido",IF(C103="","Da incassare",IF(NOT(ISNUMBER(C103)),"Data non valida",IF(YEAR(C103)='Parametri 2026'!$B$6,"Incassata","Incassata nel "&amp;YEAR(C103))))))</f>
        <v/>
      </c>
      <c r="O103" s="39" t="n"/>
    </row>
    <row r="104">
      <c r="A104" s="39" t="n"/>
      <c r="B104" s="40" t="n"/>
      <c r="C104" s="40" t="n"/>
      <c r="D104" s="39" t="n"/>
      <c r="E104" s="39" t="n"/>
      <c r="F104" s="41" t="n"/>
      <c r="G104" s="42" t="n"/>
      <c r="H104" s="43">
        <f>IF(ISNUMBER(F104),IF(OR(G104="Sì",G104="Si"),ROUND(F104*'Parametri 2026'!$B$16,2),0),"")</f>
        <v/>
      </c>
      <c r="I104" s="43">
        <f>IF(ISNUMBER(F104),F104+H104,"")</f>
        <v/>
      </c>
      <c r="J104" s="43">
        <f>IF(ISNUMBER(F104),IF(I104&gt;'Parametri 2026'!$B$14,'Parametri 2026'!$B$13,0),"")</f>
        <v/>
      </c>
      <c r="K104" s="42" t="n"/>
      <c r="L104" s="44">
        <f>IF(ISNUMBER(F104),I104+IF(K104="No",0,J104),"")</f>
        <v/>
      </c>
      <c r="M104" s="44">
        <f>IF(ISNUMBER(F104),I104+IF(AND(K104&lt;&gt;"No",Impostazioni!$B$29="Sì"),J104,0),"")</f>
        <v/>
      </c>
      <c r="N104" s="45">
        <f>IF(F104="","",IF(NOT(ISNUMBER(F104)),"Compenso non valido",IF(C104="","Da incassare",IF(NOT(ISNUMBER(C104)),"Data non valida",IF(YEAR(C104)='Parametri 2026'!$B$6,"Incassata","Incassata nel "&amp;YEAR(C104))))))</f>
        <v/>
      </c>
      <c r="O104" s="39" t="n"/>
    </row>
    <row r="105">
      <c r="A105" s="39" t="n"/>
      <c r="B105" s="40" t="n"/>
      <c r="C105" s="40" t="n"/>
      <c r="D105" s="39" t="n"/>
      <c r="E105" s="39" t="n"/>
      <c r="F105" s="41" t="n"/>
      <c r="G105" s="42" t="n"/>
      <c r="H105" s="43">
        <f>IF(ISNUMBER(F105),IF(OR(G105="Sì",G105="Si"),ROUND(F105*'Parametri 2026'!$B$16,2),0),"")</f>
        <v/>
      </c>
      <c r="I105" s="43">
        <f>IF(ISNUMBER(F105),F105+H105,"")</f>
        <v/>
      </c>
      <c r="J105" s="43">
        <f>IF(ISNUMBER(F105),IF(I105&gt;'Parametri 2026'!$B$14,'Parametri 2026'!$B$13,0),"")</f>
        <v/>
      </c>
      <c r="K105" s="42" t="n"/>
      <c r="L105" s="44">
        <f>IF(ISNUMBER(F105),I105+IF(K105="No",0,J105),"")</f>
        <v/>
      </c>
      <c r="M105" s="44">
        <f>IF(ISNUMBER(F105),I105+IF(AND(K105&lt;&gt;"No",Impostazioni!$B$29="Sì"),J105,0),"")</f>
        <v/>
      </c>
      <c r="N105" s="45">
        <f>IF(F105="","",IF(NOT(ISNUMBER(F105)),"Compenso non valido",IF(C105="","Da incassare",IF(NOT(ISNUMBER(C105)),"Data non valida",IF(YEAR(C105)='Parametri 2026'!$B$6,"Incassata","Incassata nel "&amp;YEAR(C105))))))</f>
        <v/>
      </c>
      <c r="O105" s="39" t="n"/>
    </row>
    <row r="106">
      <c r="A106" s="39" t="n"/>
      <c r="B106" s="40" t="n"/>
      <c r="C106" s="40" t="n"/>
      <c r="D106" s="39" t="n"/>
      <c r="E106" s="39" t="n"/>
      <c r="F106" s="41" t="n"/>
      <c r="G106" s="42" t="n"/>
      <c r="H106" s="43">
        <f>IF(ISNUMBER(F106),IF(OR(G106="Sì",G106="Si"),ROUND(F106*'Parametri 2026'!$B$16,2),0),"")</f>
        <v/>
      </c>
      <c r="I106" s="43">
        <f>IF(ISNUMBER(F106),F106+H106,"")</f>
        <v/>
      </c>
      <c r="J106" s="43">
        <f>IF(ISNUMBER(F106),IF(I106&gt;'Parametri 2026'!$B$14,'Parametri 2026'!$B$13,0),"")</f>
        <v/>
      </c>
      <c r="K106" s="42" t="n"/>
      <c r="L106" s="44">
        <f>IF(ISNUMBER(F106),I106+IF(K106="No",0,J106),"")</f>
        <v/>
      </c>
      <c r="M106" s="44">
        <f>IF(ISNUMBER(F106),I106+IF(AND(K106&lt;&gt;"No",Impostazioni!$B$29="Sì"),J106,0),"")</f>
        <v/>
      </c>
      <c r="N106" s="45">
        <f>IF(F106="","",IF(NOT(ISNUMBER(F106)),"Compenso non valido",IF(C106="","Da incassare",IF(NOT(ISNUMBER(C106)),"Data non valida",IF(YEAR(C106)='Parametri 2026'!$B$6,"Incassata","Incassata nel "&amp;YEAR(C106))))))</f>
        <v/>
      </c>
      <c r="O106" s="39" t="n"/>
    </row>
    <row r="107">
      <c r="A107" s="39" t="n"/>
      <c r="B107" s="40" t="n"/>
      <c r="C107" s="40" t="n"/>
      <c r="D107" s="39" t="n"/>
      <c r="E107" s="39" t="n"/>
      <c r="F107" s="41" t="n"/>
      <c r="G107" s="42" t="n"/>
      <c r="H107" s="43">
        <f>IF(ISNUMBER(F107),IF(OR(G107="Sì",G107="Si"),ROUND(F107*'Parametri 2026'!$B$16,2),0),"")</f>
        <v/>
      </c>
      <c r="I107" s="43">
        <f>IF(ISNUMBER(F107),F107+H107,"")</f>
        <v/>
      </c>
      <c r="J107" s="43">
        <f>IF(ISNUMBER(F107),IF(I107&gt;'Parametri 2026'!$B$14,'Parametri 2026'!$B$13,0),"")</f>
        <v/>
      </c>
      <c r="K107" s="42" t="n"/>
      <c r="L107" s="44">
        <f>IF(ISNUMBER(F107),I107+IF(K107="No",0,J107),"")</f>
        <v/>
      </c>
      <c r="M107" s="44">
        <f>IF(ISNUMBER(F107),I107+IF(AND(K107&lt;&gt;"No",Impostazioni!$B$29="Sì"),J107,0),"")</f>
        <v/>
      </c>
      <c r="N107" s="45">
        <f>IF(F107="","",IF(NOT(ISNUMBER(F107)),"Compenso non valido",IF(C107="","Da incassare",IF(NOT(ISNUMBER(C107)),"Data non valida",IF(YEAR(C107)='Parametri 2026'!$B$6,"Incassata","Incassata nel "&amp;YEAR(C107))))))</f>
        <v/>
      </c>
      <c r="O107" s="39" t="n"/>
    </row>
    <row r="108">
      <c r="A108" s="39" t="n"/>
      <c r="B108" s="40" t="n"/>
      <c r="C108" s="40" t="n"/>
      <c r="D108" s="39" t="n"/>
      <c r="E108" s="39" t="n"/>
      <c r="F108" s="41" t="n"/>
      <c r="G108" s="42" t="n"/>
      <c r="H108" s="43">
        <f>IF(ISNUMBER(F108),IF(OR(G108="Sì",G108="Si"),ROUND(F108*'Parametri 2026'!$B$16,2),0),"")</f>
        <v/>
      </c>
      <c r="I108" s="43">
        <f>IF(ISNUMBER(F108),F108+H108,"")</f>
        <v/>
      </c>
      <c r="J108" s="43">
        <f>IF(ISNUMBER(F108),IF(I108&gt;'Parametri 2026'!$B$14,'Parametri 2026'!$B$13,0),"")</f>
        <v/>
      </c>
      <c r="K108" s="42" t="n"/>
      <c r="L108" s="44">
        <f>IF(ISNUMBER(F108),I108+IF(K108="No",0,J108),"")</f>
        <v/>
      </c>
      <c r="M108" s="44">
        <f>IF(ISNUMBER(F108),I108+IF(AND(K108&lt;&gt;"No",Impostazioni!$B$29="Sì"),J108,0),"")</f>
        <v/>
      </c>
      <c r="N108" s="45">
        <f>IF(F108="","",IF(NOT(ISNUMBER(F108)),"Compenso non valido",IF(C108="","Da incassare",IF(NOT(ISNUMBER(C108)),"Data non valida",IF(YEAR(C108)='Parametri 2026'!$B$6,"Incassata","Incassata nel "&amp;YEAR(C108))))))</f>
        <v/>
      </c>
      <c r="O108" s="39" t="n"/>
    </row>
    <row r="109">
      <c r="A109" s="39" t="n"/>
      <c r="B109" s="40" t="n"/>
      <c r="C109" s="40" t="n"/>
      <c r="D109" s="39" t="n"/>
      <c r="E109" s="39" t="n"/>
      <c r="F109" s="41" t="n"/>
      <c r="G109" s="42" t="n"/>
      <c r="H109" s="43">
        <f>IF(ISNUMBER(F109),IF(OR(G109="Sì",G109="Si"),ROUND(F109*'Parametri 2026'!$B$16,2),0),"")</f>
        <v/>
      </c>
      <c r="I109" s="43">
        <f>IF(ISNUMBER(F109),F109+H109,"")</f>
        <v/>
      </c>
      <c r="J109" s="43">
        <f>IF(ISNUMBER(F109),IF(I109&gt;'Parametri 2026'!$B$14,'Parametri 2026'!$B$13,0),"")</f>
        <v/>
      </c>
      <c r="K109" s="42" t="n"/>
      <c r="L109" s="44">
        <f>IF(ISNUMBER(F109),I109+IF(K109="No",0,J109),"")</f>
        <v/>
      </c>
      <c r="M109" s="44">
        <f>IF(ISNUMBER(F109),I109+IF(AND(K109&lt;&gt;"No",Impostazioni!$B$29="Sì"),J109,0),"")</f>
        <v/>
      </c>
      <c r="N109" s="45">
        <f>IF(F109="","",IF(NOT(ISNUMBER(F109)),"Compenso non valido",IF(C109="","Da incassare",IF(NOT(ISNUMBER(C109)),"Data non valida",IF(YEAR(C109)='Parametri 2026'!$B$6,"Incassata","Incassata nel "&amp;YEAR(C109))))))</f>
        <v/>
      </c>
      <c r="O109" s="39" t="n"/>
    </row>
    <row r="110">
      <c r="A110" s="39" t="n"/>
      <c r="B110" s="40" t="n"/>
      <c r="C110" s="40" t="n"/>
      <c r="D110" s="39" t="n"/>
      <c r="E110" s="39" t="n"/>
      <c r="F110" s="41" t="n"/>
      <c r="G110" s="42" t="n"/>
      <c r="H110" s="43">
        <f>IF(ISNUMBER(F110),IF(OR(G110="Sì",G110="Si"),ROUND(F110*'Parametri 2026'!$B$16,2),0),"")</f>
        <v/>
      </c>
      <c r="I110" s="43">
        <f>IF(ISNUMBER(F110),F110+H110,"")</f>
        <v/>
      </c>
      <c r="J110" s="43">
        <f>IF(ISNUMBER(F110),IF(I110&gt;'Parametri 2026'!$B$14,'Parametri 2026'!$B$13,0),"")</f>
        <v/>
      </c>
      <c r="K110" s="42" t="n"/>
      <c r="L110" s="44">
        <f>IF(ISNUMBER(F110),I110+IF(K110="No",0,J110),"")</f>
        <v/>
      </c>
      <c r="M110" s="44">
        <f>IF(ISNUMBER(F110),I110+IF(AND(K110&lt;&gt;"No",Impostazioni!$B$29="Sì"),J110,0),"")</f>
        <v/>
      </c>
      <c r="N110" s="45">
        <f>IF(F110="","",IF(NOT(ISNUMBER(F110)),"Compenso non valido",IF(C110="","Da incassare",IF(NOT(ISNUMBER(C110)),"Data non valida",IF(YEAR(C110)='Parametri 2026'!$B$6,"Incassata","Incassata nel "&amp;YEAR(C110))))))</f>
        <v/>
      </c>
      <c r="O110" s="39" t="n"/>
    </row>
    <row r="111">
      <c r="A111" s="39" t="n"/>
      <c r="B111" s="40" t="n"/>
      <c r="C111" s="40" t="n"/>
      <c r="D111" s="39" t="n"/>
      <c r="E111" s="39" t="n"/>
      <c r="F111" s="41" t="n"/>
      <c r="G111" s="42" t="n"/>
      <c r="H111" s="43">
        <f>IF(ISNUMBER(F111),IF(OR(G111="Sì",G111="Si"),ROUND(F111*'Parametri 2026'!$B$16,2),0),"")</f>
        <v/>
      </c>
      <c r="I111" s="43">
        <f>IF(ISNUMBER(F111),F111+H111,"")</f>
        <v/>
      </c>
      <c r="J111" s="43">
        <f>IF(ISNUMBER(F111),IF(I111&gt;'Parametri 2026'!$B$14,'Parametri 2026'!$B$13,0),"")</f>
        <v/>
      </c>
      <c r="K111" s="42" t="n"/>
      <c r="L111" s="44">
        <f>IF(ISNUMBER(F111),I111+IF(K111="No",0,J111),"")</f>
        <v/>
      </c>
      <c r="M111" s="44">
        <f>IF(ISNUMBER(F111),I111+IF(AND(K111&lt;&gt;"No",Impostazioni!$B$29="Sì"),J111,0),"")</f>
        <v/>
      </c>
      <c r="N111" s="45">
        <f>IF(F111="","",IF(NOT(ISNUMBER(F111)),"Compenso non valido",IF(C111="","Da incassare",IF(NOT(ISNUMBER(C111)),"Data non valida",IF(YEAR(C111)='Parametri 2026'!$B$6,"Incassata","Incassata nel "&amp;YEAR(C111))))))</f>
        <v/>
      </c>
      <c r="O111" s="39" t="n"/>
    </row>
    <row r="112">
      <c r="A112" s="39" t="n"/>
      <c r="B112" s="40" t="n"/>
      <c r="C112" s="40" t="n"/>
      <c r="D112" s="39" t="n"/>
      <c r="E112" s="39" t="n"/>
      <c r="F112" s="41" t="n"/>
      <c r="G112" s="42" t="n"/>
      <c r="H112" s="43">
        <f>IF(ISNUMBER(F112),IF(OR(G112="Sì",G112="Si"),ROUND(F112*'Parametri 2026'!$B$16,2),0),"")</f>
        <v/>
      </c>
      <c r="I112" s="43">
        <f>IF(ISNUMBER(F112),F112+H112,"")</f>
        <v/>
      </c>
      <c r="J112" s="43">
        <f>IF(ISNUMBER(F112),IF(I112&gt;'Parametri 2026'!$B$14,'Parametri 2026'!$B$13,0),"")</f>
        <v/>
      </c>
      <c r="K112" s="42" t="n"/>
      <c r="L112" s="44">
        <f>IF(ISNUMBER(F112),I112+IF(K112="No",0,J112),"")</f>
        <v/>
      </c>
      <c r="M112" s="44">
        <f>IF(ISNUMBER(F112),I112+IF(AND(K112&lt;&gt;"No",Impostazioni!$B$29="Sì"),J112,0),"")</f>
        <v/>
      </c>
      <c r="N112" s="45">
        <f>IF(F112="","",IF(NOT(ISNUMBER(F112)),"Compenso non valido",IF(C112="","Da incassare",IF(NOT(ISNUMBER(C112)),"Data non valida",IF(YEAR(C112)='Parametri 2026'!$B$6,"Incassata","Incassata nel "&amp;YEAR(C112))))))</f>
        <v/>
      </c>
      <c r="O112" s="39" t="n"/>
    </row>
    <row r="113">
      <c r="A113" s="39" t="n"/>
      <c r="B113" s="40" t="n"/>
      <c r="C113" s="40" t="n"/>
      <c r="D113" s="39" t="n"/>
      <c r="E113" s="39" t="n"/>
      <c r="F113" s="41" t="n"/>
      <c r="G113" s="42" t="n"/>
      <c r="H113" s="43">
        <f>IF(ISNUMBER(F113),IF(OR(G113="Sì",G113="Si"),ROUND(F113*'Parametri 2026'!$B$16,2),0),"")</f>
        <v/>
      </c>
      <c r="I113" s="43">
        <f>IF(ISNUMBER(F113),F113+H113,"")</f>
        <v/>
      </c>
      <c r="J113" s="43">
        <f>IF(ISNUMBER(F113),IF(I113&gt;'Parametri 2026'!$B$14,'Parametri 2026'!$B$13,0),"")</f>
        <v/>
      </c>
      <c r="K113" s="42" t="n"/>
      <c r="L113" s="44">
        <f>IF(ISNUMBER(F113),I113+IF(K113="No",0,J113),"")</f>
        <v/>
      </c>
      <c r="M113" s="44">
        <f>IF(ISNUMBER(F113),I113+IF(AND(K113&lt;&gt;"No",Impostazioni!$B$29="Sì"),J113,0),"")</f>
        <v/>
      </c>
      <c r="N113" s="45">
        <f>IF(F113="","",IF(NOT(ISNUMBER(F113)),"Compenso non valido",IF(C113="","Da incassare",IF(NOT(ISNUMBER(C113)),"Data non valida",IF(YEAR(C113)='Parametri 2026'!$B$6,"Incassata","Incassata nel "&amp;YEAR(C113))))))</f>
        <v/>
      </c>
      <c r="O113" s="39" t="n"/>
    </row>
    <row r="114">
      <c r="A114" s="39" t="n"/>
      <c r="B114" s="40" t="n"/>
      <c r="C114" s="40" t="n"/>
      <c r="D114" s="39" t="n"/>
      <c r="E114" s="39" t="n"/>
      <c r="F114" s="41" t="n"/>
      <c r="G114" s="42" t="n"/>
      <c r="H114" s="43">
        <f>IF(ISNUMBER(F114),IF(OR(G114="Sì",G114="Si"),ROUND(F114*'Parametri 2026'!$B$16,2),0),"")</f>
        <v/>
      </c>
      <c r="I114" s="43">
        <f>IF(ISNUMBER(F114),F114+H114,"")</f>
        <v/>
      </c>
      <c r="J114" s="43">
        <f>IF(ISNUMBER(F114),IF(I114&gt;'Parametri 2026'!$B$14,'Parametri 2026'!$B$13,0),"")</f>
        <v/>
      </c>
      <c r="K114" s="42" t="n"/>
      <c r="L114" s="44">
        <f>IF(ISNUMBER(F114),I114+IF(K114="No",0,J114),"")</f>
        <v/>
      </c>
      <c r="M114" s="44">
        <f>IF(ISNUMBER(F114),I114+IF(AND(K114&lt;&gt;"No",Impostazioni!$B$29="Sì"),J114,0),"")</f>
        <v/>
      </c>
      <c r="N114" s="45">
        <f>IF(F114="","",IF(NOT(ISNUMBER(F114)),"Compenso non valido",IF(C114="","Da incassare",IF(NOT(ISNUMBER(C114)),"Data non valida",IF(YEAR(C114)='Parametri 2026'!$B$6,"Incassata","Incassata nel "&amp;YEAR(C114))))))</f>
        <v/>
      </c>
      <c r="O114" s="39" t="n"/>
    </row>
    <row r="115">
      <c r="A115" s="39" t="n"/>
      <c r="B115" s="40" t="n"/>
      <c r="C115" s="40" t="n"/>
      <c r="D115" s="39" t="n"/>
      <c r="E115" s="39" t="n"/>
      <c r="F115" s="41" t="n"/>
      <c r="G115" s="42" t="n"/>
      <c r="H115" s="43">
        <f>IF(ISNUMBER(F115),IF(OR(G115="Sì",G115="Si"),ROUND(F115*'Parametri 2026'!$B$16,2),0),"")</f>
        <v/>
      </c>
      <c r="I115" s="43">
        <f>IF(ISNUMBER(F115),F115+H115,"")</f>
        <v/>
      </c>
      <c r="J115" s="43">
        <f>IF(ISNUMBER(F115),IF(I115&gt;'Parametri 2026'!$B$14,'Parametri 2026'!$B$13,0),"")</f>
        <v/>
      </c>
      <c r="K115" s="42" t="n"/>
      <c r="L115" s="44">
        <f>IF(ISNUMBER(F115),I115+IF(K115="No",0,J115),"")</f>
        <v/>
      </c>
      <c r="M115" s="44">
        <f>IF(ISNUMBER(F115),I115+IF(AND(K115&lt;&gt;"No",Impostazioni!$B$29="Sì"),J115,0),"")</f>
        <v/>
      </c>
      <c r="N115" s="45">
        <f>IF(F115="","",IF(NOT(ISNUMBER(F115)),"Compenso non valido",IF(C115="","Da incassare",IF(NOT(ISNUMBER(C115)),"Data non valida",IF(YEAR(C115)='Parametri 2026'!$B$6,"Incassata","Incassata nel "&amp;YEAR(C115))))))</f>
        <v/>
      </c>
      <c r="O115" s="39" t="n"/>
    </row>
    <row r="116">
      <c r="A116" s="39" t="n"/>
      <c r="B116" s="40" t="n"/>
      <c r="C116" s="40" t="n"/>
      <c r="D116" s="39" t="n"/>
      <c r="E116" s="39" t="n"/>
      <c r="F116" s="41" t="n"/>
      <c r="G116" s="42" t="n"/>
      <c r="H116" s="43">
        <f>IF(ISNUMBER(F116),IF(OR(G116="Sì",G116="Si"),ROUND(F116*'Parametri 2026'!$B$16,2),0),"")</f>
        <v/>
      </c>
      <c r="I116" s="43">
        <f>IF(ISNUMBER(F116),F116+H116,"")</f>
        <v/>
      </c>
      <c r="J116" s="43">
        <f>IF(ISNUMBER(F116),IF(I116&gt;'Parametri 2026'!$B$14,'Parametri 2026'!$B$13,0),"")</f>
        <v/>
      </c>
      <c r="K116" s="42" t="n"/>
      <c r="L116" s="44">
        <f>IF(ISNUMBER(F116),I116+IF(K116="No",0,J116),"")</f>
        <v/>
      </c>
      <c r="M116" s="44">
        <f>IF(ISNUMBER(F116),I116+IF(AND(K116&lt;&gt;"No",Impostazioni!$B$29="Sì"),J116,0),"")</f>
        <v/>
      </c>
      <c r="N116" s="45">
        <f>IF(F116="","",IF(NOT(ISNUMBER(F116)),"Compenso non valido",IF(C116="","Da incassare",IF(NOT(ISNUMBER(C116)),"Data non valida",IF(YEAR(C116)='Parametri 2026'!$B$6,"Incassata","Incassata nel "&amp;YEAR(C116))))))</f>
        <v/>
      </c>
      <c r="O116" s="39" t="n"/>
    </row>
    <row r="117">
      <c r="A117" s="39" t="n"/>
      <c r="B117" s="40" t="n"/>
      <c r="C117" s="40" t="n"/>
      <c r="D117" s="39" t="n"/>
      <c r="E117" s="39" t="n"/>
      <c r="F117" s="41" t="n"/>
      <c r="G117" s="42" t="n"/>
      <c r="H117" s="43">
        <f>IF(ISNUMBER(F117),IF(OR(G117="Sì",G117="Si"),ROUND(F117*'Parametri 2026'!$B$16,2),0),"")</f>
        <v/>
      </c>
      <c r="I117" s="43">
        <f>IF(ISNUMBER(F117),F117+H117,"")</f>
        <v/>
      </c>
      <c r="J117" s="43">
        <f>IF(ISNUMBER(F117),IF(I117&gt;'Parametri 2026'!$B$14,'Parametri 2026'!$B$13,0),"")</f>
        <v/>
      </c>
      <c r="K117" s="42" t="n"/>
      <c r="L117" s="44">
        <f>IF(ISNUMBER(F117),I117+IF(K117="No",0,J117),"")</f>
        <v/>
      </c>
      <c r="M117" s="44">
        <f>IF(ISNUMBER(F117),I117+IF(AND(K117&lt;&gt;"No",Impostazioni!$B$29="Sì"),J117,0),"")</f>
        <v/>
      </c>
      <c r="N117" s="45">
        <f>IF(F117="","",IF(NOT(ISNUMBER(F117)),"Compenso non valido",IF(C117="","Da incassare",IF(NOT(ISNUMBER(C117)),"Data non valida",IF(YEAR(C117)='Parametri 2026'!$B$6,"Incassata","Incassata nel "&amp;YEAR(C117))))))</f>
        <v/>
      </c>
      <c r="O117" s="39" t="n"/>
    </row>
    <row r="118">
      <c r="A118" s="39" t="n"/>
      <c r="B118" s="40" t="n"/>
      <c r="C118" s="40" t="n"/>
      <c r="D118" s="39" t="n"/>
      <c r="E118" s="39" t="n"/>
      <c r="F118" s="41" t="n"/>
      <c r="G118" s="42" t="n"/>
      <c r="H118" s="43">
        <f>IF(ISNUMBER(F118),IF(OR(G118="Sì",G118="Si"),ROUND(F118*'Parametri 2026'!$B$16,2),0),"")</f>
        <v/>
      </c>
      <c r="I118" s="43">
        <f>IF(ISNUMBER(F118),F118+H118,"")</f>
        <v/>
      </c>
      <c r="J118" s="43">
        <f>IF(ISNUMBER(F118),IF(I118&gt;'Parametri 2026'!$B$14,'Parametri 2026'!$B$13,0),"")</f>
        <v/>
      </c>
      <c r="K118" s="42" t="n"/>
      <c r="L118" s="44">
        <f>IF(ISNUMBER(F118),I118+IF(K118="No",0,J118),"")</f>
        <v/>
      </c>
      <c r="M118" s="44">
        <f>IF(ISNUMBER(F118),I118+IF(AND(K118&lt;&gt;"No",Impostazioni!$B$29="Sì"),J118,0),"")</f>
        <v/>
      </c>
      <c r="N118" s="45">
        <f>IF(F118="","",IF(NOT(ISNUMBER(F118)),"Compenso non valido",IF(C118="","Da incassare",IF(NOT(ISNUMBER(C118)),"Data non valida",IF(YEAR(C118)='Parametri 2026'!$B$6,"Incassata","Incassata nel "&amp;YEAR(C118))))))</f>
        <v/>
      </c>
      <c r="O118" s="39" t="n"/>
    </row>
    <row r="119">
      <c r="A119" s="39" t="n"/>
      <c r="B119" s="40" t="n"/>
      <c r="C119" s="40" t="n"/>
      <c r="D119" s="39" t="n"/>
      <c r="E119" s="39" t="n"/>
      <c r="F119" s="41" t="n"/>
      <c r="G119" s="42" t="n"/>
      <c r="H119" s="43">
        <f>IF(ISNUMBER(F119),IF(OR(G119="Sì",G119="Si"),ROUND(F119*'Parametri 2026'!$B$16,2),0),"")</f>
        <v/>
      </c>
      <c r="I119" s="43">
        <f>IF(ISNUMBER(F119),F119+H119,"")</f>
        <v/>
      </c>
      <c r="J119" s="43">
        <f>IF(ISNUMBER(F119),IF(I119&gt;'Parametri 2026'!$B$14,'Parametri 2026'!$B$13,0),"")</f>
        <v/>
      </c>
      <c r="K119" s="42" t="n"/>
      <c r="L119" s="44">
        <f>IF(ISNUMBER(F119),I119+IF(K119="No",0,J119),"")</f>
        <v/>
      </c>
      <c r="M119" s="44">
        <f>IF(ISNUMBER(F119),I119+IF(AND(K119&lt;&gt;"No",Impostazioni!$B$29="Sì"),J119,0),"")</f>
        <v/>
      </c>
      <c r="N119" s="45">
        <f>IF(F119="","",IF(NOT(ISNUMBER(F119)),"Compenso non valido",IF(C119="","Da incassare",IF(NOT(ISNUMBER(C119)),"Data non valida",IF(YEAR(C119)='Parametri 2026'!$B$6,"Incassata","Incassata nel "&amp;YEAR(C119))))))</f>
        <v/>
      </c>
      <c r="O119" s="39" t="n"/>
    </row>
    <row r="120">
      <c r="A120" s="39" t="n"/>
      <c r="B120" s="40" t="n"/>
      <c r="C120" s="40" t="n"/>
      <c r="D120" s="39" t="n"/>
      <c r="E120" s="39" t="n"/>
      <c r="F120" s="41" t="n"/>
      <c r="G120" s="42" t="n"/>
      <c r="H120" s="43">
        <f>IF(ISNUMBER(F120),IF(OR(G120="Sì",G120="Si"),ROUND(F120*'Parametri 2026'!$B$16,2),0),"")</f>
        <v/>
      </c>
      <c r="I120" s="43">
        <f>IF(ISNUMBER(F120),F120+H120,"")</f>
        <v/>
      </c>
      <c r="J120" s="43">
        <f>IF(ISNUMBER(F120),IF(I120&gt;'Parametri 2026'!$B$14,'Parametri 2026'!$B$13,0),"")</f>
        <v/>
      </c>
      <c r="K120" s="42" t="n"/>
      <c r="L120" s="44">
        <f>IF(ISNUMBER(F120),I120+IF(K120="No",0,J120),"")</f>
        <v/>
      </c>
      <c r="M120" s="44">
        <f>IF(ISNUMBER(F120),I120+IF(AND(K120&lt;&gt;"No",Impostazioni!$B$29="Sì"),J120,0),"")</f>
        <v/>
      </c>
      <c r="N120" s="45">
        <f>IF(F120="","",IF(NOT(ISNUMBER(F120)),"Compenso non valido",IF(C120="","Da incassare",IF(NOT(ISNUMBER(C120)),"Data non valida",IF(YEAR(C120)='Parametri 2026'!$B$6,"Incassata","Incassata nel "&amp;YEAR(C120))))))</f>
        <v/>
      </c>
      <c r="O120" s="39" t="n"/>
    </row>
    <row r="121">
      <c r="A121" s="39" t="n"/>
      <c r="B121" s="40" t="n"/>
      <c r="C121" s="40" t="n"/>
      <c r="D121" s="39" t="n"/>
      <c r="E121" s="39" t="n"/>
      <c r="F121" s="41" t="n"/>
      <c r="G121" s="42" t="n"/>
      <c r="H121" s="43">
        <f>IF(ISNUMBER(F121),IF(OR(G121="Sì",G121="Si"),ROUND(F121*'Parametri 2026'!$B$16,2),0),"")</f>
        <v/>
      </c>
      <c r="I121" s="43">
        <f>IF(ISNUMBER(F121),F121+H121,"")</f>
        <v/>
      </c>
      <c r="J121" s="43">
        <f>IF(ISNUMBER(F121),IF(I121&gt;'Parametri 2026'!$B$14,'Parametri 2026'!$B$13,0),"")</f>
        <v/>
      </c>
      <c r="K121" s="42" t="n"/>
      <c r="L121" s="44">
        <f>IF(ISNUMBER(F121),I121+IF(K121="No",0,J121),"")</f>
        <v/>
      </c>
      <c r="M121" s="44">
        <f>IF(ISNUMBER(F121),I121+IF(AND(K121&lt;&gt;"No",Impostazioni!$B$29="Sì"),J121,0),"")</f>
        <v/>
      </c>
      <c r="N121" s="45">
        <f>IF(F121="","",IF(NOT(ISNUMBER(F121)),"Compenso non valido",IF(C121="","Da incassare",IF(NOT(ISNUMBER(C121)),"Data non valida",IF(YEAR(C121)='Parametri 2026'!$B$6,"Incassata","Incassata nel "&amp;YEAR(C121))))))</f>
        <v/>
      </c>
      <c r="O121" s="39" t="n"/>
    </row>
    <row r="122">
      <c r="A122" s="39" t="n"/>
      <c r="B122" s="40" t="n"/>
      <c r="C122" s="40" t="n"/>
      <c r="D122" s="39" t="n"/>
      <c r="E122" s="39" t="n"/>
      <c r="F122" s="41" t="n"/>
      <c r="G122" s="42" t="n"/>
      <c r="H122" s="43">
        <f>IF(ISNUMBER(F122),IF(OR(G122="Sì",G122="Si"),ROUND(F122*'Parametri 2026'!$B$16,2),0),"")</f>
        <v/>
      </c>
      <c r="I122" s="43">
        <f>IF(ISNUMBER(F122),F122+H122,"")</f>
        <v/>
      </c>
      <c r="J122" s="43">
        <f>IF(ISNUMBER(F122),IF(I122&gt;'Parametri 2026'!$B$14,'Parametri 2026'!$B$13,0),"")</f>
        <v/>
      </c>
      <c r="K122" s="42" t="n"/>
      <c r="L122" s="44">
        <f>IF(ISNUMBER(F122),I122+IF(K122="No",0,J122),"")</f>
        <v/>
      </c>
      <c r="M122" s="44">
        <f>IF(ISNUMBER(F122),I122+IF(AND(K122&lt;&gt;"No",Impostazioni!$B$29="Sì"),J122,0),"")</f>
        <v/>
      </c>
      <c r="N122" s="45">
        <f>IF(F122="","",IF(NOT(ISNUMBER(F122)),"Compenso non valido",IF(C122="","Da incassare",IF(NOT(ISNUMBER(C122)),"Data non valida",IF(YEAR(C122)='Parametri 2026'!$B$6,"Incassata","Incassata nel "&amp;YEAR(C122))))))</f>
        <v/>
      </c>
      <c r="O122" s="39" t="n"/>
    </row>
    <row r="123">
      <c r="A123" s="39" t="n"/>
      <c r="B123" s="40" t="n"/>
      <c r="C123" s="40" t="n"/>
      <c r="D123" s="39" t="n"/>
      <c r="E123" s="39" t="n"/>
      <c r="F123" s="41" t="n"/>
      <c r="G123" s="42" t="n"/>
      <c r="H123" s="43">
        <f>IF(ISNUMBER(F123),IF(OR(G123="Sì",G123="Si"),ROUND(F123*'Parametri 2026'!$B$16,2),0),"")</f>
        <v/>
      </c>
      <c r="I123" s="43">
        <f>IF(ISNUMBER(F123),F123+H123,"")</f>
        <v/>
      </c>
      <c r="J123" s="43">
        <f>IF(ISNUMBER(F123),IF(I123&gt;'Parametri 2026'!$B$14,'Parametri 2026'!$B$13,0),"")</f>
        <v/>
      </c>
      <c r="K123" s="42" t="n"/>
      <c r="L123" s="44">
        <f>IF(ISNUMBER(F123),I123+IF(K123="No",0,J123),"")</f>
        <v/>
      </c>
      <c r="M123" s="44">
        <f>IF(ISNUMBER(F123),I123+IF(AND(K123&lt;&gt;"No",Impostazioni!$B$29="Sì"),J123,0),"")</f>
        <v/>
      </c>
      <c r="N123" s="45">
        <f>IF(F123="","",IF(NOT(ISNUMBER(F123)),"Compenso non valido",IF(C123="","Da incassare",IF(NOT(ISNUMBER(C123)),"Data non valida",IF(YEAR(C123)='Parametri 2026'!$B$6,"Incassata","Incassata nel "&amp;YEAR(C123))))))</f>
        <v/>
      </c>
      <c r="O123" s="39" t="n"/>
    </row>
    <row r="124">
      <c r="A124" s="39" t="n"/>
      <c r="B124" s="40" t="n"/>
      <c r="C124" s="40" t="n"/>
      <c r="D124" s="39" t="n"/>
      <c r="E124" s="39" t="n"/>
      <c r="F124" s="41" t="n"/>
      <c r="G124" s="42" t="n"/>
      <c r="H124" s="43">
        <f>IF(ISNUMBER(F124),IF(OR(G124="Sì",G124="Si"),ROUND(F124*'Parametri 2026'!$B$16,2),0),"")</f>
        <v/>
      </c>
      <c r="I124" s="43">
        <f>IF(ISNUMBER(F124),F124+H124,"")</f>
        <v/>
      </c>
      <c r="J124" s="43">
        <f>IF(ISNUMBER(F124),IF(I124&gt;'Parametri 2026'!$B$14,'Parametri 2026'!$B$13,0),"")</f>
        <v/>
      </c>
      <c r="K124" s="42" t="n"/>
      <c r="L124" s="44">
        <f>IF(ISNUMBER(F124),I124+IF(K124="No",0,J124),"")</f>
        <v/>
      </c>
      <c r="M124" s="44">
        <f>IF(ISNUMBER(F124),I124+IF(AND(K124&lt;&gt;"No",Impostazioni!$B$29="Sì"),J124,0),"")</f>
        <v/>
      </c>
      <c r="N124" s="45">
        <f>IF(F124="","",IF(NOT(ISNUMBER(F124)),"Compenso non valido",IF(C124="","Da incassare",IF(NOT(ISNUMBER(C124)),"Data non valida",IF(YEAR(C124)='Parametri 2026'!$B$6,"Incassata","Incassata nel "&amp;YEAR(C124))))))</f>
        <v/>
      </c>
      <c r="O124" s="39" t="n"/>
    </row>
    <row r="125">
      <c r="A125" s="39" t="n"/>
      <c r="B125" s="40" t="n"/>
      <c r="C125" s="40" t="n"/>
      <c r="D125" s="39" t="n"/>
      <c r="E125" s="39" t="n"/>
      <c r="F125" s="41" t="n"/>
      <c r="G125" s="42" t="n"/>
      <c r="H125" s="43">
        <f>IF(ISNUMBER(F125),IF(OR(G125="Sì",G125="Si"),ROUND(F125*'Parametri 2026'!$B$16,2),0),"")</f>
        <v/>
      </c>
      <c r="I125" s="43">
        <f>IF(ISNUMBER(F125),F125+H125,"")</f>
        <v/>
      </c>
      <c r="J125" s="43">
        <f>IF(ISNUMBER(F125),IF(I125&gt;'Parametri 2026'!$B$14,'Parametri 2026'!$B$13,0),"")</f>
        <v/>
      </c>
      <c r="K125" s="42" t="n"/>
      <c r="L125" s="44">
        <f>IF(ISNUMBER(F125),I125+IF(K125="No",0,J125),"")</f>
        <v/>
      </c>
      <c r="M125" s="44">
        <f>IF(ISNUMBER(F125),I125+IF(AND(K125&lt;&gt;"No",Impostazioni!$B$29="Sì"),J125,0),"")</f>
        <v/>
      </c>
      <c r="N125" s="45">
        <f>IF(F125="","",IF(NOT(ISNUMBER(F125)),"Compenso non valido",IF(C125="","Da incassare",IF(NOT(ISNUMBER(C125)),"Data non valida",IF(YEAR(C125)='Parametri 2026'!$B$6,"Incassata","Incassata nel "&amp;YEAR(C125))))))</f>
        <v/>
      </c>
      <c r="O125" s="39" t="n"/>
    </row>
    <row r="126">
      <c r="A126" s="39" t="n"/>
      <c r="B126" s="40" t="n"/>
      <c r="C126" s="40" t="n"/>
      <c r="D126" s="39" t="n"/>
      <c r="E126" s="39" t="n"/>
      <c r="F126" s="41" t="n"/>
      <c r="G126" s="42" t="n"/>
      <c r="H126" s="43">
        <f>IF(ISNUMBER(F126),IF(OR(G126="Sì",G126="Si"),ROUND(F126*'Parametri 2026'!$B$16,2),0),"")</f>
        <v/>
      </c>
      <c r="I126" s="43">
        <f>IF(ISNUMBER(F126),F126+H126,"")</f>
        <v/>
      </c>
      <c r="J126" s="43">
        <f>IF(ISNUMBER(F126),IF(I126&gt;'Parametri 2026'!$B$14,'Parametri 2026'!$B$13,0),"")</f>
        <v/>
      </c>
      <c r="K126" s="42" t="n"/>
      <c r="L126" s="44">
        <f>IF(ISNUMBER(F126),I126+IF(K126="No",0,J126),"")</f>
        <v/>
      </c>
      <c r="M126" s="44">
        <f>IF(ISNUMBER(F126),I126+IF(AND(K126&lt;&gt;"No",Impostazioni!$B$29="Sì"),J126,0),"")</f>
        <v/>
      </c>
      <c r="N126" s="45">
        <f>IF(F126="","",IF(NOT(ISNUMBER(F126)),"Compenso non valido",IF(C126="","Da incassare",IF(NOT(ISNUMBER(C126)),"Data non valida",IF(YEAR(C126)='Parametri 2026'!$B$6,"Incassata","Incassata nel "&amp;YEAR(C126))))))</f>
        <v/>
      </c>
      <c r="O126" s="39" t="n"/>
    </row>
    <row r="127">
      <c r="A127" s="39" t="n"/>
      <c r="B127" s="40" t="n"/>
      <c r="C127" s="40" t="n"/>
      <c r="D127" s="39" t="n"/>
      <c r="E127" s="39" t="n"/>
      <c r="F127" s="41" t="n"/>
      <c r="G127" s="42" t="n"/>
      <c r="H127" s="43">
        <f>IF(ISNUMBER(F127),IF(OR(G127="Sì",G127="Si"),ROUND(F127*'Parametri 2026'!$B$16,2),0),"")</f>
        <v/>
      </c>
      <c r="I127" s="43">
        <f>IF(ISNUMBER(F127),F127+H127,"")</f>
        <v/>
      </c>
      <c r="J127" s="43">
        <f>IF(ISNUMBER(F127),IF(I127&gt;'Parametri 2026'!$B$14,'Parametri 2026'!$B$13,0),"")</f>
        <v/>
      </c>
      <c r="K127" s="42" t="n"/>
      <c r="L127" s="44">
        <f>IF(ISNUMBER(F127),I127+IF(K127="No",0,J127),"")</f>
        <v/>
      </c>
      <c r="M127" s="44">
        <f>IF(ISNUMBER(F127),I127+IF(AND(K127&lt;&gt;"No",Impostazioni!$B$29="Sì"),J127,0),"")</f>
        <v/>
      </c>
      <c r="N127" s="45">
        <f>IF(F127="","",IF(NOT(ISNUMBER(F127)),"Compenso non valido",IF(C127="","Da incassare",IF(NOT(ISNUMBER(C127)),"Data non valida",IF(YEAR(C127)='Parametri 2026'!$B$6,"Incassata","Incassata nel "&amp;YEAR(C127))))))</f>
        <v/>
      </c>
      <c r="O127" s="39" t="n"/>
    </row>
    <row r="128">
      <c r="A128" s="39" t="n"/>
      <c r="B128" s="40" t="n"/>
      <c r="C128" s="40" t="n"/>
      <c r="D128" s="39" t="n"/>
      <c r="E128" s="39" t="n"/>
      <c r="F128" s="41" t="n"/>
      <c r="G128" s="42" t="n"/>
      <c r="H128" s="43">
        <f>IF(ISNUMBER(F128),IF(OR(G128="Sì",G128="Si"),ROUND(F128*'Parametri 2026'!$B$16,2),0),"")</f>
        <v/>
      </c>
      <c r="I128" s="43">
        <f>IF(ISNUMBER(F128),F128+H128,"")</f>
        <v/>
      </c>
      <c r="J128" s="43">
        <f>IF(ISNUMBER(F128),IF(I128&gt;'Parametri 2026'!$B$14,'Parametri 2026'!$B$13,0),"")</f>
        <v/>
      </c>
      <c r="K128" s="42" t="n"/>
      <c r="L128" s="44">
        <f>IF(ISNUMBER(F128),I128+IF(K128="No",0,J128),"")</f>
        <v/>
      </c>
      <c r="M128" s="44">
        <f>IF(ISNUMBER(F128),I128+IF(AND(K128&lt;&gt;"No",Impostazioni!$B$29="Sì"),J128,0),"")</f>
        <v/>
      </c>
      <c r="N128" s="45">
        <f>IF(F128="","",IF(NOT(ISNUMBER(F128)),"Compenso non valido",IF(C128="","Da incassare",IF(NOT(ISNUMBER(C128)),"Data non valida",IF(YEAR(C128)='Parametri 2026'!$B$6,"Incassata","Incassata nel "&amp;YEAR(C128))))))</f>
        <v/>
      </c>
      <c r="O128" s="39" t="n"/>
    </row>
    <row r="129">
      <c r="A129" s="39" t="n"/>
      <c r="B129" s="40" t="n"/>
      <c r="C129" s="40" t="n"/>
      <c r="D129" s="39" t="n"/>
      <c r="E129" s="39" t="n"/>
      <c r="F129" s="41" t="n"/>
      <c r="G129" s="42" t="n"/>
      <c r="H129" s="43">
        <f>IF(ISNUMBER(F129),IF(OR(G129="Sì",G129="Si"),ROUND(F129*'Parametri 2026'!$B$16,2),0),"")</f>
        <v/>
      </c>
      <c r="I129" s="43">
        <f>IF(ISNUMBER(F129),F129+H129,"")</f>
        <v/>
      </c>
      <c r="J129" s="43">
        <f>IF(ISNUMBER(F129),IF(I129&gt;'Parametri 2026'!$B$14,'Parametri 2026'!$B$13,0),"")</f>
        <v/>
      </c>
      <c r="K129" s="42" t="n"/>
      <c r="L129" s="44">
        <f>IF(ISNUMBER(F129),I129+IF(K129="No",0,J129),"")</f>
        <v/>
      </c>
      <c r="M129" s="44">
        <f>IF(ISNUMBER(F129),I129+IF(AND(K129&lt;&gt;"No",Impostazioni!$B$29="Sì"),J129,0),"")</f>
        <v/>
      </c>
      <c r="N129" s="45">
        <f>IF(F129="","",IF(NOT(ISNUMBER(F129)),"Compenso non valido",IF(C129="","Da incassare",IF(NOT(ISNUMBER(C129)),"Data non valida",IF(YEAR(C129)='Parametri 2026'!$B$6,"Incassata","Incassata nel "&amp;YEAR(C129))))))</f>
        <v/>
      </c>
      <c r="O129" s="39" t="n"/>
    </row>
    <row r="130">
      <c r="A130" s="39" t="n"/>
      <c r="B130" s="40" t="n"/>
      <c r="C130" s="40" t="n"/>
      <c r="D130" s="39" t="n"/>
      <c r="E130" s="39" t="n"/>
      <c r="F130" s="41" t="n"/>
      <c r="G130" s="42" t="n"/>
      <c r="H130" s="43">
        <f>IF(ISNUMBER(F130),IF(OR(G130="Sì",G130="Si"),ROUND(F130*'Parametri 2026'!$B$16,2),0),"")</f>
        <v/>
      </c>
      <c r="I130" s="43">
        <f>IF(ISNUMBER(F130),F130+H130,"")</f>
        <v/>
      </c>
      <c r="J130" s="43">
        <f>IF(ISNUMBER(F130),IF(I130&gt;'Parametri 2026'!$B$14,'Parametri 2026'!$B$13,0),"")</f>
        <v/>
      </c>
      <c r="K130" s="42" t="n"/>
      <c r="L130" s="44">
        <f>IF(ISNUMBER(F130),I130+IF(K130="No",0,J130),"")</f>
        <v/>
      </c>
      <c r="M130" s="44">
        <f>IF(ISNUMBER(F130),I130+IF(AND(K130&lt;&gt;"No",Impostazioni!$B$29="Sì"),J130,0),"")</f>
        <v/>
      </c>
      <c r="N130" s="45">
        <f>IF(F130="","",IF(NOT(ISNUMBER(F130)),"Compenso non valido",IF(C130="","Da incassare",IF(NOT(ISNUMBER(C130)),"Data non valida",IF(YEAR(C130)='Parametri 2026'!$B$6,"Incassata","Incassata nel "&amp;YEAR(C130))))))</f>
        <v/>
      </c>
      <c r="O130" s="39" t="n"/>
    </row>
    <row r="131">
      <c r="A131" s="39" t="n"/>
      <c r="B131" s="40" t="n"/>
      <c r="C131" s="40" t="n"/>
      <c r="D131" s="39" t="n"/>
      <c r="E131" s="39" t="n"/>
      <c r="F131" s="41" t="n"/>
      <c r="G131" s="42" t="n"/>
      <c r="H131" s="43">
        <f>IF(ISNUMBER(F131),IF(OR(G131="Sì",G131="Si"),ROUND(F131*'Parametri 2026'!$B$16,2),0),"")</f>
        <v/>
      </c>
      <c r="I131" s="43">
        <f>IF(ISNUMBER(F131),F131+H131,"")</f>
        <v/>
      </c>
      <c r="J131" s="43">
        <f>IF(ISNUMBER(F131),IF(I131&gt;'Parametri 2026'!$B$14,'Parametri 2026'!$B$13,0),"")</f>
        <v/>
      </c>
      <c r="K131" s="42" t="n"/>
      <c r="L131" s="44">
        <f>IF(ISNUMBER(F131),I131+IF(K131="No",0,J131),"")</f>
        <v/>
      </c>
      <c r="M131" s="44">
        <f>IF(ISNUMBER(F131),I131+IF(AND(K131&lt;&gt;"No",Impostazioni!$B$29="Sì"),J131,0),"")</f>
        <v/>
      </c>
      <c r="N131" s="45">
        <f>IF(F131="","",IF(NOT(ISNUMBER(F131)),"Compenso non valido",IF(C131="","Da incassare",IF(NOT(ISNUMBER(C131)),"Data non valida",IF(YEAR(C131)='Parametri 2026'!$B$6,"Incassata","Incassata nel "&amp;YEAR(C131))))))</f>
        <v/>
      </c>
      <c r="O131" s="39" t="n"/>
    </row>
    <row r="132">
      <c r="A132" s="39" t="n"/>
      <c r="B132" s="40" t="n"/>
      <c r="C132" s="40" t="n"/>
      <c r="D132" s="39" t="n"/>
      <c r="E132" s="39" t="n"/>
      <c r="F132" s="41" t="n"/>
      <c r="G132" s="42" t="n"/>
      <c r="H132" s="43">
        <f>IF(ISNUMBER(F132),IF(OR(G132="Sì",G132="Si"),ROUND(F132*'Parametri 2026'!$B$16,2),0),"")</f>
        <v/>
      </c>
      <c r="I132" s="43">
        <f>IF(ISNUMBER(F132),F132+H132,"")</f>
        <v/>
      </c>
      <c r="J132" s="43">
        <f>IF(ISNUMBER(F132),IF(I132&gt;'Parametri 2026'!$B$14,'Parametri 2026'!$B$13,0),"")</f>
        <v/>
      </c>
      <c r="K132" s="42" t="n"/>
      <c r="L132" s="44">
        <f>IF(ISNUMBER(F132),I132+IF(K132="No",0,J132),"")</f>
        <v/>
      </c>
      <c r="M132" s="44">
        <f>IF(ISNUMBER(F132),I132+IF(AND(K132&lt;&gt;"No",Impostazioni!$B$29="Sì"),J132,0),"")</f>
        <v/>
      </c>
      <c r="N132" s="45">
        <f>IF(F132="","",IF(NOT(ISNUMBER(F132)),"Compenso non valido",IF(C132="","Da incassare",IF(NOT(ISNUMBER(C132)),"Data non valida",IF(YEAR(C132)='Parametri 2026'!$B$6,"Incassata","Incassata nel "&amp;YEAR(C132))))))</f>
        <v/>
      </c>
      <c r="O132" s="39" t="n"/>
    </row>
    <row r="133">
      <c r="A133" s="39" t="n"/>
      <c r="B133" s="40" t="n"/>
      <c r="C133" s="40" t="n"/>
      <c r="D133" s="39" t="n"/>
      <c r="E133" s="39" t="n"/>
      <c r="F133" s="41" t="n"/>
      <c r="G133" s="42" t="n"/>
      <c r="H133" s="43">
        <f>IF(ISNUMBER(F133),IF(OR(G133="Sì",G133="Si"),ROUND(F133*'Parametri 2026'!$B$16,2),0),"")</f>
        <v/>
      </c>
      <c r="I133" s="43">
        <f>IF(ISNUMBER(F133),F133+H133,"")</f>
        <v/>
      </c>
      <c r="J133" s="43">
        <f>IF(ISNUMBER(F133),IF(I133&gt;'Parametri 2026'!$B$14,'Parametri 2026'!$B$13,0),"")</f>
        <v/>
      </c>
      <c r="K133" s="42" t="n"/>
      <c r="L133" s="44">
        <f>IF(ISNUMBER(F133),I133+IF(K133="No",0,J133),"")</f>
        <v/>
      </c>
      <c r="M133" s="44">
        <f>IF(ISNUMBER(F133),I133+IF(AND(K133&lt;&gt;"No",Impostazioni!$B$29="Sì"),J133,0),"")</f>
        <v/>
      </c>
      <c r="N133" s="45">
        <f>IF(F133="","",IF(NOT(ISNUMBER(F133)),"Compenso non valido",IF(C133="","Da incassare",IF(NOT(ISNUMBER(C133)),"Data non valida",IF(YEAR(C133)='Parametri 2026'!$B$6,"Incassata","Incassata nel "&amp;YEAR(C133))))))</f>
        <v/>
      </c>
      <c r="O133" s="39" t="n"/>
    </row>
    <row r="134">
      <c r="A134" s="39" t="n"/>
      <c r="B134" s="40" t="n"/>
      <c r="C134" s="40" t="n"/>
      <c r="D134" s="39" t="n"/>
      <c r="E134" s="39" t="n"/>
      <c r="F134" s="41" t="n"/>
      <c r="G134" s="42" t="n"/>
      <c r="H134" s="43">
        <f>IF(ISNUMBER(F134),IF(OR(G134="Sì",G134="Si"),ROUND(F134*'Parametri 2026'!$B$16,2),0),"")</f>
        <v/>
      </c>
      <c r="I134" s="43">
        <f>IF(ISNUMBER(F134),F134+H134,"")</f>
        <v/>
      </c>
      <c r="J134" s="43">
        <f>IF(ISNUMBER(F134),IF(I134&gt;'Parametri 2026'!$B$14,'Parametri 2026'!$B$13,0),"")</f>
        <v/>
      </c>
      <c r="K134" s="42" t="n"/>
      <c r="L134" s="44">
        <f>IF(ISNUMBER(F134),I134+IF(K134="No",0,J134),"")</f>
        <v/>
      </c>
      <c r="M134" s="44">
        <f>IF(ISNUMBER(F134),I134+IF(AND(K134&lt;&gt;"No",Impostazioni!$B$29="Sì"),J134,0),"")</f>
        <v/>
      </c>
      <c r="N134" s="45">
        <f>IF(F134="","",IF(NOT(ISNUMBER(F134)),"Compenso non valido",IF(C134="","Da incassare",IF(NOT(ISNUMBER(C134)),"Data non valida",IF(YEAR(C134)='Parametri 2026'!$B$6,"Incassata","Incassata nel "&amp;YEAR(C134))))))</f>
        <v/>
      </c>
      <c r="O134" s="39" t="n"/>
    </row>
    <row r="135">
      <c r="A135" s="39" t="n"/>
      <c r="B135" s="40" t="n"/>
      <c r="C135" s="40" t="n"/>
      <c r="D135" s="39" t="n"/>
      <c r="E135" s="39" t="n"/>
      <c r="F135" s="41" t="n"/>
      <c r="G135" s="42" t="n"/>
      <c r="H135" s="43">
        <f>IF(ISNUMBER(F135),IF(OR(G135="Sì",G135="Si"),ROUND(F135*'Parametri 2026'!$B$16,2),0),"")</f>
        <v/>
      </c>
      <c r="I135" s="43">
        <f>IF(ISNUMBER(F135),F135+H135,"")</f>
        <v/>
      </c>
      <c r="J135" s="43">
        <f>IF(ISNUMBER(F135),IF(I135&gt;'Parametri 2026'!$B$14,'Parametri 2026'!$B$13,0),"")</f>
        <v/>
      </c>
      <c r="K135" s="42" t="n"/>
      <c r="L135" s="44">
        <f>IF(ISNUMBER(F135),I135+IF(K135="No",0,J135),"")</f>
        <v/>
      </c>
      <c r="M135" s="44">
        <f>IF(ISNUMBER(F135),I135+IF(AND(K135&lt;&gt;"No",Impostazioni!$B$29="Sì"),J135,0),"")</f>
        <v/>
      </c>
      <c r="N135" s="45">
        <f>IF(F135="","",IF(NOT(ISNUMBER(F135)),"Compenso non valido",IF(C135="","Da incassare",IF(NOT(ISNUMBER(C135)),"Data non valida",IF(YEAR(C135)='Parametri 2026'!$B$6,"Incassata","Incassata nel "&amp;YEAR(C135))))))</f>
        <v/>
      </c>
      <c r="O135" s="39" t="n"/>
    </row>
    <row r="136">
      <c r="A136" s="39" t="n"/>
      <c r="B136" s="40" t="n"/>
      <c r="C136" s="40" t="n"/>
      <c r="D136" s="39" t="n"/>
      <c r="E136" s="39" t="n"/>
      <c r="F136" s="41" t="n"/>
      <c r="G136" s="42" t="n"/>
      <c r="H136" s="43">
        <f>IF(ISNUMBER(F136),IF(OR(G136="Sì",G136="Si"),ROUND(F136*'Parametri 2026'!$B$16,2),0),"")</f>
        <v/>
      </c>
      <c r="I136" s="43">
        <f>IF(ISNUMBER(F136),F136+H136,"")</f>
        <v/>
      </c>
      <c r="J136" s="43">
        <f>IF(ISNUMBER(F136),IF(I136&gt;'Parametri 2026'!$B$14,'Parametri 2026'!$B$13,0),"")</f>
        <v/>
      </c>
      <c r="K136" s="42" t="n"/>
      <c r="L136" s="44">
        <f>IF(ISNUMBER(F136),I136+IF(K136="No",0,J136),"")</f>
        <v/>
      </c>
      <c r="M136" s="44">
        <f>IF(ISNUMBER(F136),I136+IF(AND(K136&lt;&gt;"No",Impostazioni!$B$29="Sì"),J136,0),"")</f>
        <v/>
      </c>
      <c r="N136" s="45">
        <f>IF(F136="","",IF(NOT(ISNUMBER(F136)),"Compenso non valido",IF(C136="","Da incassare",IF(NOT(ISNUMBER(C136)),"Data non valida",IF(YEAR(C136)='Parametri 2026'!$B$6,"Incassata","Incassata nel "&amp;YEAR(C136))))))</f>
        <v/>
      </c>
      <c r="O136" s="39" t="n"/>
    </row>
    <row r="137">
      <c r="A137" s="39" t="n"/>
      <c r="B137" s="40" t="n"/>
      <c r="C137" s="40" t="n"/>
      <c r="D137" s="39" t="n"/>
      <c r="E137" s="39" t="n"/>
      <c r="F137" s="41" t="n"/>
      <c r="G137" s="42" t="n"/>
      <c r="H137" s="43">
        <f>IF(ISNUMBER(F137),IF(OR(G137="Sì",G137="Si"),ROUND(F137*'Parametri 2026'!$B$16,2),0),"")</f>
        <v/>
      </c>
      <c r="I137" s="43">
        <f>IF(ISNUMBER(F137),F137+H137,"")</f>
        <v/>
      </c>
      <c r="J137" s="43">
        <f>IF(ISNUMBER(F137),IF(I137&gt;'Parametri 2026'!$B$14,'Parametri 2026'!$B$13,0),"")</f>
        <v/>
      </c>
      <c r="K137" s="42" t="n"/>
      <c r="L137" s="44">
        <f>IF(ISNUMBER(F137),I137+IF(K137="No",0,J137),"")</f>
        <v/>
      </c>
      <c r="M137" s="44">
        <f>IF(ISNUMBER(F137),I137+IF(AND(K137&lt;&gt;"No",Impostazioni!$B$29="Sì"),J137,0),"")</f>
        <v/>
      </c>
      <c r="N137" s="45">
        <f>IF(F137="","",IF(NOT(ISNUMBER(F137)),"Compenso non valido",IF(C137="","Da incassare",IF(NOT(ISNUMBER(C137)),"Data non valida",IF(YEAR(C137)='Parametri 2026'!$B$6,"Incassata","Incassata nel "&amp;YEAR(C137))))))</f>
        <v/>
      </c>
      <c r="O137" s="39" t="n"/>
    </row>
    <row r="138">
      <c r="A138" s="39" t="n"/>
      <c r="B138" s="40" t="n"/>
      <c r="C138" s="40" t="n"/>
      <c r="D138" s="39" t="n"/>
      <c r="E138" s="39" t="n"/>
      <c r="F138" s="41" t="n"/>
      <c r="G138" s="42" t="n"/>
      <c r="H138" s="43">
        <f>IF(ISNUMBER(F138),IF(OR(G138="Sì",G138="Si"),ROUND(F138*'Parametri 2026'!$B$16,2),0),"")</f>
        <v/>
      </c>
      <c r="I138" s="43">
        <f>IF(ISNUMBER(F138),F138+H138,"")</f>
        <v/>
      </c>
      <c r="J138" s="43">
        <f>IF(ISNUMBER(F138),IF(I138&gt;'Parametri 2026'!$B$14,'Parametri 2026'!$B$13,0),"")</f>
        <v/>
      </c>
      <c r="K138" s="42" t="n"/>
      <c r="L138" s="44">
        <f>IF(ISNUMBER(F138),I138+IF(K138="No",0,J138),"")</f>
        <v/>
      </c>
      <c r="M138" s="44">
        <f>IF(ISNUMBER(F138),I138+IF(AND(K138&lt;&gt;"No",Impostazioni!$B$29="Sì"),J138,0),"")</f>
        <v/>
      </c>
      <c r="N138" s="45">
        <f>IF(F138="","",IF(NOT(ISNUMBER(F138)),"Compenso non valido",IF(C138="","Da incassare",IF(NOT(ISNUMBER(C138)),"Data non valida",IF(YEAR(C138)='Parametri 2026'!$B$6,"Incassata","Incassata nel "&amp;YEAR(C138))))))</f>
        <v/>
      </c>
      <c r="O138" s="39" t="n"/>
    </row>
    <row r="139">
      <c r="A139" s="39" t="n"/>
      <c r="B139" s="40" t="n"/>
      <c r="C139" s="40" t="n"/>
      <c r="D139" s="39" t="n"/>
      <c r="E139" s="39" t="n"/>
      <c r="F139" s="41" t="n"/>
      <c r="G139" s="42" t="n"/>
      <c r="H139" s="43">
        <f>IF(ISNUMBER(F139),IF(OR(G139="Sì",G139="Si"),ROUND(F139*'Parametri 2026'!$B$16,2),0),"")</f>
        <v/>
      </c>
      <c r="I139" s="43">
        <f>IF(ISNUMBER(F139),F139+H139,"")</f>
        <v/>
      </c>
      <c r="J139" s="43">
        <f>IF(ISNUMBER(F139),IF(I139&gt;'Parametri 2026'!$B$14,'Parametri 2026'!$B$13,0),"")</f>
        <v/>
      </c>
      <c r="K139" s="42" t="n"/>
      <c r="L139" s="44">
        <f>IF(ISNUMBER(F139),I139+IF(K139="No",0,J139),"")</f>
        <v/>
      </c>
      <c r="M139" s="44">
        <f>IF(ISNUMBER(F139),I139+IF(AND(K139&lt;&gt;"No",Impostazioni!$B$29="Sì"),J139,0),"")</f>
        <v/>
      </c>
      <c r="N139" s="45">
        <f>IF(F139="","",IF(NOT(ISNUMBER(F139)),"Compenso non valido",IF(C139="","Da incassare",IF(NOT(ISNUMBER(C139)),"Data non valida",IF(YEAR(C139)='Parametri 2026'!$B$6,"Incassata","Incassata nel "&amp;YEAR(C139))))))</f>
        <v/>
      </c>
      <c r="O139" s="39" t="n"/>
    </row>
    <row r="140">
      <c r="A140" s="39" t="n"/>
      <c r="B140" s="40" t="n"/>
      <c r="C140" s="40" t="n"/>
      <c r="D140" s="39" t="n"/>
      <c r="E140" s="39" t="n"/>
      <c r="F140" s="41" t="n"/>
      <c r="G140" s="42" t="n"/>
      <c r="H140" s="43">
        <f>IF(ISNUMBER(F140),IF(OR(G140="Sì",G140="Si"),ROUND(F140*'Parametri 2026'!$B$16,2),0),"")</f>
        <v/>
      </c>
      <c r="I140" s="43">
        <f>IF(ISNUMBER(F140),F140+H140,"")</f>
        <v/>
      </c>
      <c r="J140" s="43">
        <f>IF(ISNUMBER(F140),IF(I140&gt;'Parametri 2026'!$B$14,'Parametri 2026'!$B$13,0),"")</f>
        <v/>
      </c>
      <c r="K140" s="42" t="n"/>
      <c r="L140" s="44">
        <f>IF(ISNUMBER(F140),I140+IF(K140="No",0,J140),"")</f>
        <v/>
      </c>
      <c r="M140" s="44">
        <f>IF(ISNUMBER(F140),I140+IF(AND(K140&lt;&gt;"No",Impostazioni!$B$29="Sì"),J140,0),"")</f>
        <v/>
      </c>
      <c r="N140" s="45">
        <f>IF(F140="","",IF(NOT(ISNUMBER(F140)),"Compenso non valido",IF(C140="","Da incassare",IF(NOT(ISNUMBER(C140)),"Data non valida",IF(YEAR(C140)='Parametri 2026'!$B$6,"Incassata","Incassata nel "&amp;YEAR(C140))))))</f>
        <v/>
      </c>
      <c r="O140" s="39" t="n"/>
    </row>
    <row r="141">
      <c r="A141" s="39" t="n"/>
      <c r="B141" s="40" t="n"/>
      <c r="C141" s="40" t="n"/>
      <c r="D141" s="39" t="n"/>
      <c r="E141" s="39" t="n"/>
      <c r="F141" s="41" t="n"/>
      <c r="G141" s="42" t="n"/>
      <c r="H141" s="43">
        <f>IF(ISNUMBER(F141),IF(OR(G141="Sì",G141="Si"),ROUND(F141*'Parametri 2026'!$B$16,2),0),"")</f>
        <v/>
      </c>
      <c r="I141" s="43">
        <f>IF(ISNUMBER(F141),F141+H141,"")</f>
        <v/>
      </c>
      <c r="J141" s="43">
        <f>IF(ISNUMBER(F141),IF(I141&gt;'Parametri 2026'!$B$14,'Parametri 2026'!$B$13,0),"")</f>
        <v/>
      </c>
      <c r="K141" s="42" t="n"/>
      <c r="L141" s="44">
        <f>IF(ISNUMBER(F141),I141+IF(K141="No",0,J141),"")</f>
        <v/>
      </c>
      <c r="M141" s="44">
        <f>IF(ISNUMBER(F141),I141+IF(AND(K141&lt;&gt;"No",Impostazioni!$B$29="Sì"),J141,0),"")</f>
        <v/>
      </c>
      <c r="N141" s="45">
        <f>IF(F141="","",IF(NOT(ISNUMBER(F141)),"Compenso non valido",IF(C141="","Da incassare",IF(NOT(ISNUMBER(C141)),"Data non valida",IF(YEAR(C141)='Parametri 2026'!$B$6,"Incassata","Incassata nel "&amp;YEAR(C141))))))</f>
        <v/>
      </c>
      <c r="O141" s="39" t="n"/>
    </row>
    <row r="142">
      <c r="A142" s="39" t="n"/>
      <c r="B142" s="40" t="n"/>
      <c r="C142" s="40" t="n"/>
      <c r="D142" s="39" t="n"/>
      <c r="E142" s="39" t="n"/>
      <c r="F142" s="41" t="n"/>
      <c r="G142" s="42" t="n"/>
      <c r="H142" s="43">
        <f>IF(ISNUMBER(F142),IF(OR(G142="Sì",G142="Si"),ROUND(F142*'Parametri 2026'!$B$16,2),0),"")</f>
        <v/>
      </c>
      <c r="I142" s="43">
        <f>IF(ISNUMBER(F142),F142+H142,"")</f>
        <v/>
      </c>
      <c r="J142" s="43">
        <f>IF(ISNUMBER(F142),IF(I142&gt;'Parametri 2026'!$B$14,'Parametri 2026'!$B$13,0),"")</f>
        <v/>
      </c>
      <c r="K142" s="42" t="n"/>
      <c r="L142" s="44">
        <f>IF(ISNUMBER(F142),I142+IF(K142="No",0,J142),"")</f>
        <v/>
      </c>
      <c r="M142" s="44">
        <f>IF(ISNUMBER(F142),I142+IF(AND(K142&lt;&gt;"No",Impostazioni!$B$29="Sì"),J142,0),"")</f>
        <v/>
      </c>
      <c r="N142" s="45">
        <f>IF(F142="","",IF(NOT(ISNUMBER(F142)),"Compenso non valido",IF(C142="","Da incassare",IF(NOT(ISNUMBER(C142)),"Data non valida",IF(YEAR(C142)='Parametri 2026'!$B$6,"Incassata","Incassata nel "&amp;YEAR(C142))))))</f>
        <v/>
      </c>
      <c r="O142" s="39" t="n"/>
    </row>
    <row r="143">
      <c r="A143" s="39" t="n"/>
      <c r="B143" s="40" t="n"/>
      <c r="C143" s="40" t="n"/>
      <c r="D143" s="39" t="n"/>
      <c r="E143" s="39" t="n"/>
      <c r="F143" s="41" t="n"/>
      <c r="G143" s="42" t="n"/>
      <c r="H143" s="43">
        <f>IF(ISNUMBER(F143),IF(OR(G143="Sì",G143="Si"),ROUND(F143*'Parametri 2026'!$B$16,2),0),"")</f>
        <v/>
      </c>
      <c r="I143" s="43">
        <f>IF(ISNUMBER(F143),F143+H143,"")</f>
        <v/>
      </c>
      <c r="J143" s="43">
        <f>IF(ISNUMBER(F143),IF(I143&gt;'Parametri 2026'!$B$14,'Parametri 2026'!$B$13,0),"")</f>
        <v/>
      </c>
      <c r="K143" s="42" t="n"/>
      <c r="L143" s="44">
        <f>IF(ISNUMBER(F143),I143+IF(K143="No",0,J143),"")</f>
        <v/>
      </c>
      <c r="M143" s="44">
        <f>IF(ISNUMBER(F143),I143+IF(AND(K143&lt;&gt;"No",Impostazioni!$B$29="Sì"),J143,0),"")</f>
        <v/>
      </c>
      <c r="N143" s="45">
        <f>IF(F143="","",IF(NOT(ISNUMBER(F143)),"Compenso non valido",IF(C143="","Da incassare",IF(NOT(ISNUMBER(C143)),"Data non valida",IF(YEAR(C143)='Parametri 2026'!$B$6,"Incassata","Incassata nel "&amp;YEAR(C143))))))</f>
        <v/>
      </c>
      <c r="O143" s="39" t="n"/>
    </row>
    <row r="144">
      <c r="A144" s="39" t="n"/>
      <c r="B144" s="40" t="n"/>
      <c r="C144" s="40" t="n"/>
      <c r="D144" s="39" t="n"/>
      <c r="E144" s="39" t="n"/>
      <c r="F144" s="41" t="n"/>
      <c r="G144" s="42" t="n"/>
      <c r="H144" s="43">
        <f>IF(ISNUMBER(F144),IF(OR(G144="Sì",G144="Si"),ROUND(F144*'Parametri 2026'!$B$16,2),0),"")</f>
        <v/>
      </c>
      <c r="I144" s="43">
        <f>IF(ISNUMBER(F144),F144+H144,"")</f>
        <v/>
      </c>
      <c r="J144" s="43">
        <f>IF(ISNUMBER(F144),IF(I144&gt;'Parametri 2026'!$B$14,'Parametri 2026'!$B$13,0),"")</f>
        <v/>
      </c>
      <c r="K144" s="42" t="n"/>
      <c r="L144" s="44">
        <f>IF(ISNUMBER(F144),I144+IF(K144="No",0,J144),"")</f>
        <v/>
      </c>
      <c r="M144" s="44">
        <f>IF(ISNUMBER(F144),I144+IF(AND(K144&lt;&gt;"No",Impostazioni!$B$29="Sì"),J144,0),"")</f>
        <v/>
      </c>
      <c r="N144" s="45">
        <f>IF(F144="","",IF(NOT(ISNUMBER(F144)),"Compenso non valido",IF(C144="","Da incassare",IF(NOT(ISNUMBER(C144)),"Data non valida",IF(YEAR(C144)='Parametri 2026'!$B$6,"Incassata","Incassata nel "&amp;YEAR(C144))))))</f>
        <v/>
      </c>
      <c r="O144" s="39" t="n"/>
    </row>
    <row r="145">
      <c r="A145" s="39" t="n"/>
      <c r="B145" s="40" t="n"/>
      <c r="C145" s="40" t="n"/>
      <c r="D145" s="39" t="n"/>
      <c r="E145" s="39" t="n"/>
      <c r="F145" s="41" t="n"/>
      <c r="G145" s="42" t="n"/>
      <c r="H145" s="43">
        <f>IF(ISNUMBER(F145),IF(OR(G145="Sì",G145="Si"),ROUND(F145*'Parametri 2026'!$B$16,2),0),"")</f>
        <v/>
      </c>
      <c r="I145" s="43">
        <f>IF(ISNUMBER(F145),F145+H145,"")</f>
        <v/>
      </c>
      <c r="J145" s="43">
        <f>IF(ISNUMBER(F145),IF(I145&gt;'Parametri 2026'!$B$14,'Parametri 2026'!$B$13,0),"")</f>
        <v/>
      </c>
      <c r="K145" s="42" t="n"/>
      <c r="L145" s="44">
        <f>IF(ISNUMBER(F145),I145+IF(K145="No",0,J145),"")</f>
        <v/>
      </c>
      <c r="M145" s="44">
        <f>IF(ISNUMBER(F145),I145+IF(AND(K145&lt;&gt;"No",Impostazioni!$B$29="Sì"),J145,0),"")</f>
        <v/>
      </c>
      <c r="N145" s="45">
        <f>IF(F145="","",IF(NOT(ISNUMBER(F145)),"Compenso non valido",IF(C145="","Da incassare",IF(NOT(ISNUMBER(C145)),"Data non valida",IF(YEAR(C145)='Parametri 2026'!$B$6,"Incassata","Incassata nel "&amp;YEAR(C145))))))</f>
        <v/>
      </c>
      <c r="O145" s="39" t="n"/>
    </row>
    <row r="146">
      <c r="A146" s="39" t="n"/>
      <c r="B146" s="40" t="n"/>
      <c r="C146" s="40" t="n"/>
      <c r="D146" s="39" t="n"/>
      <c r="E146" s="39" t="n"/>
      <c r="F146" s="41" t="n"/>
      <c r="G146" s="42" t="n"/>
      <c r="H146" s="43">
        <f>IF(ISNUMBER(F146),IF(OR(G146="Sì",G146="Si"),ROUND(F146*'Parametri 2026'!$B$16,2),0),"")</f>
        <v/>
      </c>
      <c r="I146" s="43">
        <f>IF(ISNUMBER(F146),F146+H146,"")</f>
        <v/>
      </c>
      <c r="J146" s="43">
        <f>IF(ISNUMBER(F146),IF(I146&gt;'Parametri 2026'!$B$14,'Parametri 2026'!$B$13,0),"")</f>
        <v/>
      </c>
      <c r="K146" s="42" t="n"/>
      <c r="L146" s="44">
        <f>IF(ISNUMBER(F146),I146+IF(K146="No",0,J146),"")</f>
        <v/>
      </c>
      <c r="M146" s="44">
        <f>IF(ISNUMBER(F146),I146+IF(AND(K146&lt;&gt;"No",Impostazioni!$B$29="Sì"),J146,0),"")</f>
        <v/>
      </c>
      <c r="N146" s="45">
        <f>IF(F146="","",IF(NOT(ISNUMBER(F146)),"Compenso non valido",IF(C146="","Da incassare",IF(NOT(ISNUMBER(C146)),"Data non valida",IF(YEAR(C146)='Parametri 2026'!$B$6,"Incassata","Incassata nel "&amp;YEAR(C146))))))</f>
        <v/>
      </c>
      <c r="O146" s="39" t="n"/>
    </row>
    <row r="147">
      <c r="A147" s="39" t="n"/>
      <c r="B147" s="40" t="n"/>
      <c r="C147" s="40" t="n"/>
      <c r="D147" s="39" t="n"/>
      <c r="E147" s="39" t="n"/>
      <c r="F147" s="41" t="n"/>
      <c r="G147" s="42" t="n"/>
      <c r="H147" s="43">
        <f>IF(ISNUMBER(F147),IF(OR(G147="Sì",G147="Si"),ROUND(F147*'Parametri 2026'!$B$16,2),0),"")</f>
        <v/>
      </c>
      <c r="I147" s="43">
        <f>IF(ISNUMBER(F147),F147+H147,"")</f>
        <v/>
      </c>
      <c r="J147" s="43">
        <f>IF(ISNUMBER(F147),IF(I147&gt;'Parametri 2026'!$B$14,'Parametri 2026'!$B$13,0),"")</f>
        <v/>
      </c>
      <c r="K147" s="42" t="n"/>
      <c r="L147" s="44">
        <f>IF(ISNUMBER(F147),I147+IF(K147="No",0,J147),"")</f>
        <v/>
      </c>
      <c r="M147" s="44">
        <f>IF(ISNUMBER(F147),I147+IF(AND(K147&lt;&gt;"No",Impostazioni!$B$29="Sì"),J147,0),"")</f>
        <v/>
      </c>
      <c r="N147" s="45">
        <f>IF(F147="","",IF(NOT(ISNUMBER(F147)),"Compenso non valido",IF(C147="","Da incassare",IF(NOT(ISNUMBER(C147)),"Data non valida",IF(YEAR(C147)='Parametri 2026'!$B$6,"Incassata","Incassata nel "&amp;YEAR(C147))))))</f>
        <v/>
      </c>
      <c r="O147" s="39" t="n"/>
    </row>
    <row r="148">
      <c r="A148" s="39" t="n"/>
      <c r="B148" s="40" t="n"/>
      <c r="C148" s="40" t="n"/>
      <c r="D148" s="39" t="n"/>
      <c r="E148" s="39" t="n"/>
      <c r="F148" s="41" t="n"/>
      <c r="G148" s="42" t="n"/>
      <c r="H148" s="43">
        <f>IF(ISNUMBER(F148),IF(OR(G148="Sì",G148="Si"),ROUND(F148*'Parametri 2026'!$B$16,2),0),"")</f>
        <v/>
      </c>
      <c r="I148" s="43">
        <f>IF(ISNUMBER(F148),F148+H148,"")</f>
        <v/>
      </c>
      <c r="J148" s="43">
        <f>IF(ISNUMBER(F148),IF(I148&gt;'Parametri 2026'!$B$14,'Parametri 2026'!$B$13,0),"")</f>
        <v/>
      </c>
      <c r="K148" s="42" t="n"/>
      <c r="L148" s="44">
        <f>IF(ISNUMBER(F148),I148+IF(K148="No",0,J148),"")</f>
        <v/>
      </c>
      <c r="M148" s="44">
        <f>IF(ISNUMBER(F148),I148+IF(AND(K148&lt;&gt;"No",Impostazioni!$B$29="Sì"),J148,0),"")</f>
        <v/>
      </c>
      <c r="N148" s="45">
        <f>IF(F148="","",IF(NOT(ISNUMBER(F148)),"Compenso non valido",IF(C148="","Da incassare",IF(NOT(ISNUMBER(C148)),"Data non valida",IF(YEAR(C148)='Parametri 2026'!$B$6,"Incassata","Incassata nel "&amp;YEAR(C148))))))</f>
        <v/>
      </c>
      <c r="O148" s="39" t="n"/>
    </row>
    <row r="149">
      <c r="A149" s="39" t="n"/>
      <c r="B149" s="40" t="n"/>
      <c r="C149" s="40" t="n"/>
      <c r="D149" s="39" t="n"/>
      <c r="E149" s="39" t="n"/>
      <c r="F149" s="41" t="n"/>
      <c r="G149" s="42" t="n"/>
      <c r="H149" s="43">
        <f>IF(ISNUMBER(F149),IF(OR(G149="Sì",G149="Si"),ROUND(F149*'Parametri 2026'!$B$16,2),0),"")</f>
        <v/>
      </c>
      <c r="I149" s="43">
        <f>IF(ISNUMBER(F149),F149+H149,"")</f>
        <v/>
      </c>
      <c r="J149" s="43">
        <f>IF(ISNUMBER(F149),IF(I149&gt;'Parametri 2026'!$B$14,'Parametri 2026'!$B$13,0),"")</f>
        <v/>
      </c>
      <c r="K149" s="42" t="n"/>
      <c r="L149" s="44">
        <f>IF(ISNUMBER(F149),I149+IF(K149="No",0,J149),"")</f>
        <v/>
      </c>
      <c r="M149" s="44">
        <f>IF(ISNUMBER(F149),I149+IF(AND(K149&lt;&gt;"No",Impostazioni!$B$29="Sì"),J149,0),"")</f>
        <v/>
      </c>
      <c r="N149" s="45">
        <f>IF(F149="","",IF(NOT(ISNUMBER(F149)),"Compenso non valido",IF(C149="","Da incassare",IF(NOT(ISNUMBER(C149)),"Data non valida",IF(YEAR(C149)='Parametri 2026'!$B$6,"Incassata","Incassata nel "&amp;YEAR(C149))))))</f>
        <v/>
      </c>
      <c r="O149" s="39" t="n"/>
    </row>
    <row r="150">
      <c r="A150" s="39" t="n"/>
      <c r="B150" s="40" t="n"/>
      <c r="C150" s="40" t="n"/>
      <c r="D150" s="39" t="n"/>
      <c r="E150" s="39" t="n"/>
      <c r="F150" s="41" t="n"/>
      <c r="G150" s="42" t="n"/>
      <c r="H150" s="43">
        <f>IF(ISNUMBER(F150),IF(OR(G150="Sì",G150="Si"),ROUND(F150*'Parametri 2026'!$B$16,2),0),"")</f>
        <v/>
      </c>
      <c r="I150" s="43">
        <f>IF(ISNUMBER(F150),F150+H150,"")</f>
        <v/>
      </c>
      <c r="J150" s="43">
        <f>IF(ISNUMBER(F150),IF(I150&gt;'Parametri 2026'!$B$14,'Parametri 2026'!$B$13,0),"")</f>
        <v/>
      </c>
      <c r="K150" s="42" t="n"/>
      <c r="L150" s="44">
        <f>IF(ISNUMBER(F150),I150+IF(K150="No",0,J150),"")</f>
        <v/>
      </c>
      <c r="M150" s="44">
        <f>IF(ISNUMBER(F150),I150+IF(AND(K150&lt;&gt;"No",Impostazioni!$B$29="Sì"),J150,0),"")</f>
        <v/>
      </c>
      <c r="N150" s="45">
        <f>IF(F150="","",IF(NOT(ISNUMBER(F150)),"Compenso non valido",IF(C150="","Da incassare",IF(NOT(ISNUMBER(C150)),"Data non valida",IF(YEAR(C150)='Parametri 2026'!$B$6,"Incassata","Incassata nel "&amp;YEAR(C150))))))</f>
        <v/>
      </c>
      <c r="O150" s="39" t="n"/>
    </row>
    <row r="151">
      <c r="A151" s="39" t="n"/>
      <c r="B151" s="40" t="n"/>
      <c r="C151" s="40" t="n"/>
      <c r="D151" s="39" t="n"/>
      <c r="E151" s="39" t="n"/>
      <c r="F151" s="41" t="n"/>
      <c r="G151" s="42" t="n"/>
      <c r="H151" s="43">
        <f>IF(ISNUMBER(F151),IF(OR(G151="Sì",G151="Si"),ROUND(F151*'Parametri 2026'!$B$16,2),0),"")</f>
        <v/>
      </c>
      <c r="I151" s="43">
        <f>IF(ISNUMBER(F151),F151+H151,"")</f>
        <v/>
      </c>
      <c r="J151" s="43">
        <f>IF(ISNUMBER(F151),IF(I151&gt;'Parametri 2026'!$B$14,'Parametri 2026'!$B$13,0),"")</f>
        <v/>
      </c>
      <c r="K151" s="42" t="n"/>
      <c r="L151" s="44">
        <f>IF(ISNUMBER(F151),I151+IF(K151="No",0,J151),"")</f>
        <v/>
      </c>
      <c r="M151" s="44">
        <f>IF(ISNUMBER(F151),I151+IF(AND(K151&lt;&gt;"No",Impostazioni!$B$29="Sì"),J151,0),"")</f>
        <v/>
      </c>
      <c r="N151" s="45">
        <f>IF(F151="","",IF(NOT(ISNUMBER(F151)),"Compenso non valido",IF(C151="","Da incassare",IF(NOT(ISNUMBER(C151)),"Data non valida",IF(YEAR(C151)='Parametri 2026'!$B$6,"Incassata","Incassata nel "&amp;YEAR(C151))))))</f>
        <v/>
      </c>
      <c r="O151" s="39" t="n"/>
    </row>
    <row r="152">
      <c r="A152" s="39" t="n"/>
      <c r="B152" s="40" t="n"/>
      <c r="C152" s="40" t="n"/>
      <c r="D152" s="39" t="n"/>
      <c r="E152" s="39" t="n"/>
      <c r="F152" s="41" t="n"/>
      <c r="G152" s="42" t="n"/>
      <c r="H152" s="43">
        <f>IF(ISNUMBER(F152),IF(OR(G152="Sì",G152="Si"),ROUND(F152*'Parametri 2026'!$B$16,2),0),"")</f>
        <v/>
      </c>
      <c r="I152" s="43">
        <f>IF(ISNUMBER(F152),F152+H152,"")</f>
        <v/>
      </c>
      <c r="J152" s="43">
        <f>IF(ISNUMBER(F152),IF(I152&gt;'Parametri 2026'!$B$14,'Parametri 2026'!$B$13,0),"")</f>
        <v/>
      </c>
      <c r="K152" s="42" t="n"/>
      <c r="L152" s="44">
        <f>IF(ISNUMBER(F152),I152+IF(K152="No",0,J152),"")</f>
        <v/>
      </c>
      <c r="M152" s="44">
        <f>IF(ISNUMBER(F152),I152+IF(AND(K152&lt;&gt;"No",Impostazioni!$B$29="Sì"),J152,0),"")</f>
        <v/>
      </c>
      <c r="N152" s="45">
        <f>IF(F152="","",IF(NOT(ISNUMBER(F152)),"Compenso non valido",IF(C152="","Da incassare",IF(NOT(ISNUMBER(C152)),"Data non valida",IF(YEAR(C152)='Parametri 2026'!$B$6,"Incassata","Incassata nel "&amp;YEAR(C152))))))</f>
        <v/>
      </c>
      <c r="O152" s="39" t="n"/>
    </row>
    <row r="153">
      <c r="A153" s="39" t="n"/>
      <c r="B153" s="40" t="n"/>
      <c r="C153" s="40" t="n"/>
      <c r="D153" s="39" t="n"/>
      <c r="E153" s="39" t="n"/>
      <c r="F153" s="41" t="n"/>
      <c r="G153" s="42" t="n"/>
      <c r="H153" s="43">
        <f>IF(ISNUMBER(F153),IF(OR(G153="Sì",G153="Si"),ROUND(F153*'Parametri 2026'!$B$16,2),0),"")</f>
        <v/>
      </c>
      <c r="I153" s="43">
        <f>IF(ISNUMBER(F153),F153+H153,"")</f>
        <v/>
      </c>
      <c r="J153" s="43">
        <f>IF(ISNUMBER(F153),IF(I153&gt;'Parametri 2026'!$B$14,'Parametri 2026'!$B$13,0),"")</f>
        <v/>
      </c>
      <c r="K153" s="42" t="n"/>
      <c r="L153" s="44">
        <f>IF(ISNUMBER(F153),I153+IF(K153="No",0,J153),"")</f>
        <v/>
      </c>
      <c r="M153" s="44">
        <f>IF(ISNUMBER(F153),I153+IF(AND(K153&lt;&gt;"No",Impostazioni!$B$29="Sì"),J153,0),"")</f>
        <v/>
      </c>
      <c r="N153" s="45">
        <f>IF(F153="","",IF(NOT(ISNUMBER(F153)),"Compenso non valido",IF(C153="","Da incassare",IF(NOT(ISNUMBER(C153)),"Data non valida",IF(YEAR(C153)='Parametri 2026'!$B$6,"Incassata","Incassata nel "&amp;YEAR(C153))))))</f>
        <v/>
      </c>
      <c r="O153" s="39" t="n"/>
    </row>
    <row r="154">
      <c r="A154" s="39" t="n"/>
      <c r="B154" s="40" t="n"/>
      <c r="C154" s="40" t="n"/>
      <c r="D154" s="39" t="n"/>
      <c r="E154" s="39" t="n"/>
      <c r="F154" s="41" t="n"/>
      <c r="G154" s="42" t="n"/>
      <c r="H154" s="43">
        <f>IF(ISNUMBER(F154),IF(OR(G154="Sì",G154="Si"),ROUND(F154*'Parametri 2026'!$B$16,2),0),"")</f>
        <v/>
      </c>
      <c r="I154" s="43">
        <f>IF(ISNUMBER(F154),F154+H154,"")</f>
        <v/>
      </c>
      <c r="J154" s="43">
        <f>IF(ISNUMBER(F154),IF(I154&gt;'Parametri 2026'!$B$14,'Parametri 2026'!$B$13,0),"")</f>
        <v/>
      </c>
      <c r="K154" s="42" t="n"/>
      <c r="L154" s="44">
        <f>IF(ISNUMBER(F154),I154+IF(K154="No",0,J154),"")</f>
        <v/>
      </c>
      <c r="M154" s="44">
        <f>IF(ISNUMBER(F154),I154+IF(AND(K154&lt;&gt;"No",Impostazioni!$B$29="Sì"),J154,0),"")</f>
        <v/>
      </c>
      <c r="N154" s="45">
        <f>IF(F154="","",IF(NOT(ISNUMBER(F154)),"Compenso non valido",IF(C154="","Da incassare",IF(NOT(ISNUMBER(C154)),"Data non valida",IF(YEAR(C154)='Parametri 2026'!$B$6,"Incassata","Incassata nel "&amp;YEAR(C154))))))</f>
        <v/>
      </c>
      <c r="O154" s="39" t="n"/>
    </row>
    <row r="155">
      <c r="A155" s="39" t="n"/>
      <c r="B155" s="40" t="n"/>
      <c r="C155" s="40" t="n"/>
      <c r="D155" s="39" t="n"/>
      <c r="E155" s="39" t="n"/>
      <c r="F155" s="41" t="n"/>
      <c r="G155" s="42" t="n"/>
      <c r="H155" s="43">
        <f>IF(ISNUMBER(F155),IF(OR(G155="Sì",G155="Si"),ROUND(F155*'Parametri 2026'!$B$16,2),0),"")</f>
        <v/>
      </c>
      <c r="I155" s="43">
        <f>IF(ISNUMBER(F155),F155+H155,"")</f>
        <v/>
      </c>
      <c r="J155" s="43">
        <f>IF(ISNUMBER(F155),IF(I155&gt;'Parametri 2026'!$B$14,'Parametri 2026'!$B$13,0),"")</f>
        <v/>
      </c>
      <c r="K155" s="42" t="n"/>
      <c r="L155" s="44">
        <f>IF(ISNUMBER(F155),I155+IF(K155="No",0,J155),"")</f>
        <v/>
      </c>
      <c r="M155" s="44">
        <f>IF(ISNUMBER(F155),I155+IF(AND(K155&lt;&gt;"No",Impostazioni!$B$29="Sì"),J155,0),"")</f>
        <v/>
      </c>
      <c r="N155" s="45">
        <f>IF(F155="","",IF(NOT(ISNUMBER(F155)),"Compenso non valido",IF(C155="","Da incassare",IF(NOT(ISNUMBER(C155)),"Data non valida",IF(YEAR(C155)='Parametri 2026'!$B$6,"Incassata","Incassata nel "&amp;YEAR(C155))))))</f>
        <v/>
      </c>
      <c r="O155" s="39" t="n"/>
    </row>
    <row r="156">
      <c r="A156" s="39" t="n"/>
      <c r="B156" s="40" t="n"/>
      <c r="C156" s="40" t="n"/>
      <c r="D156" s="39" t="n"/>
      <c r="E156" s="39" t="n"/>
      <c r="F156" s="41" t="n"/>
      <c r="G156" s="42" t="n"/>
      <c r="H156" s="43">
        <f>IF(ISNUMBER(F156),IF(OR(G156="Sì",G156="Si"),ROUND(F156*'Parametri 2026'!$B$16,2),0),"")</f>
        <v/>
      </c>
      <c r="I156" s="43">
        <f>IF(ISNUMBER(F156),F156+H156,"")</f>
        <v/>
      </c>
      <c r="J156" s="43">
        <f>IF(ISNUMBER(F156),IF(I156&gt;'Parametri 2026'!$B$14,'Parametri 2026'!$B$13,0),"")</f>
        <v/>
      </c>
      <c r="K156" s="42" t="n"/>
      <c r="L156" s="44">
        <f>IF(ISNUMBER(F156),I156+IF(K156="No",0,J156),"")</f>
        <v/>
      </c>
      <c r="M156" s="44">
        <f>IF(ISNUMBER(F156),I156+IF(AND(K156&lt;&gt;"No",Impostazioni!$B$29="Sì"),J156,0),"")</f>
        <v/>
      </c>
      <c r="N156" s="45">
        <f>IF(F156="","",IF(NOT(ISNUMBER(F156)),"Compenso non valido",IF(C156="","Da incassare",IF(NOT(ISNUMBER(C156)),"Data non valida",IF(YEAR(C156)='Parametri 2026'!$B$6,"Incassata","Incassata nel "&amp;YEAR(C156))))))</f>
        <v/>
      </c>
      <c r="O156" s="39" t="n"/>
    </row>
    <row r="157">
      <c r="A157" s="39" t="n"/>
      <c r="B157" s="40" t="n"/>
      <c r="C157" s="40" t="n"/>
      <c r="D157" s="39" t="n"/>
      <c r="E157" s="39" t="n"/>
      <c r="F157" s="41" t="n"/>
      <c r="G157" s="42" t="n"/>
      <c r="H157" s="43">
        <f>IF(ISNUMBER(F157),IF(OR(G157="Sì",G157="Si"),ROUND(F157*'Parametri 2026'!$B$16,2),0),"")</f>
        <v/>
      </c>
      <c r="I157" s="43">
        <f>IF(ISNUMBER(F157),F157+H157,"")</f>
        <v/>
      </c>
      <c r="J157" s="43">
        <f>IF(ISNUMBER(F157),IF(I157&gt;'Parametri 2026'!$B$14,'Parametri 2026'!$B$13,0),"")</f>
        <v/>
      </c>
      <c r="K157" s="42" t="n"/>
      <c r="L157" s="44">
        <f>IF(ISNUMBER(F157),I157+IF(K157="No",0,J157),"")</f>
        <v/>
      </c>
      <c r="M157" s="44">
        <f>IF(ISNUMBER(F157),I157+IF(AND(K157&lt;&gt;"No",Impostazioni!$B$29="Sì"),J157,0),"")</f>
        <v/>
      </c>
      <c r="N157" s="45">
        <f>IF(F157="","",IF(NOT(ISNUMBER(F157)),"Compenso non valido",IF(C157="","Da incassare",IF(NOT(ISNUMBER(C157)),"Data non valida",IF(YEAR(C157)='Parametri 2026'!$B$6,"Incassata","Incassata nel "&amp;YEAR(C157))))))</f>
        <v/>
      </c>
      <c r="O157" s="39" t="n"/>
    </row>
    <row r="158">
      <c r="A158" s="39" t="n"/>
      <c r="B158" s="40" t="n"/>
      <c r="C158" s="40" t="n"/>
      <c r="D158" s="39" t="n"/>
      <c r="E158" s="39" t="n"/>
      <c r="F158" s="41" t="n"/>
      <c r="G158" s="42" t="n"/>
      <c r="H158" s="43">
        <f>IF(ISNUMBER(F158),IF(OR(G158="Sì",G158="Si"),ROUND(F158*'Parametri 2026'!$B$16,2),0),"")</f>
        <v/>
      </c>
      <c r="I158" s="43">
        <f>IF(ISNUMBER(F158),F158+H158,"")</f>
        <v/>
      </c>
      <c r="J158" s="43">
        <f>IF(ISNUMBER(F158),IF(I158&gt;'Parametri 2026'!$B$14,'Parametri 2026'!$B$13,0),"")</f>
        <v/>
      </c>
      <c r="K158" s="42" t="n"/>
      <c r="L158" s="44">
        <f>IF(ISNUMBER(F158),I158+IF(K158="No",0,J158),"")</f>
        <v/>
      </c>
      <c r="M158" s="44">
        <f>IF(ISNUMBER(F158),I158+IF(AND(K158&lt;&gt;"No",Impostazioni!$B$29="Sì"),J158,0),"")</f>
        <v/>
      </c>
      <c r="N158" s="45">
        <f>IF(F158="","",IF(NOT(ISNUMBER(F158)),"Compenso non valido",IF(C158="","Da incassare",IF(NOT(ISNUMBER(C158)),"Data non valida",IF(YEAR(C158)='Parametri 2026'!$B$6,"Incassata","Incassata nel "&amp;YEAR(C158))))))</f>
        <v/>
      </c>
      <c r="O158" s="39" t="n"/>
    </row>
    <row r="159">
      <c r="A159" s="39" t="n"/>
      <c r="B159" s="40" t="n"/>
      <c r="C159" s="40" t="n"/>
      <c r="D159" s="39" t="n"/>
      <c r="E159" s="39" t="n"/>
      <c r="F159" s="41" t="n"/>
      <c r="G159" s="42" t="n"/>
      <c r="H159" s="43">
        <f>IF(ISNUMBER(F159),IF(OR(G159="Sì",G159="Si"),ROUND(F159*'Parametri 2026'!$B$16,2),0),"")</f>
        <v/>
      </c>
      <c r="I159" s="43">
        <f>IF(ISNUMBER(F159),F159+H159,"")</f>
        <v/>
      </c>
      <c r="J159" s="43">
        <f>IF(ISNUMBER(F159),IF(I159&gt;'Parametri 2026'!$B$14,'Parametri 2026'!$B$13,0),"")</f>
        <v/>
      </c>
      <c r="K159" s="42" t="n"/>
      <c r="L159" s="44">
        <f>IF(ISNUMBER(F159),I159+IF(K159="No",0,J159),"")</f>
        <v/>
      </c>
      <c r="M159" s="44">
        <f>IF(ISNUMBER(F159),I159+IF(AND(K159&lt;&gt;"No",Impostazioni!$B$29="Sì"),J159,0),"")</f>
        <v/>
      </c>
      <c r="N159" s="45">
        <f>IF(F159="","",IF(NOT(ISNUMBER(F159)),"Compenso non valido",IF(C159="","Da incassare",IF(NOT(ISNUMBER(C159)),"Data non valida",IF(YEAR(C159)='Parametri 2026'!$B$6,"Incassata","Incassata nel "&amp;YEAR(C159))))))</f>
        <v/>
      </c>
      <c r="O159" s="39" t="n"/>
    </row>
    <row r="160">
      <c r="A160" s="39" t="n"/>
      <c r="B160" s="40" t="n"/>
      <c r="C160" s="40" t="n"/>
      <c r="D160" s="39" t="n"/>
      <c r="E160" s="39" t="n"/>
      <c r="F160" s="41" t="n"/>
      <c r="G160" s="42" t="n"/>
      <c r="H160" s="43">
        <f>IF(ISNUMBER(F160),IF(OR(G160="Sì",G160="Si"),ROUND(F160*'Parametri 2026'!$B$16,2),0),"")</f>
        <v/>
      </c>
      <c r="I160" s="43">
        <f>IF(ISNUMBER(F160),F160+H160,"")</f>
        <v/>
      </c>
      <c r="J160" s="43">
        <f>IF(ISNUMBER(F160),IF(I160&gt;'Parametri 2026'!$B$14,'Parametri 2026'!$B$13,0),"")</f>
        <v/>
      </c>
      <c r="K160" s="42" t="n"/>
      <c r="L160" s="44">
        <f>IF(ISNUMBER(F160),I160+IF(K160="No",0,J160),"")</f>
        <v/>
      </c>
      <c r="M160" s="44">
        <f>IF(ISNUMBER(F160),I160+IF(AND(K160&lt;&gt;"No",Impostazioni!$B$29="Sì"),J160,0),"")</f>
        <v/>
      </c>
      <c r="N160" s="45">
        <f>IF(F160="","",IF(NOT(ISNUMBER(F160)),"Compenso non valido",IF(C160="","Da incassare",IF(NOT(ISNUMBER(C160)),"Data non valida",IF(YEAR(C160)='Parametri 2026'!$B$6,"Incassata","Incassata nel "&amp;YEAR(C160))))))</f>
        <v/>
      </c>
      <c r="O160" s="39" t="n"/>
    </row>
    <row r="161">
      <c r="A161" s="39" t="n"/>
      <c r="B161" s="40" t="n"/>
      <c r="C161" s="40" t="n"/>
      <c r="D161" s="39" t="n"/>
      <c r="E161" s="39" t="n"/>
      <c r="F161" s="41" t="n"/>
      <c r="G161" s="42" t="n"/>
      <c r="H161" s="43">
        <f>IF(ISNUMBER(F161),IF(OR(G161="Sì",G161="Si"),ROUND(F161*'Parametri 2026'!$B$16,2),0),"")</f>
        <v/>
      </c>
      <c r="I161" s="43">
        <f>IF(ISNUMBER(F161),F161+H161,"")</f>
        <v/>
      </c>
      <c r="J161" s="43">
        <f>IF(ISNUMBER(F161),IF(I161&gt;'Parametri 2026'!$B$14,'Parametri 2026'!$B$13,0),"")</f>
        <v/>
      </c>
      <c r="K161" s="42" t="n"/>
      <c r="L161" s="44">
        <f>IF(ISNUMBER(F161),I161+IF(K161="No",0,J161),"")</f>
        <v/>
      </c>
      <c r="M161" s="44">
        <f>IF(ISNUMBER(F161),I161+IF(AND(K161&lt;&gt;"No",Impostazioni!$B$29="Sì"),J161,0),"")</f>
        <v/>
      </c>
      <c r="N161" s="45">
        <f>IF(F161="","",IF(NOT(ISNUMBER(F161)),"Compenso non valido",IF(C161="","Da incassare",IF(NOT(ISNUMBER(C161)),"Data non valida",IF(YEAR(C161)='Parametri 2026'!$B$6,"Incassata","Incassata nel "&amp;YEAR(C161))))))</f>
        <v/>
      </c>
      <c r="O161" s="39" t="n"/>
    </row>
    <row r="162">
      <c r="A162" s="39" t="n"/>
      <c r="B162" s="40" t="n"/>
      <c r="C162" s="40" t="n"/>
      <c r="D162" s="39" t="n"/>
      <c r="E162" s="39" t="n"/>
      <c r="F162" s="41" t="n"/>
      <c r="G162" s="42" t="n"/>
      <c r="H162" s="43">
        <f>IF(ISNUMBER(F162),IF(OR(G162="Sì",G162="Si"),ROUND(F162*'Parametri 2026'!$B$16,2),0),"")</f>
        <v/>
      </c>
      <c r="I162" s="43">
        <f>IF(ISNUMBER(F162),F162+H162,"")</f>
        <v/>
      </c>
      <c r="J162" s="43">
        <f>IF(ISNUMBER(F162),IF(I162&gt;'Parametri 2026'!$B$14,'Parametri 2026'!$B$13,0),"")</f>
        <v/>
      </c>
      <c r="K162" s="42" t="n"/>
      <c r="L162" s="44">
        <f>IF(ISNUMBER(F162),I162+IF(K162="No",0,J162),"")</f>
        <v/>
      </c>
      <c r="M162" s="44">
        <f>IF(ISNUMBER(F162),I162+IF(AND(K162&lt;&gt;"No",Impostazioni!$B$29="Sì"),J162,0),"")</f>
        <v/>
      </c>
      <c r="N162" s="45">
        <f>IF(F162="","",IF(NOT(ISNUMBER(F162)),"Compenso non valido",IF(C162="","Da incassare",IF(NOT(ISNUMBER(C162)),"Data non valida",IF(YEAR(C162)='Parametri 2026'!$B$6,"Incassata","Incassata nel "&amp;YEAR(C162))))))</f>
        <v/>
      </c>
      <c r="O162" s="39" t="n"/>
    </row>
    <row r="163">
      <c r="A163" s="39" t="n"/>
      <c r="B163" s="40" t="n"/>
      <c r="C163" s="40" t="n"/>
      <c r="D163" s="39" t="n"/>
      <c r="E163" s="39" t="n"/>
      <c r="F163" s="41" t="n"/>
      <c r="G163" s="42" t="n"/>
      <c r="H163" s="43">
        <f>IF(ISNUMBER(F163),IF(OR(G163="Sì",G163="Si"),ROUND(F163*'Parametri 2026'!$B$16,2),0),"")</f>
        <v/>
      </c>
      <c r="I163" s="43">
        <f>IF(ISNUMBER(F163),F163+H163,"")</f>
        <v/>
      </c>
      <c r="J163" s="43">
        <f>IF(ISNUMBER(F163),IF(I163&gt;'Parametri 2026'!$B$14,'Parametri 2026'!$B$13,0),"")</f>
        <v/>
      </c>
      <c r="K163" s="42" t="n"/>
      <c r="L163" s="44">
        <f>IF(ISNUMBER(F163),I163+IF(K163="No",0,J163),"")</f>
        <v/>
      </c>
      <c r="M163" s="44">
        <f>IF(ISNUMBER(F163),I163+IF(AND(K163&lt;&gt;"No",Impostazioni!$B$29="Sì"),J163,0),"")</f>
        <v/>
      </c>
      <c r="N163" s="45">
        <f>IF(F163="","",IF(NOT(ISNUMBER(F163)),"Compenso non valido",IF(C163="","Da incassare",IF(NOT(ISNUMBER(C163)),"Data non valida",IF(YEAR(C163)='Parametri 2026'!$B$6,"Incassata","Incassata nel "&amp;YEAR(C163))))))</f>
        <v/>
      </c>
      <c r="O163" s="39" t="n"/>
    </row>
    <row r="164">
      <c r="A164" s="39" t="n"/>
      <c r="B164" s="40" t="n"/>
      <c r="C164" s="40" t="n"/>
      <c r="D164" s="39" t="n"/>
      <c r="E164" s="39" t="n"/>
      <c r="F164" s="41" t="n"/>
      <c r="G164" s="42" t="n"/>
      <c r="H164" s="43">
        <f>IF(ISNUMBER(F164),IF(OR(G164="Sì",G164="Si"),ROUND(F164*'Parametri 2026'!$B$16,2),0),"")</f>
        <v/>
      </c>
      <c r="I164" s="43">
        <f>IF(ISNUMBER(F164),F164+H164,"")</f>
        <v/>
      </c>
      <c r="J164" s="43">
        <f>IF(ISNUMBER(F164),IF(I164&gt;'Parametri 2026'!$B$14,'Parametri 2026'!$B$13,0),"")</f>
        <v/>
      </c>
      <c r="K164" s="42" t="n"/>
      <c r="L164" s="44">
        <f>IF(ISNUMBER(F164),I164+IF(K164="No",0,J164),"")</f>
        <v/>
      </c>
      <c r="M164" s="44">
        <f>IF(ISNUMBER(F164),I164+IF(AND(K164&lt;&gt;"No",Impostazioni!$B$29="Sì"),J164,0),"")</f>
        <v/>
      </c>
      <c r="N164" s="45">
        <f>IF(F164="","",IF(NOT(ISNUMBER(F164)),"Compenso non valido",IF(C164="","Da incassare",IF(NOT(ISNUMBER(C164)),"Data non valida",IF(YEAR(C164)='Parametri 2026'!$B$6,"Incassata","Incassata nel "&amp;YEAR(C164))))))</f>
        <v/>
      </c>
      <c r="O164" s="39" t="n"/>
    </row>
    <row r="165">
      <c r="A165" s="39" t="n"/>
      <c r="B165" s="40" t="n"/>
      <c r="C165" s="40" t="n"/>
      <c r="D165" s="39" t="n"/>
      <c r="E165" s="39" t="n"/>
      <c r="F165" s="41" t="n"/>
      <c r="G165" s="42" t="n"/>
      <c r="H165" s="43">
        <f>IF(ISNUMBER(F165),IF(OR(G165="Sì",G165="Si"),ROUND(F165*'Parametri 2026'!$B$16,2),0),"")</f>
        <v/>
      </c>
      <c r="I165" s="43">
        <f>IF(ISNUMBER(F165),F165+H165,"")</f>
        <v/>
      </c>
      <c r="J165" s="43">
        <f>IF(ISNUMBER(F165),IF(I165&gt;'Parametri 2026'!$B$14,'Parametri 2026'!$B$13,0),"")</f>
        <v/>
      </c>
      <c r="K165" s="42" t="n"/>
      <c r="L165" s="44">
        <f>IF(ISNUMBER(F165),I165+IF(K165="No",0,J165),"")</f>
        <v/>
      </c>
      <c r="M165" s="44">
        <f>IF(ISNUMBER(F165),I165+IF(AND(K165&lt;&gt;"No",Impostazioni!$B$29="Sì"),J165,0),"")</f>
        <v/>
      </c>
      <c r="N165" s="45">
        <f>IF(F165="","",IF(NOT(ISNUMBER(F165)),"Compenso non valido",IF(C165="","Da incassare",IF(NOT(ISNUMBER(C165)),"Data non valida",IF(YEAR(C165)='Parametri 2026'!$B$6,"Incassata","Incassata nel "&amp;YEAR(C165))))))</f>
        <v/>
      </c>
      <c r="O165" s="39" t="n"/>
    </row>
    <row r="166">
      <c r="A166" s="39" t="n"/>
      <c r="B166" s="40" t="n"/>
      <c r="C166" s="40" t="n"/>
      <c r="D166" s="39" t="n"/>
      <c r="E166" s="39" t="n"/>
      <c r="F166" s="41" t="n"/>
      <c r="G166" s="42" t="n"/>
      <c r="H166" s="43">
        <f>IF(ISNUMBER(F166),IF(OR(G166="Sì",G166="Si"),ROUND(F166*'Parametri 2026'!$B$16,2),0),"")</f>
        <v/>
      </c>
      <c r="I166" s="43">
        <f>IF(ISNUMBER(F166),F166+H166,"")</f>
        <v/>
      </c>
      <c r="J166" s="43">
        <f>IF(ISNUMBER(F166),IF(I166&gt;'Parametri 2026'!$B$14,'Parametri 2026'!$B$13,0),"")</f>
        <v/>
      </c>
      <c r="K166" s="42" t="n"/>
      <c r="L166" s="44">
        <f>IF(ISNUMBER(F166),I166+IF(K166="No",0,J166),"")</f>
        <v/>
      </c>
      <c r="M166" s="44">
        <f>IF(ISNUMBER(F166),I166+IF(AND(K166&lt;&gt;"No",Impostazioni!$B$29="Sì"),J166,0),"")</f>
        <v/>
      </c>
      <c r="N166" s="45">
        <f>IF(F166="","",IF(NOT(ISNUMBER(F166)),"Compenso non valido",IF(C166="","Da incassare",IF(NOT(ISNUMBER(C166)),"Data non valida",IF(YEAR(C166)='Parametri 2026'!$B$6,"Incassata","Incassata nel "&amp;YEAR(C166))))))</f>
        <v/>
      </c>
      <c r="O166" s="39" t="n"/>
    </row>
    <row r="167">
      <c r="A167" s="39" t="n"/>
      <c r="B167" s="40" t="n"/>
      <c r="C167" s="40" t="n"/>
      <c r="D167" s="39" t="n"/>
      <c r="E167" s="39" t="n"/>
      <c r="F167" s="41" t="n"/>
      <c r="G167" s="42" t="n"/>
      <c r="H167" s="43">
        <f>IF(ISNUMBER(F167),IF(OR(G167="Sì",G167="Si"),ROUND(F167*'Parametri 2026'!$B$16,2),0),"")</f>
        <v/>
      </c>
      <c r="I167" s="43">
        <f>IF(ISNUMBER(F167),F167+H167,"")</f>
        <v/>
      </c>
      <c r="J167" s="43">
        <f>IF(ISNUMBER(F167),IF(I167&gt;'Parametri 2026'!$B$14,'Parametri 2026'!$B$13,0),"")</f>
        <v/>
      </c>
      <c r="K167" s="42" t="n"/>
      <c r="L167" s="44">
        <f>IF(ISNUMBER(F167),I167+IF(K167="No",0,J167),"")</f>
        <v/>
      </c>
      <c r="M167" s="44">
        <f>IF(ISNUMBER(F167),I167+IF(AND(K167&lt;&gt;"No",Impostazioni!$B$29="Sì"),J167,0),"")</f>
        <v/>
      </c>
      <c r="N167" s="45">
        <f>IF(F167="","",IF(NOT(ISNUMBER(F167)),"Compenso non valido",IF(C167="","Da incassare",IF(NOT(ISNUMBER(C167)),"Data non valida",IF(YEAR(C167)='Parametri 2026'!$B$6,"Incassata","Incassata nel "&amp;YEAR(C167))))))</f>
        <v/>
      </c>
      <c r="O167" s="39" t="n"/>
    </row>
    <row r="168">
      <c r="A168" s="39" t="n"/>
      <c r="B168" s="40" t="n"/>
      <c r="C168" s="40" t="n"/>
      <c r="D168" s="39" t="n"/>
      <c r="E168" s="39" t="n"/>
      <c r="F168" s="41" t="n"/>
      <c r="G168" s="42" t="n"/>
      <c r="H168" s="43">
        <f>IF(ISNUMBER(F168),IF(OR(G168="Sì",G168="Si"),ROUND(F168*'Parametri 2026'!$B$16,2),0),"")</f>
        <v/>
      </c>
      <c r="I168" s="43">
        <f>IF(ISNUMBER(F168),F168+H168,"")</f>
        <v/>
      </c>
      <c r="J168" s="43">
        <f>IF(ISNUMBER(F168),IF(I168&gt;'Parametri 2026'!$B$14,'Parametri 2026'!$B$13,0),"")</f>
        <v/>
      </c>
      <c r="K168" s="42" t="n"/>
      <c r="L168" s="44">
        <f>IF(ISNUMBER(F168),I168+IF(K168="No",0,J168),"")</f>
        <v/>
      </c>
      <c r="M168" s="44">
        <f>IF(ISNUMBER(F168),I168+IF(AND(K168&lt;&gt;"No",Impostazioni!$B$29="Sì"),J168,0),"")</f>
        <v/>
      </c>
      <c r="N168" s="45">
        <f>IF(F168="","",IF(NOT(ISNUMBER(F168)),"Compenso non valido",IF(C168="","Da incassare",IF(NOT(ISNUMBER(C168)),"Data non valida",IF(YEAR(C168)='Parametri 2026'!$B$6,"Incassata","Incassata nel "&amp;YEAR(C168))))))</f>
        <v/>
      </c>
      <c r="O168" s="39" t="n"/>
    </row>
    <row r="169">
      <c r="A169" s="39" t="n"/>
      <c r="B169" s="40" t="n"/>
      <c r="C169" s="40" t="n"/>
      <c r="D169" s="39" t="n"/>
      <c r="E169" s="39" t="n"/>
      <c r="F169" s="41" t="n"/>
      <c r="G169" s="42" t="n"/>
      <c r="H169" s="43">
        <f>IF(ISNUMBER(F169),IF(OR(G169="Sì",G169="Si"),ROUND(F169*'Parametri 2026'!$B$16,2),0),"")</f>
        <v/>
      </c>
      <c r="I169" s="43">
        <f>IF(ISNUMBER(F169),F169+H169,"")</f>
        <v/>
      </c>
      <c r="J169" s="43">
        <f>IF(ISNUMBER(F169),IF(I169&gt;'Parametri 2026'!$B$14,'Parametri 2026'!$B$13,0),"")</f>
        <v/>
      </c>
      <c r="K169" s="42" t="n"/>
      <c r="L169" s="44">
        <f>IF(ISNUMBER(F169),I169+IF(K169="No",0,J169),"")</f>
        <v/>
      </c>
      <c r="M169" s="44">
        <f>IF(ISNUMBER(F169),I169+IF(AND(K169&lt;&gt;"No",Impostazioni!$B$29="Sì"),J169,0),"")</f>
        <v/>
      </c>
      <c r="N169" s="45">
        <f>IF(F169="","",IF(NOT(ISNUMBER(F169)),"Compenso non valido",IF(C169="","Da incassare",IF(NOT(ISNUMBER(C169)),"Data non valida",IF(YEAR(C169)='Parametri 2026'!$B$6,"Incassata","Incassata nel "&amp;YEAR(C169))))))</f>
        <v/>
      </c>
      <c r="O169" s="39" t="n"/>
    </row>
    <row r="170">
      <c r="A170" s="39" t="n"/>
      <c r="B170" s="40" t="n"/>
      <c r="C170" s="40" t="n"/>
      <c r="D170" s="39" t="n"/>
      <c r="E170" s="39" t="n"/>
      <c r="F170" s="41" t="n"/>
      <c r="G170" s="42" t="n"/>
      <c r="H170" s="43">
        <f>IF(ISNUMBER(F170),IF(OR(G170="Sì",G170="Si"),ROUND(F170*'Parametri 2026'!$B$16,2),0),"")</f>
        <v/>
      </c>
      <c r="I170" s="43">
        <f>IF(ISNUMBER(F170),F170+H170,"")</f>
        <v/>
      </c>
      <c r="J170" s="43">
        <f>IF(ISNUMBER(F170),IF(I170&gt;'Parametri 2026'!$B$14,'Parametri 2026'!$B$13,0),"")</f>
        <v/>
      </c>
      <c r="K170" s="42" t="n"/>
      <c r="L170" s="44">
        <f>IF(ISNUMBER(F170),I170+IF(K170="No",0,J170),"")</f>
        <v/>
      </c>
      <c r="M170" s="44">
        <f>IF(ISNUMBER(F170),I170+IF(AND(K170&lt;&gt;"No",Impostazioni!$B$29="Sì"),J170,0),"")</f>
        <v/>
      </c>
      <c r="N170" s="45">
        <f>IF(F170="","",IF(NOT(ISNUMBER(F170)),"Compenso non valido",IF(C170="","Da incassare",IF(NOT(ISNUMBER(C170)),"Data non valida",IF(YEAR(C170)='Parametri 2026'!$B$6,"Incassata","Incassata nel "&amp;YEAR(C170))))))</f>
        <v/>
      </c>
      <c r="O170" s="39" t="n"/>
    </row>
    <row r="171">
      <c r="A171" s="39" t="n"/>
      <c r="B171" s="40" t="n"/>
      <c r="C171" s="40" t="n"/>
      <c r="D171" s="39" t="n"/>
      <c r="E171" s="39" t="n"/>
      <c r="F171" s="41" t="n"/>
      <c r="G171" s="42" t="n"/>
      <c r="H171" s="43">
        <f>IF(ISNUMBER(F171),IF(OR(G171="Sì",G171="Si"),ROUND(F171*'Parametri 2026'!$B$16,2),0),"")</f>
        <v/>
      </c>
      <c r="I171" s="43">
        <f>IF(ISNUMBER(F171),F171+H171,"")</f>
        <v/>
      </c>
      <c r="J171" s="43">
        <f>IF(ISNUMBER(F171),IF(I171&gt;'Parametri 2026'!$B$14,'Parametri 2026'!$B$13,0),"")</f>
        <v/>
      </c>
      <c r="K171" s="42" t="n"/>
      <c r="L171" s="44">
        <f>IF(ISNUMBER(F171),I171+IF(K171="No",0,J171),"")</f>
        <v/>
      </c>
      <c r="M171" s="44">
        <f>IF(ISNUMBER(F171),I171+IF(AND(K171&lt;&gt;"No",Impostazioni!$B$29="Sì"),J171,0),"")</f>
        <v/>
      </c>
      <c r="N171" s="45">
        <f>IF(F171="","",IF(NOT(ISNUMBER(F171)),"Compenso non valido",IF(C171="","Da incassare",IF(NOT(ISNUMBER(C171)),"Data non valida",IF(YEAR(C171)='Parametri 2026'!$B$6,"Incassata","Incassata nel "&amp;YEAR(C171))))))</f>
        <v/>
      </c>
      <c r="O171" s="39" t="n"/>
    </row>
    <row r="172">
      <c r="A172" s="39" t="n"/>
      <c r="B172" s="40" t="n"/>
      <c r="C172" s="40" t="n"/>
      <c r="D172" s="39" t="n"/>
      <c r="E172" s="39" t="n"/>
      <c r="F172" s="41" t="n"/>
      <c r="G172" s="42" t="n"/>
      <c r="H172" s="43">
        <f>IF(ISNUMBER(F172),IF(OR(G172="Sì",G172="Si"),ROUND(F172*'Parametri 2026'!$B$16,2),0),"")</f>
        <v/>
      </c>
      <c r="I172" s="43">
        <f>IF(ISNUMBER(F172),F172+H172,"")</f>
        <v/>
      </c>
      <c r="J172" s="43">
        <f>IF(ISNUMBER(F172),IF(I172&gt;'Parametri 2026'!$B$14,'Parametri 2026'!$B$13,0),"")</f>
        <v/>
      </c>
      <c r="K172" s="42" t="n"/>
      <c r="L172" s="44">
        <f>IF(ISNUMBER(F172),I172+IF(K172="No",0,J172),"")</f>
        <v/>
      </c>
      <c r="M172" s="44">
        <f>IF(ISNUMBER(F172),I172+IF(AND(K172&lt;&gt;"No",Impostazioni!$B$29="Sì"),J172,0),"")</f>
        <v/>
      </c>
      <c r="N172" s="45">
        <f>IF(F172="","",IF(NOT(ISNUMBER(F172)),"Compenso non valido",IF(C172="","Da incassare",IF(NOT(ISNUMBER(C172)),"Data non valida",IF(YEAR(C172)='Parametri 2026'!$B$6,"Incassata","Incassata nel "&amp;YEAR(C172))))))</f>
        <v/>
      </c>
      <c r="O172" s="39" t="n"/>
    </row>
    <row r="173">
      <c r="A173" s="39" t="n"/>
      <c r="B173" s="40" t="n"/>
      <c r="C173" s="40" t="n"/>
      <c r="D173" s="39" t="n"/>
      <c r="E173" s="39" t="n"/>
      <c r="F173" s="41" t="n"/>
      <c r="G173" s="42" t="n"/>
      <c r="H173" s="43">
        <f>IF(ISNUMBER(F173),IF(OR(G173="Sì",G173="Si"),ROUND(F173*'Parametri 2026'!$B$16,2),0),"")</f>
        <v/>
      </c>
      <c r="I173" s="43">
        <f>IF(ISNUMBER(F173),F173+H173,"")</f>
        <v/>
      </c>
      <c r="J173" s="43">
        <f>IF(ISNUMBER(F173),IF(I173&gt;'Parametri 2026'!$B$14,'Parametri 2026'!$B$13,0),"")</f>
        <v/>
      </c>
      <c r="K173" s="42" t="n"/>
      <c r="L173" s="44">
        <f>IF(ISNUMBER(F173),I173+IF(K173="No",0,J173),"")</f>
        <v/>
      </c>
      <c r="M173" s="44">
        <f>IF(ISNUMBER(F173),I173+IF(AND(K173&lt;&gt;"No",Impostazioni!$B$29="Sì"),J173,0),"")</f>
        <v/>
      </c>
      <c r="N173" s="45">
        <f>IF(F173="","",IF(NOT(ISNUMBER(F173)),"Compenso non valido",IF(C173="","Da incassare",IF(NOT(ISNUMBER(C173)),"Data non valida",IF(YEAR(C173)='Parametri 2026'!$B$6,"Incassata","Incassata nel "&amp;YEAR(C173))))))</f>
        <v/>
      </c>
      <c r="O173" s="39" t="n"/>
    </row>
    <row r="174">
      <c r="A174" s="39" t="n"/>
      <c r="B174" s="40" t="n"/>
      <c r="C174" s="40" t="n"/>
      <c r="D174" s="39" t="n"/>
      <c r="E174" s="39" t="n"/>
      <c r="F174" s="41" t="n"/>
      <c r="G174" s="42" t="n"/>
      <c r="H174" s="43">
        <f>IF(ISNUMBER(F174),IF(OR(G174="Sì",G174="Si"),ROUND(F174*'Parametri 2026'!$B$16,2),0),"")</f>
        <v/>
      </c>
      <c r="I174" s="43">
        <f>IF(ISNUMBER(F174),F174+H174,"")</f>
        <v/>
      </c>
      <c r="J174" s="43">
        <f>IF(ISNUMBER(F174),IF(I174&gt;'Parametri 2026'!$B$14,'Parametri 2026'!$B$13,0),"")</f>
        <v/>
      </c>
      <c r="K174" s="42" t="n"/>
      <c r="L174" s="44">
        <f>IF(ISNUMBER(F174),I174+IF(K174="No",0,J174),"")</f>
        <v/>
      </c>
      <c r="M174" s="44">
        <f>IF(ISNUMBER(F174),I174+IF(AND(K174&lt;&gt;"No",Impostazioni!$B$29="Sì"),J174,0),"")</f>
        <v/>
      </c>
      <c r="N174" s="45">
        <f>IF(F174="","",IF(NOT(ISNUMBER(F174)),"Compenso non valido",IF(C174="","Da incassare",IF(NOT(ISNUMBER(C174)),"Data non valida",IF(YEAR(C174)='Parametri 2026'!$B$6,"Incassata","Incassata nel "&amp;YEAR(C174))))))</f>
        <v/>
      </c>
      <c r="O174" s="39" t="n"/>
    </row>
    <row r="175">
      <c r="A175" s="39" t="n"/>
      <c r="B175" s="40" t="n"/>
      <c r="C175" s="40" t="n"/>
      <c r="D175" s="39" t="n"/>
      <c r="E175" s="39" t="n"/>
      <c r="F175" s="41" t="n"/>
      <c r="G175" s="42" t="n"/>
      <c r="H175" s="43">
        <f>IF(ISNUMBER(F175),IF(OR(G175="Sì",G175="Si"),ROUND(F175*'Parametri 2026'!$B$16,2),0),"")</f>
        <v/>
      </c>
      <c r="I175" s="43">
        <f>IF(ISNUMBER(F175),F175+H175,"")</f>
        <v/>
      </c>
      <c r="J175" s="43">
        <f>IF(ISNUMBER(F175),IF(I175&gt;'Parametri 2026'!$B$14,'Parametri 2026'!$B$13,0),"")</f>
        <v/>
      </c>
      <c r="K175" s="42" t="n"/>
      <c r="L175" s="44">
        <f>IF(ISNUMBER(F175),I175+IF(K175="No",0,J175),"")</f>
        <v/>
      </c>
      <c r="M175" s="44">
        <f>IF(ISNUMBER(F175),I175+IF(AND(K175&lt;&gt;"No",Impostazioni!$B$29="Sì"),J175,0),"")</f>
        <v/>
      </c>
      <c r="N175" s="45">
        <f>IF(F175="","",IF(NOT(ISNUMBER(F175)),"Compenso non valido",IF(C175="","Da incassare",IF(NOT(ISNUMBER(C175)),"Data non valida",IF(YEAR(C175)='Parametri 2026'!$B$6,"Incassata","Incassata nel "&amp;YEAR(C175))))))</f>
        <v/>
      </c>
      <c r="O175" s="39" t="n"/>
    </row>
    <row r="176">
      <c r="A176" s="39" t="n"/>
      <c r="B176" s="40" t="n"/>
      <c r="C176" s="40" t="n"/>
      <c r="D176" s="39" t="n"/>
      <c r="E176" s="39" t="n"/>
      <c r="F176" s="41" t="n"/>
      <c r="G176" s="42" t="n"/>
      <c r="H176" s="43">
        <f>IF(ISNUMBER(F176),IF(OR(G176="Sì",G176="Si"),ROUND(F176*'Parametri 2026'!$B$16,2),0),"")</f>
        <v/>
      </c>
      <c r="I176" s="43">
        <f>IF(ISNUMBER(F176),F176+H176,"")</f>
        <v/>
      </c>
      <c r="J176" s="43">
        <f>IF(ISNUMBER(F176),IF(I176&gt;'Parametri 2026'!$B$14,'Parametri 2026'!$B$13,0),"")</f>
        <v/>
      </c>
      <c r="K176" s="42" t="n"/>
      <c r="L176" s="44">
        <f>IF(ISNUMBER(F176),I176+IF(K176="No",0,J176),"")</f>
        <v/>
      </c>
      <c r="M176" s="44">
        <f>IF(ISNUMBER(F176),I176+IF(AND(K176&lt;&gt;"No",Impostazioni!$B$29="Sì"),J176,0),"")</f>
        <v/>
      </c>
      <c r="N176" s="45">
        <f>IF(F176="","",IF(NOT(ISNUMBER(F176)),"Compenso non valido",IF(C176="","Da incassare",IF(NOT(ISNUMBER(C176)),"Data non valida",IF(YEAR(C176)='Parametri 2026'!$B$6,"Incassata","Incassata nel "&amp;YEAR(C176))))))</f>
        <v/>
      </c>
      <c r="O176" s="39" t="n"/>
    </row>
    <row r="177">
      <c r="A177" s="39" t="n"/>
      <c r="B177" s="40" t="n"/>
      <c r="C177" s="40" t="n"/>
      <c r="D177" s="39" t="n"/>
      <c r="E177" s="39" t="n"/>
      <c r="F177" s="41" t="n"/>
      <c r="G177" s="42" t="n"/>
      <c r="H177" s="43">
        <f>IF(ISNUMBER(F177),IF(OR(G177="Sì",G177="Si"),ROUND(F177*'Parametri 2026'!$B$16,2),0),"")</f>
        <v/>
      </c>
      <c r="I177" s="43">
        <f>IF(ISNUMBER(F177),F177+H177,"")</f>
        <v/>
      </c>
      <c r="J177" s="43">
        <f>IF(ISNUMBER(F177),IF(I177&gt;'Parametri 2026'!$B$14,'Parametri 2026'!$B$13,0),"")</f>
        <v/>
      </c>
      <c r="K177" s="42" t="n"/>
      <c r="L177" s="44">
        <f>IF(ISNUMBER(F177),I177+IF(K177="No",0,J177),"")</f>
        <v/>
      </c>
      <c r="M177" s="44">
        <f>IF(ISNUMBER(F177),I177+IF(AND(K177&lt;&gt;"No",Impostazioni!$B$29="Sì"),J177,0),"")</f>
        <v/>
      </c>
      <c r="N177" s="45">
        <f>IF(F177="","",IF(NOT(ISNUMBER(F177)),"Compenso non valido",IF(C177="","Da incassare",IF(NOT(ISNUMBER(C177)),"Data non valida",IF(YEAR(C177)='Parametri 2026'!$B$6,"Incassata","Incassata nel "&amp;YEAR(C177))))))</f>
        <v/>
      </c>
      <c r="O177" s="39" t="n"/>
    </row>
    <row r="178">
      <c r="A178" s="39" t="n"/>
      <c r="B178" s="40" t="n"/>
      <c r="C178" s="40" t="n"/>
      <c r="D178" s="39" t="n"/>
      <c r="E178" s="39" t="n"/>
      <c r="F178" s="41" t="n"/>
      <c r="G178" s="42" t="n"/>
      <c r="H178" s="43">
        <f>IF(ISNUMBER(F178),IF(OR(G178="Sì",G178="Si"),ROUND(F178*'Parametri 2026'!$B$16,2),0),"")</f>
        <v/>
      </c>
      <c r="I178" s="43">
        <f>IF(ISNUMBER(F178),F178+H178,"")</f>
        <v/>
      </c>
      <c r="J178" s="43">
        <f>IF(ISNUMBER(F178),IF(I178&gt;'Parametri 2026'!$B$14,'Parametri 2026'!$B$13,0),"")</f>
        <v/>
      </c>
      <c r="K178" s="42" t="n"/>
      <c r="L178" s="44">
        <f>IF(ISNUMBER(F178),I178+IF(K178="No",0,J178),"")</f>
        <v/>
      </c>
      <c r="M178" s="44">
        <f>IF(ISNUMBER(F178),I178+IF(AND(K178&lt;&gt;"No",Impostazioni!$B$29="Sì"),J178,0),"")</f>
        <v/>
      </c>
      <c r="N178" s="45">
        <f>IF(F178="","",IF(NOT(ISNUMBER(F178)),"Compenso non valido",IF(C178="","Da incassare",IF(NOT(ISNUMBER(C178)),"Data non valida",IF(YEAR(C178)='Parametri 2026'!$B$6,"Incassata","Incassata nel "&amp;YEAR(C178))))))</f>
        <v/>
      </c>
      <c r="O178" s="39" t="n"/>
    </row>
    <row r="179">
      <c r="A179" s="39" t="n"/>
      <c r="B179" s="40" t="n"/>
      <c r="C179" s="40" t="n"/>
      <c r="D179" s="39" t="n"/>
      <c r="E179" s="39" t="n"/>
      <c r="F179" s="41" t="n"/>
      <c r="G179" s="42" t="n"/>
      <c r="H179" s="43">
        <f>IF(ISNUMBER(F179),IF(OR(G179="Sì",G179="Si"),ROUND(F179*'Parametri 2026'!$B$16,2),0),"")</f>
        <v/>
      </c>
      <c r="I179" s="43">
        <f>IF(ISNUMBER(F179),F179+H179,"")</f>
        <v/>
      </c>
      <c r="J179" s="43">
        <f>IF(ISNUMBER(F179),IF(I179&gt;'Parametri 2026'!$B$14,'Parametri 2026'!$B$13,0),"")</f>
        <v/>
      </c>
      <c r="K179" s="42" t="n"/>
      <c r="L179" s="44">
        <f>IF(ISNUMBER(F179),I179+IF(K179="No",0,J179),"")</f>
        <v/>
      </c>
      <c r="M179" s="44">
        <f>IF(ISNUMBER(F179),I179+IF(AND(K179&lt;&gt;"No",Impostazioni!$B$29="Sì"),J179,0),"")</f>
        <v/>
      </c>
      <c r="N179" s="45">
        <f>IF(F179="","",IF(NOT(ISNUMBER(F179)),"Compenso non valido",IF(C179="","Da incassare",IF(NOT(ISNUMBER(C179)),"Data non valida",IF(YEAR(C179)='Parametri 2026'!$B$6,"Incassata","Incassata nel "&amp;YEAR(C179))))))</f>
        <v/>
      </c>
      <c r="O179" s="39" t="n"/>
    </row>
    <row r="180">
      <c r="A180" s="39" t="n"/>
      <c r="B180" s="40" t="n"/>
      <c r="C180" s="40" t="n"/>
      <c r="D180" s="39" t="n"/>
      <c r="E180" s="39" t="n"/>
      <c r="F180" s="41" t="n"/>
      <c r="G180" s="42" t="n"/>
      <c r="H180" s="43">
        <f>IF(ISNUMBER(F180),IF(OR(G180="Sì",G180="Si"),ROUND(F180*'Parametri 2026'!$B$16,2),0),"")</f>
        <v/>
      </c>
      <c r="I180" s="43">
        <f>IF(ISNUMBER(F180),F180+H180,"")</f>
        <v/>
      </c>
      <c r="J180" s="43">
        <f>IF(ISNUMBER(F180),IF(I180&gt;'Parametri 2026'!$B$14,'Parametri 2026'!$B$13,0),"")</f>
        <v/>
      </c>
      <c r="K180" s="42" t="n"/>
      <c r="L180" s="44">
        <f>IF(ISNUMBER(F180),I180+IF(K180="No",0,J180),"")</f>
        <v/>
      </c>
      <c r="M180" s="44">
        <f>IF(ISNUMBER(F180),I180+IF(AND(K180&lt;&gt;"No",Impostazioni!$B$29="Sì"),J180,0),"")</f>
        <v/>
      </c>
      <c r="N180" s="45">
        <f>IF(F180="","",IF(NOT(ISNUMBER(F180)),"Compenso non valido",IF(C180="","Da incassare",IF(NOT(ISNUMBER(C180)),"Data non valida",IF(YEAR(C180)='Parametri 2026'!$B$6,"Incassata","Incassata nel "&amp;YEAR(C180))))))</f>
        <v/>
      </c>
      <c r="O180" s="39" t="n"/>
    </row>
    <row r="181">
      <c r="A181" s="39" t="n"/>
      <c r="B181" s="40" t="n"/>
      <c r="C181" s="40" t="n"/>
      <c r="D181" s="39" t="n"/>
      <c r="E181" s="39" t="n"/>
      <c r="F181" s="41" t="n"/>
      <c r="G181" s="42" t="n"/>
      <c r="H181" s="43">
        <f>IF(ISNUMBER(F181),IF(OR(G181="Sì",G181="Si"),ROUND(F181*'Parametri 2026'!$B$16,2),0),"")</f>
        <v/>
      </c>
      <c r="I181" s="43">
        <f>IF(ISNUMBER(F181),F181+H181,"")</f>
        <v/>
      </c>
      <c r="J181" s="43">
        <f>IF(ISNUMBER(F181),IF(I181&gt;'Parametri 2026'!$B$14,'Parametri 2026'!$B$13,0),"")</f>
        <v/>
      </c>
      <c r="K181" s="42" t="n"/>
      <c r="L181" s="44">
        <f>IF(ISNUMBER(F181),I181+IF(K181="No",0,J181),"")</f>
        <v/>
      </c>
      <c r="M181" s="44">
        <f>IF(ISNUMBER(F181),I181+IF(AND(K181&lt;&gt;"No",Impostazioni!$B$29="Sì"),J181,0),"")</f>
        <v/>
      </c>
      <c r="N181" s="45">
        <f>IF(F181="","",IF(NOT(ISNUMBER(F181)),"Compenso non valido",IF(C181="","Da incassare",IF(NOT(ISNUMBER(C181)),"Data non valida",IF(YEAR(C181)='Parametri 2026'!$B$6,"Incassata","Incassata nel "&amp;YEAR(C181))))))</f>
        <v/>
      </c>
      <c r="O181" s="39" t="n"/>
    </row>
    <row r="182">
      <c r="A182" s="39" t="n"/>
      <c r="B182" s="40" t="n"/>
      <c r="C182" s="40" t="n"/>
      <c r="D182" s="39" t="n"/>
      <c r="E182" s="39" t="n"/>
      <c r="F182" s="41" t="n"/>
      <c r="G182" s="42" t="n"/>
      <c r="H182" s="43">
        <f>IF(ISNUMBER(F182),IF(OR(G182="Sì",G182="Si"),ROUND(F182*'Parametri 2026'!$B$16,2),0),"")</f>
        <v/>
      </c>
      <c r="I182" s="43">
        <f>IF(ISNUMBER(F182),F182+H182,"")</f>
        <v/>
      </c>
      <c r="J182" s="43">
        <f>IF(ISNUMBER(F182),IF(I182&gt;'Parametri 2026'!$B$14,'Parametri 2026'!$B$13,0),"")</f>
        <v/>
      </c>
      <c r="K182" s="42" t="n"/>
      <c r="L182" s="44">
        <f>IF(ISNUMBER(F182),I182+IF(K182="No",0,J182),"")</f>
        <v/>
      </c>
      <c r="M182" s="44">
        <f>IF(ISNUMBER(F182),I182+IF(AND(K182&lt;&gt;"No",Impostazioni!$B$29="Sì"),J182,0),"")</f>
        <v/>
      </c>
      <c r="N182" s="45">
        <f>IF(F182="","",IF(NOT(ISNUMBER(F182)),"Compenso non valido",IF(C182="","Da incassare",IF(NOT(ISNUMBER(C182)),"Data non valida",IF(YEAR(C182)='Parametri 2026'!$B$6,"Incassata","Incassata nel "&amp;YEAR(C182))))))</f>
        <v/>
      </c>
      <c r="O182" s="39" t="n"/>
    </row>
    <row r="183">
      <c r="A183" s="39" t="n"/>
      <c r="B183" s="40" t="n"/>
      <c r="C183" s="40" t="n"/>
      <c r="D183" s="39" t="n"/>
      <c r="E183" s="39" t="n"/>
      <c r="F183" s="41" t="n"/>
      <c r="G183" s="42" t="n"/>
      <c r="H183" s="43">
        <f>IF(ISNUMBER(F183),IF(OR(G183="Sì",G183="Si"),ROUND(F183*'Parametri 2026'!$B$16,2),0),"")</f>
        <v/>
      </c>
      <c r="I183" s="43">
        <f>IF(ISNUMBER(F183),F183+H183,"")</f>
        <v/>
      </c>
      <c r="J183" s="43">
        <f>IF(ISNUMBER(F183),IF(I183&gt;'Parametri 2026'!$B$14,'Parametri 2026'!$B$13,0),"")</f>
        <v/>
      </c>
      <c r="K183" s="42" t="n"/>
      <c r="L183" s="44">
        <f>IF(ISNUMBER(F183),I183+IF(K183="No",0,J183),"")</f>
        <v/>
      </c>
      <c r="M183" s="44">
        <f>IF(ISNUMBER(F183),I183+IF(AND(K183&lt;&gt;"No",Impostazioni!$B$29="Sì"),J183,0),"")</f>
        <v/>
      </c>
      <c r="N183" s="45">
        <f>IF(F183="","",IF(NOT(ISNUMBER(F183)),"Compenso non valido",IF(C183="","Da incassare",IF(NOT(ISNUMBER(C183)),"Data non valida",IF(YEAR(C183)='Parametri 2026'!$B$6,"Incassata","Incassata nel "&amp;YEAR(C183))))))</f>
        <v/>
      </c>
      <c r="O183" s="39" t="n"/>
    </row>
    <row r="184">
      <c r="A184" s="39" t="n"/>
      <c r="B184" s="40" t="n"/>
      <c r="C184" s="40" t="n"/>
      <c r="D184" s="39" t="n"/>
      <c r="E184" s="39" t="n"/>
      <c r="F184" s="41" t="n"/>
      <c r="G184" s="42" t="n"/>
      <c r="H184" s="43">
        <f>IF(ISNUMBER(F184),IF(OR(G184="Sì",G184="Si"),ROUND(F184*'Parametri 2026'!$B$16,2),0),"")</f>
        <v/>
      </c>
      <c r="I184" s="43">
        <f>IF(ISNUMBER(F184),F184+H184,"")</f>
        <v/>
      </c>
      <c r="J184" s="43">
        <f>IF(ISNUMBER(F184),IF(I184&gt;'Parametri 2026'!$B$14,'Parametri 2026'!$B$13,0),"")</f>
        <v/>
      </c>
      <c r="K184" s="42" t="n"/>
      <c r="L184" s="44">
        <f>IF(ISNUMBER(F184),I184+IF(K184="No",0,J184),"")</f>
        <v/>
      </c>
      <c r="M184" s="44">
        <f>IF(ISNUMBER(F184),I184+IF(AND(K184&lt;&gt;"No",Impostazioni!$B$29="Sì"),J184,0),"")</f>
        <v/>
      </c>
      <c r="N184" s="45">
        <f>IF(F184="","",IF(NOT(ISNUMBER(F184)),"Compenso non valido",IF(C184="","Da incassare",IF(NOT(ISNUMBER(C184)),"Data non valida",IF(YEAR(C184)='Parametri 2026'!$B$6,"Incassata","Incassata nel "&amp;YEAR(C184))))))</f>
        <v/>
      </c>
      <c r="O184" s="39" t="n"/>
    </row>
    <row r="185">
      <c r="A185" s="39" t="n"/>
      <c r="B185" s="40" t="n"/>
      <c r="C185" s="40" t="n"/>
      <c r="D185" s="39" t="n"/>
      <c r="E185" s="39" t="n"/>
      <c r="F185" s="41" t="n"/>
      <c r="G185" s="42" t="n"/>
      <c r="H185" s="43">
        <f>IF(ISNUMBER(F185),IF(OR(G185="Sì",G185="Si"),ROUND(F185*'Parametri 2026'!$B$16,2),0),"")</f>
        <v/>
      </c>
      <c r="I185" s="43">
        <f>IF(ISNUMBER(F185),F185+H185,"")</f>
        <v/>
      </c>
      <c r="J185" s="43">
        <f>IF(ISNUMBER(F185),IF(I185&gt;'Parametri 2026'!$B$14,'Parametri 2026'!$B$13,0),"")</f>
        <v/>
      </c>
      <c r="K185" s="42" t="n"/>
      <c r="L185" s="44">
        <f>IF(ISNUMBER(F185),I185+IF(K185="No",0,J185),"")</f>
        <v/>
      </c>
      <c r="M185" s="44">
        <f>IF(ISNUMBER(F185),I185+IF(AND(K185&lt;&gt;"No",Impostazioni!$B$29="Sì"),J185,0),"")</f>
        <v/>
      </c>
      <c r="N185" s="45">
        <f>IF(F185="","",IF(NOT(ISNUMBER(F185)),"Compenso non valido",IF(C185="","Da incassare",IF(NOT(ISNUMBER(C185)),"Data non valida",IF(YEAR(C185)='Parametri 2026'!$B$6,"Incassata","Incassata nel "&amp;YEAR(C185))))))</f>
        <v/>
      </c>
      <c r="O185" s="39" t="n"/>
    </row>
    <row r="186">
      <c r="A186" s="39" t="n"/>
      <c r="B186" s="40" t="n"/>
      <c r="C186" s="40" t="n"/>
      <c r="D186" s="39" t="n"/>
      <c r="E186" s="39" t="n"/>
      <c r="F186" s="41" t="n"/>
      <c r="G186" s="42" t="n"/>
      <c r="H186" s="43">
        <f>IF(ISNUMBER(F186),IF(OR(G186="Sì",G186="Si"),ROUND(F186*'Parametri 2026'!$B$16,2),0),"")</f>
        <v/>
      </c>
      <c r="I186" s="43">
        <f>IF(ISNUMBER(F186),F186+H186,"")</f>
        <v/>
      </c>
      <c r="J186" s="43">
        <f>IF(ISNUMBER(F186),IF(I186&gt;'Parametri 2026'!$B$14,'Parametri 2026'!$B$13,0),"")</f>
        <v/>
      </c>
      <c r="K186" s="42" t="n"/>
      <c r="L186" s="44">
        <f>IF(ISNUMBER(F186),I186+IF(K186="No",0,J186),"")</f>
        <v/>
      </c>
      <c r="M186" s="44">
        <f>IF(ISNUMBER(F186),I186+IF(AND(K186&lt;&gt;"No",Impostazioni!$B$29="Sì"),J186,0),"")</f>
        <v/>
      </c>
      <c r="N186" s="45">
        <f>IF(F186="","",IF(NOT(ISNUMBER(F186)),"Compenso non valido",IF(C186="","Da incassare",IF(NOT(ISNUMBER(C186)),"Data non valida",IF(YEAR(C186)='Parametri 2026'!$B$6,"Incassata","Incassata nel "&amp;YEAR(C186))))))</f>
        <v/>
      </c>
      <c r="O186" s="39" t="n"/>
    </row>
    <row r="187">
      <c r="A187" s="39" t="n"/>
      <c r="B187" s="40" t="n"/>
      <c r="C187" s="40" t="n"/>
      <c r="D187" s="39" t="n"/>
      <c r="E187" s="39" t="n"/>
      <c r="F187" s="41" t="n"/>
      <c r="G187" s="42" t="n"/>
      <c r="H187" s="43">
        <f>IF(ISNUMBER(F187),IF(OR(G187="Sì",G187="Si"),ROUND(F187*'Parametri 2026'!$B$16,2),0),"")</f>
        <v/>
      </c>
      <c r="I187" s="43">
        <f>IF(ISNUMBER(F187),F187+H187,"")</f>
        <v/>
      </c>
      <c r="J187" s="43">
        <f>IF(ISNUMBER(F187),IF(I187&gt;'Parametri 2026'!$B$14,'Parametri 2026'!$B$13,0),"")</f>
        <v/>
      </c>
      <c r="K187" s="42" t="n"/>
      <c r="L187" s="44">
        <f>IF(ISNUMBER(F187),I187+IF(K187="No",0,J187),"")</f>
        <v/>
      </c>
      <c r="M187" s="44">
        <f>IF(ISNUMBER(F187),I187+IF(AND(K187&lt;&gt;"No",Impostazioni!$B$29="Sì"),J187,0),"")</f>
        <v/>
      </c>
      <c r="N187" s="45">
        <f>IF(F187="","",IF(NOT(ISNUMBER(F187)),"Compenso non valido",IF(C187="","Da incassare",IF(NOT(ISNUMBER(C187)),"Data non valida",IF(YEAR(C187)='Parametri 2026'!$B$6,"Incassata","Incassata nel "&amp;YEAR(C187))))))</f>
        <v/>
      </c>
      <c r="O187" s="39" t="n"/>
    </row>
    <row r="188">
      <c r="A188" s="39" t="n"/>
      <c r="B188" s="40" t="n"/>
      <c r="C188" s="40" t="n"/>
      <c r="D188" s="39" t="n"/>
      <c r="E188" s="39" t="n"/>
      <c r="F188" s="41" t="n"/>
      <c r="G188" s="42" t="n"/>
      <c r="H188" s="43">
        <f>IF(ISNUMBER(F188),IF(OR(G188="Sì",G188="Si"),ROUND(F188*'Parametri 2026'!$B$16,2),0),"")</f>
        <v/>
      </c>
      <c r="I188" s="43">
        <f>IF(ISNUMBER(F188),F188+H188,"")</f>
        <v/>
      </c>
      <c r="J188" s="43">
        <f>IF(ISNUMBER(F188),IF(I188&gt;'Parametri 2026'!$B$14,'Parametri 2026'!$B$13,0),"")</f>
        <v/>
      </c>
      <c r="K188" s="42" t="n"/>
      <c r="L188" s="44">
        <f>IF(ISNUMBER(F188),I188+IF(K188="No",0,J188),"")</f>
        <v/>
      </c>
      <c r="M188" s="44">
        <f>IF(ISNUMBER(F188),I188+IF(AND(K188&lt;&gt;"No",Impostazioni!$B$29="Sì"),J188,0),"")</f>
        <v/>
      </c>
      <c r="N188" s="45">
        <f>IF(F188="","",IF(NOT(ISNUMBER(F188)),"Compenso non valido",IF(C188="","Da incassare",IF(NOT(ISNUMBER(C188)),"Data non valida",IF(YEAR(C188)='Parametri 2026'!$B$6,"Incassata","Incassata nel "&amp;YEAR(C188))))))</f>
        <v/>
      </c>
      <c r="O188" s="39" t="n"/>
    </row>
    <row r="189">
      <c r="A189" s="39" t="n"/>
      <c r="B189" s="40" t="n"/>
      <c r="C189" s="40" t="n"/>
      <c r="D189" s="39" t="n"/>
      <c r="E189" s="39" t="n"/>
      <c r="F189" s="41" t="n"/>
      <c r="G189" s="42" t="n"/>
      <c r="H189" s="43">
        <f>IF(ISNUMBER(F189),IF(OR(G189="Sì",G189="Si"),ROUND(F189*'Parametri 2026'!$B$16,2),0),"")</f>
        <v/>
      </c>
      <c r="I189" s="43">
        <f>IF(ISNUMBER(F189),F189+H189,"")</f>
        <v/>
      </c>
      <c r="J189" s="43">
        <f>IF(ISNUMBER(F189),IF(I189&gt;'Parametri 2026'!$B$14,'Parametri 2026'!$B$13,0),"")</f>
        <v/>
      </c>
      <c r="K189" s="42" t="n"/>
      <c r="L189" s="44">
        <f>IF(ISNUMBER(F189),I189+IF(K189="No",0,J189),"")</f>
        <v/>
      </c>
      <c r="M189" s="44">
        <f>IF(ISNUMBER(F189),I189+IF(AND(K189&lt;&gt;"No",Impostazioni!$B$29="Sì"),J189,0),"")</f>
        <v/>
      </c>
      <c r="N189" s="45">
        <f>IF(F189="","",IF(NOT(ISNUMBER(F189)),"Compenso non valido",IF(C189="","Da incassare",IF(NOT(ISNUMBER(C189)),"Data non valida",IF(YEAR(C189)='Parametri 2026'!$B$6,"Incassata","Incassata nel "&amp;YEAR(C189))))))</f>
        <v/>
      </c>
      <c r="O189" s="39" t="n"/>
    </row>
    <row r="190">
      <c r="A190" s="39" t="n"/>
      <c r="B190" s="40" t="n"/>
      <c r="C190" s="40" t="n"/>
      <c r="D190" s="39" t="n"/>
      <c r="E190" s="39" t="n"/>
      <c r="F190" s="41" t="n"/>
      <c r="G190" s="42" t="n"/>
      <c r="H190" s="43">
        <f>IF(ISNUMBER(F190),IF(OR(G190="Sì",G190="Si"),ROUND(F190*'Parametri 2026'!$B$16,2),0),"")</f>
        <v/>
      </c>
      <c r="I190" s="43">
        <f>IF(ISNUMBER(F190),F190+H190,"")</f>
        <v/>
      </c>
      <c r="J190" s="43">
        <f>IF(ISNUMBER(F190),IF(I190&gt;'Parametri 2026'!$B$14,'Parametri 2026'!$B$13,0),"")</f>
        <v/>
      </c>
      <c r="K190" s="42" t="n"/>
      <c r="L190" s="44">
        <f>IF(ISNUMBER(F190),I190+IF(K190="No",0,J190),"")</f>
        <v/>
      </c>
      <c r="M190" s="44">
        <f>IF(ISNUMBER(F190),I190+IF(AND(K190&lt;&gt;"No",Impostazioni!$B$29="Sì"),J190,0),"")</f>
        <v/>
      </c>
      <c r="N190" s="45">
        <f>IF(F190="","",IF(NOT(ISNUMBER(F190)),"Compenso non valido",IF(C190="","Da incassare",IF(NOT(ISNUMBER(C190)),"Data non valida",IF(YEAR(C190)='Parametri 2026'!$B$6,"Incassata","Incassata nel "&amp;YEAR(C190))))))</f>
        <v/>
      </c>
      <c r="O190" s="39" t="n"/>
    </row>
    <row r="191">
      <c r="A191" s="39" t="n"/>
      <c r="B191" s="40" t="n"/>
      <c r="C191" s="40" t="n"/>
      <c r="D191" s="39" t="n"/>
      <c r="E191" s="39" t="n"/>
      <c r="F191" s="41" t="n"/>
      <c r="G191" s="42" t="n"/>
      <c r="H191" s="43">
        <f>IF(ISNUMBER(F191),IF(OR(G191="Sì",G191="Si"),ROUND(F191*'Parametri 2026'!$B$16,2),0),"")</f>
        <v/>
      </c>
      <c r="I191" s="43">
        <f>IF(ISNUMBER(F191),F191+H191,"")</f>
        <v/>
      </c>
      <c r="J191" s="43">
        <f>IF(ISNUMBER(F191),IF(I191&gt;'Parametri 2026'!$B$14,'Parametri 2026'!$B$13,0),"")</f>
        <v/>
      </c>
      <c r="K191" s="42" t="n"/>
      <c r="L191" s="44">
        <f>IF(ISNUMBER(F191),I191+IF(K191="No",0,J191),"")</f>
        <v/>
      </c>
      <c r="M191" s="44">
        <f>IF(ISNUMBER(F191),I191+IF(AND(K191&lt;&gt;"No",Impostazioni!$B$29="Sì"),J191,0),"")</f>
        <v/>
      </c>
      <c r="N191" s="45">
        <f>IF(F191="","",IF(NOT(ISNUMBER(F191)),"Compenso non valido",IF(C191="","Da incassare",IF(NOT(ISNUMBER(C191)),"Data non valida",IF(YEAR(C191)='Parametri 2026'!$B$6,"Incassata","Incassata nel "&amp;YEAR(C191))))))</f>
        <v/>
      </c>
      <c r="O191" s="39" t="n"/>
    </row>
    <row r="192">
      <c r="A192" s="39" t="n"/>
      <c r="B192" s="40" t="n"/>
      <c r="C192" s="40" t="n"/>
      <c r="D192" s="39" t="n"/>
      <c r="E192" s="39" t="n"/>
      <c r="F192" s="41" t="n"/>
      <c r="G192" s="42" t="n"/>
      <c r="H192" s="43">
        <f>IF(ISNUMBER(F192),IF(OR(G192="Sì",G192="Si"),ROUND(F192*'Parametri 2026'!$B$16,2),0),"")</f>
        <v/>
      </c>
      <c r="I192" s="43">
        <f>IF(ISNUMBER(F192),F192+H192,"")</f>
        <v/>
      </c>
      <c r="J192" s="43">
        <f>IF(ISNUMBER(F192),IF(I192&gt;'Parametri 2026'!$B$14,'Parametri 2026'!$B$13,0),"")</f>
        <v/>
      </c>
      <c r="K192" s="42" t="n"/>
      <c r="L192" s="44">
        <f>IF(ISNUMBER(F192),I192+IF(K192="No",0,J192),"")</f>
        <v/>
      </c>
      <c r="M192" s="44">
        <f>IF(ISNUMBER(F192),I192+IF(AND(K192&lt;&gt;"No",Impostazioni!$B$29="Sì"),J192,0),"")</f>
        <v/>
      </c>
      <c r="N192" s="45">
        <f>IF(F192="","",IF(NOT(ISNUMBER(F192)),"Compenso non valido",IF(C192="","Da incassare",IF(NOT(ISNUMBER(C192)),"Data non valida",IF(YEAR(C192)='Parametri 2026'!$B$6,"Incassata","Incassata nel "&amp;YEAR(C192))))))</f>
        <v/>
      </c>
      <c r="O192" s="39" t="n"/>
    </row>
    <row r="193">
      <c r="A193" s="39" t="n"/>
      <c r="B193" s="40" t="n"/>
      <c r="C193" s="40" t="n"/>
      <c r="D193" s="39" t="n"/>
      <c r="E193" s="39" t="n"/>
      <c r="F193" s="41" t="n"/>
      <c r="G193" s="42" t="n"/>
      <c r="H193" s="43">
        <f>IF(ISNUMBER(F193),IF(OR(G193="Sì",G193="Si"),ROUND(F193*'Parametri 2026'!$B$16,2),0),"")</f>
        <v/>
      </c>
      <c r="I193" s="43">
        <f>IF(ISNUMBER(F193),F193+H193,"")</f>
        <v/>
      </c>
      <c r="J193" s="43">
        <f>IF(ISNUMBER(F193),IF(I193&gt;'Parametri 2026'!$B$14,'Parametri 2026'!$B$13,0),"")</f>
        <v/>
      </c>
      <c r="K193" s="42" t="n"/>
      <c r="L193" s="44">
        <f>IF(ISNUMBER(F193),I193+IF(K193="No",0,J193),"")</f>
        <v/>
      </c>
      <c r="M193" s="44">
        <f>IF(ISNUMBER(F193),I193+IF(AND(K193&lt;&gt;"No",Impostazioni!$B$29="Sì"),J193,0),"")</f>
        <v/>
      </c>
      <c r="N193" s="45">
        <f>IF(F193="","",IF(NOT(ISNUMBER(F193)),"Compenso non valido",IF(C193="","Da incassare",IF(NOT(ISNUMBER(C193)),"Data non valida",IF(YEAR(C193)='Parametri 2026'!$B$6,"Incassata","Incassata nel "&amp;YEAR(C193))))))</f>
        <v/>
      </c>
      <c r="O193" s="39" t="n"/>
    </row>
    <row r="194">
      <c r="A194" s="39" t="n"/>
      <c r="B194" s="40" t="n"/>
      <c r="C194" s="40" t="n"/>
      <c r="D194" s="39" t="n"/>
      <c r="E194" s="39" t="n"/>
      <c r="F194" s="41" t="n"/>
      <c r="G194" s="42" t="n"/>
      <c r="H194" s="43">
        <f>IF(ISNUMBER(F194),IF(OR(G194="Sì",G194="Si"),ROUND(F194*'Parametri 2026'!$B$16,2),0),"")</f>
        <v/>
      </c>
      <c r="I194" s="43">
        <f>IF(ISNUMBER(F194),F194+H194,"")</f>
        <v/>
      </c>
      <c r="J194" s="43">
        <f>IF(ISNUMBER(F194),IF(I194&gt;'Parametri 2026'!$B$14,'Parametri 2026'!$B$13,0),"")</f>
        <v/>
      </c>
      <c r="K194" s="42" t="n"/>
      <c r="L194" s="44">
        <f>IF(ISNUMBER(F194),I194+IF(K194="No",0,J194),"")</f>
        <v/>
      </c>
      <c r="M194" s="44">
        <f>IF(ISNUMBER(F194),I194+IF(AND(K194&lt;&gt;"No",Impostazioni!$B$29="Sì"),J194,0),"")</f>
        <v/>
      </c>
      <c r="N194" s="45">
        <f>IF(F194="","",IF(NOT(ISNUMBER(F194)),"Compenso non valido",IF(C194="","Da incassare",IF(NOT(ISNUMBER(C194)),"Data non valida",IF(YEAR(C194)='Parametri 2026'!$B$6,"Incassata","Incassata nel "&amp;YEAR(C194))))))</f>
        <v/>
      </c>
      <c r="O194" s="39" t="n"/>
    </row>
    <row r="195">
      <c r="A195" s="39" t="n"/>
      <c r="B195" s="40" t="n"/>
      <c r="C195" s="40" t="n"/>
      <c r="D195" s="39" t="n"/>
      <c r="E195" s="39" t="n"/>
      <c r="F195" s="41" t="n"/>
      <c r="G195" s="42" t="n"/>
      <c r="H195" s="43">
        <f>IF(ISNUMBER(F195),IF(OR(G195="Sì",G195="Si"),ROUND(F195*'Parametri 2026'!$B$16,2),0),"")</f>
        <v/>
      </c>
      <c r="I195" s="43">
        <f>IF(ISNUMBER(F195),F195+H195,"")</f>
        <v/>
      </c>
      <c r="J195" s="43">
        <f>IF(ISNUMBER(F195),IF(I195&gt;'Parametri 2026'!$B$14,'Parametri 2026'!$B$13,0),"")</f>
        <v/>
      </c>
      <c r="K195" s="42" t="n"/>
      <c r="L195" s="44">
        <f>IF(ISNUMBER(F195),I195+IF(K195="No",0,J195),"")</f>
        <v/>
      </c>
      <c r="M195" s="44">
        <f>IF(ISNUMBER(F195),I195+IF(AND(K195&lt;&gt;"No",Impostazioni!$B$29="Sì"),J195,0),"")</f>
        <v/>
      </c>
      <c r="N195" s="45">
        <f>IF(F195="","",IF(NOT(ISNUMBER(F195)),"Compenso non valido",IF(C195="","Da incassare",IF(NOT(ISNUMBER(C195)),"Data non valida",IF(YEAR(C195)='Parametri 2026'!$B$6,"Incassata","Incassata nel "&amp;YEAR(C195))))))</f>
        <v/>
      </c>
      <c r="O195" s="39" t="n"/>
    </row>
    <row r="196">
      <c r="A196" s="39" t="n"/>
      <c r="B196" s="40" t="n"/>
      <c r="C196" s="40" t="n"/>
      <c r="D196" s="39" t="n"/>
      <c r="E196" s="39" t="n"/>
      <c r="F196" s="41" t="n"/>
      <c r="G196" s="42" t="n"/>
      <c r="H196" s="43">
        <f>IF(ISNUMBER(F196),IF(OR(G196="Sì",G196="Si"),ROUND(F196*'Parametri 2026'!$B$16,2),0),"")</f>
        <v/>
      </c>
      <c r="I196" s="43">
        <f>IF(ISNUMBER(F196),F196+H196,"")</f>
        <v/>
      </c>
      <c r="J196" s="43">
        <f>IF(ISNUMBER(F196),IF(I196&gt;'Parametri 2026'!$B$14,'Parametri 2026'!$B$13,0),"")</f>
        <v/>
      </c>
      <c r="K196" s="42" t="n"/>
      <c r="L196" s="44">
        <f>IF(ISNUMBER(F196),I196+IF(K196="No",0,J196),"")</f>
        <v/>
      </c>
      <c r="M196" s="44">
        <f>IF(ISNUMBER(F196),I196+IF(AND(K196&lt;&gt;"No",Impostazioni!$B$29="Sì"),J196,0),"")</f>
        <v/>
      </c>
      <c r="N196" s="45">
        <f>IF(F196="","",IF(NOT(ISNUMBER(F196)),"Compenso non valido",IF(C196="","Da incassare",IF(NOT(ISNUMBER(C196)),"Data non valida",IF(YEAR(C196)='Parametri 2026'!$B$6,"Incassata","Incassata nel "&amp;YEAR(C196))))))</f>
        <v/>
      </c>
      <c r="O196" s="39" t="n"/>
    </row>
    <row r="197">
      <c r="A197" s="39" t="n"/>
      <c r="B197" s="40" t="n"/>
      <c r="C197" s="40" t="n"/>
      <c r="D197" s="39" t="n"/>
      <c r="E197" s="39" t="n"/>
      <c r="F197" s="41" t="n"/>
      <c r="G197" s="42" t="n"/>
      <c r="H197" s="43">
        <f>IF(ISNUMBER(F197),IF(OR(G197="Sì",G197="Si"),ROUND(F197*'Parametri 2026'!$B$16,2),0),"")</f>
        <v/>
      </c>
      <c r="I197" s="43">
        <f>IF(ISNUMBER(F197),F197+H197,"")</f>
        <v/>
      </c>
      <c r="J197" s="43">
        <f>IF(ISNUMBER(F197),IF(I197&gt;'Parametri 2026'!$B$14,'Parametri 2026'!$B$13,0),"")</f>
        <v/>
      </c>
      <c r="K197" s="42" t="n"/>
      <c r="L197" s="44">
        <f>IF(ISNUMBER(F197),I197+IF(K197="No",0,J197),"")</f>
        <v/>
      </c>
      <c r="M197" s="44">
        <f>IF(ISNUMBER(F197),I197+IF(AND(K197&lt;&gt;"No",Impostazioni!$B$29="Sì"),J197,0),"")</f>
        <v/>
      </c>
      <c r="N197" s="45">
        <f>IF(F197="","",IF(NOT(ISNUMBER(F197)),"Compenso non valido",IF(C197="","Da incassare",IF(NOT(ISNUMBER(C197)),"Data non valida",IF(YEAR(C197)='Parametri 2026'!$B$6,"Incassata","Incassata nel "&amp;YEAR(C197))))))</f>
        <v/>
      </c>
      <c r="O197" s="39" t="n"/>
    </row>
    <row r="198">
      <c r="A198" s="39" t="n"/>
      <c r="B198" s="40" t="n"/>
      <c r="C198" s="40" t="n"/>
      <c r="D198" s="39" t="n"/>
      <c r="E198" s="39" t="n"/>
      <c r="F198" s="41" t="n"/>
      <c r="G198" s="42" t="n"/>
      <c r="H198" s="43">
        <f>IF(ISNUMBER(F198),IF(OR(G198="Sì",G198="Si"),ROUND(F198*'Parametri 2026'!$B$16,2),0),"")</f>
        <v/>
      </c>
      <c r="I198" s="43">
        <f>IF(ISNUMBER(F198),F198+H198,"")</f>
        <v/>
      </c>
      <c r="J198" s="43">
        <f>IF(ISNUMBER(F198),IF(I198&gt;'Parametri 2026'!$B$14,'Parametri 2026'!$B$13,0),"")</f>
        <v/>
      </c>
      <c r="K198" s="42" t="n"/>
      <c r="L198" s="44">
        <f>IF(ISNUMBER(F198),I198+IF(K198="No",0,J198),"")</f>
        <v/>
      </c>
      <c r="M198" s="44">
        <f>IF(ISNUMBER(F198),I198+IF(AND(K198&lt;&gt;"No",Impostazioni!$B$29="Sì"),J198,0),"")</f>
        <v/>
      </c>
      <c r="N198" s="45">
        <f>IF(F198="","",IF(NOT(ISNUMBER(F198)),"Compenso non valido",IF(C198="","Da incassare",IF(NOT(ISNUMBER(C198)),"Data non valida",IF(YEAR(C198)='Parametri 2026'!$B$6,"Incassata","Incassata nel "&amp;YEAR(C198))))))</f>
        <v/>
      </c>
      <c r="O198" s="39" t="n"/>
    </row>
    <row r="199">
      <c r="A199" s="39" t="n"/>
      <c r="B199" s="40" t="n"/>
      <c r="C199" s="40" t="n"/>
      <c r="D199" s="39" t="n"/>
      <c r="E199" s="39" t="n"/>
      <c r="F199" s="41" t="n"/>
      <c r="G199" s="42" t="n"/>
      <c r="H199" s="43">
        <f>IF(ISNUMBER(F199),IF(OR(G199="Sì",G199="Si"),ROUND(F199*'Parametri 2026'!$B$16,2),0),"")</f>
        <v/>
      </c>
      <c r="I199" s="43">
        <f>IF(ISNUMBER(F199),F199+H199,"")</f>
        <v/>
      </c>
      <c r="J199" s="43">
        <f>IF(ISNUMBER(F199),IF(I199&gt;'Parametri 2026'!$B$14,'Parametri 2026'!$B$13,0),"")</f>
        <v/>
      </c>
      <c r="K199" s="42" t="n"/>
      <c r="L199" s="44">
        <f>IF(ISNUMBER(F199),I199+IF(K199="No",0,J199),"")</f>
        <v/>
      </c>
      <c r="M199" s="44">
        <f>IF(ISNUMBER(F199),I199+IF(AND(K199&lt;&gt;"No",Impostazioni!$B$29="Sì"),J199,0),"")</f>
        <v/>
      </c>
      <c r="N199" s="45">
        <f>IF(F199="","",IF(NOT(ISNUMBER(F199)),"Compenso non valido",IF(C199="","Da incassare",IF(NOT(ISNUMBER(C199)),"Data non valida",IF(YEAR(C199)='Parametri 2026'!$B$6,"Incassata","Incassata nel "&amp;YEAR(C199))))))</f>
        <v/>
      </c>
      <c r="O199" s="39" t="n"/>
    </row>
    <row r="200">
      <c r="A200" s="39" t="n"/>
      <c r="B200" s="40" t="n"/>
      <c r="C200" s="40" t="n"/>
      <c r="D200" s="39" t="n"/>
      <c r="E200" s="39" t="n"/>
      <c r="F200" s="41" t="n"/>
      <c r="G200" s="42" t="n"/>
      <c r="H200" s="43">
        <f>IF(ISNUMBER(F200),IF(OR(G200="Sì",G200="Si"),ROUND(F200*'Parametri 2026'!$B$16,2),0),"")</f>
        <v/>
      </c>
      <c r="I200" s="43">
        <f>IF(ISNUMBER(F200),F200+H200,"")</f>
        <v/>
      </c>
      <c r="J200" s="43">
        <f>IF(ISNUMBER(F200),IF(I200&gt;'Parametri 2026'!$B$14,'Parametri 2026'!$B$13,0),"")</f>
        <v/>
      </c>
      <c r="K200" s="42" t="n"/>
      <c r="L200" s="44">
        <f>IF(ISNUMBER(F200),I200+IF(K200="No",0,J200),"")</f>
        <v/>
      </c>
      <c r="M200" s="44">
        <f>IF(ISNUMBER(F200),I200+IF(AND(K200&lt;&gt;"No",Impostazioni!$B$29="Sì"),J200,0),"")</f>
        <v/>
      </c>
      <c r="N200" s="45">
        <f>IF(F200="","",IF(NOT(ISNUMBER(F200)),"Compenso non valido",IF(C200="","Da incassare",IF(NOT(ISNUMBER(C200)),"Data non valida",IF(YEAR(C200)='Parametri 2026'!$B$6,"Incassata","Incassata nel "&amp;YEAR(C200))))))</f>
        <v/>
      </c>
      <c r="O200" s="39" t="n"/>
    </row>
    <row r="201">
      <c r="A201" s="39" t="n"/>
      <c r="B201" s="40" t="n"/>
      <c r="C201" s="40" t="n"/>
      <c r="D201" s="39" t="n"/>
      <c r="E201" s="39" t="n"/>
      <c r="F201" s="41" t="n"/>
      <c r="G201" s="42" t="n"/>
      <c r="H201" s="43">
        <f>IF(ISNUMBER(F201),IF(OR(G201="Sì",G201="Si"),ROUND(F201*'Parametri 2026'!$B$16,2),0),"")</f>
        <v/>
      </c>
      <c r="I201" s="43">
        <f>IF(ISNUMBER(F201),F201+H201,"")</f>
        <v/>
      </c>
      <c r="J201" s="43">
        <f>IF(ISNUMBER(F201),IF(I201&gt;'Parametri 2026'!$B$14,'Parametri 2026'!$B$13,0),"")</f>
        <v/>
      </c>
      <c r="K201" s="42" t="n"/>
      <c r="L201" s="44">
        <f>IF(ISNUMBER(F201),I201+IF(K201="No",0,J201),"")</f>
        <v/>
      </c>
      <c r="M201" s="44">
        <f>IF(ISNUMBER(F201),I201+IF(AND(K201&lt;&gt;"No",Impostazioni!$B$29="Sì"),J201,0),"")</f>
        <v/>
      </c>
      <c r="N201" s="45">
        <f>IF(F201="","",IF(NOT(ISNUMBER(F201)),"Compenso non valido",IF(C201="","Da incassare",IF(NOT(ISNUMBER(C201)),"Data non valida",IF(YEAR(C201)='Parametri 2026'!$B$6,"Incassata","Incassata nel "&amp;YEAR(C201))))))</f>
        <v/>
      </c>
      <c r="O201" s="39" t="n"/>
    </row>
    <row r="202">
      <c r="A202" s="39" t="n"/>
      <c r="B202" s="40" t="n"/>
      <c r="C202" s="40" t="n"/>
      <c r="D202" s="39" t="n"/>
      <c r="E202" s="39" t="n"/>
      <c r="F202" s="41" t="n"/>
      <c r="G202" s="42" t="n"/>
      <c r="H202" s="43">
        <f>IF(ISNUMBER(F202),IF(OR(G202="Sì",G202="Si"),ROUND(F202*'Parametri 2026'!$B$16,2),0),"")</f>
        <v/>
      </c>
      <c r="I202" s="43">
        <f>IF(ISNUMBER(F202),F202+H202,"")</f>
        <v/>
      </c>
      <c r="J202" s="43">
        <f>IF(ISNUMBER(F202),IF(I202&gt;'Parametri 2026'!$B$14,'Parametri 2026'!$B$13,0),"")</f>
        <v/>
      </c>
      <c r="K202" s="42" t="n"/>
      <c r="L202" s="44">
        <f>IF(ISNUMBER(F202),I202+IF(K202="No",0,J202),"")</f>
        <v/>
      </c>
      <c r="M202" s="44">
        <f>IF(ISNUMBER(F202),I202+IF(AND(K202&lt;&gt;"No",Impostazioni!$B$29="Sì"),J202,0),"")</f>
        <v/>
      </c>
      <c r="N202" s="45">
        <f>IF(F202="","",IF(NOT(ISNUMBER(F202)),"Compenso non valido",IF(C202="","Da incassare",IF(NOT(ISNUMBER(C202)),"Data non valida",IF(YEAR(C202)='Parametri 2026'!$B$6,"Incassata","Incassata nel "&amp;YEAR(C202))))))</f>
        <v/>
      </c>
      <c r="O202" s="39" t="n"/>
    </row>
    <row r="203">
      <c r="A203" s="39" t="n"/>
      <c r="B203" s="40" t="n"/>
      <c r="C203" s="40" t="n"/>
      <c r="D203" s="39" t="n"/>
      <c r="E203" s="39" t="n"/>
      <c r="F203" s="41" t="n"/>
      <c r="G203" s="42" t="n"/>
      <c r="H203" s="43">
        <f>IF(ISNUMBER(F203),IF(OR(G203="Sì",G203="Si"),ROUND(F203*'Parametri 2026'!$B$16,2),0),"")</f>
        <v/>
      </c>
      <c r="I203" s="43">
        <f>IF(ISNUMBER(F203),F203+H203,"")</f>
        <v/>
      </c>
      <c r="J203" s="43">
        <f>IF(ISNUMBER(F203),IF(I203&gt;'Parametri 2026'!$B$14,'Parametri 2026'!$B$13,0),"")</f>
        <v/>
      </c>
      <c r="K203" s="42" t="n"/>
      <c r="L203" s="44">
        <f>IF(ISNUMBER(F203),I203+IF(K203="No",0,J203),"")</f>
        <v/>
      </c>
      <c r="M203" s="44">
        <f>IF(ISNUMBER(F203),I203+IF(AND(K203&lt;&gt;"No",Impostazioni!$B$29="Sì"),J203,0),"")</f>
        <v/>
      </c>
      <c r="N203" s="45">
        <f>IF(F203="","",IF(NOT(ISNUMBER(F203)),"Compenso non valido",IF(C203="","Da incassare",IF(NOT(ISNUMBER(C203)),"Data non valida",IF(YEAR(C203)='Parametri 2026'!$B$6,"Incassata","Incassata nel "&amp;YEAR(C203))))))</f>
        <v/>
      </c>
      <c r="O203" s="39" t="n"/>
    </row>
    <row r="204">
      <c r="A204" s="39" t="n"/>
      <c r="B204" s="40" t="n"/>
      <c r="C204" s="40" t="n"/>
      <c r="D204" s="39" t="n"/>
      <c r="E204" s="39" t="n"/>
      <c r="F204" s="41" t="n"/>
      <c r="G204" s="42" t="n"/>
      <c r="H204" s="43">
        <f>IF(ISNUMBER(F204),IF(OR(G204="Sì",G204="Si"),ROUND(F204*'Parametri 2026'!$B$16,2),0),"")</f>
        <v/>
      </c>
      <c r="I204" s="43">
        <f>IF(ISNUMBER(F204),F204+H204,"")</f>
        <v/>
      </c>
      <c r="J204" s="43">
        <f>IF(ISNUMBER(F204),IF(I204&gt;'Parametri 2026'!$B$14,'Parametri 2026'!$B$13,0),"")</f>
        <v/>
      </c>
      <c r="K204" s="42" t="n"/>
      <c r="L204" s="44">
        <f>IF(ISNUMBER(F204),I204+IF(K204="No",0,J204),"")</f>
        <v/>
      </c>
      <c r="M204" s="44">
        <f>IF(ISNUMBER(F204),I204+IF(AND(K204&lt;&gt;"No",Impostazioni!$B$29="Sì"),J204,0),"")</f>
        <v/>
      </c>
      <c r="N204" s="45">
        <f>IF(F204="","",IF(NOT(ISNUMBER(F204)),"Compenso non valido",IF(C204="","Da incassare",IF(NOT(ISNUMBER(C204)),"Data non valida",IF(YEAR(C204)='Parametri 2026'!$B$6,"Incassata","Incassata nel "&amp;YEAR(C204))))))</f>
        <v/>
      </c>
      <c r="O204" s="39" t="n"/>
    </row>
    <row r="205">
      <c r="A205" s="39" t="n"/>
      <c r="B205" s="40" t="n"/>
      <c r="C205" s="40" t="n"/>
      <c r="D205" s="39" t="n"/>
      <c r="E205" s="39" t="n"/>
      <c r="F205" s="41" t="n"/>
      <c r="G205" s="42" t="n"/>
      <c r="H205" s="43">
        <f>IF(ISNUMBER(F205),IF(OR(G205="Sì",G205="Si"),ROUND(F205*'Parametri 2026'!$B$16,2),0),"")</f>
        <v/>
      </c>
      <c r="I205" s="43">
        <f>IF(ISNUMBER(F205),F205+H205,"")</f>
        <v/>
      </c>
      <c r="J205" s="43">
        <f>IF(ISNUMBER(F205),IF(I205&gt;'Parametri 2026'!$B$14,'Parametri 2026'!$B$13,0),"")</f>
        <v/>
      </c>
      <c r="K205" s="42" t="n"/>
      <c r="L205" s="44">
        <f>IF(ISNUMBER(F205),I205+IF(K205="No",0,J205),"")</f>
        <v/>
      </c>
      <c r="M205" s="44">
        <f>IF(ISNUMBER(F205),I205+IF(AND(K205&lt;&gt;"No",Impostazioni!$B$29="Sì"),J205,0),"")</f>
        <v/>
      </c>
      <c r="N205" s="45">
        <f>IF(F205="","",IF(NOT(ISNUMBER(F205)),"Compenso non valido",IF(C205="","Da incassare",IF(NOT(ISNUMBER(C205)),"Data non valida",IF(YEAR(C205)='Parametri 2026'!$B$6,"Incassata","Incassata nel "&amp;YEAR(C205))))))</f>
        <v/>
      </c>
      <c r="O205" s="39" t="n"/>
    </row>
    <row r="206">
      <c r="A206" s="39" t="n"/>
      <c r="B206" s="40" t="n"/>
      <c r="C206" s="40" t="n"/>
      <c r="D206" s="39" t="n"/>
      <c r="E206" s="39" t="n"/>
      <c r="F206" s="41" t="n"/>
      <c r="G206" s="42" t="n"/>
      <c r="H206" s="43">
        <f>IF(ISNUMBER(F206),IF(OR(G206="Sì",G206="Si"),ROUND(F206*'Parametri 2026'!$B$16,2),0),"")</f>
        <v/>
      </c>
      <c r="I206" s="43">
        <f>IF(ISNUMBER(F206),F206+H206,"")</f>
        <v/>
      </c>
      <c r="J206" s="43">
        <f>IF(ISNUMBER(F206),IF(I206&gt;'Parametri 2026'!$B$14,'Parametri 2026'!$B$13,0),"")</f>
        <v/>
      </c>
      <c r="K206" s="42" t="n"/>
      <c r="L206" s="44">
        <f>IF(ISNUMBER(F206),I206+IF(K206="No",0,J206),"")</f>
        <v/>
      </c>
      <c r="M206" s="44">
        <f>IF(ISNUMBER(F206),I206+IF(AND(K206&lt;&gt;"No",Impostazioni!$B$29="Sì"),J206,0),"")</f>
        <v/>
      </c>
      <c r="N206" s="45">
        <f>IF(F206="","",IF(NOT(ISNUMBER(F206)),"Compenso non valido",IF(C206="","Da incassare",IF(NOT(ISNUMBER(C206)),"Data non valida",IF(YEAR(C206)='Parametri 2026'!$B$6,"Incassata","Incassata nel "&amp;YEAR(C206))))))</f>
        <v/>
      </c>
      <c r="O206" s="39" t="n"/>
    </row>
    <row r="207">
      <c r="A207" s="39" t="n"/>
      <c r="B207" s="40" t="n"/>
      <c r="C207" s="40" t="n"/>
      <c r="D207" s="39" t="n"/>
      <c r="E207" s="39" t="n"/>
      <c r="F207" s="41" t="n"/>
      <c r="G207" s="42" t="n"/>
      <c r="H207" s="43">
        <f>IF(ISNUMBER(F207),IF(OR(G207="Sì",G207="Si"),ROUND(F207*'Parametri 2026'!$B$16,2),0),"")</f>
        <v/>
      </c>
      <c r="I207" s="43">
        <f>IF(ISNUMBER(F207),F207+H207,"")</f>
        <v/>
      </c>
      <c r="J207" s="43">
        <f>IF(ISNUMBER(F207),IF(I207&gt;'Parametri 2026'!$B$14,'Parametri 2026'!$B$13,0),"")</f>
        <v/>
      </c>
      <c r="K207" s="42" t="n"/>
      <c r="L207" s="44">
        <f>IF(ISNUMBER(F207),I207+IF(K207="No",0,J207),"")</f>
        <v/>
      </c>
      <c r="M207" s="44">
        <f>IF(ISNUMBER(F207),I207+IF(AND(K207&lt;&gt;"No",Impostazioni!$B$29="Sì"),J207,0),"")</f>
        <v/>
      </c>
      <c r="N207" s="45">
        <f>IF(F207="","",IF(NOT(ISNUMBER(F207)),"Compenso non valido",IF(C207="","Da incassare",IF(NOT(ISNUMBER(C207)),"Data non valida",IF(YEAR(C207)='Parametri 2026'!$B$6,"Incassata","Incassata nel "&amp;YEAR(C207))))))</f>
        <v/>
      </c>
      <c r="O207" s="39" t="n"/>
    </row>
    <row r="208">
      <c r="A208" s="39" t="n"/>
      <c r="B208" s="40" t="n"/>
      <c r="C208" s="40" t="n"/>
      <c r="D208" s="39" t="n"/>
      <c r="E208" s="39" t="n"/>
      <c r="F208" s="41" t="n"/>
      <c r="G208" s="42" t="n"/>
      <c r="H208" s="43">
        <f>IF(ISNUMBER(F208),IF(OR(G208="Sì",G208="Si"),ROUND(F208*'Parametri 2026'!$B$16,2),0),"")</f>
        <v/>
      </c>
      <c r="I208" s="43">
        <f>IF(ISNUMBER(F208),F208+H208,"")</f>
        <v/>
      </c>
      <c r="J208" s="43">
        <f>IF(ISNUMBER(F208),IF(I208&gt;'Parametri 2026'!$B$14,'Parametri 2026'!$B$13,0),"")</f>
        <v/>
      </c>
      <c r="K208" s="42" t="n"/>
      <c r="L208" s="44">
        <f>IF(ISNUMBER(F208),I208+IF(K208="No",0,J208),"")</f>
        <v/>
      </c>
      <c r="M208" s="44">
        <f>IF(ISNUMBER(F208),I208+IF(AND(K208&lt;&gt;"No",Impostazioni!$B$29="Sì"),J208,0),"")</f>
        <v/>
      </c>
      <c r="N208" s="45">
        <f>IF(F208="","",IF(NOT(ISNUMBER(F208)),"Compenso non valido",IF(C208="","Da incassare",IF(NOT(ISNUMBER(C208)),"Data non valida",IF(YEAR(C208)='Parametri 2026'!$B$6,"Incassata","Incassata nel "&amp;YEAR(C208))))))</f>
        <v/>
      </c>
      <c r="O208" s="39" t="n"/>
    </row>
    <row r="209">
      <c r="A209" s="39" t="n"/>
      <c r="B209" s="40" t="n"/>
      <c r="C209" s="40" t="n"/>
      <c r="D209" s="39" t="n"/>
      <c r="E209" s="39" t="n"/>
      <c r="F209" s="41" t="n"/>
      <c r="G209" s="42" t="n"/>
      <c r="H209" s="43">
        <f>IF(ISNUMBER(F209),IF(OR(G209="Sì",G209="Si"),ROUND(F209*'Parametri 2026'!$B$16,2),0),"")</f>
        <v/>
      </c>
      <c r="I209" s="43">
        <f>IF(ISNUMBER(F209),F209+H209,"")</f>
        <v/>
      </c>
      <c r="J209" s="43">
        <f>IF(ISNUMBER(F209),IF(I209&gt;'Parametri 2026'!$B$14,'Parametri 2026'!$B$13,0),"")</f>
        <v/>
      </c>
      <c r="K209" s="42" t="n"/>
      <c r="L209" s="44">
        <f>IF(ISNUMBER(F209),I209+IF(K209="No",0,J209),"")</f>
        <v/>
      </c>
      <c r="M209" s="44">
        <f>IF(ISNUMBER(F209),I209+IF(AND(K209&lt;&gt;"No",Impostazioni!$B$29="Sì"),J209,0),"")</f>
        <v/>
      </c>
      <c r="N209" s="45">
        <f>IF(F209="","",IF(NOT(ISNUMBER(F209)),"Compenso non valido",IF(C209="","Da incassare",IF(NOT(ISNUMBER(C209)),"Data non valida",IF(YEAR(C209)='Parametri 2026'!$B$6,"Incassata","Incassata nel "&amp;YEAR(C209))))))</f>
        <v/>
      </c>
      <c r="O209" s="39" t="n"/>
    </row>
    <row r="210">
      <c r="A210" s="39" t="n"/>
      <c r="B210" s="40" t="n"/>
      <c r="C210" s="40" t="n"/>
      <c r="D210" s="39" t="n"/>
      <c r="E210" s="39" t="n"/>
      <c r="F210" s="41" t="n"/>
      <c r="G210" s="42" t="n"/>
      <c r="H210" s="43">
        <f>IF(ISNUMBER(F210),IF(OR(G210="Sì",G210="Si"),ROUND(F210*'Parametri 2026'!$B$16,2),0),"")</f>
        <v/>
      </c>
      <c r="I210" s="43">
        <f>IF(ISNUMBER(F210),F210+H210,"")</f>
        <v/>
      </c>
      <c r="J210" s="43">
        <f>IF(ISNUMBER(F210),IF(I210&gt;'Parametri 2026'!$B$14,'Parametri 2026'!$B$13,0),"")</f>
        <v/>
      </c>
      <c r="K210" s="42" t="n"/>
      <c r="L210" s="44">
        <f>IF(ISNUMBER(F210),I210+IF(K210="No",0,J210),"")</f>
        <v/>
      </c>
      <c r="M210" s="44">
        <f>IF(ISNUMBER(F210),I210+IF(AND(K210&lt;&gt;"No",Impostazioni!$B$29="Sì"),J210,0),"")</f>
        <v/>
      </c>
      <c r="N210" s="45">
        <f>IF(F210="","",IF(NOT(ISNUMBER(F210)),"Compenso non valido",IF(C210="","Da incassare",IF(NOT(ISNUMBER(C210)),"Data non valida",IF(YEAR(C210)='Parametri 2026'!$B$6,"Incassata","Incassata nel "&amp;YEAR(C210))))))</f>
        <v/>
      </c>
      <c r="O210" s="39" t="n"/>
    </row>
    <row r="211">
      <c r="A211" s="39" t="n"/>
      <c r="B211" s="40" t="n"/>
      <c r="C211" s="40" t="n"/>
      <c r="D211" s="39" t="n"/>
      <c r="E211" s="39" t="n"/>
      <c r="F211" s="41" t="n"/>
      <c r="G211" s="42" t="n"/>
      <c r="H211" s="43">
        <f>IF(ISNUMBER(F211),IF(OR(G211="Sì",G211="Si"),ROUND(F211*'Parametri 2026'!$B$16,2),0),"")</f>
        <v/>
      </c>
      <c r="I211" s="43">
        <f>IF(ISNUMBER(F211),F211+H211,"")</f>
        <v/>
      </c>
      <c r="J211" s="43">
        <f>IF(ISNUMBER(F211),IF(I211&gt;'Parametri 2026'!$B$14,'Parametri 2026'!$B$13,0),"")</f>
        <v/>
      </c>
      <c r="K211" s="42" t="n"/>
      <c r="L211" s="44">
        <f>IF(ISNUMBER(F211),I211+IF(K211="No",0,J211),"")</f>
        <v/>
      </c>
      <c r="M211" s="44">
        <f>IF(ISNUMBER(F211),I211+IF(AND(K211&lt;&gt;"No",Impostazioni!$B$29="Sì"),J211,0),"")</f>
        <v/>
      </c>
      <c r="N211" s="45">
        <f>IF(F211="","",IF(NOT(ISNUMBER(F211)),"Compenso non valido",IF(C211="","Da incassare",IF(NOT(ISNUMBER(C211)),"Data non valida",IF(YEAR(C211)='Parametri 2026'!$B$6,"Incassata","Incassata nel "&amp;YEAR(C211))))))</f>
        <v/>
      </c>
      <c r="O211" s="39" t="n"/>
    </row>
    <row r="212">
      <c r="A212" s="39" t="n"/>
      <c r="B212" s="40" t="n"/>
      <c r="C212" s="40" t="n"/>
      <c r="D212" s="39" t="n"/>
      <c r="E212" s="39" t="n"/>
      <c r="F212" s="41" t="n"/>
      <c r="G212" s="42" t="n"/>
      <c r="H212" s="43">
        <f>IF(ISNUMBER(F212),IF(OR(G212="Sì",G212="Si"),ROUND(F212*'Parametri 2026'!$B$16,2),0),"")</f>
        <v/>
      </c>
      <c r="I212" s="43">
        <f>IF(ISNUMBER(F212),F212+H212,"")</f>
        <v/>
      </c>
      <c r="J212" s="43">
        <f>IF(ISNUMBER(F212),IF(I212&gt;'Parametri 2026'!$B$14,'Parametri 2026'!$B$13,0),"")</f>
        <v/>
      </c>
      <c r="K212" s="42" t="n"/>
      <c r="L212" s="44">
        <f>IF(ISNUMBER(F212),I212+IF(K212="No",0,J212),"")</f>
        <v/>
      </c>
      <c r="M212" s="44">
        <f>IF(ISNUMBER(F212),I212+IF(AND(K212&lt;&gt;"No",Impostazioni!$B$29="Sì"),J212,0),"")</f>
        <v/>
      </c>
      <c r="N212" s="45">
        <f>IF(F212="","",IF(NOT(ISNUMBER(F212)),"Compenso non valido",IF(C212="","Da incassare",IF(NOT(ISNUMBER(C212)),"Data non valida",IF(YEAR(C212)='Parametri 2026'!$B$6,"Incassata","Incassata nel "&amp;YEAR(C212))))))</f>
        <v/>
      </c>
      <c r="O212" s="39" t="n"/>
    </row>
    <row r="213">
      <c r="A213" s="39" t="n"/>
      <c r="B213" s="40" t="n"/>
      <c r="C213" s="40" t="n"/>
      <c r="D213" s="39" t="n"/>
      <c r="E213" s="39" t="n"/>
      <c r="F213" s="41" t="n"/>
      <c r="G213" s="42" t="n"/>
      <c r="H213" s="43">
        <f>IF(ISNUMBER(F213),IF(OR(G213="Sì",G213="Si"),ROUND(F213*'Parametri 2026'!$B$16,2),0),"")</f>
        <v/>
      </c>
      <c r="I213" s="43">
        <f>IF(ISNUMBER(F213),F213+H213,"")</f>
        <v/>
      </c>
      <c r="J213" s="43">
        <f>IF(ISNUMBER(F213),IF(I213&gt;'Parametri 2026'!$B$14,'Parametri 2026'!$B$13,0),"")</f>
        <v/>
      </c>
      <c r="K213" s="42" t="n"/>
      <c r="L213" s="44">
        <f>IF(ISNUMBER(F213),I213+IF(K213="No",0,J213),"")</f>
        <v/>
      </c>
      <c r="M213" s="44">
        <f>IF(ISNUMBER(F213),I213+IF(AND(K213&lt;&gt;"No",Impostazioni!$B$29="Sì"),J213,0),"")</f>
        <v/>
      </c>
      <c r="N213" s="45">
        <f>IF(F213="","",IF(NOT(ISNUMBER(F213)),"Compenso non valido",IF(C213="","Da incassare",IF(NOT(ISNUMBER(C213)),"Data non valida",IF(YEAR(C213)='Parametri 2026'!$B$6,"Incassata","Incassata nel "&amp;YEAR(C213))))))</f>
        <v/>
      </c>
      <c r="O213" s="39" t="n"/>
    </row>
    <row r="214">
      <c r="A214" s="39" t="n"/>
      <c r="B214" s="40" t="n"/>
      <c r="C214" s="40" t="n"/>
      <c r="D214" s="39" t="n"/>
      <c r="E214" s="39" t="n"/>
      <c r="F214" s="41" t="n"/>
      <c r="G214" s="42" t="n"/>
      <c r="H214" s="43">
        <f>IF(ISNUMBER(F214),IF(OR(G214="Sì",G214="Si"),ROUND(F214*'Parametri 2026'!$B$16,2),0),"")</f>
        <v/>
      </c>
      <c r="I214" s="43">
        <f>IF(ISNUMBER(F214),F214+H214,"")</f>
        <v/>
      </c>
      <c r="J214" s="43">
        <f>IF(ISNUMBER(F214),IF(I214&gt;'Parametri 2026'!$B$14,'Parametri 2026'!$B$13,0),"")</f>
        <v/>
      </c>
      <c r="K214" s="42" t="n"/>
      <c r="L214" s="44">
        <f>IF(ISNUMBER(F214),I214+IF(K214="No",0,J214),"")</f>
        <v/>
      </c>
      <c r="M214" s="44">
        <f>IF(ISNUMBER(F214),I214+IF(AND(K214&lt;&gt;"No",Impostazioni!$B$29="Sì"),J214,0),"")</f>
        <v/>
      </c>
      <c r="N214" s="45">
        <f>IF(F214="","",IF(NOT(ISNUMBER(F214)),"Compenso non valido",IF(C214="","Da incassare",IF(NOT(ISNUMBER(C214)),"Data non valida",IF(YEAR(C214)='Parametri 2026'!$B$6,"Incassata","Incassata nel "&amp;YEAR(C214))))))</f>
        <v/>
      </c>
      <c r="O214" s="39" t="n"/>
    </row>
    <row r="215">
      <c r="A215" s="39" t="n"/>
      <c r="B215" s="40" t="n"/>
      <c r="C215" s="40" t="n"/>
      <c r="D215" s="39" t="n"/>
      <c r="E215" s="39" t="n"/>
      <c r="F215" s="41" t="n"/>
      <c r="G215" s="42" t="n"/>
      <c r="H215" s="43">
        <f>IF(ISNUMBER(F215),IF(OR(G215="Sì",G215="Si"),ROUND(F215*'Parametri 2026'!$B$16,2),0),"")</f>
        <v/>
      </c>
      <c r="I215" s="43">
        <f>IF(ISNUMBER(F215),F215+H215,"")</f>
        <v/>
      </c>
      <c r="J215" s="43">
        <f>IF(ISNUMBER(F215),IF(I215&gt;'Parametri 2026'!$B$14,'Parametri 2026'!$B$13,0),"")</f>
        <v/>
      </c>
      <c r="K215" s="42" t="n"/>
      <c r="L215" s="44">
        <f>IF(ISNUMBER(F215),I215+IF(K215="No",0,J215),"")</f>
        <v/>
      </c>
      <c r="M215" s="44">
        <f>IF(ISNUMBER(F215),I215+IF(AND(K215&lt;&gt;"No",Impostazioni!$B$29="Sì"),J215,0),"")</f>
        <v/>
      </c>
      <c r="N215" s="45">
        <f>IF(F215="","",IF(NOT(ISNUMBER(F215)),"Compenso non valido",IF(C215="","Da incassare",IF(NOT(ISNUMBER(C215)),"Data non valida",IF(YEAR(C215)='Parametri 2026'!$B$6,"Incassata","Incassata nel "&amp;YEAR(C215))))))</f>
        <v/>
      </c>
      <c r="O215" s="39" t="n"/>
    </row>
    <row r="216">
      <c r="A216" s="39" t="n"/>
      <c r="B216" s="40" t="n"/>
      <c r="C216" s="40" t="n"/>
      <c r="D216" s="39" t="n"/>
      <c r="E216" s="39" t="n"/>
      <c r="F216" s="41" t="n"/>
      <c r="G216" s="42" t="n"/>
      <c r="H216" s="43">
        <f>IF(ISNUMBER(F216),IF(OR(G216="Sì",G216="Si"),ROUND(F216*'Parametri 2026'!$B$16,2),0),"")</f>
        <v/>
      </c>
      <c r="I216" s="43">
        <f>IF(ISNUMBER(F216),F216+H216,"")</f>
        <v/>
      </c>
      <c r="J216" s="43">
        <f>IF(ISNUMBER(F216),IF(I216&gt;'Parametri 2026'!$B$14,'Parametri 2026'!$B$13,0),"")</f>
        <v/>
      </c>
      <c r="K216" s="42" t="n"/>
      <c r="L216" s="44">
        <f>IF(ISNUMBER(F216),I216+IF(K216="No",0,J216),"")</f>
        <v/>
      </c>
      <c r="M216" s="44">
        <f>IF(ISNUMBER(F216),I216+IF(AND(K216&lt;&gt;"No",Impostazioni!$B$29="Sì"),J216,0),"")</f>
        <v/>
      </c>
      <c r="N216" s="45">
        <f>IF(F216="","",IF(NOT(ISNUMBER(F216)),"Compenso non valido",IF(C216="","Da incassare",IF(NOT(ISNUMBER(C216)),"Data non valida",IF(YEAR(C216)='Parametri 2026'!$B$6,"Incassata","Incassata nel "&amp;YEAR(C216))))))</f>
        <v/>
      </c>
      <c r="O216" s="39" t="n"/>
    </row>
    <row r="217">
      <c r="A217" s="39" t="n"/>
      <c r="B217" s="40" t="n"/>
      <c r="C217" s="40" t="n"/>
      <c r="D217" s="39" t="n"/>
      <c r="E217" s="39" t="n"/>
      <c r="F217" s="41" t="n"/>
      <c r="G217" s="42" t="n"/>
      <c r="H217" s="43">
        <f>IF(ISNUMBER(F217),IF(OR(G217="Sì",G217="Si"),ROUND(F217*'Parametri 2026'!$B$16,2),0),"")</f>
        <v/>
      </c>
      <c r="I217" s="43">
        <f>IF(ISNUMBER(F217),F217+H217,"")</f>
        <v/>
      </c>
      <c r="J217" s="43">
        <f>IF(ISNUMBER(F217),IF(I217&gt;'Parametri 2026'!$B$14,'Parametri 2026'!$B$13,0),"")</f>
        <v/>
      </c>
      <c r="K217" s="42" t="n"/>
      <c r="L217" s="44">
        <f>IF(ISNUMBER(F217),I217+IF(K217="No",0,J217),"")</f>
        <v/>
      </c>
      <c r="M217" s="44">
        <f>IF(ISNUMBER(F217),I217+IF(AND(K217&lt;&gt;"No",Impostazioni!$B$29="Sì"),J217,0),"")</f>
        <v/>
      </c>
      <c r="N217" s="45">
        <f>IF(F217="","",IF(NOT(ISNUMBER(F217)),"Compenso non valido",IF(C217="","Da incassare",IF(NOT(ISNUMBER(C217)),"Data non valida",IF(YEAR(C217)='Parametri 2026'!$B$6,"Incassata","Incassata nel "&amp;YEAR(C217))))))</f>
        <v/>
      </c>
      <c r="O217" s="39" t="n"/>
    </row>
    <row r="218">
      <c r="A218" s="39" t="n"/>
      <c r="B218" s="40" t="n"/>
      <c r="C218" s="40" t="n"/>
      <c r="D218" s="39" t="n"/>
      <c r="E218" s="39" t="n"/>
      <c r="F218" s="41" t="n"/>
      <c r="G218" s="42" t="n"/>
      <c r="H218" s="43">
        <f>IF(ISNUMBER(F218),IF(OR(G218="Sì",G218="Si"),ROUND(F218*'Parametri 2026'!$B$16,2),0),"")</f>
        <v/>
      </c>
      <c r="I218" s="43">
        <f>IF(ISNUMBER(F218),F218+H218,"")</f>
        <v/>
      </c>
      <c r="J218" s="43">
        <f>IF(ISNUMBER(F218),IF(I218&gt;'Parametri 2026'!$B$14,'Parametri 2026'!$B$13,0),"")</f>
        <v/>
      </c>
      <c r="K218" s="42" t="n"/>
      <c r="L218" s="44">
        <f>IF(ISNUMBER(F218),I218+IF(K218="No",0,J218),"")</f>
        <v/>
      </c>
      <c r="M218" s="44">
        <f>IF(ISNUMBER(F218),I218+IF(AND(K218&lt;&gt;"No",Impostazioni!$B$29="Sì"),J218,0),"")</f>
        <v/>
      </c>
      <c r="N218" s="45">
        <f>IF(F218="","",IF(NOT(ISNUMBER(F218)),"Compenso non valido",IF(C218="","Da incassare",IF(NOT(ISNUMBER(C218)),"Data non valida",IF(YEAR(C218)='Parametri 2026'!$B$6,"Incassata","Incassata nel "&amp;YEAR(C218))))))</f>
        <v/>
      </c>
      <c r="O218" s="39" t="n"/>
    </row>
    <row r="219">
      <c r="A219" s="39" t="n"/>
      <c r="B219" s="40" t="n"/>
      <c r="C219" s="40" t="n"/>
      <c r="D219" s="39" t="n"/>
      <c r="E219" s="39" t="n"/>
      <c r="F219" s="41" t="n"/>
      <c r="G219" s="42" t="n"/>
      <c r="H219" s="43">
        <f>IF(ISNUMBER(F219),IF(OR(G219="Sì",G219="Si"),ROUND(F219*'Parametri 2026'!$B$16,2),0),"")</f>
        <v/>
      </c>
      <c r="I219" s="43">
        <f>IF(ISNUMBER(F219),F219+H219,"")</f>
        <v/>
      </c>
      <c r="J219" s="43">
        <f>IF(ISNUMBER(F219),IF(I219&gt;'Parametri 2026'!$B$14,'Parametri 2026'!$B$13,0),"")</f>
        <v/>
      </c>
      <c r="K219" s="42" t="n"/>
      <c r="L219" s="44">
        <f>IF(ISNUMBER(F219),I219+IF(K219="No",0,J219),"")</f>
        <v/>
      </c>
      <c r="M219" s="44">
        <f>IF(ISNUMBER(F219),I219+IF(AND(K219&lt;&gt;"No",Impostazioni!$B$29="Sì"),J219,0),"")</f>
        <v/>
      </c>
      <c r="N219" s="45">
        <f>IF(F219="","",IF(NOT(ISNUMBER(F219)),"Compenso non valido",IF(C219="","Da incassare",IF(NOT(ISNUMBER(C219)),"Data non valida",IF(YEAR(C219)='Parametri 2026'!$B$6,"Incassata","Incassata nel "&amp;YEAR(C219))))))</f>
        <v/>
      </c>
      <c r="O219" s="39" t="n"/>
    </row>
    <row r="220">
      <c r="A220" s="39" t="n"/>
      <c r="B220" s="40" t="n"/>
      <c r="C220" s="40" t="n"/>
      <c r="D220" s="39" t="n"/>
      <c r="E220" s="39" t="n"/>
      <c r="F220" s="41" t="n"/>
      <c r="G220" s="42" t="n"/>
      <c r="H220" s="43">
        <f>IF(ISNUMBER(F220),IF(OR(G220="Sì",G220="Si"),ROUND(F220*'Parametri 2026'!$B$16,2),0),"")</f>
        <v/>
      </c>
      <c r="I220" s="43">
        <f>IF(ISNUMBER(F220),F220+H220,"")</f>
        <v/>
      </c>
      <c r="J220" s="43">
        <f>IF(ISNUMBER(F220),IF(I220&gt;'Parametri 2026'!$B$14,'Parametri 2026'!$B$13,0),"")</f>
        <v/>
      </c>
      <c r="K220" s="42" t="n"/>
      <c r="L220" s="44">
        <f>IF(ISNUMBER(F220),I220+IF(K220="No",0,J220),"")</f>
        <v/>
      </c>
      <c r="M220" s="44">
        <f>IF(ISNUMBER(F220),I220+IF(AND(K220&lt;&gt;"No",Impostazioni!$B$29="Sì"),J220,0),"")</f>
        <v/>
      </c>
      <c r="N220" s="45">
        <f>IF(F220="","",IF(NOT(ISNUMBER(F220)),"Compenso non valido",IF(C220="","Da incassare",IF(NOT(ISNUMBER(C220)),"Data non valida",IF(YEAR(C220)='Parametri 2026'!$B$6,"Incassata","Incassata nel "&amp;YEAR(C220))))))</f>
        <v/>
      </c>
      <c r="O220" s="39" t="n"/>
    </row>
    <row r="221">
      <c r="A221" s="39" t="n"/>
      <c r="B221" s="40" t="n"/>
      <c r="C221" s="40" t="n"/>
      <c r="D221" s="39" t="n"/>
      <c r="E221" s="39" t="n"/>
      <c r="F221" s="41" t="n"/>
      <c r="G221" s="42" t="n"/>
      <c r="H221" s="43">
        <f>IF(ISNUMBER(F221),IF(OR(G221="Sì",G221="Si"),ROUND(F221*'Parametri 2026'!$B$16,2),0),"")</f>
        <v/>
      </c>
      <c r="I221" s="43">
        <f>IF(ISNUMBER(F221),F221+H221,"")</f>
        <v/>
      </c>
      <c r="J221" s="43">
        <f>IF(ISNUMBER(F221),IF(I221&gt;'Parametri 2026'!$B$14,'Parametri 2026'!$B$13,0),"")</f>
        <v/>
      </c>
      <c r="K221" s="42" t="n"/>
      <c r="L221" s="44">
        <f>IF(ISNUMBER(F221),I221+IF(K221="No",0,J221),"")</f>
        <v/>
      </c>
      <c r="M221" s="44">
        <f>IF(ISNUMBER(F221),I221+IF(AND(K221&lt;&gt;"No",Impostazioni!$B$29="Sì"),J221,0),"")</f>
        <v/>
      </c>
      <c r="N221" s="45">
        <f>IF(F221="","",IF(NOT(ISNUMBER(F221)),"Compenso non valido",IF(C221="","Da incassare",IF(NOT(ISNUMBER(C221)),"Data non valida",IF(YEAR(C221)='Parametri 2026'!$B$6,"Incassata","Incassata nel "&amp;YEAR(C221))))))</f>
        <v/>
      </c>
      <c r="O221" s="39" t="n"/>
    </row>
    <row r="222">
      <c r="A222" s="39" t="n"/>
      <c r="B222" s="40" t="n"/>
      <c r="C222" s="40" t="n"/>
      <c r="D222" s="39" t="n"/>
      <c r="E222" s="39" t="n"/>
      <c r="F222" s="41" t="n"/>
      <c r="G222" s="42" t="n"/>
      <c r="H222" s="43">
        <f>IF(ISNUMBER(F222),IF(OR(G222="Sì",G222="Si"),ROUND(F222*'Parametri 2026'!$B$16,2),0),"")</f>
        <v/>
      </c>
      <c r="I222" s="43">
        <f>IF(ISNUMBER(F222),F222+H222,"")</f>
        <v/>
      </c>
      <c r="J222" s="43">
        <f>IF(ISNUMBER(F222),IF(I222&gt;'Parametri 2026'!$B$14,'Parametri 2026'!$B$13,0),"")</f>
        <v/>
      </c>
      <c r="K222" s="42" t="n"/>
      <c r="L222" s="44">
        <f>IF(ISNUMBER(F222),I222+IF(K222="No",0,J222),"")</f>
        <v/>
      </c>
      <c r="M222" s="44">
        <f>IF(ISNUMBER(F222),I222+IF(AND(K222&lt;&gt;"No",Impostazioni!$B$29="Sì"),J222,0),"")</f>
        <v/>
      </c>
      <c r="N222" s="45">
        <f>IF(F222="","",IF(NOT(ISNUMBER(F222)),"Compenso non valido",IF(C222="","Da incassare",IF(NOT(ISNUMBER(C222)),"Data non valida",IF(YEAR(C222)='Parametri 2026'!$B$6,"Incassata","Incassata nel "&amp;YEAR(C222))))))</f>
        <v/>
      </c>
      <c r="O222" s="39" t="n"/>
    </row>
    <row r="223">
      <c r="A223" s="39" t="n"/>
      <c r="B223" s="40" t="n"/>
      <c r="C223" s="40" t="n"/>
      <c r="D223" s="39" t="n"/>
      <c r="E223" s="39" t="n"/>
      <c r="F223" s="41" t="n"/>
      <c r="G223" s="42" t="n"/>
      <c r="H223" s="43">
        <f>IF(ISNUMBER(F223),IF(OR(G223="Sì",G223="Si"),ROUND(F223*'Parametri 2026'!$B$16,2),0),"")</f>
        <v/>
      </c>
      <c r="I223" s="43">
        <f>IF(ISNUMBER(F223),F223+H223,"")</f>
        <v/>
      </c>
      <c r="J223" s="43">
        <f>IF(ISNUMBER(F223),IF(I223&gt;'Parametri 2026'!$B$14,'Parametri 2026'!$B$13,0),"")</f>
        <v/>
      </c>
      <c r="K223" s="42" t="n"/>
      <c r="L223" s="44">
        <f>IF(ISNUMBER(F223),I223+IF(K223="No",0,J223),"")</f>
        <v/>
      </c>
      <c r="M223" s="44">
        <f>IF(ISNUMBER(F223),I223+IF(AND(K223&lt;&gt;"No",Impostazioni!$B$29="Sì"),J223,0),"")</f>
        <v/>
      </c>
      <c r="N223" s="45">
        <f>IF(F223="","",IF(NOT(ISNUMBER(F223)),"Compenso non valido",IF(C223="","Da incassare",IF(NOT(ISNUMBER(C223)),"Data non valida",IF(YEAR(C223)='Parametri 2026'!$B$6,"Incassata","Incassata nel "&amp;YEAR(C223))))))</f>
        <v/>
      </c>
      <c r="O223" s="39" t="n"/>
    </row>
    <row r="224">
      <c r="A224" s="39" t="n"/>
      <c r="B224" s="40" t="n"/>
      <c r="C224" s="40" t="n"/>
      <c r="D224" s="39" t="n"/>
      <c r="E224" s="39" t="n"/>
      <c r="F224" s="41" t="n"/>
      <c r="G224" s="42" t="n"/>
      <c r="H224" s="43">
        <f>IF(ISNUMBER(F224),IF(OR(G224="Sì",G224="Si"),ROUND(F224*'Parametri 2026'!$B$16,2),0),"")</f>
        <v/>
      </c>
      <c r="I224" s="43">
        <f>IF(ISNUMBER(F224),F224+H224,"")</f>
        <v/>
      </c>
      <c r="J224" s="43">
        <f>IF(ISNUMBER(F224),IF(I224&gt;'Parametri 2026'!$B$14,'Parametri 2026'!$B$13,0),"")</f>
        <v/>
      </c>
      <c r="K224" s="42" t="n"/>
      <c r="L224" s="44">
        <f>IF(ISNUMBER(F224),I224+IF(K224="No",0,J224),"")</f>
        <v/>
      </c>
      <c r="M224" s="44">
        <f>IF(ISNUMBER(F224),I224+IF(AND(K224&lt;&gt;"No",Impostazioni!$B$29="Sì"),J224,0),"")</f>
        <v/>
      </c>
      <c r="N224" s="45">
        <f>IF(F224="","",IF(NOT(ISNUMBER(F224)),"Compenso non valido",IF(C224="","Da incassare",IF(NOT(ISNUMBER(C224)),"Data non valida",IF(YEAR(C224)='Parametri 2026'!$B$6,"Incassata","Incassata nel "&amp;YEAR(C224))))))</f>
        <v/>
      </c>
      <c r="O224" s="39" t="n"/>
    </row>
    <row r="225">
      <c r="A225" s="39" t="n"/>
      <c r="B225" s="40" t="n"/>
      <c r="C225" s="40" t="n"/>
      <c r="D225" s="39" t="n"/>
      <c r="E225" s="39" t="n"/>
      <c r="F225" s="41" t="n"/>
      <c r="G225" s="42" t="n"/>
      <c r="H225" s="43">
        <f>IF(ISNUMBER(F225),IF(OR(G225="Sì",G225="Si"),ROUND(F225*'Parametri 2026'!$B$16,2),0),"")</f>
        <v/>
      </c>
      <c r="I225" s="43">
        <f>IF(ISNUMBER(F225),F225+H225,"")</f>
        <v/>
      </c>
      <c r="J225" s="43">
        <f>IF(ISNUMBER(F225),IF(I225&gt;'Parametri 2026'!$B$14,'Parametri 2026'!$B$13,0),"")</f>
        <v/>
      </c>
      <c r="K225" s="42" t="n"/>
      <c r="L225" s="44">
        <f>IF(ISNUMBER(F225),I225+IF(K225="No",0,J225),"")</f>
        <v/>
      </c>
      <c r="M225" s="44">
        <f>IF(ISNUMBER(F225),I225+IF(AND(K225&lt;&gt;"No",Impostazioni!$B$29="Sì"),J225,0),"")</f>
        <v/>
      </c>
      <c r="N225" s="45">
        <f>IF(F225="","",IF(NOT(ISNUMBER(F225)),"Compenso non valido",IF(C225="","Da incassare",IF(NOT(ISNUMBER(C225)),"Data non valida",IF(YEAR(C225)='Parametri 2026'!$B$6,"Incassata","Incassata nel "&amp;YEAR(C225))))))</f>
        <v/>
      </c>
      <c r="O225" s="39" t="n"/>
    </row>
    <row r="226">
      <c r="A226" s="39" t="n"/>
      <c r="B226" s="40" t="n"/>
      <c r="C226" s="40" t="n"/>
      <c r="D226" s="39" t="n"/>
      <c r="E226" s="39" t="n"/>
      <c r="F226" s="41" t="n"/>
      <c r="G226" s="42" t="n"/>
      <c r="H226" s="43">
        <f>IF(ISNUMBER(F226),IF(OR(G226="Sì",G226="Si"),ROUND(F226*'Parametri 2026'!$B$16,2),0),"")</f>
        <v/>
      </c>
      <c r="I226" s="43">
        <f>IF(ISNUMBER(F226),F226+H226,"")</f>
        <v/>
      </c>
      <c r="J226" s="43">
        <f>IF(ISNUMBER(F226),IF(I226&gt;'Parametri 2026'!$B$14,'Parametri 2026'!$B$13,0),"")</f>
        <v/>
      </c>
      <c r="K226" s="42" t="n"/>
      <c r="L226" s="44">
        <f>IF(ISNUMBER(F226),I226+IF(K226="No",0,J226),"")</f>
        <v/>
      </c>
      <c r="M226" s="44">
        <f>IF(ISNUMBER(F226),I226+IF(AND(K226&lt;&gt;"No",Impostazioni!$B$29="Sì"),J226,0),"")</f>
        <v/>
      </c>
      <c r="N226" s="45">
        <f>IF(F226="","",IF(NOT(ISNUMBER(F226)),"Compenso non valido",IF(C226="","Da incassare",IF(NOT(ISNUMBER(C226)),"Data non valida",IF(YEAR(C226)='Parametri 2026'!$B$6,"Incassata","Incassata nel "&amp;YEAR(C226))))))</f>
        <v/>
      </c>
      <c r="O226" s="39" t="n"/>
    </row>
    <row r="227">
      <c r="A227" s="39" t="n"/>
      <c r="B227" s="40" t="n"/>
      <c r="C227" s="40" t="n"/>
      <c r="D227" s="39" t="n"/>
      <c r="E227" s="39" t="n"/>
      <c r="F227" s="41" t="n"/>
      <c r="G227" s="42" t="n"/>
      <c r="H227" s="43">
        <f>IF(ISNUMBER(F227),IF(OR(G227="Sì",G227="Si"),ROUND(F227*'Parametri 2026'!$B$16,2),0),"")</f>
        <v/>
      </c>
      <c r="I227" s="43">
        <f>IF(ISNUMBER(F227),F227+H227,"")</f>
        <v/>
      </c>
      <c r="J227" s="43">
        <f>IF(ISNUMBER(F227),IF(I227&gt;'Parametri 2026'!$B$14,'Parametri 2026'!$B$13,0),"")</f>
        <v/>
      </c>
      <c r="K227" s="42" t="n"/>
      <c r="L227" s="44">
        <f>IF(ISNUMBER(F227),I227+IF(K227="No",0,J227),"")</f>
        <v/>
      </c>
      <c r="M227" s="44">
        <f>IF(ISNUMBER(F227),I227+IF(AND(K227&lt;&gt;"No",Impostazioni!$B$29="Sì"),J227,0),"")</f>
        <v/>
      </c>
      <c r="N227" s="45">
        <f>IF(F227="","",IF(NOT(ISNUMBER(F227)),"Compenso non valido",IF(C227="","Da incassare",IF(NOT(ISNUMBER(C227)),"Data non valida",IF(YEAR(C227)='Parametri 2026'!$B$6,"Incassata","Incassata nel "&amp;YEAR(C227))))))</f>
        <v/>
      </c>
      <c r="O227" s="39" t="n"/>
    </row>
    <row r="228">
      <c r="A228" s="39" t="n"/>
      <c r="B228" s="40" t="n"/>
      <c r="C228" s="40" t="n"/>
      <c r="D228" s="39" t="n"/>
      <c r="E228" s="39" t="n"/>
      <c r="F228" s="41" t="n"/>
      <c r="G228" s="42" t="n"/>
      <c r="H228" s="43">
        <f>IF(ISNUMBER(F228),IF(OR(G228="Sì",G228="Si"),ROUND(F228*'Parametri 2026'!$B$16,2),0),"")</f>
        <v/>
      </c>
      <c r="I228" s="43">
        <f>IF(ISNUMBER(F228),F228+H228,"")</f>
        <v/>
      </c>
      <c r="J228" s="43">
        <f>IF(ISNUMBER(F228),IF(I228&gt;'Parametri 2026'!$B$14,'Parametri 2026'!$B$13,0),"")</f>
        <v/>
      </c>
      <c r="K228" s="42" t="n"/>
      <c r="L228" s="44">
        <f>IF(ISNUMBER(F228),I228+IF(K228="No",0,J228),"")</f>
        <v/>
      </c>
      <c r="M228" s="44">
        <f>IF(ISNUMBER(F228),I228+IF(AND(K228&lt;&gt;"No",Impostazioni!$B$29="Sì"),J228,0),"")</f>
        <v/>
      </c>
      <c r="N228" s="45">
        <f>IF(F228="","",IF(NOT(ISNUMBER(F228)),"Compenso non valido",IF(C228="","Da incassare",IF(NOT(ISNUMBER(C228)),"Data non valida",IF(YEAR(C228)='Parametri 2026'!$B$6,"Incassata","Incassata nel "&amp;YEAR(C228))))))</f>
        <v/>
      </c>
      <c r="O228" s="39" t="n"/>
    </row>
    <row r="229">
      <c r="A229" s="39" t="n"/>
      <c r="B229" s="40" t="n"/>
      <c r="C229" s="40" t="n"/>
      <c r="D229" s="39" t="n"/>
      <c r="E229" s="39" t="n"/>
      <c r="F229" s="41" t="n"/>
      <c r="G229" s="42" t="n"/>
      <c r="H229" s="43">
        <f>IF(ISNUMBER(F229),IF(OR(G229="Sì",G229="Si"),ROUND(F229*'Parametri 2026'!$B$16,2),0),"")</f>
        <v/>
      </c>
      <c r="I229" s="43">
        <f>IF(ISNUMBER(F229),F229+H229,"")</f>
        <v/>
      </c>
      <c r="J229" s="43">
        <f>IF(ISNUMBER(F229),IF(I229&gt;'Parametri 2026'!$B$14,'Parametri 2026'!$B$13,0),"")</f>
        <v/>
      </c>
      <c r="K229" s="42" t="n"/>
      <c r="L229" s="44">
        <f>IF(ISNUMBER(F229),I229+IF(K229="No",0,J229),"")</f>
        <v/>
      </c>
      <c r="M229" s="44">
        <f>IF(ISNUMBER(F229),I229+IF(AND(K229&lt;&gt;"No",Impostazioni!$B$29="Sì"),J229,0),"")</f>
        <v/>
      </c>
      <c r="N229" s="45">
        <f>IF(F229="","",IF(NOT(ISNUMBER(F229)),"Compenso non valido",IF(C229="","Da incassare",IF(NOT(ISNUMBER(C229)),"Data non valida",IF(YEAR(C229)='Parametri 2026'!$B$6,"Incassata","Incassata nel "&amp;YEAR(C229))))))</f>
        <v/>
      </c>
      <c r="O229" s="39" t="n"/>
    </row>
    <row r="230">
      <c r="A230" s="39" t="n"/>
      <c r="B230" s="40" t="n"/>
      <c r="C230" s="40" t="n"/>
      <c r="D230" s="39" t="n"/>
      <c r="E230" s="39" t="n"/>
      <c r="F230" s="41" t="n"/>
      <c r="G230" s="42" t="n"/>
      <c r="H230" s="43">
        <f>IF(ISNUMBER(F230),IF(OR(G230="Sì",G230="Si"),ROUND(F230*'Parametri 2026'!$B$16,2),0),"")</f>
        <v/>
      </c>
      <c r="I230" s="43">
        <f>IF(ISNUMBER(F230),F230+H230,"")</f>
        <v/>
      </c>
      <c r="J230" s="43">
        <f>IF(ISNUMBER(F230),IF(I230&gt;'Parametri 2026'!$B$14,'Parametri 2026'!$B$13,0),"")</f>
        <v/>
      </c>
      <c r="K230" s="42" t="n"/>
      <c r="L230" s="44">
        <f>IF(ISNUMBER(F230),I230+IF(K230="No",0,J230),"")</f>
        <v/>
      </c>
      <c r="M230" s="44">
        <f>IF(ISNUMBER(F230),I230+IF(AND(K230&lt;&gt;"No",Impostazioni!$B$29="Sì"),J230,0),"")</f>
        <v/>
      </c>
      <c r="N230" s="45">
        <f>IF(F230="","",IF(NOT(ISNUMBER(F230)),"Compenso non valido",IF(C230="","Da incassare",IF(NOT(ISNUMBER(C230)),"Data non valida",IF(YEAR(C230)='Parametri 2026'!$B$6,"Incassata","Incassata nel "&amp;YEAR(C230))))))</f>
        <v/>
      </c>
      <c r="O230" s="39" t="n"/>
    </row>
    <row r="231">
      <c r="A231" s="39" t="n"/>
      <c r="B231" s="40" t="n"/>
      <c r="C231" s="40" t="n"/>
      <c r="D231" s="39" t="n"/>
      <c r="E231" s="39" t="n"/>
      <c r="F231" s="41" t="n"/>
      <c r="G231" s="42" t="n"/>
      <c r="H231" s="43">
        <f>IF(ISNUMBER(F231),IF(OR(G231="Sì",G231="Si"),ROUND(F231*'Parametri 2026'!$B$16,2),0),"")</f>
        <v/>
      </c>
      <c r="I231" s="43">
        <f>IF(ISNUMBER(F231),F231+H231,"")</f>
        <v/>
      </c>
      <c r="J231" s="43">
        <f>IF(ISNUMBER(F231),IF(I231&gt;'Parametri 2026'!$B$14,'Parametri 2026'!$B$13,0),"")</f>
        <v/>
      </c>
      <c r="K231" s="42" t="n"/>
      <c r="L231" s="44">
        <f>IF(ISNUMBER(F231),I231+IF(K231="No",0,J231),"")</f>
        <v/>
      </c>
      <c r="M231" s="44">
        <f>IF(ISNUMBER(F231),I231+IF(AND(K231&lt;&gt;"No",Impostazioni!$B$29="Sì"),J231,0),"")</f>
        <v/>
      </c>
      <c r="N231" s="45">
        <f>IF(F231="","",IF(NOT(ISNUMBER(F231)),"Compenso non valido",IF(C231="","Da incassare",IF(NOT(ISNUMBER(C231)),"Data non valida",IF(YEAR(C231)='Parametri 2026'!$B$6,"Incassata","Incassata nel "&amp;YEAR(C231))))))</f>
        <v/>
      </c>
      <c r="O231" s="39" t="n"/>
    </row>
    <row r="232">
      <c r="A232" s="39" t="n"/>
      <c r="B232" s="40" t="n"/>
      <c r="C232" s="40" t="n"/>
      <c r="D232" s="39" t="n"/>
      <c r="E232" s="39" t="n"/>
      <c r="F232" s="41" t="n"/>
      <c r="G232" s="42" t="n"/>
      <c r="H232" s="43">
        <f>IF(ISNUMBER(F232),IF(OR(G232="Sì",G232="Si"),ROUND(F232*'Parametri 2026'!$B$16,2),0),"")</f>
        <v/>
      </c>
      <c r="I232" s="43">
        <f>IF(ISNUMBER(F232),F232+H232,"")</f>
        <v/>
      </c>
      <c r="J232" s="43">
        <f>IF(ISNUMBER(F232),IF(I232&gt;'Parametri 2026'!$B$14,'Parametri 2026'!$B$13,0),"")</f>
        <v/>
      </c>
      <c r="K232" s="42" t="n"/>
      <c r="L232" s="44">
        <f>IF(ISNUMBER(F232),I232+IF(K232="No",0,J232),"")</f>
        <v/>
      </c>
      <c r="M232" s="44">
        <f>IF(ISNUMBER(F232),I232+IF(AND(K232&lt;&gt;"No",Impostazioni!$B$29="Sì"),J232,0),"")</f>
        <v/>
      </c>
      <c r="N232" s="45">
        <f>IF(F232="","",IF(NOT(ISNUMBER(F232)),"Compenso non valido",IF(C232="","Da incassare",IF(NOT(ISNUMBER(C232)),"Data non valida",IF(YEAR(C232)='Parametri 2026'!$B$6,"Incassata","Incassata nel "&amp;YEAR(C232))))))</f>
        <v/>
      </c>
      <c r="O232" s="39" t="n"/>
    </row>
    <row r="233">
      <c r="A233" s="39" t="n"/>
      <c r="B233" s="40" t="n"/>
      <c r="C233" s="40" t="n"/>
      <c r="D233" s="39" t="n"/>
      <c r="E233" s="39" t="n"/>
      <c r="F233" s="41" t="n"/>
      <c r="G233" s="42" t="n"/>
      <c r="H233" s="43">
        <f>IF(ISNUMBER(F233),IF(OR(G233="Sì",G233="Si"),ROUND(F233*'Parametri 2026'!$B$16,2),0),"")</f>
        <v/>
      </c>
      <c r="I233" s="43">
        <f>IF(ISNUMBER(F233),F233+H233,"")</f>
        <v/>
      </c>
      <c r="J233" s="43">
        <f>IF(ISNUMBER(F233),IF(I233&gt;'Parametri 2026'!$B$14,'Parametri 2026'!$B$13,0),"")</f>
        <v/>
      </c>
      <c r="K233" s="42" t="n"/>
      <c r="L233" s="44">
        <f>IF(ISNUMBER(F233),I233+IF(K233="No",0,J233),"")</f>
        <v/>
      </c>
      <c r="M233" s="44">
        <f>IF(ISNUMBER(F233),I233+IF(AND(K233&lt;&gt;"No",Impostazioni!$B$29="Sì"),J233,0),"")</f>
        <v/>
      </c>
      <c r="N233" s="45">
        <f>IF(F233="","",IF(NOT(ISNUMBER(F233)),"Compenso non valido",IF(C233="","Da incassare",IF(NOT(ISNUMBER(C233)),"Data non valida",IF(YEAR(C233)='Parametri 2026'!$B$6,"Incassata","Incassata nel "&amp;YEAR(C233))))))</f>
        <v/>
      </c>
      <c r="O233" s="39" t="n"/>
    </row>
    <row r="234">
      <c r="A234" s="39" t="n"/>
      <c r="B234" s="40" t="n"/>
      <c r="C234" s="40" t="n"/>
      <c r="D234" s="39" t="n"/>
      <c r="E234" s="39" t="n"/>
      <c r="F234" s="41" t="n"/>
      <c r="G234" s="42" t="n"/>
      <c r="H234" s="43">
        <f>IF(ISNUMBER(F234),IF(OR(G234="Sì",G234="Si"),ROUND(F234*'Parametri 2026'!$B$16,2),0),"")</f>
        <v/>
      </c>
      <c r="I234" s="43">
        <f>IF(ISNUMBER(F234),F234+H234,"")</f>
        <v/>
      </c>
      <c r="J234" s="43">
        <f>IF(ISNUMBER(F234),IF(I234&gt;'Parametri 2026'!$B$14,'Parametri 2026'!$B$13,0),"")</f>
        <v/>
      </c>
      <c r="K234" s="42" t="n"/>
      <c r="L234" s="44">
        <f>IF(ISNUMBER(F234),I234+IF(K234="No",0,J234),"")</f>
        <v/>
      </c>
      <c r="M234" s="44">
        <f>IF(ISNUMBER(F234),I234+IF(AND(K234&lt;&gt;"No",Impostazioni!$B$29="Sì"),J234,0),"")</f>
        <v/>
      </c>
      <c r="N234" s="45">
        <f>IF(F234="","",IF(NOT(ISNUMBER(F234)),"Compenso non valido",IF(C234="","Da incassare",IF(NOT(ISNUMBER(C234)),"Data non valida",IF(YEAR(C234)='Parametri 2026'!$B$6,"Incassata","Incassata nel "&amp;YEAR(C234))))))</f>
        <v/>
      </c>
      <c r="O234" s="39" t="n"/>
    </row>
    <row r="235">
      <c r="A235" s="39" t="n"/>
      <c r="B235" s="40" t="n"/>
      <c r="C235" s="40" t="n"/>
      <c r="D235" s="39" t="n"/>
      <c r="E235" s="39" t="n"/>
      <c r="F235" s="41" t="n"/>
      <c r="G235" s="42" t="n"/>
      <c r="H235" s="43">
        <f>IF(ISNUMBER(F235),IF(OR(G235="Sì",G235="Si"),ROUND(F235*'Parametri 2026'!$B$16,2),0),"")</f>
        <v/>
      </c>
      <c r="I235" s="43">
        <f>IF(ISNUMBER(F235),F235+H235,"")</f>
        <v/>
      </c>
      <c r="J235" s="43">
        <f>IF(ISNUMBER(F235),IF(I235&gt;'Parametri 2026'!$B$14,'Parametri 2026'!$B$13,0),"")</f>
        <v/>
      </c>
      <c r="K235" s="42" t="n"/>
      <c r="L235" s="44">
        <f>IF(ISNUMBER(F235),I235+IF(K235="No",0,J235),"")</f>
        <v/>
      </c>
      <c r="M235" s="44">
        <f>IF(ISNUMBER(F235),I235+IF(AND(K235&lt;&gt;"No",Impostazioni!$B$29="Sì"),J235,0),"")</f>
        <v/>
      </c>
      <c r="N235" s="45">
        <f>IF(F235="","",IF(NOT(ISNUMBER(F235)),"Compenso non valido",IF(C235="","Da incassare",IF(NOT(ISNUMBER(C235)),"Data non valida",IF(YEAR(C235)='Parametri 2026'!$B$6,"Incassata","Incassata nel "&amp;YEAR(C235))))))</f>
        <v/>
      </c>
      <c r="O235" s="39" t="n"/>
    </row>
    <row r="236">
      <c r="A236" s="39" t="n"/>
      <c r="B236" s="40" t="n"/>
      <c r="C236" s="40" t="n"/>
      <c r="D236" s="39" t="n"/>
      <c r="E236" s="39" t="n"/>
      <c r="F236" s="41" t="n"/>
      <c r="G236" s="42" t="n"/>
      <c r="H236" s="43">
        <f>IF(ISNUMBER(F236),IF(OR(G236="Sì",G236="Si"),ROUND(F236*'Parametri 2026'!$B$16,2),0),"")</f>
        <v/>
      </c>
      <c r="I236" s="43">
        <f>IF(ISNUMBER(F236),F236+H236,"")</f>
        <v/>
      </c>
      <c r="J236" s="43">
        <f>IF(ISNUMBER(F236),IF(I236&gt;'Parametri 2026'!$B$14,'Parametri 2026'!$B$13,0),"")</f>
        <v/>
      </c>
      <c r="K236" s="42" t="n"/>
      <c r="L236" s="44">
        <f>IF(ISNUMBER(F236),I236+IF(K236="No",0,J236),"")</f>
        <v/>
      </c>
      <c r="M236" s="44">
        <f>IF(ISNUMBER(F236),I236+IF(AND(K236&lt;&gt;"No",Impostazioni!$B$29="Sì"),J236,0),"")</f>
        <v/>
      </c>
      <c r="N236" s="45">
        <f>IF(F236="","",IF(NOT(ISNUMBER(F236)),"Compenso non valido",IF(C236="","Da incassare",IF(NOT(ISNUMBER(C236)),"Data non valida",IF(YEAR(C236)='Parametri 2026'!$B$6,"Incassata","Incassata nel "&amp;YEAR(C236))))))</f>
        <v/>
      </c>
      <c r="O236" s="39" t="n"/>
    </row>
    <row r="237">
      <c r="A237" s="39" t="n"/>
      <c r="B237" s="40" t="n"/>
      <c r="C237" s="40" t="n"/>
      <c r="D237" s="39" t="n"/>
      <c r="E237" s="39" t="n"/>
      <c r="F237" s="41" t="n"/>
      <c r="G237" s="42" t="n"/>
      <c r="H237" s="43">
        <f>IF(ISNUMBER(F237),IF(OR(G237="Sì",G237="Si"),ROUND(F237*'Parametri 2026'!$B$16,2),0),"")</f>
        <v/>
      </c>
      <c r="I237" s="43">
        <f>IF(ISNUMBER(F237),F237+H237,"")</f>
        <v/>
      </c>
      <c r="J237" s="43">
        <f>IF(ISNUMBER(F237),IF(I237&gt;'Parametri 2026'!$B$14,'Parametri 2026'!$B$13,0),"")</f>
        <v/>
      </c>
      <c r="K237" s="42" t="n"/>
      <c r="L237" s="44">
        <f>IF(ISNUMBER(F237),I237+IF(K237="No",0,J237),"")</f>
        <v/>
      </c>
      <c r="M237" s="44">
        <f>IF(ISNUMBER(F237),I237+IF(AND(K237&lt;&gt;"No",Impostazioni!$B$29="Sì"),J237,0),"")</f>
        <v/>
      </c>
      <c r="N237" s="45">
        <f>IF(F237="","",IF(NOT(ISNUMBER(F237)),"Compenso non valido",IF(C237="","Da incassare",IF(NOT(ISNUMBER(C237)),"Data non valida",IF(YEAR(C237)='Parametri 2026'!$B$6,"Incassata","Incassata nel "&amp;YEAR(C237))))))</f>
        <v/>
      </c>
      <c r="O237" s="39" t="n"/>
    </row>
    <row r="238">
      <c r="A238" s="39" t="n"/>
      <c r="B238" s="40" t="n"/>
      <c r="C238" s="40" t="n"/>
      <c r="D238" s="39" t="n"/>
      <c r="E238" s="39" t="n"/>
      <c r="F238" s="41" t="n"/>
      <c r="G238" s="42" t="n"/>
      <c r="H238" s="43">
        <f>IF(ISNUMBER(F238),IF(OR(G238="Sì",G238="Si"),ROUND(F238*'Parametri 2026'!$B$16,2),0),"")</f>
        <v/>
      </c>
      <c r="I238" s="43">
        <f>IF(ISNUMBER(F238),F238+H238,"")</f>
        <v/>
      </c>
      <c r="J238" s="43">
        <f>IF(ISNUMBER(F238),IF(I238&gt;'Parametri 2026'!$B$14,'Parametri 2026'!$B$13,0),"")</f>
        <v/>
      </c>
      <c r="K238" s="42" t="n"/>
      <c r="L238" s="44">
        <f>IF(ISNUMBER(F238),I238+IF(K238="No",0,J238),"")</f>
        <v/>
      </c>
      <c r="M238" s="44">
        <f>IF(ISNUMBER(F238),I238+IF(AND(K238&lt;&gt;"No",Impostazioni!$B$29="Sì"),J238,0),"")</f>
        <v/>
      </c>
      <c r="N238" s="45">
        <f>IF(F238="","",IF(NOT(ISNUMBER(F238)),"Compenso non valido",IF(C238="","Da incassare",IF(NOT(ISNUMBER(C238)),"Data non valida",IF(YEAR(C238)='Parametri 2026'!$B$6,"Incassata","Incassata nel "&amp;YEAR(C238))))))</f>
        <v/>
      </c>
      <c r="O238" s="39" t="n"/>
    </row>
    <row r="239">
      <c r="A239" s="39" t="n"/>
      <c r="B239" s="40" t="n"/>
      <c r="C239" s="40" t="n"/>
      <c r="D239" s="39" t="n"/>
      <c r="E239" s="39" t="n"/>
      <c r="F239" s="41" t="n"/>
      <c r="G239" s="42" t="n"/>
      <c r="H239" s="43">
        <f>IF(ISNUMBER(F239),IF(OR(G239="Sì",G239="Si"),ROUND(F239*'Parametri 2026'!$B$16,2),0),"")</f>
        <v/>
      </c>
      <c r="I239" s="43">
        <f>IF(ISNUMBER(F239),F239+H239,"")</f>
        <v/>
      </c>
      <c r="J239" s="43">
        <f>IF(ISNUMBER(F239),IF(I239&gt;'Parametri 2026'!$B$14,'Parametri 2026'!$B$13,0),"")</f>
        <v/>
      </c>
      <c r="K239" s="42" t="n"/>
      <c r="L239" s="44">
        <f>IF(ISNUMBER(F239),I239+IF(K239="No",0,J239),"")</f>
        <v/>
      </c>
      <c r="M239" s="44">
        <f>IF(ISNUMBER(F239),I239+IF(AND(K239&lt;&gt;"No",Impostazioni!$B$29="Sì"),J239,0),"")</f>
        <v/>
      </c>
      <c r="N239" s="45">
        <f>IF(F239="","",IF(NOT(ISNUMBER(F239)),"Compenso non valido",IF(C239="","Da incassare",IF(NOT(ISNUMBER(C239)),"Data non valida",IF(YEAR(C239)='Parametri 2026'!$B$6,"Incassata","Incassata nel "&amp;YEAR(C239))))))</f>
        <v/>
      </c>
      <c r="O239" s="39" t="n"/>
    </row>
    <row r="240">
      <c r="A240" s="39" t="n"/>
      <c r="B240" s="40" t="n"/>
      <c r="C240" s="40" t="n"/>
      <c r="D240" s="39" t="n"/>
      <c r="E240" s="39" t="n"/>
      <c r="F240" s="41" t="n"/>
      <c r="G240" s="42" t="n"/>
      <c r="H240" s="43">
        <f>IF(ISNUMBER(F240),IF(OR(G240="Sì",G240="Si"),ROUND(F240*'Parametri 2026'!$B$16,2),0),"")</f>
        <v/>
      </c>
      <c r="I240" s="43">
        <f>IF(ISNUMBER(F240),F240+H240,"")</f>
        <v/>
      </c>
      <c r="J240" s="43">
        <f>IF(ISNUMBER(F240),IF(I240&gt;'Parametri 2026'!$B$14,'Parametri 2026'!$B$13,0),"")</f>
        <v/>
      </c>
      <c r="K240" s="42" t="n"/>
      <c r="L240" s="44">
        <f>IF(ISNUMBER(F240),I240+IF(K240="No",0,J240),"")</f>
        <v/>
      </c>
      <c r="M240" s="44">
        <f>IF(ISNUMBER(F240),I240+IF(AND(K240&lt;&gt;"No",Impostazioni!$B$29="Sì"),J240,0),"")</f>
        <v/>
      </c>
      <c r="N240" s="45">
        <f>IF(F240="","",IF(NOT(ISNUMBER(F240)),"Compenso non valido",IF(C240="","Da incassare",IF(NOT(ISNUMBER(C240)),"Data non valida",IF(YEAR(C240)='Parametri 2026'!$B$6,"Incassata","Incassata nel "&amp;YEAR(C240))))))</f>
        <v/>
      </c>
      <c r="O240" s="39" t="n"/>
    </row>
    <row r="241">
      <c r="A241" s="39" t="n"/>
      <c r="B241" s="40" t="n"/>
      <c r="C241" s="40" t="n"/>
      <c r="D241" s="39" t="n"/>
      <c r="E241" s="39" t="n"/>
      <c r="F241" s="41" t="n"/>
      <c r="G241" s="42" t="n"/>
      <c r="H241" s="43">
        <f>IF(ISNUMBER(F241),IF(OR(G241="Sì",G241="Si"),ROUND(F241*'Parametri 2026'!$B$16,2),0),"")</f>
        <v/>
      </c>
      <c r="I241" s="43">
        <f>IF(ISNUMBER(F241),F241+H241,"")</f>
        <v/>
      </c>
      <c r="J241" s="43">
        <f>IF(ISNUMBER(F241),IF(I241&gt;'Parametri 2026'!$B$14,'Parametri 2026'!$B$13,0),"")</f>
        <v/>
      </c>
      <c r="K241" s="42" t="n"/>
      <c r="L241" s="44">
        <f>IF(ISNUMBER(F241),I241+IF(K241="No",0,J241),"")</f>
        <v/>
      </c>
      <c r="M241" s="44">
        <f>IF(ISNUMBER(F241),I241+IF(AND(K241&lt;&gt;"No",Impostazioni!$B$29="Sì"),J241,0),"")</f>
        <v/>
      </c>
      <c r="N241" s="45">
        <f>IF(F241="","",IF(NOT(ISNUMBER(F241)),"Compenso non valido",IF(C241="","Da incassare",IF(NOT(ISNUMBER(C241)),"Data non valida",IF(YEAR(C241)='Parametri 2026'!$B$6,"Incassata","Incassata nel "&amp;YEAR(C241))))))</f>
        <v/>
      </c>
      <c r="O241" s="39" t="n"/>
    </row>
    <row r="242">
      <c r="A242" s="39" t="n"/>
      <c r="B242" s="40" t="n"/>
      <c r="C242" s="40" t="n"/>
      <c r="D242" s="39" t="n"/>
      <c r="E242" s="39" t="n"/>
      <c r="F242" s="41" t="n"/>
      <c r="G242" s="42" t="n"/>
      <c r="H242" s="43">
        <f>IF(ISNUMBER(F242),IF(OR(G242="Sì",G242="Si"),ROUND(F242*'Parametri 2026'!$B$16,2),0),"")</f>
        <v/>
      </c>
      <c r="I242" s="43">
        <f>IF(ISNUMBER(F242),F242+H242,"")</f>
        <v/>
      </c>
      <c r="J242" s="43">
        <f>IF(ISNUMBER(F242),IF(I242&gt;'Parametri 2026'!$B$14,'Parametri 2026'!$B$13,0),"")</f>
        <v/>
      </c>
      <c r="K242" s="42" t="n"/>
      <c r="L242" s="44">
        <f>IF(ISNUMBER(F242),I242+IF(K242="No",0,J242),"")</f>
        <v/>
      </c>
      <c r="M242" s="44">
        <f>IF(ISNUMBER(F242),I242+IF(AND(K242&lt;&gt;"No",Impostazioni!$B$29="Sì"),J242,0),"")</f>
        <v/>
      </c>
      <c r="N242" s="45">
        <f>IF(F242="","",IF(NOT(ISNUMBER(F242)),"Compenso non valido",IF(C242="","Da incassare",IF(NOT(ISNUMBER(C242)),"Data non valida",IF(YEAR(C242)='Parametri 2026'!$B$6,"Incassata","Incassata nel "&amp;YEAR(C242))))))</f>
        <v/>
      </c>
      <c r="O242" s="39" t="n"/>
    </row>
    <row r="243">
      <c r="A243" s="39" t="n"/>
      <c r="B243" s="40" t="n"/>
      <c r="C243" s="40" t="n"/>
      <c r="D243" s="39" t="n"/>
      <c r="E243" s="39" t="n"/>
      <c r="F243" s="41" t="n"/>
      <c r="G243" s="42" t="n"/>
      <c r="H243" s="43">
        <f>IF(ISNUMBER(F243),IF(OR(G243="Sì",G243="Si"),ROUND(F243*'Parametri 2026'!$B$16,2),0),"")</f>
        <v/>
      </c>
      <c r="I243" s="43">
        <f>IF(ISNUMBER(F243),F243+H243,"")</f>
        <v/>
      </c>
      <c r="J243" s="43">
        <f>IF(ISNUMBER(F243),IF(I243&gt;'Parametri 2026'!$B$14,'Parametri 2026'!$B$13,0),"")</f>
        <v/>
      </c>
      <c r="K243" s="42" t="n"/>
      <c r="L243" s="44">
        <f>IF(ISNUMBER(F243),I243+IF(K243="No",0,J243),"")</f>
        <v/>
      </c>
      <c r="M243" s="44">
        <f>IF(ISNUMBER(F243),I243+IF(AND(K243&lt;&gt;"No",Impostazioni!$B$29="Sì"),J243,0),"")</f>
        <v/>
      </c>
      <c r="N243" s="45">
        <f>IF(F243="","",IF(NOT(ISNUMBER(F243)),"Compenso non valido",IF(C243="","Da incassare",IF(NOT(ISNUMBER(C243)),"Data non valida",IF(YEAR(C243)='Parametri 2026'!$B$6,"Incassata","Incassata nel "&amp;YEAR(C243))))))</f>
        <v/>
      </c>
      <c r="O243" s="39" t="n"/>
    </row>
    <row r="244">
      <c r="A244" s="39" t="n"/>
      <c r="B244" s="40" t="n"/>
      <c r="C244" s="40" t="n"/>
      <c r="D244" s="39" t="n"/>
      <c r="E244" s="39" t="n"/>
      <c r="F244" s="41" t="n"/>
      <c r="G244" s="42" t="n"/>
      <c r="H244" s="43">
        <f>IF(ISNUMBER(F244),IF(OR(G244="Sì",G244="Si"),ROUND(F244*'Parametri 2026'!$B$16,2),0),"")</f>
        <v/>
      </c>
      <c r="I244" s="43">
        <f>IF(ISNUMBER(F244),F244+H244,"")</f>
        <v/>
      </c>
      <c r="J244" s="43">
        <f>IF(ISNUMBER(F244),IF(I244&gt;'Parametri 2026'!$B$14,'Parametri 2026'!$B$13,0),"")</f>
        <v/>
      </c>
      <c r="K244" s="42" t="n"/>
      <c r="L244" s="44">
        <f>IF(ISNUMBER(F244),I244+IF(K244="No",0,J244),"")</f>
        <v/>
      </c>
      <c r="M244" s="44">
        <f>IF(ISNUMBER(F244),I244+IF(AND(K244&lt;&gt;"No",Impostazioni!$B$29="Sì"),J244,0),"")</f>
        <v/>
      </c>
      <c r="N244" s="45">
        <f>IF(F244="","",IF(NOT(ISNUMBER(F244)),"Compenso non valido",IF(C244="","Da incassare",IF(NOT(ISNUMBER(C244)),"Data non valida",IF(YEAR(C244)='Parametri 2026'!$B$6,"Incassata","Incassata nel "&amp;YEAR(C244))))))</f>
        <v/>
      </c>
      <c r="O244" s="39" t="n"/>
    </row>
    <row r="245">
      <c r="A245" s="39" t="n"/>
      <c r="B245" s="40" t="n"/>
      <c r="C245" s="40" t="n"/>
      <c r="D245" s="39" t="n"/>
      <c r="E245" s="39" t="n"/>
      <c r="F245" s="41" t="n"/>
      <c r="G245" s="42" t="n"/>
      <c r="H245" s="43">
        <f>IF(ISNUMBER(F245),IF(OR(G245="Sì",G245="Si"),ROUND(F245*'Parametri 2026'!$B$16,2),0),"")</f>
        <v/>
      </c>
      <c r="I245" s="43">
        <f>IF(ISNUMBER(F245),F245+H245,"")</f>
        <v/>
      </c>
      <c r="J245" s="43">
        <f>IF(ISNUMBER(F245),IF(I245&gt;'Parametri 2026'!$B$14,'Parametri 2026'!$B$13,0),"")</f>
        <v/>
      </c>
      <c r="K245" s="42" t="n"/>
      <c r="L245" s="44">
        <f>IF(ISNUMBER(F245),I245+IF(K245="No",0,J245),"")</f>
        <v/>
      </c>
      <c r="M245" s="44">
        <f>IF(ISNUMBER(F245),I245+IF(AND(K245&lt;&gt;"No",Impostazioni!$B$29="Sì"),J245,0),"")</f>
        <v/>
      </c>
      <c r="N245" s="45">
        <f>IF(F245="","",IF(NOT(ISNUMBER(F245)),"Compenso non valido",IF(C245="","Da incassare",IF(NOT(ISNUMBER(C245)),"Data non valida",IF(YEAR(C245)='Parametri 2026'!$B$6,"Incassata","Incassata nel "&amp;YEAR(C245))))))</f>
        <v/>
      </c>
      <c r="O245" s="39" t="n"/>
    </row>
    <row r="246">
      <c r="A246" s="39" t="n"/>
      <c r="B246" s="40" t="n"/>
      <c r="C246" s="40" t="n"/>
      <c r="D246" s="39" t="n"/>
      <c r="E246" s="39" t="n"/>
      <c r="F246" s="41" t="n"/>
      <c r="G246" s="42" t="n"/>
      <c r="H246" s="43">
        <f>IF(ISNUMBER(F246),IF(OR(G246="Sì",G246="Si"),ROUND(F246*'Parametri 2026'!$B$16,2),0),"")</f>
        <v/>
      </c>
      <c r="I246" s="43">
        <f>IF(ISNUMBER(F246),F246+H246,"")</f>
        <v/>
      </c>
      <c r="J246" s="43">
        <f>IF(ISNUMBER(F246),IF(I246&gt;'Parametri 2026'!$B$14,'Parametri 2026'!$B$13,0),"")</f>
        <v/>
      </c>
      <c r="K246" s="42" t="n"/>
      <c r="L246" s="44">
        <f>IF(ISNUMBER(F246),I246+IF(K246="No",0,J246),"")</f>
        <v/>
      </c>
      <c r="M246" s="44">
        <f>IF(ISNUMBER(F246),I246+IF(AND(K246&lt;&gt;"No",Impostazioni!$B$29="Sì"),J246,0),"")</f>
        <v/>
      </c>
      <c r="N246" s="45">
        <f>IF(F246="","",IF(NOT(ISNUMBER(F246)),"Compenso non valido",IF(C246="","Da incassare",IF(NOT(ISNUMBER(C246)),"Data non valida",IF(YEAR(C246)='Parametri 2026'!$B$6,"Incassata","Incassata nel "&amp;YEAR(C246))))))</f>
        <v/>
      </c>
      <c r="O246" s="39" t="n"/>
    </row>
    <row r="247">
      <c r="A247" s="39" t="n"/>
      <c r="B247" s="40" t="n"/>
      <c r="C247" s="40" t="n"/>
      <c r="D247" s="39" t="n"/>
      <c r="E247" s="39" t="n"/>
      <c r="F247" s="41" t="n"/>
      <c r="G247" s="42" t="n"/>
      <c r="H247" s="43">
        <f>IF(ISNUMBER(F247),IF(OR(G247="Sì",G247="Si"),ROUND(F247*'Parametri 2026'!$B$16,2),0),"")</f>
        <v/>
      </c>
      <c r="I247" s="43">
        <f>IF(ISNUMBER(F247),F247+H247,"")</f>
        <v/>
      </c>
      <c r="J247" s="43">
        <f>IF(ISNUMBER(F247),IF(I247&gt;'Parametri 2026'!$B$14,'Parametri 2026'!$B$13,0),"")</f>
        <v/>
      </c>
      <c r="K247" s="42" t="n"/>
      <c r="L247" s="44">
        <f>IF(ISNUMBER(F247),I247+IF(K247="No",0,J247),"")</f>
        <v/>
      </c>
      <c r="M247" s="44">
        <f>IF(ISNUMBER(F247),I247+IF(AND(K247&lt;&gt;"No",Impostazioni!$B$29="Sì"),J247,0),"")</f>
        <v/>
      </c>
      <c r="N247" s="45">
        <f>IF(F247="","",IF(NOT(ISNUMBER(F247)),"Compenso non valido",IF(C247="","Da incassare",IF(NOT(ISNUMBER(C247)),"Data non valida",IF(YEAR(C247)='Parametri 2026'!$B$6,"Incassata","Incassata nel "&amp;YEAR(C247))))))</f>
        <v/>
      </c>
      <c r="O247" s="39" t="n"/>
    </row>
    <row r="248">
      <c r="A248" s="39" t="n"/>
      <c r="B248" s="40" t="n"/>
      <c r="C248" s="40" t="n"/>
      <c r="D248" s="39" t="n"/>
      <c r="E248" s="39" t="n"/>
      <c r="F248" s="41" t="n"/>
      <c r="G248" s="42" t="n"/>
      <c r="H248" s="43">
        <f>IF(ISNUMBER(F248),IF(OR(G248="Sì",G248="Si"),ROUND(F248*'Parametri 2026'!$B$16,2),0),"")</f>
        <v/>
      </c>
      <c r="I248" s="43">
        <f>IF(ISNUMBER(F248),F248+H248,"")</f>
        <v/>
      </c>
      <c r="J248" s="43">
        <f>IF(ISNUMBER(F248),IF(I248&gt;'Parametri 2026'!$B$14,'Parametri 2026'!$B$13,0),"")</f>
        <v/>
      </c>
      <c r="K248" s="42" t="n"/>
      <c r="L248" s="44">
        <f>IF(ISNUMBER(F248),I248+IF(K248="No",0,J248),"")</f>
        <v/>
      </c>
      <c r="M248" s="44">
        <f>IF(ISNUMBER(F248),I248+IF(AND(K248&lt;&gt;"No",Impostazioni!$B$29="Sì"),J248,0),"")</f>
        <v/>
      </c>
      <c r="N248" s="45">
        <f>IF(F248="","",IF(NOT(ISNUMBER(F248)),"Compenso non valido",IF(C248="","Da incassare",IF(NOT(ISNUMBER(C248)),"Data non valida",IF(YEAR(C248)='Parametri 2026'!$B$6,"Incassata","Incassata nel "&amp;YEAR(C248))))))</f>
        <v/>
      </c>
      <c r="O248" s="39" t="n"/>
    </row>
    <row r="249">
      <c r="A249" s="39" t="n"/>
      <c r="B249" s="40" t="n"/>
      <c r="C249" s="40" t="n"/>
      <c r="D249" s="39" t="n"/>
      <c r="E249" s="39" t="n"/>
      <c r="F249" s="41" t="n"/>
      <c r="G249" s="42" t="n"/>
      <c r="H249" s="43">
        <f>IF(ISNUMBER(F249),IF(OR(G249="Sì",G249="Si"),ROUND(F249*'Parametri 2026'!$B$16,2),0),"")</f>
        <v/>
      </c>
      <c r="I249" s="43">
        <f>IF(ISNUMBER(F249),F249+H249,"")</f>
        <v/>
      </c>
      <c r="J249" s="43">
        <f>IF(ISNUMBER(F249),IF(I249&gt;'Parametri 2026'!$B$14,'Parametri 2026'!$B$13,0),"")</f>
        <v/>
      </c>
      <c r="K249" s="42" t="n"/>
      <c r="L249" s="44">
        <f>IF(ISNUMBER(F249),I249+IF(K249="No",0,J249),"")</f>
        <v/>
      </c>
      <c r="M249" s="44">
        <f>IF(ISNUMBER(F249),I249+IF(AND(K249&lt;&gt;"No",Impostazioni!$B$29="Sì"),J249,0),"")</f>
        <v/>
      </c>
      <c r="N249" s="45">
        <f>IF(F249="","",IF(NOT(ISNUMBER(F249)),"Compenso non valido",IF(C249="","Da incassare",IF(NOT(ISNUMBER(C249)),"Data non valida",IF(YEAR(C249)='Parametri 2026'!$B$6,"Incassata","Incassata nel "&amp;YEAR(C249))))))</f>
        <v/>
      </c>
      <c r="O249" s="39" t="n"/>
    </row>
    <row r="250">
      <c r="A250" s="39" t="n"/>
      <c r="B250" s="40" t="n"/>
      <c r="C250" s="40" t="n"/>
      <c r="D250" s="39" t="n"/>
      <c r="E250" s="39" t="n"/>
      <c r="F250" s="41" t="n"/>
      <c r="G250" s="42" t="n"/>
      <c r="H250" s="43">
        <f>IF(ISNUMBER(F250),IF(OR(G250="Sì",G250="Si"),ROUND(F250*'Parametri 2026'!$B$16,2),0),"")</f>
        <v/>
      </c>
      <c r="I250" s="43">
        <f>IF(ISNUMBER(F250),F250+H250,"")</f>
        <v/>
      </c>
      <c r="J250" s="43">
        <f>IF(ISNUMBER(F250),IF(I250&gt;'Parametri 2026'!$B$14,'Parametri 2026'!$B$13,0),"")</f>
        <v/>
      </c>
      <c r="K250" s="42" t="n"/>
      <c r="L250" s="44">
        <f>IF(ISNUMBER(F250),I250+IF(K250="No",0,J250),"")</f>
        <v/>
      </c>
      <c r="M250" s="44">
        <f>IF(ISNUMBER(F250),I250+IF(AND(K250&lt;&gt;"No",Impostazioni!$B$29="Sì"),J250,0),"")</f>
        <v/>
      </c>
      <c r="N250" s="45">
        <f>IF(F250="","",IF(NOT(ISNUMBER(F250)),"Compenso non valido",IF(C250="","Da incassare",IF(NOT(ISNUMBER(C250)),"Data non valida",IF(YEAR(C250)='Parametri 2026'!$B$6,"Incassata","Incassata nel "&amp;YEAR(C250))))))</f>
        <v/>
      </c>
      <c r="O250" s="39" t="n"/>
    </row>
    <row r="251">
      <c r="A251" s="39" t="n"/>
      <c r="B251" s="40" t="n"/>
      <c r="C251" s="40" t="n"/>
      <c r="D251" s="39" t="n"/>
      <c r="E251" s="39" t="n"/>
      <c r="F251" s="41" t="n"/>
      <c r="G251" s="42" t="n"/>
      <c r="H251" s="43">
        <f>IF(ISNUMBER(F251),IF(OR(G251="Sì",G251="Si"),ROUND(F251*'Parametri 2026'!$B$16,2),0),"")</f>
        <v/>
      </c>
      <c r="I251" s="43">
        <f>IF(ISNUMBER(F251),F251+H251,"")</f>
        <v/>
      </c>
      <c r="J251" s="43">
        <f>IF(ISNUMBER(F251),IF(I251&gt;'Parametri 2026'!$B$14,'Parametri 2026'!$B$13,0),"")</f>
        <v/>
      </c>
      <c r="K251" s="42" t="n"/>
      <c r="L251" s="44">
        <f>IF(ISNUMBER(F251),I251+IF(K251="No",0,J251),"")</f>
        <v/>
      </c>
      <c r="M251" s="44">
        <f>IF(ISNUMBER(F251),I251+IF(AND(K251&lt;&gt;"No",Impostazioni!$B$29="Sì"),J251,0),"")</f>
        <v/>
      </c>
      <c r="N251" s="45">
        <f>IF(F251="","",IF(NOT(ISNUMBER(F251)),"Compenso non valido",IF(C251="","Da incassare",IF(NOT(ISNUMBER(C251)),"Data non valida",IF(YEAR(C251)='Parametri 2026'!$B$6,"Incassata","Incassata nel "&amp;YEAR(C251))))))</f>
        <v/>
      </c>
      <c r="O251" s="39" t="n"/>
    </row>
    <row r="252">
      <c r="A252" s="39" t="n"/>
      <c r="B252" s="40" t="n"/>
      <c r="C252" s="40" t="n"/>
      <c r="D252" s="39" t="n"/>
      <c r="E252" s="39" t="n"/>
      <c r="F252" s="41" t="n"/>
      <c r="G252" s="42" t="n"/>
      <c r="H252" s="43">
        <f>IF(ISNUMBER(F252),IF(OR(G252="Sì",G252="Si"),ROUND(F252*'Parametri 2026'!$B$16,2),0),"")</f>
        <v/>
      </c>
      <c r="I252" s="43">
        <f>IF(ISNUMBER(F252),F252+H252,"")</f>
        <v/>
      </c>
      <c r="J252" s="43">
        <f>IF(ISNUMBER(F252),IF(I252&gt;'Parametri 2026'!$B$14,'Parametri 2026'!$B$13,0),"")</f>
        <v/>
      </c>
      <c r="K252" s="42" t="n"/>
      <c r="L252" s="44">
        <f>IF(ISNUMBER(F252),I252+IF(K252="No",0,J252),"")</f>
        <v/>
      </c>
      <c r="M252" s="44">
        <f>IF(ISNUMBER(F252),I252+IF(AND(K252&lt;&gt;"No",Impostazioni!$B$29="Sì"),J252,0),"")</f>
        <v/>
      </c>
      <c r="N252" s="45">
        <f>IF(F252="","",IF(NOT(ISNUMBER(F252)),"Compenso non valido",IF(C252="","Da incassare",IF(NOT(ISNUMBER(C252)),"Data non valida",IF(YEAR(C252)='Parametri 2026'!$B$6,"Incassata","Incassata nel "&amp;YEAR(C252))))))</f>
        <v/>
      </c>
      <c r="O252" s="39" t="n"/>
    </row>
    <row r="253">
      <c r="A253" s="39" t="n"/>
      <c r="B253" s="40" t="n"/>
      <c r="C253" s="40" t="n"/>
      <c r="D253" s="39" t="n"/>
      <c r="E253" s="39" t="n"/>
      <c r="F253" s="41" t="n"/>
      <c r="G253" s="42" t="n"/>
      <c r="H253" s="43">
        <f>IF(ISNUMBER(F253),IF(OR(G253="Sì",G253="Si"),ROUND(F253*'Parametri 2026'!$B$16,2),0),"")</f>
        <v/>
      </c>
      <c r="I253" s="43">
        <f>IF(ISNUMBER(F253),F253+H253,"")</f>
        <v/>
      </c>
      <c r="J253" s="43">
        <f>IF(ISNUMBER(F253),IF(I253&gt;'Parametri 2026'!$B$14,'Parametri 2026'!$B$13,0),"")</f>
        <v/>
      </c>
      <c r="K253" s="42" t="n"/>
      <c r="L253" s="44">
        <f>IF(ISNUMBER(F253),I253+IF(K253="No",0,J253),"")</f>
        <v/>
      </c>
      <c r="M253" s="44">
        <f>IF(ISNUMBER(F253),I253+IF(AND(K253&lt;&gt;"No",Impostazioni!$B$29="Sì"),J253,0),"")</f>
        <v/>
      </c>
      <c r="N253" s="45">
        <f>IF(F253="","",IF(NOT(ISNUMBER(F253)),"Compenso non valido",IF(C253="","Da incassare",IF(NOT(ISNUMBER(C253)),"Data non valida",IF(YEAR(C253)='Parametri 2026'!$B$6,"Incassata","Incassata nel "&amp;YEAR(C253))))))</f>
        <v/>
      </c>
      <c r="O253" s="39" t="n"/>
    </row>
    <row r="254">
      <c r="A254" s="39" t="n"/>
      <c r="B254" s="40" t="n"/>
      <c r="C254" s="40" t="n"/>
      <c r="D254" s="39" t="n"/>
      <c r="E254" s="39" t="n"/>
      <c r="F254" s="41" t="n"/>
      <c r="G254" s="42" t="n"/>
      <c r="H254" s="43">
        <f>IF(ISNUMBER(F254),IF(OR(G254="Sì",G254="Si"),ROUND(F254*'Parametri 2026'!$B$16,2),0),"")</f>
        <v/>
      </c>
      <c r="I254" s="43">
        <f>IF(ISNUMBER(F254),F254+H254,"")</f>
        <v/>
      </c>
      <c r="J254" s="43">
        <f>IF(ISNUMBER(F254),IF(I254&gt;'Parametri 2026'!$B$14,'Parametri 2026'!$B$13,0),"")</f>
        <v/>
      </c>
      <c r="K254" s="42" t="n"/>
      <c r="L254" s="44">
        <f>IF(ISNUMBER(F254),I254+IF(K254="No",0,J254),"")</f>
        <v/>
      </c>
      <c r="M254" s="44">
        <f>IF(ISNUMBER(F254),I254+IF(AND(K254&lt;&gt;"No",Impostazioni!$B$29="Sì"),J254,0),"")</f>
        <v/>
      </c>
      <c r="N254" s="45">
        <f>IF(F254="","",IF(NOT(ISNUMBER(F254)),"Compenso non valido",IF(C254="","Da incassare",IF(NOT(ISNUMBER(C254)),"Data non valida",IF(YEAR(C254)='Parametri 2026'!$B$6,"Incassata","Incassata nel "&amp;YEAR(C254))))))</f>
        <v/>
      </c>
      <c r="O254" s="39" t="n"/>
    </row>
    <row r="255">
      <c r="A255" s="39" t="n"/>
      <c r="B255" s="40" t="n"/>
      <c r="C255" s="40" t="n"/>
      <c r="D255" s="39" t="n"/>
      <c r="E255" s="39" t="n"/>
      <c r="F255" s="41" t="n"/>
      <c r="G255" s="42" t="n"/>
      <c r="H255" s="43">
        <f>IF(ISNUMBER(F255),IF(OR(G255="Sì",G255="Si"),ROUND(F255*'Parametri 2026'!$B$16,2),0),"")</f>
        <v/>
      </c>
      <c r="I255" s="43">
        <f>IF(ISNUMBER(F255),F255+H255,"")</f>
        <v/>
      </c>
      <c r="J255" s="43">
        <f>IF(ISNUMBER(F255),IF(I255&gt;'Parametri 2026'!$B$14,'Parametri 2026'!$B$13,0),"")</f>
        <v/>
      </c>
      <c r="K255" s="42" t="n"/>
      <c r="L255" s="44">
        <f>IF(ISNUMBER(F255),I255+IF(K255="No",0,J255),"")</f>
        <v/>
      </c>
      <c r="M255" s="44">
        <f>IF(ISNUMBER(F255),I255+IF(AND(K255&lt;&gt;"No",Impostazioni!$B$29="Sì"),J255,0),"")</f>
        <v/>
      </c>
      <c r="N255" s="45">
        <f>IF(F255="","",IF(NOT(ISNUMBER(F255)),"Compenso non valido",IF(C255="","Da incassare",IF(NOT(ISNUMBER(C255)),"Data non valida",IF(YEAR(C255)='Parametri 2026'!$B$6,"Incassata","Incassata nel "&amp;YEAR(C255))))))</f>
        <v/>
      </c>
      <c r="O255" s="39" t="n"/>
    </row>
    <row r="256">
      <c r="A256" s="39" t="n"/>
      <c r="B256" s="40" t="n"/>
      <c r="C256" s="40" t="n"/>
      <c r="D256" s="39" t="n"/>
      <c r="E256" s="39" t="n"/>
      <c r="F256" s="41" t="n"/>
      <c r="G256" s="42" t="n"/>
      <c r="H256" s="43">
        <f>IF(ISNUMBER(F256),IF(OR(G256="Sì",G256="Si"),ROUND(F256*'Parametri 2026'!$B$16,2),0),"")</f>
        <v/>
      </c>
      <c r="I256" s="43">
        <f>IF(ISNUMBER(F256),F256+H256,"")</f>
        <v/>
      </c>
      <c r="J256" s="43">
        <f>IF(ISNUMBER(F256),IF(I256&gt;'Parametri 2026'!$B$14,'Parametri 2026'!$B$13,0),"")</f>
        <v/>
      </c>
      <c r="K256" s="42" t="n"/>
      <c r="L256" s="44">
        <f>IF(ISNUMBER(F256),I256+IF(K256="No",0,J256),"")</f>
        <v/>
      </c>
      <c r="M256" s="44">
        <f>IF(ISNUMBER(F256),I256+IF(AND(K256&lt;&gt;"No",Impostazioni!$B$29="Sì"),J256,0),"")</f>
        <v/>
      </c>
      <c r="N256" s="45">
        <f>IF(F256="","",IF(NOT(ISNUMBER(F256)),"Compenso non valido",IF(C256="","Da incassare",IF(NOT(ISNUMBER(C256)),"Data non valida",IF(YEAR(C256)='Parametri 2026'!$B$6,"Incassata","Incassata nel "&amp;YEAR(C256))))))</f>
        <v/>
      </c>
      <c r="O256" s="39" t="n"/>
    </row>
    <row r="257">
      <c r="A257" s="39" t="n"/>
      <c r="B257" s="40" t="n"/>
      <c r="C257" s="40" t="n"/>
      <c r="D257" s="39" t="n"/>
      <c r="E257" s="39" t="n"/>
      <c r="F257" s="41" t="n"/>
      <c r="G257" s="42" t="n"/>
      <c r="H257" s="43">
        <f>IF(ISNUMBER(F257),IF(OR(G257="Sì",G257="Si"),ROUND(F257*'Parametri 2026'!$B$16,2),0),"")</f>
        <v/>
      </c>
      <c r="I257" s="43">
        <f>IF(ISNUMBER(F257),F257+H257,"")</f>
        <v/>
      </c>
      <c r="J257" s="43">
        <f>IF(ISNUMBER(F257),IF(I257&gt;'Parametri 2026'!$B$14,'Parametri 2026'!$B$13,0),"")</f>
        <v/>
      </c>
      <c r="K257" s="42" t="n"/>
      <c r="L257" s="44">
        <f>IF(ISNUMBER(F257),I257+IF(K257="No",0,J257),"")</f>
        <v/>
      </c>
      <c r="M257" s="44">
        <f>IF(ISNUMBER(F257),I257+IF(AND(K257&lt;&gt;"No",Impostazioni!$B$29="Sì"),J257,0),"")</f>
        <v/>
      </c>
      <c r="N257" s="45">
        <f>IF(F257="","",IF(NOT(ISNUMBER(F257)),"Compenso non valido",IF(C257="","Da incassare",IF(NOT(ISNUMBER(C257)),"Data non valida",IF(YEAR(C257)='Parametri 2026'!$B$6,"Incassata","Incassata nel "&amp;YEAR(C257))))))</f>
        <v/>
      </c>
      <c r="O257" s="39" t="n"/>
    </row>
    <row r="258">
      <c r="A258" s="39" t="n"/>
      <c r="B258" s="40" t="n"/>
      <c r="C258" s="40" t="n"/>
      <c r="D258" s="39" t="n"/>
      <c r="E258" s="39" t="n"/>
      <c r="F258" s="41" t="n"/>
      <c r="G258" s="42" t="n"/>
      <c r="H258" s="43">
        <f>IF(ISNUMBER(F258),IF(OR(G258="Sì",G258="Si"),ROUND(F258*'Parametri 2026'!$B$16,2),0),"")</f>
        <v/>
      </c>
      <c r="I258" s="43">
        <f>IF(ISNUMBER(F258),F258+H258,"")</f>
        <v/>
      </c>
      <c r="J258" s="43">
        <f>IF(ISNUMBER(F258),IF(I258&gt;'Parametri 2026'!$B$14,'Parametri 2026'!$B$13,0),"")</f>
        <v/>
      </c>
      <c r="K258" s="42" t="n"/>
      <c r="L258" s="44">
        <f>IF(ISNUMBER(F258),I258+IF(K258="No",0,J258),"")</f>
        <v/>
      </c>
      <c r="M258" s="44">
        <f>IF(ISNUMBER(F258),I258+IF(AND(K258&lt;&gt;"No",Impostazioni!$B$29="Sì"),J258,0),"")</f>
        <v/>
      </c>
      <c r="N258" s="45">
        <f>IF(F258="","",IF(NOT(ISNUMBER(F258)),"Compenso non valido",IF(C258="","Da incassare",IF(NOT(ISNUMBER(C258)),"Data non valida",IF(YEAR(C258)='Parametri 2026'!$B$6,"Incassata","Incassata nel "&amp;YEAR(C258))))))</f>
        <v/>
      </c>
      <c r="O258" s="39" t="n"/>
    </row>
    <row r="259">
      <c r="A259" s="39" t="n"/>
      <c r="B259" s="40" t="n"/>
      <c r="C259" s="40" t="n"/>
      <c r="D259" s="39" t="n"/>
      <c r="E259" s="39" t="n"/>
      <c r="F259" s="41" t="n"/>
      <c r="G259" s="42" t="n"/>
      <c r="H259" s="43">
        <f>IF(ISNUMBER(F259),IF(OR(G259="Sì",G259="Si"),ROUND(F259*'Parametri 2026'!$B$16,2),0),"")</f>
        <v/>
      </c>
      <c r="I259" s="43">
        <f>IF(ISNUMBER(F259),F259+H259,"")</f>
        <v/>
      </c>
      <c r="J259" s="43">
        <f>IF(ISNUMBER(F259),IF(I259&gt;'Parametri 2026'!$B$14,'Parametri 2026'!$B$13,0),"")</f>
        <v/>
      </c>
      <c r="K259" s="42" t="n"/>
      <c r="L259" s="44">
        <f>IF(ISNUMBER(F259),I259+IF(K259="No",0,J259),"")</f>
        <v/>
      </c>
      <c r="M259" s="44">
        <f>IF(ISNUMBER(F259),I259+IF(AND(K259&lt;&gt;"No",Impostazioni!$B$29="Sì"),J259,0),"")</f>
        <v/>
      </c>
      <c r="N259" s="45">
        <f>IF(F259="","",IF(NOT(ISNUMBER(F259)),"Compenso non valido",IF(C259="","Da incassare",IF(NOT(ISNUMBER(C259)),"Data non valida",IF(YEAR(C259)='Parametri 2026'!$B$6,"Incassata","Incassata nel "&amp;YEAR(C259))))))</f>
        <v/>
      </c>
      <c r="O259" s="39" t="n"/>
    </row>
    <row r="260">
      <c r="A260" s="39" t="n"/>
      <c r="B260" s="40" t="n"/>
      <c r="C260" s="40" t="n"/>
      <c r="D260" s="39" t="n"/>
      <c r="E260" s="39" t="n"/>
      <c r="F260" s="41" t="n"/>
      <c r="G260" s="42" t="n"/>
      <c r="H260" s="43">
        <f>IF(ISNUMBER(F260),IF(OR(G260="Sì",G260="Si"),ROUND(F260*'Parametri 2026'!$B$16,2),0),"")</f>
        <v/>
      </c>
      <c r="I260" s="43">
        <f>IF(ISNUMBER(F260),F260+H260,"")</f>
        <v/>
      </c>
      <c r="J260" s="43">
        <f>IF(ISNUMBER(F260),IF(I260&gt;'Parametri 2026'!$B$14,'Parametri 2026'!$B$13,0),"")</f>
        <v/>
      </c>
      <c r="K260" s="42" t="n"/>
      <c r="L260" s="44">
        <f>IF(ISNUMBER(F260),I260+IF(K260="No",0,J260),"")</f>
        <v/>
      </c>
      <c r="M260" s="44">
        <f>IF(ISNUMBER(F260),I260+IF(AND(K260&lt;&gt;"No",Impostazioni!$B$29="Sì"),J260,0),"")</f>
        <v/>
      </c>
      <c r="N260" s="45">
        <f>IF(F260="","",IF(NOT(ISNUMBER(F260)),"Compenso non valido",IF(C260="","Da incassare",IF(NOT(ISNUMBER(C260)),"Data non valida",IF(YEAR(C260)='Parametri 2026'!$B$6,"Incassata","Incassata nel "&amp;YEAR(C260))))))</f>
        <v/>
      </c>
      <c r="O260" s="39" t="n"/>
    </row>
    <row r="261">
      <c r="A261" s="39" t="n"/>
      <c r="B261" s="40" t="n"/>
      <c r="C261" s="40" t="n"/>
      <c r="D261" s="39" t="n"/>
      <c r="E261" s="39" t="n"/>
      <c r="F261" s="41" t="n"/>
      <c r="G261" s="42" t="n"/>
      <c r="H261" s="43">
        <f>IF(ISNUMBER(F261),IF(OR(G261="Sì",G261="Si"),ROUND(F261*'Parametri 2026'!$B$16,2),0),"")</f>
        <v/>
      </c>
      <c r="I261" s="43">
        <f>IF(ISNUMBER(F261),F261+H261,"")</f>
        <v/>
      </c>
      <c r="J261" s="43">
        <f>IF(ISNUMBER(F261),IF(I261&gt;'Parametri 2026'!$B$14,'Parametri 2026'!$B$13,0),"")</f>
        <v/>
      </c>
      <c r="K261" s="42" t="n"/>
      <c r="L261" s="44">
        <f>IF(ISNUMBER(F261),I261+IF(K261="No",0,J261),"")</f>
        <v/>
      </c>
      <c r="M261" s="44">
        <f>IF(ISNUMBER(F261),I261+IF(AND(K261&lt;&gt;"No",Impostazioni!$B$29="Sì"),J261,0),"")</f>
        <v/>
      </c>
      <c r="N261" s="45">
        <f>IF(F261="","",IF(NOT(ISNUMBER(F261)),"Compenso non valido",IF(C261="","Da incassare",IF(NOT(ISNUMBER(C261)),"Data non valida",IF(YEAR(C261)='Parametri 2026'!$B$6,"Incassata","Incassata nel "&amp;YEAR(C261))))))</f>
        <v/>
      </c>
      <c r="O261" s="39" t="n"/>
    </row>
    <row r="262">
      <c r="A262" s="39" t="n"/>
      <c r="B262" s="40" t="n"/>
      <c r="C262" s="40" t="n"/>
      <c r="D262" s="39" t="n"/>
      <c r="E262" s="39" t="n"/>
      <c r="F262" s="41" t="n"/>
      <c r="G262" s="42" t="n"/>
      <c r="H262" s="43">
        <f>IF(ISNUMBER(F262),IF(OR(G262="Sì",G262="Si"),ROUND(F262*'Parametri 2026'!$B$16,2),0),"")</f>
        <v/>
      </c>
      <c r="I262" s="43">
        <f>IF(ISNUMBER(F262),F262+H262,"")</f>
        <v/>
      </c>
      <c r="J262" s="43">
        <f>IF(ISNUMBER(F262),IF(I262&gt;'Parametri 2026'!$B$14,'Parametri 2026'!$B$13,0),"")</f>
        <v/>
      </c>
      <c r="K262" s="42" t="n"/>
      <c r="L262" s="44">
        <f>IF(ISNUMBER(F262),I262+IF(K262="No",0,J262),"")</f>
        <v/>
      </c>
      <c r="M262" s="44">
        <f>IF(ISNUMBER(F262),I262+IF(AND(K262&lt;&gt;"No",Impostazioni!$B$29="Sì"),J262,0),"")</f>
        <v/>
      </c>
      <c r="N262" s="45">
        <f>IF(F262="","",IF(NOT(ISNUMBER(F262)),"Compenso non valido",IF(C262="","Da incassare",IF(NOT(ISNUMBER(C262)),"Data non valida",IF(YEAR(C262)='Parametri 2026'!$B$6,"Incassata","Incassata nel "&amp;YEAR(C262))))))</f>
        <v/>
      </c>
      <c r="O262" s="39" t="n"/>
    </row>
    <row r="263">
      <c r="A263" s="39" t="n"/>
      <c r="B263" s="40" t="n"/>
      <c r="C263" s="40" t="n"/>
      <c r="D263" s="39" t="n"/>
      <c r="E263" s="39" t="n"/>
      <c r="F263" s="41" t="n"/>
      <c r="G263" s="42" t="n"/>
      <c r="H263" s="43">
        <f>IF(ISNUMBER(F263),IF(OR(G263="Sì",G263="Si"),ROUND(F263*'Parametri 2026'!$B$16,2),0),"")</f>
        <v/>
      </c>
      <c r="I263" s="43">
        <f>IF(ISNUMBER(F263),F263+H263,"")</f>
        <v/>
      </c>
      <c r="J263" s="43">
        <f>IF(ISNUMBER(F263),IF(I263&gt;'Parametri 2026'!$B$14,'Parametri 2026'!$B$13,0),"")</f>
        <v/>
      </c>
      <c r="K263" s="42" t="n"/>
      <c r="L263" s="44">
        <f>IF(ISNUMBER(F263),I263+IF(K263="No",0,J263),"")</f>
        <v/>
      </c>
      <c r="M263" s="44">
        <f>IF(ISNUMBER(F263),I263+IF(AND(K263&lt;&gt;"No",Impostazioni!$B$29="Sì"),J263,0),"")</f>
        <v/>
      </c>
      <c r="N263" s="45">
        <f>IF(F263="","",IF(NOT(ISNUMBER(F263)),"Compenso non valido",IF(C263="","Da incassare",IF(NOT(ISNUMBER(C263)),"Data non valida",IF(YEAR(C263)='Parametri 2026'!$B$6,"Incassata","Incassata nel "&amp;YEAR(C263))))))</f>
        <v/>
      </c>
      <c r="O263" s="39" t="n"/>
    </row>
    <row r="264">
      <c r="A264" s="39" t="n"/>
      <c r="B264" s="40" t="n"/>
      <c r="C264" s="40" t="n"/>
      <c r="D264" s="39" t="n"/>
      <c r="E264" s="39" t="n"/>
      <c r="F264" s="41" t="n"/>
      <c r="G264" s="42" t="n"/>
      <c r="H264" s="43">
        <f>IF(ISNUMBER(F264),IF(OR(G264="Sì",G264="Si"),ROUND(F264*'Parametri 2026'!$B$16,2),0),"")</f>
        <v/>
      </c>
      <c r="I264" s="43">
        <f>IF(ISNUMBER(F264),F264+H264,"")</f>
        <v/>
      </c>
      <c r="J264" s="43">
        <f>IF(ISNUMBER(F264),IF(I264&gt;'Parametri 2026'!$B$14,'Parametri 2026'!$B$13,0),"")</f>
        <v/>
      </c>
      <c r="K264" s="42" t="n"/>
      <c r="L264" s="44">
        <f>IF(ISNUMBER(F264),I264+IF(K264="No",0,J264),"")</f>
        <v/>
      </c>
      <c r="M264" s="44">
        <f>IF(ISNUMBER(F264),I264+IF(AND(K264&lt;&gt;"No",Impostazioni!$B$29="Sì"),J264,0),"")</f>
        <v/>
      </c>
      <c r="N264" s="45">
        <f>IF(F264="","",IF(NOT(ISNUMBER(F264)),"Compenso non valido",IF(C264="","Da incassare",IF(NOT(ISNUMBER(C264)),"Data non valida",IF(YEAR(C264)='Parametri 2026'!$B$6,"Incassata","Incassata nel "&amp;YEAR(C264))))))</f>
        <v/>
      </c>
      <c r="O264" s="39" t="n"/>
    </row>
    <row r="265">
      <c r="A265" s="39" t="n"/>
      <c r="B265" s="40" t="n"/>
      <c r="C265" s="40" t="n"/>
      <c r="D265" s="39" t="n"/>
      <c r="E265" s="39" t="n"/>
      <c r="F265" s="41" t="n"/>
      <c r="G265" s="42" t="n"/>
      <c r="H265" s="43">
        <f>IF(ISNUMBER(F265),IF(OR(G265="Sì",G265="Si"),ROUND(F265*'Parametri 2026'!$B$16,2),0),"")</f>
        <v/>
      </c>
      <c r="I265" s="43">
        <f>IF(ISNUMBER(F265),F265+H265,"")</f>
        <v/>
      </c>
      <c r="J265" s="43">
        <f>IF(ISNUMBER(F265),IF(I265&gt;'Parametri 2026'!$B$14,'Parametri 2026'!$B$13,0),"")</f>
        <v/>
      </c>
      <c r="K265" s="42" t="n"/>
      <c r="L265" s="44">
        <f>IF(ISNUMBER(F265),I265+IF(K265="No",0,J265),"")</f>
        <v/>
      </c>
      <c r="M265" s="44">
        <f>IF(ISNUMBER(F265),I265+IF(AND(K265&lt;&gt;"No",Impostazioni!$B$29="Sì"),J265,0),"")</f>
        <v/>
      </c>
      <c r="N265" s="45">
        <f>IF(F265="","",IF(NOT(ISNUMBER(F265)),"Compenso non valido",IF(C265="","Da incassare",IF(NOT(ISNUMBER(C265)),"Data non valida",IF(YEAR(C265)='Parametri 2026'!$B$6,"Incassata","Incassata nel "&amp;YEAR(C265))))))</f>
        <v/>
      </c>
      <c r="O265" s="39" t="n"/>
    </row>
    <row r="266">
      <c r="A266" s="39" t="n"/>
      <c r="B266" s="40" t="n"/>
      <c r="C266" s="40" t="n"/>
      <c r="D266" s="39" t="n"/>
      <c r="E266" s="39" t="n"/>
      <c r="F266" s="41" t="n"/>
      <c r="G266" s="42" t="n"/>
      <c r="H266" s="43">
        <f>IF(ISNUMBER(F266),IF(OR(G266="Sì",G266="Si"),ROUND(F266*'Parametri 2026'!$B$16,2),0),"")</f>
        <v/>
      </c>
      <c r="I266" s="43">
        <f>IF(ISNUMBER(F266),F266+H266,"")</f>
        <v/>
      </c>
      <c r="J266" s="43">
        <f>IF(ISNUMBER(F266),IF(I266&gt;'Parametri 2026'!$B$14,'Parametri 2026'!$B$13,0),"")</f>
        <v/>
      </c>
      <c r="K266" s="42" t="n"/>
      <c r="L266" s="44">
        <f>IF(ISNUMBER(F266),I266+IF(K266="No",0,J266),"")</f>
        <v/>
      </c>
      <c r="M266" s="44">
        <f>IF(ISNUMBER(F266),I266+IF(AND(K266&lt;&gt;"No",Impostazioni!$B$29="Sì"),J266,0),"")</f>
        <v/>
      </c>
      <c r="N266" s="45">
        <f>IF(F266="","",IF(NOT(ISNUMBER(F266)),"Compenso non valido",IF(C266="","Da incassare",IF(NOT(ISNUMBER(C266)),"Data non valida",IF(YEAR(C266)='Parametri 2026'!$B$6,"Incassata","Incassata nel "&amp;YEAR(C266))))))</f>
        <v/>
      </c>
      <c r="O266" s="39" t="n"/>
    </row>
    <row r="267">
      <c r="A267" s="39" t="n"/>
      <c r="B267" s="40" t="n"/>
      <c r="C267" s="40" t="n"/>
      <c r="D267" s="39" t="n"/>
      <c r="E267" s="39" t="n"/>
      <c r="F267" s="41" t="n"/>
      <c r="G267" s="42" t="n"/>
      <c r="H267" s="43">
        <f>IF(ISNUMBER(F267),IF(OR(G267="Sì",G267="Si"),ROUND(F267*'Parametri 2026'!$B$16,2),0),"")</f>
        <v/>
      </c>
      <c r="I267" s="43">
        <f>IF(ISNUMBER(F267),F267+H267,"")</f>
        <v/>
      </c>
      <c r="J267" s="43">
        <f>IF(ISNUMBER(F267),IF(I267&gt;'Parametri 2026'!$B$14,'Parametri 2026'!$B$13,0),"")</f>
        <v/>
      </c>
      <c r="K267" s="42" t="n"/>
      <c r="L267" s="44">
        <f>IF(ISNUMBER(F267),I267+IF(K267="No",0,J267),"")</f>
        <v/>
      </c>
      <c r="M267" s="44">
        <f>IF(ISNUMBER(F267),I267+IF(AND(K267&lt;&gt;"No",Impostazioni!$B$29="Sì"),J267,0),"")</f>
        <v/>
      </c>
      <c r="N267" s="45">
        <f>IF(F267="","",IF(NOT(ISNUMBER(F267)),"Compenso non valido",IF(C267="","Da incassare",IF(NOT(ISNUMBER(C267)),"Data non valida",IF(YEAR(C267)='Parametri 2026'!$B$6,"Incassata","Incassata nel "&amp;YEAR(C267))))))</f>
        <v/>
      </c>
      <c r="O267" s="39" t="n"/>
    </row>
    <row r="268">
      <c r="A268" s="39" t="n"/>
      <c r="B268" s="40" t="n"/>
      <c r="C268" s="40" t="n"/>
      <c r="D268" s="39" t="n"/>
      <c r="E268" s="39" t="n"/>
      <c r="F268" s="41" t="n"/>
      <c r="G268" s="42" t="n"/>
      <c r="H268" s="43">
        <f>IF(ISNUMBER(F268),IF(OR(G268="Sì",G268="Si"),ROUND(F268*'Parametri 2026'!$B$16,2),0),"")</f>
        <v/>
      </c>
      <c r="I268" s="43">
        <f>IF(ISNUMBER(F268),F268+H268,"")</f>
        <v/>
      </c>
      <c r="J268" s="43">
        <f>IF(ISNUMBER(F268),IF(I268&gt;'Parametri 2026'!$B$14,'Parametri 2026'!$B$13,0),"")</f>
        <v/>
      </c>
      <c r="K268" s="42" t="n"/>
      <c r="L268" s="44">
        <f>IF(ISNUMBER(F268),I268+IF(K268="No",0,J268),"")</f>
        <v/>
      </c>
      <c r="M268" s="44">
        <f>IF(ISNUMBER(F268),I268+IF(AND(K268&lt;&gt;"No",Impostazioni!$B$29="Sì"),J268,0),"")</f>
        <v/>
      </c>
      <c r="N268" s="45">
        <f>IF(F268="","",IF(NOT(ISNUMBER(F268)),"Compenso non valido",IF(C268="","Da incassare",IF(NOT(ISNUMBER(C268)),"Data non valida",IF(YEAR(C268)='Parametri 2026'!$B$6,"Incassata","Incassata nel "&amp;YEAR(C268))))))</f>
        <v/>
      </c>
      <c r="O268" s="39" t="n"/>
    </row>
    <row r="269">
      <c r="A269" s="39" t="n"/>
      <c r="B269" s="40" t="n"/>
      <c r="C269" s="40" t="n"/>
      <c r="D269" s="39" t="n"/>
      <c r="E269" s="39" t="n"/>
      <c r="F269" s="41" t="n"/>
      <c r="G269" s="42" t="n"/>
      <c r="H269" s="43">
        <f>IF(ISNUMBER(F269),IF(OR(G269="Sì",G269="Si"),ROUND(F269*'Parametri 2026'!$B$16,2),0),"")</f>
        <v/>
      </c>
      <c r="I269" s="43">
        <f>IF(ISNUMBER(F269),F269+H269,"")</f>
        <v/>
      </c>
      <c r="J269" s="43">
        <f>IF(ISNUMBER(F269),IF(I269&gt;'Parametri 2026'!$B$14,'Parametri 2026'!$B$13,0),"")</f>
        <v/>
      </c>
      <c r="K269" s="42" t="n"/>
      <c r="L269" s="44">
        <f>IF(ISNUMBER(F269),I269+IF(K269="No",0,J269),"")</f>
        <v/>
      </c>
      <c r="M269" s="44">
        <f>IF(ISNUMBER(F269),I269+IF(AND(K269&lt;&gt;"No",Impostazioni!$B$29="Sì"),J269,0),"")</f>
        <v/>
      </c>
      <c r="N269" s="45">
        <f>IF(F269="","",IF(NOT(ISNUMBER(F269)),"Compenso non valido",IF(C269="","Da incassare",IF(NOT(ISNUMBER(C269)),"Data non valida",IF(YEAR(C269)='Parametri 2026'!$B$6,"Incassata","Incassata nel "&amp;YEAR(C269))))))</f>
        <v/>
      </c>
      <c r="O269" s="39" t="n"/>
    </row>
    <row r="270">
      <c r="A270" s="39" t="n"/>
      <c r="B270" s="40" t="n"/>
      <c r="C270" s="40" t="n"/>
      <c r="D270" s="39" t="n"/>
      <c r="E270" s="39" t="n"/>
      <c r="F270" s="41" t="n"/>
      <c r="G270" s="42" t="n"/>
      <c r="H270" s="43">
        <f>IF(ISNUMBER(F270),IF(OR(G270="Sì",G270="Si"),ROUND(F270*'Parametri 2026'!$B$16,2),0),"")</f>
        <v/>
      </c>
      <c r="I270" s="43">
        <f>IF(ISNUMBER(F270),F270+H270,"")</f>
        <v/>
      </c>
      <c r="J270" s="43">
        <f>IF(ISNUMBER(F270),IF(I270&gt;'Parametri 2026'!$B$14,'Parametri 2026'!$B$13,0),"")</f>
        <v/>
      </c>
      <c r="K270" s="42" t="n"/>
      <c r="L270" s="44">
        <f>IF(ISNUMBER(F270),I270+IF(K270="No",0,J270),"")</f>
        <v/>
      </c>
      <c r="M270" s="44">
        <f>IF(ISNUMBER(F270),I270+IF(AND(K270&lt;&gt;"No",Impostazioni!$B$29="Sì"),J270,0),"")</f>
        <v/>
      </c>
      <c r="N270" s="45">
        <f>IF(F270="","",IF(NOT(ISNUMBER(F270)),"Compenso non valido",IF(C270="","Da incassare",IF(NOT(ISNUMBER(C270)),"Data non valida",IF(YEAR(C270)='Parametri 2026'!$B$6,"Incassata","Incassata nel "&amp;YEAR(C270))))))</f>
        <v/>
      </c>
      <c r="O270" s="39" t="n"/>
    </row>
    <row r="271">
      <c r="A271" s="39" t="n"/>
      <c r="B271" s="40" t="n"/>
      <c r="C271" s="40" t="n"/>
      <c r="D271" s="39" t="n"/>
      <c r="E271" s="39" t="n"/>
      <c r="F271" s="41" t="n"/>
      <c r="G271" s="42" t="n"/>
      <c r="H271" s="43">
        <f>IF(ISNUMBER(F271),IF(OR(G271="Sì",G271="Si"),ROUND(F271*'Parametri 2026'!$B$16,2),0),"")</f>
        <v/>
      </c>
      <c r="I271" s="43">
        <f>IF(ISNUMBER(F271),F271+H271,"")</f>
        <v/>
      </c>
      <c r="J271" s="43">
        <f>IF(ISNUMBER(F271),IF(I271&gt;'Parametri 2026'!$B$14,'Parametri 2026'!$B$13,0),"")</f>
        <v/>
      </c>
      <c r="K271" s="42" t="n"/>
      <c r="L271" s="44">
        <f>IF(ISNUMBER(F271),I271+IF(K271="No",0,J271),"")</f>
        <v/>
      </c>
      <c r="M271" s="44">
        <f>IF(ISNUMBER(F271),I271+IF(AND(K271&lt;&gt;"No",Impostazioni!$B$29="Sì"),J271,0),"")</f>
        <v/>
      </c>
      <c r="N271" s="45">
        <f>IF(F271="","",IF(NOT(ISNUMBER(F271)),"Compenso non valido",IF(C271="","Da incassare",IF(NOT(ISNUMBER(C271)),"Data non valida",IF(YEAR(C271)='Parametri 2026'!$B$6,"Incassata","Incassata nel "&amp;YEAR(C271))))))</f>
        <v/>
      </c>
      <c r="O271" s="39" t="n"/>
    </row>
    <row r="272">
      <c r="A272" s="39" t="n"/>
      <c r="B272" s="40" t="n"/>
      <c r="C272" s="40" t="n"/>
      <c r="D272" s="39" t="n"/>
      <c r="E272" s="39" t="n"/>
      <c r="F272" s="41" t="n"/>
      <c r="G272" s="42" t="n"/>
      <c r="H272" s="43">
        <f>IF(ISNUMBER(F272),IF(OR(G272="Sì",G272="Si"),ROUND(F272*'Parametri 2026'!$B$16,2),0),"")</f>
        <v/>
      </c>
      <c r="I272" s="43">
        <f>IF(ISNUMBER(F272),F272+H272,"")</f>
        <v/>
      </c>
      <c r="J272" s="43">
        <f>IF(ISNUMBER(F272),IF(I272&gt;'Parametri 2026'!$B$14,'Parametri 2026'!$B$13,0),"")</f>
        <v/>
      </c>
      <c r="K272" s="42" t="n"/>
      <c r="L272" s="44">
        <f>IF(ISNUMBER(F272),I272+IF(K272="No",0,J272),"")</f>
        <v/>
      </c>
      <c r="M272" s="44">
        <f>IF(ISNUMBER(F272),I272+IF(AND(K272&lt;&gt;"No",Impostazioni!$B$29="Sì"),J272,0),"")</f>
        <v/>
      </c>
      <c r="N272" s="45">
        <f>IF(F272="","",IF(NOT(ISNUMBER(F272)),"Compenso non valido",IF(C272="","Da incassare",IF(NOT(ISNUMBER(C272)),"Data non valida",IF(YEAR(C272)='Parametri 2026'!$B$6,"Incassata","Incassata nel "&amp;YEAR(C272))))))</f>
        <v/>
      </c>
      <c r="O272" s="39" t="n"/>
    </row>
    <row r="273">
      <c r="A273" s="39" t="n"/>
      <c r="B273" s="40" t="n"/>
      <c r="C273" s="40" t="n"/>
      <c r="D273" s="39" t="n"/>
      <c r="E273" s="39" t="n"/>
      <c r="F273" s="41" t="n"/>
      <c r="G273" s="42" t="n"/>
      <c r="H273" s="43">
        <f>IF(ISNUMBER(F273),IF(OR(G273="Sì",G273="Si"),ROUND(F273*'Parametri 2026'!$B$16,2),0),"")</f>
        <v/>
      </c>
      <c r="I273" s="43">
        <f>IF(ISNUMBER(F273),F273+H273,"")</f>
        <v/>
      </c>
      <c r="J273" s="43">
        <f>IF(ISNUMBER(F273),IF(I273&gt;'Parametri 2026'!$B$14,'Parametri 2026'!$B$13,0),"")</f>
        <v/>
      </c>
      <c r="K273" s="42" t="n"/>
      <c r="L273" s="44">
        <f>IF(ISNUMBER(F273),I273+IF(K273="No",0,J273),"")</f>
        <v/>
      </c>
      <c r="M273" s="44">
        <f>IF(ISNUMBER(F273),I273+IF(AND(K273&lt;&gt;"No",Impostazioni!$B$29="Sì"),J273,0),"")</f>
        <v/>
      </c>
      <c r="N273" s="45">
        <f>IF(F273="","",IF(NOT(ISNUMBER(F273)),"Compenso non valido",IF(C273="","Da incassare",IF(NOT(ISNUMBER(C273)),"Data non valida",IF(YEAR(C273)='Parametri 2026'!$B$6,"Incassata","Incassata nel "&amp;YEAR(C273))))))</f>
        <v/>
      </c>
      <c r="O273" s="39" t="n"/>
    </row>
    <row r="274">
      <c r="A274" s="39" t="n"/>
      <c r="B274" s="40" t="n"/>
      <c r="C274" s="40" t="n"/>
      <c r="D274" s="39" t="n"/>
      <c r="E274" s="39" t="n"/>
      <c r="F274" s="41" t="n"/>
      <c r="G274" s="42" t="n"/>
      <c r="H274" s="43">
        <f>IF(ISNUMBER(F274),IF(OR(G274="Sì",G274="Si"),ROUND(F274*'Parametri 2026'!$B$16,2),0),"")</f>
        <v/>
      </c>
      <c r="I274" s="43">
        <f>IF(ISNUMBER(F274),F274+H274,"")</f>
        <v/>
      </c>
      <c r="J274" s="43">
        <f>IF(ISNUMBER(F274),IF(I274&gt;'Parametri 2026'!$B$14,'Parametri 2026'!$B$13,0),"")</f>
        <v/>
      </c>
      <c r="K274" s="42" t="n"/>
      <c r="L274" s="44">
        <f>IF(ISNUMBER(F274),I274+IF(K274="No",0,J274),"")</f>
        <v/>
      </c>
      <c r="M274" s="44">
        <f>IF(ISNUMBER(F274),I274+IF(AND(K274&lt;&gt;"No",Impostazioni!$B$29="Sì"),J274,0),"")</f>
        <v/>
      </c>
      <c r="N274" s="45">
        <f>IF(F274="","",IF(NOT(ISNUMBER(F274)),"Compenso non valido",IF(C274="","Da incassare",IF(NOT(ISNUMBER(C274)),"Data non valida",IF(YEAR(C274)='Parametri 2026'!$B$6,"Incassata","Incassata nel "&amp;YEAR(C274))))))</f>
        <v/>
      </c>
      <c r="O274" s="39" t="n"/>
    </row>
    <row r="275">
      <c r="A275" s="39" t="n"/>
      <c r="B275" s="40" t="n"/>
      <c r="C275" s="40" t="n"/>
      <c r="D275" s="39" t="n"/>
      <c r="E275" s="39" t="n"/>
      <c r="F275" s="41" t="n"/>
      <c r="G275" s="42" t="n"/>
      <c r="H275" s="43">
        <f>IF(ISNUMBER(F275),IF(OR(G275="Sì",G275="Si"),ROUND(F275*'Parametri 2026'!$B$16,2),0),"")</f>
        <v/>
      </c>
      <c r="I275" s="43">
        <f>IF(ISNUMBER(F275),F275+H275,"")</f>
        <v/>
      </c>
      <c r="J275" s="43">
        <f>IF(ISNUMBER(F275),IF(I275&gt;'Parametri 2026'!$B$14,'Parametri 2026'!$B$13,0),"")</f>
        <v/>
      </c>
      <c r="K275" s="42" t="n"/>
      <c r="L275" s="44">
        <f>IF(ISNUMBER(F275),I275+IF(K275="No",0,J275),"")</f>
        <v/>
      </c>
      <c r="M275" s="44">
        <f>IF(ISNUMBER(F275),I275+IF(AND(K275&lt;&gt;"No",Impostazioni!$B$29="Sì"),J275,0),"")</f>
        <v/>
      </c>
      <c r="N275" s="45">
        <f>IF(F275="","",IF(NOT(ISNUMBER(F275)),"Compenso non valido",IF(C275="","Da incassare",IF(NOT(ISNUMBER(C275)),"Data non valida",IF(YEAR(C275)='Parametri 2026'!$B$6,"Incassata","Incassata nel "&amp;YEAR(C275))))))</f>
        <v/>
      </c>
      <c r="O275" s="39" t="n"/>
    </row>
    <row r="276">
      <c r="A276" s="39" t="n"/>
      <c r="B276" s="40" t="n"/>
      <c r="C276" s="40" t="n"/>
      <c r="D276" s="39" t="n"/>
      <c r="E276" s="39" t="n"/>
      <c r="F276" s="41" t="n"/>
      <c r="G276" s="42" t="n"/>
      <c r="H276" s="43">
        <f>IF(ISNUMBER(F276),IF(OR(G276="Sì",G276="Si"),ROUND(F276*'Parametri 2026'!$B$16,2),0),"")</f>
        <v/>
      </c>
      <c r="I276" s="43">
        <f>IF(ISNUMBER(F276),F276+H276,"")</f>
        <v/>
      </c>
      <c r="J276" s="43">
        <f>IF(ISNUMBER(F276),IF(I276&gt;'Parametri 2026'!$B$14,'Parametri 2026'!$B$13,0),"")</f>
        <v/>
      </c>
      <c r="K276" s="42" t="n"/>
      <c r="L276" s="44">
        <f>IF(ISNUMBER(F276),I276+IF(K276="No",0,J276),"")</f>
        <v/>
      </c>
      <c r="M276" s="44">
        <f>IF(ISNUMBER(F276),I276+IF(AND(K276&lt;&gt;"No",Impostazioni!$B$29="Sì"),J276,0),"")</f>
        <v/>
      </c>
      <c r="N276" s="45">
        <f>IF(F276="","",IF(NOT(ISNUMBER(F276)),"Compenso non valido",IF(C276="","Da incassare",IF(NOT(ISNUMBER(C276)),"Data non valida",IF(YEAR(C276)='Parametri 2026'!$B$6,"Incassata","Incassata nel "&amp;YEAR(C276))))))</f>
        <v/>
      </c>
      <c r="O276" s="39" t="n"/>
    </row>
    <row r="277">
      <c r="A277" s="39" t="n"/>
      <c r="B277" s="40" t="n"/>
      <c r="C277" s="40" t="n"/>
      <c r="D277" s="39" t="n"/>
      <c r="E277" s="39" t="n"/>
      <c r="F277" s="41" t="n"/>
      <c r="G277" s="42" t="n"/>
      <c r="H277" s="43">
        <f>IF(ISNUMBER(F277),IF(OR(G277="Sì",G277="Si"),ROUND(F277*'Parametri 2026'!$B$16,2),0),"")</f>
        <v/>
      </c>
      <c r="I277" s="43">
        <f>IF(ISNUMBER(F277),F277+H277,"")</f>
        <v/>
      </c>
      <c r="J277" s="43">
        <f>IF(ISNUMBER(F277),IF(I277&gt;'Parametri 2026'!$B$14,'Parametri 2026'!$B$13,0),"")</f>
        <v/>
      </c>
      <c r="K277" s="42" t="n"/>
      <c r="L277" s="44">
        <f>IF(ISNUMBER(F277),I277+IF(K277="No",0,J277),"")</f>
        <v/>
      </c>
      <c r="M277" s="44">
        <f>IF(ISNUMBER(F277),I277+IF(AND(K277&lt;&gt;"No",Impostazioni!$B$29="Sì"),J277,0),"")</f>
        <v/>
      </c>
      <c r="N277" s="45">
        <f>IF(F277="","",IF(NOT(ISNUMBER(F277)),"Compenso non valido",IF(C277="","Da incassare",IF(NOT(ISNUMBER(C277)),"Data non valida",IF(YEAR(C277)='Parametri 2026'!$B$6,"Incassata","Incassata nel "&amp;YEAR(C277))))))</f>
        <v/>
      </c>
      <c r="O277" s="39" t="n"/>
    </row>
    <row r="278">
      <c r="A278" s="39" t="n"/>
      <c r="B278" s="40" t="n"/>
      <c r="C278" s="40" t="n"/>
      <c r="D278" s="39" t="n"/>
      <c r="E278" s="39" t="n"/>
      <c r="F278" s="41" t="n"/>
      <c r="G278" s="42" t="n"/>
      <c r="H278" s="43">
        <f>IF(ISNUMBER(F278),IF(OR(G278="Sì",G278="Si"),ROUND(F278*'Parametri 2026'!$B$16,2),0),"")</f>
        <v/>
      </c>
      <c r="I278" s="43">
        <f>IF(ISNUMBER(F278),F278+H278,"")</f>
        <v/>
      </c>
      <c r="J278" s="43">
        <f>IF(ISNUMBER(F278),IF(I278&gt;'Parametri 2026'!$B$14,'Parametri 2026'!$B$13,0),"")</f>
        <v/>
      </c>
      <c r="K278" s="42" t="n"/>
      <c r="L278" s="44">
        <f>IF(ISNUMBER(F278),I278+IF(K278="No",0,J278),"")</f>
        <v/>
      </c>
      <c r="M278" s="44">
        <f>IF(ISNUMBER(F278),I278+IF(AND(K278&lt;&gt;"No",Impostazioni!$B$29="Sì"),J278,0),"")</f>
        <v/>
      </c>
      <c r="N278" s="45">
        <f>IF(F278="","",IF(NOT(ISNUMBER(F278)),"Compenso non valido",IF(C278="","Da incassare",IF(NOT(ISNUMBER(C278)),"Data non valida",IF(YEAR(C278)='Parametri 2026'!$B$6,"Incassata","Incassata nel "&amp;YEAR(C278))))))</f>
        <v/>
      </c>
      <c r="O278" s="39" t="n"/>
    </row>
    <row r="279">
      <c r="A279" s="39" t="n"/>
      <c r="B279" s="40" t="n"/>
      <c r="C279" s="40" t="n"/>
      <c r="D279" s="39" t="n"/>
      <c r="E279" s="39" t="n"/>
      <c r="F279" s="41" t="n"/>
      <c r="G279" s="42" t="n"/>
      <c r="H279" s="43">
        <f>IF(ISNUMBER(F279),IF(OR(G279="Sì",G279="Si"),ROUND(F279*'Parametri 2026'!$B$16,2),0),"")</f>
        <v/>
      </c>
      <c r="I279" s="43">
        <f>IF(ISNUMBER(F279),F279+H279,"")</f>
        <v/>
      </c>
      <c r="J279" s="43">
        <f>IF(ISNUMBER(F279),IF(I279&gt;'Parametri 2026'!$B$14,'Parametri 2026'!$B$13,0),"")</f>
        <v/>
      </c>
      <c r="K279" s="42" t="n"/>
      <c r="L279" s="44">
        <f>IF(ISNUMBER(F279),I279+IF(K279="No",0,J279),"")</f>
        <v/>
      </c>
      <c r="M279" s="44">
        <f>IF(ISNUMBER(F279),I279+IF(AND(K279&lt;&gt;"No",Impostazioni!$B$29="Sì"),J279,0),"")</f>
        <v/>
      </c>
      <c r="N279" s="45">
        <f>IF(F279="","",IF(NOT(ISNUMBER(F279)),"Compenso non valido",IF(C279="","Da incassare",IF(NOT(ISNUMBER(C279)),"Data non valida",IF(YEAR(C279)='Parametri 2026'!$B$6,"Incassata","Incassata nel "&amp;YEAR(C279))))))</f>
        <v/>
      </c>
      <c r="O279" s="39" t="n"/>
    </row>
    <row r="280">
      <c r="A280" s="39" t="n"/>
      <c r="B280" s="40" t="n"/>
      <c r="C280" s="40" t="n"/>
      <c r="D280" s="39" t="n"/>
      <c r="E280" s="39" t="n"/>
      <c r="F280" s="41" t="n"/>
      <c r="G280" s="42" t="n"/>
      <c r="H280" s="43">
        <f>IF(ISNUMBER(F280),IF(OR(G280="Sì",G280="Si"),ROUND(F280*'Parametri 2026'!$B$16,2),0),"")</f>
        <v/>
      </c>
      <c r="I280" s="43">
        <f>IF(ISNUMBER(F280),F280+H280,"")</f>
        <v/>
      </c>
      <c r="J280" s="43">
        <f>IF(ISNUMBER(F280),IF(I280&gt;'Parametri 2026'!$B$14,'Parametri 2026'!$B$13,0),"")</f>
        <v/>
      </c>
      <c r="K280" s="42" t="n"/>
      <c r="L280" s="44">
        <f>IF(ISNUMBER(F280),I280+IF(K280="No",0,J280),"")</f>
        <v/>
      </c>
      <c r="M280" s="44">
        <f>IF(ISNUMBER(F280),I280+IF(AND(K280&lt;&gt;"No",Impostazioni!$B$29="Sì"),J280,0),"")</f>
        <v/>
      </c>
      <c r="N280" s="45">
        <f>IF(F280="","",IF(NOT(ISNUMBER(F280)),"Compenso non valido",IF(C280="","Da incassare",IF(NOT(ISNUMBER(C280)),"Data non valida",IF(YEAR(C280)='Parametri 2026'!$B$6,"Incassata","Incassata nel "&amp;YEAR(C280))))))</f>
        <v/>
      </c>
      <c r="O280" s="39" t="n"/>
    </row>
    <row r="281">
      <c r="A281" s="39" t="n"/>
      <c r="B281" s="40" t="n"/>
      <c r="C281" s="40" t="n"/>
      <c r="D281" s="39" t="n"/>
      <c r="E281" s="39" t="n"/>
      <c r="F281" s="41" t="n"/>
      <c r="G281" s="42" t="n"/>
      <c r="H281" s="43">
        <f>IF(ISNUMBER(F281),IF(OR(G281="Sì",G281="Si"),ROUND(F281*'Parametri 2026'!$B$16,2),0),"")</f>
        <v/>
      </c>
      <c r="I281" s="43">
        <f>IF(ISNUMBER(F281),F281+H281,"")</f>
        <v/>
      </c>
      <c r="J281" s="43">
        <f>IF(ISNUMBER(F281),IF(I281&gt;'Parametri 2026'!$B$14,'Parametri 2026'!$B$13,0),"")</f>
        <v/>
      </c>
      <c r="K281" s="42" t="n"/>
      <c r="L281" s="44">
        <f>IF(ISNUMBER(F281),I281+IF(K281="No",0,J281),"")</f>
        <v/>
      </c>
      <c r="M281" s="44">
        <f>IF(ISNUMBER(F281),I281+IF(AND(K281&lt;&gt;"No",Impostazioni!$B$29="Sì"),J281,0),"")</f>
        <v/>
      </c>
      <c r="N281" s="45">
        <f>IF(F281="","",IF(NOT(ISNUMBER(F281)),"Compenso non valido",IF(C281="","Da incassare",IF(NOT(ISNUMBER(C281)),"Data non valida",IF(YEAR(C281)='Parametri 2026'!$B$6,"Incassata","Incassata nel "&amp;YEAR(C281))))))</f>
        <v/>
      </c>
      <c r="O281" s="39" t="n"/>
    </row>
    <row r="282">
      <c r="A282" s="39" t="n"/>
      <c r="B282" s="40" t="n"/>
      <c r="C282" s="40" t="n"/>
      <c r="D282" s="39" t="n"/>
      <c r="E282" s="39" t="n"/>
      <c r="F282" s="41" t="n"/>
      <c r="G282" s="42" t="n"/>
      <c r="H282" s="43">
        <f>IF(ISNUMBER(F282),IF(OR(G282="Sì",G282="Si"),ROUND(F282*'Parametri 2026'!$B$16,2),0),"")</f>
        <v/>
      </c>
      <c r="I282" s="43">
        <f>IF(ISNUMBER(F282),F282+H282,"")</f>
        <v/>
      </c>
      <c r="J282" s="43">
        <f>IF(ISNUMBER(F282),IF(I282&gt;'Parametri 2026'!$B$14,'Parametri 2026'!$B$13,0),"")</f>
        <v/>
      </c>
      <c r="K282" s="42" t="n"/>
      <c r="L282" s="44">
        <f>IF(ISNUMBER(F282),I282+IF(K282="No",0,J282),"")</f>
        <v/>
      </c>
      <c r="M282" s="44">
        <f>IF(ISNUMBER(F282),I282+IF(AND(K282&lt;&gt;"No",Impostazioni!$B$29="Sì"),J282,0),"")</f>
        <v/>
      </c>
      <c r="N282" s="45">
        <f>IF(F282="","",IF(NOT(ISNUMBER(F282)),"Compenso non valido",IF(C282="","Da incassare",IF(NOT(ISNUMBER(C282)),"Data non valida",IF(YEAR(C282)='Parametri 2026'!$B$6,"Incassata","Incassata nel "&amp;YEAR(C282))))))</f>
        <v/>
      </c>
      <c r="O282" s="39" t="n"/>
    </row>
    <row r="283">
      <c r="A283" s="39" t="n"/>
      <c r="B283" s="40" t="n"/>
      <c r="C283" s="40" t="n"/>
      <c r="D283" s="39" t="n"/>
      <c r="E283" s="39" t="n"/>
      <c r="F283" s="41" t="n"/>
      <c r="G283" s="42" t="n"/>
      <c r="H283" s="43">
        <f>IF(ISNUMBER(F283),IF(OR(G283="Sì",G283="Si"),ROUND(F283*'Parametri 2026'!$B$16,2),0),"")</f>
        <v/>
      </c>
      <c r="I283" s="43">
        <f>IF(ISNUMBER(F283),F283+H283,"")</f>
        <v/>
      </c>
      <c r="J283" s="43">
        <f>IF(ISNUMBER(F283),IF(I283&gt;'Parametri 2026'!$B$14,'Parametri 2026'!$B$13,0),"")</f>
        <v/>
      </c>
      <c r="K283" s="42" t="n"/>
      <c r="L283" s="44">
        <f>IF(ISNUMBER(F283),I283+IF(K283="No",0,J283),"")</f>
        <v/>
      </c>
      <c r="M283" s="44">
        <f>IF(ISNUMBER(F283),I283+IF(AND(K283&lt;&gt;"No",Impostazioni!$B$29="Sì"),J283,0),"")</f>
        <v/>
      </c>
      <c r="N283" s="45">
        <f>IF(F283="","",IF(NOT(ISNUMBER(F283)),"Compenso non valido",IF(C283="","Da incassare",IF(NOT(ISNUMBER(C283)),"Data non valida",IF(YEAR(C283)='Parametri 2026'!$B$6,"Incassata","Incassata nel "&amp;YEAR(C283))))))</f>
        <v/>
      </c>
      <c r="O283" s="39" t="n"/>
    </row>
    <row r="284">
      <c r="A284" s="39" t="n"/>
      <c r="B284" s="40" t="n"/>
      <c r="C284" s="40" t="n"/>
      <c r="D284" s="39" t="n"/>
      <c r="E284" s="39" t="n"/>
      <c r="F284" s="41" t="n"/>
      <c r="G284" s="42" t="n"/>
      <c r="H284" s="43">
        <f>IF(ISNUMBER(F284),IF(OR(G284="Sì",G284="Si"),ROUND(F284*'Parametri 2026'!$B$16,2),0),"")</f>
        <v/>
      </c>
      <c r="I284" s="43">
        <f>IF(ISNUMBER(F284),F284+H284,"")</f>
        <v/>
      </c>
      <c r="J284" s="43">
        <f>IF(ISNUMBER(F284),IF(I284&gt;'Parametri 2026'!$B$14,'Parametri 2026'!$B$13,0),"")</f>
        <v/>
      </c>
      <c r="K284" s="42" t="n"/>
      <c r="L284" s="44">
        <f>IF(ISNUMBER(F284),I284+IF(K284="No",0,J284),"")</f>
        <v/>
      </c>
      <c r="M284" s="44">
        <f>IF(ISNUMBER(F284),I284+IF(AND(K284&lt;&gt;"No",Impostazioni!$B$29="Sì"),J284,0),"")</f>
        <v/>
      </c>
      <c r="N284" s="45">
        <f>IF(F284="","",IF(NOT(ISNUMBER(F284)),"Compenso non valido",IF(C284="","Da incassare",IF(NOT(ISNUMBER(C284)),"Data non valida",IF(YEAR(C284)='Parametri 2026'!$B$6,"Incassata","Incassata nel "&amp;YEAR(C284))))))</f>
        <v/>
      </c>
      <c r="O284" s="39" t="n"/>
    </row>
    <row r="285">
      <c r="A285" s="39" t="n"/>
      <c r="B285" s="40" t="n"/>
      <c r="C285" s="40" t="n"/>
      <c r="D285" s="39" t="n"/>
      <c r="E285" s="39" t="n"/>
      <c r="F285" s="41" t="n"/>
      <c r="G285" s="42" t="n"/>
      <c r="H285" s="43">
        <f>IF(ISNUMBER(F285),IF(OR(G285="Sì",G285="Si"),ROUND(F285*'Parametri 2026'!$B$16,2),0),"")</f>
        <v/>
      </c>
      <c r="I285" s="43">
        <f>IF(ISNUMBER(F285),F285+H285,"")</f>
        <v/>
      </c>
      <c r="J285" s="43">
        <f>IF(ISNUMBER(F285),IF(I285&gt;'Parametri 2026'!$B$14,'Parametri 2026'!$B$13,0),"")</f>
        <v/>
      </c>
      <c r="K285" s="42" t="n"/>
      <c r="L285" s="44">
        <f>IF(ISNUMBER(F285),I285+IF(K285="No",0,J285),"")</f>
        <v/>
      </c>
      <c r="M285" s="44">
        <f>IF(ISNUMBER(F285),I285+IF(AND(K285&lt;&gt;"No",Impostazioni!$B$29="Sì"),J285,0),"")</f>
        <v/>
      </c>
      <c r="N285" s="45">
        <f>IF(F285="","",IF(NOT(ISNUMBER(F285)),"Compenso non valido",IF(C285="","Da incassare",IF(NOT(ISNUMBER(C285)),"Data non valida",IF(YEAR(C285)='Parametri 2026'!$B$6,"Incassata","Incassata nel "&amp;YEAR(C285))))))</f>
        <v/>
      </c>
      <c r="O285" s="39" t="n"/>
    </row>
    <row r="286">
      <c r="A286" s="39" t="n"/>
      <c r="B286" s="40" t="n"/>
      <c r="C286" s="40" t="n"/>
      <c r="D286" s="39" t="n"/>
      <c r="E286" s="39" t="n"/>
      <c r="F286" s="41" t="n"/>
      <c r="G286" s="42" t="n"/>
      <c r="H286" s="43">
        <f>IF(ISNUMBER(F286),IF(OR(G286="Sì",G286="Si"),ROUND(F286*'Parametri 2026'!$B$16,2),0),"")</f>
        <v/>
      </c>
      <c r="I286" s="43">
        <f>IF(ISNUMBER(F286),F286+H286,"")</f>
        <v/>
      </c>
      <c r="J286" s="43">
        <f>IF(ISNUMBER(F286),IF(I286&gt;'Parametri 2026'!$B$14,'Parametri 2026'!$B$13,0),"")</f>
        <v/>
      </c>
      <c r="K286" s="42" t="n"/>
      <c r="L286" s="44">
        <f>IF(ISNUMBER(F286),I286+IF(K286="No",0,J286),"")</f>
        <v/>
      </c>
      <c r="M286" s="44">
        <f>IF(ISNUMBER(F286),I286+IF(AND(K286&lt;&gt;"No",Impostazioni!$B$29="Sì"),J286,0),"")</f>
        <v/>
      </c>
      <c r="N286" s="45">
        <f>IF(F286="","",IF(NOT(ISNUMBER(F286)),"Compenso non valido",IF(C286="","Da incassare",IF(NOT(ISNUMBER(C286)),"Data non valida",IF(YEAR(C286)='Parametri 2026'!$B$6,"Incassata","Incassata nel "&amp;YEAR(C286))))))</f>
        <v/>
      </c>
      <c r="O286" s="39" t="n"/>
    </row>
    <row r="287">
      <c r="A287" s="39" t="n"/>
      <c r="B287" s="40" t="n"/>
      <c r="C287" s="40" t="n"/>
      <c r="D287" s="39" t="n"/>
      <c r="E287" s="39" t="n"/>
      <c r="F287" s="41" t="n"/>
      <c r="G287" s="42" t="n"/>
      <c r="H287" s="43">
        <f>IF(ISNUMBER(F287),IF(OR(G287="Sì",G287="Si"),ROUND(F287*'Parametri 2026'!$B$16,2),0),"")</f>
        <v/>
      </c>
      <c r="I287" s="43">
        <f>IF(ISNUMBER(F287),F287+H287,"")</f>
        <v/>
      </c>
      <c r="J287" s="43">
        <f>IF(ISNUMBER(F287),IF(I287&gt;'Parametri 2026'!$B$14,'Parametri 2026'!$B$13,0),"")</f>
        <v/>
      </c>
      <c r="K287" s="42" t="n"/>
      <c r="L287" s="44">
        <f>IF(ISNUMBER(F287),I287+IF(K287="No",0,J287),"")</f>
        <v/>
      </c>
      <c r="M287" s="44">
        <f>IF(ISNUMBER(F287),I287+IF(AND(K287&lt;&gt;"No",Impostazioni!$B$29="Sì"),J287,0),"")</f>
        <v/>
      </c>
      <c r="N287" s="45">
        <f>IF(F287="","",IF(NOT(ISNUMBER(F287)),"Compenso non valido",IF(C287="","Da incassare",IF(NOT(ISNUMBER(C287)),"Data non valida",IF(YEAR(C287)='Parametri 2026'!$B$6,"Incassata","Incassata nel "&amp;YEAR(C287))))))</f>
        <v/>
      </c>
      <c r="O287" s="39" t="n"/>
    </row>
    <row r="288">
      <c r="A288" s="39" t="n"/>
      <c r="B288" s="40" t="n"/>
      <c r="C288" s="40" t="n"/>
      <c r="D288" s="39" t="n"/>
      <c r="E288" s="39" t="n"/>
      <c r="F288" s="41" t="n"/>
      <c r="G288" s="42" t="n"/>
      <c r="H288" s="43">
        <f>IF(ISNUMBER(F288),IF(OR(G288="Sì",G288="Si"),ROUND(F288*'Parametri 2026'!$B$16,2),0),"")</f>
        <v/>
      </c>
      <c r="I288" s="43">
        <f>IF(ISNUMBER(F288),F288+H288,"")</f>
        <v/>
      </c>
      <c r="J288" s="43">
        <f>IF(ISNUMBER(F288),IF(I288&gt;'Parametri 2026'!$B$14,'Parametri 2026'!$B$13,0),"")</f>
        <v/>
      </c>
      <c r="K288" s="42" t="n"/>
      <c r="L288" s="44">
        <f>IF(ISNUMBER(F288),I288+IF(K288="No",0,J288),"")</f>
        <v/>
      </c>
      <c r="M288" s="44">
        <f>IF(ISNUMBER(F288),I288+IF(AND(K288&lt;&gt;"No",Impostazioni!$B$29="Sì"),J288,0),"")</f>
        <v/>
      </c>
      <c r="N288" s="45">
        <f>IF(F288="","",IF(NOT(ISNUMBER(F288)),"Compenso non valido",IF(C288="","Da incassare",IF(NOT(ISNUMBER(C288)),"Data non valida",IF(YEAR(C288)='Parametri 2026'!$B$6,"Incassata","Incassata nel "&amp;YEAR(C288))))))</f>
        <v/>
      </c>
      <c r="O288" s="39" t="n"/>
    </row>
    <row r="289">
      <c r="A289" s="39" t="n"/>
      <c r="B289" s="40" t="n"/>
      <c r="C289" s="40" t="n"/>
      <c r="D289" s="39" t="n"/>
      <c r="E289" s="39" t="n"/>
      <c r="F289" s="41" t="n"/>
      <c r="G289" s="42" t="n"/>
      <c r="H289" s="43">
        <f>IF(ISNUMBER(F289),IF(OR(G289="Sì",G289="Si"),ROUND(F289*'Parametri 2026'!$B$16,2),0),"")</f>
        <v/>
      </c>
      <c r="I289" s="43">
        <f>IF(ISNUMBER(F289),F289+H289,"")</f>
        <v/>
      </c>
      <c r="J289" s="43">
        <f>IF(ISNUMBER(F289),IF(I289&gt;'Parametri 2026'!$B$14,'Parametri 2026'!$B$13,0),"")</f>
        <v/>
      </c>
      <c r="K289" s="42" t="n"/>
      <c r="L289" s="44">
        <f>IF(ISNUMBER(F289),I289+IF(K289="No",0,J289),"")</f>
        <v/>
      </c>
      <c r="M289" s="44">
        <f>IF(ISNUMBER(F289),I289+IF(AND(K289&lt;&gt;"No",Impostazioni!$B$29="Sì"),J289,0),"")</f>
        <v/>
      </c>
      <c r="N289" s="45">
        <f>IF(F289="","",IF(NOT(ISNUMBER(F289)),"Compenso non valido",IF(C289="","Da incassare",IF(NOT(ISNUMBER(C289)),"Data non valida",IF(YEAR(C289)='Parametri 2026'!$B$6,"Incassata","Incassata nel "&amp;YEAR(C289))))))</f>
        <v/>
      </c>
      <c r="O289" s="39" t="n"/>
    </row>
    <row r="290">
      <c r="A290" s="39" t="n"/>
      <c r="B290" s="40" t="n"/>
      <c r="C290" s="40" t="n"/>
      <c r="D290" s="39" t="n"/>
      <c r="E290" s="39" t="n"/>
      <c r="F290" s="41" t="n"/>
      <c r="G290" s="42" t="n"/>
      <c r="H290" s="43">
        <f>IF(ISNUMBER(F290),IF(OR(G290="Sì",G290="Si"),ROUND(F290*'Parametri 2026'!$B$16,2),0),"")</f>
        <v/>
      </c>
      <c r="I290" s="43">
        <f>IF(ISNUMBER(F290),F290+H290,"")</f>
        <v/>
      </c>
      <c r="J290" s="43">
        <f>IF(ISNUMBER(F290),IF(I290&gt;'Parametri 2026'!$B$14,'Parametri 2026'!$B$13,0),"")</f>
        <v/>
      </c>
      <c r="K290" s="42" t="n"/>
      <c r="L290" s="44">
        <f>IF(ISNUMBER(F290),I290+IF(K290="No",0,J290),"")</f>
        <v/>
      </c>
      <c r="M290" s="44">
        <f>IF(ISNUMBER(F290),I290+IF(AND(K290&lt;&gt;"No",Impostazioni!$B$29="Sì"),J290,0),"")</f>
        <v/>
      </c>
      <c r="N290" s="45">
        <f>IF(F290="","",IF(NOT(ISNUMBER(F290)),"Compenso non valido",IF(C290="","Da incassare",IF(NOT(ISNUMBER(C290)),"Data non valida",IF(YEAR(C290)='Parametri 2026'!$B$6,"Incassata","Incassata nel "&amp;YEAR(C290))))))</f>
        <v/>
      </c>
      <c r="O290" s="39" t="n"/>
    </row>
    <row r="291">
      <c r="A291" s="39" t="n"/>
      <c r="B291" s="40" t="n"/>
      <c r="C291" s="40" t="n"/>
      <c r="D291" s="39" t="n"/>
      <c r="E291" s="39" t="n"/>
      <c r="F291" s="41" t="n"/>
      <c r="G291" s="42" t="n"/>
      <c r="H291" s="43">
        <f>IF(ISNUMBER(F291),IF(OR(G291="Sì",G291="Si"),ROUND(F291*'Parametri 2026'!$B$16,2),0),"")</f>
        <v/>
      </c>
      <c r="I291" s="43">
        <f>IF(ISNUMBER(F291),F291+H291,"")</f>
        <v/>
      </c>
      <c r="J291" s="43">
        <f>IF(ISNUMBER(F291),IF(I291&gt;'Parametri 2026'!$B$14,'Parametri 2026'!$B$13,0),"")</f>
        <v/>
      </c>
      <c r="K291" s="42" t="n"/>
      <c r="L291" s="44">
        <f>IF(ISNUMBER(F291),I291+IF(K291="No",0,J291),"")</f>
        <v/>
      </c>
      <c r="M291" s="44">
        <f>IF(ISNUMBER(F291),I291+IF(AND(K291&lt;&gt;"No",Impostazioni!$B$29="Sì"),J291,0),"")</f>
        <v/>
      </c>
      <c r="N291" s="45">
        <f>IF(F291="","",IF(NOT(ISNUMBER(F291)),"Compenso non valido",IF(C291="","Da incassare",IF(NOT(ISNUMBER(C291)),"Data non valida",IF(YEAR(C291)='Parametri 2026'!$B$6,"Incassata","Incassata nel "&amp;YEAR(C291))))))</f>
        <v/>
      </c>
      <c r="O291" s="39" t="n"/>
    </row>
    <row r="292">
      <c r="A292" s="39" t="n"/>
      <c r="B292" s="40" t="n"/>
      <c r="C292" s="40" t="n"/>
      <c r="D292" s="39" t="n"/>
      <c r="E292" s="39" t="n"/>
      <c r="F292" s="41" t="n"/>
      <c r="G292" s="42" t="n"/>
      <c r="H292" s="43">
        <f>IF(ISNUMBER(F292),IF(OR(G292="Sì",G292="Si"),ROUND(F292*'Parametri 2026'!$B$16,2),0),"")</f>
        <v/>
      </c>
      <c r="I292" s="43">
        <f>IF(ISNUMBER(F292),F292+H292,"")</f>
        <v/>
      </c>
      <c r="J292" s="43">
        <f>IF(ISNUMBER(F292),IF(I292&gt;'Parametri 2026'!$B$14,'Parametri 2026'!$B$13,0),"")</f>
        <v/>
      </c>
      <c r="K292" s="42" t="n"/>
      <c r="L292" s="44">
        <f>IF(ISNUMBER(F292),I292+IF(K292="No",0,J292),"")</f>
        <v/>
      </c>
      <c r="M292" s="44">
        <f>IF(ISNUMBER(F292),I292+IF(AND(K292&lt;&gt;"No",Impostazioni!$B$29="Sì"),J292,0),"")</f>
        <v/>
      </c>
      <c r="N292" s="45">
        <f>IF(F292="","",IF(NOT(ISNUMBER(F292)),"Compenso non valido",IF(C292="","Da incassare",IF(NOT(ISNUMBER(C292)),"Data non valida",IF(YEAR(C292)='Parametri 2026'!$B$6,"Incassata","Incassata nel "&amp;YEAR(C292))))))</f>
        <v/>
      </c>
      <c r="O292" s="39" t="n"/>
    </row>
    <row r="293">
      <c r="A293" s="39" t="n"/>
      <c r="B293" s="40" t="n"/>
      <c r="C293" s="40" t="n"/>
      <c r="D293" s="39" t="n"/>
      <c r="E293" s="39" t="n"/>
      <c r="F293" s="41" t="n"/>
      <c r="G293" s="42" t="n"/>
      <c r="H293" s="43">
        <f>IF(ISNUMBER(F293),IF(OR(G293="Sì",G293="Si"),ROUND(F293*'Parametri 2026'!$B$16,2),0),"")</f>
        <v/>
      </c>
      <c r="I293" s="43">
        <f>IF(ISNUMBER(F293),F293+H293,"")</f>
        <v/>
      </c>
      <c r="J293" s="43">
        <f>IF(ISNUMBER(F293),IF(I293&gt;'Parametri 2026'!$B$14,'Parametri 2026'!$B$13,0),"")</f>
        <v/>
      </c>
      <c r="K293" s="42" t="n"/>
      <c r="L293" s="44">
        <f>IF(ISNUMBER(F293),I293+IF(K293="No",0,J293),"")</f>
        <v/>
      </c>
      <c r="M293" s="44">
        <f>IF(ISNUMBER(F293),I293+IF(AND(K293&lt;&gt;"No",Impostazioni!$B$29="Sì"),J293,0),"")</f>
        <v/>
      </c>
      <c r="N293" s="45">
        <f>IF(F293="","",IF(NOT(ISNUMBER(F293)),"Compenso non valido",IF(C293="","Da incassare",IF(NOT(ISNUMBER(C293)),"Data non valida",IF(YEAR(C293)='Parametri 2026'!$B$6,"Incassata","Incassata nel "&amp;YEAR(C293))))))</f>
        <v/>
      </c>
      <c r="O293" s="39" t="n"/>
    </row>
    <row r="294">
      <c r="A294" s="39" t="n"/>
      <c r="B294" s="40" t="n"/>
      <c r="C294" s="40" t="n"/>
      <c r="D294" s="39" t="n"/>
      <c r="E294" s="39" t="n"/>
      <c r="F294" s="41" t="n"/>
      <c r="G294" s="42" t="n"/>
      <c r="H294" s="43">
        <f>IF(ISNUMBER(F294),IF(OR(G294="Sì",G294="Si"),ROUND(F294*'Parametri 2026'!$B$16,2),0),"")</f>
        <v/>
      </c>
      <c r="I294" s="43">
        <f>IF(ISNUMBER(F294),F294+H294,"")</f>
        <v/>
      </c>
      <c r="J294" s="43">
        <f>IF(ISNUMBER(F294),IF(I294&gt;'Parametri 2026'!$B$14,'Parametri 2026'!$B$13,0),"")</f>
        <v/>
      </c>
      <c r="K294" s="42" t="n"/>
      <c r="L294" s="44">
        <f>IF(ISNUMBER(F294),I294+IF(K294="No",0,J294),"")</f>
        <v/>
      </c>
      <c r="M294" s="44">
        <f>IF(ISNUMBER(F294),I294+IF(AND(K294&lt;&gt;"No",Impostazioni!$B$29="Sì"),J294,0),"")</f>
        <v/>
      </c>
      <c r="N294" s="45">
        <f>IF(F294="","",IF(NOT(ISNUMBER(F294)),"Compenso non valido",IF(C294="","Da incassare",IF(NOT(ISNUMBER(C294)),"Data non valida",IF(YEAR(C294)='Parametri 2026'!$B$6,"Incassata","Incassata nel "&amp;YEAR(C294))))))</f>
        <v/>
      </c>
      <c r="O294" s="39" t="n"/>
    </row>
    <row r="295">
      <c r="A295" s="39" t="n"/>
      <c r="B295" s="40" t="n"/>
      <c r="C295" s="40" t="n"/>
      <c r="D295" s="39" t="n"/>
      <c r="E295" s="39" t="n"/>
      <c r="F295" s="41" t="n"/>
      <c r="G295" s="42" t="n"/>
      <c r="H295" s="43">
        <f>IF(ISNUMBER(F295),IF(OR(G295="Sì",G295="Si"),ROUND(F295*'Parametri 2026'!$B$16,2),0),"")</f>
        <v/>
      </c>
      <c r="I295" s="43">
        <f>IF(ISNUMBER(F295),F295+H295,"")</f>
        <v/>
      </c>
      <c r="J295" s="43">
        <f>IF(ISNUMBER(F295),IF(I295&gt;'Parametri 2026'!$B$14,'Parametri 2026'!$B$13,0),"")</f>
        <v/>
      </c>
      <c r="K295" s="42" t="n"/>
      <c r="L295" s="44">
        <f>IF(ISNUMBER(F295),I295+IF(K295="No",0,J295),"")</f>
        <v/>
      </c>
      <c r="M295" s="44">
        <f>IF(ISNUMBER(F295),I295+IF(AND(K295&lt;&gt;"No",Impostazioni!$B$29="Sì"),J295,0),"")</f>
        <v/>
      </c>
      <c r="N295" s="45">
        <f>IF(F295="","",IF(NOT(ISNUMBER(F295)),"Compenso non valido",IF(C295="","Da incassare",IF(NOT(ISNUMBER(C295)),"Data non valida",IF(YEAR(C295)='Parametri 2026'!$B$6,"Incassata","Incassata nel "&amp;YEAR(C295))))))</f>
        <v/>
      </c>
      <c r="O295" s="39" t="n"/>
    </row>
    <row r="296">
      <c r="A296" s="39" t="n"/>
      <c r="B296" s="40" t="n"/>
      <c r="C296" s="40" t="n"/>
      <c r="D296" s="39" t="n"/>
      <c r="E296" s="39" t="n"/>
      <c r="F296" s="41" t="n"/>
      <c r="G296" s="42" t="n"/>
      <c r="H296" s="43">
        <f>IF(ISNUMBER(F296),IF(OR(G296="Sì",G296="Si"),ROUND(F296*'Parametri 2026'!$B$16,2),0),"")</f>
        <v/>
      </c>
      <c r="I296" s="43">
        <f>IF(ISNUMBER(F296),F296+H296,"")</f>
        <v/>
      </c>
      <c r="J296" s="43">
        <f>IF(ISNUMBER(F296),IF(I296&gt;'Parametri 2026'!$B$14,'Parametri 2026'!$B$13,0),"")</f>
        <v/>
      </c>
      <c r="K296" s="42" t="n"/>
      <c r="L296" s="44">
        <f>IF(ISNUMBER(F296),I296+IF(K296="No",0,J296),"")</f>
        <v/>
      </c>
      <c r="M296" s="44">
        <f>IF(ISNUMBER(F296),I296+IF(AND(K296&lt;&gt;"No",Impostazioni!$B$29="Sì"),J296,0),"")</f>
        <v/>
      </c>
      <c r="N296" s="45">
        <f>IF(F296="","",IF(NOT(ISNUMBER(F296)),"Compenso non valido",IF(C296="","Da incassare",IF(NOT(ISNUMBER(C296)),"Data non valida",IF(YEAR(C296)='Parametri 2026'!$B$6,"Incassata","Incassata nel "&amp;YEAR(C296))))))</f>
        <v/>
      </c>
      <c r="O296" s="39" t="n"/>
    </row>
    <row r="297">
      <c r="A297" s="39" t="n"/>
      <c r="B297" s="40" t="n"/>
      <c r="C297" s="40" t="n"/>
      <c r="D297" s="39" t="n"/>
      <c r="E297" s="39" t="n"/>
      <c r="F297" s="41" t="n"/>
      <c r="G297" s="42" t="n"/>
      <c r="H297" s="43">
        <f>IF(ISNUMBER(F297),IF(OR(G297="Sì",G297="Si"),ROUND(F297*'Parametri 2026'!$B$16,2),0),"")</f>
        <v/>
      </c>
      <c r="I297" s="43">
        <f>IF(ISNUMBER(F297),F297+H297,"")</f>
        <v/>
      </c>
      <c r="J297" s="43">
        <f>IF(ISNUMBER(F297),IF(I297&gt;'Parametri 2026'!$B$14,'Parametri 2026'!$B$13,0),"")</f>
        <v/>
      </c>
      <c r="K297" s="42" t="n"/>
      <c r="L297" s="44">
        <f>IF(ISNUMBER(F297),I297+IF(K297="No",0,J297),"")</f>
        <v/>
      </c>
      <c r="M297" s="44">
        <f>IF(ISNUMBER(F297),I297+IF(AND(K297&lt;&gt;"No",Impostazioni!$B$29="Sì"),J297,0),"")</f>
        <v/>
      </c>
      <c r="N297" s="45">
        <f>IF(F297="","",IF(NOT(ISNUMBER(F297)),"Compenso non valido",IF(C297="","Da incassare",IF(NOT(ISNUMBER(C297)),"Data non valida",IF(YEAR(C297)='Parametri 2026'!$B$6,"Incassata","Incassata nel "&amp;YEAR(C297))))))</f>
        <v/>
      </c>
      <c r="O297" s="39" t="n"/>
    </row>
    <row r="298">
      <c r="A298" s="39" t="n"/>
      <c r="B298" s="40" t="n"/>
      <c r="C298" s="40" t="n"/>
      <c r="D298" s="39" t="n"/>
      <c r="E298" s="39" t="n"/>
      <c r="F298" s="41" t="n"/>
      <c r="G298" s="42" t="n"/>
      <c r="H298" s="43">
        <f>IF(ISNUMBER(F298),IF(OR(G298="Sì",G298="Si"),ROUND(F298*'Parametri 2026'!$B$16,2),0),"")</f>
        <v/>
      </c>
      <c r="I298" s="43">
        <f>IF(ISNUMBER(F298),F298+H298,"")</f>
        <v/>
      </c>
      <c r="J298" s="43">
        <f>IF(ISNUMBER(F298),IF(I298&gt;'Parametri 2026'!$B$14,'Parametri 2026'!$B$13,0),"")</f>
        <v/>
      </c>
      <c r="K298" s="42" t="n"/>
      <c r="L298" s="44">
        <f>IF(ISNUMBER(F298),I298+IF(K298="No",0,J298),"")</f>
        <v/>
      </c>
      <c r="M298" s="44">
        <f>IF(ISNUMBER(F298),I298+IF(AND(K298&lt;&gt;"No",Impostazioni!$B$29="Sì"),J298,0),"")</f>
        <v/>
      </c>
      <c r="N298" s="45">
        <f>IF(F298="","",IF(NOT(ISNUMBER(F298)),"Compenso non valido",IF(C298="","Da incassare",IF(NOT(ISNUMBER(C298)),"Data non valida",IF(YEAR(C298)='Parametri 2026'!$B$6,"Incassata","Incassata nel "&amp;YEAR(C298))))))</f>
        <v/>
      </c>
      <c r="O298" s="39" t="n"/>
    </row>
    <row r="299">
      <c r="A299" s="39" t="n"/>
      <c r="B299" s="40" t="n"/>
      <c r="C299" s="40" t="n"/>
      <c r="D299" s="39" t="n"/>
      <c r="E299" s="39" t="n"/>
      <c r="F299" s="41" t="n"/>
      <c r="G299" s="42" t="n"/>
      <c r="H299" s="43">
        <f>IF(ISNUMBER(F299),IF(OR(G299="Sì",G299="Si"),ROUND(F299*'Parametri 2026'!$B$16,2),0),"")</f>
        <v/>
      </c>
      <c r="I299" s="43">
        <f>IF(ISNUMBER(F299),F299+H299,"")</f>
        <v/>
      </c>
      <c r="J299" s="43">
        <f>IF(ISNUMBER(F299),IF(I299&gt;'Parametri 2026'!$B$14,'Parametri 2026'!$B$13,0),"")</f>
        <v/>
      </c>
      <c r="K299" s="42" t="n"/>
      <c r="L299" s="44">
        <f>IF(ISNUMBER(F299),I299+IF(K299="No",0,J299),"")</f>
        <v/>
      </c>
      <c r="M299" s="44">
        <f>IF(ISNUMBER(F299),I299+IF(AND(K299&lt;&gt;"No",Impostazioni!$B$29="Sì"),J299,0),"")</f>
        <v/>
      </c>
      <c r="N299" s="45">
        <f>IF(F299="","",IF(NOT(ISNUMBER(F299)),"Compenso non valido",IF(C299="","Da incassare",IF(NOT(ISNUMBER(C299)),"Data non valida",IF(YEAR(C299)='Parametri 2026'!$B$6,"Incassata","Incassata nel "&amp;YEAR(C299))))))</f>
        <v/>
      </c>
      <c r="O299" s="39" t="n"/>
    </row>
    <row r="300">
      <c r="A300" s="39" t="n"/>
      <c r="B300" s="40" t="n"/>
      <c r="C300" s="40" t="n"/>
      <c r="D300" s="39" t="n"/>
      <c r="E300" s="39" t="n"/>
      <c r="F300" s="41" t="n"/>
      <c r="G300" s="42" t="n"/>
      <c r="H300" s="43">
        <f>IF(ISNUMBER(F300),IF(OR(G300="Sì",G300="Si"),ROUND(F300*'Parametri 2026'!$B$16,2),0),"")</f>
        <v/>
      </c>
      <c r="I300" s="43">
        <f>IF(ISNUMBER(F300),F300+H300,"")</f>
        <v/>
      </c>
      <c r="J300" s="43">
        <f>IF(ISNUMBER(F300),IF(I300&gt;'Parametri 2026'!$B$14,'Parametri 2026'!$B$13,0),"")</f>
        <v/>
      </c>
      <c r="K300" s="42" t="n"/>
      <c r="L300" s="44">
        <f>IF(ISNUMBER(F300),I300+IF(K300="No",0,J300),"")</f>
        <v/>
      </c>
      <c r="M300" s="44">
        <f>IF(ISNUMBER(F300),I300+IF(AND(K300&lt;&gt;"No",Impostazioni!$B$29="Sì"),J300,0),"")</f>
        <v/>
      </c>
      <c r="N300" s="45">
        <f>IF(F300="","",IF(NOT(ISNUMBER(F300)),"Compenso non valido",IF(C300="","Da incassare",IF(NOT(ISNUMBER(C300)),"Data non valida",IF(YEAR(C300)='Parametri 2026'!$B$6,"Incassata","Incassata nel "&amp;YEAR(C300))))))</f>
        <v/>
      </c>
      <c r="O300" s="39" t="n"/>
    </row>
    <row r="301">
      <c r="A301" s="39" t="n"/>
      <c r="B301" s="40" t="n"/>
      <c r="C301" s="40" t="n"/>
      <c r="D301" s="39" t="n"/>
      <c r="E301" s="39" t="n"/>
      <c r="F301" s="41" t="n"/>
      <c r="G301" s="42" t="n"/>
      <c r="H301" s="43">
        <f>IF(ISNUMBER(F301),IF(OR(G301="Sì",G301="Si"),ROUND(F301*'Parametri 2026'!$B$16,2),0),"")</f>
        <v/>
      </c>
      <c r="I301" s="43">
        <f>IF(ISNUMBER(F301),F301+H301,"")</f>
        <v/>
      </c>
      <c r="J301" s="43">
        <f>IF(ISNUMBER(F301),IF(I301&gt;'Parametri 2026'!$B$14,'Parametri 2026'!$B$13,0),"")</f>
        <v/>
      </c>
      <c r="K301" s="42" t="n"/>
      <c r="L301" s="44">
        <f>IF(ISNUMBER(F301),I301+IF(K301="No",0,J301),"")</f>
        <v/>
      </c>
      <c r="M301" s="44">
        <f>IF(ISNUMBER(F301),I301+IF(AND(K301&lt;&gt;"No",Impostazioni!$B$29="Sì"),J301,0),"")</f>
        <v/>
      </c>
      <c r="N301" s="45">
        <f>IF(F301="","",IF(NOT(ISNUMBER(F301)),"Compenso non valido",IF(C301="","Da incassare",IF(NOT(ISNUMBER(C301)),"Data non valida",IF(YEAR(C301)='Parametri 2026'!$B$6,"Incassata","Incassata nel "&amp;YEAR(C301))))))</f>
        <v/>
      </c>
      <c r="O301" s="39" t="n"/>
    </row>
    <row r="302">
      <c r="A302" s="39" t="n"/>
      <c r="B302" s="40" t="n"/>
      <c r="C302" s="40" t="n"/>
      <c r="D302" s="39" t="n"/>
      <c r="E302" s="39" t="n"/>
      <c r="F302" s="41" t="n"/>
      <c r="G302" s="42" t="n"/>
      <c r="H302" s="43">
        <f>IF(ISNUMBER(F302),IF(OR(G302="Sì",G302="Si"),ROUND(F302*'Parametri 2026'!$B$16,2),0),"")</f>
        <v/>
      </c>
      <c r="I302" s="43">
        <f>IF(ISNUMBER(F302),F302+H302,"")</f>
        <v/>
      </c>
      <c r="J302" s="43">
        <f>IF(ISNUMBER(F302),IF(I302&gt;'Parametri 2026'!$B$14,'Parametri 2026'!$B$13,0),"")</f>
        <v/>
      </c>
      <c r="K302" s="42" t="n"/>
      <c r="L302" s="44">
        <f>IF(ISNUMBER(F302),I302+IF(K302="No",0,J302),"")</f>
        <v/>
      </c>
      <c r="M302" s="44">
        <f>IF(ISNUMBER(F302),I302+IF(AND(K302&lt;&gt;"No",Impostazioni!$B$29="Sì"),J302,0),"")</f>
        <v/>
      </c>
      <c r="N302" s="45">
        <f>IF(F302="","",IF(NOT(ISNUMBER(F302)),"Compenso non valido",IF(C302="","Da incassare",IF(NOT(ISNUMBER(C302)),"Data non valida",IF(YEAR(C302)='Parametri 2026'!$B$6,"Incassata","Incassata nel "&amp;YEAR(C302))))))</f>
        <v/>
      </c>
      <c r="O302" s="39" t="n"/>
    </row>
    <row r="303">
      <c r="A303" s="39" t="n"/>
      <c r="B303" s="40" t="n"/>
      <c r="C303" s="40" t="n"/>
      <c r="D303" s="39" t="n"/>
      <c r="E303" s="39" t="n"/>
      <c r="F303" s="41" t="n"/>
      <c r="G303" s="42" t="n"/>
      <c r="H303" s="43">
        <f>IF(ISNUMBER(F303),IF(OR(G303="Sì",G303="Si"),ROUND(F303*'Parametri 2026'!$B$16,2),0),"")</f>
        <v/>
      </c>
      <c r="I303" s="43">
        <f>IF(ISNUMBER(F303),F303+H303,"")</f>
        <v/>
      </c>
      <c r="J303" s="43">
        <f>IF(ISNUMBER(F303),IF(I303&gt;'Parametri 2026'!$B$14,'Parametri 2026'!$B$13,0),"")</f>
        <v/>
      </c>
      <c r="K303" s="42" t="n"/>
      <c r="L303" s="44">
        <f>IF(ISNUMBER(F303),I303+IF(K303="No",0,J303),"")</f>
        <v/>
      </c>
      <c r="M303" s="44">
        <f>IF(ISNUMBER(F303),I303+IF(AND(K303&lt;&gt;"No",Impostazioni!$B$29="Sì"),J303,0),"")</f>
        <v/>
      </c>
      <c r="N303" s="45">
        <f>IF(F303="","",IF(NOT(ISNUMBER(F303)),"Compenso non valido",IF(C303="","Da incassare",IF(NOT(ISNUMBER(C303)),"Data non valida",IF(YEAR(C303)='Parametri 2026'!$B$6,"Incassata","Incassata nel "&amp;YEAR(C303))))))</f>
        <v/>
      </c>
      <c r="O303" s="39" t="n"/>
    </row>
    <row r="304">
      <c r="A304" s="39" t="n"/>
      <c r="B304" s="40" t="n"/>
      <c r="C304" s="40" t="n"/>
      <c r="D304" s="39" t="n"/>
      <c r="E304" s="39" t="n"/>
      <c r="F304" s="41" t="n"/>
      <c r="G304" s="42" t="n"/>
      <c r="H304" s="43">
        <f>IF(ISNUMBER(F304),IF(OR(G304="Sì",G304="Si"),ROUND(F304*'Parametri 2026'!$B$16,2),0),"")</f>
        <v/>
      </c>
      <c r="I304" s="43">
        <f>IF(ISNUMBER(F304),F304+H304,"")</f>
        <v/>
      </c>
      <c r="J304" s="43">
        <f>IF(ISNUMBER(F304),IF(I304&gt;'Parametri 2026'!$B$14,'Parametri 2026'!$B$13,0),"")</f>
        <v/>
      </c>
      <c r="K304" s="42" t="n"/>
      <c r="L304" s="44">
        <f>IF(ISNUMBER(F304),I304+IF(K304="No",0,J304),"")</f>
        <v/>
      </c>
      <c r="M304" s="44">
        <f>IF(ISNUMBER(F304),I304+IF(AND(K304&lt;&gt;"No",Impostazioni!$B$29="Sì"),J304,0),"")</f>
        <v/>
      </c>
      <c r="N304" s="45">
        <f>IF(F304="","",IF(NOT(ISNUMBER(F304)),"Compenso non valido",IF(C304="","Da incassare",IF(NOT(ISNUMBER(C304)),"Data non valida",IF(YEAR(C304)='Parametri 2026'!$B$6,"Incassata","Incassata nel "&amp;YEAR(C304))))))</f>
        <v/>
      </c>
      <c r="O304" s="3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O304"/>
  <mergeCells count="2">
    <mergeCell ref="A1:O1"/>
    <mergeCell ref="A2:O2"/>
  </mergeCells>
  <conditionalFormatting sqref="N5:N304">
    <cfRule type="expression" priority="1" dxfId="0">
      <formula>N5="Da incassare"</formula>
    </cfRule>
    <cfRule type="expression" priority="2" dxfId="1">
      <formula>N5="Incassata"</formula>
    </cfRule>
    <cfRule type="expression" priority="3" dxfId="2">
      <formula>LEFT(N5,12)="Incassata ne"</formula>
    </cfRule>
    <cfRule type="expression" priority="4" dxfId="3">
      <formula>RIGHT(N5,10)="non valido"</formula>
    </cfRule>
    <cfRule type="expression" priority="5" dxfId="3">
      <formula>RIGHT(N5,10)="non valida"</formula>
    </cfRule>
  </conditionalFormatting>
  <conditionalFormatting sqref="C5:C304">
    <cfRule type="expression" priority="6" dxfId="3">
      <formula>AND(C5&lt;&gt;"",B5&lt;&gt;"",C5&lt;B5)</formula>
    </cfRule>
  </conditionalFormatting>
  <dataValidations count="3">
    <dataValidation sqref="B5:C304" showDropDown="0" showInputMessage="1" showErrorMessage="1" allowBlank="1" errorTitle="Data" error="Inserisci una data nel formato gg/mm/aaaa." promptTitle="Data" prompt="Formato gg/mm/aaaa" type="date" operator="between">
      <formula1>42005</formula1>
      <formula2>51501</formula2>
    </dataValidation>
    <dataValidation sqref="F5:F304" showDropDown="0" showInputMessage="0" showErrorMessage="1" allowBlank="1" errorTitle="Compenso" error="Inserisci il compenso in euro (senza rivalsa e bollo)." type="decimal" operator="greaterThanOrEqual">
      <formula1>0</formula1>
    </dataValidation>
    <dataValidation sqref="G5:G304 K5:K304" showDropDown="0" showInputMessage="1" showErrorMessage="1" allowBlank="1" errorTitle="Valore non valido" error="Scegli una voce del menu a tendina." promptTitle="Sì / No" prompt="Vuoto = No per la rivalsa, Sì per il bollo" type="list">
      <formula1>"Sì,No"</formula1>
    </dataValidation>
  </dataValidations>
  <printOptions horizontalCentered="1"/>
  <pageMargins left="0.4" right="0.4" top="0.5" bottom="0.5" header="0.5" footer="0.5"/>
  <pageSetup orientation="landscape" paperSize="9" fitToHeight="0" fitToWidth="1"/>
  <headerFooter>
    <oddHeader/>
    <oddFooter>&amp;C&amp;8 &amp;A · pagina &amp;P di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04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14" customWidth="1" min="4" max="4"/>
    <col width="40" customWidth="1" min="5" max="5"/>
  </cols>
  <sheetData>
    <row r="1" ht="30" customHeight="1">
      <c r="A1" s="11" t="inlineStr">
        <is>
          <t>Spese (facoltativo)</t>
        </is>
      </c>
    </row>
    <row r="2" ht="30" customHeight="1">
      <c r="A2" s="12" t="inlineStr">
        <is>
          <t>Nel forfettario i costi non si deducono: questo foglio serve solo a vedere il netto vero. Non inserire qui tasse e contributi, li calcola il file.</t>
        </is>
      </c>
    </row>
    <row r="3">
      <c r="C3" s="36" t="inlineStr">
        <is>
          <t>Spese nel 2026</t>
        </is>
      </c>
      <c r="D3" s="37">
        <f>'Riepilogo mensile'!$L$17</f>
        <v/>
      </c>
    </row>
    <row r="4" ht="28" customHeight="1">
      <c r="A4" s="13" t="inlineStr">
        <is>
          <t>Data pagamento</t>
        </is>
      </c>
      <c r="B4" s="13" t="inlineStr">
        <is>
          <t>Descrizione</t>
        </is>
      </c>
      <c r="C4" s="13" t="inlineStr">
        <is>
          <t>Categoria</t>
        </is>
      </c>
      <c r="D4" s="13" t="inlineStr">
        <is>
          <t>Importo (€)</t>
        </is>
      </c>
      <c r="E4" s="13" t="inlineStr">
        <is>
          <t>Note</t>
        </is>
      </c>
    </row>
    <row r="5">
      <c r="A5" s="40" t="n">
        <v>46027</v>
      </c>
      <c r="B5" s="39" t="inlineStr">
        <is>
          <t>Coworking, 1° trimestre</t>
        </is>
      </c>
      <c r="C5" s="39" t="inlineStr">
        <is>
          <t>Affitto e coworking</t>
        </is>
      </c>
      <c r="D5" s="41" t="n">
        <v>420</v>
      </c>
      <c r="E5" s="39" t="n"/>
    </row>
    <row r="6">
      <c r="A6" s="40" t="n">
        <v>46037</v>
      </c>
      <c r="B6" s="39" t="inlineStr">
        <is>
          <t>Software di grafica, abbonamento annuale</t>
        </is>
      </c>
      <c r="C6" s="39" t="inlineStr">
        <is>
          <t>Software e abbonamenti</t>
        </is>
      </c>
      <c r="D6" s="41" t="n">
        <v>720</v>
      </c>
      <c r="E6" s="39" t="n"/>
    </row>
    <row r="7">
      <c r="A7" s="40" t="n">
        <v>46053</v>
      </c>
      <c r="B7" s="39" t="inlineStr">
        <is>
          <t>Hosting e dominio del portfolio</t>
        </is>
      </c>
      <c r="C7" s="39" t="inlineStr">
        <is>
          <t>Software e abbonamenti</t>
        </is>
      </c>
      <c r="D7" s="41" t="n">
        <v>95</v>
      </c>
      <c r="E7" s="39" t="n"/>
    </row>
    <row r="8">
      <c r="A8" s="40" t="n">
        <v>46063</v>
      </c>
      <c r="B8" s="39" t="inlineStr">
        <is>
          <t>Commercialista, prima rata</t>
        </is>
      </c>
      <c r="C8" s="39" t="inlineStr">
        <is>
          <t>Commercialista</t>
        </is>
      </c>
      <c r="D8" s="41" t="n">
        <v>400</v>
      </c>
      <c r="E8" s="39" t="n"/>
    </row>
    <row r="9">
      <c r="A9" s="40" t="n">
        <v>46086</v>
      </c>
      <c r="B9" s="39" t="inlineStr">
        <is>
          <t>Monitor</t>
        </is>
      </c>
      <c r="C9" s="39" t="inlineStr">
        <is>
          <t>Attrezzatura</t>
        </is>
      </c>
      <c r="D9" s="41" t="n">
        <v>389</v>
      </c>
      <c r="E9" s="39" t="n"/>
    </row>
    <row r="10">
      <c r="A10" s="40" t="n">
        <v>46119</v>
      </c>
      <c r="B10" s="39" t="inlineStr">
        <is>
          <t>Coworking, 2° trimestre</t>
        </is>
      </c>
      <c r="C10" s="39" t="inlineStr">
        <is>
          <t>Affitto e coworking</t>
        </is>
      </c>
      <c r="D10" s="41" t="n">
        <v>420</v>
      </c>
      <c r="E10" s="39" t="n"/>
    </row>
    <row r="11">
      <c r="A11" s="40" t="n">
        <v>46132</v>
      </c>
      <c r="B11" s="39" t="inlineStr">
        <is>
          <t>Corso online di tipografia</t>
        </is>
      </c>
      <c r="C11" s="39" t="inlineStr">
        <is>
          <t>Formazione</t>
        </is>
      </c>
      <c r="D11" s="41" t="n">
        <v>180</v>
      </c>
      <c r="E11" s="39" t="n"/>
    </row>
    <row r="12">
      <c r="A12" s="40" t="n">
        <v>46185</v>
      </c>
      <c r="B12" s="39" t="inlineStr">
        <is>
          <t>Stampa campioni etichette</t>
        </is>
      </c>
      <c r="C12" s="39" t="inlineStr">
        <is>
          <t>Materiali</t>
        </is>
      </c>
      <c r="D12" s="41" t="n">
        <v>85</v>
      </c>
      <c r="E12" s="39" t="n"/>
    </row>
    <row r="13">
      <c r="A13" s="40" t="n">
        <v>46209</v>
      </c>
      <c r="B13" s="39" t="inlineStr">
        <is>
          <t>Coworking, 3° trimestre</t>
        </is>
      </c>
      <c r="C13" s="39" t="inlineStr">
        <is>
          <t>Affitto e coworking</t>
        </is>
      </c>
      <c r="D13" s="41" t="n">
        <v>420</v>
      </c>
      <c r="E13" s="39" t="n"/>
    </row>
    <row r="14">
      <c r="A14" s="40" t="n">
        <v>46275</v>
      </c>
      <c r="B14" s="39" t="inlineStr">
        <is>
          <t>Commercialista, seconda rata</t>
        </is>
      </c>
      <c r="C14" s="39" t="inlineStr">
        <is>
          <t>Commercialista</t>
        </is>
      </c>
      <c r="D14" s="41" t="n">
        <v>400</v>
      </c>
      <c r="E14" s="39" t="n"/>
    </row>
    <row r="15">
      <c r="A15" s="40" t="n">
        <v>46300</v>
      </c>
      <c r="B15" s="39" t="inlineStr">
        <is>
          <t>Coworking, 4° trimestre</t>
        </is>
      </c>
      <c r="C15" s="39" t="inlineStr">
        <is>
          <t>Affitto e coworking</t>
        </is>
      </c>
      <c r="D15" s="41" t="n">
        <v>420</v>
      </c>
      <c r="E15" s="39" t="n"/>
    </row>
    <row r="16">
      <c r="A16" s="40" t="n">
        <v>46344</v>
      </c>
      <c r="B16" s="39" t="inlineStr">
        <is>
          <t>Trasferta fiera Cantina Colli Alti</t>
        </is>
      </c>
      <c r="C16" s="39" t="inlineStr">
        <is>
          <t>Trasporti e trasferte</t>
        </is>
      </c>
      <c r="D16" s="41" t="n">
        <v>210</v>
      </c>
      <c r="E16" s="39" t="n"/>
    </row>
    <row r="17">
      <c r="A17" s="40" t="n">
        <v>46357</v>
      </c>
      <c r="B17" s="39" t="inlineStr">
        <is>
          <t>Telefono e internet, anno</t>
        </is>
      </c>
      <c r="C17" s="39" t="inlineStr">
        <is>
          <t>Telefono e internet</t>
        </is>
      </c>
      <c r="D17" s="41" t="n">
        <v>300</v>
      </c>
      <c r="E17" s="39" t="n"/>
    </row>
    <row r="18">
      <c r="A18" s="40" t="n"/>
      <c r="B18" s="39" t="n"/>
      <c r="C18" s="39" t="n"/>
      <c r="D18" s="41" t="n"/>
      <c r="E18" s="39" t="n"/>
    </row>
    <row r="19">
      <c r="A19" s="40" t="n"/>
      <c r="B19" s="39" t="n"/>
      <c r="C19" s="39" t="n"/>
      <c r="D19" s="41" t="n"/>
      <c r="E19" s="39" t="n"/>
    </row>
    <row r="20">
      <c r="A20" s="40" t="n"/>
      <c r="B20" s="39" t="n"/>
      <c r="C20" s="39" t="n"/>
      <c r="D20" s="41" t="n"/>
      <c r="E20" s="39" t="n"/>
    </row>
    <row r="21">
      <c r="A21" s="40" t="n"/>
      <c r="B21" s="39" t="n"/>
      <c r="C21" s="39" t="n"/>
      <c r="D21" s="41" t="n"/>
      <c r="E21" s="39" t="n"/>
    </row>
    <row r="22">
      <c r="A22" s="40" t="n"/>
      <c r="B22" s="39" t="n"/>
      <c r="C22" s="39" t="n"/>
      <c r="D22" s="41" t="n"/>
      <c r="E22" s="39" t="n"/>
    </row>
    <row r="23">
      <c r="A23" s="40" t="n"/>
      <c r="B23" s="39" t="n"/>
      <c r="C23" s="39" t="n"/>
      <c r="D23" s="41" t="n"/>
      <c r="E23" s="39" t="n"/>
    </row>
    <row r="24">
      <c r="A24" s="40" t="n"/>
      <c r="B24" s="39" t="n"/>
      <c r="C24" s="39" t="n"/>
      <c r="D24" s="41" t="n"/>
      <c r="E24" s="39" t="n"/>
    </row>
    <row r="25">
      <c r="A25" s="40" t="n"/>
      <c r="B25" s="39" t="n"/>
      <c r="C25" s="39" t="n"/>
      <c r="D25" s="41" t="n"/>
      <c r="E25" s="39" t="n"/>
    </row>
    <row r="26">
      <c r="A26" s="40" t="n"/>
      <c r="B26" s="39" t="n"/>
      <c r="C26" s="39" t="n"/>
      <c r="D26" s="41" t="n"/>
      <c r="E26" s="39" t="n"/>
    </row>
    <row r="27">
      <c r="A27" s="40" t="n"/>
      <c r="B27" s="39" t="n"/>
      <c r="C27" s="39" t="n"/>
      <c r="D27" s="41" t="n"/>
      <c r="E27" s="39" t="n"/>
    </row>
    <row r="28">
      <c r="A28" s="40" t="n"/>
      <c r="B28" s="39" t="n"/>
      <c r="C28" s="39" t="n"/>
      <c r="D28" s="41" t="n"/>
      <c r="E28" s="39" t="n"/>
    </row>
    <row r="29">
      <c r="A29" s="40" t="n"/>
      <c r="B29" s="39" t="n"/>
      <c r="C29" s="39" t="n"/>
      <c r="D29" s="41" t="n"/>
      <c r="E29" s="39" t="n"/>
    </row>
    <row r="30">
      <c r="A30" s="40" t="n"/>
      <c r="B30" s="39" t="n"/>
      <c r="C30" s="39" t="n"/>
      <c r="D30" s="41" t="n"/>
      <c r="E30" s="39" t="n"/>
    </row>
    <row r="31">
      <c r="A31" s="40" t="n"/>
      <c r="B31" s="39" t="n"/>
      <c r="C31" s="39" t="n"/>
      <c r="D31" s="41" t="n"/>
      <c r="E31" s="39" t="n"/>
    </row>
    <row r="32">
      <c r="A32" s="40" t="n"/>
      <c r="B32" s="39" t="n"/>
      <c r="C32" s="39" t="n"/>
      <c r="D32" s="41" t="n"/>
      <c r="E32" s="39" t="n"/>
    </row>
    <row r="33">
      <c r="A33" s="40" t="n"/>
      <c r="B33" s="39" t="n"/>
      <c r="C33" s="39" t="n"/>
      <c r="D33" s="41" t="n"/>
      <c r="E33" s="39" t="n"/>
    </row>
    <row r="34">
      <c r="A34" s="40" t="n"/>
      <c r="B34" s="39" t="n"/>
      <c r="C34" s="39" t="n"/>
      <c r="D34" s="41" t="n"/>
      <c r="E34" s="39" t="n"/>
    </row>
    <row r="35">
      <c r="A35" s="40" t="n"/>
      <c r="B35" s="39" t="n"/>
      <c r="C35" s="39" t="n"/>
      <c r="D35" s="41" t="n"/>
      <c r="E35" s="39" t="n"/>
    </row>
    <row r="36">
      <c r="A36" s="40" t="n"/>
      <c r="B36" s="39" t="n"/>
      <c r="C36" s="39" t="n"/>
      <c r="D36" s="41" t="n"/>
      <c r="E36" s="39" t="n"/>
    </row>
    <row r="37">
      <c r="A37" s="40" t="n"/>
      <c r="B37" s="39" t="n"/>
      <c r="C37" s="39" t="n"/>
      <c r="D37" s="41" t="n"/>
      <c r="E37" s="39" t="n"/>
    </row>
    <row r="38">
      <c r="A38" s="40" t="n"/>
      <c r="B38" s="39" t="n"/>
      <c r="C38" s="39" t="n"/>
      <c r="D38" s="41" t="n"/>
      <c r="E38" s="39" t="n"/>
    </row>
    <row r="39">
      <c r="A39" s="40" t="n"/>
      <c r="B39" s="39" t="n"/>
      <c r="C39" s="39" t="n"/>
      <c r="D39" s="41" t="n"/>
      <c r="E39" s="39" t="n"/>
    </row>
    <row r="40">
      <c r="A40" s="40" t="n"/>
      <c r="B40" s="39" t="n"/>
      <c r="C40" s="39" t="n"/>
      <c r="D40" s="41" t="n"/>
      <c r="E40" s="39" t="n"/>
    </row>
    <row r="41">
      <c r="A41" s="40" t="n"/>
      <c r="B41" s="39" t="n"/>
      <c r="C41" s="39" t="n"/>
      <c r="D41" s="41" t="n"/>
      <c r="E41" s="39" t="n"/>
    </row>
    <row r="42">
      <c r="A42" s="40" t="n"/>
      <c r="B42" s="39" t="n"/>
      <c r="C42" s="39" t="n"/>
      <c r="D42" s="41" t="n"/>
      <c r="E42" s="39" t="n"/>
    </row>
    <row r="43">
      <c r="A43" s="40" t="n"/>
      <c r="B43" s="39" t="n"/>
      <c r="C43" s="39" t="n"/>
      <c r="D43" s="41" t="n"/>
      <c r="E43" s="39" t="n"/>
    </row>
    <row r="44">
      <c r="A44" s="40" t="n"/>
      <c r="B44" s="39" t="n"/>
      <c r="C44" s="39" t="n"/>
      <c r="D44" s="41" t="n"/>
      <c r="E44" s="39" t="n"/>
    </row>
    <row r="45">
      <c r="A45" s="40" t="n"/>
      <c r="B45" s="39" t="n"/>
      <c r="C45" s="39" t="n"/>
      <c r="D45" s="41" t="n"/>
      <c r="E45" s="39" t="n"/>
    </row>
    <row r="46">
      <c r="A46" s="40" t="n"/>
      <c r="B46" s="39" t="n"/>
      <c r="C46" s="39" t="n"/>
      <c r="D46" s="41" t="n"/>
      <c r="E46" s="39" t="n"/>
    </row>
    <row r="47">
      <c r="A47" s="40" t="n"/>
      <c r="B47" s="39" t="n"/>
      <c r="C47" s="39" t="n"/>
      <c r="D47" s="41" t="n"/>
      <c r="E47" s="39" t="n"/>
    </row>
    <row r="48">
      <c r="A48" s="40" t="n"/>
      <c r="B48" s="39" t="n"/>
      <c r="C48" s="39" t="n"/>
      <c r="D48" s="41" t="n"/>
      <c r="E48" s="39" t="n"/>
    </row>
    <row r="49">
      <c r="A49" s="40" t="n"/>
      <c r="B49" s="39" t="n"/>
      <c r="C49" s="39" t="n"/>
      <c r="D49" s="41" t="n"/>
      <c r="E49" s="39" t="n"/>
    </row>
    <row r="50">
      <c r="A50" s="40" t="n"/>
      <c r="B50" s="39" t="n"/>
      <c r="C50" s="39" t="n"/>
      <c r="D50" s="41" t="n"/>
      <c r="E50" s="39" t="n"/>
    </row>
    <row r="51">
      <c r="A51" s="40" t="n"/>
      <c r="B51" s="39" t="n"/>
      <c r="C51" s="39" t="n"/>
      <c r="D51" s="41" t="n"/>
      <c r="E51" s="39" t="n"/>
    </row>
    <row r="52">
      <c r="A52" s="40" t="n"/>
      <c r="B52" s="39" t="n"/>
      <c r="C52" s="39" t="n"/>
      <c r="D52" s="41" t="n"/>
      <c r="E52" s="39" t="n"/>
    </row>
    <row r="53">
      <c r="A53" s="40" t="n"/>
      <c r="B53" s="39" t="n"/>
      <c r="C53" s="39" t="n"/>
      <c r="D53" s="41" t="n"/>
      <c r="E53" s="39" t="n"/>
    </row>
    <row r="54">
      <c r="A54" s="40" t="n"/>
      <c r="B54" s="39" t="n"/>
      <c r="C54" s="39" t="n"/>
      <c r="D54" s="41" t="n"/>
      <c r="E54" s="39" t="n"/>
    </row>
    <row r="55">
      <c r="A55" s="40" t="n"/>
      <c r="B55" s="39" t="n"/>
      <c r="C55" s="39" t="n"/>
      <c r="D55" s="41" t="n"/>
      <c r="E55" s="39" t="n"/>
    </row>
    <row r="56">
      <c r="A56" s="40" t="n"/>
      <c r="B56" s="39" t="n"/>
      <c r="C56" s="39" t="n"/>
      <c r="D56" s="41" t="n"/>
      <c r="E56" s="39" t="n"/>
    </row>
    <row r="57">
      <c r="A57" s="40" t="n"/>
      <c r="B57" s="39" t="n"/>
      <c r="C57" s="39" t="n"/>
      <c r="D57" s="41" t="n"/>
      <c r="E57" s="39" t="n"/>
    </row>
    <row r="58">
      <c r="A58" s="40" t="n"/>
      <c r="B58" s="39" t="n"/>
      <c r="C58" s="39" t="n"/>
      <c r="D58" s="41" t="n"/>
      <c r="E58" s="39" t="n"/>
    </row>
    <row r="59">
      <c r="A59" s="40" t="n"/>
      <c r="B59" s="39" t="n"/>
      <c r="C59" s="39" t="n"/>
      <c r="D59" s="41" t="n"/>
      <c r="E59" s="39" t="n"/>
    </row>
    <row r="60">
      <c r="A60" s="40" t="n"/>
      <c r="B60" s="39" t="n"/>
      <c r="C60" s="39" t="n"/>
      <c r="D60" s="41" t="n"/>
      <c r="E60" s="39" t="n"/>
    </row>
    <row r="61">
      <c r="A61" s="40" t="n"/>
      <c r="B61" s="39" t="n"/>
      <c r="C61" s="39" t="n"/>
      <c r="D61" s="41" t="n"/>
      <c r="E61" s="39" t="n"/>
    </row>
    <row r="62">
      <c r="A62" s="40" t="n"/>
      <c r="B62" s="39" t="n"/>
      <c r="C62" s="39" t="n"/>
      <c r="D62" s="41" t="n"/>
      <c r="E62" s="39" t="n"/>
    </row>
    <row r="63">
      <c r="A63" s="40" t="n"/>
      <c r="B63" s="39" t="n"/>
      <c r="C63" s="39" t="n"/>
      <c r="D63" s="41" t="n"/>
      <c r="E63" s="39" t="n"/>
    </row>
    <row r="64">
      <c r="A64" s="40" t="n"/>
      <c r="B64" s="39" t="n"/>
      <c r="C64" s="39" t="n"/>
      <c r="D64" s="41" t="n"/>
      <c r="E64" s="39" t="n"/>
    </row>
    <row r="65">
      <c r="A65" s="40" t="n"/>
      <c r="B65" s="39" t="n"/>
      <c r="C65" s="39" t="n"/>
      <c r="D65" s="41" t="n"/>
      <c r="E65" s="39" t="n"/>
    </row>
    <row r="66">
      <c r="A66" s="40" t="n"/>
      <c r="B66" s="39" t="n"/>
      <c r="C66" s="39" t="n"/>
      <c r="D66" s="41" t="n"/>
      <c r="E66" s="39" t="n"/>
    </row>
    <row r="67">
      <c r="A67" s="40" t="n"/>
      <c r="B67" s="39" t="n"/>
      <c r="C67" s="39" t="n"/>
      <c r="D67" s="41" t="n"/>
      <c r="E67" s="39" t="n"/>
    </row>
    <row r="68">
      <c r="A68" s="40" t="n"/>
      <c r="B68" s="39" t="n"/>
      <c r="C68" s="39" t="n"/>
      <c r="D68" s="41" t="n"/>
      <c r="E68" s="39" t="n"/>
    </row>
    <row r="69">
      <c r="A69" s="40" t="n"/>
      <c r="B69" s="39" t="n"/>
      <c r="C69" s="39" t="n"/>
      <c r="D69" s="41" t="n"/>
      <c r="E69" s="39" t="n"/>
    </row>
    <row r="70">
      <c r="A70" s="40" t="n"/>
      <c r="B70" s="39" t="n"/>
      <c r="C70" s="39" t="n"/>
      <c r="D70" s="41" t="n"/>
      <c r="E70" s="39" t="n"/>
    </row>
    <row r="71">
      <c r="A71" s="40" t="n"/>
      <c r="B71" s="39" t="n"/>
      <c r="C71" s="39" t="n"/>
      <c r="D71" s="41" t="n"/>
      <c r="E71" s="39" t="n"/>
    </row>
    <row r="72">
      <c r="A72" s="40" t="n"/>
      <c r="B72" s="39" t="n"/>
      <c r="C72" s="39" t="n"/>
      <c r="D72" s="41" t="n"/>
      <c r="E72" s="39" t="n"/>
    </row>
    <row r="73">
      <c r="A73" s="40" t="n"/>
      <c r="B73" s="39" t="n"/>
      <c r="C73" s="39" t="n"/>
      <c r="D73" s="41" t="n"/>
      <c r="E73" s="39" t="n"/>
    </row>
    <row r="74">
      <c r="A74" s="40" t="n"/>
      <c r="B74" s="39" t="n"/>
      <c r="C74" s="39" t="n"/>
      <c r="D74" s="41" t="n"/>
      <c r="E74" s="39" t="n"/>
    </row>
    <row r="75">
      <c r="A75" s="40" t="n"/>
      <c r="B75" s="39" t="n"/>
      <c r="C75" s="39" t="n"/>
      <c r="D75" s="41" t="n"/>
      <c r="E75" s="39" t="n"/>
    </row>
    <row r="76">
      <c r="A76" s="40" t="n"/>
      <c r="B76" s="39" t="n"/>
      <c r="C76" s="39" t="n"/>
      <c r="D76" s="41" t="n"/>
      <c r="E76" s="39" t="n"/>
    </row>
    <row r="77">
      <c r="A77" s="40" t="n"/>
      <c r="B77" s="39" t="n"/>
      <c r="C77" s="39" t="n"/>
      <c r="D77" s="41" t="n"/>
      <c r="E77" s="39" t="n"/>
    </row>
    <row r="78">
      <c r="A78" s="40" t="n"/>
      <c r="B78" s="39" t="n"/>
      <c r="C78" s="39" t="n"/>
      <c r="D78" s="41" t="n"/>
      <c r="E78" s="39" t="n"/>
    </row>
    <row r="79">
      <c r="A79" s="40" t="n"/>
      <c r="B79" s="39" t="n"/>
      <c r="C79" s="39" t="n"/>
      <c r="D79" s="41" t="n"/>
      <c r="E79" s="39" t="n"/>
    </row>
    <row r="80">
      <c r="A80" s="40" t="n"/>
      <c r="B80" s="39" t="n"/>
      <c r="C80" s="39" t="n"/>
      <c r="D80" s="41" t="n"/>
      <c r="E80" s="39" t="n"/>
    </row>
    <row r="81">
      <c r="A81" s="40" t="n"/>
      <c r="B81" s="39" t="n"/>
      <c r="C81" s="39" t="n"/>
      <c r="D81" s="41" t="n"/>
      <c r="E81" s="39" t="n"/>
    </row>
    <row r="82">
      <c r="A82" s="40" t="n"/>
      <c r="B82" s="39" t="n"/>
      <c r="C82" s="39" t="n"/>
      <c r="D82" s="41" t="n"/>
      <c r="E82" s="39" t="n"/>
    </row>
    <row r="83">
      <c r="A83" s="40" t="n"/>
      <c r="B83" s="39" t="n"/>
      <c r="C83" s="39" t="n"/>
      <c r="D83" s="41" t="n"/>
      <c r="E83" s="39" t="n"/>
    </row>
    <row r="84">
      <c r="A84" s="40" t="n"/>
      <c r="B84" s="39" t="n"/>
      <c r="C84" s="39" t="n"/>
      <c r="D84" s="41" t="n"/>
      <c r="E84" s="39" t="n"/>
    </row>
    <row r="85">
      <c r="A85" s="40" t="n"/>
      <c r="B85" s="39" t="n"/>
      <c r="C85" s="39" t="n"/>
      <c r="D85" s="41" t="n"/>
      <c r="E85" s="39" t="n"/>
    </row>
    <row r="86">
      <c r="A86" s="40" t="n"/>
      <c r="B86" s="39" t="n"/>
      <c r="C86" s="39" t="n"/>
      <c r="D86" s="41" t="n"/>
      <c r="E86" s="39" t="n"/>
    </row>
    <row r="87">
      <c r="A87" s="40" t="n"/>
      <c r="B87" s="39" t="n"/>
      <c r="C87" s="39" t="n"/>
      <c r="D87" s="41" t="n"/>
      <c r="E87" s="39" t="n"/>
    </row>
    <row r="88">
      <c r="A88" s="40" t="n"/>
      <c r="B88" s="39" t="n"/>
      <c r="C88" s="39" t="n"/>
      <c r="D88" s="41" t="n"/>
      <c r="E88" s="39" t="n"/>
    </row>
    <row r="89">
      <c r="A89" s="40" t="n"/>
      <c r="B89" s="39" t="n"/>
      <c r="C89" s="39" t="n"/>
      <c r="D89" s="41" t="n"/>
      <c r="E89" s="39" t="n"/>
    </row>
    <row r="90">
      <c r="A90" s="40" t="n"/>
      <c r="B90" s="39" t="n"/>
      <c r="C90" s="39" t="n"/>
      <c r="D90" s="41" t="n"/>
      <c r="E90" s="39" t="n"/>
    </row>
    <row r="91">
      <c r="A91" s="40" t="n"/>
      <c r="B91" s="39" t="n"/>
      <c r="C91" s="39" t="n"/>
      <c r="D91" s="41" t="n"/>
      <c r="E91" s="39" t="n"/>
    </row>
    <row r="92">
      <c r="A92" s="40" t="n"/>
      <c r="B92" s="39" t="n"/>
      <c r="C92" s="39" t="n"/>
      <c r="D92" s="41" t="n"/>
      <c r="E92" s="39" t="n"/>
    </row>
    <row r="93">
      <c r="A93" s="40" t="n"/>
      <c r="B93" s="39" t="n"/>
      <c r="C93" s="39" t="n"/>
      <c r="D93" s="41" t="n"/>
      <c r="E93" s="39" t="n"/>
    </row>
    <row r="94">
      <c r="A94" s="40" t="n"/>
      <c r="B94" s="39" t="n"/>
      <c r="C94" s="39" t="n"/>
      <c r="D94" s="41" t="n"/>
      <c r="E94" s="39" t="n"/>
    </row>
    <row r="95">
      <c r="A95" s="40" t="n"/>
      <c r="B95" s="39" t="n"/>
      <c r="C95" s="39" t="n"/>
      <c r="D95" s="41" t="n"/>
      <c r="E95" s="39" t="n"/>
    </row>
    <row r="96">
      <c r="A96" s="40" t="n"/>
      <c r="B96" s="39" t="n"/>
      <c r="C96" s="39" t="n"/>
      <c r="D96" s="41" t="n"/>
      <c r="E96" s="39" t="n"/>
    </row>
    <row r="97">
      <c r="A97" s="40" t="n"/>
      <c r="B97" s="39" t="n"/>
      <c r="C97" s="39" t="n"/>
      <c r="D97" s="41" t="n"/>
      <c r="E97" s="39" t="n"/>
    </row>
    <row r="98">
      <c r="A98" s="40" t="n"/>
      <c r="B98" s="39" t="n"/>
      <c r="C98" s="39" t="n"/>
      <c r="D98" s="41" t="n"/>
      <c r="E98" s="39" t="n"/>
    </row>
    <row r="99">
      <c r="A99" s="40" t="n"/>
      <c r="B99" s="39" t="n"/>
      <c r="C99" s="39" t="n"/>
      <c r="D99" s="41" t="n"/>
      <c r="E99" s="39" t="n"/>
    </row>
    <row r="100">
      <c r="A100" s="40" t="n"/>
      <c r="B100" s="39" t="n"/>
      <c r="C100" s="39" t="n"/>
      <c r="D100" s="41" t="n"/>
      <c r="E100" s="39" t="n"/>
    </row>
    <row r="101">
      <c r="A101" s="40" t="n"/>
      <c r="B101" s="39" t="n"/>
      <c r="C101" s="39" t="n"/>
      <c r="D101" s="41" t="n"/>
      <c r="E101" s="39" t="n"/>
    </row>
    <row r="102">
      <c r="A102" s="40" t="n"/>
      <c r="B102" s="39" t="n"/>
      <c r="C102" s="39" t="n"/>
      <c r="D102" s="41" t="n"/>
      <c r="E102" s="39" t="n"/>
    </row>
    <row r="103">
      <c r="A103" s="40" t="n"/>
      <c r="B103" s="39" t="n"/>
      <c r="C103" s="39" t="n"/>
      <c r="D103" s="41" t="n"/>
      <c r="E103" s="39" t="n"/>
    </row>
    <row r="104">
      <c r="A104" s="40" t="n"/>
      <c r="B104" s="39" t="n"/>
      <c r="C104" s="39" t="n"/>
      <c r="D104" s="41" t="n"/>
      <c r="E104" s="39" t="n"/>
    </row>
    <row r="105">
      <c r="A105" s="40" t="n"/>
      <c r="B105" s="39" t="n"/>
      <c r="C105" s="39" t="n"/>
      <c r="D105" s="41" t="n"/>
      <c r="E105" s="39" t="n"/>
    </row>
    <row r="106">
      <c r="A106" s="40" t="n"/>
      <c r="B106" s="39" t="n"/>
      <c r="C106" s="39" t="n"/>
      <c r="D106" s="41" t="n"/>
      <c r="E106" s="39" t="n"/>
    </row>
    <row r="107">
      <c r="A107" s="40" t="n"/>
      <c r="B107" s="39" t="n"/>
      <c r="C107" s="39" t="n"/>
      <c r="D107" s="41" t="n"/>
      <c r="E107" s="39" t="n"/>
    </row>
    <row r="108">
      <c r="A108" s="40" t="n"/>
      <c r="B108" s="39" t="n"/>
      <c r="C108" s="39" t="n"/>
      <c r="D108" s="41" t="n"/>
      <c r="E108" s="39" t="n"/>
    </row>
    <row r="109">
      <c r="A109" s="40" t="n"/>
      <c r="B109" s="39" t="n"/>
      <c r="C109" s="39" t="n"/>
      <c r="D109" s="41" t="n"/>
      <c r="E109" s="39" t="n"/>
    </row>
    <row r="110">
      <c r="A110" s="40" t="n"/>
      <c r="B110" s="39" t="n"/>
      <c r="C110" s="39" t="n"/>
      <c r="D110" s="41" t="n"/>
      <c r="E110" s="39" t="n"/>
    </row>
    <row r="111">
      <c r="A111" s="40" t="n"/>
      <c r="B111" s="39" t="n"/>
      <c r="C111" s="39" t="n"/>
      <c r="D111" s="41" t="n"/>
      <c r="E111" s="39" t="n"/>
    </row>
    <row r="112">
      <c r="A112" s="40" t="n"/>
      <c r="B112" s="39" t="n"/>
      <c r="C112" s="39" t="n"/>
      <c r="D112" s="41" t="n"/>
      <c r="E112" s="39" t="n"/>
    </row>
    <row r="113">
      <c r="A113" s="40" t="n"/>
      <c r="B113" s="39" t="n"/>
      <c r="C113" s="39" t="n"/>
      <c r="D113" s="41" t="n"/>
      <c r="E113" s="39" t="n"/>
    </row>
    <row r="114">
      <c r="A114" s="40" t="n"/>
      <c r="B114" s="39" t="n"/>
      <c r="C114" s="39" t="n"/>
      <c r="D114" s="41" t="n"/>
      <c r="E114" s="39" t="n"/>
    </row>
    <row r="115">
      <c r="A115" s="40" t="n"/>
      <c r="B115" s="39" t="n"/>
      <c r="C115" s="39" t="n"/>
      <c r="D115" s="41" t="n"/>
      <c r="E115" s="39" t="n"/>
    </row>
    <row r="116">
      <c r="A116" s="40" t="n"/>
      <c r="B116" s="39" t="n"/>
      <c r="C116" s="39" t="n"/>
      <c r="D116" s="41" t="n"/>
      <c r="E116" s="39" t="n"/>
    </row>
    <row r="117">
      <c r="A117" s="40" t="n"/>
      <c r="B117" s="39" t="n"/>
      <c r="C117" s="39" t="n"/>
      <c r="D117" s="41" t="n"/>
      <c r="E117" s="39" t="n"/>
    </row>
    <row r="118">
      <c r="A118" s="40" t="n"/>
      <c r="B118" s="39" t="n"/>
      <c r="C118" s="39" t="n"/>
      <c r="D118" s="41" t="n"/>
      <c r="E118" s="39" t="n"/>
    </row>
    <row r="119">
      <c r="A119" s="40" t="n"/>
      <c r="B119" s="39" t="n"/>
      <c r="C119" s="39" t="n"/>
      <c r="D119" s="41" t="n"/>
      <c r="E119" s="39" t="n"/>
    </row>
    <row r="120">
      <c r="A120" s="40" t="n"/>
      <c r="B120" s="39" t="n"/>
      <c r="C120" s="39" t="n"/>
      <c r="D120" s="41" t="n"/>
      <c r="E120" s="39" t="n"/>
    </row>
    <row r="121">
      <c r="A121" s="40" t="n"/>
      <c r="B121" s="39" t="n"/>
      <c r="C121" s="39" t="n"/>
      <c r="D121" s="41" t="n"/>
      <c r="E121" s="39" t="n"/>
    </row>
    <row r="122">
      <c r="A122" s="40" t="n"/>
      <c r="B122" s="39" t="n"/>
      <c r="C122" s="39" t="n"/>
      <c r="D122" s="41" t="n"/>
      <c r="E122" s="39" t="n"/>
    </row>
    <row r="123">
      <c r="A123" s="40" t="n"/>
      <c r="B123" s="39" t="n"/>
      <c r="C123" s="39" t="n"/>
      <c r="D123" s="41" t="n"/>
      <c r="E123" s="39" t="n"/>
    </row>
    <row r="124">
      <c r="A124" s="40" t="n"/>
      <c r="B124" s="39" t="n"/>
      <c r="C124" s="39" t="n"/>
      <c r="D124" s="41" t="n"/>
      <c r="E124" s="39" t="n"/>
    </row>
    <row r="125">
      <c r="A125" s="40" t="n"/>
      <c r="B125" s="39" t="n"/>
      <c r="C125" s="39" t="n"/>
      <c r="D125" s="41" t="n"/>
      <c r="E125" s="39" t="n"/>
    </row>
    <row r="126">
      <c r="A126" s="40" t="n"/>
      <c r="B126" s="39" t="n"/>
      <c r="C126" s="39" t="n"/>
      <c r="D126" s="41" t="n"/>
      <c r="E126" s="39" t="n"/>
    </row>
    <row r="127">
      <c r="A127" s="40" t="n"/>
      <c r="B127" s="39" t="n"/>
      <c r="C127" s="39" t="n"/>
      <c r="D127" s="41" t="n"/>
      <c r="E127" s="39" t="n"/>
    </row>
    <row r="128">
      <c r="A128" s="40" t="n"/>
      <c r="B128" s="39" t="n"/>
      <c r="C128" s="39" t="n"/>
      <c r="D128" s="41" t="n"/>
      <c r="E128" s="39" t="n"/>
    </row>
    <row r="129">
      <c r="A129" s="40" t="n"/>
      <c r="B129" s="39" t="n"/>
      <c r="C129" s="39" t="n"/>
      <c r="D129" s="41" t="n"/>
      <c r="E129" s="39" t="n"/>
    </row>
    <row r="130">
      <c r="A130" s="40" t="n"/>
      <c r="B130" s="39" t="n"/>
      <c r="C130" s="39" t="n"/>
      <c r="D130" s="41" t="n"/>
      <c r="E130" s="39" t="n"/>
    </row>
    <row r="131">
      <c r="A131" s="40" t="n"/>
      <c r="B131" s="39" t="n"/>
      <c r="C131" s="39" t="n"/>
      <c r="D131" s="41" t="n"/>
      <c r="E131" s="39" t="n"/>
    </row>
    <row r="132">
      <c r="A132" s="40" t="n"/>
      <c r="B132" s="39" t="n"/>
      <c r="C132" s="39" t="n"/>
      <c r="D132" s="41" t="n"/>
      <c r="E132" s="39" t="n"/>
    </row>
    <row r="133">
      <c r="A133" s="40" t="n"/>
      <c r="B133" s="39" t="n"/>
      <c r="C133" s="39" t="n"/>
      <c r="D133" s="41" t="n"/>
      <c r="E133" s="39" t="n"/>
    </row>
    <row r="134">
      <c r="A134" s="40" t="n"/>
      <c r="B134" s="39" t="n"/>
      <c r="C134" s="39" t="n"/>
      <c r="D134" s="41" t="n"/>
      <c r="E134" s="39" t="n"/>
    </row>
    <row r="135">
      <c r="A135" s="40" t="n"/>
      <c r="B135" s="39" t="n"/>
      <c r="C135" s="39" t="n"/>
      <c r="D135" s="41" t="n"/>
      <c r="E135" s="39" t="n"/>
    </row>
    <row r="136">
      <c r="A136" s="40" t="n"/>
      <c r="B136" s="39" t="n"/>
      <c r="C136" s="39" t="n"/>
      <c r="D136" s="41" t="n"/>
      <c r="E136" s="39" t="n"/>
    </row>
    <row r="137">
      <c r="A137" s="40" t="n"/>
      <c r="B137" s="39" t="n"/>
      <c r="C137" s="39" t="n"/>
      <c r="D137" s="41" t="n"/>
      <c r="E137" s="39" t="n"/>
    </row>
    <row r="138">
      <c r="A138" s="40" t="n"/>
      <c r="B138" s="39" t="n"/>
      <c r="C138" s="39" t="n"/>
      <c r="D138" s="41" t="n"/>
      <c r="E138" s="39" t="n"/>
    </row>
    <row r="139">
      <c r="A139" s="40" t="n"/>
      <c r="B139" s="39" t="n"/>
      <c r="C139" s="39" t="n"/>
      <c r="D139" s="41" t="n"/>
      <c r="E139" s="39" t="n"/>
    </row>
    <row r="140">
      <c r="A140" s="40" t="n"/>
      <c r="B140" s="39" t="n"/>
      <c r="C140" s="39" t="n"/>
      <c r="D140" s="41" t="n"/>
      <c r="E140" s="39" t="n"/>
    </row>
    <row r="141">
      <c r="A141" s="40" t="n"/>
      <c r="B141" s="39" t="n"/>
      <c r="C141" s="39" t="n"/>
      <c r="D141" s="41" t="n"/>
      <c r="E141" s="39" t="n"/>
    </row>
    <row r="142">
      <c r="A142" s="40" t="n"/>
      <c r="B142" s="39" t="n"/>
      <c r="C142" s="39" t="n"/>
      <c r="D142" s="41" t="n"/>
      <c r="E142" s="39" t="n"/>
    </row>
    <row r="143">
      <c r="A143" s="40" t="n"/>
      <c r="B143" s="39" t="n"/>
      <c r="C143" s="39" t="n"/>
      <c r="D143" s="41" t="n"/>
      <c r="E143" s="39" t="n"/>
    </row>
    <row r="144">
      <c r="A144" s="40" t="n"/>
      <c r="B144" s="39" t="n"/>
      <c r="C144" s="39" t="n"/>
      <c r="D144" s="41" t="n"/>
      <c r="E144" s="39" t="n"/>
    </row>
    <row r="145">
      <c r="A145" s="40" t="n"/>
      <c r="B145" s="39" t="n"/>
      <c r="C145" s="39" t="n"/>
      <c r="D145" s="41" t="n"/>
      <c r="E145" s="39" t="n"/>
    </row>
    <row r="146">
      <c r="A146" s="40" t="n"/>
      <c r="B146" s="39" t="n"/>
      <c r="C146" s="39" t="n"/>
      <c r="D146" s="41" t="n"/>
      <c r="E146" s="39" t="n"/>
    </row>
    <row r="147">
      <c r="A147" s="40" t="n"/>
      <c r="B147" s="39" t="n"/>
      <c r="C147" s="39" t="n"/>
      <c r="D147" s="41" t="n"/>
      <c r="E147" s="39" t="n"/>
    </row>
    <row r="148">
      <c r="A148" s="40" t="n"/>
      <c r="B148" s="39" t="n"/>
      <c r="C148" s="39" t="n"/>
      <c r="D148" s="41" t="n"/>
      <c r="E148" s="39" t="n"/>
    </row>
    <row r="149">
      <c r="A149" s="40" t="n"/>
      <c r="B149" s="39" t="n"/>
      <c r="C149" s="39" t="n"/>
      <c r="D149" s="41" t="n"/>
      <c r="E149" s="39" t="n"/>
    </row>
    <row r="150">
      <c r="A150" s="40" t="n"/>
      <c r="B150" s="39" t="n"/>
      <c r="C150" s="39" t="n"/>
      <c r="D150" s="41" t="n"/>
      <c r="E150" s="39" t="n"/>
    </row>
    <row r="151">
      <c r="A151" s="40" t="n"/>
      <c r="B151" s="39" t="n"/>
      <c r="C151" s="39" t="n"/>
      <c r="D151" s="41" t="n"/>
      <c r="E151" s="39" t="n"/>
    </row>
    <row r="152">
      <c r="A152" s="40" t="n"/>
      <c r="B152" s="39" t="n"/>
      <c r="C152" s="39" t="n"/>
      <c r="D152" s="41" t="n"/>
      <c r="E152" s="39" t="n"/>
    </row>
    <row r="153">
      <c r="A153" s="40" t="n"/>
      <c r="B153" s="39" t="n"/>
      <c r="C153" s="39" t="n"/>
      <c r="D153" s="41" t="n"/>
      <c r="E153" s="39" t="n"/>
    </row>
    <row r="154">
      <c r="A154" s="40" t="n"/>
      <c r="B154" s="39" t="n"/>
      <c r="C154" s="39" t="n"/>
      <c r="D154" s="41" t="n"/>
      <c r="E154" s="39" t="n"/>
    </row>
    <row r="155">
      <c r="A155" s="40" t="n"/>
      <c r="B155" s="39" t="n"/>
      <c r="C155" s="39" t="n"/>
      <c r="D155" s="41" t="n"/>
      <c r="E155" s="39" t="n"/>
    </row>
    <row r="156">
      <c r="A156" s="40" t="n"/>
      <c r="B156" s="39" t="n"/>
      <c r="C156" s="39" t="n"/>
      <c r="D156" s="41" t="n"/>
      <c r="E156" s="39" t="n"/>
    </row>
    <row r="157">
      <c r="A157" s="40" t="n"/>
      <c r="B157" s="39" t="n"/>
      <c r="C157" s="39" t="n"/>
      <c r="D157" s="41" t="n"/>
      <c r="E157" s="39" t="n"/>
    </row>
    <row r="158">
      <c r="A158" s="40" t="n"/>
      <c r="B158" s="39" t="n"/>
      <c r="C158" s="39" t="n"/>
      <c r="D158" s="41" t="n"/>
      <c r="E158" s="39" t="n"/>
    </row>
    <row r="159">
      <c r="A159" s="40" t="n"/>
      <c r="B159" s="39" t="n"/>
      <c r="C159" s="39" t="n"/>
      <c r="D159" s="41" t="n"/>
      <c r="E159" s="39" t="n"/>
    </row>
    <row r="160">
      <c r="A160" s="40" t="n"/>
      <c r="B160" s="39" t="n"/>
      <c r="C160" s="39" t="n"/>
      <c r="D160" s="41" t="n"/>
      <c r="E160" s="39" t="n"/>
    </row>
    <row r="161">
      <c r="A161" s="40" t="n"/>
      <c r="B161" s="39" t="n"/>
      <c r="C161" s="39" t="n"/>
      <c r="D161" s="41" t="n"/>
      <c r="E161" s="39" t="n"/>
    </row>
    <row r="162">
      <c r="A162" s="40" t="n"/>
      <c r="B162" s="39" t="n"/>
      <c r="C162" s="39" t="n"/>
      <c r="D162" s="41" t="n"/>
      <c r="E162" s="39" t="n"/>
    </row>
    <row r="163">
      <c r="A163" s="40" t="n"/>
      <c r="B163" s="39" t="n"/>
      <c r="C163" s="39" t="n"/>
      <c r="D163" s="41" t="n"/>
      <c r="E163" s="39" t="n"/>
    </row>
    <row r="164">
      <c r="A164" s="40" t="n"/>
      <c r="B164" s="39" t="n"/>
      <c r="C164" s="39" t="n"/>
      <c r="D164" s="41" t="n"/>
      <c r="E164" s="39" t="n"/>
    </row>
    <row r="165">
      <c r="A165" s="40" t="n"/>
      <c r="B165" s="39" t="n"/>
      <c r="C165" s="39" t="n"/>
      <c r="D165" s="41" t="n"/>
      <c r="E165" s="39" t="n"/>
    </row>
    <row r="166">
      <c r="A166" s="40" t="n"/>
      <c r="B166" s="39" t="n"/>
      <c r="C166" s="39" t="n"/>
      <c r="D166" s="41" t="n"/>
      <c r="E166" s="39" t="n"/>
    </row>
    <row r="167">
      <c r="A167" s="40" t="n"/>
      <c r="B167" s="39" t="n"/>
      <c r="C167" s="39" t="n"/>
      <c r="D167" s="41" t="n"/>
      <c r="E167" s="39" t="n"/>
    </row>
    <row r="168">
      <c r="A168" s="40" t="n"/>
      <c r="B168" s="39" t="n"/>
      <c r="C168" s="39" t="n"/>
      <c r="D168" s="41" t="n"/>
      <c r="E168" s="39" t="n"/>
    </row>
    <row r="169">
      <c r="A169" s="40" t="n"/>
      <c r="B169" s="39" t="n"/>
      <c r="C169" s="39" t="n"/>
      <c r="D169" s="41" t="n"/>
      <c r="E169" s="39" t="n"/>
    </row>
    <row r="170">
      <c r="A170" s="40" t="n"/>
      <c r="B170" s="39" t="n"/>
      <c r="C170" s="39" t="n"/>
      <c r="D170" s="41" t="n"/>
      <c r="E170" s="39" t="n"/>
    </row>
    <row r="171">
      <c r="A171" s="40" t="n"/>
      <c r="B171" s="39" t="n"/>
      <c r="C171" s="39" t="n"/>
      <c r="D171" s="41" t="n"/>
      <c r="E171" s="39" t="n"/>
    </row>
    <row r="172">
      <c r="A172" s="40" t="n"/>
      <c r="B172" s="39" t="n"/>
      <c r="C172" s="39" t="n"/>
      <c r="D172" s="41" t="n"/>
      <c r="E172" s="39" t="n"/>
    </row>
    <row r="173">
      <c r="A173" s="40" t="n"/>
      <c r="B173" s="39" t="n"/>
      <c r="C173" s="39" t="n"/>
      <c r="D173" s="41" t="n"/>
      <c r="E173" s="39" t="n"/>
    </row>
    <row r="174">
      <c r="A174" s="40" t="n"/>
      <c r="B174" s="39" t="n"/>
      <c r="C174" s="39" t="n"/>
      <c r="D174" s="41" t="n"/>
      <c r="E174" s="39" t="n"/>
    </row>
    <row r="175">
      <c r="A175" s="40" t="n"/>
      <c r="B175" s="39" t="n"/>
      <c r="C175" s="39" t="n"/>
      <c r="D175" s="41" t="n"/>
      <c r="E175" s="39" t="n"/>
    </row>
    <row r="176">
      <c r="A176" s="40" t="n"/>
      <c r="B176" s="39" t="n"/>
      <c r="C176" s="39" t="n"/>
      <c r="D176" s="41" t="n"/>
      <c r="E176" s="39" t="n"/>
    </row>
    <row r="177">
      <c r="A177" s="40" t="n"/>
      <c r="B177" s="39" t="n"/>
      <c r="C177" s="39" t="n"/>
      <c r="D177" s="41" t="n"/>
      <c r="E177" s="39" t="n"/>
    </row>
    <row r="178">
      <c r="A178" s="40" t="n"/>
      <c r="B178" s="39" t="n"/>
      <c r="C178" s="39" t="n"/>
      <c r="D178" s="41" t="n"/>
      <c r="E178" s="39" t="n"/>
    </row>
    <row r="179">
      <c r="A179" s="40" t="n"/>
      <c r="B179" s="39" t="n"/>
      <c r="C179" s="39" t="n"/>
      <c r="D179" s="41" t="n"/>
      <c r="E179" s="39" t="n"/>
    </row>
    <row r="180">
      <c r="A180" s="40" t="n"/>
      <c r="B180" s="39" t="n"/>
      <c r="C180" s="39" t="n"/>
      <c r="D180" s="41" t="n"/>
      <c r="E180" s="39" t="n"/>
    </row>
    <row r="181">
      <c r="A181" s="40" t="n"/>
      <c r="B181" s="39" t="n"/>
      <c r="C181" s="39" t="n"/>
      <c r="D181" s="41" t="n"/>
      <c r="E181" s="39" t="n"/>
    </row>
    <row r="182">
      <c r="A182" s="40" t="n"/>
      <c r="B182" s="39" t="n"/>
      <c r="C182" s="39" t="n"/>
      <c r="D182" s="41" t="n"/>
      <c r="E182" s="39" t="n"/>
    </row>
    <row r="183">
      <c r="A183" s="40" t="n"/>
      <c r="B183" s="39" t="n"/>
      <c r="C183" s="39" t="n"/>
      <c r="D183" s="41" t="n"/>
      <c r="E183" s="39" t="n"/>
    </row>
    <row r="184">
      <c r="A184" s="40" t="n"/>
      <c r="B184" s="39" t="n"/>
      <c r="C184" s="39" t="n"/>
      <c r="D184" s="41" t="n"/>
      <c r="E184" s="39" t="n"/>
    </row>
    <row r="185">
      <c r="A185" s="40" t="n"/>
      <c r="B185" s="39" t="n"/>
      <c r="C185" s="39" t="n"/>
      <c r="D185" s="41" t="n"/>
      <c r="E185" s="39" t="n"/>
    </row>
    <row r="186">
      <c r="A186" s="40" t="n"/>
      <c r="B186" s="39" t="n"/>
      <c r="C186" s="39" t="n"/>
      <c r="D186" s="41" t="n"/>
      <c r="E186" s="39" t="n"/>
    </row>
    <row r="187">
      <c r="A187" s="40" t="n"/>
      <c r="B187" s="39" t="n"/>
      <c r="C187" s="39" t="n"/>
      <c r="D187" s="41" t="n"/>
      <c r="E187" s="39" t="n"/>
    </row>
    <row r="188">
      <c r="A188" s="40" t="n"/>
      <c r="B188" s="39" t="n"/>
      <c r="C188" s="39" t="n"/>
      <c r="D188" s="41" t="n"/>
      <c r="E188" s="39" t="n"/>
    </row>
    <row r="189">
      <c r="A189" s="40" t="n"/>
      <c r="B189" s="39" t="n"/>
      <c r="C189" s="39" t="n"/>
      <c r="D189" s="41" t="n"/>
      <c r="E189" s="39" t="n"/>
    </row>
    <row r="190">
      <c r="A190" s="40" t="n"/>
      <c r="B190" s="39" t="n"/>
      <c r="C190" s="39" t="n"/>
      <c r="D190" s="41" t="n"/>
      <c r="E190" s="39" t="n"/>
    </row>
    <row r="191">
      <c r="A191" s="40" t="n"/>
      <c r="B191" s="39" t="n"/>
      <c r="C191" s="39" t="n"/>
      <c r="D191" s="41" t="n"/>
      <c r="E191" s="39" t="n"/>
    </row>
    <row r="192">
      <c r="A192" s="40" t="n"/>
      <c r="B192" s="39" t="n"/>
      <c r="C192" s="39" t="n"/>
      <c r="D192" s="41" t="n"/>
      <c r="E192" s="39" t="n"/>
    </row>
    <row r="193">
      <c r="A193" s="40" t="n"/>
      <c r="B193" s="39" t="n"/>
      <c r="C193" s="39" t="n"/>
      <c r="D193" s="41" t="n"/>
      <c r="E193" s="39" t="n"/>
    </row>
    <row r="194">
      <c r="A194" s="40" t="n"/>
      <c r="B194" s="39" t="n"/>
      <c r="C194" s="39" t="n"/>
      <c r="D194" s="41" t="n"/>
      <c r="E194" s="39" t="n"/>
    </row>
    <row r="195">
      <c r="A195" s="40" t="n"/>
      <c r="B195" s="39" t="n"/>
      <c r="C195" s="39" t="n"/>
      <c r="D195" s="41" t="n"/>
      <c r="E195" s="39" t="n"/>
    </row>
    <row r="196">
      <c r="A196" s="40" t="n"/>
      <c r="B196" s="39" t="n"/>
      <c r="C196" s="39" t="n"/>
      <c r="D196" s="41" t="n"/>
      <c r="E196" s="39" t="n"/>
    </row>
    <row r="197">
      <c r="A197" s="40" t="n"/>
      <c r="B197" s="39" t="n"/>
      <c r="C197" s="39" t="n"/>
      <c r="D197" s="41" t="n"/>
      <c r="E197" s="39" t="n"/>
    </row>
    <row r="198">
      <c r="A198" s="40" t="n"/>
      <c r="B198" s="39" t="n"/>
      <c r="C198" s="39" t="n"/>
      <c r="D198" s="41" t="n"/>
      <c r="E198" s="39" t="n"/>
    </row>
    <row r="199">
      <c r="A199" s="40" t="n"/>
      <c r="B199" s="39" t="n"/>
      <c r="C199" s="39" t="n"/>
      <c r="D199" s="41" t="n"/>
      <c r="E199" s="39" t="n"/>
    </row>
    <row r="200">
      <c r="A200" s="40" t="n"/>
      <c r="B200" s="39" t="n"/>
      <c r="C200" s="39" t="n"/>
      <c r="D200" s="41" t="n"/>
      <c r="E200" s="39" t="n"/>
    </row>
    <row r="201">
      <c r="A201" s="40" t="n"/>
      <c r="B201" s="39" t="n"/>
      <c r="C201" s="39" t="n"/>
      <c r="D201" s="41" t="n"/>
      <c r="E201" s="39" t="n"/>
    </row>
    <row r="202">
      <c r="A202" s="40" t="n"/>
      <c r="B202" s="39" t="n"/>
      <c r="C202" s="39" t="n"/>
      <c r="D202" s="41" t="n"/>
      <c r="E202" s="39" t="n"/>
    </row>
    <row r="203">
      <c r="A203" s="40" t="n"/>
      <c r="B203" s="39" t="n"/>
      <c r="C203" s="39" t="n"/>
      <c r="D203" s="41" t="n"/>
      <c r="E203" s="39" t="n"/>
    </row>
    <row r="204">
      <c r="A204" s="40" t="n"/>
      <c r="B204" s="39" t="n"/>
      <c r="C204" s="39" t="n"/>
      <c r="D204" s="41" t="n"/>
      <c r="E204" s="3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E204"/>
  <mergeCells count="2">
    <mergeCell ref="A2:E2"/>
    <mergeCell ref="A1:E1"/>
  </mergeCells>
  <dataValidations count="3">
    <dataValidation sqref="A5:A204" showDropDown="0" showInputMessage="0" showErrorMessage="1" allowBlank="1" errorTitle="Data" error="Inserisci una data nel formato gg/mm/aaaa." type="date" operator="between">
      <formula1>42005</formula1>
      <formula2>51501</formula2>
    </dataValidation>
    <dataValidation sqref="C5:C204" showDropDown="0" showInputMessage="0" showErrorMessage="1" allowBlank="1" errorTitle="Valore non valido" error="Scegli una voce del menu a tendina." type="list">
      <formula1>'Parametri 2026'!$A$70:$A$79</formula1>
    </dataValidation>
    <dataValidation sqref="D5:D204" showDropDown="0" showInputMessage="0" showErrorMessage="1" allowBlank="1" errorTitle="Importo" error="Inserisci un importo in euro." type="decimal" operator="greaterThanOrEqual">
      <formula1>0</formula1>
    </dataValidation>
  </dataValidations>
  <printOptions horizontalCentered="1"/>
  <pageMargins left="0.4" right="0.4" top="0.5" bottom="0.5" header="0.5" footer="0.5"/>
  <pageSetup orientation="portrait" paperSize="9" fitToHeight="0" fitToWidth="1"/>
  <headerFooter>
    <oddHeader/>
    <oddFooter>&amp;C&amp;8 &amp;A · pagina &amp;P di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23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5" customWidth="1" min="4" max="4"/>
    <col width="10" customWidth="1" min="5" max="5"/>
    <col width="10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3" customWidth="1" min="12" max="12"/>
    <col width="15" customWidth="1" min="13" max="13"/>
    <col width="15" customWidth="1" min="14" max="14"/>
  </cols>
  <sheetData>
    <row r="1" ht="30" customHeight="1">
      <c r="A1" s="11" t="inlineStr">
        <is>
          <t>Riepilogo mensile 2026</t>
        </is>
      </c>
    </row>
    <row r="2" ht="30" customHeight="1">
      <c r="A2" s="12" t="inlineStr">
        <is>
          <t>Incassi per data di incasso. Le colonne "da inizio anno" stimano tasse e contributi come se l'anno finisse quel mese; "Da accantonare nel mese" è la differenza con il mese prima.</t>
        </is>
      </c>
    </row>
    <row r="4" ht="46" customHeight="1">
      <c r="A4" s="13" t="inlineStr">
        <is>
          <t>Mese</t>
        </is>
      </c>
      <c r="B4" s="13" t="inlineStr">
        <is>
          <t>Incassato nel mese</t>
        </is>
      </c>
      <c r="C4" s="13" t="inlineStr">
        <is>
          <t>Fatture incassate</t>
        </is>
      </c>
      <c r="D4" s="13" t="inlineStr">
        <is>
          <t>Incassato da inizio anno</t>
        </is>
      </c>
      <c r="E4" s="13" t="inlineStr">
        <is>
          <t>% soglia 85.000 €</t>
        </is>
      </c>
      <c r="F4" s="13" t="inlineStr">
        <is>
          <t>% soglia 100.000 €</t>
        </is>
      </c>
      <c r="G4" s="13" t="inlineStr">
        <is>
          <t>Reddito da inizio anno</t>
        </is>
      </c>
      <c r="H4" s="13" t="inlineStr">
        <is>
          <t>Contributi stimati da inizio anno</t>
        </is>
      </c>
      <c r="I4" s="13" t="inlineStr">
        <is>
          <t>Imposta stimata da inizio anno</t>
        </is>
      </c>
      <c r="J4" s="13" t="inlineStr">
        <is>
          <t>Tasse e contributi da inizio anno</t>
        </is>
      </c>
      <c r="K4" s="13" t="inlineStr">
        <is>
          <t>Da accantonare nel mese</t>
        </is>
      </c>
      <c r="L4" s="13" t="inlineStr">
        <is>
          <t>Spese del mese</t>
        </is>
      </c>
      <c r="M4" s="13" t="inlineStr">
        <is>
          <t>Netto stimato del mese</t>
        </is>
      </c>
      <c r="N4" s="13" t="inlineStr">
        <is>
          <t>Netto da inizio anno</t>
        </is>
      </c>
    </row>
    <row r="5">
      <c r="A5" s="46" t="inlineStr">
        <is>
          <t>Gennaio</t>
        </is>
      </c>
      <c r="B5" s="44">
        <f>SUMIFS(Fatture!$M$5:$M$304,Fatture!$C$5:$C$304,"&gt;="&amp;DATE('Parametri 2026'!$B$6,1,1),Fatture!$C$5:$C$304,"&lt;"&amp;DATE('Parametri 2026'!$B$6,2,1))</f>
        <v/>
      </c>
      <c r="C5" s="47">
        <f>COUNTIFS(Fatture!$C$5:$C$304,"&gt;="&amp;DATE('Parametri 2026'!$B$6,1,1),Fatture!$C$5:$C$304,"&lt;"&amp;DATE('Parametri 2026'!$B$6,2,1),Fatture!$N$5:$N$304,"Incassata")</f>
        <v/>
      </c>
      <c r="D5" s="48">
        <f>B5</f>
        <v/>
      </c>
      <c r="E5" s="49">
        <f>D5/'Parametri 2026'!$B$7</f>
        <v/>
      </c>
      <c r="F5" s="49">
        <f>D5/'Parametri 2026'!$B$8</f>
        <v/>
      </c>
      <c r="G5" s="48">
        <f>D5*Impostazioni!$B$16</f>
        <v/>
      </c>
      <c r="H5" s="48">
        <f>Impostazioni!$B$25+IF(OR(Impostazioni!$B$17=1,Impostazioni!$B$17=2),MIN(MAX(G5,0),Impostazioni!$B$28)*Impostazioni!$B$19,IF(Impostazioni!$B$17=5,MAX(G5,0)*Impostazioni!$B$19,IF(OR(Impostazioni!$B$17=3,Impostazioni!$B$17=4),(MAX(0,MIN(MIN(MAX(G5,0),Impostazioni!$B$28),Impostazioni!$B$26)-Impostazioni!$B$22)*Impostazioni!$B$19+MAX(0,MIN(MAX(G5,0),Impostazioni!$B$28)-Impostazioni!$B$26)*Impostazioni!$B$27)*Impostazioni!$B$21,0)))</f>
        <v/>
      </c>
      <c r="I5" s="48">
        <f>MAX(0,G5-IF(ISNUMBER(Impostazioni!$B$12),Impostazioni!$B$12,H5))*Impostazioni!$B$18</f>
        <v/>
      </c>
      <c r="J5" s="48">
        <f>H5+I5</f>
        <v/>
      </c>
      <c r="K5" s="50">
        <f>J5-Impostazioni!$B$25+Impostazioni!$B$25/12</f>
        <v/>
      </c>
      <c r="L5" s="43">
        <f>SUMIFS(Spese!$D$5:$D$204,Spese!$A$5:$A$204,"&gt;="&amp;DATE('Parametri 2026'!$B$6,1,1),Spese!$A$5:$A$204,"&lt;"&amp;DATE('Parametri 2026'!$B$6,2,1))</f>
        <v/>
      </c>
      <c r="M5" s="43">
        <f>B5-K5-L5</f>
        <v/>
      </c>
      <c r="N5" s="48">
        <f>M5</f>
        <v/>
      </c>
    </row>
    <row r="6">
      <c r="A6" s="46" t="inlineStr">
        <is>
          <t>Febbraio</t>
        </is>
      </c>
      <c r="B6" s="44">
        <f>SUMIFS(Fatture!$M$5:$M$304,Fatture!$C$5:$C$304,"&gt;="&amp;DATE('Parametri 2026'!$B$6,2,1),Fatture!$C$5:$C$304,"&lt;"&amp;DATE('Parametri 2026'!$B$6,3,1))</f>
        <v/>
      </c>
      <c r="C6" s="47">
        <f>COUNTIFS(Fatture!$C$5:$C$304,"&gt;="&amp;DATE('Parametri 2026'!$B$6,2,1),Fatture!$C$5:$C$304,"&lt;"&amp;DATE('Parametri 2026'!$B$6,3,1),Fatture!$N$5:$N$304,"Incassata")</f>
        <v/>
      </c>
      <c r="D6" s="48">
        <f>D5+B6</f>
        <v/>
      </c>
      <c r="E6" s="49">
        <f>D6/'Parametri 2026'!$B$7</f>
        <v/>
      </c>
      <c r="F6" s="49">
        <f>D6/'Parametri 2026'!$B$8</f>
        <v/>
      </c>
      <c r="G6" s="48">
        <f>D6*Impostazioni!$B$16</f>
        <v/>
      </c>
      <c r="H6" s="48">
        <f>Impostazioni!$B$25+IF(OR(Impostazioni!$B$17=1,Impostazioni!$B$17=2),MIN(MAX(G6,0),Impostazioni!$B$28)*Impostazioni!$B$19,IF(Impostazioni!$B$17=5,MAX(G6,0)*Impostazioni!$B$19,IF(OR(Impostazioni!$B$17=3,Impostazioni!$B$17=4),(MAX(0,MIN(MIN(MAX(G6,0),Impostazioni!$B$28),Impostazioni!$B$26)-Impostazioni!$B$22)*Impostazioni!$B$19+MAX(0,MIN(MAX(G6,0),Impostazioni!$B$28)-Impostazioni!$B$26)*Impostazioni!$B$27)*Impostazioni!$B$21,0)))</f>
        <v/>
      </c>
      <c r="I6" s="48">
        <f>MAX(0,G6-IF(ISNUMBER(Impostazioni!$B$12),Impostazioni!$B$12,H6))*Impostazioni!$B$18</f>
        <v/>
      </c>
      <c r="J6" s="48">
        <f>H6+I6</f>
        <v/>
      </c>
      <c r="K6" s="50">
        <f>J6-J5+Impostazioni!$B$25/12</f>
        <v/>
      </c>
      <c r="L6" s="43">
        <f>SUMIFS(Spese!$D$5:$D$204,Spese!$A$5:$A$204,"&gt;="&amp;DATE('Parametri 2026'!$B$6,2,1),Spese!$A$5:$A$204,"&lt;"&amp;DATE('Parametri 2026'!$B$6,3,1))</f>
        <v/>
      </c>
      <c r="M6" s="43">
        <f>B6-K6-L6</f>
        <v/>
      </c>
      <c r="N6" s="48">
        <f>N5+M6</f>
        <v/>
      </c>
    </row>
    <row r="7">
      <c r="A7" s="46" t="inlineStr">
        <is>
          <t>Marzo</t>
        </is>
      </c>
      <c r="B7" s="44">
        <f>SUMIFS(Fatture!$M$5:$M$304,Fatture!$C$5:$C$304,"&gt;="&amp;DATE('Parametri 2026'!$B$6,3,1),Fatture!$C$5:$C$304,"&lt;"&amp;DATE('Parametri 2026'!$B$6,4,1))</f>
        <v/>
      </c>
      <c r="C7" s="47">
        <f>COUNTIFS(Fatture!$C$5:$C$304,"&gt;="&amp;DATE('Parametri 2026'!$B$6,3,1),Fatture!$C$5:$C$304,"&lt;"&amp;DATE('Parametri 2026'!$B$6,4,1),Fatture!$N$5:$N$304,"Incassata")</f>
        <v/>
      </c>
      <c r="D7" s="48">
        <f>D6+B7</f>
        <v/>
      </c>
      <c r="E7" s="49">
        <f>D7/'Parametri 2026'!$B$7</f>
        <v/>
      </c>
      <c r="F7" s="49">
        <f>D7/'Parametri 2026'!$B$8</f>
        <v/>
      </c>
      <c r="G7" s="48">
        <f>D7*Impostazioni!$B$16</f>
        <v/>
      </c>
      <c r="H7" s="48">
        <f>Impostazioni!$B$25+IF(OR(Impostazioni!$B$17=1,Impostazioni!$B$17=2),MIN(MAX(G7,0),Impostazioni!$B$28)*Impostazioni!$B$19,IF(Impostazioni!$B$17=5,MAX(G7,0)*Impostazioni!$B$19,IF(OR(Impostazioni!$B$17=3,Impostazioni!$B$17=4),(MAX(0,MIN(MIN(MAX(G7,0),Impostazioni!$B$28),Impostazioni!$B$26)-Impostazioni!$B$22)*Impostazioni!$B$19+MAX(0,MIN(MAX(G7,0),Impostazioni!$B$28)-Impostazioni!$B$26)*Impostazioni!$B$27)*Impostazioni!$B$21,0)))</f>
        <v/>
      </c>
      <c r="I7" s="48">
        <f>MAX(0,G7-IF(ISNUMBER(Impostazioni!$B$12),Impostazioni!$B$12,H7))*Impostazioni!$B$18</f>
        <v/>
      </c>
      <c r="J7" s="48">
        <f>H7+I7</f>
        <v/>
      </c>
      <c r="K7" s="50">
        <f>J7-J6+Impostazioni!$B$25/12</f>
        <v/>
      </c>
      <c r="L7" s="43">
        <f>SUMIFS(Spese!$D$5:$D$204,Spese!$A$5:$A$204,"&gt;="&amp;DATE('Parametri 2026'!$B$6,3,1),Spese!$A$5:$A$204,"&lt;"&amp;DATE('Parametri 2026'!$B$6,4,1))</f>
        <v/>
      </c>
      <c r="M7" s="43">
        <f>B7-K7-L7</f>
        <v/>
      </c>
      <c r="N7" s="48">
        <f>N6+M7</f>
        <v/>
      </c>
    </row>
    <row r="8">
      <c r="A8" s="46" t="inlineStr">
        <is>
          <t>Aprile</t>
        </is>
      </c>
      <c r="B8" s="44">
        <f>SUMIFS(Fatture!$M$5:$M$304,Fatture!$C$5:$C$304,"&gt;="&amp;DATE('Parametri 2026'!$B$6,4,1),Fatture!$C$5:$C$304,"&lt;"&amp;DATE('Parametri 2026'!$B$6,5,1))</f>
        <v/>
      </c>
      <c r="C8" s="47">
        <f>COUNTIFS(Fatture!$C$5:$C$304,"&gt;="&amp;DATE('Parametri 2026'!$B$6,4,1),Fatture!$C$5:$C$304,"&lt;"&amp;DATE('Parametri 2026'!$B$6,5,1),Fatture!$N$5:$N$304,"Incassata")</f>
        <v/>
      </c>
      <c r="D8" s="48">
        <f>D7+B8</f>
        <v/>
      </c>
      <c r="E8" s="49">
        <f>D8/'Parametri 2026'!$B$7</f>
        <v/>
      </c>
      <c r="F8" s="49">
        <f>D8/'Parametri 2026'!$B$8</f>
        <v/>
      </c>
      <c r="G8" s="48">
        <f>D8*Impostazioni!$B$16</f>
        <v/>
      </c>
      <c r="H8" s="48">
        <f>Impostazioni!$B$25+IF(OR(Impostazioni!$B$17=1,Impostazioni!$B$17=2),MIN(MAX(G8,0),Impostazioni!$B$28)*Impostazioni!$B$19,IF(Impostazioni!$B$17=5,MAX(G8,0)*Impostazioni!$B$19,IF(OR(Impostazioni!$B$17=3,Impostazioni!$B$17=4),(MAX(0,MIN(MIN(MAX(G8,0),Impostazioni!$B$28),Impostazioni!$B$26)-Impostazioni!$B$22)*Impostazioni!$B$19+MAX(0,MIN(MAX(G8,0),Impostazioni!$B$28)-Impostazioni!$B$26)*Impostazioni!$B$27)*Impostazioni!$B$21,0)))</f>
        <v/>
      </c>
      <c r="I8" s="48">
        <f>MAX(0,G8-IF(ISNUMBER(Impostazioni!$B$12),Impostazioni!$B$12,H8))*Impostazioni!$B$18</f>
        <v/>
      </c>
      <c r="J8" s="48">
        <f>H8+I8</f>
        <v/>
      </c>
      <c r="K8" s="50">
        <f>J8-J7+Impostazioni!$B$25/12</f>
        <v/>
      </c>
      <c r="L8" s="43">
        <f>SUMIFS(Spese!$D$5:$D$204,Spese!$A$5:$A$204,"&gt;="&amp;DATE('Parametri 2026'!$B$6,4,1),Spese!$A$5:$A$204,"&lt;"&amp;DATE('Parametri 2026'!$B$6,5,1))</f>
        <v/>
      </c>
      <c r="M8" s="43">
        <f>B8-K8-L8</f>
        <v/>
      </c>
      <c r="N8" s="48">
        <f>N7+M8</f>
        <v/>
      </c>
    </row>
    <row r="9">
      <c r="A9" s="46" t="inlineStr">
        <is>
          <t>Maggio</t>
        </is>
      </c>
      <c r="B9" s="44">
        <f>SUMIFS(Fatture!$M$5:$M$304,Fatture!$C$5:$C$304,"&gt;="&amp;DATE('Parametri 2026'!$B$6,5,1),Fatture!$C$5:$C$304,"&lt;"&amp;DATE('Parametri 2026'!$B$6,6,1))</f>
        <v/>
      </c>
      <c r="C9" s="47">
        <f>COUNTIFS(Fatture!$C$5:$C$304,"&gt;="&amp;DATE('Parametri 2026'!$B$6,5,1),Fatture!$C$5:$C$304,"&lt;"&amp;DATE('Parametri 2026'!$B$6,6,1),Fatture!$N$5:$N$304,"Incassata")</f>
        <v/>
      </c>
      <c r="D9" s="48">
        <f>D8+B9</f>
        <v/>
      </c>
      <c r="E9" s="49">
        <f>D9/'Parametri 2026'!$B$7</f>
        <v/>
      </c>
      <c r="F9" s="49">
        <f>D9/'Parametri 2026'!$B$8</f>
        <v/>
      </c>
      <c r="G9" s="48">
        <f>D9*Impostazioni!$B$16</f>
        <v/>
      </c>
      <c r="H9" s="48">
        <f>Impostazioni!$B$25+IF(OR(Impostazioni!$B$17=1,Impostazioni!$B$17=2),MIN(MAX(G9,0),Impostazioni!$B$28)*Impostazioni!$B$19,IF(Impostazioni!$B$17=5,MAX(G9,0)*Impostazioni!$B$19,IF(OR(Impostazioni!$B$17=3,Impostazioni!$B$17=4),(MAX(0,MIN(MIN(MAX(G9,0),Impostazioni!$B$28),Impostazioni!$B$26)-Impostazioni!$B$22)*Impostazioni!$B$19+MAX(0,MIN(MAX(G9,0),Impostazioni!$B$28)-Impostazioni!$B$26)*Impostazioni!$B$27)*Impostazioni!$B$21,0)))</f>
        <v/>
      </c>
      <c r="I9" s="48">
        <f>MAX(0,G9-IF(ISNUMBER(Impostazioni!$B$12),Impostazioni!$B$12,H9))*Impostazioni!$B$18</f>
        <v/>
      </c>
      <c r="J9" s="48">
        <f>H9+I9</f>
        <v/>
      </c>
      <c r="K9" s="50">
        <f>J9-J8+Impostazioni!$B$25/12</f>
        <v/>
      </c>
      <c r="L9" s="43">
        <f>SUMIFS(Spese!$D$5:$D$204,Spese!$A$5:$A$204,"&gt;="&amp;DATE('Parametri 2026'!$B$6,5,1),Spese!$A$5:$A$204,"&lt;"&amp;DATE('Parametri 2026'!$B$6,6,1))</f>
        <v/>
      </c>
      <c r="M9" s="43">
        <f>B9-K9-L9</f>
        <v/>
      </c>
      <c r="N9" s="48">
        <f>N8+M9</f>
        <v/>
      </c>
    </row>
    <row r="10">
      <c r="A10" s="46" t="inlineStr">
        <is>
          <t>Giugno</t>
        </is>
      </c>
      <c r="B10" s="44">
        <f>SUMIFS(Fatture!$M$5:$M$304,Fatture!$C$5:$C$304,"&gt;="&amp;DATE('Parametri 2026'!$B$6,6,1),Fatture!$C$5:$C$304,"&lt;"&amp;DATE('Parametri 2026'!$B$6,7,1))</f>
        <v/>
      </c>
      <c r="C10" s="47">
        <f>COUNTIFS(Fatture!$C$5:$C$304,"&gt;="&amp;DATE('Parametri 2026'!$B$6,6,1),Fatture!$C$5:$C$304,"&lt;"&amp;DATE('Parametri 2026'!$B$6,7,1),Fatture!$N$5:$N$304,"Incassata")</f>
        <v/>
      </c>
      <c r="D10" s="48">
        <f>D9+B10</f>
        <v/>
      </c>
      <c r="E10" s="49">
        <f>D10/'Parametri 2026'!$B$7</f>
        <v/>
      </c>
      <c r="F10" s="49">
        <f>D10/'Parametri 2026'!$B$8</f>
        <v/>
      </c>
      <c r="G10" s="48">
        <f>D10*Impostazioni!$B$16</f>
        <v/>
      </c>
      <c r="H10" s="48">
        <f>Impostazioni!$B$25+IF(OR(Impostazioni!$B$17=1,Impostazioni!$B$17=2),MIN(MAX(G10,0),Impostazioni!$B$28)*Impostazioni!$B$19,IF(Impostazioni!$B$17=5,MAX(G10,0)*Impostazioni!$B$19,IF(OR(Impostazioni!$B$17=3,Impostazioni!$B$17=4),(MAX(0,MIN(MIN(MAX(G10,0),Impostazioni!$B$28),Impostazioni!$B$26)-Impostazioni!$B$22)*Impostazioni!$B$19+MAX(0,MIN(MAX(G10,0),Impostazioni!$B$28)-Impostazioni!$B$26)*Impostazioni!$B$27)*Impostazioni!$B$21,0)))</f>
        <v/>
      </c>
      <c r="I10" s="48">
        <f>MAX(0,G10-IF(ISNUMBER(Impostazioni!$B$12),Impostazioni!$B$12,H10))*Impostazioni!$B$18</f>
        <v/>
      </c>
      <c r="J10" s="48">
        <f>H10+I10</f>
        <v/>
      </c>
      <c r="K10" s="50">
        <f>J10-J9+Impostazioni!$B$25/12</f>
        <v/>
      </c>
      <c r="L10" s="43">
        <f>SUMIFS(Spese!$D$5:$D$204,Spese!$A$5:$A$204,"&gt;="&amp;DATE('Parametri 2026'!$B$6,6,1),Spese!$A$5:$A$204,"&lt;"&amp;DATE('Parametri 2026'!$B$6,7,1))</f>
        <v/>
      </c>
      <c r="M10" s="43">
        <f>B10-K10-L10</f>
        <v/>
      </c>
      <c r="N10" s="48">
        <f>N9+M10</f>
        <v/>
      </c>
    </row>
    <row r="11">
      <c r="A11" s="46" t="inlineStr">
        <is>
          <t>Luglio</t>
        </is>
      </c>
      <c r="B11" s="44">
        <f>SUMIFS(Fatture!$M$5:$M$304,Fatture!$C$5:$C$304,"&gt;="&amp;DATE('Parametri 2026'!$B$6,7,1),Fatture!$C$5:$C$304,"&lt;"&amp;DATE('Parametri 2026'!$B$6,8,1))</f>
        <v/>
      </c>
      <c r="C11" s="47">
        <f>COUNTIFS(Fatture!$C$5:$C$304,"&gt;="&amp;DATE('Parametri 2026'!$B$6,7,1),Fatture!$C$5:$C$304,"&lt;"&amp;DATE('Parametri 2026'!$B$6,8,1),Fatture!$N$5:$N$304,"Incassata")</f>
        <v/>
      </c>
      <c r="D11" s="48">
        <f>D10+B11</f>
        <v/>
      </c>
      <c r="E11" s="49">
        <f>D11/'Parametri 2026'!$B$7</f>
        <v/>
      </c>
      <c r="F11" s="49">
        <f>D11/'Parametri 2026'!$B$8</f>
        <v/>
      </c>
      <c r="G11" s="48">
        <f>D11*Impostazioni!$B$16</f>
        <v/>
      </c>
      <c r="H11" s="48">
        <f>Impostazioni!$B$25+IF(OR(Impostazioni!$B$17=1,Impostazioni!$B$17=2),MIN(MAX(G11,0),Impostazioni!$B$28)*Impostazioni!$B$19,IF(Impostazioni!$B$17=5,MAX(G11,0)*Impostazioni!$B$19,IF(OR(Impostazioni!$B$17=3,Impostazioni!$B$17=4),(MAX(0,MIN(MIN(MAX(G11,0),Impostazioni!$B$28),Impostazioni!$B$26)-Impostazioni!$B$22)*Impostazioni!$B$19+MAX(0,MIN(MAX(G11,0),Impostazioni!$B$28)-Impostazioni!$B$26)*Impostazioni!$B$27)*Impostazioni!$B$21,0)))</f>
        <v/>
      </c>
      <c r="I11" s="48">
        <f>MAX(0,G11-IF(ISNUMBER(Impostazioni!$B$12),Impostazioni!$B$12,H11))*Impostazioni!$B$18</f>
        <v/>
      </c>
      <c r="J11" s="48">
        <f>H11+I11</f>
        <v/>
      </c>
      <c r="K11" s="50">
        <f>J11-J10+Impostazioni!$B$25/12</f>
        <v/>
      </c>
      <c r="L11" s="43">
        <f>SUMIFS(Spese!$D$5:$D$204,Spese!$A$5:$A$204,"&gt;="&amp;DATE('Parametri 2026'!$B$6,7,1),Spese!$A$5:$A$204,"&lt;"&amp;DATE('Parametri 2026'!$B$6,8,1))</f>
        <v/>
      </c>
      <c r="M11" s="43">
        <f>B11-K11-L11</f>
        <v/>
      </c>
      <c r="N11" s="48">
        <f>N10+M11</f>
        <v/>
      </c>
    </row>
    <row r="12">
      <c r="A12" s="46" t="inlineStr">
        <is>
          <t>Agosto</t>
        </is>
      </c>
      <c r="B12" s="44">
        <f>SUMIFS(Fatture!$M$5:$M$304,Fatture!$C$5:$C$304,"&gt;="&amp;DATE('Parametri 2026'!$B$6,8,1),Fatture!$C$5:$C$304,"&lt;"&amp;DATE('Parametri 2026'!$B$6,9,1))</f>
        <v/>
      </c>
      <c r="C12" s="47">
        <f>COUNTIFS(Fatture!$C$5:$C$304,"&gt;="&amp;DATE('Parametri 2026'!$B$6,8,1),Fatture!$C$5:$C$304,"&lt;"&amp;DATE('Parametri 2026'!$B$6,9,1),Fatture!$N$5:$N$304,"Incassata")</f>
        <v/>
      </c>
      <c r="D12" s="48">
        <f>D11+B12</f>
        <v/>
      </c>
      <c r="E12" s="49">
        <f>D12/'Parametri 2026'!$B$7</f>
        <v/>
      </c>
      <c r="F12" s="49">
        <f>D12/'Parametri 2026'!$B$8</f>
        <v/>
      </c>
      <c r="G12" s="48">
        <f>D12*Impostazioni!$B$16</f>
        <v/>
      </c>
      <c r="H12" s="48">
        <f>Impostazioni!$B$25+IF(OR(Impostazioni!$B$17=1,Impostazioni!$B$17=2),MIN(MAX(G12,0),Impostazioni!$B$28)*Impostazioni!$B$19,IF(Impostazioni!$B$17=5,MAX(G12,0)*Impostazioni!$B$19,IF(OR(Impostazioni!$B$17=3,Impostazioni!$B$17=4),(MAX(0,MIN(MIN(MAX(G12,0),Impostazioni!$B$28),Impostazioni!$B$26)-Impostazioni!$B$22)*Impostazioni!$B$19+MAX(0,MIN(MAX(G12,0),Impostazioni!$B$28)-Impostazioni!$B$26)*Impostazioni!$B$27)*Impostazioni!$B$21,0)))</f>
        <v/>
      </c>
      <c r="I12" s="48">
        <f>MAX(0,G12-IF(ISNUMBER(Impostazioni!$B$12),Impostazioni!$B$12,H12))*Impostazioni!$B$18</f>
        <v/>
      </c>
      <c r="J12" s="48">
        <f>H12+I12</f>
        <v/>
      </c>
      <c r="K12" s="50">
        <f>J12-J11+Impostazioni!$B$25/12</f>
        <v/>
      </c>
      <c r="L12" s="43">
        <f>SUMIFS(Spese!$D$5:$D$204,Spese!$A$5:$A$204,"&gt;="&amp;DATE('Parametri 2026'!$B$6,8,1),Spese!$A$5:$A$204,"&lt;"&amp;DATE('Parametri 2026'!$B$6,9,1))</f>
        <v/>
      </c>
      <c r="M12" s="43">
        <f>B12-K12-L12</f>
        <v/>
      </c>
      <c r="N12" s="48">
        <f>N11+M12</f>
        <v/>
      </c>
    </row>
    <row r="13">
      <c r="A13" s="46" t="inlineStr">
        <is>
          <t>Settembre</t>
        </is>
      </c>
      <c r="B13" s="44">
        <f>SUMIFS(Fatture!$M$5:$M$304,Fatture!$C$5:$C$304,"&gt;="&amp;DATE('Parametri 2026'!$B$6,9,1),Fatture!$C$5:$C$304,"&lt;"&amp;DATE('Parametri 2026'!$B$6,10,1))</f>
        <v/>
      </c>
      <c r="C13" s="47">
        <f>COUNTIFS(Fatture!$C$5:$C$304,"&gt;="&amp;DATE('Parametri 2026'!$B$6,9,1),Fatture!$C$5:$C$304,"&lt;"&amp;DATE('Parametri 2026'!$B$6,10,1),Fatture!$N$5:$N$304,"Incassata")</f>
        <v/>
      </c>
      <c r="D13" s="48">
        <f>D12+B13</f>
        <v/>
      </c>
      <c r="E13" s="49">
        <f>D13/'Parametri 2026'!$B$7</f>
        <v/>
      </c>
      <c r="F13" s="49">
        <f>D13/'Parametri 2026'!$B$8</f>
        <v/>
      </c>
      <c r="G13" s="48">
        <f>D13*Impostazioni!$B$16</f>
        <v/>
      </c>
      <c r="H13" s="48">
        <f>Impostazioni!$B$25+IF(OR(Impostazioni!$B$17=1,Impostazioni!$B$17=2),MIN(MAX(G13,0),Impostazioni!$B$28)*Impostazioni!$B$19,IF(Impostazioni!$B$17=5,MAX(G13,0)*Impostazioni!$B$19,IF(OR(Impostazioni!$B$17=3,Impostazioni!$B$17=4),(MAX(0,MIN(MIN(MAX(G13,0),Impostazioni!$B$28),Impostazioni!$B$26)-Impostazioni!$B$22)*Impostazioni!$B$19+MAX(0,MIN(MAX(G13,0),Impostazioni!$B$28)-Impostazioni!$B$26)*Impostazioni!$B$27)*Impostazioni!$B$21,0)))</f>
        <v/>
      </c>
      <c r="I13" s="48">
        <f>MAX(0,G13-IF(ISNUMBER(Impostazioni!$B$12),Impostazioni!$B$12,H13))*Impostazioni!$B$18</f>
        <v/>
      </c>
      <c r="J13" s="48">
        <f>H13+I13</f>
        <v/>
      </c>
      <c r="K13" s="50">
        <f>J13-J12+Impostazioni!$B$25/12</f>
        <v/>
      </c>
      <c r="L13" s="43">
        <f>SUMIFS(Spese!$D$5:$D$204,Spese!$A$5:$A$204,"&gt;="&amp;DATE('Parametri 2026'!$B$6,9,1),Spese!$A$5:$A$204,"&lt;"&amp;DATE('Parametri 2026'!$B$6,10,1))</f>
        <v/>
      </c>
      <c r="M13" s="43">
        <f>B13-K13-L13</f>
        <v/>
      </c>
      <c r="N13" s="48">
        <f>N12+M13</f>
        <v/>
      </c>
    </row>
    <row r="14">
      <c r="A14" s="46" t="inlineStr">
        <is>
          <t>Ottobre</t>
        </is>
      </c>
      <c r="B14" s="44">
        <f>SUMIFS(Fatture!$M$5:$M$304,Fatture!$C$5:$C$304,"&gt;="&amp;DATE('Parametri 2026'!$B$6,10,1),Fatture!$C$5:$C$304,"&lt;"&amp;DATE('Parametri 2026'!$B$6,11,1))</f>
        <v/>
      </c>
      <c r="C14" s="47">
        <f>COUNTIFS(Fatture!$C$5:$C$304,"&gt;="&amp;DATE('Parametri 2026'!$B$6,10,1),Fatture!$C$5:$C$304,"&lt;"&amp;DATE('Parametri 2026'!$B$6,11,1),Fatture!$N$5:$N$304,"Incassata")</f>
        <v/>
      </c>
      <c r="D14" s="48">
        <f>D13+B14</f>
        <v/>
      </c>
      <c r="E14" s="49">
        <f>D14/'Parametri 2026'!$B$7</f>
        <v/>
      </c>
      <c r="F14" s="49">
        <f>D14/'Parametri 2026'!$B$8</f>
        <v/>
      </c>
      <c r="G14" s="48">
        <f>D14*Impostazioni!$B$16</f>
        <v/>
      </c>
      <c r="H14" s="48">
        <f>Impostazioni!$B$25+IF(OR(Impostazioni!$B$17=1,Impostazioni!$B$17=2),MIN(MAX(G14,0),Impostazioni!$B$28)*Impostazioni!$B$19,IF(Impostazioni!$B$17=5,MAX(G14,0)*Impostazioni!$B$19,IF(OR(Impostazioni!$B$17=3,Impostazioni!$B$17=4),(MAX(0,MIN(MIN(MAX(G14,0),Impostazioni!$B$28),Impostazioni!$B$26)-Impostazioni!$B$22)*Impostazioni!$B$19+MAX(0,MIN(MAX(G14,0),Impostazioni!$B$28)-Impostazioni!$B$26)*Impostazioni!$B$27)*Impostazioni!$B$21,0)))</f>
        <v/>
      </c>
      <c r="I14" s="48">
        <f>MAX(0,G14-IF(ISNUMBER(Impostazioni!$B$12),Impostazioni!$B$12,H14))*Impostazioni!$B$18</f>
        <v/>
      </c>
      <c r="J14" s="48">
        <f>H14+I14</f>
        <v/>
      </c>
      <c r="K14" s="50">
        <f>J14-J13+Impostazioni!$B$25/12</f>
        <v/>
      </c>
      <c r="L14" s="43">
        <f>SUMIFS(Spese!$D$5:$D$204,Spese!$A$5:$A$204,"&gt;="&amp;DATE('Parametri 2026'!$B$6,10,1),Spese!$A$5:$A$204,"&lt;"&amp;DATE('Parametri 2026'!$B$6,11,1))</f>
        <v/>
      </c>
      <c r="M14" s="43">
        <f>B14-K14-L14</f>
        <v/>
      </c>
      <c r="N14" s="48">
        <f>N13+M14</f>
        <v/>
      </c>
    </row>
    <row r="15">
      <c r="A15" s="46" t="inlineStr">
        <is>
          <t>Novembre</t>
        </is>
      </c>
      <c r="B15" s="44">
        <f>SUMIFS(Fatture!$M$5:$M$304,Fatture!$C$5:$C$304,"&gt;="&amp;DATE('Parametri 2026'!$B$6,11,1),Fatture!$C$5:$C$304,"&lt;"&amp;DATE('Parametri 2026'!$B$6,12,1))</f>
        <v/>
      </c>
      <c r="C15" s="47">
        <f>COUNTIFS(Fatture!$C$5:$C$304,"&gt;="&amp;DATE('Parametri 2026'!$B$6,11,1),Fatture!$C$5:$C$304,"&lt;"&amp;DATE('Parametri 2026'!$B$6,12,1),Fatture!$N$5:$N$304,"Incassata")</f>
        <v/>
      </c>
      <c r="D15" s="48">
        <f>D14+B15</f>
        <v/>
      </c>
      <c r="E15" s="49">
        <f>D15/'Parametri 2026'!$B$7</f>
        <v/>
      </c>
      <c r="F15" s="49">
        <f>D15/'Parametri 2026'!$B$8</f>
        <v/>
      </c>
      <c r="G15" s="48">
        <f>D15*Impostazioni!$B$16</f>
        <v/>
      </c>
      <c r="H15" s="48">
        <f>Impostazioni!$B$25+IF(OR(Impostazioni!$B$17=1,Impostazioni!$B$17=2),MIN(MAX(G15,0),Impostazioni!$B$28)*Impostazioni!$B$19,IF(Impostazioni!$B$17=5,MAX(G15,0)*Impostazioni!$B$19,IF(OR(Impostazioni!$B$17=3,Impostazioni!$B$17=4),(MAX(0,MIN(MIN(MAX(G15,0),Impostazioni!$B$28),Impostazioni!$B$26)-Impostazioni!$B$22)*Impostazioni!$B$19+MAX(0,MIN(MAX(G15,0),Impostazioni!$B$28)-Impostazioni!$B$26)*Impostazioni!$B$27)*Impostazioni!$B$21,0)))</f>
        <v/>
      </c>
      <c r="I15" s="48">
        <f>MAX(0,G15-IF(ISNUMBER(Impostazioni!$B$12),Impostazioni!$B$12,H15))*Impostazioni!$B$18</f>
        <v/>
      </c>
      <c r="J15" s="48">
        <f>H15+I15</f>
        <v/>
      </c>
      <c r="K15" s="50">
        <f>J15-J14+Impostazioni!$B$25/12</f>
        <v/>
      </c>
      <c r="L15" s="43">
        <f>SUMIFS(Spese!$D$5:$D$204,Spese!$A$5:$A$204,"&gt;="&amp;DATE('Parametri 2026'!$B$6,11,1),Spese!$A$5:$A$204,"&lt;"&amp;DATE('Parametri 2026'!$B$6,12,1))</f>
        <v/>
      </c>
      <c r="M15" s="43">
        <f>B15-K15-L15</f>
        <v/>
      </c>
      <c r="N15" s="48">
        <f>N14+M15</f>
        <v/>
      </c>
    </row>
    <row r="16">
      <c r="A16" s="46" t="inlineStr">
        <is>
          <t>Dicembre</t>
        </is>
      </c>
      <c r="B16" s="44">
        <f>SUMIFS(Fatture!$M$5:$M$304,Fatture!$C$5:$C$304,"&gt;="&amp;DATE('Parametri 2026'!$B$6,12,1),Fatture!$C$5:$C$304,"&lt;"&amp;DATE('Parametri 2026'!$B$6,13,1))</f>
        <v/>
      </c>
      <c r="C16" s="47">
        <f>COUNTIFS(Fatture!$C$5:$C$304,"&gt;="&amp;DATE('Parametri 2026'!$B$6,12,1),Fatture!$C$5:$C$304,"&lt;"&amp;DATE('Parametri 2026'!$B$6,13,1),Fatture!$N$5:$N$304,"Incassata")</f>
        <v/>
      </c>
      <c r="D16" s="48">
        <f>D15+B16</f>
        <v/>
      </c>
      <c r="E16" s="49">
        <f>D16/'Parametri 2026'!$B$7</f>
        <v/>
      </c>
      <c r="F16" s="49">
        <f>D16/'Parametri 2026'!$B$8</f>
        <v/>
      </c>
      <c r="G16" s="48">
        <f>D16*Impostazioni!$B$16</f>
        <v/>
      </c>
      <c r="H16" s="48">
        <f>Impostazioni!$B$25+IF(OR(Impostazioni!$B$17=1,Impostazioni!$B$17=2),MIN(MAX(G16,0),Impostazioni!$B$28)*Impostazioni!$B$19,IF(Impostazioni!$B$17=5,MAX(G16,0)*Impostazioni!$B$19,IF(OR(Impostazioni!$B$17=3,Impostazioni!$B$17=4),(MAX(0,MIN(MIN(MAX(G16,0),Impostazioni!$B$28),Impostazioni!$B$26)-Impostazioni!$B$22)*Impostazioni!$B$19+MAX(0,MIN(MAX(G16,0),Impostazioni!$B$28)-Impostazioni!$B$26)*Impostazioni!$B$27)*Impostazioni!$B$21,0)))</f>
        <v/>
      </c>
      <c r="I16" s="48">
        <f>MAX(0,G16-IF(ISNUMBER(Impostazioni!$B$12),Impostazioni!$B$12,H16))*Impostazioni!$B$18</f>
        <v/>
      </c>
      <c r="J16" s="48">
        <f>H16+I16</f>
        <v/>
      </c>
      <c r="K16" s="50">
        <f>J16-J15+Impostazioni!$B$25/12</f>
        <v/>
      </c>
      <c r="L16" s="43">
        <f>SUMIFS(Spese!$D$5:$D$204,Spese!$A$5:$A$204,"&gt;="&amp;DATE('Parametri 2026'!$B$6,12,1),Spese!$A$5:$A$204,"&lt;"&amp;DATE('Parametri 2026'!$B$6,13,1))</f>
        <v/>
      </c>
      <c r="M16" s="43">
        <f>B16-K16-L16</f>
        <v/>
      </c>
      <c r="N16" s="48">
        <f>N15+M16</f>
        <v/>
      </c>
    </row>
    <row r="17">
      <c r="A17" s="51" t="inlineStr">
        <is>
          <t>Totale</t>
        </is>
      </c>
      <c r="B17" s="52">
        <f>SUM(B5:B16)</f>
        <v/>
      </c>
      <c r="C17" s="53">
        <f>SUM(C5:C16)</f>
        <v/>
      </c>
      <c r="D17" s="52">
        <f>D16</f>
        <v/>
      </c>
      <c r="E17" s="54">
        <f>E16</f>
        <v/>
      </c>
      <c r="F17" s="54">
        <f>F16</f>
        <v/>
      </c>
      <c r="G17" s="52">
        <f>G16</f>
        <v/>
      </c>
      <c r="H17" s="52">
        <f>H16</f>
        <v/>
      </c>
      <c r="I17" s="52">
        <f>I16</f>
        <v/>
      </c>
      <c r="J17" s="52">
        <f>J16</f>
        <v/>
      </c>
      <c r="K17" s="52">
        <f>SUM(K5:K16)</f>
        <v/>
      </c>
      <c r="L17" s="52">
        <f>SUM(L5:L16)</f>
        <v/>
      </c>
      <c r="M17" s="52">
        <f>SUM(M5:M16)</f>
        <v/>
      </c>
      <c r="N17" s="52">
        <f>N16</f>
        <v/>
      </c>
    </row>
    <row r="19">
      <c r="A19" s="55" t="inlineStr">
        <is>
          <t>Come leggere il riepilogo</t>
        </is>
      </c>
    </row>
    <row r="20">
      <c r="A20" s="56" t="inlineStr">
        <is>
          <t>• Incassato: somma della colonna "Ricavo che conta" delle fatture con data di incasso nel mese.</t>
        </is>
      </c>
    </row>
    <row r="21">
      <c r="A21" s="56" t="inlineStr">
        <is>
          <t>• Tasse e contributi da inizio anno: stessa formula della Dashboard applicata all'incassato fino a fine mese. A dicembre coincide con il totale dell'anno.</t>
        </is>
      </c>
    </row>
    <row r="22">
      <c r="A22" s="56" t="inlineStr">
        <is>
          <t>• Da accantonare nel mese: quanto mettere da parte di quello che hai incassato nel mese. I contributi fissi di artigiani e commercianti sono divisi in 12 quote uguali.</t>
        </is>
      </c>
    </row>
    <row r="23">
      <c r="A23" s="56" t="inlineStr">
        <is>
          <t>• Netto stimato: incassato meno quota da accantonare e spese del mese.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7">
    <mergeCell ref="A22:N22"/>
    <mergeCell ref="A20:N20"/>
    <mergeCell ref="A21:N21"/>
    <mergeCell ref="A2:N2"/>
    <mergeCell ref="A19:N19"/>
    <mergeCell ref="A23:N23"/>
    <mergeCell ref="A1:N1"/>
  </mergeCells>
  <conditionalFormatting sqref="E5:E16">
    <cfRule type="expression" priority="1" dxfId="0">
      <formula>E5&gt;1</formula>
    </cfRule>
  </conditionalFormatting>
  <conditionalFormatting sqref="F5:F16">
    <cfRule type="expression" priority="2" dxfId="3">
      <formula>F5&gt;1</formula>
    </cfRule>
  </conditionalFormatting>
  <printOptions horizontalCentered="1"/>
  <pageMargins left="0.4" right="0.4" top="0.5" bottom="0.5" header="0.5" footer="0.5"/>
  <pageSetup orientation="landscape" paperSize="9" fitToHeight="0" fitToWidth="1"/>
  <headerFooter>
    <oddHeader/>
    <oddFooter>&amp;C&amp;8 &amp;A · pagina &amp;P di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1:U42"/>
  <sheetViews>
    <sheetView showGridLines="0" zoomScale="10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3" customWidth="1" min="14" max="14"/>
    <col width="11" customWidth="1" min="15" max="15"/>
    <col width="14" customWidth="1" min="16" max="16"/>
    <col width="14" customWidth="1" min="17" max="17"/>
    <col width="14" customWidth="1" min="18" max="18"/>
    <col width="14" customWidth="1" min="19" max="19"/>
    <col hidden="1" width="13" customWidth="1" min="21" max="21"/>
  </cols>
  <sheetData>
    <row r="1" ht="34" customHeight="1">
      <c r="B1" s="1">
        <f>IF(Impostazioni!$B$5="","Dashboard 2026","Dashboard 2026 · "&amp;Impostazioni!$B$5)</f>
        <v/>
      </c>
    </row>
    <row r="2">
      <c r="B2" s="57">
        <f>IF(Impostazioni!$B$16=0,"Scegli attività e previdenza in Impostazioni.","Coefficiente "&amp;ROUND(Impostazioni!$B$16*100,0)&amp;"% · "&amp;Impostazioni!$B$7&amp;" · imposta "&amp;ROUND(Impostazioni!$B$18*100,0)&amp;"%")</f>
        <v/>
      </c>
    </row>
    <row r="3">
      <c r="O3" s="58" t="inlineStr">
        <is>
          <t>Dati per i grafici</t>
        </is>
      </c>
    </row>
    <row r="4" ht="22" customHeight="1">
      <c r="B4" s="59" t="inlineStr">
        <is>
          <t>Incassato nel 2026</t>
        </is>
      </c>
      <c r="C4" s="60" t="n"/>
      <c r="D4" s="60" t="n"/>
      <c r="E4" s="59" t="inlineStr">
        <is>
          <t>Tasse e contributi stimati</t>
        </is>
      </c>
      <c r="F4" s="60" t="n"/>
      <c r="G4" s="60" t="n"/>
      <c r="H4" s="59" t="inlineStr">
        <is>
          <t>Netto stimato</t>
        </is>
      </c>
      <c r="I4" s="60" t="n"/>
      <c r="J4" s="60" t="n"/>
      <c r="K4" s="59" t="inlineStr">
        <is>
          <t>Soglia di 85.000 €</t>
        </is>
      </c>
      <c r="L4" s="60" t="n"/>
      <c r="M4" s="60" t="n"/>
      <c r="O4" s="61" t="inlineStr">
        <is>
          <t>Mese</t>
        </is>
      </c>
      <c r="P4" s="61" t="inlineStr">
        <is>
          <t>Incassato</t>
        </is>
      </c>
      <c r="Q4" s="61" t="inlineStr">
        <is>
          <t>Da accantonare</t>
        </is>
      </c>
      <c r="R4" s="61" t="inlineStr">
        <is>
          <t>Da inizio anno</t>
        </is>
      </c>
      <c r="S4" s="61" t="inlineStr">
        <is>
          <t>Soglia 85.000 €</t>
        </is>
      </c>
    </row>
    <row r="5" ht="36" customHeight="1">
      <c r="B5" s="62">
        <f>'Riepilogo mensile'!$B$17</f>
        <v/>
      </c>
      <c r="C5" s="60" t="n"/>
      <c r="D5" s="60" t="n"/>
      <c r="E5" s="62">
        <f>'Riepilogo mensile'!$J$16</f>
        <v/>
      </c>
      <c r="F5" s="60" t="n"/>
      <c r="G5" s="60" t="n"/>
      <c r="H5" s="62">
        <f>'Riepilogo mensile'!$B$17-'Riepilogo mensile'!$J$16</f>
        <v/>
      </c>
      <c r="I5" s="60" t="n"/>
      <c r="J5" s="60" t="n"/>
      <c r="K5" s="63">
        <f>'Riepilogo mensile'!$B$17/'Parametri 2026'!$B$7</f>
        <v/>
      </c>
      <c r="L5" s="60" t="n"/>
      <c r="M5" s="60" t="n"/>
      <c r="O5" s="64" t="inlineStr">
        <is>
          <t>Gen</t>
        </is>
      </c>
      <c r="P5" s="65">
        <f>'Riepilogo mensile'!B5</f>
        <v/>
      </c>
      <c r="Q5" s="65">
        <f>'Riepilogo mensile'!K5</f>
        <v/>
      </c>
      <c r="R5" s="65">
        <f>'Riepilogo mensile'!D5</f>
        <v/>
      </c>
      <c r="S5" s="65">
        <f>'Parametri 2026'!$B$7</f>
        <v/>
      </c>
    </row>
    <row r="6" ht="20" customHeight="1">
      <c r="B6" s="66">
        <f>'Riepilogo mensile'!$C$17&amp;" fatture incassate"</f>
        <v/>
      </c>
      <c r="C6" s="60" t="n"/>
      <c r="D6" s="60" t="n"/>
      <c r="E6" s="66">
        <f>IF('Riepilogo mensile'!$B$17&gt;0,"il "&amp;FIXED('Riepilogo mensile'!$J$16/'Riepilogo mensile'!$B$17*100,1)&amp;"% di quanto incassi","")</f>
        <v/>
      </c>
      <c r="F6" s="60" t="n"/>
      <c r="G6" s="60" t="n"/>
      <c r="H6" s="66">
        <f>"circa "&amp;FIXED(('Riepilogo mensile'!$B$17-'Riepilogo mensile'!$J$16)/12,0)&amp;" € al mese"</f>
        <v/>
      </c>
      <c r="I6" s="60" t="n"/>
      <c r="J6" s="60" t="n"/>
      <c r="K6" s="66">
        <f>IF('Riepilogo mensile'!$B$17&gt;'Parametri 2026'!$B$7,"soglia superata","mancano "&amp;FIXED('Parametri 2026'!$B$7-'Riepilogo mensile'!$B$17,0)&amp;" €")</f>
        <v/>
      </c>
      <c r="L6" s="60" t="n"/>
      <c r="M6" s="60" t="n"/>
      <c r="O6" s="64" t="inlineStr">
        <is>
          <t>Feb</t>
        </is>
      </c>
      <c r="P6" s="65">
        <f>'Riepilogo mensile'!B6</f>
        <v/>
      </c>
      <c r="Q6" s="65">
        <f>'Riepilogo mensile'!K6</f>
        <v/>
      </c>
      <c r="R6" s="65">
        <f>'Riepilogo mensile'!D6</f>
        <v/>
      </c>
      <c r="S6" s="65">
        <f>'Parametri 2026'!$B$7</f>
        <v/>
      </c>
    </row>
    <row r="7">
      <c r="O7" s="64" t="inlineStr">
        <is>
          <t>Mar</t>
        </is>
      </c>
      <c r="P7" s="65">
        <f>'Riepilogo mensile'!B7</f>
        <v/>
      </c>
      <c r="Q7" s="65">
        <f>'Riepilogo mensile'!K7</f>
        <v/>
      </c>
      <c r="R7" s="65">
        <f>'Riepilogo mensile'!D7</f>
        <v/>
      </c>
      <c r="S7" s="65">
        <f>'Parametri 2026'!$B$7</f>
        <v/>
      </c>
    </row>
    <row r="8" ht="44" customHeight="1">
      <c r="B8" s="67">
        <f>IF('Riepilogo mensile'!$B$17&gt;'Parametri 2026'!$B$8,"Oltre 100.000 € di ricavi esci dal forfettario già quest'anno: l'IVA si applica dall'operazione che fa superare la soglia e il reddito dell'intero anno si tassa con IRPEF ordinaria e costi reali. Imposta e contributi di questo file sono solo indicativi: l'imposta sostitutiva non è dovuta.",IF('Riepilogo mensile'!$B$17&gt;'Parametri 2026'!$B$7,"Oltre 85.000 € di ricavi resti forfettario per quest'anno, ma dal prossimo passi al regime ordinario.","Sotto 85.000 € di ricavi: nessun limite superato."))</f>
        <v/>
      </c>
      <c r="O8" s="64" t="inlineStr">
        <is>
          <t>Apr</t>
        </is>
      </c>
      <c r="P8" s="65">
        <f>'Riepilogo mensile'!B8</f>
        <v/>
      </c>
      <c r="Q8" s="65">
        <f>'Riepilogo mensile'!K8</f>
        <v/>
      </c>
      <c r="R8" s="65">
        <f>'Riepilogo mensile'!D8</f>
        <v/>
      </c>
      <c r="S8" s="65">
        <f>'Parametri 2026'!$B$7</f>
        <v/>
      </c>
    </row>
    <row r="9">
      <c r="O9" s="64" t="inlineStr">
        <is>
          <t>Mag</t>
        </is>
      </c>
      <c r="P9" s="65">
        <f>'Riepilogo mensile'!B9</f>
        <v/>
      </c>
      <c r="Q9" s="65">
        <f>'Riepilogo mensile'!K9</f>
        <v/>
      </c>
      <c r="R9" s="65">
        <f>'Riepilogo mensile'!D9</f>
        <v/>
      </c>
      <c r="S9" s="65">
        <f>'Parametri 2026'!$B$7</f>
        <v/>
      </c>
    </row>
    <row r="10">
      <c r="B10" s="19" t="inlineStr">
        <is>
          <t>Dettaglio del calcolo (stessa logica del calcolatore NettoChiaro)</t>
        </is>
      </c>
      <c r="I10" s="19" t="inlineStr">
        <is>
          <t>Soglie del regime</t>
        </is>
      </c>
      <c r="O10" s="64" t="inlineStr">
        <is>
          <t>Giu</t>
        </is>
      </c>
      <c r="P10" s="65">
        <f>'Riepilogo mensile'!B10</f>
        <v/>
      </c>
      <c r="Q10" s="65">
        <f>'Riepilogo mensile'!K10</f>
        <v/>
      </c>
      <c r="R10" s="65">
        <f>'Riepilogo mensile'!D10</f>
        <v/>
      </c>
      <c r="S10" s="65">
        <f>'Parametri 2026'!$B$7</f>
        <v/>
      </c>
    </row>
    <row r="11">
      <c r="B11" s="68" t="inlineStr">
        <is>
          <t>Incassato nell'anno (per data di incasso)</t>
        </is>
      </c>
      <c r="C11" s="69" t="n"/>
      <c r="D11" s="69" t="n"/>
      <c r="E11" s="69" t="n"/>
      <c r="F11" s="70">
        <f>'Riepilogo mensile'!$B$17</f>
        <v/>
      </c>
      <c r="G11" s="69" t="n"/>
      <c r="I11" s="71" t="inlineStr">
        <is>
          <t>Verso 85.000 €</t>
        </is>
      </c>
      <c r="L11" s="72">
        <f>'Riepilogo mensile'!$B$17/'Parametri 2026'!$B$7</f>
        <v/>
      </c>
      <c r="O11" s="64" t="inlineStr">
        <is>
          <t>Lug</t>
        </is>
      </c>
      <c r="P11" s="65">
        <f>'Riepilogo mensile'!B11</f>
        <v/>
      </c>
      <c r="Q11" s="65">
        <f>'Riepilogo mensile'!K11</f>
        <v/>
      </c>
      <c r="R11" s="65">
        <f>'Riepilogo mensile'!D11</f>
        <v/>
      </c>
      <c r="S11" s="65">
        <f>'Parametri 2026'!$B$7</f>
        <v/>
      </c>
    </row>
    <row r="12">
      <c r="B12" s="68" t="inlineStr">
        <is>
          <t>Coefficiente di redditività</t>
        </is>
      </c>
      <c r="C12" s="69" t="n"/>
      <c r="D12" s="69" t="n"/>
      <c r="E12" s="69" t="n"/>
      <c r="F12" s="73">
        <f>Impostazioni!$B$16</f>
        <v/>
      </c>
      <c r="G12" s="69" t="n"/>
      <c r="I12" s="74">
        <f>REPT("█",ROUND(MIN(1,MAX(0,'Riepilogo mensile'!$B$17/'Parametri 2026'!$B$7))*24,0))&amp;REPT("░",24-ROUND(MIN(1,MAX(0,'Riepilogo mensile'!$B$17/'Parametri 2026'!$B$7))*24,0))</f>
        <v/>
      </c>
      <c r="O12" s="64" t="inlineStr">
        <is>
          <t>Ago</t>
        </is>
      </c>
      <c r="P12" s="65">
        <f>'Riepilogo mensile'!B12</f>
        <v/>
      </c>
      <c r="Q12" s="65">
        <f>'Riepilogo mensile'!K12</f>
        <v/>
      </c>
      <c r="R12" s="65">
        <f>'Riepilogo mensile'!D12</f>
        <v/>
      </c>
      <c r="S12" s="65">
        <f>'Parametri 2026'!$B$7</f>
        <v/>
      </c>
    </row>
    <row r="13">
      <c r="B13" s="68" t="inlineStr">
        <is>
          <t>Reddito imponibile lordo</t>
        </is>
      </c>
      <c r="C13" s="69" t="n"/>
      <c r="D13" s="69" t="n"/>
      <c r="E13" s="69" t="n"/>
      <c r="F13" s="70">
        <f>'Riepilogo mensile'!$G$16</f>
        <v/>
      </c>
      <c r="G13" s="69" t="n"/>
      <c r="I13" s="71" t="inlineStr">
        <is>
          <t>Mancano a 85.000 €</t>
        </is>
      </c>
      <c r="L13" s="75">
        <f>MAX(0,'Parametri 2026'!$B$7-'Riepilogo mensile'!$B$17)</f>
        <v/>
      </c>
      <c r="O13" s="64" t="inlineStr">
        <is>
          <t>Set</t>
        </is>
      </c>
      <c r="P13" s="65">
        <f>'Riepilogo mensile'!B13</f>
        <v/>
      </c>
      <c r="Q13" s="65">
        <f>'Riepilogo mensile'!K13</f>
        <v/>
      </c>
      <c r="R13" s="65">
        <f>'Riepilogo mensile'!D13</f>
        <v/>
      </c>
      <c r="S13" s="65">
        <f>'Parametri 2026'!$B$7</f>
        <v/>
      </c>
    </row>
    <row r="14">
      <c r="B14" s="68" t="inlineStr">
        <is>
          <t>Contributi fissi (artigiani e commercianti)</t>
        </is>
      </c>
      <c r="C14" s="69" t="n"/>
      <c r="D14" s="69" t="n"/>
      <c r="E14" s="69" t="n"/>
      <c r="F14" s="70">
        <f>Impostazioni!$B$25</f>
        <v/>
      </c>
      <c r="G14" s="69" t="n"/>
      <c r="I14" s="71" t="inlineStr">
        <is>
          <t>Verso 100.000 €</t>
        </is>
      </c>
      <c r="L14" s="72">
        <f>'Riepilogo mensile'!$B$17/'Parametri 2026'!$B$8</f>
        <v/>
      </c>
      <c r="O14" s="64" t="inlineStr">
        <is>
          <t>Ott</t>
        </is>
      </c>
      <c r="P14" s="65">
        <f>'Riepilogo mensile'!B14</f>
        <v/>
      </c>
      <c r="Q14" s="65">
        <f>'Riepilogo mensile'!K14</f>
        <v/>
      </c>
      <c r="R14" s="65">
        <f>'Riepilogo mensile'!D14</f>
        <v/>
      </c>
      <c r="S14" s="65">
        <f>'Parametri 2026'!$B$7</f>
        <v/>
      </c>
    </row>
    <row r="15">
      <c r="B15" s="68" t="inlineStr">
        <is>
          <t>Contributi a percentuale</t>
        </is>
      </c>
      <c r="C15" s="69" t="n"/>
      <c r="D15" s="69" t="n"/>
      <c r="E15" s="69" t="n"/>
      <c r="F15" s="70">
        <f>'Riepilogo mensile'!$H$16-Impostazioni!$B$25</f>
        <v/>
      </c>
      <c r="G15" s="69" t="n"/>
      <c r="I15" s="74">
        <f>REPT("█",ROUND(MIN(1,MAX(0,'Riepilogo mensile'!$B$17/'Parametri 2026'!$B$8))*24,0))&amp;REPT("░",24-ROUND(MIN(1,MAX(0,'Riepilogo mensile'!$B$17/'Parametri 2026'!$B$8))*24,0))</f>
        <v/>
      </c>
      <c r="O15" s="64" t="inlineStr">
        <is>
          <t>Nov</t>
        </is>
      </c>
      <c r="P15" s="65">
        <f>'Riepilogo mensile'!B15</f>
        <v/>
      </c>
      <c r="Q15" s="65">
        <f>'Riepilogo mensile'!K15</f>
        <v/>
      </c>
      <c r="R15" s="65">
        <f>'Riepilogo mensile'!D15</f>
        <v/>
      </c>
      <c r="S15" s="65">
        <f>'Parametri 2026'!$B$7</f>
        <v/>
      </c>
    </row>
    <row r="16">
      <c r="B16" s="76" t="inlineStr">
        <is>
          <t>Contributi previdenziali totali</t>
        </is>
      </c>
      <c r="C16" s="69" t="n"/>
      <c r="D16" s="69" t="n"/>
      <c r="E16" s="69" t="n"/>
      <c r="F16" s="77">
        <f>'Riepilogo mensile'!$H$16</f>
        <v/>
      </c>
      <c r="G16" s="69" t="n"/>
      <c r="I16" s="71" t="inlineStr">
        <is>
          <t>Mancano a 100.000 €</t>
        </is>
      </c>
      <c r="L16" s="75">
        <f>MAX(0,'Parametri 2026'!$B$8-'Riepilogo mensile'!$B$17)</f>
        <v/>
      </c>
      <c r="O16" s="64" t="inlineStr">
        <is>
          <t>Dic</t>
        </is>
      </c>
      <c r="P16" s="65">
        <f>'Riepilogo mensile'!B16</f>
        <v/>
      </c>
      <c r="Q16" s="65">
        <f>'Riepilogo mensile'!K16</f>
        <v/>
      </c>
      <c r="R16" s="65">
        <f>'Riepilogo mensile'!D16</f>
        <v/>
      </c>
      <c r="S16" s="65">
        <f>'Parametri 2026'!$B$7</f>
        <v/>
      </c>
    </row>
    <row r="17">
      <c r="B17" s="68" t="inlineStr">
        <is>
          <t>Contributi dedotti dal reddito</t>
        </is>
      </c>
      <c r="C17" s="69" t="n"/>
      <c r="D17" s="69" t="n"/>
      <c r="E17" s="69" t="n"/>
      <c r="F17" s="70">
        <f>IF(ISNUMBER(Impostazioni!$B$12),Impostazioni!$B$12,'Riepilogo mensile'!$H$16)</f>
        <v/>
      </c>
      <c r="G17" s="69" t="n"/>
    </row>
    <row r="18">
      <c r="B18" s="68" t="inlineStr">
        <is>
          <t>Reddito su cui si paga l'imposta</t>
        </is>
      </c>
      <c r="C18" s="69" t="n"/>
      <c r="D18" s="69" t="n"/>
      <c r="E18" s="69" t="n"/>
      <c r="F18" s="70">
        <f>MAX(0,'Riepilogo mensile'!$G$16-IF(ISNUMBER(Impostazioni!$B$12),Impostazioni!$B$12,'Riepilogo mensile'!$H$16))</f>
        <v/>
      </c>
      <c r="G18" s="69" t="n"/>
      <c r="I18" s="19" t="inlineStr">
        <is>
          <t>Fatture 2026</t>
        </is>
      </c>
    </row>
    <row r="19">
      <c r="B19" s="68" t="inlineStr">
        <is>
          <t>Aliquota dell'imposta sostitutiva</t>
        </is>
      </c>
      <c r="C19" s="69" t="n"/>
      <c r="D19" s="69" t="n"/>
      <c r="E19" s="69" t="n"/>
      <c r="F19" s="73">
        <f>Impostazioni!$B$18</f>
        <v/>
      </c>
      <c r="G19" s="69" t="n"/>
      <c r="I19" s="68" t="inlineStr">
        <is>
          <t>Emesse nel 2026</t>
        </is>
      </c>
      <c r="J19" s="69" t="n"/>
      <c r="K19" s="69" t="n"/>
      <c r="L19" s="78">
        <f>COUNTIFS(Fatture!$B$5:$B$304,"&gt;="&amp;DATE('Parametri 2026'!$B$6,1,1),Fatture!$B$5:$B$304,"&lt;"&amp;DATE('Parametri 2026'!$B$6+1,1,1),Fatture!$F$5:$F$304,"&lt;&gt;")</f>
        <v/>
      </c>
      <c r="M19" s="69" t="n"/>
    </row>
    <row r="20">
      <c r="B20" s="76" t="inlineStr">
        <is>
          <t>Imposta sostitutiva stimata</t>
        </is>
      </c>
      <c r="C20" s="69" t="n"/>
      <c r="D20" s="69" t="n"/>
      <c r="E20" s="69" t="n"/>
      <c r="F20" s="77">
        <f>'Riepilogo mensile'!$I$16</f>
        <v/>
      </c>
      <c r="G20" s="69" t="n"/>
      <c r="I20" s="68" t="inlineStr">
        <is>
          <t>Totale emesso nel 2026</t>
        </is>
      </c>
      <c r="J20" s="69" t="n"/>
      <c r="K20" s="69" t="n"/>
      <c r="L20" s="70">
        <f>SUMIFS(Fatture!$L$5:$L$304,Fatture!$B$5:$B$304,"&gt;="&amp;DATE('Parametri 2026'!$B$6,1,1),Fatture!$B$5:$B$304,"&lt;"&amp;DATE('Parametri 2026'!$B$6+1,1,1))</f>
        <v/>
      </c>
      <c r="M20" s="69" t="n"/>
    </row>
    <row r="21">
      <c r="B21" s="76" t="inlineStr">
        <is>
          <t>Totale tasse e contributi</t>
        </is>
      </c>
      <c r="C21" s="69" t="n"/>
      <c r="D21" s="69" t="n"/>
      <c r="E21" s="69" t="n"/>
      <c r="F21" s="77">
        <f>'Riepilogo mensile'!$J$16</f>
        <v/>
      </c>
      <c r="G21" s="69" t="n"/>
      <c r="I21" s="68" t="inlineStr">
        <is>
          <t>Incassate nel 2026</t>
        </is>
      </c>
      <c r="J21" s="69" t="n"/>
      <c r="K21" s="69" t="n"/>
      <c r="L21" s="78">
        <f>'Riepilogo mensile'!$C$17</f>
        <v/>
      </c>
      <c r="M21" s="69" t="n"/>
    </row>
    <row r="22">
      <c r="B22" s="68" t="inlineStr">
        <is>
          <t>Incidenza sull'incassato</t>
        </is>
      </c>
      <c r="C22" s="69" t="n"/>
      <c r="D22" s="69" t="n"/>
      <c r="E22" s="69" t="n"/>
      <c r="F22" s="79">
        <f>IF('Riepilogo mensile'!$B$17&gt;0,'Riepilogo mensile'!$J$16/'Riepilogo mensile'!$B$17,0)</f>
        <v/>
      </c>
      <c r="G22" s="69" t="n"/>
      <c r="I22" s="68" t="inlineStr">
        <is>
          <t>Da incassare (numero)</t>
        </is>
      </c>
      <c r="J22" s="69" t="n"/>
      <c r="K22" s="69" t="n"/>
      <c r="L22" s="78">
        <f>COUNTIF(Fatture!$N$5:$N$304,"Da incassare")</f>
        <v/>
      </c>
      <c r="M22" s="69" t="n"/>
    </row>
    <row r="23">
      <c r="B23" s="76" t="inlineStr">
        <is>
          <t>Netto stimato (incassato − tasse e contributi)</t>
        </is>
      </c>
      <c r="C23" s="69" t="n"/>
      <c r="D23" s="69" t="n"/>
      <c r="E23" s="69" t="n"/>
      <c r="F23" s="77">
        <f>'Riepilogo mensile'!$B$17-'Riepilogo mensile'!$J$16</f>
        <v/>
      </c>
      <c r="G23" s="69" t="n"/>
      <c r="I23" s="68" t="inlineStr">
        <is>
          <t>Da incassare (totale)</t>
        </is>
      </c>
      <c r="J23" s="69" t="n"/>
      <c r="K23" s="69" t="n"/>
      <c r="L23" s="70">
        <f>SUMIFS(Fatture!$L$5:$L$304,Fatture!$N$5:$N$304,"Da incassare")</f>
        <v/>
      </c>
      <c r="M23" s="69" t="n"/>
    </row>
    <row r="24">
      <c r="B24" s="68" t="inlineStr">
        <is>
          <t>Spese registrate (facoltative)</t>
        </is>
      </c>
      <c r="C24" s="69" t="n"/>
      <c r="D24" s="69" t="n"/>
      <c r="E24" s="69" t="n"/>
      <c r="F24" s="70">
        <f>'Riepilogo mensile'!$L$17</f>
        <v/>
      </c>
      <c r="G24" s="69" t="n"/>
      <c r="I24" s="68" t="inlineStr">
        <is>
          <t>Bollo sulle fatture emesse nel 2026</t>
        </is>
      </c>
      <c r="J24" s="69" t="n"/>
      <c r="K24" s="69" t="n"/>
      <c r="L24" s="70">
        <f>SUMIFS(Fatture!$J$5:$J$304,Fatture!$B$5:$B$304,"&gt;="&amp;DATE('Parametri 2026'!$B$6,1,1),Fatture!$B$5:$B$304,"&lt;"&amp;DATE('Parametri 2026'!$B$6+1,1,1))</f>
        <v/>
      </c>
      <c r="M24" s="69" t="n"/>
    </row>
    <row r="25">
      <c r="B25" s="68" t="inlineStr">
        <is>
          <t>Netto dopo le spese</t>
        </is>
      </c>
      <c r="C25" s="69" t="n"/>
      <c r="D25" s="69" t="n"/>
      <c r="E25" s="69" t="n"/>
      <c r="F25" s="70">
        <f>'Riepilogo mensile'!$B$17-'Riepilogo mensile'!$J$16-'Riepilogo mensile'!$L$17</f>
        <v/>
      </c>
      <c r="G25" s="69" t="n"/>
    </row>
    <row r="26">
      <c r="B26" s="68" t="inlineStr">
        <is>
          <t>Netto medio mensile dopo le spese</t>
        </is>
      </c>
      <c r="C26" s="69" t="n"/>
      <c r="D26" s="69" t="n"/>
      <c r="E26" s="69" t="n"/>
      <c r="F26" s="70">
        <f>('Riepilogo mensile'!$B$17-'Riepilogo mensile'!$J$16-'Riepilogo mensile'!$L$17)/12</f>
        <v/>
      </c>
      <c r="G26" s="69" t="n"/>
    </row>
    <row r="27">
      <c r="B27" s="33">
        <f>IF(NOT(ISNUMBER(Impostazioni!$B$12)),"Contributi dedotti: stima a regime (i contributi calcolati sull'anno). Se conosci quelli versati nel 2026, inseriscili in Impostazioni.","Contributi dedotti: quelli versati nel 2026 indicati in Impostazioni.")</f>
        <v/>
      </c>
    </row>
    <row r="28"/>
    <row r="30">
      <c r="B30" s="19" t="inlineStr">
        <is>
          <t>Controlli</t>
        </is>
      </c>
    </row>
    <row r="31">
      <c r="B31" s="80">
        <f>IF(SUMPRODUCT((LEN($U$31:$U$42)&gt;0)*1)=0,"Nessun problema rilevato.",U31&amp;IF(U31="","",CHAR(10))&amp;U32&amp;IF(U32="","",CHAR(10))&amp;U33&amp;IF(U33="","",CHAR(10))&amp;U34&amp;IF(U34="","",CHAR(10))&amp;U35&amp;IF(U35="","",CHAR(10))&amp;U36&amp;IF(U36="","",CHAR(10))&amp;U37&amp;IF(U37="","",CHAR(10))&amp;U38&amp;IF(U38="","",CHAR(10))&amp;U39&amp;IF(U39="","",CHAR(10))&amp;U40&amp;IF(U40="","",CHAR(10))&amp;U41&amp;IF(U41="","",CHAR(10))&amp;U42&amp;IF(U42="","",CHAR(10)))</f>
        <v/>
      </c>
      <c r="U31" s="81">
        <f>IF(Impostazioni!$B$6="","Scegli l'attività in Impostazioni: senza coefficiente il reddito risulta zero.","")</f>
        <v/>
      </c>
    </row>
    <row r="32">
      <c r="U32" s="81">
        <f>IF(Impostazioni!$B$17=0,"Scegli la previdenza in Impostazioni: senza, i contributi risultano zero.","")</f>
        <v/>
      </c>
    </row>
    <row r="33">
      <c r="U33" s="81">
        <f>IF(AND(Impostazioni!$B$17=5,Impostazioni!$B$19=0),"Hai scelto una cassa professionale: inserisci la sua aliquota in Impostazioni.","")</f>
        <v/>
      </c>
    </row>
    <row r="34">
      <c r="U34" s="81">
        <f>IF(AND(Impostazioni!$B$10="Sì",Impostazioni!$B$17&lt;&gt;3,Impostazioni!$B$17&lt;&gt;4),"La riduzione del 35% vale solo per artigiani e commercianti: qui non è applicata.","")</f>
        <v/>
      </c>
    </row>
    <row r="35">
      <c r="U35" s="81">
        <f>IF(AND(Impostazioni!$B$17&gt;2,COUNTIF(Fatture!$G$5:$G$304,"Sì")+COUNTIF(Fatture!$G$5:$G$304,"Si")&gt;0),"Fatture con rivalsa INPS 4%: "&amp;(COUNTIF(Fatture!$G$5:$G$304,"Sì")+COUNTIF(Fatture!$G$5:$G$304,"Si"))&amp;". La rivalsa spetta solo agli iscritti alla Gestione Separata.","")</f>
        <v/>
      </c>
    </row>
    <row r="36">
      <c r="U36" s="81">
        <f>IF(COUNTIF(Fatture!$N$5:$N$304,"Compenso non valido")&gt;0,"Fatture con il compenso scritto come testo: "&amp;COUNTIF(Fatture!$N$5:$N$304,"Compenso non valido")&amp;". Scrivi solo il numero (es. 1500,50): finché non lo correggi la riga non entra nei calcoli.","")</f>
        <v/>
      </c>
    </row>
    <row r="37">
      <c r="U37" s="81">
        <f>IF(SUMPRODUCT((Fatture!$B$5:$B$304&lt;&gt;"")*(1-ISNUMBER(Fatture!$B$5:$B$304)))+SUMPRODUCT((Fatture!$C$5:$C$304&lt;&gt;"")*(1-ISNUMBER(Fatture!$C$5:$C$304)))&gt;0,"Date delle fatture scritte come testo: "&amp;(SUMPRODUCT((Fatture!$B$5:$B$304&lt;&gt;"")*(1-ISNUMBER(Fatture!$B$5:$B$304)))+SUMPRODUCT((Fatture!$C$5:$C$304&lt;&gt;"")*(1-ISNUMBER(Fatture!$C$5:$C$304))))&amp;". Scrivile come gg/mm/aaaa: un incasso con la data non valida non entra nei calcoli.","")</f>
        <v/>
      </c>
    </row>
    <row r="38">
      <c r="U38" s="81">
        <f>IF(SUMPRODUCT(ISNUMBER(Fatture!$C$5:$C$304)*ISNUMBER(Fatture!$B$5:$B$304)*(Fatture!$C$5:$C$304&lt;Fatture!$B$5:$B$304))&gt;0,"Fatture con la data di incasso prima di quella di emissione: "&amp;SUMPRODUCT(ISNUMBER(Fatture!$C$5:$C$304)*ISNUMBER(Fatture!$B$5:$B$304)*(Fatture!$C$5:$C$304&lt;Fatture!$B$5:$B$304))&amp;". Controlla le date.","")</f>
        <v/>
      </c>
    </row>
    <row r="39">
      <c r="U39" s="81">
        <f>IF(COUNTIF(Fatture!$N$5:$N$304,"Incassata nel *")&gt;0,"Fatture incassate in un altro anno, che non contano nel 2026: "&amp;COUNTIF(Fatture!$N$5:$N$304,"Incassata nel *")&amp;".","")</f>
        <v/>
      </c>
    </row>
    <row r="40">
      <c r="B40" s="82" t="inlineStr">
        <is>
          <t>Grafici</t>
        </is>
      </c>
      <c r="U40" s="81">
        <f>IF(SUMPRODUCT((Spese!$D$5:$D$204&lt;&gt;"")*(1-ISNUMBER(Spese!$D$5:$D$204)*ISNUMBER(Spese!$A$5:$A$204)))&gt;0,"Spese senza una data valida o con l'importo scritto come testo: "&amp;SUMPRODUCT((Spese!$D$5:$D$204&lt;&gt;"")*(1-ISNUMBER(Spese!$D$5:$D$204)*ISNUMBER(Spese!$A$5:$A$204)))&amp;". Non entrano nel totale delle spese.","")</f>
        <v/>
      </c>
    </row>
    <row r="41">
      <c r="U41" s="81">
        <f>IF(OR(AND(Impostazioni!$B$12&lt;&gt;"",NOT(ISNUMBER(Impostazioni!$B$12))),AND(Impostazioni!$B$13&lt;&gt;"",NOT(ISNUMBER(Impostazioni!$B$13))),AND(Impostazioni!$B$8&lt;&gt;"",NOT(ISNUMBER(Impostazioni!$B$8)))),"In Impostazioni un importo o l'aliquota della cassa è scritto come testo: scrivi solo il numero, altrimenti il foglio lo ignora.","")</f>
        <v/>
      </c>
    </row>
    <row r="42">
      <c r="U42" s="81">
        <f>IF(AND(OR(Impostazioni!$B$17=3,Impostazioni!$B$17=4),'Riepilogo mensile'!$B$17&gt;0,'Riepilogo mensile'!$G$16&lt;Impostazioni!$B$22),"Il reddito è sotto il minimale INPS: i contributi fissi sono dovuti comunque"&amp;IF(Impostazioni!$B$20="Sì"," (ridotti del 35%)."," per intero."),"")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75">
    <mergeCell ref="I16:K16"/>
    <mergeCell ref="B2:M2"/>
    <mergeCell ref="F11:G11"/>
    <mergeCell ref="I15:M15"/>
    <mergeCell ref="I22:K22"/>
    <mergeCell ref="F16:G16"/>
    <mergeCell ref="L16:M16"/>
    <mergeCell ref="F19:G19"/>
    <mergeCell ref="F25:G25"/>
    <mergeCell ref="B8:M8"/>
    <mergeCell ref="B15:E15"/>
    <mergeCell ref="B24:E24"/>
    <mergeCell ref="L19:M19"/>
    <mergeCell ref="B1:M1"/>
    <mergeCell ref="B20:E20"/>
    <mergeCell ref="I21:K21"/>
    <mergeCell ref="L13:M13"/>
    <mergeCell ref="E6:G6"/>
    <mergeCell ref="F21:G21"/>
    <mergeCell ref="B26:E26"/>
    <mergeCell ref="B10:G10"/>
    <mergeCell ref="F12:G12"/>
    <mergeCell ref="F24:G24"/>
    <mergeCell ref="I24:K24"/>
    <mergeCell ref="F15:G15"/>
    <mergeCell ref="I14:K14"/>
    <mergeCell ref="I23:K23"/>
    <mergeCell ref="F20:G20"/>
    <mergeCell ref="B16:E16"/>
    <mergeCell ref="F18:G18"/>
    <mergeCell ref="B27:G28"/>
    <mergeCell ref="L24:M24"/>
    <mergeCell ref="B25:E25"/>
    <mergeCell ref="L23:M23"/>
    <mergeCell ref="I20:K20"/>
    <mergeCell ref="F26:G26"/>
    <mergeCell ref="L14:M14"/>
    <mergeCell ref="B6:D6"/>
    <mergeCell ref="F17:G17"/>
    <mergeCell ref="B22:E22"/>
    <mergeCell ref="B30:M30"/>
    <mergeCell ref="I12:M12"/>
    <mergeCell ref="I18:M18"/>
    <mergeCell ref="I19:K19"/>
    <mergeCell ref="B18:E18"/>
    <mergeCell ref="B5:D5"/>
    <mergeCell ref="I13:K13"/>
    <mergeCell ref="L20:M20"/>
    <mergeCell ref="K4:M4"/>
    <mergeCell ref="K6:M6"/>
    <mergeCell ref="H5:J5"/>
    <mergeCell ref="B12:E12"/>
    <mergeCell ref="B4:D4"/>
    <mergeCell ref="B21:E21"/>
    <mergeCell ref="F23:G23"/>
    <mergeCell ref="B31:M38"/>
    <mergeCell ref="B11:E11"/>
    <mergeCell ref="F22:G22"/>
    <mergeCell ref="F13:G13"/>
    <mergeCell ref="L22:M22"/>
    <mergeCell ref="B14:E14"/>
    <mergeCell ref="B17:E17"/>
    <mergeCell ref="B23:E23"/>
    <mergeCell ref="I11:K11"/>
    <mergeCell ref="L21:M21"/>
    <mergeCell ref="E5:G5"/>
    <mergeCell ref="K5:M5"/>
    <mergeCell ref="B13:E13"/>
    <mergeCell ref="H4:J4"/>
    <mergeCell ref="I10:M10"/>
    <mergeCell ref="L11:M11"/>
    <mergeCell ref="E4:G4"/>
    <mergeCell ref="F14:G14"/>
    <mergeCell ref="B19:E19"/>
    <mergeCell ref="H6:J6"/>
  </mergeCells>
  <conditionalFormatting sqref="B8:M8">
    <cfRule type="expression" priority="1" dxfId="3" stopIfTrue="1">
      <formula>$L$14&gt;1</formula>
    </cfRule>
    <cfRule type="expression" priority="2" dxfId="0" stopIfTrue="1">
      <formula>$L$11&gt;1</formula>
    </cfRule>
    <cfRule type="expression" priority="3" dxfId="4" stopIfTrue="1">
      <formula>$L$11&lt;=1</formula>
    </cfRule>
  </conditionalFormatting>
  <conditionalFormatting sqref="B31">
    <cfRule type="expression" priority="4" dxfId="5">
      <formula>SUMPRODUCT((LEN($U$31:$U$42)&gt;0)*1)&gt;0</formula>
    </cfRule>
  </conditionalFormatting>
  <printOptions horizontalCentered="1"/>
  <pageMargins left="0.4" right="0.4" top="0.5" bottom="0.5" header="0.5" footer="0.5"/>
  <pageSetup orientation="landscape" paperSize="9" fitToHeight="1" fitToWidth="1"/>
  <headerFooter>
    <oddHeader/>
    <oddFooter>&amp;C&amp;8 &amp;A · pagina &amp;P di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30" customWidth="1" min="3" max="3"/>
    <col width="16" customWidth="1" min="4" max="4"/>
    <col width="20" customWidth="1" min="5" max="5"/>
    <col width="58" customWidth="1" min="6" max="6"/>
    <col width="15" customWidth="1" min="7" max="7"/>
    <col width="9" customWidth="1" min="8" max="8"/>
  </cols>
  <sheetData>
    <row r="1" ht="30" customHeight="1">
      <c r="A1" s="11" t="inlineStr">
        <is>
          <t>Scadenze 2026-2027</t>
        </is>
      </c>
    </row>
    <row r="2" ht="30" customHeight="1">
      <c r="A2" s="12" t="inlineStr">
        <is>
          <t>Versamenti legati all'anno 2026. Se una scadenza cade di sabato o festivo slitta al primo giorno lavorativo: le date qui sotto sono già spostate. Le proroghe vengono decise di anno in anno: controlla prima di pagare.</t>
        </is>
      </c>
    </row>
    <row r="4" ht="30" customHeight="1">
      <c r="A4" s="13" t="inlineStr">
        <is>
          <t>Data</t>
        </is>
      </c>
      <c r="B4" s="13" t="inlineStr">
        <is>
          <t>Versamento</t>
        </is>
      </c>
      <c r="C4" s="13" t="inlineStr">
        <is>
          <t>Chi lo paga</t>
        </is>
      </c>
      <c r="D4" s="13" t="inlineStr">
        <is>
          <t>Codice F24</t>
        </is>
      </c>
      <c r="E4" s="13" t="inlineStr">
        <is>
          <t>Importo stimato (€)</t>
        </is>
      </c>
      <c r="F4" s="13" t="inlineStr">
        <is>
          <t>Note</t>
        </is>
      </c>
      <c r="G4" s="13" t="inlineStr">
        <is>
          <t>Stato</t>
        </is>
      </c>
      <c r="H4" s="13" t="inlineStr">
        <is>
          <t>Fatto</t>
        </is>
      </c>
    </row>
    <row r="5" ht="30" customHeight="1">
      <c r="A5" s="83" t="n">
        <v>46160</v>
      </c>
      <c r="B5" s="20" t="inlineStr">
        <is>
          <t>Contributi INPS fissi 2026: 1ª rata</t>
        </is>
      </c>
      <c r="C5" s="84" t="inlineStr">
        <is>
          <t>Artigiani e commercianti</t>
        </is>
      </c>
      <c r="D5" s="84" t="inlineStr">
        <is>
          <t>Sezione INPS</t>
        </is>
      </c>
      <c r="E5" s="85">
        <f>IF(OR(Impostazioni!$B$17=3,Impostazioni!$B$17=4),ROUND(Impostazioni!$B$25/4,2),"Non dovuto")</f>
        <v/>
      </c>
      <c r="F5" s="16" t="inlineStr">
        <is>
          <t>Il 16 maggio 2026 era sabato. Gli importi esatti sono nel Cassetto previdenziale INPS.</t>
        </is>
      </c>
      <c r="G5" s="86">
        <f>IF(H5="Sì","Fatto",IF(A5&lt;TODAY(),"Passata",IF(A5-TODAY()&lt;=30,"Entro 30 giorni","")))</f>
        <v/>
      </c>
      <c r="H5" s="87" t="n"/>
    </row>
    <row r="6" ht="40" customHeight="1">
      <c r="A6" s="83" t="n">
        <v>46174</v>
      </c>
      <c r="B6" s="20" t="inlineStr">
        <is>
          <t>Bollo fatture elettroniche, 1° trimestre 2026</t>
        </is>
      </c>
      <c r="C6" s="84" t="inlineStr">
        <is>
          <t>Tutti</t>
        </is>
      </c>
      <c r="D6" s="84" t="inlineStr">
        <is>
          <t>2521</t>
        </is>
      </c>
      <c r="E6" s="85">
        <f>IF($B$24&gt;'Parametri 2026'!$B$15,$B$24,0)</f>
        <v/>
      </c>
      <c r="F6" s="16" t="inlineStr">
        <is>
          <t>Il 31 maggio 2026 era domenica. Fino a 5.000 € il versamento si può rinviare alla scadenza del trimestre successivo (importo già spostato qui).</t>
        </is>
      </c>
      <c r="G6" s="86">
        <f>IF(H6="Sì","Fatto",IF(A6&lt;TODAY(),"Passata",IF(A6-TODAY()&lt;=30,"Entro 30 giorni","")))</f>
        <v/>
      </c>
      <c r="H6" s="87" t="n"/>
    </row>
    <row r="7" ht="52" customHeight="1">
      <c r="A7" s="83" t="n">
        <v>46223</v>
      </c>
      <c r="B7" s="20" t="inlineStr">
        <is>
          <t>Imposta sostitutiva: saldo 2025 e 1° acconto 2026</t>
        </is>
      </c>
      <c r="C7" s="84" t="inlineStr">
        <is>
          <t>Tutti</t>
        </is>
      </c>
      <c r="D7" s="84" t="inlineStr">
        <is>
          <t>1792 saldo, 1790 acconto</t>
        </is>
      </c>
      <c r="E7" s="85" t="inlineStr">
        <is>
          <t>Dalla dichiarazione</t>
        </is>
      </c>
      <c r="F7" s="16" t="inlineStr">
        <is>
          <t>Termine ordinario 30 giugno, prorogato al 20 luglio dal DL 89/2026 (art. 6) per forfettari e soggetti ISA. Fino al 20 agosto con la maggiorazione dello 0,80%. Acconto: 50% + 50%.</t>
        </is>
      </c>
      <c r="G7" s="86">
        <f>IF(H7="Sì","Fatto",IF(A7&lt;TODAY(),"Passata",IF(A7-TODAY()&lt;=30,"Entro 30 giorni","")))</f>
        <v/>
      </c>
      <c r="H7" s="87" t="n"/>
    </row>
    <row r="8" ht="40" customHeight="1">
      <c r="A8" s="83" t="n">
        <v>46223</v>
      </c>
      <c r="B8" s="20" t="inlineStr">
        <is>
          <t>Contributi INPS a percentuale: saldo 2025 e 1° acconto 2026</t>
        </is>
      </c>
      <c r="C8" s="84" t="inlineStr">
        <is>
          <t>Gestione Separata; artigiani e commercianti sul reddito oltre il minimale</t>
        </is>
      </c>
      <c r="D8" s="84" t="inlineStr">
        <is>
          <t>Sezione INPS</t>
        </is>
      </c>
      <c r="E8" s="85">
        <f>IF(OR(Impostazioni!$B$17=1,Impostazioni!$B$17=2,Impostazioni!$B$17=3,Impostazioni!$B$17=4),"Dalla dichiarazione","Non dovuto")</f>
        <v/>
      </c>
      <c r="F8" s="16" t="inlineStr">
        <is>
          <t>Stesse scadenze delle imposte sui redditi, proroga compresa. Le casse professionali hanno scadenze proprie.</t>
        </is>
      </c>
      <c r="G8" s="86">
        <f>IF(H8="Sì","Fatto",IF(A8&lt;TODAY(),"Passata",IF(A8-TODAY()&lt;=30,"Entro 30 giorni","")))</f>
        <v/>
      </c>
      <c r="H8" s="87" t="n"/>
    </row>
    <row r="9" ht="20" customHeight="1">
      <c r="A9" s="83" t="n">
        <v>46254</v>
      </c>
      <c r="B9" s="20" t="inlineStr">
        <is>
          <t>Contributi INPS fissi 2026: 2ª rata</t>
        </is>
      </c>
      <c r="C9" s="84" t="inlineStr">
        <is>
          <t>Artigiani e commercianti</t>
        </is>
      </c>
      <c r="D9" s="84" t="inlineStr">
        <is>
          <t>Sezione INPS</t>
        </is>
      </c>
      <c r="E9" s="85">
        <f>IF(OR(Impostazioni!$B$17=3,Impostazioni!$B$17=4),ROUND(Impostazioni!$B$25/4,2),"Non dovuto")</f>
        <v/>
      </c>
      <c r="F9" s="16" t="inlineStr"/>
      <c r="G9" s="86">
        <f>IF(H9="Sì","Fatto",IF(A9&lt;TODAY(),"Passata",IF(A9-TODAY()&lt;=30,"Entro 30 giorni","")))</f>
        <v/>
      </c>
      <c r="H9" s="87" t="n"/>
    </row>
    <row r="10" ht="30" customHeight="1">
      <c r="A10" s="83" t="n">
        <v>46295</v>
      </c>
      <c r="B10" s="20" t="inlineStr">
        <is>
          <t>Bollo fatture elettroniche, 2° trimestre 2026</t>
        </is>
      </c>
      <c r="C10" s="84" t="inlineStr">
        <is>
          <t>Tutti</t>
        </is>
      </c>
      <c r="D10" s="84" t="inlineStr">
        <is>
          <t>2522</t>
        </is>
      </c>
      <c r="E10" s="85">
        <f>IF($B$24+$B$25&gt;'Parametri 2026'!$B$15,$B$25+IF($B$24&lt;='Parametri 2026'!$B$15,$B$24,0),0)</f>
        <v/>
      </c>
      <c r="F10" s="16" t="inlineStr">
        <is>
          <t>Se il 1° e il 2° trimestre insieme non superano 5.000 € si può rinviare al 30 novembre.</t>
        </is>
      </c>
      <c r="G10" s="86">
        <f>IF(H10="Sì","Fatto",IF(A10&lt;TODAY(),"Passata",IF(A10-TODAY()&lt;=30,"Entro 30 giorni","")))</f>
        <v/>
      </c>
      <c r="H10" s="87" t="n"/>
    </row>
    <row r="11" ht="20" customHeight="1">
      <c r="A11" s="83" t="n">
        <v>46342</v>
      </c>
      <c r="B11" s="20" t="inlineStr">
        <is>
          <t>Contributi INPS fissi 2026: 3ª rata</t>
        </is>
      </c>
      <c r="C11" s="84" t="inlineStr">
        <is>
          <t>Artigiani e commercianti</t>
        </is>
      </c>
      <c r="D11" s="84" t="inlineStr">
        <is>
          <t>Sezione INPS</t>
        </is>
      </c>
      <c r="E11" s="85">
        <f>IF(OR(Impostazioni!$B$17=3,Impostazioni!$B$17=4),ROUND(Impostazioni!$B$25/4,2),"Non dovuto")</f>
        <v/>
      </c>
      <c r="F11" s="16" t="inlineStr"/>
      <c r="G11" s="86">
        <f>IF(H11="Sì","Fatto",IF(A11&lt;TODAY(),"Passata",IF(A11-TODAY()&lt;=30,"Entro 30 giorni","")))</f>
        <v/>
      </c>
      <c r="H11" s="87" t="n"/>
    </row>
    <row r="12" ht="30" customHeight="1">
      <c r="A12" s="83" t="n">
        <v>46356</v>
      </c>
      <c r="B12" s="20" t="inlineStr">
        <is>
          <t>Imposta sostitutiva: 2° acconto 2026</t>
        </is>
      </c>
      <c r="C12" s="84" t="inlineStr">
        <is>
          <t>Tutti</t>
        </is>
      </c>
      <c r="D12" s="84" t="inlineStr">
        <is>
          <t>1791</t>
        </is>
      </c>
      <c r="E12" s="85" t="inlineStr">
        <is>
          <t>Dalla dichiarazione</t>
        </is>
      </c>
      <c r="F12" s="16" t="inlineStr">
        <is>
          <t>Importo calcolato nella dichiarazione 2026 (metodo storico).</t>
        </is>
      </c>
      <c r="G12" s="86">
        <f>IF(H12="Sì","Fatto",IF(A12&lt;TODAY(),"Passata",IF(A12-TODAY()&lt;=30,"Entro 30 giorni","")))</f>
        <v/>
      </c>
      <c r="H12" s="87" t="n"/>
    </row>
    <row r="13" ht="30" customHeight="1">
      <c r="A13" s="83" t="n">
        <v>46356</v>
      </c>
      <c r="B13" s="20" t="inlineStr">
        <is>
          <t>Contributi INPS a percentuale: 2° acconto 2026</t>
        </is>
      </c>
      <c r="C13" s="84" t="inlineStr">
        <is>
          <t>Gestione Separata; artigiani e commercianti sul reddito oltre il minimale</t>
        </is>
      </c>
      <c r="D13" s="84" t="inlineStr">
        <is>
          <t>Sezione INPS</t>
        </is>
      </c>
      <c r="E13" s="85">
        <f>IF(OR(Impostazioni!$B$17=1,Impostazioni!$B$17=2,Impostazioni!$B$17=3,Impostazioni!$B$17=4),"Dalla dichiarazione","Non dovuto")</f>
        <v/>
      </c>
      <c r="F13" s="16" t="inlineStr"/>
      <c r="G13" s="86">
        <f>IF(H13="Sì","Fatto",IF(A13&lt;TODAY(),"Passata",IF(A13-TODAY()&lt;=30,"Entro 30 giorni","")))</f>
        <v/>
      </c>
      <c r="H13" s="87" t="n"/>
    </row>
    <row r="14" ht="30" customHeight="1">
      <c r="A14" s="83" t="n">
        <v>46356</v>
      </c>
      <c r="B14" s="20" t="inlineStr">
        <is>
          <t>Bollo fatture elettroniche, 3° trimestre 2026</t>
        </is>
      </c>
      <c r="C14" s="84" t="inlineStr">
        <is>
          <t>Tutti</t>
        </is>
      </c>
      <c r="D14" s="84" t="inlineStr">
        <is>
          <t>2523</t>
        </is>
      </c>
      <c r="E14" s="85">
        <f>$B$26+IF($B$24+$B$25&lt;='Parametri 2026'!$B$15,$B$24+$B$25,0)</f>
        <v/>
      </c>
      <c r="F14" s="16" t="inlineStr">
        <is>
          <t>Comprende i trimestri precedenti rinviati (codici 2521 e 2522).</t>
        </is>
      </c>
      <c r="G14" s="86">
        <f>IF(H14="Sì","Fatto",IF(A14&lt;TODAY(),"Passata",IF(A14-TODAY()&lt;=30,"Entro 30 giorni","")))</f>
        <v/>
      </c>
      <c r="H14" s="87" t="n"/>
    </row>
    <row r="15" ht="30" customHeight="1">
      <c r="A15" s="83" t="n">
        <v>46434</v>
      </c>
      <c r="B15" s="20" t="inlineStr">
        <is>
          <t>Contributi INPS fissi 2026: 4ª rata</t>
        </is>
      </c>
      <c r="C15" s="84" t="inlineStr">
        <is>
          <t>Artigiani e commercianti</t>
        </is>
      </c>
      <c r="D15" s="84" t="inlineStr">
        <is>
          <t>Sezione INPS</t>
        </is>
      </c>
      <c r="E15" s="85">
        <f>IF(OR(Impostazioni!$B$17=3,Impostazioni!$B$17=4),ROUND(Impostazioni!$B$25/4,2),"Non dovuto")</f>
        <v/>
      </c>
      <c r="F15" s="16" t="inlineStr">
        <is>
          <t>Si deduce dal reddito del 2027, l'anno in cui la versi.</t>
        </is>
      </c>
      <c r="G15" s="86">
        <f>IF(H15="Sì","Fatto",IF(A15&lt;TODAY(),"Passata",IF(A15-TODAY()&lt;=30,"Entro 30 giorni","")))</f>
        <v/>
      </c>
      <c r="H15" s="87" t="n"/>
    </row>
    <row r="16" ht="20" customHeight="1">
      <c r="A16" s="83" t="n">
        <v>46447</v>
      </c>
      <c r="B16" s="20" t="inlineStr">
        <is>
          <t>Bollo fatture elettroniche, 4° trimestre 2026</t>
        </is>
      </c>
      <c r="C16" s="84" t="inlineStr">
        <is>
          <t>Tutti</t>
        </is>
      </c>
      <c r="D16" s="84" t="inlineStr">
        <is>
          <t>2524</t>
        </is>
      </c>
      <c r="E16" s="85">
        <f>$B$27</f>
        <v/>
      </c>
      <c r="F16" s="16" t="inlineStr">
        <is>
          <t>Il 28 febbraio 2027 è domenica.</t>
        </is>
      </c>
      <c r="G16" s="86">
        <f>IF(H16="Sì","Fatto",IF(A16&lt;TODAY(),"Passata",IF(A16-TODAY()&lt;=30,"Entro 30 giorni","")))</f>
        <v/>
      </c>
      <c r="H16" s="87" t="n"/>
    </row>
    <row r="17" ht="52" customHeight="1">
      <c r="A17" s="83" t="n">
        <v>46568</v>
      </c>
      <c r="B17" s="20" t="inlineStr">
        <is>
          <t>Imposta sostitutiva: saldo 2026</t>
        </is>
      </c>
      <c r="C17" s="84" t="inlineStr">
        <is>
          <t>Tutti</t>
        </is>
      </c>
      <c r="D17" s="84" t="inlineStr">
        <is>
          <t>1792</t>
        </is>
      </c>
      <c r="E17" s="85">
        <f>IF('Riepilogo mensile'!$B$17&gt;'Parametri 2026'!$B$8,"Non dovuto (oltre 100.000 €)",IF(ISNUMBER(Impostazioni!$B$13),Dashboard!$F$20-Impostazioni!$B$13,"Inserisci gli acconti in Impostazioni"))</f>
        <v/>
      </c>
      <c r="F17" s="16" t="inlineStr">
        <is>
          <t>Imposta 2026 stimata meno gli acconti 2026 versati (Impostazioni). Se è negativo hai un credito. Oltre 100.000 € di ricavi l'imposta sostitutiva 2026 non è dovuta. Termine ordinario: controlla le proroghe.</t>
        </is>
      </c>
      <c r="G17" s="86">
        <f>IF(H17="Sì","Fatto",IF(A17&lt;TODAY(),"Passata",IF(A17-TODAY()&lt;=30,"Entro 30 giorni","")))</f>
        <v/>
      </c>
      <c r="H17" s="87" t="n"/>
    </row>
    <row r="18" ht="52" customHeight="1">
      <c r="A18" s="83" t="n">
        <v>46568</v>
      </c>
      <c r="B18" s="20" t="inlineStr">
        <is>
          <t>Imposta sostitutiva: 1° acconto 2027</t>
        </is>
      </c>
      <c r="C18" s="84" t="inlineStr">
        <is>
          <t>Tutti</t>
        </is>
      </c>
      <c r="D18" s="84" t="inlineStr">
        <is>
          <t>1790</t>
        </is>
      </c>
      <c r="E18" s="85">
        <f>IF('Riepilogo mensile'!$B$17&gt;'Parametri 2026'!$B$7,"Non dovuto (oltre 85.000 €)",IF(Dashboard!$F$20&lt;='Parametri 2026'!$B$41,0,IF(Dashboard!$F$20*'Parametri 2026'!$B$40&lt;'Parametri 2026'!$B$42,0,Dashboard!$F$20*'Parametri 2026'!$B$40)))</f>
        <v/>
      </c>
      <c r="F18" s="16" t="inlineStr">
        <is>
          <t>Metodo storico: 50% dell'imposta 2026. Nessun acconto se l'imposta non supera 51,65 €; se la prima rata è sotto 103 € si versa tutto a novembre. Oltre 85.000 € di ricavi dal 2027 passi al regime ordinario: niente acconti d'imposta sostitutiva, il foglio non stima quelli IRPEF.</t>
        </is>
      </c>
      <c r="G18" s="86">
        <f>IF(H18="Sì","Fatto",IF(A18&lt;TODAY(),"Passata",IF(A18-TODAY()&lt;=30,"Entro 30 giorni","")))</f>
        <v/>
      </c>
      <c r="H18" s="87" t="n"/>
    </row>
    <row r="19" ht="30" customHeight="1">
      <c r="A19" s="83" t="n">
        <v>46568</v>
      </c>
      <c r="B19" s="20" t="inlineStr">
        <is>
          <t>Contributi INPS a percentuale: saldo 2026 e 1° acconto 2027</t>
        </is>
      </c>
      <c r="C19" s="84" t="inlineStr">
        <is>
          <t>Gestione Separata; artigiani e commercianti sul reddito oltre il minimale</t>
        </is>
      </c>
      <c r="D19" s="84" t="inlineStr">
        <is>
          <t>Sezione INPS</t>
        </is>
      </c>
      <c r="E19" s="85">
        <f>IF(OR(Impostazioni!$B$17=1,Impostazioni!$B$17=2,Impostazioni!$B$17=3,Impostazioni!$B$17=4),"Dalla dichiarazione","Non dovuto")</f>
        <v/>
      </c>
      <c r="F19" s="16" t="inlineStr">
        <is>
          <t>Base di partenza: i contributi a percentuale stimati nella Dashboard.</t>
        </is>
      </c>
      <c r="G19" s="86">
        <f>IF(H19="Sì","Fatto",IF(A19&lt;TODAY(),"Passata",IF(A19-TODAY()&lt;=30,"Entro 30 giorni","")))</f>
        <v/>
      </c>
      <c r="H19" s="87" t="n"/>
    </row>
    <row r="20" ht="30" customHeight="1">
      <c r="A20" s="83" t="n">
        <v>46721</v>
      </c>
      <c r="B20" s="20" t="inlineStr">
        <is>
          <t>Imposta sostitutiva: 2° acconto 2027</t>
        </is>
      </c>
      <c r="C20" s="84" t="inlineStr">
        <is>
          <t>Tutti</t>
        </is>
      </c>
      <c r="D20" s="84" t="inlineStr">
        <is>
          <t>1791</t>
        </is>
      </c>
      <c r="E20" s="85">
        <f>IF('Riepilogo mensile'!$B$17&gt;'Parametri 2026'!$B$7,"Non dovuto (oltre 85.000 €)",IF(Dashboard!$F$20&lt;='Parametri 2026'!$B$41,0,IF(Dashboard!$F$20*'Parametri 2026'!$B$40&lt;'Parametri 2026'!$B$42,Dashboard!$F$20,Dashboard!$F$20-Dashboard!$F$20*'Parametri 2026'!$B$40)))</f>
        <v/>
      </c>
      <c r="F20" s="16" t="inlineStr"/>
      <c r="G20" s="86">
        <f>IF(H20="Sì","Fatto",IF(A20&lt;TODAY(),"Passata",IF(A20-TODAY()&lt;=30,"Entro 30 giorni","")))</f>
        <v/>
      </c>
      <c r="H20" s="87" t="n"/>
    </row>
    <row r="23">
      <c r="A23" s="82" t="inlineStr">
        <is>
          <t>Bollo per trimestre (fatture emesse)</t>
        </is>
      </c>
    </row>
    <row r="24">
      <c r="A24" s="35" t="inlineStr">
        <is>
          <t>1° trimestre</t>
        </is>
      </c>
      <c r="B24" s="44">
        <f>SUMIFS(Fatture!$J$5:$J$304,Fatture!$B$5:$B$304,"&gt;="&amp;DATE('Parametri 2026'!$B$6,1,1),Fatture!$B$5:$B$304,"&lt;"&amp;DATE('Parametri 2026'!$B$6,4,1))</f>
        <v/>
      </c>
      <c r="C24" s="64">
        <f>COUNTIFS(Fatture!$J$5:$J$304,"&gt;0",Fatture!$B$5:$B$304,"&gt;="&amp;DATE('Parametri 2026'!$B$6,1,1),Fatture!$B$5:$B$304,"&lt;"&amp;DATE('Parametri 2026'!$B$6,4,1))&amp;" fatture con bollo"</f>
        <v/>
      </c>
    </row>
    <row r="25">
      <c r="A25" s="35" t="inlineStr">
        <is>
          <t>2° trimestre</t>
        </is>
      </c>
      <c r="B25" s="44">
        <f>SUMIFS(Fatture!$J$5:$J$304,Fatture!$B$5:$B$304,"&gt;="&amp;DATE('Parametri 2026'!$B$6,4,1),Fatture!$B$5:$B$304,"&lt;"&amp;DATE('Parametri 2026'!$B$6,7,1))</f>
        <v/>
      </c>
      <c r="C25" s="64">
        <f>COUNTIFS(Fatture!$J$5:$J$304,"&gt;0",Fatture!$B$5:$B$304,"&gt;="&amp;DATE('Parametri 2026'!$B$6,4,1),Fatture!$B$5:$B$304,"&lt;"&amp;DATE('Parametri 2026'!$B$6,7,1))&amp;" fatture con bollo"</f>
        <v/>
      </c>
    </row>
    <row r="26">
      <c r="A26" s="35" t="inlineStr">
        <is>
          <t>3° trimestre</t>
        </is>
      </c>
      <c r="B26" s="44">
        <f>SUMIFS(Fatture!$J$5:$J$304,Fatture!$B$5:$B$304,"&gt;="&amp;DATE('Parametri 2026'!$B$6,7,1),Fatture!$B$5:$B$304,"&lt;"&amp;DATE('Parametri 2026'!$B$6,10,1))</f>
        <v/>
      </c>
      <c r="C26" s="64">
        <f>COUNTIFS(Fatture!$J$5:$J$304,"&gt;0",Fatture!$B$5:$B$304,"&gt;="&amp;DATE('Parametri 2026'!$B$6,7,1),Fatture!$B$5:$B$304,"&lt;"&amp;DATE('Parametri 2026'!$B$6,10,1))&amp;" fatture con bollo"</f>
        <v/>
      </c>
    </row>
    <row r="27">
      <c r="A27" s="35" t="inlineStr">
        <is>
          <t>4° trimestre</t>
        </is>
      </c>
      <c r="B27" s="44">
        <f>SUMIFS(Fatture!$J$5:$J$304,Fatture!$B$5:$B$304,"&gt;="&amp;DATE('Parametri 2026'!$B$6,10,1),Fatture!$B$5:$B$304,"&lt;"&amp;DATE('Parametri 2026'!$B$6,13,1))</f>
        <v/>
      </c>
      <c r="C27" s="64">
        <f>COUNTIFS(Fatture!$J$5:$J$304,"&gt;0",Fatture!$B$5:$B$304,"&gt;="&amp;DATE('Parametri 2026'!$B$6,10,1),Fatture!$B$5:$B$304,"&lt;"&amp;DATE('Parametri 2026'!$B$6,13,1))&amp;" fatture con bollo"</f>
        <v/>
      </c>
    </row>
    <row r="29" ht="16" customHeight="1">
      <c r="A29" s="55" t="inlineStr">
        <is>
          <t>Note</t>
        </is>
      </c>
    </row>
    <row r="30" ht="26" customHeight="1">
      <c r="A30" s="56" t="inlineStr">
        <is>
          <t>• Le date del 2026 sono verificate a ottobre 2026; quelle del 2027 sono i termini ordinari, salvo proroghe.</t>
        </is>
      </c>
    </row>
    <row r="31" ht="26" customHeight="1">
      <c r="A31" s="56" t="inlineStr">
        <is>
          <t>• Imposta sostitutiva: gli acconti si calcolano con il metodo storico (imposta dell'anno prima). Gli importi del 2027 sono stime basate sull'imposta calcolata nella Dashboard.</t>
        </is>
      </c>
    </row>
    <row r="32" ht="26" customHeight="1">
      <c r="A32" s="56" t="inlineStr">
        <is>
          <t>• Contributi fissi di artigiani e commercianti: rata = contributi fissi annui / 4 (Impostazioni). Gli importi esatti sono nel Cassetto previdenziale INPS.</t>
        </is>
      </c>
    </row>
    <row r="33" ht="26" customHeight="1">
      <c r="A33" s="56" t="inlineStr">
        <is>
          <t>• Bollo: l'importo è quello delle fatture emesse nel trimestre, anche se il bollo è a tuo carico. L'Agenzia delle Entrate lo calcola e lo mostra nel portale Fatture e Corrispettivi.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8">
    <mergeCell ref="A30:H30"/>
    <mergeCell ref="A29:H29"/>
    <mergeCell ref="A23:C23"/>
    <mergeCell ref="A2:H2"/>
    <mergeCell ref="A33:H33"/>
    <mergeCell ref="A1:H1"/>
    <mergeCell ref="A32:H32"/>
    <mergeCell ref="A31:H31"/>
  </mergeCells>
  <conditionalFormatting sqref="G5:G20">
    <cfRule type="expression" priority="1" dxfId="0">
      <formula>G5="Entro 30 giorni"</formula>
    </cfRule>
    <cfRule type="expression" priority="2" dxfId="6">
      <formula>G5="Fatto"</formula>
    </cfRule>
  </conditionalFormatting>
  <conditionalFormatting sqref="A5:F20">
    <cfRule type="expression" priority="3" dxfId="7">
      <formula>$H5="Sì"</formula>
    </cfRule>
  </conditionalFormatting>
  <dataValidations count="1">
    <dataValidation sqref="H5:H20" showDropDown="0" showInputMessage="0" showErrorMessage="1" allowBlank="1" errorTitle="Valore non valido" error="Scegli una voce del menu a tendina." type="list">
      <formula1>"Sì,No"</formula1>
    </dataValidation>
  </dataValidations>
  <printOptions horizontalCentered="1"/>
  <pageMargins left="0.4" right="0.4" top="0.5" bottom="0.5" header="0.5" footer="0.5"/>
  <pageSetup orientation="landscape" paperSize="9" fitToHeight="1" fitToWidth="1"/>
  <headerFooter>
    <oddHeader/>
    <oddFooter>&amp;C&amp;8 &amp;A · pagina &amp;P di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NettoChiaro</dc:creator>
  <dc:title xmlns:dc="http://purl.org/dc/elements/1.1/">Gestionale Partita IVA forfettaria 2026</dc:title>
  <dc:subject xmlns:dc="http://purl.org/dc/elements/1.1/">Registro fatture, stima di imposta sostitutiva e contributi, scadenze</dc:subject>
  <dcterms:created xmlns:dcterms="http://purl.org/dc/terms/" xmlns:xsi="http://www.w3.org/2001/XMLSchema-instance" xsi:type="dcterms:W3CDTF">2026-10-06T12:00:00Z</dcterms:created>
  <dcterms:modified xmlns:dcterms="http://purl.org/dc/terms/" xmlns:xsi="http://www.w3.org/2001/XMLSchema-instance" xsi:type="dcterms:W3CDTF">2026-10-06T18:35:24Z</dcterms:modified>
</cp:coreProperties>
</file>